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ago.augusto\Desktop\Gestao Cross\Projetos\PRJ00016882\CR\Arbor\"/>
    </mc:Choice>
  </mc:AlternateContent>
  <workbookProtection workbookAlgorithmName="SHA-512" workbookHashValue="n39RuwxDPE7tgF3WWIo77kBPxm00OZx3o1DGR5g//Z0uLOCGwDBVvlT+p1pqIMO8l7hhtzj8fYn4uC95GRFe8Q==" workbookSaltValue="WKZEwFCoj8yAqIfKnXRy8A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 calcOnSave="0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F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<sst xmlns="http://schemas.openxmlformats.org/spreadsheetml/2006/main" count="1859" uniqueCount="497">
  <si>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</si>
  <si>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</si>
  <si>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</si>
  <si>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</si>
  <si>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</si>
  <si>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</si>
  <si>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</si>
  <si>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</si>
  <si>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</si>
  <si>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</si>
  <si>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</si>
  <si>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</si>
  <si>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</si>
  <si>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</si>
  <si>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</si>
  <si>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</si>
  <si>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</si>
  <si>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</si>
  <si>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</si>
  <si>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</si>
  <si>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</si>
  <si>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</si>
  <si>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</si>
  <si>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</si>
  <si>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</si>
  <si>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</si>
  <si>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</si>
  <si>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</si>
  <si>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</si>
  <si>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</si>
  <si>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</si>
  <si>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</si>
  <si>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</si>
  <si>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</si>
  <si>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</si>
  <si>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</si>
  <si>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</si>
  <si>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</si>
  <si>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</si>
  <si>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</si>
  <si>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</si>
  <si>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</si>
  <si>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</si>
  <si>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</si>
  <si>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</si>
  <si>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</si>
  <si>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</si>
  <si>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</si>
  <si>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</si>
  <si>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</si>
  <si>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</si>
  <si>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</si>
  <si>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</si>
  <si>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</si>
  <si>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</si>
  <si>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</si>
  <si>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</si>
  <si>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</si>
  <si>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</si>
  <si>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</si>
  <si>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</si>
  <si>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</si>
  <si>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</si>
  <si>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</si>
  <si>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</si>
  <si>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</si>
  <si>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</si>
  <si>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</si>
  <si>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</si>
  <si>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</si>
  <si>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</si>
  <si>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</si>
  <si>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</si>
  <si>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</si>
  <si>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</si>
  <si>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</si>
  <si>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</si>
  <si>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</si>
  <si>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</si>
  <si>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</si>
  <si>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</si>
  <si>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</si>
  <si>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</si>
  <si>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</si>
  <si>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</si>
  <si>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</si>
  <si>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</si>
  <si>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</si>
  <si>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</si>
  <si>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</si>
  <si>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</si>
  <si>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</si>
  <si>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</si>
  <si>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</si>
  <si>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</si>
  <si>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</si>
  <si>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</si>
  <si>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</si>
  <si>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</si>
  <si>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</si>
  <si>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</si>
  <si>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</si>
  <si>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</si>
  <si>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</si>
  <si>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</si>
  <si>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</si>
  <si>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</si>
  <si>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</si>
  <si>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</si>
  <si>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</si>
  <si>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</si>
  <si>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</si>
  <si>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</si>
  <si>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</si>
  <si>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</si>
  <si>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</si>
  <si>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</si>
  <si>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</si>
  <si>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</si>
  <si>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</si>
  <si>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</si>
  <si>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</si>
  <si>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</si>
  <si>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</si>
  <si>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</si>
  <si>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</si>
  <si>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</si>
  <si>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</si>
  <si>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</si>
  <si>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</si>
  <si>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</si>
  <si>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</si>
  <si>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</si>
  <si>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</si>
  <si>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</si>
  <si>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</si>
  <si>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</si>
  <si>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</si>
  <si>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</si>
  <si>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</si>
  <si>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</si>
  <si>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</si>
  <si>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</si>
  <si>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</si>
  <si>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</si>
  <si>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</si>
  <si>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</si>
  <si>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</si>
  <si>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</si>
  <si>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</si>
  <si>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</si>
  <si>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</si>
  <si>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</si>
  <si>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</si>
  <si>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</si>
  <si>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</si>
  <si>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</si>
  <si>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</si>
  <si>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</si>
  <si>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</si>
  <si>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</si>
  <si>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</si>
  <si>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</si>
  <si>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</si>
  <si>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</si>
  <si>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</si>
  <si>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</si>
  <si>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</si>
  <si>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</si>
  <si>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</si>
  <si>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</si>
  <si>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</si>
  <si>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</si>
  <si>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</si>
  <si>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</si>
  <si>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</si>
  <si>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</si>
  <si>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</si>
  <si>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</si>
  <si>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</si>
  <si>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</si>
  <si>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</si>
  <si>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</si>
  <si>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</si>
  <si>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</si>
  <si>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</si>
  <si>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</si>
  <si>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</si>
  <si>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</si>
  <si>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</si>
  <si>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</si>
  <si>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</si>
  <si>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</si>
  <si>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</si>
  <si>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</si>
  <si>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</si>
  <si>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</si>
  <si>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</si>
  <si>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</si>
  <si>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</si>
  <si>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</si>
  <si>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</si>
  <si>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</si>
  <si>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</si>
  <si>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</si>
  <si>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</si>
  <si>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</si>
  <si>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</si>
  <si>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</si>
  <si>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</si>
  <si>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</si>
  <si>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</si>
  <si>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</si>
  <si>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</si>
  <si>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</si>
  <si>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</si>
  <si>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</si>
  <si>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</si>
  <si>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</si>
  <si>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</si>
  <si>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</si>
  <si>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</si>
  <si>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</si>
  <si>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</si>
  <si>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</si>
  <si>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</si>
  <si>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</si>
  <si>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</si>
  <si>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</si>
  <si>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</si>
  <si>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</si>
  <si>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</si>
  <si>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</si>
  <si>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</si>
  <si>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</si>
  <si>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</si>
  <si>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</si>
  <si>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</si>
  <si>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</si>
  <si>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</si>
  <si>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</si>
  <si>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</si>
  <si>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</si>
  <si>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</si>
  <si>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</si>
  <si>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</si>
  <si>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</si>
  <si>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</si>
  <si>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</si>
  <si>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</si>
  <si>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</si>
  <si>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</si>
  <si>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</si>
  <si>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</si>
  <si>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</si>
  <si>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</si>
  <si>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</si>
  <si>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</si>
  <si>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</si>
  <si>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</si>
  <si>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</si>
  <si>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</si>
  <si>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</si>
  <si>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</si>
  <si>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</si>
  <si>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</si>
  <si>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</si>
  <si>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</si>
  <si>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</si>
  <si>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</si>
  <si>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</si>
  <si>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</si>
  <si>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</si>
  <si>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</si>
  <si>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</si>
  <si>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</si>
  <si>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</si>
  <si>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</si>
  <si>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</si>
  <si>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</si>
  <si>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</si>
  <si>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</si>
  <si>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</si>
  <si>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</si>
  <si>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</si>
  <si>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</si>
  <si>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</si>
  <si>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</si>
  <si>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</si>
  <si>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</si>
  <si>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</si>
  <si>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</si>
  <si>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</si>
  <si>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</si>
  <si>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</si>
  <si>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</si>
  <si>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</si>
  <si>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</si>
  <si>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</si>
  <si>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</si>
  <si>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</si>
  <si>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</si>
  <si>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</si>
  <si>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</si>
  <si>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</si>
  <si>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</si>
  <si>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</si>
  <si>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</si>
  <si>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</si>
  <si>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</si>
  <si>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</si>
  <si>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</si>
  <si>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</si>
  <si>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</si>
  <si>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</si>
  <si>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</si>
  <si>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</si>
  <si>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</si>
  <si>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</si>
  <si>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</si>
  <si>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</si>
  <si>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</si>
  <si>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</si>
  <si>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</si>
  <si>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</si>
  <si>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</si>
  <si>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</si>
  <si>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</si>
  <si>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</si>
  <si>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</si>
  <si>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</si>
  <si>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</si>
  <si>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</si>
  <si>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</si>
  <si>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</si>
  <si>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</si>
  <si>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</si>
  <si>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</si>
  <si>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</si>
  <si>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</si>
  <si>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</si>
  <si>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</si>
  <si>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</si>
  <si>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</si>
  <si>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</si>
  <si>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</si>
  <si>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</si>
  <si>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</si>
  <si>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</si>
  <si>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</si>
  <si>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</si>
  <si>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</si>
  <si>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</si>
  <si>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</si>
  <si>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</si>
  <si>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</si>
  <si>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</si>
  <si>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</si>
  <si>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</si>
  <si>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</si>
  <si>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</si>
  <si>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</si>
  <si>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</si>
  <si>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</si>
  <si>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</si>
  <si>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</si>
  <si>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</si>
  <si>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</si>
  <si>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</si>
  <si>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</si>
  <si>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</si>
  <si>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</si>
  <si>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</si>
  <si>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</si>
  <si>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</si>
  <si>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</si>
  <si>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</si>
  <si>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</si>
  <si>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</si>
  <si>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</si>
  <si>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</si>
  <si>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</si>
  <si>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</si>
  <si>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</si>
  <si>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</si>
  <si>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</si>
  <si>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</si>
  <si>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</si>
  <si>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</si>
  <si>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</si>
  <si>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</si>
  <si>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</si>
  <si>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</si>
  <si>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</si>
  <si>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</si>
  <si>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</si>
  <si>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</si>
  <si>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</si>
  <si>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</si>
  <si>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</si>
  <si>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</si>
  <si>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</si>
  <si>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</si>
  <si>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</si>
  <si>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</si>
  <si>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</si>
  <si>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</si>
  <si>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</si>
  <si>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</si>
  <si>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</si>
  <si>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</si>
  <si>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</si>
  <si>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</si>
  <si>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</si>
  <si>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</si>
  <si>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</si>
  <si>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</si>
  <si>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</si>
  <si>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</si>
  <si>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</si>
  <si>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</si>
  <si>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</si>
  <si>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</si>
  <si>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</si>
  <si>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</si>
  <si>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</si>
  <si>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</si>
  <si>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</si>
  <si>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</si>
  <si>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</si>
  <si>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</si>
  <si>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</si>
  <si>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</si>
  <si>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</si>
  <si>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</si>
  <si>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</si>
  <si>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</si>
  <si>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</si>
  <si>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</si>
  <si>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</si>
  <si>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</si>
  <si>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</si>
  <si>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</si>
  <si>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</si>
  <si>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</si>
  <si>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</si>
  <si>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</si>
  <si>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</si>
  <si>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</si>
  <si>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</si>
  <si>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</si>
  <si>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</si>
  <si>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</si>
  <si>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</si>
  <si>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</si>
  <si>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</si>
  <si>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</si>
  <si>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</si>
  <si>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</si>
  <si>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</si>
  <si>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</si>
  <si>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</si>
  <si>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</si>
  <si>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</si>
  <si>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</si>
  <si>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</si>
  <si>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</si>
  <si>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</si>
  <si>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</si>
  <si>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</si>
  <si>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</si>
  <si>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</si>
  <si>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</si>
  <si>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</si>
  <si>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</si>
  <si>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</si>
  <si>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</si>
  <si>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</si>
  <si>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</si>
  <si>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</si>
  <si>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</si>
  <si>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</si>
  <si>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</si>
  <si>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</si>
  <si>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</si>
  <si>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</si>
  <si>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</si>
  <si>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</si>
  <si>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</si>
  <si>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</si>
  <si>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</si>
  <si>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</si>
  <si>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</si>
  <si>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</si>
  <si>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Tabela Consulda Recarga</t>
  </si>
  <si>
    <t>Conta, Terminal, Produto, Pacote, Fatura, Recarga</t>
  </si>
  <si>
    <t>PRJ00016882 – [Multiprodutos] - Novo bundle Fixo + PrePago (Novo Bundle)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</si>
</sst>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7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WrLnj2cTZcA4vowTnz1sTHbcoEN2rWV6ub2GO5tJHnA0paan/Ye8+/bFPe98i51w3xP8nd2mrCvNSEA64lWAiw==" saltValue="bl7tIlcekAFSb7z9S0k3x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2" zoomScale="90" zoomScaleNormal="90" workbookViewId="0">
      <selection activeCell="C19" sqref="C19:D19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29" t="s">
        <v>25</v>
      </c>
      <c r="C2" s="429"/>
      <c r="D2" s="429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0" t="s">
        <v>143</v>
      </c>
      <c r="D4" s="431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34">
        <v>16882</v>
      </c>
      <c r="D6" s="435"/>
      <c r="E6" s="61"/>
      <c r="F6" s="161"/>
    </row>
    <row r="7" spans="2:6" ht="18" customHeight="1" x14ac:dyDescent="0.2">
      <c r="B7" s="189" t="s">
        <v>280</v>
      </c>
      <c r="C7" s="434">
        <v>22104</v>
      </c>
      <c r="D7" s="435"/>
      <c r="E7" s="61"/>
      <c r="F7" s="161"/>
    </row>
    <row r="8" spans="2:6" ht="54" customHeight="1" x14ac:dyDescent="0.2">
      <c r="B8" s="52" t="s">
        <v>21</v>
      </c>
      <c r="C8" s="436" t="s">
        <v>496</v>
      </c>
      <c r="D8" s="437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38" t="str">
        <f>IFERROR(VLOOKUP(Sistema,Produtividades[],COLUMN(Produtividades[[#Headers],[Contrato]])-1,FALSE),"")</f>
        <v>Uso comercial</v>
      </c>
      <c r="D11" s="439"/>
      <c r="F11" s="158"/>
    </row>
    <row r="12" spans="2:6" x14ac:dyDescent="0.2">
      <c r="F12" s="158"/>
    </row>
    <row r="13" spans="2:6" x14ac:dyDescent="0.2">
      <c r="B13" s="179" t="s">
        <v>271</v>
      </c>
      <c r="C13" s="438" t="s">
        <v>167</v>
      </c>
      <c r="D13" s="439"/>
      <c r="F13" s="158"/>
    </row>
    <row r="14" spans="2:6" x14ac:dyDescent="0.2">
      <c r="F14" s="158"/>
    </row>
    <row r="15" spans="2:6" x14ac:dyDescent="0.2">
      <c r="B15" s="53" t="s">
        <v>166</v>
      </c>
      <c r="C15" s="444" t="s">
        <v>96</v>
      </c>
      <c r="D15" s="445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46" t="s">
        <v>156</v>
      </c>
      <c r="D17" s="447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38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39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 ca="1">PontosFuncao[[#Totals],[PF]]</f>
        <v>7</v>
      </c>
      <c r="D22" s="23">
        <f ca="1">IF(Pontos_APF=0,0,IF(Contrato="Uso comercial",IF(Fornecedor="Accenture - Torre II",'Fases Contratadas'!$Q$19,$D$24*Pontos_APF/(Pontos_APF+Pontos_Analogia)),$D$24*Pontos_APF/(Pontos_APF+Pontos_Analogia)))</f>
        <v>130.68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 ca="1">ROUND(IF(RespostaContagem=Sim,MAX(EsforcoFases[[#Totals],[Esforço em Horas (calculado)]],EsforcoFases[[#Totals],[Esforço em Horas (preenchido)]]),0),2)</f>
        <v>130.68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0">
        <f ca="1">Horas_APF</f>
        <v>130.68</v>
      </c>
      <c r="D26" s="441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42" t="s">
        <v>24</v>
      </c>
      <c r="D28" s="443"/>
      <c r="E28" s="19"/>
      <c r="F28" s="19"/>
    </row>
    <row r="29" spans="2:6" ht="18" customHeight="1" x14ac:dyDescent="0.2">
      <c r="B29" s="52" t="s">
        <v>29</v>
      </c>
      <c r="C29" s="438">
        <f ca="1">ROUND(IF(RespostaContagem=Sim,Horas_HH_Total,Horas_HH_Total+EsforcoFases[[#Totals],[Esforço em Horas (preenchido)]]),2)</f>
        <v>0</v>
      </c>
      <c r="D29" s="439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23.52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32" t="e">
        <f ca="1">ROUND((Horas_APF+Horas_Analogia+Horas_HH+Horas_Gestao)*Flip,2)</f>
        <v>#VALUE!</v>
      </c>
      <c r="D34" s="433"/>
      <c r="E34" s="16"/>
      <c r="F34" s="16"/>
    </row>
    <row r="36" spans="2:6" x14ac:dyDescent="0.2">
      <c r="B36" s="53" t="s">
        <v>175</v>
      </c>
      <c r="C36" s="448">
        <f>VLOOKUP(Sistema,Produtividades[],COLUMN(Produtividades[[#Headers],[Taxa horária]])-1,FALSE)</f>
        <v>154.36000000000001</v>
      </c>
      <c r="D36" s="449"/>
    </row>
    <row r="38" spans="2:6" x14ac:dyDescent="0.2">
      <c r="B38" s="53" t="s">
        <v>179</v>
      </c>
      <c r="C38" s="448" t="e">
        <f ca="1">Horas_Total*Taxa_Horaria</f>
        <v>#VALUE!</v>
      </c>
      <c r="D38" s="449"/>
    </row>
    <row r="40" spans="2:6" x14ac:dyDescent="0.2">
      <c r="B40" s="53" t="s">
        <v>178</v>
      </c>
      <c r="C40" s="450"/>
      <c r="D40" s="451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54"/>
      <c r="D42" s="455"/>
    </row>
    <row r="44" spans="2:6" ht="15.75" x14ac:dyDescent="0.2">
      <c r="B44" s="53" t="s">
        <v>180</v>
      </c>
      <c r="C44" s="452" t="e">
        <f ca="1">Custo-Desconto</f>
        <v>#VALUE!</v>
      </c>
      <c r="D44" s="453"/>
    </row>
  </sheetData>
  <sheetProtection algorithmName="SHA-512" hashValue="rkw8Nla8QqwUbHis0OnzdrKbOREWaRqKtkyYlMOFTZJ3Iv+s6+WxJD3I2Nt69DaoODt5qEDIngbgxapG10dqCw==" saltValue="KO1gSNVL/xcX9QCTRxwY2g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C7" sqref="C7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29" t="str">
        <f>IF(TipoContagem=TipoContagemDetalhada,"Pontos de Função - Contagem Detalhada Conforme IFPUG","Pontos de Função - Contagem Estimada Conforme NESMA")</f>
        <v>Pontos de Função - Contagem Detalhada Conforme IFPUG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ht="38.25" x14ac:dyDescent="0.2">
      <c r="B7" s="268" t="s">
        <v>283</v>
      </c>
      <c r="C7" s="269" t="s">
        <v>494</v>
      </c>
      <c r="D7" s="270" t="s">
        <v>148</v>
      </c>
      <c r="E7" s="270" t="s">
        <v>56</v>
      </c>
      <c r="F7" s="270">
        <v>6</v>
      </c>
      <c r="G7" s="270">
        <v>40</v>
      </c>
      <c r="H7" s="412" t="s">
        <v>495</v>
      </c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7" s="218">
        <f ca="1">IF(PontosFuncao[[#This Row],[Tipo de Função]]="",0,INDEX(Pesos_IFPUG,MATCH(PontosFuncao[[#This Row],[Tipo de Função]],Pesos_IFPUG_Objetos,0),MATCH(PontosFuncao[[#This Row],[Complexidade]],Pesos_IFPUG_Complexidade,0)))</f>
        <v>7</v>
      </c>
      <c r="L7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146.01999999999998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 ca="1">SUBTOTAL(109,PontosFuncao[PF])</f>
        <v>7</v>
      </c>
      <c r="L27" s="359">
        <f ca="1">SUBTOTAL(109,PontosFuncao[Esforço])</f>
        <v>146.01999999999998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thybRz1MUa2muBH0vdnWb5QySZTc4YtlhJ0qlOqs4LehBAfavvmGuSKqpfHrW50TEnOBGTjHTnqYD8xK28B6Zw==" saltValue="dPUeAx8jhlvQhJZz470pN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29" t="s">
        <v>71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fin6an4vNNGRXgBc4aOnYCejnwipWn9tsec/CKiIFgTbwegrFB4GYYmGwTkoc7xqO1GvkhmsF5q+T2oWmZzP/A==" saltValue="OgIg4qCzFB3hqJGJ7GS/Jw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29" t="s">
        <v>98</v>
      </c>
      <c r="D2" s="429"/>
      <c r="E2" s="429"/>
      <c r="F2" s="429"/>
      <c r="G2" s="429"/>
      <c r="H2" s="429"/>
      <c r="I2" s="429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Niw4dPL4SmSQUOJMEQIxjwSSml79XXhOwaCrkKJ2AaoF4esESJGhg6FSE8dYsXBCXX353QnOhAQuHU5TuPSgXw==" saltValue="tTt5bPeZRAYcs+x200gwXw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410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aecigINji3423qR3xsqSzPOvqCPckKX4Gemstdjpto7Jm8fITBWsf3M1HODD4PS7rKnI/TMF/wzxa7kSCkV4+w==" saltValue="vCN5X+M3mSLnHi4sP2SwN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411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lHqR0XEwLAMZYAAvkYr2W7O3AYePvpT8lL3kwXM+FZwr6Ep9bqENnLaAzBtjCTrusyDiLGgB6KSfKRT8r6fvPg==" saltValue="o7TBbCLeRNT/4K+BYPvvrQ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47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7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77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500"/>
      <c r="M11" s="501"/>
      <c r="N11" s="346" t="str">
        <f t="shared" ref="N11:N28" si="0">IF(L11="","",$AC$12&amp;L11)</f>
        <v/>
      </c>
      <c r="O11" s="500"/>
      <c r="P11" s="501"/>
      <c r="Q11" s="346" t="str">
        <f t="shared" ref="Q11:Q27" si="1">IF(O11="","",$AC$15&amp;O11)</f>
        <v/>
      </c>
      <c r="R11" s="500"/>
      <c r="S11" s="502"/>
      <c r="T11" s="50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ref="Q28:Q38" si="13">IF(O28="","",$AC$15&amp;O28)</f>
        <v/>
      </c>
      <c r="R28" s="500"/>
      <c r="S28" s="502"/>
      <c r="T28" s="50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500"/>
      <c r="M29" s="501"/>
      <c r="N29" s="346" t="str">
        <f t="shared" ref="N29:N40" si="14">IF(L29="","",$AC$12&amp;L29)</f>
        <v/>
      </c>
      <c r="O29" s="500"/>
      <c r="P29" s="501"/>
      <c r="Q29" s="346" t="str">
        <f t="shared" si="13"/>
        <v/>
      </c>
      <c r="R29" s="500"/>
      <c r="S29" s="502"/>
      <c r="T29" s="50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500"/>
      <c r="M30" s="501"/>
      <c r="N30" s="346" t="str">
        <f t="shared" si="14"/>
        <v/>
      </c>
      <c r="O30" s="500"/>
      <c r="P30" s="501"/>
      <c r="Q30" s="346" t="str">
        <f t="shared" si="13"/>
        <v/>
      </c>
      <c r="R30" s="500"/>
      <c r="S30" s="502"/>
      <c r="T30" s="50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500"/>
      <c r="M31" s="501"/>
      <c r="N31" s="346" t="str">
        <f t="shared" si="14"/>
        <v/>
      </c>
      <c r="O31" s="500"/>
      <c r="P31" s="501"/>
      <c r="Q31" s="346" t="str">
        <f t="shared" si="13"/>
        <v/>
      </c>
      <c r="R31" s="500"/>
      <c r="S31" s="502"/>
      <c r="T31" s="50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500"/>
      <c r="M32" s="501"/>
      <c r="N32" s="346" t="str">
        <f t="shared" si="14"/>
        <v/>
      </c>
      <c r="O32" s="500"/>
      <c r="P32" s="501"/>
      <c r="Q32" s="346" t="str">
        <f t="shared" si="13"/>
        <v/>
      </c>
      <c r="R32" s="500"/>
      <c r="S32" s="502"/>
      <c r="T32" s="50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500"/>
      <c r="M33" s="501"/>
      <c r="N33" s="346" t="str">
        <f t="shared" si="14"/>
        <v/>
      </c>
      <c r="O33" s="500"/>
      <c r="P33" s="501"/>
      <c r="Q33" s="346" t="str">
        <f t="shared" si="13"/>
        <v/>
      </c>
      <c r="R33" s="500"/>
      <c r="S33" s="502"/>
      <c r="T33" s="50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500"/>
      <c r="M34" s="501"/>
      <c r="N34" s="346" t="str">
        <f t="shared" si="14"/>
        <v/>
      </c>
      <c r="O34" s="500"/>
      <c r="P34" s="501"/>
      <c r="Q34" s="346" t="str">
        <f t="shared" si="13"/>
        <v/>
      </c>
      <c r="R34" s="500"/>
      <c r="S34" s="502"/>
      <c r="T34" s="50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500"/>
      <c r="M35" s="501"/>
      <c r="N35" s="346" t="str">
        <f t="shared" si="14"/>
        <v/>
      </c>
      <c r="O35" s="500"/>
      <c r="P35" s="501"/>
      <c r="Q35" s="346" t="str">
        <f t="shared" si="13"/>
        <v/>
      </c>
      <c r="R35" s="500"/>
      <c r="S35" s="502"/>
      <c r="T35" s="50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500"/>
      <c r="M36" s="501"/>
      <c r="N36" s="346" t="str">
        <f t="shared" si="14"/>
        <v/>
      </c>
      <c r="O36" s="500"/>
      <c r="P36" s="501"/>
      <c r="Q36" s="346" t="str">
        <f t="shared" si="13"/>
        <v/>
      </c>
      <c r="R36" s="500"/>
      <c r="S36" s="502"/>
      <c r="T36" s="50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500"/>
      <c r="M37" s="501"/>
      <c r="N37" s="346" t="str">
        <f t="shared" si="14"/>
        <v/>
      </c>
      <c r="O37" s="500"/>
      <c r="P37" s="501"/>
      <c r="Q37" s="346" t="str">
        <f t="shared" si="13"/>
        <v/>
      </c>
      <c r="R37" s="500"/>
      <c r="S37" s="502"/>
      <c r="T37" s="50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500"/>
      <c r="M38" s="501"/>
      <c r="N38" s="346" t="str">
        <f t="shared" si="14"/>
        <v/>
      </c>
      <c r="O38" s="500"/>
      <c r="P38" s="501"/>
      <c r="Q38" s="346" t="str">
        <f t="shared" si="13"/>
        <v/>
      </c>
      <c r="R38" s="500"/>
      <c r="S38" s="502"/>
      <c r="T38" s="50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500"/>
      <c r="M39" s="501"/>
      <c r="N39" s="346" t="str">
        <f t="shared" si="14"/>
        <v/>
      </c>
      <c r="O39" s="500"/>
      <c r="P39" s="501"/>
      <c r="Q39" s="346" t="str">
        <f t="shared" ref="Q39:Q50" si="16">IF(O39="","",$AC$15&amp;O39)</f>
        <v/>
      </c>
      <c r="R39" s="500"/>
      <c r="S39" s="502"/>
      <c r="T39" s="50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500"/>
      <c r="M40" s="501"/>
      <c r="N40" s="346" t="str">
        <f t="shared" si="14"/>
        <v/>
      </c>
      <c r="O40" s="500"/>
      <c r="P40" s="501"/>
      <c r="Q40" s="346" t="str">
        <f t="shared" si="16"/>
        <v/>
      </c>
      <c r="R40" s="500"/>
      <c r="S40" s="502"/>
      <c r="T40" s="50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500"/>
      <c r="M41" s="501"/>
      <c r="N41" s="346" t="str">
        <f t="shared" ref="N41:N50" si="17">IF(L41="","",$AC$12&amp;L41)</f>
        <v/>
      </c>
      <c r="O41" s="500"/>
      <c r="P41" s="501"/>
      <c r="Q41" s="346" t="str">
        <f t="shared" si="16"/>
        <v/>
      </c>
      <c r="R41" s="500"/>
      <c r="S41" s="502"/>
      <c r="T41" s="50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500"/>
      <c r="M42" s="501"/>
      <c r="N42" s="346" t="str">
        <f t="shared" si="17"/>
        <v/>
      </c>
      <c r="O42" s="500"/>
      <c r="P42" s="501"/>
      <c r="Q42" s="346" t="str">
        <f t="shared" si="16"/>
        <v/>
      </c>
      <c r="R42" s="500"/>
      <c r="S42" s="502"/>
      <c r="T42" s="50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500"/>
      <c r="M43" s="501"/>
      <c r="N43" s="346" t="str">
        <f t="shared" si="17"/>
        <v/>
      </c>
      <c r="O43" s="500"/>
      <c r="P43" s="501"/>
      <c r="Q43" s="346" t="str">
        <f t="shared" si="16"/>
        <v/>
      </c>
      <c r="R43" s="500"/>
      <c r="S43" s="502"/>
      <c r="T43" s="50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500"/>
      <c r="M44" s="501"/>
      <c r="N44" s="346" t="str">
        <f t="shared" si="17"/>
        <v/>
      </c>
      <c r="O44" s="500"/>
      <c r="P44" s="501"/>
      <c r="Q44" s="346" t="str">
        <f t="shared" si="16"/>
        <v/>
      </c>
      <c r="R44" s="500"/>
      <c r="S44" s="502"/>
      <c r="T44" s="50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500"/>
      <c r="M45" s="501"/>
      <c r="N45" s="346" t="str">
        <f t="shared" si="17"/>
        <v/>
      </c>
      <c r="O45" s="500"/>
      <c r="P45" s="501"/>
      <c r="Q45" s="346" t="str">
        <f t="shared" si="16"/>
        <v/>
      </c>
      <c r="R45" s="500"/>
      <c r="S45" s="502"/>
      <c r="T45" s="50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500"/>
      <c r="M46" s="501"/>
      <c r="N46" s="346" t="str">
        <f t="shared" si="17"/>
        <v/>
      </c>
      <c r="O46" s="500"/>
      <c r="P46" s="501"/>
      <c r="Q46" s="346" t="str">
        <f t="shared" si="16"/>
        <v/>
      </c>
      <c r="R46" s="500"/>
      <c r="S46" s="502"/>
      <c r="T46" s="50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500"/>
      <c r="M47" s="501"/>
      <c r="N47" s="346" t="str">
        <f t="shared" si="17"/>
        <v/>
      </c>
      <c r="O47" s="500"/>
      <c r="P47" s="501"/>
      <c r="Q47" s="346" t="str">
        <f t="shared" si="16"/>
        <v/>
      </c>
      <c r="R47" s="500"/>
      <c r="S47" s="502"/>
      <c r="T47" s="50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500"/>
      <c r="M48" s="501"/>
      <c r="N48" s="346" t="str">
        <f t="shared" si="17"/>
        <v/>
      </c>
      <c r="O48" s="500"/>
      <c r="P48" s="501"/>
      <c r="Q48" s="346" t="str">
        <f t="shared" si="16"/>
        <v/>
      </c>
      <c r="R48" s="500"/>
      <c r="S48" s="502"/>
      <c r="T48" s="50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500"/>
      <c r="M49" s="501"/>
      <c r="N49" s="346" t="str">
        <f t="shared" si="17"/>
        <v/>
      </c>
      <c r="O49" s="500"/>
      <c r="P49" s="501"/>
      <c r="Q49" s="346" t="str">
        <f t="shared" si="16"/>
        <v/>
      </c>
      <c r="R49" s="500"/>
      <c r="S49" s="502"/>
      <c r="T49" s="50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500"/>
      <c r="M50" s="501"/>
      <c r="N50" s="346" t="str">
        <f t="shared" si="17"/>
        <v/>
      </c>
      <c r="O50" s="500"/>
      <c r="P50" s="501"/>
      <c r="Q50" s="346" t="str">
        <f t="shared" si="16"/>
        <v/>
      </c>
      <c r="R50" s="500"/>
      <c r="S50" s="502"/>
      <c r="T50" s="50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503"/>
      <c r="M51" s="504"/>
      <c r="N51" s="346" t="str">
        <f t="shared" ref="N51" si="18">IF(AND(L51&lt;&gt;"",M51&lt;&gt;""),CONCATENATE($AC$12,L51,M51),"")</f>
        <v/>
      </c>
      <c r="O51" s="503"/>
      <c r="P51" s="504"/>
      <c r="Q51" s="346" t="str">
        <f t="shared" ref="Q51" si="19">IF(AND(O51&lt;&gt;"",P51&lt;&gt;""),CONCATENATE($AC$15,O51,P51),"")</f>
        <v/>
      </c>
      <c r="R51" s="503"/>
      <c r="S51" s="505"/>
      <c r="T51" s="504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67TibW1SLke+dy1NUPozYtAjnFIvMWM1utFmirHZy4CiyAJj7osEuuiK3vFHWhNnS4oFhIs/0nDsLL6pYja5CQ==" saltValue="ZDNOLArzn+UKPLVUsH4f0g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500"/>
      <c r="M11" s="501"/>
      <c r="N11" s="346" t="str">
        <f t="shared" ref="N11:N50" si="0">IF(L11="","",$AC$12&amp;L11)</f>
        <v/>
      </c>
      <c r="O11" s="500"/>
      <c r="P11" s="501"/>
      <c r="Q11" s="346" t="str">
        <f t="shared" ref="Q11:Q50" si="1">IF(O11="","",$AC$15&amp;O11)</f>
        <v/>
      </c>
      <c r="R11" s="500"/>
      <c r="S11" s="502"/>
      <c r="T11" s="50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si="1"/>
        <v/>
      </c>
      <c r="R28" s="500"/>
      <c r="S28" s="502"/>
      <c r="T28" s="50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500"/>
      <c r="M29" s="501"/>
      <c r="N29" s="346" t="str">
        <f t="shared" si="0"/>
        <v/>
      </c>
      <c r="O29" s="500"/>
      <c r="P29" s="501"/>
      <c r="Q29" s="346" t="str">
        <f t="shared" si="1"/>
        <v/>
      </c>
      <c r="R29" s="500"/>
      <c r="S29" s="502"/>
      <c r="T29" s="50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500"/>
      <c r="M30" s="501"/>
      <c r="N30" s="346" t="str">
        <f t="shared" si="0"/>
        <v/>
      </c>
      <c r="O30" s="500"/>
      <c r="P30" s="501"/>
      <c r="Q30" s="346" t="str">
        <f t="shared" si="1"/>
        <v/>
      </c>
      <c r="R30" s="500"/>
      <c r="S30" s="502"/>
      <c r="T30" s="50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500"/>
      <c r="M31" s="501"/>
      <c r="N31" s="346" t="str">
        <f t="shared" si="0"/>
        <v/>
      </c>
      <c r="O31" s="500"/>
      <c r="P31" s="501"/>
      <c r="Q31" s="346" t="str">
        <f t="shared" si="1"/>
        <v/>
      </c>
      <c r="R31" s="500"/>
      <c r="S31" s="502"/>
      <c r="T31" s="50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500"/>
      <c r="M32" s="501"/>
      <c r="N32" s="346" t="str">
        <f t="shared" si="0"/>
        <v/>
      </c>
      <c r="O32" s="500"/>
      <c r="P32" s="501"/>
      <c r="Q32" s="346" t="str">
        <f t="shared" si="1"/>
        <v/>
      </c>
      <c r="R32" s="500"/>
      <c r="S32" s="502"/>
      <c r="T32" s="50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500"/>
      <c r="M33" s="501"/>
      <c r="N33" s="346" t="str">
        <f t="shared" si="0"/>
        <v/>
      </c>
      <c r="O33" s="500"/>
      <c r="P33" s="501"/>
      <c r="Q33" s="346" t="str">
        <f t="shared" si="1"/>
        <v/>
      </c>
      <c r="R33" s="500"/>
      <c r="S33" s="502"/>
      <c r="T33" s="50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500"/>
      <c r="M34" s="501"/>
      <c r="N34" s="346" t="str">
        <f t="shared" si="0"/>
        <v/>
      </c>
      <c r="O34" s="500"/>
      <c r="P34" s="501"/>
      <c r="Q34" s="346" t="str">
        <f t="shared" si="1"/>
        <v/>
      </c>
      <c r="R34" s="500"/>
      <c r="S34" s="502"/>
      <c r="T34" s="50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500"/>
      <c r="M35" s="501"/>
      <c r="N35" s="346" t="str">
        <f t="shared" si="0"/>
        <v/>
      </c>
      <c r="O35" s="500"/>
      <c r="P35" s="501"/>
      <c r="Q35" s="346" t="str">
        <f t="shared" si="1"/>
        <v/>
      </c>
      <c r="R35" s="500"/>
      <c r="S35" s="502"/>
      <c r="T35" s="50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500"/>
      <c r="M36" s="501"/>
      <c r="N36" s="346" t="str">
        <f t="shared" si="0"/>
        <v/>
      </c>
      <c r="O36" s="500"/>
      <c r="P36" s="501"/>
      <c r="Q36" s="346" t="str">
        <f t="shared" si="1"/>
        <v/>
      </c>
      <c r="R36" s="500"/>
      <c r="S36" s="502"/>
      <c r="T36" s="50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500"/>
      <c r="M37" s="501"/>
      <c r="N37" s="346" t="str">
        <f t="shared" si="0"/>
        <v/>
      </c>
      <c r="O37" s="500"/>
      <c r="P37" s="501"/>
      <c r="Q37" s="346" t="str">
        <f t="shared" si="1"/>
        <v/>
      </c>
      <c r="R37" s="500"/>
      <c r="S37" s="502"/>
      <c r="T37" s="50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500"/>
      <c r="M38" s="501"/>
      <c r="N38" s="346" t="str">
        <f t="shared" si="0"/>
        <v/>
      </c>
      <c r="O38" s="500"/>
      <c r="P38" s="501"/>
      <c r="Q38" s="346" t="str">
        <f t="shared" si="1"/>
        <v/>
      </c>
      <c r="R38" s="500"/>
      <c r="S38" s="502"/>
      <c r="T38" s="50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500"/>
      <c r="M39" s="501"/>
      <c r="N39" s="346" t="str">
        <f t="shared" si="0"/>
        <v/>
      </c>
      <c r="O39" s="500"/>
      <c r="P39" s="501"/>
      <c r="Q39" s="346" t="str">
        <f t="shared" si="1"/>
        <v/>
      </c>
      <c r="R39" s="500"/>
      <c r="S39" s="502"/>
      <c r="T39" s="50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500"/>
      <c r="M40" s="501"/>
      <c r="N40" s="346" t="str">
        <f t="shared" si="0"/>
        <v/>
      </c>
      <c r="O40" s="500"/>
      <c r="P40" s="501"/>
      <c r="Q40" s="346" t="str">
        <f t="shared" si="1"/>
        <v/>
      </c>
      <c r="R40" s="500"/>
      <c r="S40" s="502"/>
      <c r="T40" s="50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500"/>
      <c r="M41" s="501"/>
      <c r="N41" s="346" t="str">
        <f t="shared" si="0"/>
        <v/>
      </c>
      <c r="O41" s="500"/>
      <c r="P41" s="501"/>
      <c r="Q41" s="346" t="str">
        <f t="shared" si="1"/>
        <v/>
      </c>
      <c r="R41" s="500"/>
      <c r="S41" s="502"/>
      <c r="T41" s="50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500"/>
      <c r="M42" s="501"/>
      <c r="N42" s="346" t="str">
        <f t="shared" si="0"/>
        <v/>
      </c>
      <c r="O42" s="500"/>
      <c r="P42" s="501"/>
      <c r="Q42" s="346" t="str">
        <f t="shared" si="1"/>
        <v/>
      </c>
      <c r="R42" s="500"/>
      <c r="S42" s="502"/>
      <c r="T42" s="50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500"/>
      <c r="M43" s="501"/>
      <c r="N43" s="346" t="str">
        <f t="shared" si="0"/>
        <v/>
      </c>
      <c r="O43" s="500"/>
      <c r="P43" s="501"/>
      <c r="Q43" s="346" t="str">
        <f t="shared" si="1"/>
        <v/>
      </c>
      <c r="R43" s="500"/>
      <c r="S43" s="502"/>
      <c r="T43" s="50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500"/>
      <c r="M44" s="501"/>
      <c r="N44" s="346" t="str">
        <f t="shared" si="0"/>
        <v/>
      </c>
      <c r="O44" s="500"/>
      <c r="P44" s="501"/>
      <c r="Q44" s="346" t="str">
        <f t="shared" si="1"/>
        <v/>
      </c>
      <c r="R44" s="500"/>
      <c r="S44" s="502"/>
      <c r="T44" s="50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500"/>
      <c r="M45" s="501"/>
      <c r="N45" s="346" t="str">
        <f t="shared" si="0"/>
        <v/>
      </c>
      <c r="O45" s="500"/>
      <c r="P45" s="501"/>
      <c r="Q45" s="346" t="str">
        <f t="shared" si="1"/>
        <v/>
      </c>
      <c r="R45" s="500"/>
      <c r="S45" s="502"/>
      <c r="T45" s="50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500"/>
      <c r="M46" s="501"/>
      <c r="N46" s="346" t="str">
        <f t="shared" si="0"/>
        <v/>
      </c>
      <c r="O46" s="500"/>
      <c r="P46" s="501"/>
      <c r="Q46" s="346" t="str">
        <f t="shared" si="1"/>
        <v/>
      </c>
      <c r="R46" s="500"/>
      <c r="S46" s="502"/>
      <c r="T46" s="50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500"/>
      <c r="M47" s="501"/>
      <c r="N47" s="346" t="str">
        <f t="shared" si="0"/>
        <v/>
      </c>
      <c r="O47" s="500"/>
      <c r="P47" s="501"/>
      <c r="Q47" s="346" t="str">
        <f t="shared" si="1"/>
        <v/>
      </c>
      <c r="R47" s="500"/>
      <c r="S47" s="502"/>
      <c r="T47" s="50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500"/>
      <c r="M48" s="501"/>
      <c r="N48" s="346" t="str">
        <f t="shared" si="0"/>
        <v/>
      </c>
      <c r="O48" s="500"/>
      <c r="P48" s="501"/>
      <c r="Q48" s="346" t="str">
        <f t="shared" si="1"/>
        <v/>
      </c>
      <c r="R48" s="500"/>
      <c r="S48" s="502"/>
      <c r="T48" s="50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500"/>
      <c r="M49" s="501"/>
      <c r="N49" s="346" t="str">
        <f t="shared" si="0"/>
        <v/>
      </c>
      <c r="O49" s="500"/>
      <c r="P49" s="501"/>
      <c r="Q49" s="346" t="str">
        <f t="shared" si="1"/>
        <v/>
      </c>
      <c r="R49" s="500"/>
      <c r="S49" s="502"/>
      <c r="T49" s="50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500"/>
      <c r="M50" s="501"/>
      <c r="N50" s="346" t="str">
        <f t="shared" si="0"/>
        <v/>
      </c>
      <c r="O50" s="500"/>
      <c r="P50" s="501"/>
      <c r="Q50" s="346" t="str">
        <f t="shared" si="1"/>
        <v/>
      </c>
      <c r="R50" s="500"/>
      <c r="S50" s="502"/>
      <c r="T50" s="50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503"/>
      <c r="M51" s="504"/>
      <c r="N51" s="346" t="str">
        <f>IF(AND(L51&lt;&gt;"",M51&lt;&gt;""),CONCATENATE($AC$12,L51,M51),"")</f>
        <v/>
      </c>
      <c r="O51" s="503"/>
      <c r="P51" s="504"/>
      <c r="Q51" s="346" t="str">
        <f>IF(AND(O51&lt;&gt;"",P51&lt;&gt;""),CONCATENATE($AC$15,O51,P51),"")</f>
        <v/>
      </c>
      <c r="R51" s="503"/>
      <c r="S51" s="505"/>
      <c r="T51" s="504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N80QQ/vU/sL7gjbHxr9ljIVsT5vZGE1sze+h162FFp1bFhmsx4oVYTuGXXmzKEz6haLYOXM2nDnv9CycnjI0hA==" saltValue="WpV9Tf6ycvHfqpWGXuag0g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2" zoomScale="85" zoomScaleNormal="85" workbookViewId="0">
      <selection activeCell="D12" sqref="D12:E1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29" t="s">
        <v>38</v>
      </c>
      <c r="D2" s="429"/>
      <c r="E2" s="429"/>
      <c r="F2" s="429"/>
      <c r="G2" s="429"/>
      <c r="H2" s="429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1" t="s">
        <v>39</v>
      </c>
      <c r="D3" s="521"/>
      <c r="E3" s="521"/>
      <c r="F3" s="521"/>
      <c r="G3" s="521"/>
      <c r="H3" s="521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0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29" t="s">
        <v>90</v>
      </c>
      <c r="E7" s="429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3"/>
      <c r="E8" s="523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5"/>
      <c r="E9" s="515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5"/>
      <c r="E10" s="515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5"/>
      <c r="E11" s="515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09"/>
      <c r="E12" s="50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5"/>
      <c r="E13" s="515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5"/>
      <c r="E14" s="515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5"/>
      <c r="E15" s="515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09"/>
      <c r="E16" s="50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6"/>
      <c r="E17" s="516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130.68</v>
      </c>
      <c r="M17" s="103">
        <f ca="1">L17*Acomp_PosProducao_Perc</f>
        <v>2.6136000000000004</v>
      </c>
      <c r="N17" s="103">
        <f ca="1">MIN(M17,Acomp_PosProducao_Max)</f>
        <v>2.6136000000000004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09"/>
      <c r="E18" s="50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0"/>
      <c r="E19" s="511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09"/>
      <c r="E20" s="509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10"/>
      <c r="E21" s="511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09"/>
      <c r="E22" s="50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10"/>
      <c r="E23" s="511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8" t="s">
        <v>432</v>
      </c>
      <c r="D24" s="518"/>
      <c r="E24" s="518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2" t="s">
        <v>409</v>
      </c>
      <c r="D26" s="522"/>
      <c r="E26" s="443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2"/>
      <c r="D27" s="513"/>
      <c r="E27" s="514"/>
      <c r="F27" s="351"/>
      <c r="G27" s="351"/>
      <c r="H27" s="227"/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0</v>
      </c>
      <c r="Q27" s="88" t="b">
        <f ca="1">IF(S27=TRUE,VLOOKUP(C27,INDIRECT($M$28),2,FALSE),FALSE)</f>
        <v>0</v>
      </c>
      <c r="R27" s="88" t="b">
        <f>ISTEXT(H27)</f>
        <v>0</v>
      </c>
      <c r="S27" s="88" t="b">
        <f>ISTEXT(C27)</f>
        <v>0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2"/>
      <c r="D28" s="513"/>
      <c r="E28" s="514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2"/>
      <c r="D29" s="513"/>
      <c r="E29" s="514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2"/>
      <c r="D30" s="513"/>
      <c r="E30" s="514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2"/>
      <c r="D31" s="513"/>
      <c r="E31" s="514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2"/>
      <c r="D32" s="513"/>
      <c r="E32" s="514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2"/>
      <c r="D33" s="513"/>
      <c r="E33" s="514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2"/>
      <c r="D34" s="513"/>
      <c r="E34" s="514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2"/>
      <c r="D35" s="513"/>
      <c r="E35" s="514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2"/>
      <c r="D36" s="513"/>
      <c r="E36" s="514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2"/>
      <c r="D37" s="513"/>
      <c r="E37" s="514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2"/>
      <c r="D38" s="513"/>
      <c r="E38" s="514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2"/>
      <c r="D39" s="513"/>
      <c r="E39" s="514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2"/>
      <c r="D40" s="513"/>
      <c r="E40" s="514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2"/>
      <c r="D41" s="513"/>
      <c r="E41" s="514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2"/>
      <c r="D42" s="513"/>
      <c r="E42" s="514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8" t="s">
        <v>41</v>
      </c>
      <c r="D43" s="518"/>
      <c r="E43" s="518"/>
      <c r="F43" s="221">
        <f>SUM(F27:F42)</f>
        <v>0</v>
      </c>
      <c r="G43" s="221">
        <f>SUM(G27:G42)</f>
        <v>0</v>
      </c>
      <c r="H43" s="137"/>
      <c r="I43" s="34"/>
      <c r="J43" s="88"/>
      <c r="K43" s="88"/>
      <c r="L43" s="102">
        <f>MAX(F43:G43)</f>
        <v>0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2" t="s">
        <v>62</v>
      </c>
      <c r="E55" s="443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7"/>
      <c r="E56" s="517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9"/>
      <c r="E57" s="52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29" t="s">
        <v>69</v>
      </c>
      <c r="E60" s="429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7"/>
      <c r="E61" s="517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9"/>
      <c r="E62" s="52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lAuk9jwtuy9upZyNDtk1EwX0Wjd04qb5wcrX3yBOmsN/X/2HuAsAFP4ZySx+pdIkw69bQbjQiGhGoXwdzKyURQ==" saltValue="CP+GKqJCAOOmKcfyNM0IVw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4" zoomScale="85" zoomScaleNormal="85" workbookViewId="0">
      <selection activeCell="E12" sqref="E1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29" t="s">
        <v>26</v>
      </c>
      <c r="C2" s="429"/>
      <c r="D2" s="429"/>
      <c r="E2" s="429"/>
      <c r="F2" s="429"/>
      <c r="G2" s="429"/>
      <c r="H2" s="429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 t="s">
        <v>167</v>
      </c>
      <c r="E9" s="82">
        <f ca="1"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23.36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1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 ca="1">ROUND(IF(EsforcoFases[[#This Row],[checks]]=FALSE,0,PontosFuncao[[#Totals],[Esforço]]*IF(C9="","",VLOOKUP(B9,PercentuaisFases[],VLOOKUP(Fornecedor,MapFasesFornecedores[#All],3,FALSE),FALSE))),2)</f>
        <v>23.36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 ca="1">Q9+R9</f>
        <v>23.36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 t="s">
        <v>167</v>
      </c>
      <c r="E12" s="82">
        <f ca="1"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102.94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1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 ca="1">ROUND(IF(EsforcoFases[[#This Row],[checks]]=FALSE,0,PontosFuncao[[#Totals],[Esforço]]*IF(C12="","",VLOOKUP(B12,PercentuaisFases[],VLOOKUP(Fornecedor,MapFasesFornecedores[#All],3,FALSE),FALSE))),2)</f>
        <v>102.94</v>
      </c>
      <c r="R12" s="396">
        <f>ROUND(IF(EsforcoFases[[#This Row],[checks]]=FALSE,0,V15),2)</f>
        <v>0</v>
      </c>
      <c r="S12" s="397">
        <f ca="1">Q12+R12</f>
        <v>102.94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 t="s">
        <v>167</v>
      </c>
      <c r="E17" s="82">
        <f ca="1"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4.38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1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 ca="1">ROUND(IF(EsforcoFases[[#This Row],[checks]]=FALSE,0,PontosFuncao[[#Totals],[Esforço]]*IF(C17="","",VLOOKUP(B17,PercentuaisFases[],VLOOKUP(Fornecedor,MapFasesFornecedores[#All],3,FALSE),FALSE))),2)</f>
        <v>4.38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ca="1" si="1">Q17+R17</f>
        <v>4.38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 ca="1">ROUND(SUBTOTAL(109,EsforcoFases[Esforço em Horas (calculado)]),2)</f>
        <v>130.68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 ca="1">SUBTOTAL(109,Q6:Q18)</f>
        <v>130.68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23ccNZpHWI1TEUd8xXyVxWPtYsX+dF5eHZZzU4v0M3yK85GXpoAEmKt49sBl5mXriT33p2/MwChPkhBI+YCDOQ==" saltValue="Um6qlFwedF21rbmJ7yAelQ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29" t="s">
        <v>23</v>
      </c>
      <c r="C2" s="429"/>
      <c r="D2" s="429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gwjzuipasKkff1ft8O8UyCxxAX7mcr+kAqsuXMa3DIsXR5mA48pTfUO6AIbCLHp7EyrP3lbhN+/ESWVwRbBr/A==" saltValue="QjKDXy/wBaR9Rpfe9zecbQ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15" sqref="B15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29" t="s">
        <v>22</v>
      </c>
      <c r="C2" s="429"/>
      <c r="D2" s="429"/>
      <c r="E2" s="429"/>
      <c r="F2" s="429"/>
      <c r="G2" s="429"/>
      <c r="H2" s="429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125.9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154.36000000000001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154.36000000000001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125.9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125.9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125.9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154.36000000000001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154.36000000000001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154.36000000000001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154.36000000000001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170.64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125.9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125.9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154.36000000000001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125.9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125.9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154.36000000000001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154.36000000000001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154.36000000000001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125.9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125.9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125.9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125.9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154.36000000000001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154.36000000000001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154.36000000000001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154.36000000000001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154.36000000000001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125.9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125.9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154.36000000000001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154.36000000000001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125.9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125.9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154.36000000000001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125.9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bio5R3NvMOFAwIq8gZ6rB9vgiYbpcBFZ3MEdTMb0VunodeRGbVy+gD/eWabow4P+Kc+iSIdxhPmKj0dFtR5DgA==" saltValue="6x8ajeH1xpRdEMUI1MmmE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g9KWzUe8gYlSVcMGQfR1CbOtBqW5cw+e/5Dpa3a+HIkvsZ97OyUmiIQsywFNtaN1vsRhYJ7eZjDP0c1FpVD9Gg==" saltValue="54XDG/vPwUqyvEyptGj9l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5g+5AcBwpxTzhN4pknNobI/0kQzR12g6s27CAU9YBzvF3FIniEhXIJFb6pT4JXi51M6O2PKmL0WiQPA0kjViPg==" saltValue="2yElYEbIyD1udZEhCEEYs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i++i10xrAsglBwjHfNPCllX4/aE1ODOnvxQv8IKgLpxY387Rc6UrjUO3ZyWamZc4XkTjW/tWQ0d5wbrfnnFx5Q==" saltValue="umOxStyEBXtU2BozcJvJO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3XrO0ijpIwsrDSJ43MFmlY3HOUUV1/cOoun2qDjSBoZTy2V8nvZyXEWT4U3zjbgMXkLsM33WxOrkDfwAcdWqIg==" saltValue="tlWRS+VLiE2A4WHpR44sUw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EJ0SCdNO/e9aAM4IQZcDW3LiL9nPplWGQOdS1gbCTXiVrpK9fGExYZJLmvbYipQRSYIlsmlDoIyLzps/lbAtsg==" saltValue="YSeuvKKLiBY55wz1vJOvN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Augusto, Thiago</cp:lastModifiedBy>
  <dcterms:created xsi:type="dcterms:W3CDTF">2006-09-25T12:47:36Z</dcterms:created>
  <dcterms:modified xsi:type="dcterms:W3CDTF">2017-10-05T18:24:42Z</dcterms:modified>
</cp:coreProperties>
</file>