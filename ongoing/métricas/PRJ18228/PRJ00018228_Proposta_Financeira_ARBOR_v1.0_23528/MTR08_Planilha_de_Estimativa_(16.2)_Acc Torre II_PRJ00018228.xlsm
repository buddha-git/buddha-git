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andro.figueira\OneDrive - Accenture\Demandas\PRJ00018228\PT HE\ARBOR\"/>
    </mc:Choice>
  </mc:AlternateContent>
  <workbookProtection workbookAlgorithmName="SHA-512" workbookHashValue="Ixvt1j8u0qNzDjaKo3dTf82EEIMmEXdQlKAzIjzd4iNo6qotXafsvVlH2S9qhVelqVPYSd4c74f9aM36tes/lg==" workbookSaltValue="hg0N5MUhWC7R9DQmcfr75Q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X3" i="18"/>
  <c r="Y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F19" i="12"/>
  <c r="G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N19" i="12"/>
  <c r="F21" i="12"/>
  <c r="G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<sst xmlns="http://schemas.openxmlformats.org/spreadsheetml/2006/main" count="1855" uniqueCount="497">
  <si>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</si>
  <si>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</si>
  <si>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</si>
  <si>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</si>
  <si>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</si>
  <si>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</si>
  <si>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</si>
  <si>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</si>
  <si>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</si>
  <si>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</si>
  <si>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</si>
  <si>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</si>
  <si>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</si>
  <si>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</si>
  <si>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</si>
  <si>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</si>
  <si>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</si>
  <si>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</si>
  <si>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</si>
  <si>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</si>
  <si>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</si>
  <si>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</si>
  <si>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</si>
  <si>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</si>
  <si>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</si>
  <si>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</si>
  <si>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</si>
  <si>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</si>
  <si>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</si>
  <si>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</si>
  <si>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</si>
  <si>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</si>
  <si>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</si>
  <si>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</si>
  <si>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</si>
  <si>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</si>
  <si>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</si>
  <si>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</si>
  <si>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</si>
  <si>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</si>
  <si>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</si>
  <si>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</si>
  <si>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</si>
  <si>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</si>
  <si>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</si>
  <si>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</si>
  <si>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</si>
  <si>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</si>
  <si>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</si>
  <si>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</si>
  <si>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</si>
  <si>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</si>
  <si>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</si>
  <si>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</si>
  <si>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</si>
  <si>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</si>
  <si>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</si>
  <si>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</si>
  <si>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</si>
  <si>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</si>
  <si>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</si>
  <si>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</si>
  <si>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</si>
  <si>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</si>
  <si>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</si>
  <si>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</si>
  <si>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</si>
  <si>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</si>
  <si>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</si>
  <si>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</si>
  <si>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</si>
  <si>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</si>
  <si>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</si>
  <si>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</si>
  <si>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</si>
  <si>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</si>
  <si>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</si>
  <si>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</si>
  <si>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</si>
  <si>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</si>
  <si>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</si>
  <si>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</si>
  <si>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</si>
  <si>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</si>
  <si>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</si>
  <si>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</si>
  <si>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</si>
  <si>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</si>
  <si>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</si>
  <si>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</si>
  <si>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</si>
  <si>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</si>
  <si>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</si>
  <si>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</si>
  <si>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</si>
  <si>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</si>
  <si>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</si>
  <si>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</si>
  <si>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</si>
  <si>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</si>
  <si>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</si>
  <si>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</si>
  <si>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</si>
  <si>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</si>
  <si>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</si>
  <si>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</si>
  <si>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</si>
  <si>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</si>
  <si>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</si>
  <si>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</si>
  <si>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</si>
  <si>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</si>
  <si>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</si>
  <si>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</si>
  <si>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</si>
  <si>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</si>
  <si>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</si>
  <si>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</si>
  <si>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</si>
  <si>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</si>
  <si>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</si>
  <si>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</si>
  <si>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</si>
  <si>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</si>
  <si>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</si>
  <si>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</si>
  <si>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</si>
  <si>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</si>
  <si>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</si>
  <si>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</si>
  <si>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</si>
  <si>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</si>
  <si>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</si>
  <si>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</si>
  <si>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</si>
  <si>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</si>
  <si>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</si>
  <si>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</si>
  <si>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</si>
  <si>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</si>
  <si>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</si>
  <si>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</si>
  <si>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</si>
  <si>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</si>
  <si>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</si>
  <si>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</si>
  <si>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</si>
  <si>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</si>
  <si>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</si>
  <si>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</si>
  <si>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</si>
  <si>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</si>
  <si>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</si>
  <si>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</si>
  <si>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</si>
  <si>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</si>
  <si>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</si>
  <si>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</si>
  <si>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</si>
  <si>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</si>
  <si>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</si>
  <si>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</si>
  <si>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</si>
  <si>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</si>
  <si>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</si>
  <si>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</si>
  <si>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</si>
  <si>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</si>
  <si>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</si>
  <si>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</si>
  <si>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</si>
  <si>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</si>
  <si>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</si>
  <si>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</si>
  <si>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</si>
  <si>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</si>
  <si>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</si>
  <si>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</si>
  <si>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</si>
  <si>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</si>
  <si>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</si>
  <si>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</si>
  <si>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</si>
  <si>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</si>
  <si>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</si>
  <si>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</si>
  <si>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</si>
  <si>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</si>
  <si>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</si>
  <si>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</si>
  <si>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</si>
  <si>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</si>
  <si>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</si>
  <si>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</si>
  <si>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</si>
  <si>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</si>
  <si>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</si>
  <si>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</si>
  <si>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</si>
  <si>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</si>
  <si>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</si>
  <si>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</si>
  <si>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</si>
  <si>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</si>
  <si>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</si>
  <si>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</si>
  <si>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</si>
  <si>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</si>
  <si>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</si>
  <si>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</si>
  <si>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</si>
  <si>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</si>
  <si>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</si>
  <si>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</si>
  <si>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</si>
  <si>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</si>
  <si>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</si>
  <si>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</si>
  <si>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</si>
  <si>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</si>
  <si>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</si>
  <si>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</si>
  <si>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</si>
  <si>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</si>
  <si>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</si>
  <si>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</si>
  <si>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</si>
  <si>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</si>
  <si>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</si>
  <si>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</si>
  <si>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</si>
  <si>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</si>
  <si>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</si>
  <si>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</si>
  <si>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</si>
  <si>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</si>
  <si>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</si>
  <si>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</si>
  <si>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</si>
  <si>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</si>
  <si>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</si>
  <si>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</si>
  <si>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</si>
  <si>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</si>
  <si>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</si>
  <si>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</si>
  <si>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</si>
  <si>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</si>
  <si>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</si>
  <si>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</si>
  <si>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</si>
  <si>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</si>
  <si>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</si>
  <si>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</si>
  <si>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</si>
  <si>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</si>
  <si>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</si>
  <si>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</si>
  <si>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</si>
  <si>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</si>
  <si>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</si>
  <si>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</si>
  <si>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</si>
  <si>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</si>
  <si>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</si>
  <si>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</si>
  <si>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</si>
  <si>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</si>
  <si>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</si>
  <si>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</si>
  <si>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</si>
  <si>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</si>
  <si>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</si>
  <si>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</si>
  <si>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</si>
  <si>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</si>
  <si>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</si>
  <si>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</si>
  <si>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</si>
  <si>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</si>
  <si>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</si>
  <si>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</si>
  <si>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</si>
  <si>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</si>
  <si>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</si>
  <si>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</si>
  <si>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</si>
  <si>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</si>
  <si>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</si>
  <si>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</si>
  <si>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</si>
  <si>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</si>
  <si>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</si>
  <si>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</si>
  <si>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</si>
  <si>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</si>
  <si>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</si>
  <si>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</si>
  <si>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</si>
  <si>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</si>
  <si>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</si>
  <si>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</si>
  <si>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</si>
  <si>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</si>
  <si>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</si>
  <si>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</si>
  <si>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</si>
  <si>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</si>
  <si>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</si>
  <si>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</si>
  <si>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</si>
  <si>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</si>
  <si>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</si>
  <si>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</si>
  <si>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</si>
  <si>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</si>
  <si>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</si>
  <si>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</si>
  <si>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</si>
  <si>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</si>
  <si>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</si>
  <si>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</si>
  <si>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</si>
  <si>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</si>
  <si>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</si>
  <si>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</si>
  <si>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</si>
  <si>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</si>
  <si>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</si>
  <si>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</si>
  <si>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</si>
  <si>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</si>
  <si>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</si>
  <si>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</si>
  <si>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</si>
  <si>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</si>
  <si>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</si>
  <si>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</si>
  <si>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</si>
  <si>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</si>
  <si>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</si>
  <si>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</si>
  <si>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</si>
  <si>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</si>
  <si>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</si>
  <si>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</si>
  <si>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</si>
  <si>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</si>
  <si>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</si>
  <si>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</si>
  <si>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</si>
  <si>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</si>
  <si>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</si>
  <si>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</si>
  <si>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</si>
  <si>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</si>
  <si>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</si>
  <si>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</si>
  <si>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</si>
  <si>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</si>
  <si>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</si>
  <si>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</si>
  <si>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</si>
  <si>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</si>
  <si>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</si>
  <si>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</si>
  <si>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</si>
  <si>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</si>
  <si>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</si>
  <si>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</si>
  <si>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</si>
  <si>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</si>
  <si>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</si>
  <si>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</si>
  <si>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</si>
  <si>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</si>
  <si>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</si>
  <si>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</si>
  <si>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</si>
  <si>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</si>
  <si>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</si>
  <si>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</si>
  <si>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</si>
  <si>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</si>
  <si>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</si>
  <si>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</si>
  <si>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</si>
  <si>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</si>
  <si>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</si>
  <si>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</si>
  <si>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</si>
  <si>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</si>
  <si>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</si>
  <si>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</si>
  <si>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</si>
  <si>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</si>
  <si>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</si>
  <si>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</si>
  <si>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</si>
  <si>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</si>
  <si>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</si>
  <si>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</si>
  <si>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</si>
  <si>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</si>
  <si>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</si>
  <si>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</si>
  <si>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</si>
  <si>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</si>
  <si>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</si>
  <si>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</si>
  <si>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</si>
  <si>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</si>
  <si>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</si>
  <si>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</si>
  <si>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</si>
  <si>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</si>
  <si>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</si>
  <si>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</si>
  <si>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</si>
  <si>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</si>
  <si>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</si>
  <si>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</si>
  <si>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</si>
  <si>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</si>
  <si>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</si>
  <si>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</si>
  <si>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</si>
  <si>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</si>
  <si>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</si>
  <si>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</si>
  <si>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</si>
  <si>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</si>
  <si>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</si>
  <si>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</si>
  <si>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</si>
  <si>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</si>
  <si>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</si>
  <si>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</si>
  <si>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</si>
  <si>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</si>
  <si>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</si>
  <si>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</si>
  <si>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</si>
  <si>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</si>
  <si>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</si>
  <si>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</si>
  <si>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</si>
  <si>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</si>
  <si>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</si>
  <si>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</si>
  <si>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</si>
  <si>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</si>
  <si>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</si>
  <si>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</si>
  <si>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</si>
  <si>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</si>
  <si>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</si>
  <si>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</si>
  <si>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</si>
  <si>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</si>
  <si>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</si>
  <si>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</si>
  <si>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</si>
  <si>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</si>
  <si>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</si>
  <si>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</si>
  <si>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</si>
  <si>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</si>
  <si>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</si>
  <si>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</si>
  <si>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</si>
  <si>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</si>
  <si>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</si>
  <si>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</si>
  <si>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</si>
  <si>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</si>
  <si>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</si>
  <si>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</si>
  <si>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</si>
  <si>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</si>
  <si>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</si>
  <si>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</si>
  <si>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</si>
  <si>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</si>
  <si>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</si>
  <si>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</si>
  <si>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</si>
  <si>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</si>
  <si>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</si>
  <si>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</si>
  <si>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</si>
  <si>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</si>
  <si>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</si>
  <si>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</si>
  <si>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56 referente a atividade de teste de sistema em HE para redução do cronograma</t>
  </si>
  <si>
    <t>VOIP - Sub - VOIP- Minha Oi Implantação FTTH - VOIP e BL</t>
  </si>
  <si>
    <t>76 referente a atividade de construção em HE para redução do cronograma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</si>
</sst>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8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37"/>
    <tableColumn id="2" name="Nome da Função" dataDxfId="194" totalsRowDxfId="36" dataCellStyle="Normal 6"/>
    <tableColumn id="3" name="Tipo de Manutenção" dataDxfId="193" totalsRowDxfId="35" dataCellStyle="Normal 6"/>
    <tableColumn id="4" name="Tipo de Função" dataDxfId="192" totalsRowDxfId="34" dataCellStyle="Normal 6"/>
    <tableColumn id="5" name="Qtde Registros Lógicos/ Arquivos Referenciados" dataDxfId="191" totalsRowDxfId="33" dataCellStyle="Normal 6"/>
    <tableColumn id="6" name="Qtde de Itens" dataDxfId="190" totalsRowDxfId="32" dataCellStyle="Normal 6"/>
    <tableColumn id="11" name="Descrição dos Registros Lógicos/Arquivos Referenciados" dataDxfId="189" totalsRowDxfId="31" dataCellStyle="Normal 6"/>
    <tableColumn id="10" name="Descrição dos Itens de Dados" dataDxfId="188" totalsRowDxfId="30" dataCellStyle="Normal 6"/>
    <tableColumn id="7" name="Complexidade" dataDxfId="187" totalsRowDxfId="29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28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5" totalsRowDxfId="27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4" totalsRowDxfId="26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3" dataDxfId="181" totalsRowDxfId="179" headerRowBorderDxfId="182" tableBorderDxfId="180" totalsRowBorderDxfId="178">
  <autoFilter ref="B6:P26"/>
  <tableColumns count="15">
    <tableColumn id="1" name="Fronteira" totalsRowLabel="Total" dataDxfId="177" totalsRowDxfId="25"/>
    <tableColumn id="10" name="Analogia" dataDxfId="176" totalsRowDxfId="24" dataCellStyle="Normal 6"/>
    <tableColumn id="2" name="Nome da Função" dataDxfId="175" totalsRowDxfId="23" dataCellStyle="Normal 6"/>
    <tableColumn id="3" name="Tipo de Manutenção" dataDxfId="174" totalsRowDxfId="22" dataCellStyle="Normal 6"/>
    <tableColumn id="4" name="Tipo de Função" dataDxfId="173" totalsRowDxfId="21" dataCellStyle="Normal 6"/>
    <tableColumn id="5" name="Qtde Registros Lógicos/ Arquivos Referenciados" dataDxfId="172" totalsRowDxfId="20" dataCellStyle="Normal 6"/>
    <tableColumn id="6" name="Qtde de Itens" dataDxfId="171" totalsRowDxfId="19" dataCellStyle="Normal 6"/>
    <tableColumn id="13" name="Descrição dos Registros Lógicos/Arquivos Referenciados" dataDxfId="170" totalsRowDxfId="18" dataCellStyle="Normal 6"/>
    <tableColumn id="12" name="Descrição dos Itens de Dados" dataDxfId="169" totalsRowDxfId="17" dataCellStyle="Normal 6"/>
    <tableColumn id="7" name="Complexidade" dataDxfId="168" totalsRowDxfId="1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67" totalsRowDxfId="15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66" totalsRowDxfId="14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65" totalsRowDxfId="13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64" totalsRowDxfId="12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63" totalsRowDxfId="11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62" dataDxfId="160" totalsRowDxfId="158" headerRowBorderDxfId="161" tableBorderDxfId="159" headerRowCellStyle="Normal 6">
  <autoFilter ref="B5:L18"/>
  <tableColumns count="11">
    <tableColumn id="8" name="Id" dataDxfId="157" totalsRowDxfId="10"/>
    <tableColumn id="1" name="Fases do Ciclo de Vida / Artefatos" totalsRowLabel="Total" dataDxfId="156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55" totalsRowDxfId="8" dataCellStyle="Normal 5"/>
    <tableColumn id="3" name="Esforço em Horas (calculado)" totalsRowFunction="custom" dataDxfId="154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53" totalsRowDxfId="6" dataCellStyle="Normal 5"/>
    <tableColumn id="5" name="Percentual Calculado da Fase" totalsRowFunction="sum" dataDxfId="152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51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50" totalsRowDxfId="3">
      <calculatedColumnFormula>IF(EsforcoFases[[#This Row],[Contratação]]=Sim,TRUE,FALSE)</calculatedColumnFormula>
    </tableColumn>
    <tableColumn id="9" name="Ativ. Fabrica Testes" dataDxfId="149" totalsRowDxfId="2">
      <calculatedColumnFormula>AND(FabricaTestes,VLOOKUP(B6,PercentuaisFases[],VLOOKUP(Fornecedor,MapFasesFornecedores[#All],4,FALSE),FALSE))</calculatedColumnFormula>
    </tableColumn>
    <tableColumn id="10" name="Max" dataDxfId="148" totalsRowDxfId="1">
      <calculatedColumnFormula>IF(C6="",0)</calculatedColumnFormula>
    </tableColumn>
    <tableColumn id="11" name="Man Cosmetica Especial" dataDxfId="147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46" dataDxfId="144" headerRowBorderDxfId="145" tableBorderDxfId="143" totalsRowBorderDxfId="142" headerRowCellStyle="Normal 6" dataCellStyle="Normal 9">
  <autoFilter ref="B4:L40"/>
  <tableColumns count="11">
    <tableColumn id="1" name="Nome Sistema ou Tecnologia" dataDxfId="141" dataCellStyle="Normal 9"/>
    <tableColumn id="2" name="Produtividade Inclusão" dataDxfId="140" dataCellStyle="Normal 9"/>
    <tableColumn id="10" name="Produtividade Alteração" dataDxfId="139" dataCellStyle="Normal 9">
      <calculatedColumnFormula>Produtividades[[#This Row],[Produtividade Inclusão]]</calculatedColumnFormula>
    </tableColumn>
    <tableColumn id="11" name="Produtividade Exclusão" dataDxfId="138" dataCellStyle="Normal 9">
      <calculatedColumnFormula>Produtividades[[#This Row],[Produtividade Inclusão]]</calculatedColumnFormula>
    </tableColumn>
    <tableColumn id="8" name="Taxa horária" dataDxfId="137" dataCellStyle="Normal 9"/>
    <tableColumn id="6" name="Contrato" dataDxfId="136" dataCellStyle="Normal 9"/>
    <tableColumn id="7" name="Fornecedor" dataDxfId="135" dataCellStyle="Normal 9"/>
    <tableColumn id="3" name="Aba Itens configuração" dataDxfId="134" dataCellStyle="Normal 9"/>
    <tableColumn id="9" name="Aba Estimator" dataDxfId="133" dataCellStyle="Normal 9"/>
    <tableColumn id="4" name="Sistema/Tecnologia" dataDxfId="132" dataCellStyle="Normal 9"/>
    <tableColumn id="5" name="Fábrica Testes" dataDxfId="131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30" dataDxfId="129">
  <autoFilter ref="J4:J16"/>
  <sortState ref="J5:J16">
    <sortCondition ref="J6"/>
  </sortState>
  <tableColumns count="1">
    <tableColumn id="1" name="Motivo" dataDxfId="128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27" dataDxfId="125" headerRowBorderDxfId="126" tableBorderDxfId="124" totalsRowBorderDxfId="123" headerRowCellStyle="Normal 6">
  <autoFilter ref="I4:I6"/>
  <tableColumns count="1">
    <tableColumn id="1" name="Tipo Contagem" dataDxfId="12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121" dataDxfId="119" headerRowBorderDxfId="120" tableBorderDxfId="118" totalsRowBorderDxfId="117" headerRowCellStyle="Normal 6">
  <autoFilter ref="H4:H7"/>
  <tableColumns count="1">
    <tableColumn id="1" name="Complexidade" dataDxfId="11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115" dataDxfId="113" headerRowBorderDxfId="114" tableBorderDxfId="112" totalsRowBorderDxfId="111" headerRowCellStyle="Normal 6">
  <autoFilter ref="G4:G9"/>
  <tableColumns count="1">
    <tableColumn id="1" name="Tipo de Função (ALI/AIE/EE/SE/CE)" dataDxfId="110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109" dataDxfId="107" headerRowBorderDxfId="108" tableBorderDxfId="106" totalsRowBorderDxfId="105" headerRowCellStyle="Normal 6">
  <autoFilter ref="F4:F7"/>
  <tableColumns count="1">
    <tableColumn id="1" name="Tipo de Manutenção (I/A/E)" dataDxfId="10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103" headerRowBorderDxfId="102" tableBorderDxfId="101" totalsRowBorderDxfId="100">
  <autoFilter ref="E4:E29"/>
  <tableColumns count="1">
    <tableColumn id="1" name="Fornecedor" dataDxfId="9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98" headerRowBorderDxfId="97" tableBorderDxfId="96" totalsRowBorderDxfId="95">
  <autoFilter ref="D4:D7"/>
  <tableColumns count="1">
    <tableColumn id="1" name="Contrato" dataDxfId="94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93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92" dataDxfId="91">
  <autoFilter ref="Q1:R8"/>
  <tableColumns count="2">
    <tableColumn id="1" name="Analogia" dataDxfId="90"/>
    <tableColumn id="2" name="Fator de ajuste" dataDxfId="89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88" dataDxfId="86" headerRowBorderDxfId="87" tableBorderDxfId="85" totalsRowBorderDxfId="84" headerRowCellStyle="Normal 6">
  <autoFilter ref="A2:W21"/>
  <tableColumns count="23">
    <tableColumn id="4" name="Id" dataDxfId="83"/>
    <tableColumn id="8" name="Man Cosmetica Especial" dataDxfId="82"/>
    <tableColumn id="1" name="Fases do Ciclo de Vida / Artefatos 1" dataDxfId="81"/>
    <tableColumn id="2" name="Percentual 1" dataDxfId="80"/>
    <tableColumn id="6" name="Fábrica testes 1" dataDxfId="79"/>
    <tableColumn id="5" name="Fases do Ciclo de Vida / Artefatos 2" dataDxfId="78"/>
    <tableColumn id="3" name="Percentual 2" dataDxfId="77"/>
    <tableColumn id="7" name="Fábrica testes 2" dataDxfId="76"/>
    <tableColumn id="9" name="Fases do Ciclo de Vida / Artefatos 3" dataDxfId="75"/>
    <tableColumn id="10" name="Percentual 3" dataDxfId="74"/>
    <tableColumn id="11" name="Fábrica testes 3" dataDxfId="73"/>
    <tableColumn id="12" name="Fases do Ciclo de Vida / Artefatos 4" dataDxfId="72"/>
    <tableColumn id="13" name="Percentual 4" dataDxfId="71"/>
    <tableColumn id="14" name="Fábrica testes 4" dataDxfId="70"/>
    <tableColumn id="15" name="Fases do Ciclo de Vida / Artefatos 5" dataDxfId="69"/>
    <tableColumn id="16" name="Percentual 5" dataDxfId="68"/>
    <tableColumn id="17" name="Fábrica testes 5" dataDxfId="67"/>
    <tableColumn id="18" name="Fases do Ciclo de Vida / Artefatos 6" dataDxfId="66"/>
    <tableColumn id="19" name="Percentual 6" dataDxfId="65"/>
    <tableColumn id="20" name="Fábrica testes 6" dataDxfId="64"/>
    <tableColumn id="21" name="Fases do Ciclo de Vida / Artefatos 7" dataDxfId="63"/>
    <tableColumn id="22" name="Percentual 7" dataDxfId="62"/>
    <tableColumn id="23" name="Fábrica testes 7" dataDxfId="61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60" dataDxfId="59">
  <autoFilter ref="Y2:AD27"/>
  <tableColumns count="6">
    <tableColumn id="1" name="Fornecedor" dataDxfId="58">
      <calculatedColumnFormula>Parâmetros!E5</calculatedColumnFormula>
    </tableColumn>
    <tableColumn id="3" name="Descrição" dataDxfId="57"/>
    <tableColumn id="2" name="Percentual" dataDxfId="56"/>
    <tableColumn id="4" name="Fábrica testes" dataDxfId="55"/>
    <tableColumn id="5" name="Man Cosmetica Especial" dataDxfId="54"/>
    <tableColumn id="6" name="Variacao Gestao" dataDxfId="53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52" dataDxfId="50" headerRowBorderDxfId="51" tableBorderDxfId="49" totalsRowBorderDxfId="48">
  <autoFilter ref="A2:H15"/>
  <sortState ref="A3:H13">
    <sortCondition ref="A2:A13"/>
  </sortState>
  <tableColumns count="8">
    <tableColumn id="2" name="Itens 1" dataDxfId="47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46"/>
    <tableColumn id="6" name="Fabrica Testes 1" dataDxfId="45"/>
    <tableColumn id="4" name="Lista 1" dataDxfId="44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43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2"/>
    <tableColumn id="7" name="Fabrica Testes 2" dataDxfId="41"/>
    <tableColumn id="8" name="Lista 2" dataDxfId="40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39">
      <calculatedColumnFormula>ItensNaoFuncionais[[#Headers],[Itens 1]]</calculatedColumnFormula>
    </tableColumn>
    <tableColumn id="3" name="Coluna obrigtório" dataDxfId="38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9" t="s">
        <v>360</v>
      </c>
      <c r="B6" s="429"/>
      <c r="C6" s="429"/>
      <c r="D6" s="429"/>
      <c r="E6" s="429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WrLnj2cTZcA4vowTnz1sTHbcoEN2rWV6ub2GO5tJHnA0paan/Ye8+/bFPe98i51w3xP8nd2mrCvNSEA64lWAiw==" saltValue="bl7tIlcekAFSb7z9S0k3x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topLeftCell="A28" zoomScale="90" zoomScaleNormal="90" workbookViewId="0">
      <selection activeCell="B34" sqref="B34:D38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0" t="s">
        <v>25</v>
      </c>
      <c r="C2" s="430"/>
      <c r="D2" s="430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1" t="s">
        <v>143</v>
      </c>
      <c r="D4" s="432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35">
        <v>18228</v>
      </c>
      <c r="D6" s="436"/>
      <c r="E6" s="61"/>
      <c r="F6" s="161"/>
    </row>
    <row r="7" spans="2:6" ht="18" customHeight="1" x14ac:dyDescent="0.2">
      <c r="B7" s="189" t="s">
        <v>280</v>
      </c>
      <c r="C7" s="435"/>
      <c r="D7" s="436"/>
      <c r="E7" s="61"/>
      <c r="F7" s="161"/>
    </row>
    <row r="8" spans="2:6" ht="54" customHeight="1" x14ac:dyDescent="0.2">
      <c r="B8" s="52" t="s">
        <v>21</v>
      </c>
      <c r="C8" s="437" t="s">
        <v>495</v>
      </c>
      <c r="D8" s="438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39" t="str">
        <f>IFERROR(VLOOKUP(Sistema,Produtividades[],COLUMN(Produtividades[[#Headers],[Contrato]])-1,FALSE),"")</f>
        <v>Uso comercial</v>
      </c>
      <c r="D11" s="440"/>
      <c r="F11" s="158"/>
    </row>
    <row r="12" spans="2:6" x14ac:dyDescent="0.2">
      <c r="F12" s="158"/>
    </row>
    <row r="13" spans="2:6" x14ac:dyDescent="0.2">
      <c r="B13" s="179" t="s">
        <v>271</v>
      </c>
      <c r="C13" s="439" t="s">
        <v>173</v>
      </c>
      <c r="D13" s="440"/>
      <c r="F13" s="158"/>
    </row>
    <row r="14" spans="2:6" x14ac:dyDescent="0.2">
      <c r="F14" s="158"/>
    </row>
    <row r="15" spans="2:6" x14ac:dyDescent="0.2">
      <c r="B15" s="53" t="s">
        <v>166</v>
      </c>
      <c r="C15" s="445" t="s">
        <v>187</v>
      </c>
      <c r="D15" s="446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47" t="s">
        <v>156</v>
      </c>
      <c r="D17" s="448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39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0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1">
        <f>Horas_APF</f>
        <v>0</v>
      </c>
      <c r="D26" s="442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43" t="s">
        <v>24</v>
      </c>
      <c r="D28" s="444"/>
      <c r="E28" s="19"/>
      <c r="F28" s="19"/>
    </row>
    <row r="29" spans="2:6" ht="18" customHeight="1" x14ac:dyDescent="0.2">
      <c r="B29" s="52" t="s">
        <v>29</v>
      </c>
      <c r="C29" s="439">
        <f ca="1">ROUND(IF(RespostaContagem=Sim,Horas_HH_Total,Horas_HH_Total+EsforcoFases[[#Totals],[Esforço em Horas (preenchido)]]),2)</f>
        <v>132</v>
      </c>
      <c r="D29" s="440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23.76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33" t="e">
        <f ca="1">ROUND((Horas_APF+Horas_Analogia+Horas_HH+Horas_Gestao)*Flip,2)</f>
        <v>#VALUE!</v>
      </c>
      <c r="D34" s="434"/>
      <c r="E34" s="16"/>
      <c r="F34" s="16"/>
    </row>
    <row r="36" spans="2:6" x14ac:dyDescent="0.2">
      <c r="B36" s="53" t="s">
        <v>175</v>
      </c>
      <c r="C36" s="449">
        <f>VLOOKUP(Sistema,Produtividades[],COLUMN(Produtividades[[#Headers],[Taxa horária]])-1,FALSE)</f>
        <v>154.36000000000001</v>
      </c>
      <c r="D36" s="450"/>
    </row>
    <row r="38" spans="2:6" x14ac:dyDescent="0.2">
      <c r="B38" s="53" t="s">
        <v>179</v>
      </c>
      <c r="C38" s="449" t="e">
        <f ca="1">Horas_Total*Taxa_Horaria</f>
        <v>#VALUE!</v>
      </c>
      <c r="D38" s="450"/>
    </row>
    <row r="40" spans="2:6" x14ac:dyDescent="0.2">
      <c r="B40" s="53" t="s">
        <v>178</v>
      </c>
      <c r="C40" s="451"/>
      <c r="D40" s="452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55"/>
      <c r="D42" s="456"/>
    </row>
    <row r="44" spans="2:6" ht="15.75" x14ac:dyDescent="0.2">
      <c r="B44" s="53" t="s">
        <v>180</v>
      </c>
      <c r="C44" s="453" t="e">
        <f ca="1">Custo-Desconto</f>
        <v>#VALUE!</v>
      </c>
      <c r="D44" s="454"/>
    </row>
  </sheetData>
  <sheetProtection algorithmName="SHA-512" hashValue="oci49epFG/TXSlDIJreunHY6XMb/IsT0ZzQ0cemxjzZAZf82G+vF9SftvVMNlPUirFdHtcHq8MFdWn43Vlfv/A==" saltValue="rBVi3ctE2k2fje0m1eXTbA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0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+sM+wUvOllWuhW3SJJ7O+dldB9/TzgwPm9QTg6BAodPpzzpSGnkeDakPyn1Xx+n5Tqxe7FtpmjuoVF0wEx1gkA==" saltValue="7qLCf4vnSbKkpSnMvyD42g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0" t="s">
        <v>71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</row>
    <row r="3" spans="2:19" s="31" customFormat="1" ht="20.100000000000001" customHeight="1" x14ac:dyDescent="0.2">
      <c r="B3" s="457" t="s">
        <v>40</v>
      </c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2f/baX5SpgtuqSyCA6Zv0DtsD1s95mA9XLsbADUeQeinQ3H7itno/mPSFJ55Q+fEyzadL69ARI28f9tkwmP+fA==" saltValue="9NM1bh3bwPDJ2qmlOPrbMQ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0" t="s">
        <v>98</v>
      </c>
      <c r="D2" s="430"/>
      <c r="E2" s="430"/>
      <c r="F2" s="430"/>
      <c r="G2" s="430"/>
      <c r="H2" s="430"/>
      <c r="I2" s="430"/>
    </row>
    <row r="3" spans="2:25" s="31" customFormat="1" ht="34.5" customHeight="1" x14ac:dyDescent="0.2">
      <c r="B3" s="30"/>
      <c r="C3" s="466"/>
      <c r="D3" s="466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7">
        <f>SUM(Q:Q)</f>
        <v>0</v>
      </c>
      <c r="E5" s="467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8" t="s">
        <v>100</v>
      </c>
      <c r="D8" s="458" t="s">
        <v>101</v>
      </c>
      <c r="E8" s="458" t="s">
        <v>4</v>
      </c>
      <c r="F8" s="458" t="s">
        <v>102</v>
      </c>
      <c r="G8" s="458" t="s">
        <v>103</v>
      </c>
      <c r="H8" s="468" t="s">
        <v>104</v>
      </c>
      <c r="I8" s="468"/>
      <c r="J8" s="468"/>
      <c r="K8" s="468"/>
      <c r="L8" s="468"/>
      <c r="M8" s="468"/>
      <c r="N8" s="468"/>
      <c r="O8" s="468"/>
      <c r="P8" s="468"/>
      <c r="Q8" s="458" t="s">
        <v>105</v>
      </c>
    </row>
    <row r="9" spans="2:25" ht="25.5" x14ac:dyDescent="0.2">
      <c r="C9" s="459"/>
      <c r="D9" s="459"/>
      <c r="E9" s="459"/>
      <c r="F9" s="459"/>
      <c r="G9" s="459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1" t="s">
        <v>112</v>
      </c>
      <c r="Q9" s="459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0"/>
      <c r="D10" s="460"/>
      <c r="E10" s="460"/>
      <c r="F10" s="460"/>
      <c r="G10" s="460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2"/>
      <c r="Q10" s="460"/>
    </row>
    <row r="11" spans="2:25" ht="15" x14ac:dyDescent="0.2">
      <c r="C11" s="463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4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4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4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4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4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4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4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4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4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4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4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4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4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4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4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4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5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Niw4dPL4SmSQUOJMEQIxjwSSml79XXhOwaCrkKJ2AaoF4esESJGhg6FSE8dYsXBCXX353QnOhAQuHU5TuPSgXw==" saltValue="tTt5bPeZRAYcs+x200gwXw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0" t="s">
        <v>410</v>
      </c>
      <c r="D2" s="430"/>
      <c r="E2" s="430"/>
      <c r="F2" s="430"/>
      <c r="G2" s="430"/>
      <c r="H2" s="430"/>
      <c r="I2" s="430"/>
      <c r="J2" s="430"/>
    </row>
    <row r="3" spans="2:20" s="31" customFormat="1" ht="34.5" customHeight="1" x14ac:dyDescent="0.2">
      <c r="B3" s="30"/>
      <c r="C3" s="466"/>
      <c r="D3" s="466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</row>
    <row r="9" spans="2:20" ht="37.5" customHeight="1" x14ac:dyDescent="0.2"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</row>
    <row r="11" spans="2:20" ht="15" customHeight="1" x14ac:dyDescent="0.2">
      <c r="C11" s="469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9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9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9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9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9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9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9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9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9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9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9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9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9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9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9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9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9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9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9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9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9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9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9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9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9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9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aecigINji3423qR3xsqSzPOvqCPckKX4Gemstdjpto7Jm8fITBWsf3M1HODD4PS7rKnI/TMF/wzxa7kSCkV4+w==" saltValue="vCN5X+M3mSLnHi4sP2SwN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0" t="s">
        <v>411</v>
      </c>
      <c r="D2" s="430"/>
      <c r="E2" s="430"/>
      <c r="F2" s="430"/>
      <c r="G2" s="430"/>
      <c r="H2" s="430"/>
      <c r="I2" s="430"/>
      <c r="J2" s="430"/>
    </row>
    <row r="3" spans="2:20" s="31" customFormat="1" ht="34.5" customHeight="1" x14ac:dyDescent="0.2">
      <c r="B3" s="30"/>
      <c r="C3" s="466"/>
      <c r="D3" s="466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  <c r="N10" s="34"/>
      <c r="O10" s="34"/>
      <c r="P10" s="34"/>
      <c r="Q10" s="34"/>
      <c r="R10" s="34"/>
      <c r="S10" s="34"/>
      <c r="T10" s="34"/>
    </row>
    <row r="11" spans="2:20" ht="15" x14ac:dyDescent="0.2">
      <c r="C11" s="476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6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6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6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6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6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6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6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6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6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6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6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6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6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6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6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6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6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6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6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6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6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6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6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6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6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lHqR0XEwLAMZYAAvkYr2W7O3AYePvpT8lL3kwXM+FZwr6Ep9bqENnLaAzBtjCTrusyDiLGgB6KSfKRT8r6fvPg==" saltValue="o7TBbCLeRNT/4K+BYPvvrQ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0" t="s">
        <v>433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2" t="s">
        <v>412</v>
      </c>
      <c r="M8" s="483"/>
      <c r="N8" s="323"/>
      <c r="O8" s="482" t="s">
        <v>413</v>
      </c>
      <c r="P8" s="483"/>
      <c r="Q8" s="323"/>
      <c r="R8" s="484" t="s">
        <v>414</v>
      </c>
      <c r="S8" s="485"/>
      <c r="T8" s="486"/>
      <c r="U8" s="333"/>
      <c r="V8" s="336"/>
      <c r="W8" s="479" t="s">
        <v>104</v>
      </c>
      <c r="X8" s="480"/>
      <c r="Y8" s="480"/>
      <c r="Z8" s="481"/>
      <c r="AA8" s="47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4"/>
      <c r="B9" s="492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489" t="s">
        <v>415</v>
      </c>
      <c r="K9" s="487" t="s">
        <v>5</v>
      </c>
      <c r="L9" s="495" t="s">
        <v>441</v>
      </c>
      <c r="M9" s="497"/>
      <c r="N9" s="331" t="s">
        <v>424</v>
      </c>
      <c r="O9" s="495" t="s">
        <v>442</v>
      </c>
      <c r="P9" s="497"/>
      <c r="Q9" s="331" t="s">
        <v>423</v>
      </c>
      <c r="R9" s="495" t="s">
        <v>443</v>
      </c>
      <c r="S9" s="496"/>
      <c r="T9" s="497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7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4"/>
      <c r="B10" s="493"/>
      <c r="C10" s="490"/>
      <c r="D10" s="490"/>
      <c r="E10" s="490"/>
      <c r="F10" s="490"/>
      <c r="G10" s="490"/>
      <c r="H10" s="490"/>
      <c r="I10" s="490"/>
      <c r="J10" s="490"/>
      <c r="K10" s="488"/>
      <c r="L10" s="498"/>
      <c r="M10" s="500"/>
      <c r="N10" s="332"/>
      <c r="O10" s="498"/>
      <c r="P10" s="500"/>
      <c r="Q10" s="332"/>
      <c r="R10" s="498"/>
      <c r="S10" s="499"/>
      <c r="T10" s="500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7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501"/>
      <c r="M11" s="502"/>
      <c r="N11" s="346" t="str">
        <f t="shared" ref="N11:N28" si="0">IF(L11="","",$AC$12&amp;L11)</f>
        <v/>
      </c>
      <c r="O11" s="501"/>
      <c r="P11" s="502"/>
      <c r="Q11" s="346" t="str">
        <f t="shared" ref="Q11:Q27" si="1">IF(O11="","",$AC$15&amp;O11)</f>
        <v/>
      </c>
      <c r="R11" s="501"/>
      <c r="S11" s="503"/>
      <c r="T11" s="502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501"/>
      <c r="M12" s="502"/>
      <c r="N12" s="346" t="str">
        <f t="shared" si="0"/>
        <v/>
      </c>
      <c r="O12" s="501"/>
      <c r="P12" s="502"/>
      <c r="Q12" s="346" t="str">
        <f t="shared" si="1"/>
        <v/>
      </c>
      <c r="R12" s="501"/>
      <c r="S12" s="503"/>
      <c r="T12" s="502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501"/>
      <c r="M13" s="502"/>
      <c r="N13" s="346" t="str">
        <f t="shared" si="0"/>
        <v/>
      </c>
      <c r="O13" s="501"/>
      <c r="P13" s="502"/>
      <c r="Q13" s="346" t="str">
        <f t="shared" si="1"/>
        <v/>
      </c>
      <c r="R13" s="501"/>
      <c r="S13" s="503"/>
      <c r="T13" s="502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501"/>
      <c r="M14" s="502"/>
      <c r="N14" s="346" t="str">
        <f t="shared" si="0"/>
        <v/>
      </c>
      <c r="O14" s="501"/>
      <c r="P14" s="502"/>
      <c r="Q14" s="346" t="str">
        <f t="shared" si="1"/>
        <v/>
      </c>
      <c r="R14" s="501"/>
      <c r="S14" s="503"/>
      <c r="T14" s="502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501"/>
      <c r="M15" s="502"/>
      <c r="N15" s="346" t="str">
        <f t="shared" si="0"/>
        <v/>
      </c>
      <c r="O15" s="501"/>
      <c r="P15" s="502"/>
      <c r="Q15" s="346" t="str">
        <f t="shared" si="1"/>
        <v/>
      </c>
      <c r="R15" s="501"/>
      <c r="S15" s="503"/>
      <c r="T15" s="502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501"/>
      <c r="M16" s="502"/>
      <c r="N16" s="346" t="str">
        <f t="shared" si="0"/>
        <v/>
      </c>
      <c r="O16" s="501"/>
      <c r="P16" s="502"/>
      <c r="Q16" s="346" t="str">
        <f t="shared" si="1"/>
        <v/>
      </c>
      <c r="R16" s="501"/>
      <c r="S16" s="503"/>
      <c r="T16" s="502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501"/>
      <c r="M17" s="502"/>
      <c r="N17" s="346" t="str">
        <f t="shared" si="0"/>
        <v/>
      </c>
      <c r="O17" s="501"/>
      <c r="P17" s="502"/>
      <c r="Q17" s="346" t="str">
        <f t="shared" si="1"/>
        <v/>
      </c>
      <c r="R17" s="501"/>
      <c r="S17" s="503"/>
      <c r="T17" s="502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501"/>
      <c r="M18" s="502"/>
      <c r="N18" s="346" t="str">
        <f t="shared" si="0"/>
        <v/>
      </c>
      <c r="O18" s="501"/>
      <c r="P18" s="502"/>
      <c r="Q18" s="346" t="str">
        <f t="shared" si="1"/>
        <v/>
      </c>
      <c r="R18" s="501"/>
      <c r="S18" s="503"/>
      <c r="T18" s="502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501"/>
      <c r="M19" s="502"/>
      <c r="N19" s="346" t="str">
        <f t="shared" si="0"/>
        <v/>
      </c>
      <c r="O19" s="501"/>
      <c r="P19" s="502"/>
      <c r="Q19" s="346" t="str">
        <f t="shared" si="1"/>
        <v/>
      </c>
      <c r="R19" s="501"/>
      <c r="S19" s="503"/>
      <c r="T19" s="502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501"/>
      <c r="M20" s="502"/>
      <c r="N20" s="346" t="str">
        <f t="shared" si="0"/>
        <v/>
      </c>
      <c r="O20" s="501"/>
      <c r="P20" s="502"/>
      <c r="Q20" s="346" t="str">
        <f t="shared" si="1"/>
        <v/>
      </c>
      <c r="R20" s="501"/>
      <c r="S20" s="503"/>
      <c r="T20" s="502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501"/>
      <c r="M21" s="502"/>
      <c r="N21" s="346" t="str">
        <f t="shared" si="0"/>
        <v/>
      </c>
      <c r="O21" s="501"/>
      <c r="P21" s="502"/>
      <c r="Q21" s="346" t="str">
        <f t="shared" si="1"/>
        <v/>
      </c>
      <c r="R21" s="501"/>
      <c r="S21" s="503"/>
      <c r="T21" s="502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501"/>
      <c r="M22" s="502"/>
      <c r="N22" s="346" t="str">
        <f t="shared" si="0"/>
        <v/>
      </c>
      <c r="O22" s="501"/>
      <c r="P22" s="502"/>
      <c r="Q22" s="346" t="str">
        <f t="shared" si="1"/>
        <v/>
      </c>
      <c r="R22" s="501"/>
      <c r="S22" s="503"/>
      <c r="T22" s="502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501"/>
      <c r="M23" s="502"/>
      <c r="N23" s="346" t="str">
        <f t="shared" si="0"/>
        <v/>
      </c>
      <c r="O23" s="501"/>
      <c r="P23" s="502"/>
      <c r="Q23" s="346" t="str">
        <f t="shared" si="1"/>
        <v/>
      </c>
      <c r="R23" s="501"/>
      <c r="S23" s="503"/>
      <c r="T23" s="502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501"/>
      <c r="M24" s="502"/>
      <c r="N24" s="346" t="str">
        <f t="shared" si="0"/>
        <v/>
      </c>
      <c r="O24" s="501"/>
      <c r="P24" s="502"/>
      <c r="Q24" s="346" t="str">
        <f t="shared" si="1"/>
        <v/>
      </c>
      <c r="R24" s="501"/>
      <c r="S24" s="503"/>
      <c r="T24" s="502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501"/>
      <c r="M25" s="502"/>
      <c r="N25" s="346" t="str">
        <f t="shared" si="0"/>
        <v/>
      </c>
      <c r="O25" s="501"/>
      <c r="P25" s="502"/>
      <c r="Q25" s="346" t="str">
        <f t="shared" si="1"/>
        <v/>
      </c>
      <c r="R25" s="501"/>
      <c r="S25" s="503"/>
      <c r="T25" s="502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501"/>
      <c r="M26" s="502"/>
      <c r="N26" s="346" t="str">
        <f t="shared" si="0"/>
        <v/>
      </c>
      <c r="O26" s="501"/>
      <c r="P26" s="502"/>
      <c r="Q26" s="346" t="str">
        <f t="shared" si="1"/>
        <v/>
      </c>
      <c r="R26" s="501"/>
      <c r="S26" s="503"/>
      <c r="T26" s="502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501"/>
      <c r="M27" s="502"/>
      <c r="N27" s="346" t="str">
        <f t="shared" si="0"/>
        <v/>
      </c>
      <c r="O27" s="501"/>
      <c r="P27" s="502"/>
      <c r="Q27" s="346" t="str">
        <f t="shared" si="1"/>
        <v/>
      </c>
      <c r="R27" s="501"/>
      <c r="S27" s="503"/>
      <c r="T27" s="502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501"/>
      <c r="M28" s="502"/>
      <c r="N28" s="346" t="str">
        <f t="shared" si="0"/>
        <v/>
      </c>
      <c r="O28" s="501"/>
      <c r="P28" s="502"/>
      <c r="Q28" s="346" t="str">
        <f t="shared" ref="Q28:Q38" si="13">IF(O28="","",$AC$15&amp;O28)</f>
        <v/>
      </c>
      <c r="R28" s="501"/>
      <c r="S28" s="503"/>
      <c r="T28" s="502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501"/>
      <c r="M29" s="502"/>
      <c r="N29" s="346" t="str">
        <f t="shared" ref="N29:N40" si="14">IF(L29="","",$AC$12&amp;L29)</f>
        <v/>
      </c>
      <c r="O29" s="501"/>
      <c r="P29" s="502"/>
      <c r="Q29" s="346" t="str">
        <f t="shared" si="13"/>
        <v/>
      </c>
      <c r="R29" s="501"/>
      <c r="S29" s="503"/>
      <c r="T29" s="502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501"/>
      <c r="M30" s="502"/>
      <c r="N30" s="346" t="str">
        <f t="shared" si="14"/>
        <v/>
      </c>
      <c r="O30" s="501"/>
      <c r="P30" s="502"/>
      <c r="Q30" s="346" t="str">
        <f t="shared" si="13"/>
        <v/>
      </c>
      <c r="R30" s="501"/>
      <c r="S30" s="503"/>
      <c r="T30" s="502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501"/>
      <c r="M31" s="502"/>
      <c r="N31" s="346" t="str">
        <f t="shared" si="14"/>
        <v/>
      </c>
      <c r="O31" s="501"/>
      <c r="P31" s="502"/>
      <c r="Q31" s="346" t="str">
        <f t="shared" si="13"/>
        <v/>
      </c>
      <c r="R31" s="501"/>
      <c r="S31" s="503"/>
      <c r="T31" s="502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501"/>
      <c r="M32" s="502"/>
      <c r="N32" s="346" t="str">
        <f t="shared" si="14"/>
        <v/>
      </c>
      <c r="O32" s="501"/>
      <c r="P32" s="502"/>
      <c r="Q32" s="346" t="str">
        <f t="shared" si="13"/>
        <v/>
      </c>
      <c r="R32" s="501"/>
      <c r="S32" s="503"/>
      <c r="T32" s="502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501"/>
      <c r="M33" s="502"/>
      <c r="N33" s="346" t="str">
        <f t="shared" si="14"/>
        <v/>
      </c>
      <c r="O33" s="501"/>
      <c r="P33" s="502"/>
      <c r="Q33" s="346" t="str">
        <f t="shared" si="13"/>
        <v/>
      </c>
      <c r="R33" s="501"/>
      <c r="S33" s="503"/>
      <c r="T33" s="502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501"/>
      <c r="M34" s="502"/>
      <c r="N34" s="346" t="str">
        <f t="shared" si="14"/>
        <v/>
      </c>
      <c r="O34" s="501"/>
      <c r="P34" s="502"/>
      <c r="Q34" s="346" t="str">
        <f t="shared" si="13"/>
        <v/>
      </c>
      <c r="R34" s="501"/>
      <c r="S34" s="503"/>
      <c r="T34" s="502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501"/>
      <c r="M35" s="502"/>
      <c r="N35" s="346" t="str">
        <f t="shared" si="14"/>
        <v/>
      </c>
      <c r="O35" s="501"/>
      <c r="P35" s="502"/>
      <c r="Q35" s="346" t="str">
        <f t="shared" si="13"/>
        <v/>
      </c>
      <c r="R35" s="501"/>
      <c r="S35" s="503"/>
      <c r="T35" s="502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501"/>
      <c r="M36" s="502"/>
      <c r="N36" s="346" t="str">
        <f t="shared" si="14"/>
        <v/>
      </c>
      <c r="O36" s="501"/>
      <c r="P36" s="502"/>
      <c r="Q36" s="346" t="str">
        <f t="shared" si="13"/>
        <v/>
      </c>
      <c r="R36" s="501"/>
      <c r="S36" s="503"/>
      <c r="T36" s="502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501"/>
      <c r="M37" s="502"/>
      <c r="N37" s="346" t="str">
        <f t="shared" si="14"/>
        <v/>
      </c>
      <c r="O37" s="501"/>
      <c r="P37" s="502"/>
      <c r="Q37" s="346" t="str">
        <f t="shared" si="13"/>
        <v/>
      </c>
      <c r="R37" s="501"/>
      <c r="S37" s="503"/>
      <c r="T37" s="502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501"/>
      <c r="M38" s="502"/>
      <c r="N38" s="346" t="str">
        <f t="shared" si="14"/>
        <v/>
      </c>
      <c r="O38" s="501"/>
      <c r="P38" s="502"/>
      <c r="Q38" s="346" t="str">
        <f t="shared" si="13"/>
        <v/>
      </c>
      <c r="R38" s="501"/>
      <c r="S38" s="503"/>
      <c r="T38" s="502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501"/>
      <c r="M39" s="502"/>
      <c r="N39" s="346" t="str">
        <f t="shared" si="14"/>
        <v/>
      </c>
      <c r="O39" s="501"/>
      <c r="P39" s="502"/>
      <c r="Q39" s="346" t="str">
        <f t="shared" ref="Q39:Q50" si="16">IF(O39="","",$AC$15&amp;O39)</f>
        <v/>
      </c>
      <c r="R39" s="501"/>
      <c r="S39" s="503"/>
      <c r="T39" s="502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501"/>
      <c r="M40" s="502"/>
      <c r="N40" s="346" t="str">
        <f t="shared" si="14"/>
        <v/>
      </c>
      <c r="O40" s="501"/>
      <c r="P40" s="502"/>
      <c r="Q40" s="346" t="str">
        <f t="shared" si="16"/>
        <v/>
      </c>
      <c r="R40" s="501"/>
      <c r="S40" s="503"/>
      <c r="T40" s="502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501"/>
      <c r="M41" s="502"/>
      <c r="N41" s="346" t="str">
        <f t="shared" ref="N41:N50" si="17">IF(L41="","",$AC$12&amp;L41)</f>
        <v/>
      </c>
      <c r="O41" s="501"/>
      <c r="P41" s="502"/>
      <c r="Q41" s="346" t="str">
        <f t="shared" si="16"/>
        <v/>
      </c>
      <c r="R41" s="501"/>
      <c r="S41" s="503"/>
      <c r="T41" s="502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501"/>
      <c r="M42" s="502"/>
      <c r="N42" s="346" t="str">
        <f t="shared" si="17"/>
        <v/>
      </c>
      <c r="O42" s="501"/>
      <c r="P42" s="502"/>
      <c r="Q42" s="346" t="str">
        <f t="shared" si="16"/>
        <v/>
      </c>
      <c r="R42" s="501"/>
      <c r="S42" s="503"/>
      <c r="T42" s="502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501"/>
      <c r="M43" s="502"/>
      <c r="N43" s="346" t="str">
        <f t="shared" si="17"/>
        <v/>
      </c>
      <c r="O43" s="501"/>
      <c r="P43" s="502"/>
      <c r="Q43" s="346" t="str">
        <f t="shared" si="16"/>
        <v/>
      </c>
      <c r="R43" s="501"/>
      <c r="S43" s="503"/>
      <c r="T43" s="502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501"/>
      <c r="M44" s="502"/>
      <c r="N44" s="346" t="str">
        <f t="shared" si="17"/>
        <v/>
      </c>
      <c r="O44" s="501"/>
      <c r="P44" s="502"/>
      <c r="Q44" s="346" t="str">
        <f t="shared" si="16"/>
        <v/>
      </c>
      <c r="R44" s="501"/>
      <c r="S44" s="503"/>
      <c r="T44" s="502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501"/>
      <c r="M45" s="502"/>
      <c r="N45" s="346" t="str">
        <f t="shared" si="17"/>
        <v/>
      </c>
      <c r="O45" s="501"/>
      <c r="P45" s="502"/>
      <c r="Q45" s="346" t="str">
        <f t="shared" si="16"/>
        <v/>
      </c>
      <c r="R45" s="501"/>
      <c r="S45" s="503"/>
      <c r="T45" s="502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501"/>
      <c r="M46" s="502"/>
      <c r="N46" s="346" t="str">
        <f t="shared" si="17"/>
        <v/>
      </c>
      <c r="O46" s="501"/>
      <c r="P46" s="502"/>
      <c r="Q46" s="346" t="str">
        <f t="shared" si="16"/>
        <v/>
      </c>
      <c r="R46" s="501"/>
      <c r="S46" s="503"/>
      <c r="T46" s="502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501"/>
      <c r="M47" s="502"/>
      <c r="N47" s="346" t="str">
        <f t="shared" si="17"/>
        <v/>
      </c>
      <c r="O47" s="501"/>
      <c r="P47" s="502"/>
      <c r="Q47" s="346" t="str">
        <f t="shared" si="16"/>
        <v/>
      </c>
      <c r="R47" s="501"/>
      <c r="S47" s="503"/>
      <c r="T47" s="502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501"/>
      <c r="M48" s="502"/>
      <c r="N48" s="346" t="str">
        <f t="shared" si="17"/>
        <v/>
      </c>
      <c r="O48" s="501"/>
      <c r="P48" s="502"/>
      <c r="Q48" s="346" t="str">
        <f t="shared" si="16"/>
        <v/>
      </c>
      <c r="R48" s="501"/>
      <c r="S48" s="503"/>
      <c r="T48" s="502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501"/>
      <c r="M49" s="502"/>
      <c r="N49" s="346" t="str">
        <f t="shared" si="17"/>
        <v/>
      </c>
      <c r="O49" s="501"/>
      <c r="P49" s="502"/>
      <c r="Q49" s="346" t="str">
        <f t="shared" si="16"/>
        <v/>
      </c>
      <c r="R49" s="501"/>
      <c r="S49" s="503"/>
      <c r="T49" s="502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501"/>
      <c r="M50" s="502"/>
      <c r="N50" s="346" t="str">
        <f t="shared" si="17"/>
        <v/>
      </c>
      <c r="O50" s="501"/>
      <c r="P50" s="502"/>
      <c r="Q50" s="346" t="str">
        <f t="shared" si="16"/>
        <v/>
      </c>
      <c r="R50" s="501"/>
      <c r="S50" s="503"/>
      <c r="T50" s="502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504"/>
      <c r="M51" s="505"/>
      <c r="N51" s="346" t="str">
        <f t="shared" ref="N51" si="18">IF(AND(L51&lt;&gt;"",M51&lt;&gt;""),CONCATENATE($AC$12,L51,M51),"")</f>
        <v/>
      </c>
      <c r="O51" s="504"/>
      <c r="P51" s="505"/>
      <c r="Q51" s="346" t="str">
        <f t="shared" ref="Q51" si="19">IF(AND(O51&lt;&gt;"",P51&lt;&gt;""),CONCATENATE($AC$15,O51,P51),"")</f>
        <v/>
      </c>
      <c r="R51" s="504"/>
      <c r="S51" s="506"/>
      <c r="T51" s="505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67TibW1SLke+dy1NUPozYtAjnFIvMWM1utFmirHZy4CiyAJj7osEuuiK3vFHWhNnS4oFhIs/0nDsLL6pYja5CQ==" saltValue="ZDNOLArzn+UKPLVUsH4f0g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0" t="s">
        <v>433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2" t="s">
        <v>412</v>
      </c>
      <c r="M8" s="483"/>
      <c r="N8" s="323"/>
      <c r="O8" s="482" t="s">
        <v>413</v>
      </c>
      <c r="P8" s="483"/>
      <c r="Q8" s="323"/>
      <c r="R8" s="484" t="s">
        <v>414</v>
      </c>
      <c r="S8" s="485"/>
      <c r="T8" s="486"/>
      <c r="U8" s="333"/>
      <c r="V8" s="336"/>
      <c r="W8" s="479" t="s">
        <v>104</v>
      </c>
      <c r="X8" s="480"/>
      <c r="Y8" s="480"/>
      <c r="Z8" s="481"/>
      <c r="AA8" s="50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4"/>
      <c r="B9" s="492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489" t="s">
        <v>415</v>
      </c>
      <c r="K9" s="487" t="s">
        <v>5</v>
      </c>
      <c r="L9" s="495" t="s">
        <v>441</v>
      </c>
      <c r="M9" s="497"/>
      <c r="N9" s="331" t="s">
        <v>424</v>
      </c>
      <c r="O9" s="495" t="s">
        <v>442</v>
      </c>
      <c r="P9" s="497"/>
      <c r="Q9" s="331" t="s">
        <v>423</v>
      </c>
      <c r="R9" s="495" t="s">
        <v>443</v>
      </c>
      <c r="S9" s="496"/>
      <c r="T9" s="497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4"/>
      <c r="B10" s="493"/>
      <c r="C10" s="490"/>
      <c r="D10" s="490"/>
      <c r="E10" s="490"/>
      <c r="F10" s="490"/>
      <c r="G10" s="490"/>
      <c r="H10" s="490"/>
      <c r="I10" s="490"/>
      <c r="J10" s="490"/>
      <c r="K10" s="488"/>
      <c r="L10" s="498"/>
      <c r="M10" s="500"/>
      <c r="N10" s="332"/>
      <c r="O10" s="498"/>
      <c r="P10" s="500"/>
      <c r="Q10" s="332"/>
      <c r="R10" s="498"/>
      <c r="S10" s="499"/>
      <c r="T10" s="500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9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501"/>
      <c r="M11" s="502"/>
      <c r="N11" s="346" t="str">
        <f t="shared" ref="N11:N50" si="0">IF(L11="","",$AC$12&amp;L11)</f>
        <v/>
      </c>
      <c r="O11" s="501"/>
      <c r="P11" s="502"/>
      <c r="Q11" s="346" t="str">
        <f t="shared" ref="Q11:Q50" si="1">IF(O11="","",$AC$15&amp;O11)</f>
        <v/>
      </c>
      <c r="R11" s="501"/>
      <c r="S11" s="503"/>
      <c r="T11" s="502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501"/>
      <c r="M12" s="502"/>
      <c r="N12" s="346" t="str">
        <f t="shared" si="0"/>
        <v/>
      </c>
      <c r="O12" s="501"/>
      <c r="P12" s="502"/>
      <c r="Q12" s="346" t="str">
        <f t="shared" si="1"/>
        <v/>
      </c>
      <c r="R12" s="501"/>
      <c r="S12" s="503"/>
      <c r="T12" s="502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501"/>
      <c r="M13" s="502"/>
      <c r="N13" s="346" t="str">
        <f t="shared" si="0"/>
        <v/>
      </c>
      <c r="O13" s="501"/>
      <c r="P13" s="502"/>
      <c r="Q13" s="346" t="str">
        <f t="shared" si="1"/>
        <v/>
      </c>
      <c r="R13" s="501"/>
      <c r="S13" s="503"/>
      <c r="T13" s="502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501"/>
      <c r="M14" s="502"/>
      <c r="N14" s="346" t="str">
        <f t="shared" si="0"/>
        <v/>
      </c>
      <c r="O14" s="501"/>
      <c r="P14" s="502"/>
      <c r="Q14" s="346" t="str">
        <f t="shared" si="1"/>
        <v/>
      </c>
      <c r="R14" s="501"/>
      <c r="S14" s="503"/>
      <c r="T14" s="502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501"/>
      <c r="M15" s="502"/>
      <c r="N15" s="346" t="str">
        <f t="shared" si="0"/>
        <v/>
      </c>
      <c r="O15" s="501"/>
      <c r="P15" s="502"/>
      <c r="Q15" s="346" t="str">
        <f t="shared" si="1"/>
        <v/>
      </c>
      <c r="R15" s="501"/>
      <c r="S15" s="503"/>
      <c r="T15" s="502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501"/>
      <c r="M16" s="502"/>
      <c r="N16" s="346" t="str">
        <f t="shared" si="0"/>
        <v/>
      </c>
      <c r="O16" s="501"/>
      <c r="P16" s="502"/>
      <c r="Q16" s="346" t="str">
        <f t="shared" si="1"/>
        <v/>
      </c>
      <c r="R16" s="501"/>
      <c r="S16" s="503"/>
      <c r="T16" s="502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501"/>
      <c r="M17" s="502"/>
      <c r="N17" s="346" t="str">
        <f t="shared" si="0"/>
        <v/>
      </c>
      <c r="O17" s="501"/>
      <c r="P17" s="502"/>
      <c r="Q17" s="346" t="str">
        <f t="shared" si="1"/>
        <v/>
      </c>
      <c r="R17" s="501"/>
      <c r="S17" s="503"/>
      <c r="T17" s="502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501"/>
      <c r="M18" s="502"/>
      <c r="N18" s="346" t="str">
        <f t="shared" si="0"/>
        <v/>
      </c>
      <c r="O18" s="501"/>
      <c r="P18" s="502"/>
      <c r="Q18" s="346" t="str">
        <f t="shared" si="1"/>
        <v/>
      </c>
      <c r="R18" s="501"/>
      <c r="S18" s="503"/>
      <c r="T18" s="502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501"/>
      <c r="M19" s="502"/>
      <c r="N19" s="346" t="str">
        <f t="shared" si="0"/>
        <v/>
      </c>
      <c r="O19" s="501"/>
      <c r="P19" s="502"/>
      <c r="Q19" s="346" t="str">
        <f t="shared" si="1"/>
        <v/>
      </c>
      <c r="R19" s="501"/>
      <c r="S19" s="503"/>
      <c r="T19" s="502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501"/>
      <c r="M20" s="502"/>
      <c r="N20" s="346" t="str">
        <f t="shared" si="0"/>
        <v/>
      </c>
      <c r="O20" s="501"/>
      <c r="P20" s="502"/>
      <c r="Q20" s="346" t="str">
        <f t="shared" si="1"/>
        <v/>
      </c>
      <c r="R20" s="501"/>
      <c r="S20" s="503"/>
      <c r="T20" s="502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501"/>
      <c r="M21" s="502"/>
      <c r="N21" s="346" t="str">
        <f t="shared" si="0"/>
        <v/>
      </c>
      <c r="O21" s="501"/>
      <c r="P21" s="502"/>
      <c r="Q21" s="346" t="str">
        <f t="shared" si="1"/>
        <v/>
      </c>
      <c r="R21" s="501"/>
      <c r="S21" s="503"/>
      <c r="T21" s="502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501"/>
      <c r="M22" s="502"/>
      <c r="N22" s="346" t="str">
        <f t="shared" si="0"/>
        <v/>
      </c>
      <c r="O22" s="501"/>
      <c r="P22" s="502"/>
      <c r="Q22" s="346" t="str">
        <f t="shared" si="1"/>
        <v/>
      </c>
      <c r="R22" s="501"/>
      <c r="S22" s="503"/>
      <c r="T22" s="502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501"/>
      <c r="M23" s="502"/>
      <c r="N23" s="346" t="str">
        <f t="shared" si="0"/>
        <v/>
      </c>
      <c r="O23" s="501"/>
      <c r="P23" s="502"/>
      <c r="Q23" s="346" t="str">
        <f t="shared" si="1"/>
        <v/>
      </c>
      <c r="R23" s="501"/>
      <c r="S23" s="503"/>
      <c r="T23" s="502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501"/>
      <c r="M24" s="502"/>
      <c r="N24" s="346" t="str">
        <f t="shared" si="0"/>
        <v/>
      </c>
      <c r="O24" s="501"/>
      <c r="P24" s="502"/>
      <c r="Q24" s="346" t="str">
        <f t="shared" si="1"/>
        <v/>
      </c>
      <c r="R24" s="501"/>
      <c r="S24" s="503"/>
      <c r="T24" s="502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501"/>
      <c r="M25" s="502"/>
      <c r="N25" s="346" t="str">
        <f t="shared" si="0"/>
        <v/>
      </c>
      <c r="O25" s="501"/>
      <c r="P25" s="502"/>
      <c r="Q25" s="346" t="str">
        <f t="shared" si="1"/>
        <v/>
      </c>
      <c r="R25" s="501"/>
      <c r="S25" s="503"/>
      <c r="T25" s="502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501"/>
      <c r="M26" s="502"/>
      <c r="N26" s="346" t="str">
        <f t="shared" si="0"/>
        <v/>
      </c>
      <c r="O26" s="501"/>
      <c r="P26" s="502"/>
      <c r="Q26" s="346" t="str">
        <f t="shared" si="1"/>
        <v/>
      </c>
      <c r="R26" s="501"/>
      <c r="S26" s="503"/>
      <c r="T26" s="502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501"/>
      <c r="M27" s="502"/>
      <c r="N27" s="346" t="str">
        <f t="shared" si="0"/>
        <v/>
      </c>
      <c r="O27" s="501"/>
      <c r="P27" s="502"/>
      <c r="Q27" s="346" t="str">
        <f t="shared" si="1"/>
        <v/>
      </c>
      <c r="R27" s="501"/>
      <c r="S27" s="503"/>
      <c r="T27" s="502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501"/>
      <c r="M28" s="502"/>
      <c r="N28" s="346" t="str">
        <f t="shared" si="0"/>
        <v/>
      </c>
      <c r="O28" s="501"/>
      <c r="P28" s="502"/>
      <c r="Q28" s="346" t="str">
        <f t="shared" si="1"/>
        <v/>
      </c>
      <c r="R28" s="501"/>
      <c r="S28" s="503"/>
      <c r="T28" s="502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501"/>
      <c r="M29" s="502"/>
      <c r="N29" s="346" t="str">
        <f t="shared" si="0"/>
        <v/>
      </c>
      <c r="O29" s="501"/>
      <c r="P29" s="502"/>
      <c r="Q29" s="346" t="str">
        <f t="shared" si="1"/>
        <v/>
      </c>
      <c r="R29" s="501"/>
      <c r="S29" s="503"/>
      <c r="T29" s="502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501"/>
      <c r="M30" s="502"/>
      <c r="N30" s="346" t="str">
        <f t="shared" si="0"/>
        <v/>
      </c>
      <c r="O30" s="501"/>
      <c r="P30" s="502"/>
      <c r="Q30" s="346" t="str">
        <f t="shared" si="1"/>
        <v/>
      </c>
      <c r="R30" s="501"/>
      <c r="S30" s="503"/>
      <c r="T30" s="502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501"/>
      <c r="M31" s="502"/>
      <c r="N31" s="346" t="str">
        <f t="shared" si="0"/>
        <v/>
      </c>
      <c r="O31" s="501"/>
      <c r="P31" s="502"/>
      <c r="Q31" s="346" t="str">
        <f t="shared" si="1"/>
        <v/>
      </c>
      <c r="R31" s="501"/>
      <c r="S31" s="503"/>
      <c r="T31" s="502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501"/>
      <c r="M32" s="502"/>
      <c r="N32" s="346" t="str">
        <f t="shared" si="0"/>
        <v/>
      </c>
      <c r="O32" s="501"/>
      <c r="P32" s="502"/>
      <c r="Q32" s="346" t="str">
        <f t="shared" si="1"/>
        <v/>
      </c>
      <c r="R32" s="501"/>
      <c r="S32" s="503"/>
      <c r="T32" s="502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501"/>
      <c r="M33" s="502"/>
      <c r="N33" s="346" t="str">
        <f t="shared" si="0"/>
        <v/>
      </c>
      <c r="O33" s="501"/>
      <c r="P33" s="502"/>
      <c r="Q33" s="346" t="str">
        <f t="shared" si="1"/>
        <v/>
      </c>
      <c r="R33" s="501"/>
      <c r="S33" s="503"/>
      <c r="T33" s="502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501"/>
      <c r="M34" s="502"/>
      <c r="N34" s="346" t="str">
        <f t="shared" si="0"/>
        <v/>
      </c>
      <c r="O34" s="501"/>
      <c r="P34" s="502"/>
      <c r="Q34" s="346" t="str">
        <f t="shared" si="1"/>
        <v/>
      </c>
      <c r="R34" s="501"/>
      <c r="S34" s="503"/>
      <c r="T34" s="502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501"/>
      <c r="M35" s="502"/>
      <c r="N35" s="346" t="str">
        <f t="shared" si="0"/>
        <v/>
      </c>
      <c r="O35" s="501"/>
      <c r="P35" s="502"/>
      <c r="Q35" s="346" t="str">
        <f t="shared" si="1"/>
        <v/>
      </c>
      <c r="R35" s="501"/>
      <c r="S35" s="503"/>
      <c r="T35" s="502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501"/>
      <c r="M36" s="502"/>
      <c r="N36" s="346" t="str">
        <f t="shared" si="0"/>
        <v/>
      </c>
      <c r="O36" s="501"/>
      <c r="P36" s="502"/>
      <c r="Q36" s="346" t="str">
        <f t="shared" si="1"/>
        <v/>
      </c>
      <c r="R36" s="501"/>
      <c r="S36" s="503"/>
      <c r="T36" s="502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501"/>
      <c r="M37" s="502"/>
      <c r="N37" s="346" t="str">
        <f t="shared" si="0"/>
        <v/>
      </c>
      <c r="O37" s="501"/>
      <c r="P37" s="502"/>
      <c r="Q37" s="346" t="str">
        <f t="shared" si="1"/>
        <v/>
      </c>
      <c r="R37" s="501"/>
      <c r="S37" s="503"/>
      <c r="T37" s="502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501"/>
      <c r="M38" s="502"/>
      <c r="N38" s="346" t="str">
        <f t="shared" si="0"/>
        <v/>
      </c>
      <c r="O38" s="501"/>
      <c r="P38" s="502"/>
      <c r="Q38" s="346" t="str">
        <f t="shared" si="1"/>
        <v/>
      </c>
      <c r="R38" s="501"/>
      <c r="S38" s="503"/>
      <c r="T38" s="502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501"/>
      <c r="M39" s="502"/>
      <c r="N39" s="346" t="str">
        <f t="shared" si="0"/>
        <v/>
      </c>
      <c r="O39" s="501"/>
      <c r="P39" s="502"/>
      <c r="Q39" s="346" t="str">
        <f t="shared" si="1"/>
        <v/>
      </c>
      <c r="R39" s="501"/>
      <c r="S39" s="503"/>
      <c r="T39" s="502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501"/>
      <c r="M40" s="502"/>
      <c r="N40" s="346" t="str">
        <f t="shared" si="0"/>
        <v/>
      </c>
      <c r="O40" s="501"/>
      <c r="P40" s="502"/>
      <c r="Q40" s="346" t="str">
        <f t="shared" si="1"/>
        <v/>
      </c>
      <c r="R40" s="501"/>
      <c r="S40" s="503"/>
      <c r="T40" s="502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501"/>
      <c r="M41" s="502"/>
      <c r="N41" s="346" t="str">
        <f t="shared" si="0"/>
        <v/>
      </c>
      <c r="O41" s="501"/>
      <c r="P41" s="502"/>
      <c r="Q41" s="346" t="str">
        <f t="shared" si="1"/>
        <v/>
      </c>
      <c r="R41" s="501"/>
      <c r="S41" s="503"/>
      <c r="T41" s="502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501"/>
      <c r="M42" s="502"/>
      <c r="N42" s="346" t="str">
        <f t="shared" si="0"/>
        <v/>
      </c>
      <c r="O42" s="501"/>
      <c r="P42" s="502"/>
      <c r="Q42" s="346" t="str">
        <f t="shared" si="1"/>
        <v/>
      </c>
      <c r="R42" s="501"/>
      <c r="S42" s="503"/>
      <c r="T42" s="502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501"/>
      <c r="M43" s="502"/>
      <c r="N43" s="346" t="str">
        <f t="shared" si="0"/>
        <v/>
      </c>
      <c r="O43" s="501"/>
      <c r="P43" s="502"/>
      <c r="Q43" s="346" t="str">
        <f t="shared" si="1"/>
        <v/>
      </c>
      <c r="R43" s="501"/>
      <c r="S43" s="503"/>
      <c r="T43" s="502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501"/>
      <c r="M44" s="502"/>
      <c r="N44" s="346" t="str">
        <f t="shared" si="0"/>
        <v/>
      </c>
      <c r="O44" s="501"/>
      <c r="P44" s="502"/>
      <c r="Q44" s="346" t="str">
        <f t="shared" si="1"/>
        <v/>
      </c>
      <c r="R44" s="501"/>
      <c r="S44" s="503"/>
      <c r="T44" s="502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501"/>
      <c r="M45" s="502"/>
      <c r="N45" s="346" t="str">
        <f t="shared" si="0"/>
        <v/>
      </c>
      <c r="O45" s="501"/>
      <c r="P45" s="502"/>
      <c r="Q45" s="346" t="str">
        <f t="shared" si="1"/>
        <v/>
      </c>
      <c r="R45" s="501"/>
      <c r="S45" s="503"/>
      <c r="T45" s="502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501"/>
      <c r="M46" s="502"/>
      <c r="N46" s="346" t="str">
        <f t="shared" si="0"/>
        <v/>
      </c>
      <c r="O46" s="501"/>
      <c r="P46" s="502"/>
      <c r="Q46" s="346" t="str">
        <f t="shared" si="1"/>
        <v/>
      </c>
      <c r="R46" s="501"/>
      <c r="S46" s="503"/>
      <c r="T46" s="502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501"/>
      <c r="M47" s="502"/>
      <c r="N47" s="346" t="str">
        <f t="shared" si="0"/>
        <v/>
      </c>
      <c r="O47" s="501"/>
      <c r="P47" s="502"/>
      <c r="Q47" s="346" t="str">
        <f t="shared" si="1"/>
        <v/>
      </c>
      <c r="R47" s="501"/>
      <c r="S47" s="503"/>
      <c r="T47" s="502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501"/>
      <c r="M48" s="502"/>
      <c r="N48" s="346" t="str">
        <f t="shared" si="0"/>
        <v/>
      </c>
      <c r="O48" s="501"/>
      <c r="P48" s="502"/>
      <c r="Q48" s="346" t="str">
        <f t="shared" si="1"/>
        <v/>
      </c>
      <c r="R48" s="501"/>
      <c r="S48" s="503"/>
      <c r="T48" s="502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501"/>
      <c r="M49" s="502"/>
      <c r="N49" s="346" t="str">
        <f t="shared" si="0"/>
        <v/>
      </c>
      <c r="O49" s="501"/>
      <c r="P49" s="502"/>
      <c r="Q49" s="346" t="str">
        <f t="shared" si="1"/>
        <v/>
      </c>
      <c r="R49" s="501"/>
      <c r="S49" s="503"/>
      <c r="T49" s="502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501"/>
      <c r="M50" s="502"/>
      <c r="N50" s="346" t="str">
        <f t="shared" si="0"/>
        <v/>
      </c>
      <c r="O50" s="501"/>
      <c r="P50" s="502"/>
      <c r="Q50" s="346" t="str">
        <f t="shared" si="1"/>
        <v/>
      </c>
      <c r="R50" s="501"/>
      <c r="S50" s="503"/>
      <c r="T50" s="502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504"/>
      <c r="M51" s="505"/>
      <c r="N51" s="346" t="str">
        <f>IF(AND(L51&lt;&gt;"",M51&lt;&gt;""),CONCATENATE($AC$12,L51,M51),"")</f>
        <v/>
      </c>
      <c r="O51" s="504"/>
      <c r="P51" s="505"/>
      <c r="Q51" s="346" t="str">
        <f>IF(AND(O51&lt;&gt;"",P51&lt;&gt;""),CONCATENATE($AC$15,O51,P51),"")</f>
        <v/>
      </c>
      <c r="R51" s="504"/>
      <c r="S51" s="506"/>
      <c r="T51" s="505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N80QQ/vU/sL7gjbHxr9ljIVsT5vZGE1sze+h162FFp1bFhmsx4oVYTuGXXmzKEz6haLYOXM2nDnv9CycnjI0hA==" saltValue="WpV9Tf6ycvHfqpWGXuag0g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9" zoomScale="85" zoomScaleNormal="85" workbookViewId="0">
      <selection activeCell="G30" sqref="G30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0" t="s">
        <v>38</v>
      </c>
      <c r="D2" s="430"/>
      <c r="E2" s="430"/>
      <c r="F2" s="430"/>
      <c r="G2" s="430"/>
      <c r="H2" s="430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22" t="s">
        <v>39</v>
      </c>
      <c r="D3" s="522"/>
      <c r="E3" s="522"/>
      <c r="F3" s="522"/>
      <c r="G3" s="522"/>
      <c r="H3" s="522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132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0" t="s">
        <v>90</v>
      </c>
      <c r="E7" s="430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4"/>
      <c r="E8" s="524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6"/>
      <c r="E9" s="516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6"/>
      <c r="E10" s="516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6"/>
      <c r="E11" s="516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0"/>
      <c r="E12" s="510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6"/>
      <c r="E13" s="516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6"/>
      <c r="E14" s="516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6"/>
      <c r="E15" s="516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0"/>
      <c r="E16" s="510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7"/>
      <c r="E17" s="517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132</v>
      </c>
      <c r="M17" s="103">
        <f ca="1">L17*Acomp_PosProducao_Perc</f>
        <v>2.64</v>
      </c>
      <c r="N17" s="103">
        <f ca="1">MIN(M17,Acomp_PosProducao_Max)</f>
        <v>2.64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0"/>
      <c r="E18" s="510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1"/>
      <c r="E19" s="512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10"/>
      <c r="E20" s="510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11"/>
      <c r="E21" s="512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10"/>
      <c r="E22" s="510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11"/>
      <c r="E23" s="512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9" t="s">
        <v>432</v>
      </c>
      <c r="D24" s="519"/>
      <c r="E24" s="519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43" t="s">
        <v>409</v>
      </c>
      <c r="D26" s="523"/>
      <c r="E26" s="444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25.5" x14ac:dyDescent="0.2">
      <c r="A27" s="107"/>
      <c r="B27" s="108"/>
      <c r="C27" s="513" t="s">
        <v>212</v>
      </c>
      <c r="D27" s="514"/>
      <c r="E27" s="515"/>
      <c r="F27" s="351"/>
      <c r="G27" s="351">
        <v>76</v>
      </c>
      <c r="H27" s="428" t="s">
        <v>496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ht="25.5" x14ac:dyDescent="0.2">
      <c r="A28" s="107"/>
      <c r="B28" s="108"/>
      <c r="C28" s="513" t="s">
        <v>212</v>
      </c>
      <c r="D28" s="514"/>
      <c r="E28" s="515"/>
      <c r="F28" s="351"/>
      <c r="G28" s="351">
        <v>56</v>
      </c>
      <c r="H28" s="428" t="s">
        <v>494</v>
      </c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1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>•Alocação de recursos / Serviços de consultoria _x000D_</v>
      </c>
      <c r="U28" s="88" t="str">
        <f t="shared" ref="U28:U42" ca="1" si="6">U27&amp;T28</f>
        <v>•Alocação de recursos / Serviços de consultoria _x000D_•Alocação de recursos / Serviços de consultoria _x000D_</v>
      </c>
      <c r="V28" s="34"/>
    </row>
    <row r="29" spans="1:22" s="28" customFormat="1" x14ac:dyDescent="0.2">
      <c r="A29" s="107"/>
      <c r="B29" s="108"/>
      <c r="C29" s="513"/>
      <c r="D29" s="514"/>
      <c r="E29" s="515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>•Alocação de recursos / Serviços de consultoria _x000D_•Alocação de recursos / Serviços de consultoria _x000D_</v>
      </c>
      <c r="V29" s="34"/>
    </row>
    <row r="30" spans="1:22" s="28" customFormat="1" x14ac:dyDescent="0.2">
      <c r="A30" s="107"/>
      <c r="B30" s="108"/>
      <c r="C30" s="513"/>
      <c r="D30" s="514"/>
      <c r="E30" s="515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>•Alocação de recursos / Serviços de consultoria _x000D_•Alocação de recursos / Serviços de consultoria _x000D_</v>
      </c>
      <c r="V30" s="34"/>
    </row>
    <row r="31" spans="1:22" s="28" customFormat="1" x14ac:dyDescent="0.2">
      <c r="A31" s="107"/>
      <c r="B31" s="108"/>
      <c r="C31" s="513"/>
      <c r="D31" s="514"/>
      <c r="E31" s="515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>•Alocação de recursos / Serviços de consultoria _x000D_•Alocação de recursos / Serviços de consultoria _x000D_</v>
      </c>
      <c r="V31" s="34"/>
    </row>
    <row r="32" spans="1:22" s="28" customFormat="1" x14ac:dyDescent="0.2">
      <c r="A32" s="107"/>
      <c r="B32" s="108"/>
      <c r="C32" s="513"/>
      <c r="D32" s="514"/>
      <c r="E32" s="515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>•Alocação de recursos / Serviços de consultoria _x000D_•Alocação de recursos / Serviços de consultoria _x000D_</v>
      </c>
      <c r="V32" s="34"/>
    </row>
    <row r="33" spans="1:242" s="28" customFormat="1" x14ac:dyDescent="0.2">
      <c r="A33" s="107"/>
      <c r="B33" s="108"/>
      <c r="C33" s="513"/>
      <c r="D33" s="514"/>
      <c r="E33" s="515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_x000D_•Alocação de recursos / Serviços de consultoria _x000D_</v>
      </c>
      <c r="V33" s="34"/>
    </row>
    <row r="34" spans="1:242" s="28" customFormat="1" x14ac:dyDescent="0.2">
      <c r="A34" s="107"/>
      <c r="B34" s="108"/>
      <c r="C34" s="513"/>
      <c r="D34" s="514"/>
      <c r="E34" s="515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_x000D_•Alocação de recursos / Serviços de consultoria _x000D_</v>
      </c>
      <c r="V34" s="34"/>
    </row>
    <row r="35" spans="1:242" s="28" customFormat="1" x14ac:dyDescent="0.2">
      <c r="A35" s="107"/>
      <c r="B35" s="108"/>
      <c r="C35" s="513"/>
      <c r="D35" s="514"/>
      <c r="E35" s="515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_x000D_•Alocação de recursos / Serviços de consultoria _x000D_</v>
      </c>
      <c r="V35" s="34"/>
    </row>
    <row r="36" spans="1:242" s="28" customFormat="1" x14ac:dyDescent="0.2">
      <c r="A36" s="107"/>
      <c r="B36" s="108"/>
      <c r="C36" s="513"/>
      <c r="D36" s="514"/>
      <c r="E36" s="515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_x000D_•Alocação de recursos / Serviços de consultoria _x000D_</v>
      </c>
      <c r="V36" s="34"/>
    </row>
    <row r="37" spans="1:242" s="28" customFormat="1" x14ac:dyDescent="0.2">
      <c r="A37" s="107"/>
      <c r="B37" s="108"/>
      <c r="C37" s="513"/>
      <c r="D37" s="514"/>
      <c r="E37" s="515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_x000D_•Alocação de recursos / Serviços de consultoria _x000D_</v>
      </c>
      <c r="V37" s="34"/>
    </row>
    <row r="38" spans="1:242" s="28" customFormat="1" x14ac:dyDescent="0.2">
      <c r="A38" s="107"/>
      <c r="B38" s="108"/>
      <c r="C38" s="513"/>
      <c r="D38" s="514"/>
      <c r="E38" s="515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_x000D_•Alocação de recursos / Serviços de consultoria _x000D_</v>
      </c>
      <c r="V38" s="34"/>
    </row>
    <row r="39" spans="1:242" s="98" customFormat="1" x14ac:dyDescent="0.2">
      <c r="A39" s="107"/>
      <c r="B39" s="112"/>
      <c r="C39" s="513"/>
      <c r="D39" s="514"/>
      <c r="E39" s="515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3"/>
      <c r="D40" s="514"/>
      <c r="E40" s="515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_x000D_•Alocação de recursos / Serviços de consultoria _x000D_</v>
      </c>
      <c r="V40" s="34"/>
    </row>
    <row r="41" spans="1:242" s="28" customFormat="1" x14ac:dyDescent="0.2">
      <c r="A41" s="107"/>
      <c r="B41" s="108"/>
      <c r="C41" s="513"/>
      <c r="D41" s="514"/>
      <c r="E41" s="515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_x000D_•Alocação de recursos / Serviços de consultoria _x000D_</v>
      </c>
      <c r="V41" s="34"/>
    </row>
    <row r="42" spans="1:242" s="28" customFormat="1" x14ac:dyDescent="0.2">
      <c r="A42" s="107"/>
      <c r="B42" s="108"/>
      <c r="C42" s="513"/>
      <c r="D42" s="514"/>
      <c r="E42" s="515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_x000D_•Alocação de recursos / Serviços de consultoria _x000D_</v>
      </c>
      <c r="V42" s="34"/>
    </row>
    <row r="43" spans="1:242" s="28" customFormat="1" x14ac:dyDescent="0.2">
      <c r="A43" s="107"/>
      <c r="B43" s="108"/>
      <c r="C43" s="519" t="s">
        <v>41</v>
      </c>
      <c r="D43" s="519"/>
      <c r="E43" s="519"/>
      <c r="F43" s="221">
        <f>SUM(F27:F42)</f>
        <v>0</v>
      </c>
      <c r="G43" s="221">
        <f>SUM(G27:G42)</f>
        <v>132</v>
      </c>
      <c r="H43" s="137"/>
      <c r="I43" s="34"/>
      <c r="J43" s="88"/>
      <c r="K43" s="88"/>
      <c r="L43" s="102">
        <f>MAX(F43:G43)</f>
        <v>132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3" t="s">
        <v>62</v>
      </c>
      <c r="E55" s="444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8"/>
      <c r="E56" s="518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20"/>
      <c r="E57" s="521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0" t="s">
        <v>69</v>
      </c>
      <c r="E60" s="430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8"/>
      <c r="E61" s="518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20"/>
      <c r="E62" s="521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K3HgnS5dccS86Yjve7JWcxZSyfZya9GoOpX8GQomUzDbnbEhRnbXpjmIQPK5YaUB4yMnrF0BpiALucy4XZzs1g==" saltValue="DG2wiCuTQpLvPnNG9XG5+g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0" t="s">
        <v>26</v>
      </c>
      <c r="C2" s="430"/>
      <c r="D2" s="430"/>
      <c r="E2" s="430"/>
      <c r="F2" s="430"/>
      <c r="G2" s="430"/>
      <c r="H2" s="430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5" t="s">
        <v>85</v>
      </c>
      <c r="C3" s="525"/>
      <c r="D3" s="525"/>
      <c r="E3" s="525"/>
      <c r="F3" s="525"/>
      <c r="G3" s="525"/>
      <c r="H3" s="525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OPoHeZN/rIBjuvb17WawRwFCfR1Ud8i5iv+C5kBByv4h1MckY1TkWzF/qzDNeHUSzaCLCy1vf6FC5tzYLeq0og==" saltValue="Zre8LQWWgFv4sP1Sp4/D2g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0" t="s">
        <v>23</v>
      </c>
      <c r="C2" s="430"/>
      <c r="D2" s="430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gwjzuipasKkff1ft8O8UyCxxAX7mcr+kAqsuXMa3DIsXR5mA48pTfUO6AIbCLHp7EyrP3lbhN+/ESWVwRbBr/A==" saltValue="QjKDXy/wBaR9Rpfe9zecbQ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topLeftCell="A19" zoomScaleNormal="100" workbookViewId="0">
      <selection activeCell="B15" sqref="B15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0" t="s">
        <v>22</v>
      </c>
      <c r="C2" s="430"/>
      <c r="D2" s="430"/>
      <c r="E2" s="430"/>
      <c r="F2" s="430"/>
      <c r="G2" s="430"/>
      <c r="H2" s="430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125.9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154.36000000000001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154.36000000000001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125.9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125.9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125.9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154.36000000000001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154.36000000000001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154.36000000000001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154.36000000000001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170.64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125.9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125.9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154.36000000000001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125.9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125.9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154.36000000000001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154.36000000000001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154.36000000000001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125.9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125.9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125.9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125.9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154.36000000000001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154.36000000000001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154.36000000000001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154.36000000000001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154.36000000000001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125.9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125.9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154.36000000000001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154.36000000000001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125.9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125.9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154.36000000000001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125.9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bio5R3NvMOFAwIq8gZ6rB9vgiYbpcBFZ3MEdTMb0VunodeRGbVy+gD/eWabow4P+Kc+iSIdxhPmKj0dFtR5DgA==" saltValue="6x8ajeH1xpRdEMUI1MmmE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g9KWzUe8gYlSVcMGQfR1CbOtBqW5cw+e/5Dpa3a+HIkvsZ97OyUmiIQsywFNtaN1vsRhYJ7eZjDP0c1FpVD9Gg==" saltValue="54XDG/vPwUqyvEyptGj9l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6" t="s">
        <v>14</v>
      </c>
      <c r="C2" s="526"/>
      <c r="D2" s="526"/>
      <c r="E2" s="526"/>
      <c r="F2" s="526"/>
      <c r="G2" s="526"/>
      <c r="H2" s="526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5g+5AcBwpxTzhN4pknNobI/0kQzR12g6s27CAU9YBzvF3FIniEhXIJFb6pT4JXi51M6O2PKmL0WiQPA0kjViPg==" saltValue="2yElYEbIyD1udZEhCEEYsw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7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7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7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7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i++i10xrAsglBwjHfNPCllX4/aE1ODOnvxQv8IKgLpxY387Rc6UrjUO3ZyWamZc4XkTjW/tWQ0d5wbrfnnFx5Q==" saltValue="umOxStyEBXtU2BozcJvJO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3XrO0ijpIwsrDSJ43MFmlY3HOUUV1/cOoun2qDjSBoZTy2V8nvZyXEWT4U3zjbgMXkLsM33WxOrkDfwAcdWqIg==" saltValue="tlWRS+VLiE2A4WHpR44sUw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EJ0SCdNO/e9aAM4IQZcDW3LiL9nPplWGQOdS1gbCTXiVrpK9fGExYZJLmvbYipQRSYIlsmlDoIyLzps/lbAtsg==" saltValue="YSeuvKKLiBY55wz1vJOvNg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Figueira, Leandro</cp:lastModifiedBy>
  <dcterms:created xsi:type="dcterms:W3CDTF">2006-09-25T12:47:36Z</dcterms:created>
  <dcterms:modified xsi:type="dcterms:W3CDTF">2017-11-16T18:01:30Z</dcterms:modified>
</cp:coreProperties>
</file>