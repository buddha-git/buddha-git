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quel.bouzan\Desktop\"/>
    </mc:Choice>
  </mc:AlternateContent>
  <workbookProtection workbookAlgorithmName="SHA-512" workbookHashValue="0UHNAAzyrz9XerzytkLtJjak0TUiiADYfuGcQF9ng6iHX7PoVLAuxvNLUaQj3OCNi3fD/G01POK6grWNA4HJIg==" workbookSaltValue="GIZDOIiWtCb9utpQ1ExcKA==" workbookSpinCount="100000" lockStructure="1"/>
  <bookViews>
    <workbookView xWindow="0" yWindow="0" windowWidth="19200" windowHeight="1137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M28" i="21" l="1"/>
  <c r="L28" i="21"/>
  <c r="AB28" i="16"/>
  <c r="AA28" i="16"/>
  <c r="Z28" i="16"/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G23" i="12"/>
  <c r="F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F21" i="12"/>
  <c r="G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<sst xmlns="http://schemas.openxmlformats.org/spreadsheetml/2006/main" count="1857" uniqueCount="498">
  <si>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</si>
  <si>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</si>
  <si>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</si>
  <si>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</si>
  <si>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</si>
  <si>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</si>
  <si>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</si>
  <si>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</si>
  <si>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</si>
  <si>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</si>
  <si>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</si>
  <si>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</si>
  <si>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</si>
  <si>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</si>
  <si>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</si>
  <si>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</si>
  <si>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</si>
  <si>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</si>
  <si>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</si>
  <si>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</si>
  <si>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</si>
  <si>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</si>
  <si>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</si>
  <si>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</si>
  <si>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</si>
  <si>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</si>
  <si>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</si>
  <si>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</si>
  <si>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</si>
  <si>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</si>
  <si>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</si>
  <si>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</si>
  <si>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</si>
  <si>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</si>
  <si>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</si>
  <si>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</si>
  <si>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</si>
  <si>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</si>
  <si>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</si>
  <si>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</si>
  <si>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</si>
  <si>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</si>
  <si>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</si>
  <si>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</si>
  <si>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</si>
  <si>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</si>
  <si>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</si>
  <si>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</si>
  <si>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</si>
  <si>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</si>
  <si>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</si>
  <si>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</si>
  <si>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</si>
  <si>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</si>
  <si>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</si>
  <si>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</si>
  <si>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</si>
  <si>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</si>
  <si>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</si>
  <si>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</si>
  <si>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</si>
  <si>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</si>
  <si>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</si>
  <si>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</si>
  <si>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</si>
  <si>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</si>
  <si>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</si>
  <si>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</si>
  <si>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</si>
  <si>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</si>
  <si>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</si>
  <si>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</si>
  <si>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</si>
  <si>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</si>
  <si>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</si>
  <si>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</si>
  <si>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</si>
  <si>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</si>
  <si>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</si>
  <si>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</si>
  <si>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</si>
  <si>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</si>
  <si>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</si>
  <si>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</si>
  <si>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</si>
  <si>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</si>
  <si>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</si>
  <si>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</si>
  <si>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</si>
  <si>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</si>
  <si>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</si>
  <si>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</si>
  <si>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</si>
  <si>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</si>
  <si>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</si>
  <si>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</si>
  <si>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</si>
  <si>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</si>
  <si>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</si>
  <si>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</si>
  <si>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</si>
  <si>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</si>
  <si>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</si>
  <si>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</si>
  <si>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</si>
  <si>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</si>
  <si>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</si>
  <si>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</si>
  <si>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</si>
  <si>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</si>
  <si>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</si>
  <si>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</si>
  <si>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</si>
  <si>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</si>
  <si>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</si>
  <si>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</si>
  <si>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</si>
  <si>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</si>
  <si>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</si>
  <si>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</si>
  <si>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</si>
  <si>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</si>
  <si>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</si>
  <si>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</si>
  <si>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</si>
  <si>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</si>
  <si>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</si>
  <si>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</si>
  <si>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</si>
  <si>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</si>
  <si>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</si>
  <si>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</si>
  <si>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</si>
  <si>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</si>
  <si>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</si>
  <si>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</si>
  <si>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</si>
  <si>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</si>
  <si>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</si>
  <si>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</si>
  <si>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</si>
  <si>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</si>
  <si>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</si>
  <si>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</si>
  <si>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</si>
  <si>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</si>
  <si>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</si>
  <si>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</si>
  <si>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</si>
  <si>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</si>
  <si>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</si>
  <si>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</si>
  <si>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</si>
  <si>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</si>
  <si>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</si>
  <si>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</si>
  <si>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</si>
  <si>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</si>
  <si>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</si>
  <si>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</si>
  <si>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</si>
  <si>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</si>
  <si>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</si>
  <si>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</si>
  <si>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</si>
  <si>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</si>
  <si>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</si>
  <si>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</si>
  <si>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</si>
  <si>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</si>
  <si>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</si>
  <si>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</si>
  <si>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</si>
  <si>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</si>
  <si>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</si>
  <si>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</si>
  <si>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</si>
  <si>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</si>
  <si>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</si>
  <si>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</si>
  <si>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</si>
  <si>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</si>
  <si>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</si>
  <si>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</si>
  <si>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</si>
  <si>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</si>
  <si>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</si>
  <si>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</si>
  <si>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</si>
  <si>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</si>
  <si>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</si>
  <si>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</si>
  <si>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</si>
  <si>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</si>
  <si>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</si>
  <si>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</si>
  <si>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</si>
  <si>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</si>
  <si>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</si>
  <si>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</si>
  <si>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</si>
  <si>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</si>
  <si>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</si>
  <si>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</si>
  <si>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</si>
  <si>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</si>
  <si>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</si>
  <si>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</si>
  <si>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</si>
  <si>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</si>
  <si>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</si>
  <si>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</si>
  <si>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</si>
  <si>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</si>
  <si>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</si>
  <si>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</si>
  <si>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</si>
  <si>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</si>
  <si>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</si>
  <si>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</si>
  <si>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</si>
  <si>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</si>
  <si>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</si>
  <si>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</si>
  <si>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</si>
  <si>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</si>
  <si>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</si>
  <si>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</si>
  <si>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</si>
  <si>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</si>
  <si>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</si>
  <si>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</si>
  <si>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</si>
  <si>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</si>
  <si>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</si>
  <si>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</si>
  <si>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</si>
  <si>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</si>
  <si>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</si>
  <si>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</si>
  <si>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</si>
  <si>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</si>
  <si>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</si>
  <si>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</si>
  <si>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</si>
  <si>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</si>
  <si>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</si>
  <si>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</si>
  <si>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</si>
  <si>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</si>
  <si>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</si>
  <si>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</si>
  <si>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</si>
  <si>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</si>
  <si>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</si>
  <si>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</si>
  <si>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</si>
  <si>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</si>
  <si>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</si>
  <si>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</si>
  <si>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</si>
  <si>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</si>
  <si>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</si>
  <si>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</si>
  <si>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</si>
  <si>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</si>
  <si>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</si>
  <si>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</si>
  <si>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</si>
  <si>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</si>
  <si>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</si>
  <si>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</si>
  <si>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</si>
  <si>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</si>
  <si>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</si>
  <si>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</si>
  <si>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</si>
  <si>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</si>
  <si>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</si>
  <si>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</si>
  <si>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</si>
  <si>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</si>
  <si>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</si>
  <si>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</si>
  <si>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</si>
  <si>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</si>
  <si>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</si>
  <si>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</si>
  <si>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</si>
  <si>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</si>
  <si>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</si>
  <si>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</si>
  <si>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</si>
  <si>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</si>
  <si>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</si>
  <si>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</si>
  <si>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</si>
  <si>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</si>
  <si>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</si>
  <si>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</si>
  <si>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</si>
  <si>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</si>
  <si>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</si>
  <si>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</si>
  <si>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</si>
  <si>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</si>
  <si>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</si>
  <si>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</si>
  <si>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</si>
  <si>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</si>
  <si>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</si>
  <si>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</si>
  <si>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</si>
  <si>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</si>
  <si>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</si>
  <si>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</si>
  <si>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</si>
  <si>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</si>
  <si>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</si>
  <si>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</si>
  <si>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</si>
  <si>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</si>
  <si>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</si>
  <si>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</si>
  <si>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</si>
  <si>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</si>
  <si>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</si>
  <si>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</si>
  <si>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</si>
  <si>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</si>
  <si>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</si>
  <si>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</si>
  <si>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</si>
  <si>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</si>
  <si>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</si>
  <si>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</si>
  <si>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</si>
  <si>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</si>
  <si>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</si>
  <si>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</si>
  <si>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</si>
  <si>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</si>
  <si>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</si>
  <si>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</si>
  <si>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</si>
  <si>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</si>
  <si>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</si>
  <si>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</si>
  <si>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</si>
  <si>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</si>
  <si>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</si>
  <si>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</si>
  <si>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</si>
  <si>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</si>
  <si>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</si>
  <si>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</si>
  <si>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</si>
  <si>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</si>
  <si>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</si>
  <si>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</si>
  <si>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</si>
  <si>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</si>
  <si>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</si>
  <si>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</si>
  <si>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</si>
  <si>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</si>
  <si>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</si>
  <si>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</si>
  <si>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</si>
  <si>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</si>
  <si>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</si>
  <si>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</si>
  <si>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</si>
  <si>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</si>
  <si>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</si>
  <si>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</si>
  <si>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</si>
  <si>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</si>
  <si>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</si>
  <si>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</si>
  <si>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</si>
  <si>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</si>
  <si>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</si>
  <si>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</si>
  <si>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</si>
  <si>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</si>
  <si>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</si>
  <si>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</si>
  <si>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</si>
  <si>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</si>
  <si>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</si>
  <si>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</si>
  <si>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</si>
  <si>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</si>
  <si>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</si>
  <si>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</si>
  <si>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</si>
  <si>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</si>
  <si>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</si>
  <si>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</si>
  <si>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</si>
  <si>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</si>
  <si>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</si>
  <si>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</si>
  <si>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</si>
  <si>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</si>
  <si>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</si>
  <si>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</si>
  <si>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</si>
  <si>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</si>
  <si>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</si>
  <si>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</si>
  <si>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</si>
  <si>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</si>
  <si>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</si>
  <si>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</si>
  <si>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</si>
  <si>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</si>
  <si>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</si>
  <si>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</si>
  <si>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</si>
  <si>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</si>
  <si>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</si>
  <si>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</si>
  <si>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</si>
  <si>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</si>
  <si>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</si>
  <si>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</si>
  <si>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</si>
  <si>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</si>
  <si>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</si>
  <si>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</si>
  <si>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</si>
  <si>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</si>
  <si>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</si>
  <si>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</si>
  <si>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</si>
  <si>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</si>
  <si>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</si>
  <si>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</si>
  <si>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</si>
  <si>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</si>
  <si>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</si>
  <si>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</si>
  <si>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</si>
  <si>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</si>
  <si>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</si>
  <si>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</si>
  <si>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</si>
  <si>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</si>
  <si>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</si>
  <si>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</si>
  <si>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</si>
  <si>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</si>
  <si>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</si>
  <si>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</si>
  <si>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</si>
  <si>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</si>
  <si>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</si>
  <si>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</si>
  <si>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</si>
  <si>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</si>
  <si>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</si>
  <si>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</si>
  <si>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</si>
  <si>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</si>
  <si>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</si>
  <si>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</si>
  <si>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</si>
  <si>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</si>
  <si>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</si>
  <si>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</si>
  <si>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</si>
  <si>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</si>
  <si>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</si>
  <si>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</si>
  <si>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</si>
  <si>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</si>
  <si>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</si>
  <si>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</si>
  <si>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</si>
  <si>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</si>
  <si>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</si>
  <si>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</si>
  <si>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</si>
  <si>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</si>
  <si>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</si>
  <si>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</si>
  <si>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</si>
  <si>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</si>
  <si>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</si>
  <si>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</si>
  <si>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</si>
  <si>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</si>
  <si>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Accenture - Torre II - EXTRABASELINE</t>
  </si>
  <si>
    <t>PRJ00006674</t>
  </si>
  <si>
    <t>PRJ00006674 - Fase 4 - Tributação de Créditos</t>
  </si>
  <si>
    <t>Configuração CR e Implantação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</si>
</sst>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_-;\-* #,##0.00_-;_-* &quot;-&quot;??_-;_-@_-"/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0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528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30">
    <cellStyle name="Bom 2" xfId="17"/>
    <cellStyle name="Comma" xfId="6" builtinId="3"/>
    <cellStyle name="Comma 2" xfId="26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ercent 2" xfId="25"/>
    <cellStyle name="Porcentagem 2" xfId="10"/>
    <cellStyle name="Porcentagem 3" xfId="15"/>
    <cellStyle name="Vírgula 2" xfId="7"/>
    <cellStyle name="Vírgula 2 2" xfId="12"/>
    <cellStyle name="Vírgula 2 3" xfId="20"/>
    <cellStyle name="Vírgula 2 3 2" xfId="29"/>
    <cellStyle name="Vírgula 2 4" xfId="27"/>
    <cellStyle name="Vírgula 3" xfId="16"/>
    <cellStyle name="Vírgula 3 2" xfId="28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0" totalsRowShown="0" headerRowDxfId="65" headerRowBorderDxfId="64" tableBorderDxfId="63" totalsRowBorderDxfId="62">
  <autoFilter ref="E4:E30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8" totalsRowShown="0" headerRowDxfId="22" dataDxfId="21">
  <autoFilter ref="Y2:AD28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8" totalsRowShown="0">
  <autoFilter ref="K2:M28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9" t="s">
        <v>360</v>
      </c>
      <c r="B6" s="429"/>
      <c r="C6" s="429"/>
      <c r="D6" s="429"/>
      <c r="E6" s="429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RzGx+rL4wYLsaR6Wv+3FO1pagN4syEa2hj86q1orvRfpOwJpTvYv6hjUueRXlz1etA1z/P+sx/drsqyITxfgKA==" saltValue="O+cvmiG66sJ1fE5lVOnF8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H10" sqref="H10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8" t="s">
        <v>25</v>
      </c>
      <c r="C2" s="438"/>
      <c r="D2" s="438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9" t="s">
        <v>494</v>
      </c>
      <c r="D4" s="440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3" t="s">
        <v>495</v>
      </c>
      <c r="D6" s="444"/>
      <c r="E6" s="61"/>
      <c r="F6" s="161"/>
    </row>
    <row r="7" spans="2:6" ht="18" customHeight="1" x14ac:dyDescent="0.2">
      <c r="B7" s="189" t="s">
        <v>280</v>
      </c>
      <c r="C7" s="443">
        <v>23307</v>
      </c>
      <c r="D7" s="444"/>
      <c r="E7" s="61"/>
      <c r="F7" s="161"/>
    </row>
    <row r="8" spans="2:6" ht="54" customHeight="1" x14ac:dyDescent="0.2">
      <c r="B8" s="52" t="s">
        <v>21</v>
      </c>
      <c r="C8" s="445" t="s">
        <v>496</v>
      </c>
      <c r="D8" s="446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7" t="str">
        <f>IFERROR(VLOOKUP(Sistema,Produtividades[],COLUMN(Produtividades[[#Headers],[Contrato]])-1,FALSE),"")</f>
        <v>Uso comercial</v>
      </c>
      <c r="D11" s="448"/>
      <c r="F11" s="158"/>
    </row>
    <row r="12" spans="2:6" x14ac:dyDescent="0.2">
      <c r="F12" s="158"/>
    </row>
    <row r="13" spans="2:6" x14ac:dyDescent="0.2">
      <c r="B13" s="179" t="s">
        <v>271</v>
      </c>
      <c r="C13" s="447" t="s">
        <v>173</v>
      </c>
      <c r="D13" s="448"/>
      <c r="F13" s="158"/>
    </row>
    <row r="14" spans="2:6" x14ac:dyDescent="0.2">
      <c r="F14" s="158"/>
    </row>
    <row r="15" spans="2:6" x14ac:dyDescent="0.2">
      <c r="B15" s="53" t="s">
        <v>166</v>
      </c>
      <c r="C15" s="453" t="s">
        <v>96</v>
      </c>
      <c r="D15" s="454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5" t="s">
        <v>156</v>
      </c>
      <c r="D17" s="456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7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8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9">
        <f>Horas_APF</f>
        <v>0</v>
      </c>
      <c r="D26" s="450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1" t="s">
        <v>24</v>
      </c>
      <c r="D28" s="452"/>
      <c r="E28" s="19"/>
      <c r="F28" s="19"/>
    </row>
    <row r="29" spans="2:6" ht="18" customHeight="1" x14ac:dyDescent="0.2">
      <c r="B29" s="52" t="s">
        <v>29</v>
      </c>
      <c r="C29" s="447">
        <f ca="1">ROUND(IF(RespostaContagem=Sim,Horas_HH_Total,Horas_HH_Total+EsforcoFases[[#Totals],[Esforço em Horas (preenchido)]]),2)</f>
        <v>39</v>
      </c>
      <c r="D29" s="448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7.02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1" t="e">
        <f ca="1">ROUND((Horas_APF+Horas_Analogia+Horas_HH+Horas_Gestao)*Flip,2)</f>
        <v>#VALUE!</v>
      </c>
      <c r="D34" s="442"/>
      <c r="E34" s="16"/>
      <c r="F34" s="16"/>
    </row>
    <row r="36" spans="2:6" x14ac:dyDescent="0.2">
      <c r="B36" s="53" t="s">
        <v>175</v>
      </c>
      <c r="C36" s="430">
        <f>VLOOKUP(Sistema,Produtividades[],COLUMN(Produtividades[[#Headers],[Taxa horária]])-1,FALSE)</f>
        <v>177.51</v>
      </c>
      <c r="D36" s="431"/>
    </row>
    <row r="38" spans="2:6" x14ac:dyDescent="0.2">
      <c r="B38" s="53" t="s">
        <v>179</v>
      </c>
      <c r="C38" s="430" t="e">
        <f ca="1">Horas_Total*Taxa_Horaria</f>
        <v>#VALUE!</v>
      </c>
      <c r="D38" s="431"/>
    </row>
    <row r="40" spans="2:6" x14ac:dyDescent="0.2">
      <c r="B40" s="53" t="s">
        <v>178</v>
      </c>
      <c r="C40" s="432"/>
      <c r="D40" s="433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6"/>
      <c r="D42" s="437"/>
    </row>
    <row r="44" spans="2:6" ht="15.75" x14ac:dyDescent="0.2">
      <c r="B44" s="53" t="s">
        <v>180</v>
      </c>
      <c r="C44" s="434" t="e">
        <f ca="1">Custo-Desconto</f>
        <v>#VALUE!</v>
      </c>
      <c r="D44" s="435"/>
    </row>
  </sheetData>
  <sheetProtection algorithmName="SHA-512" hashValue="9PreARSMKxjSkogP1oWkpktrYpPoOmT9eeLVtOOdVKOvz6ZcB+eKEc482Wgjpy/V3CMPbPSJDFTxRv+VvWhlMg==" saltValue="4Shns/cGZFGux8WJrkwSSg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8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ymLWgsWkOWPlolGsTiLVkpxRQLXORkB2Vre8bUh5C6zFTq5x4Quzi5MdRST4+uydbisOgmmolWZb81tnYAZpRg==" saltValue="7L/7uKJywdaliAi7j97lTg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8" t="s">
        <v>71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38"/>
      <c r="P2" s="438"/>
    </row>
    <row r="3" spans="2:19" s="31" customFormat="1" ht="20.100000000000001" customHeight="1" x14ac:dyDescent="0.2">
      <c r="B3" s="457" t="s">
        <v>40</v>
      </c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MNBby1kp71clOkwShx6M6oPoYlvoQyw5PuiCgzptXQh0nD5FZSD6/ttUlOZDw0yPUmam3YDMLo/mhMsekYJ/cQ==" saltValue="eY6pzT517YZhHlWFySihuw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8" t="s">
        <v>98</v>
      </c>
      <c r="D2" s="438"/>
      <c r="E2" s="438"/>
      <c r="F2" s="438"/>
      <c r="G2" s="438"/>
      <c r="H2" s="438"/>
      <c r="I2" s="438"/>
    </row>
    <row r="3" spans="2:25" s="31" customFormat="1" ht="34.5" customHeight="1" x14ac:dyDescent="0.2">
      <c r="B3" s="30"/>
      <c r="C3" s="466"/>
      <c r="D3" s="466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7">
        <f>SUM(Q:Q)</f>
        <v>0</v>
      </c>
      <c r="E5" s="467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8" t="s">
        <v>100</v>
      </c>
      <c r="D8" s="458" t="s">
        <v>101</v>
      </c>
      <c r="E8" s="458" t="s">
        <v>4</v>
      </c>
      <c r="F8" s="458" t="s">
        <v>102</v>
      </c>
      <c r="G8" s="458" t="s">
        <v>103</v>
      </c>
      <c r="H8" s="468" t="s">
        <v>104</v>
      </c>
      <c r="I8" s="468"/>
      <c r="J8" s="468"/>
      <c r="K8" s="468"/>
      <c r="L8" s="468"/>
      <c r="M8" s="468"/>
      <c r="N8" s="468"/>
      <c r="O8" s="468"/>
      <c r="P8" s="468"/>
      <c r="Q8" s="458" t="s">
        <v>105</v>
      </c>
    </row>
    <row r="9" spans="2:25" ht="25.5" x14ac:dyDescent="0.2">
      <c r="C9" s="459"/>
      <c r="D9" s="459"/>
      <c r="E9" s="459"/>
      <c r="F9" s="459"/>
      <c r="G9" s="459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1" t="s">
        <v>112</v>
      </c>
      <c r="Q9" s="459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0"/>
      <c r="D10" s="460"/>
      <c r="E10" s="460"/>
      <c r="F10" s="460"/>
      <c r="G10" s="460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2"/>
      <c r="Q10" s="460"/>
    </row>
    <row r="11" spans="2:25" ht="15" x14ac:dyDescent="0.2">
      <c r="C11" s="463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4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4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4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4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4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4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4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4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4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4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4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4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4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4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4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4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5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xAErd5ryE2r2D81xJtSSKmJ6NjnI78P/1wvw9b4YFOu5Z5Ua7k6HtTqQlnAfbTkpLa/lJOkD3nY1LkGBuPPsVw==" saltValue="ligcWn7QEMKHZ0/l2VbqW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8" t="s">
        <v>410</v>
      </c>
      <c r="D2" s="438"/>
      <c r="E2" s="438"/>
      <c r="F2" s="438"/>
      <c r="G2" s="438"/>
      <c r="H2" s="438"/>
      <c r="I2" s="438"/>
      <c r="J2" s="438"/>
    </row>
    <row r="3" spans="2:20" s="31" customFormat="1" ht="34.5" customHeight="1" x14ac:dyDescent="0.2">
      <c r="B3" s="30"/>
      <c r="C3" s="466"/>
      <c r="D3" s="466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</row>
    <row r="9" spans="2:20" ht="37.5" customHeight="1" x14ac:dyDescent="0.2"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</row>
    <row r="11" spans="2:20" ht="15" customHeight="1" x14ac:dyDescent="0.2">
      <c r="C11" s="469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9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9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9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9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9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9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9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9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9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9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9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9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9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9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9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9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9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9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9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9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9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9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9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9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9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9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zpAfek7kp3sJKNMjqMGvIdP9sGs1K3s0rn+stBJKCN8YBja6NJaE6SvXYbI/OXgByTMgCk9fDOGNE65YLa7Rpg==" saltValue="u6KjtSaN70qWJPf3x0No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8" t="s">
        <v>411</v>
      </c>
      <c r="D2" s="438"/>
      <c r="E2" s="438"/>
      <c r="F2" s="438"/>
      <c r="G2" s="438"/>
      <c r="H2" s="438"/>
      <c r="I2" s="438"/>
      <c r="J2" s="438"/>
    </row>
    <row r="3" spans="2:20" s="31" customFormat="1" ht="34.5" customHeight="1" x14ac:dyDescent="0.2">
      <c r="B3" s="30"/>
      <c r="C3" s="466"/>
      <c r="D3" s="466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  <c r="N10" s="34"/>
      <c r="O10" s="34"/>
      <c r="P10" s="34"/>
      <c r="Q10" s="34"/>
      <c r="R10" s="34"/>
      <c r="S10" s="34"/>
      <c r="T10" s="34"/>
    </row>
    <row r="11" spans="2:20" ht="15" x14ac:dyDescent="0.2">
      <c r="C11" s="476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6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6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6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6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6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6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6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6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6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6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6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6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6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6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6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6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6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6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6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6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6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6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6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6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6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h8l7ovT2A/aJ3H0rkiyEHZ/YpPm7UI03yG0r1N2bF/+kaKt0FFH8JR6c1PW3nJBnnugrIns00vWnVCihGoEtXg==" saltValue="BPkmwzW5EPbneuewQj9/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8" t="s">
        <v>433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9" t="s">
        <v>412</v>
      </c>
      <c r="M8" s="500"/>
      <c r="N8" s="323"/>
      <c r="O8" s="499" t="s">
        <v>413</v>
      </c>
      <c r="P8" s="500"/>
      <c r="Q8" s="323"/>
      <c r="R8" s="501" t="s">
        <v>414</v>
      </c>
      <c r="S8" s="502"/>
      <c r="T8" s="503"/>
      <c r="U8" s="333"/>
      <c r="V8" s="336"/>
      <c r="W8" s="496" t="s">
        <v>104</v>
      </c>
      <c r="X8" s="497"/>
      <c r="Y8" s="497"/>
      <c r="Z8" s="498"/>
      <c r="AA8" s="494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9"/>
      <c r="B9" s="487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506" t="s">
        <v>415</v>
      </c>
      <c r="K9" s="504" t="s">
        <v>5</v>
      </c>
      <c r="L9" s="483" t="s">
        <v>441</v>
      </c>
      <c r="M9" s="484"/>
      <c r="N9" s="331" t="s">
        <v>424</v>
      </c>
      <c r="O9" s="483" t="s">
        <v>442</v>
      </c>
      <c r="P9" s="484"/>
      <c r="Q9" s="331" t="s">
        <v>423</v>
      </c>
      <c r="R9" s="483" t="s">
        <v>443</v>
      </c>
      <c r="S9" s="492"/>
      <c r="T9" s="484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5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9"/>
      <c r="B10" s="488"/>
      <c r="C10" s="491"/>
      <c r="D10" s="491"/>
      <c r="E10" s="491"/>
      <c r="F10" s="491"/>
      <c r="G10" s="491"/>
      <c r="H10" s="491"/>
      <c r="I10" s="491"/>
      <c r="J10" s="491"/>
      <c r="K10" s="505"/>
      <c r="L10" s="485"/>
      <c r="M10" s="486"/>
      <c r="N10" s="332"/>
      <c r="O10" s="485"/>
      <c r="P10" s="486"/>
      <c r="Q10" s="332"/>
      <c r="R10" s="485"/>
      <c r="S10" s="493"/>
      <c r="T10" s="486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5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80"/>
      <c r="M11" s="482"/>
      <c r="N11" s="346" t="str">
        <f t="shared" ref="N11:N28" si="0">IF(L11="","",$AC$12&amp;L11)</f>
        <v/>
      </c>
      <c r="O11" s="480"/>
      <c r="P11" s="482"/>
      <c r="Q11" s="346" t="str">
        <f t="shared" ref="Q11:Q27" si="1">IF(O11="","",$AC$15&amp;O11)</f>
        <v/>
      </c>
      <c r="R11" s="480"/>
      <c r="S11" s="481"/>
      <c r="T11" s="482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80"/>
      <c r="M12" s="482"/>
      <c r="N12" s="346" t="str">
        <f t="shared" si="0"/>
        <v/>
      </c>
      <c r="O12" s="480"/>
      <c r="P12" s="482"/>
      <c r="Q12" s="346" t="str">
        <f t="shared" si="1"/>
        <v/>
      </c>
      <c r="R12" s="480"/>
      <c r="S12" s="481"/>
      <c r="T12" s="482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80"/>
      <c r="M13" s="482"/>
      <c r="N13" s="346" t="str">
        <f t="shared" si="0"/>
        <v/>
      </c>
      <c r="O13" s="480"/>
      <c r="P13" s="482"/>
      <c r="Q13" s="346" t="str">
        <f t="shared" si="1"/>
        <v/>
      </c>
      <c r="R13" s="480"/>
      <c r="S13" s="481"/>
      <c r="T13" s="482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80"/>
      <c r="M14" s="482"/>
      <c r="N14" s="346" t="str">
        <f t="shared" si="0"/>
        <v/>
      </c>
      <c r="O14" s="480"/>
      <c r="P14" s="482"/>
      <c r="Q14" s="346" t="str">
        <f t="shared" si="1"/>
        <v/>
      </c>
      <c r="R14" s="480"/>
      <c r="S14" s="481"/>
      <c r="T14" s="482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80"/>
      <c r="M15" s="482"/>
      <c r="N15" s="346" t="str">
        <f t="shared" si="0"/>
        <v/>
      </c>
      <c r="O15" s="480"/>
      <c r="P15" s="482"/>
      <c r="Q15" s="346" t="str">
        <f t="shared" si="1"/>
        <v/>
      </c>
      <c r="R15" s="480"/>
      <c r="S15" s="481"/>
      <c r="T15" s="482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80"/>
      <c r="M16" s="482"/>
      <c r="N16" s="346" t="str">
        <f t="shared" si="0"/>
        <v/>
      </c>
      <c r="O16" s="480"/>
      <c r="P16" s="482"/>
      <c r="Q16" s="346" t="str">
        <f t="shared" si="1"/>
        <v/>
      </c>
      <c r="R16" s="480"/>
      <c r="S16" s="481"/>
      <c r="T16" s="482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80"/>
      <c r="M17" s="482"/>
      <c r="N17" s="346" t="str">
        <f t="shared" si="0"/>
        <v/>
      </c>
      <c r="O17" s="480"/>
      <c r="P17" s="482"/>
      <c r="Q17" s="346" t="str">
        <f t="shared" si="1"/>
        <v/>
      </c>
      <c r="R17" s="480"/>
      <c r="S17" s="481"/>
      <c r="T17" s="482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80"/>
      <c r="M18" s="482"/>
      <c r="N18" s="346" t="str">
        <f t="shared" si="0"/>
        <v/>
      </c>
      <c r="O18" s="480"/>
      <c r="P18" s="482"/>
      <c r="Q18" s="346" t="str">
        <f t="shared" si="1"/>
        <v/>
      </c>
      <c r="R18" s="480"/>
      <c r="S18" s="481"/>
      <c r="T18" s="482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80"/>
      <c r="M19" s="482"/>
      <c r="N19" s="346" t="str">
        <f t="shared" si="0"/>
        <v/>
      </c>
      <c r="O19" s="480"/>
      <c r="P19" s="482"/>
      <c r="Q19" s="346" t="str">
        <f t="shared" si="1"/>
        <v/>
      </c>
      <c r="R19" s="480"/>
      <c r="S19" s="481"/>
      <c r="T19" s="482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80"/>
      <c r="M20" s="482"/>
      <c r="N20" s="346" t="str">
        <f t="shared" si="0"/>
        <v/>
      </c>
      <c r="O20" s="480"/>
      <c r="P20" s="482"/>
      <c r="Q20" s="346" t="str">
        <f t="shared" si="1"/>
        <v/>
      </c>
      <c r="R20" s="480"/>
      <c r="S20" s="481"/>
      <c r="T20" s="482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80"/>
      <c r="M21" s="482"/>
      <c r="N21" s="346" t="str">
        <f t="shared" si="0"/>
        <v/>
      </c>
      <c r="O21" s="480"/>
      <c r="P21" s="482"/>
      <c r="Q21" s="346" t="str">
        <f t="shared" si="1"/>
        <v/>
      </c>
      <c r="R21" s="480"/>
      <c r="S21" s="481"/>
      <c r="T21" s="482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80"/>
      <c r="M22" s="482"/>
      <c r="N22" s="346" t="str">
        <f t="shared" si="0"/>
        <v/>
      </c>
      <c r="O22" s="480"/>
      <c r="P22" s="482"/>
      <c r="Q22" s="346" t="str">
        <f t="shared" si="1"/>
        <v/>
      </c>
      <c r="R22" s="480"/>
      <c r="S22" s="481"/>
      <c r="T22" s="482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80"/>
      <c r="M23" s="482"/>
      <c r="N23" s="346" t="str">
        <f t="shared" si="0"/>
        <v/>
      </c>
      <c r="O23" s="480"/>
      <c r="P23" s="482"/>
      <c r="Q23" s="346" t="str">
        <f t="shared" si="1"/>
        <v/>
      </c>
      <c r="R23" s="480"/>
      <c r="S23" s="481"/>
      <c r="T23" s="482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80"/>
      <c r="M24" s="482"/>
      <c r="N24" s="346" t="str">
        <f t="shared" si="0"/>
        <v/>
      </c>
      <c r="O24" s="480"/>
      <c r="P24" s="482"/>
      <c r="Q24" s="346" t="str">
        <f t="shared" si="1"/>
        <v/>
      </c>
      <c r="R24" s="480"/>
      <c r="S24" s="481"/>
      <c r="T24" s="482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80"/>
      <c r="M25" s="482"/>
      <c r="N25" s="346" t="str">
        <f t="shared" si="0"/>
        <v/>
      </c>
      <c r="O25" s="480"/>
      <c r="P25" s="482"/>
      <c r="Q25" s="346" t="str">
        <f t="shared" si="1"/>
        <v/>
      </c>
      <c r="R25" s="480"/>
      <c r="S25" s="481"/>
      <c r="T25" s="482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80"/>
      <c r="M26" s="482"/>
      <c r="N26" s="346" t="str">
        <f t="shared" si="0"/>
        <v/>
      </c>
      <c r="O26" s="480"/>
      <c r="P26" s="482"/>
      <c r="Q26" s="346" t="str">
        <f t="shared" si="1"/>
        <v/>
      </c>
      <c r="R26" s="480"/>
      <c r="S26" s="481"/>
      <c r="T26" s="482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80"/>
      <c r="M27" s="482"/>
      <c r="N27" s="346" t="str">
        <f t="shared" si="0"/>
        <v/>
      </c>
      <c r="O27" s="480"/>
      <c r="P27" s="482"/>
      <c r="Q27" s="346" t="str">
        <f t="shared" si="1"/>
        <v/>
      </c>
      <c r="R27" s="480"/>
      <c r="S27" s="481"/>
      <c r="T27" s="482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80"/>
      <c r="M28" s="482"/>
      <c r="N28" s="346" t="str">
        <f t="shared" si="0"/>
        <v/>
      </c>
      <c r="O28" s="480"/>
      <c r="P28" s="482"/>
      <c r="Q28" s="346" t="str">
        <f t="shared" ref="Q28:Q38" si="13">IF(O28="","",$AC$15&amp;O28)</f>
        <v/>
      </c>
      <c r="R28" s="480"/>
      <c r="S28" s="481"/>
      <c r="T28" s="482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80"/>
      <c r="M29" s="482"/>
      <c r="N29" s="346" t="str">
        <f t="shared" ref="N29:N40" si="14">IF(L29="","",$AC$12&amp;L29)</f>
        <v/>
      </c>
      <c r="O29" s="480"/>
      <c r="P29" s="482"/>
      <c r="Q29" s="346" t="str">
        <f t="shared" si="13"/>
        <v/>
      </c>
      <c r="R29" s="480"/>
      <c r="S29" s="481"/>
      <c r="T29" s="482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80"/>
      <c r="M30" s="482"/>
      <c r="N30" s="346" t="str">
        <f t="shared" si="14"/>
        <v/>
      </c>
      <c r="O30" s="480"/>
      <c r="P30" s="482"/>
      <c r="Q30" s="346" t="str">
        <f t="shared" si="13"/>
        <v/>
      </c>
      <c r="R30" s="480"/>
      <c r="S30" s="481"/>
      <c r="T30" s="482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80"/>
      <c r="M31" s="482"/>
      <c r="N31" s="346" t="str">
        <f t="shared" si="14"/>
        <v/>
      </c>
      <c r="O31" s="480"/>
      <c r="P31" s="482"/>
      <c r="Q31" s="346" t="str">
        <f t="shared" si="13"/>
        <v/>
      </c>
      <c r="R31" s="480"/>
      <c r="S31" s="481"/>
      <c r="T31" s="482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80"/>
      <c r="M32" s="482"/>
      <c r="N32" s="346" t="str">
        <f t="shared" si="14"/>
        <v/>
      </c>
      <c r="O32" s="480"/>
      <c r="P32" s="482"/>
      <c r="Q32" s="346" t="str">
        <f t="shared" si="13"/>
        <v/>
      </c>
      <c r="R32" s="480"/>
      <c r="S32" s="481"/>
      <c r="T32" s="482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80"/>
      <c r="M33" s="482"/>
      <c r="N33" s="346" t="str">
        <f t="shared" si="14"/>
        <v/>
      </c>
      <c r="O33" s="480"/>
      <c r="P33" s="482"/>
      <c r="Q33" s="346" t="str">
        <f t="shared" si="13"/>
        <v/>
      </c>
      <c r="R33" s="480"/>
      <c r="S33" s="481"/>
      <c r="T33" s="482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80"/>
      <c r="M34" s="482"/>
      <c r="N34" s="346" t="str">
        <f t="shared" si="14"/>
        <v/>
      </c>
      <c r="O34" s="480"/>
      <c r="P34" s="482"/>
      <c r="Q34" s="346" t="str">
        <f t="shared" si="13"/>
        <v/>
      </c>
      <c r="R34" s="480"/>
      <c r="S34" s="481"/>
      <c r="T34" s="482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80"/>
      <c r="M35" s="482"/>
      <c r="N35" s="346" t="str">
        <f t="shared" si="14"/>
        <v/>
      </c>
      <c r="O35" s="480"/>
      <c r="P35" s="482"/>
      <c r="Q35" s="346" t="str">
        <f t="shared" si="13"/>
        <v/>
      </c>
      <c r="R35" s="480"/>
      <c r="S35" s="481"/>
      <c r="T35" s="482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80"/>
      <c r="M36" s="482"/>
      <c r="N36" s="346" t="str">
        <f t="shared" si="14"/>
        <v/>
      </c>
      <c r="O36" s="480"/>
      <c r="P36" s="482"/>
      <c r="Q36" s="346" t="str">
        <f t="shared" si="13"/>
        <v/>
      </c>
      <c r="R36" s="480"/>
      <c r="S36" s="481"/>
      <c r="T36" s="482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80"/>
      <c r="M37" s="482"/>
      <c r="N37" s="346" t="str">
        <f t="shared" si="14"/>
        <v/>
      </c>
      <c r="O37" s="480"/>
      <c r="P37" s="482"/>
      <c r="Q37" s="346" t="str">
        <f t="shared" si="13"/>
        <v/>
      </c>
      <c r="R37" s="480"/>
      <c r="S37" s="481"/>
      <c r="T37" s="482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80"/>
      <c r="M38" s="482"/>
      <c r="N38" s="346" t="str">
        <f t="shared" si="14"/>
        <v/>
      </c>
      <c r="O38" s="480"/>
      <c r="P38" s="482"/>
      <c r="Q38" s="346" t="str">
        <f t="shared" si="13"/>
        <v/>
      </c>
      <c r="R38" s="480"/>
      <c r="S38" s="481"/>
      <c r="T38" s="482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80"/>
      <c r="M39" s="482"/>
      <c r="N39" s="346" t="str">
        <f t="shared" si="14"/>
        <v/>
      </c>
      <c r="O39" s="480"/>
      <c r="P39" s="482"/>
      <c r="Q39" s="346" t="str">
        <f t="shared" ref="Q39:Q50" si="16">IF(O39="","",$AC$15&amp;O39)</f>
        <v/>
      </c>
      <c r="R39" s="480"/>
      <c r="S39" s="481"/>
      <c r="T39" s="482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80"/>
      <c r="M40" s="482"/>
      <c r="N40" s="346" t="str">
        <f t="shared" si="14"/>
        <v/>
      </c>
      <c r="O40" s="480"/>
      <c r="P40" s="482"/>
      <c r="Q40" s="346" t="str">
        <f t="shared" si="16"/>
        <v/>
      </c>
      <c r="R40" s="480"/>
      <c r="S40" s="481"/>
      <c r="T40" s="482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80"/>
      <c r="M41" s="482"/>
      <c r="N41" s="346" t="str">
        <f t="shared" ref="N41:N50" si="17">IF(L41="","",$AC$12&amp;L41)</f>
        <v/>
      </c>
      <c r="O41" s="480"/>
      <c r="P41" s="482"/>
      <c r="Q41" s="346" t="str">
        <f t="shared" si="16"/>
        <v/>
      </c>
      <c r="R41" s="480"/>
      <c r="S41" s="481"/>
      <c r="T41" s="482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80"/>
      <c r="M42" s="482"/>
      <c r="N42" s="346" t="str">
        <f t="shared" si="17"/>
        <v/>
      </c>
      <c r="O42" s="480"/>
      <c r="P42" s="482"/>
      <c r="Q42" s="346" t="str">
        <f t="shared" si="16"/>
        <v/>
      </c>
      <c r="R42" s="480"/>
      <c r="S42" s="481"/>
      <c r="T42" s="482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80"/>
      <c r="M43" s="482"/>
      <c r="N43" s="346" t="str">
        <f t="shared" si="17"/>
        <v/>
      </c>
      <c r="O43" s="480"/>
      <c r="P43" s="482"/>
      <c r="Q43" s="346" t="str">
        <f t="shared" si="16"/>
        <v/>
      </c>
      <c r="R43" s="480"/>
      <c r="S43" s="481"/>
      <c r="T43" s="482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80"/>
      <c r="M44" s="482"/>
      <c r="N44" s="346" t="str">
        <f t="shared" si="17"/>
        <v/>
      </c>
      <c r="O44" s="480"/>
      <c r="P44" s="482"/>
      <c r="Q44" s="346" t="str">
        <f t="shared" si="16"/>
        <v/>
      </c>
      <c r="R44" s="480"/>
      <c r="S44" s="481"/>
      <c r="T44" s="482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80"/>
      <c r="M45" s="482"/>
      <c r="N45" s="346" t="str">
        <f t="shared" si="17"/>
        <v/>
      </c>
      <c r="O45" s="480"/>
      <c r="P45" s="482"/>
      <c r="Q45" s="346" t="str">
        <f t="shared" si="16"/>
        <v/>
      </c>
      <c r="R45" s="480"/>
      <c r="S45" s="481"/>
      <c r="T45" s="482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80"/>
      <c r="M46" s="482"/>
      <c r="N46" s="346" t="str">
        <f t="shared" si="17"/>
        <v/>
      </c>
      <c r="O46" s="480"/>
      <c r="P46" s="482"/>
      <c r="Q46" s="346" t="str">
        <f t="shared" si="16"/>
        <v/>
      </c>
      <c r="R46" s="480"/>
      <c r="S46" s="481"/>
      <c r="T46" s="482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80"/>
      <c r="M47" s="482"/>
      <c r="N47" s="346" t="str">
        <f t="shared" si="17"/>
        <v/>
      </c>
      <c r="O47" s="480"/>
      <c r="P47" s="482"/>
      <c r="Q47" s="346" t="str">
        <f t="shared" si="16"/>
        <v/>
      </c>
      <c r="R47" s="480"/>
      <c r="S47" s="481"/>
      <c r="T47" s="482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80"/>
      <c r="M48" s="482"/>
      <c r="N48" s="346" t="str">
        <f t="shared" si="17"/>
        <v/>
      </c>
      <c r="O48" s="480"/>
      <c r="P48" s="482"/>
      <c r="Q48" s="346" t="str">
        <f t="shared" si="16"/>
        <v/>
      </c>
      <c r="R48" s="480"/>
      <c r="S48" s="481"/>
      <c r="T48" s="482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80"/>
      <c r="M49" s="482"/>
      <c r="N49" s="346" t="str">
        <f t="shared" si="17"/>
        <v/>
      </c>
      <c r="O49" s="480"/>
      <c r="P49" s="482"/>
      <c r="Q49" s="346" t="str">
        <f t="shared" si="16"/>
        <v/>
      </c>
      <c r="R49" s="480"/>
      <c r="S49" s="481"/>
      <c r="T49" s="482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80"/>
      <c r="M50" s="482"/>
      <c r="N50" s="346" t="str">
        <f t="shared" si="17"/>
        <v/>
      </c>
      <c r="O50" s="480"/>
      <c r="P50" s="482"/>
      <c r="Q50" s="346" t="str">
        <f t="shared" si="16"/>
        <v/>
      </c>
      <c r="R50" s="480"/>
      <c r="S50" s="481"/>
      <c r="T50" s="482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7"/>
      <c r="M51" s="478"/>
      <c r="N51" s="346" t="str">
        <f t="shared" ref="N51" si="18">IF(AND(L51&lt;&gt;"",M51&lt;&gt;""),CONCATENATE($AC$12,L51,M51),"")</f>
        <v/>
      </c>
      <c r="O51" s="477"/>
      <c r="P51" s="478"/>
      <c r="Q51" s="346" t="str">
        <f t="shared" ref="Q51" si="19">IF(AND(O51&lt;&gt;"",P51&lt;&gt;""),CONCATENATE($AC$15,O51,P51),"")</f>
        <v/>
      </c>
      <c r="R51" s="477"/>
      <c r="S51" s="479"/>
      <c r="T51" s="478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YBaUk4ZcvUAeQHRtBuyQthM/kZfUEnV6MT/p3CvG6rHA2YDC7QEq/bqC5YHGW6yd+zJXkq6Ijx42KpDcPpg2AA==" saltValue="j+obYjdFV9Rl1p8PgI773A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8" t="s">
        <v>433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9" t="s">
        <v>412</v>
      </c>
      <c r="M8" s="500"/>
      <c r="N8" s="323"/>
      <c r="O8" s="499" t="s">
        <v>413</v>
      </c>
      <c r="P8" s="500"/>
      <c r="Q8" s="323"/>
      <c r="R8" s="501" t="s">
        <v>414</v>
      </c>
      <c r="S8" s="502"/>
      <c r="T8" s="503"/>
      <c r="U8" s="333"/>
      <c r="V8" s="336"/>
      <c r="W8" s="496" t="s">
        <v>104</v>
      </c>
      <c r="X8" s="497"/>
      <c r="Y8" s="497"/>
      <c r="Z8" s="498"/>
      <c r="AA8" s="50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9"/>
      <c r="B9" s="487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506" t="s">
        <v>415</v>
      </c>
      <c r="K9" s="504" t="s">
        <v>5</v>
      </c>
      <c r="L9" s="483" t="s">
        <v>441</v>
      </c>
      <c r="M9" s="484"/>
      <c r="N9" s="331" t="s">
        <v>424</v>
      </c>
      <c r="O9" s="483" t="s">
        <v>442</v>
      </c>
      <c r="P9" s="484"/>
      <c r="Q9" s="331" t="s">
        <v>423</v>
      </c>
      <c r="R9" s="483" t="s">
        <v>443</v>
      </c>
      <c r="S9" s="492"/>
      <c r="T9" s="484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9"/>
      <c r="B10" s="488"/>
      <c r="C10" s="491"/>
      <c r="D10" s="491"/>
      <c r="E10" s="491"/>
      <c r="F10" s="491"/>
      <c r="G10" s="491"/>
      <c r="H10" s="491"/>
      <c r="I10" s="491"/>
      <c r="J10" s="491"/>
      <c r="K10" s="505"/>
      <c r="L10" s="485"/>
      <c r="M10" s="486"/>
      <c r="N10" s="332"/>
      <c r="O10" s="485"/>
      <c r="P10" s="486"/>
      <c r="Q10" s="332"/>
      <c r="R10" s="485"/>
      <c r="S10" s="493"/>
      <c r="T10" s="486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9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80"/>
      <c r="M11" s="482"/>
      <c r="N11" s="346" t="str">
        <f t="shared" ref="N11:N50" si="0">IF(L11="","",$AC$12&amp;L11)</f>
        <v/>
      </c>
      <c r="O11" s="480"/>
      <c r="P11" s="482"/>
      <c r="Q11" s="346" t="str">
        <f t="shared" ref="Q11:Q50" si="1">IF(O11="","",$AC$15&amp;O11)</f>
        <v/>
      </c>
      <c r="R11" s="480"/>
      <c r="S11" s="481"/>
      <c r="T11" s="482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80"/>
      <c r="M12" s="482"/>
      <c r="N12" s="346" t="str">
        <f t="shared" si="0"/>
        <v/>
      </c>
      <c r="O12" s="480"/>
      <c r="P12" s="482"/>
      <c r="Q12" s="346" t="str">
        <f t="shared" si="1"/>
        <v/>
      </c>
      <c r="R12" s="480"/>
      <c r="S12" s="481"/>
      <c r="T12" s="482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80"/>
      <c r="M13" s="482"/>
      <c r="N13" s="346" t="str">
        <f t="shared" si="0"/>
        <v/>
      </c>
      <c r="O13" s="480"/>
      <c r="P13" s="482"/>
      <c r="Q13" s="346" t="str">
        <f t="shared" si="1"/>
        <v/>
      </c>
      <c r="R13" s="480"/>
      <c r="S13" s="481"/>
      <c r="T13" s="482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80"/>
      <c r="M14" s="482"/>
      <c r="N14" s="346" t="str">
        <f t="shared" si="0"/>
        <v/>
      </c>
      <c r="O14" s="480"/>
      <c r="P14" s="482"/>
      <c r="Q14" s="346" t="str">
        <f t="shared" si="1"/>
        <v/>
      </c>
      <c r="R14" s="480"/>
      <c r="S14" s="481"/>
      <c r="T14" s="482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80"/>
      <c r="M15" s="482"/>
      <c r="N15" s="346" t="str">
        <f t="shared" si="0"/>
        <v/>
      </c>
      <c r="O15" s="480"/>
      <c r="P15" s="482"/>
      <c r="Q15" s="346" t="str">
        <f t="shared" si="1"/>
        <v/>
      </c>
      <c r="R15" s="480"/>
      <c r="S15" s="481"/>
      <c r="T15" s="482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80"/>
      <c r="M16" s="482"/>
      <c r="N16" s="346" t="str">
        <f t="shared" si="0"/>
        <v/>
      </c>
      <c r="O16" s="480"/>
      <c r="P16" s="482"/>
      <c r="Q16" s="346" t="str">
        <f t="shared" si="1"/>
        <v/>
      </c>
      <c r="R16" s="480"/>
      <c r="S16" s="481"/>
      <c r="T16" s="482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80"/>
      <c r="M17" s="482"/>
      <c r="N17" s="346" t="str">
        <f t="shared" si="0"/>
        <v/>
      </c>
      <c r="O17" s="480"/>
      <c r="P17" s="482"/>
      <c r="Q17" s="346" t="str">
        <f t="shared" si="1"/>
        <v/>
      </c>
      <c r="R17" s="480"/>
      <c r="S17" s="481"/>
      <c r="T17" s="482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80"/>
      <c r="M18" s="482"/>
      <c r="N18" s="346" t="str">
        <f t="shared" si="0"/>
        <v/>
      </c>
      <c r="O18" s="480"/>
      <c r="P18" s="482"/>
      <c r="Q18" s="346" t="str">
        <f t="shared" si="1"/>
        <v/>
      </c>
      <c r="R18" s="480"/>
      <c r="S18" s="481"/>
      <c r="T18" s="482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80"/>
      <c r="M19" s="482"/>
      <c r="N19" s="346" t="str">
        <f t="shared" si="0"/>
        <v/>
      </c>
      <c r="O19" s="480"/>
      <c r="P19" s="482"/>
      <c r="Q19" s="346" t="str">
        <f t="shared" si="1"/>
        <v/>
      </c>
      <c r="R19" s="480"/>
      <c r="S19" s="481"/>
      <c r="T19" s="482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80"/>
      <c r="M20" s="482"/>
      <c r="N20" s="346" t="str">
        <f t="shared" si="0"/>
        <v/>
      </c>
      <c r="O20" s="480"/>
      <c r="P20" s="482"/>
      <c r="Q20" s="346" t="str">
        <f t="shared" si="1"/>
        <v/>
      </c>
      <c r="R20" s="480"/>
      <c r="S20" s="481"/>
      <c r="T20" s="482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80"/>
      <c r="M21" s="482"/>
      <c r="N21" s="346" t="str">
        <f t="shared" si="0"/>
        <v/>
      </c>
      <c r="O21" s="480"/>
      <c r="P21" s="482"/>
      <c r="Q21" s="346" t="str">
        <f t="shared" si="1"/>
        <v/>
      </c>
      <c r="R21" s="480"/>
      <c r="S21" s="481"/>
      <c r="T21" s="482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80"/>
      <c r="M22" s="482"/>
      <c r="N22" s="346" t="str">
        <f t="shared" si="0"/>
        <v/>
      </c>
      <c r="O22" s="480"/>
      <c r="P22" s="482"/>
      <c r="Q22" s="346" t="str">
        <f t="shared" si="1"/>
        <v/>
      </c>
      <c r="R22" s="480"/>
      <c r="S22" s="481"/>
      <c r="T22" s="482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80"/>
      <c r="M23" s="482"/>
      <c r="N23" s="346" t="str">
        <f t="shared" si="0"/>
        <v/>
      </c>
      <c r="O23" s="480"/>
      <c r="P23" s="482"/>
      <c r="Q23" s="346" t="str">
        <f t="shared" si="1"/>
        <v/>
      </c>
      <c r="R23" s="480"/>
      <c r="S23" s="481"/>
      <c r="T23" s="482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80"/>
      <c r="M24" s="482"/>
      <c r="N24" s="346" t="str">
        <f t="shared" si="0"/>
        <v/>
      </c>
      <c r="O24" s="480"/>
      <c r="P24" s="482"/>
      <c r="Q24" s="346" t="str">
        <f t="shared" si="1"/>
        <v/>
      </c>
      <c r="R24" s="480"/>
      <c r="S24" s="481"/>
      <c r="T24" s="482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80"/>
      <c r="M25" s="482"/>
      <c r="N25" s="346" t="str">
        <f t="shared" si="0"/>
        <v/>
      </c>
      <c r="O25" s="480"/>
      <c r="P25" s="482"/>
      <c r="Q25" s="346" t="str">
        <f t="shared" si="1"/>
        <v/>
      </c>
      <c r="R25" s="480"/>
      <c r="S25" s="481"/>
      <c r="T25" s="482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80"/>
      <c r="M26" s="482"/>
      <c r="N26" s="346" t="str">
        <f t="shared" si="0"/>
        <v/>
      </c>
      <c r="O26" s="480"/>
      <c r="P26" s="482"/>
      <c r="Q26" s="346" t="str">
        <f t="shared" si="1"/>
        <v/>
      </c>
      <c r="R26" s="480"/>
      <c r="S26" s="481"/>
      <c r="T26" s="482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80"/>
      <c r="M27" s="482"/>
      <c r="N27" s="346" t="str">
        <f t="shared" si="0"/>
        <v/>
      </c>
      <c r="O27" s="480"/>
      <c r="P27" s="482"/>
      <c r="Q27" s="346" t="str">
        <f t="shared" si="1"/>
        <v/>
      </c>
      <c r="R27" s="480"/>
      <c r="S27" s="481"/>
      <c r="T27" s="482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80"/>
      <c r="M28" s="482"/>
      <c r="N28" s="346" t="str">
        <f t="shared" si="0"/>
        <v/>
      </c>
      <c r="O28" s="480"/>
      <c r="P28" s="482"/>
      <c r="Q28" s="346" t="str">
        <f t="shared" si="1"/>
        <v/>
      </c>
      <c r="R28" s="480"/>
      <c r="S28" s="481"/>
      <c r="T28" s="482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80"/>
      <c r="M29" s="482"/>
      <c r="N29" s="346" t="str">
        <f t="shared" si="0"/>
        <v/>
      </c>
      <c r="O29" s="480"/>
      <c r="P29" s="482"/>
      <c r="Q29" s="346" t="str">
        <f t="shared" si="1"/>
        <v/>
      </c>
      <c r="R29" s="480"/>
      <c r="S29" s="481"/>
      <c r="T29" s="482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80"/>
      <c r="M30" s="482"/>
      <c r="N30" s="346" t="str">
        <f t="shared" si="0"/>
        <v/>
      </c>
      <c r="O30" s="480"/>
      <c r="P30" s="482"/>
      <c r="Q30" s="346" t="str">
        <f t="shared" si="1"/>
        <v/>
      </c>
      <c r="R30" s="480"/>
      <c r="S30" s="481"/>
      <c r="T30" s="482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80"/>
      <c r="M31" s="482"/>
      <c r="N31" s="346" t="str">
        <f t="shared" si="0"/>
        <v/>
      </c>
      <c r="O31" s="480"/>
      <c r="P31" s="482"/>
      <c r="Q31" s="346" t="str">
        <f t="shared" si="1"/>
        <v/>
      </c>
      <c r="R31" s="480"/>
      <c r="S31" s="481"/>
      <c r="T31" s="482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80"/>
      <c r="M32" s="482"/>
      <c r="N32" s="346" t="str">
        <f t="shared" si="0"/>
        <v/>
      </c>
      <c r="O32" s="480"/>
      <c r="P32" s="482"/>
      <c r="Q32" s="346" t="str">
        <f t="shared" si="1"/>
        <v/>
      </c>
      <c r="R32" s="480"/>
      <c r="S32" s="481"/>
      <c r="T32" s="482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80"/>
      <c r="M33" s="482"/>
      <c r="N33" s="346" t="str">
        <f t="shared" si="0"/>
        <v/>
      </c>
      <c r="O33" s="480"/>
      <c r="P33" s="482"/>
      <c r="Q33" s="346" t="str">
        <f t="shared" si="1"/>
        <v/>
      </c>
      <c r="R33" s="480"/>
      <c r="S33" s="481"/>
      <c r="T33" s="482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80"/>
      <c r="M34" s="482"/>
      <c r="N34" s="346" t="str">
        <f t="shared" si="0"/>
        <v/>
      </c>
      <c r="O34" s="480"/>
      <c r="P34" s="482"/>
      <c r="Q34" s="346" t="str">
        <f t="shared" si="1"/>
        <v/>
      </c>
      <c r="R34" s="480"/>
      <c r="S34" s="481"/>
      <c r="T34" s="482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80"/>
      <c r="M35" s="482"/>
      <c r="N35" s="346" t="str">
        <f t="shared" si="0"/>
        <v/>
      </c>
      <c r="O35" s="480"/>
      <c r="P35" s="482"/>
      <c r="Q35" s="346" t="str">
        <f t="shared" si="1"/>
        <v/>
      </c>
      <c r="R35" s="480"/>
      <c r="S35" s="481"/>
      <c r="T35" s="482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80"/>
      <c r="M36" s="482"/>
      <c r="N36" s="346" t="str">
        <f t="shared" si="0"/>
        <v/>
      </c>
      <c r="O36" s="480"/>
      <c r="P36" s="482"/>
      <c r="Q36" s="346" t="str">
        <f t="shared" si="1"/>
        <v/>
      </c>
      <c r="R36" s="480"/>
      <c r="S36" s="481"/>
      <c r="T36" s="482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80"/>
      <c r="M37" s="482"/>
      <c r="N37" s="346" t="str">
        <f t="shared" si="0"/>
        <v/>
      </c>
      <c r="O37" s="480"/>
      <c r="P37" s="482"/>
      <c r="Q37" s="346" t="str">
        <f t="shared" si="1"/>
        <v/>
      </c>
      <c r="R37" s="480"/>
      <c r="S37" s="481"/>
      <c r="T37" s="482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80"/>
      <c r="M38" s="482"/>
      <c r="N38" s="346" t="str">
        <f t="shared" si="0"/>
        <v/>
      </c>
      <c r="O38" s="480"/>
      <c r="P38" s="482"/>
      <c r="Q38" s="346" t="str">
        <f t="shared" si="1"/>
        <v/>
      </c>
      <c r="R38" s="480"/>
      <c r="S38" s="481"/>
      <c r="T38" s="482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80"/>
      <c r="M39" s="482"/>
      <c r="N39" s="346" t="str">
        <f t="shared" si="0"/>
        <v/>
      </c>
      <c r="O39" s="480"/>
      <c r="P39" s="482"/>
      <c r="Q39" s="346" t="str">
        <f t="shared" si="1"/>
        <v/>
      </c>
      <c r="R39" s="480"/>
      <c r="S39" s="481"/>
      <c r="T39" s="482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80"/>
      <c r="M40" s="482"/>
      <c r="N40" s="346" t="str">
        <f t="shared" si="0"/>
        <v/>
      </c>
      <c r="O40" s="480"/>
      <c r="P40" s="482"/>
      <c r="Q40" s="346" t="str">
        <f t="shared" si="1"/>
        <v/>
      </c>
      <c r="R40" s="480"/>
      <c r="S40" s="481"/>
      <c r="T40" s="482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80"/>
      <c r="M41" s="482"/>
      <c r="N41" s="346" t="str">
        <f t="shared" si="0"/>
        <v/>
      </c>
      <c r="O41" s="480"/>
      <c r="P41" s="482"/>
      <c r="Q41" s="346" t="str">
        <f t="shared" si="1"/>
        <v/>
      </c>
      <c r="R41" s="480"/>
      <c r="S41" s="481"/>
      <c r="T41" s="482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80"/>
      <c r="M42" s="482"/>
      <c r="N42" s="346" t="str">
        <f t="shared" si="0"/>
        <v/>
      </c>
      <c r="O42" s="480"/>
      <c r="P42" s="482"/>
      <c r="Q42" s="346" t="str">
        <f t="shared" si="1"/>
        <v/>
      </c>
      <c r="R42" s="480"/>
      <c r="S42" s="481"/>
      <c r="T42" s="482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80"/>
      <c r="M43" s="482"/>
      <c r="N43" s="346" t="str">
        <f t="shared" si="0"/>
        <v/>
      </c>
      <c r="O43" s="480"/>
      <c r="P43" s="482"/>
      <c r="Q43" s="346" t="str">
        <f t="shared" si="1"/>
        <v/>
      </c>
      <c r="R43" s="480"/>
      <c r="S43" s="481"/>
      <c r="T43" s="482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80"/>
      <c r="M44" s="482"/>
      <c r="N44" s="346" t="str">
        <f t="shared" si="0"/>
        <v/>
      </c>
      <c r="O44" s="480"/>
      <c r="P44" s="482"/>
      <c r="Q44" s="346" t="str">
        <f t="shared" si="1"/>
        <v/>
      </c>
      <c r="R44" s="480"/>
      <c r="S44" s="481"/>
      <c r="T44" s="482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80"/>
      <c r="M45" s="482"/>
      <c r="N45" s="346" t="str">
        <f t="shared" si="0"/>
        <v/>
      </c>
      <c r="O45" s="480"/>
      <c r="P45" s="482"/>
      <c r="Q45" s="346" t="str">
        <f t="shared" si="1"/>
        <v/>
      </c>
      <c r="R45" s="480"/>
      <c r="S45" s="481"/>
      <c r="T45" s="482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80"/>
      <c r="M46" s="482"/>
      <c r="N46" s="346" t="str">
        <f t="shared" si="0"/>
        <v/>
      </c>
      <c r="O46" s="480"/>
      <c r="P46" s="482"/>
      <c r="Q46" s="346" t="str">
        <f t="shared" si="1"/>
        <v/>
      </c>
      <c r="R46" s="480"/>
      <c r="S46" s="481"/>
      <c r="T46" s="482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80"/>
      <c r="M47" s="482"/>
      <c r="N47" s="346" t="str">
        <f t="shared" si="0"/>
        <v/>
      </c>
      <c r="O47" s="480"/>
      <c r="P47" s="482"/>
      <c r="Q47" s="346" t="str">
        <f t="shared" si="1"/>
        <v/>
      </c>
      <c r="R47" s="480"/>
      <c r="S47" s="481"/>
      <c r="T47" s="482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80"/>
      <c r="M48" s="482"/>
      <c r="N48" s="346" t="str">
        <f t="shared" si="0"/>
        <v/>
      </c>
      <c r="O48" s="480"/>
      <c r="P48" s="482"/>
      <c r="Q48" s="346" t="str">
        <f t="shared" si="1"/>
        <v/>
      </c>
      <c r="R48" s="480"/>
      <c r="S48" s="481"/>
      <c r="T48" s="482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80"/>
      <c r="M49" s="482"/>
      <c r="N49" s="346" t="str">
        <f t="shared" si="0"/>
        <v/>
      </c>
      <c r="O49" s="480"/>
      <c r="P49" s="482"/>
      <c r="Q49" s="346" t="str">
        <f t="shared" si="1"/>
        <v/>
      </c>
      <c r="R49" s="480"/>
      <c r="S49" s="481"/>
      <c r="T49" s="482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80"/>
      <c r="M50" s="482"/>
      <c r="N50" s="346" t="str">
        <f t="shared" si="0"/>
        <v/>
      </c>
      <c r="O50" s="480"/>
      <c r="P50" s="482"/>
      <c r="Q50" s="346" t="str">
        <f t="shared" si="1"/>
        <v/>
      </c>
      <c r="R50" s="480"/>
      <c r="S50" s="481"/>
      <c r="T50" s="482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7"/>
      <c r="M51" s="478"/>
      <c r="N51" s="346" t="str">
        <f>IF(AND(L51&lt;&gt;"",M51&lt;&gt;""),CONCATENATE($AC$12,L51,M51),"")</f>
        <v/>
      </c>
      <c r="O51" s="477"/>
      <c r="P51" s="478"/>
      <c r="Q51" s="346" t="str">
        <f>IF(AND(O51&lt;&gt;"",P51&lt;&gt;""),CONCATENATE($AC$15,O51,P51),"")</f>
        <v/>
      </c>
      <c r="R51" s="477"/>
      <c r="S51" s="479"/>
      <c r="T51" s="478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FZ9iboj/sN3tNpQN/JUinzju7h/dgAQhkTmaCfM9ybfsgU/VmTKVvlBEFUJ0X3mUMwl5yJiW/8w+gQ953/Vag==" saltValue="lRNZ1nAS9pCs2iQktdVzzA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3" zoomScale="85" zoomScaleNormal="85" workbookViewId="0">
      <selection activeCell="H35" sqref="H35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8" t="s">
        <v>38</v>
      </c>
      <c r="D2" s="438"/>
      <c r="E2" s="438"/>
      <c r="F2" s="438"/>
      <c r="G2" s="438"/>
      <c r="H2" s="438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3" t="s">
        <v>39</v>
      </c>
      <c r="D3" s="513"/>
      <c r="E3" s="513"/>
      <c r="F3" s="513"/>
      <c r="G3" s="513"/>
      <c r="H3" s="513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39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8" t="s">
        <v>90</v>
      </c>
      <c r="E7" s="438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8"/>
      <c r="E8" s="518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9"/>
      <c r="E9" s="519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9"/>
      <c r="E10" s="519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9"/>
      <c r="E11" s="519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20"/>
      <c r="E12" s="520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9"/>
      <c r="E13" s="519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9"/>
      <c r="E14" s="519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9"/>
      <c r="E15" s="519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20"/>
      <c r="E16" s="520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1"/>
      <c r="E17" s="521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39</v>
      </c>
      <c r="M17" s="103">
        <f ca="1">L17*Acomp_PosProducao_Perc</f>
        <v>0.78</v>
      </c>
      <c r="N17" s="103">
        <f ca="1">MIN(M17,Acomp_PosProducao_Max)</f>
        <v>0.78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20"/>
      <c r="E18" s="520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3"/>
      <c r="E19" s="524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20"/>
      <c r="E20" s="520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3"/>
      <c r="E21" s="524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20"/>
      <c r="E22" s="520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3"/>
      <c r="E23" s="524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2" t="s">
        <v>432</v>
      </c>
      <c r="D24" s="522"/>
      <c r="E24" s="522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51" t="s">
        <v>409</v>
      </c>
      <c r="D26" s="514"/>
      <c r="E26" s="452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5" t="s">
        <v>212</v>
      </c>
      <c r="D27" s="516"/>
      <c r="E27" s="517"/>
      <c r="F27" s="351"/>
      <c r="G27" s="351">
        <v>39</v>
      </c>
      <c r="H27" s="428" t="s">
        <v>497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x14ac:dyDescent="0.2">
      <c r="A28" s="107"/>
      <c r="B28" s="108"/>
      <c r="C28" s="515"/>
      <c r="D28" s="516"/>
      <c r="E28" s="517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>•Alocação de recursos / Serviços de consultoria _x000D_</v>
      </c>
      <c r="V28" s="34"/>
    </row>
    <row r="29" spans="1:22" s="28" customFormat="1" x14ac:dyDescent="0.2">
      <c r="A29" s="107"/>
      <c r="B29" s="108"/>
      <c r="C29" s="515"/>
      <c r="D29" s="516"/>
      <c r="E29" s="517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>•Alocação de recursos / Serviços de consultoria _x000D_</v>
      </c>
      <c r="V29" s="34"/>
    </row>
    <row r="30" spans="1:22" s="28" customFormat="1" x14ac:dyDescent="0.2">
      <c r="A30" s="107"/>
      <c r="B30" s="108"/>
      <c r="C30" s="515"/>
      <c r="D30" s="516"/>
      <c r="E30" s="517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>•Alocação de recursos / Serviços de consultoria _x000D_</v>
      </c>
      <c r="V30" s="34"/>
    </row>
    <row r="31" spans="1:22" s="28" customFormat="1" x14ac:dyDescent="0.2">
      <c r="A31" s="107"/>
      <c r="B31" s="108"/>
      <c r="C31" s="515"/>
      <c r="D31" s="516"/>
      <c r="E31" s="517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>•Alocação de recursos / Serviços de consultoria _x000D_</v>
      </c>
      <c r="V31" s="34"/>
    </row>
    <row r="32" spans="1:22" s="28" customFormat="1" x14ac:dyDescent="0.2">
      <c r="A32" s="107"/>
      <c r="B32" s="108"/>
      <c r="C32" s="515"/>
      <c r="D32" s="516"/>
      <c r="E32" s="517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>•Alocação de recursos / Serviços de consultoria _x000D_</v>
      </c>
      <c r="V32" s="34"/>
    </row>
    <row r="33" spans="1:242" s="28" customFormat="1" x14ac:dyDescent="0.2">
      <c r="A33" s="107"/>
      <c r="B33" s="108"/>
      <c r="C33" s="515"/>
      <c r="D33" s="516"/>
      <c r="E33" s="517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</v>
      </c>
      <c r="V33" s="34"/>
    </row>
    <row r="34" spans="1:242" s="28" customFormat="1" x14ac:dyDescent="0.2">
      <c r="A34" s="107"/>
      <c r="B34" s="108"/>
      <c r="C34" s="515"/>
      <c r="D34" s="516"/>
      <c r="E34" s="517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</v>
      </c>
      <c r="V34" s="34"/>
    </row>
    <row r="35" spans="1:242" s="28" customFormat="1" x14ac:dyDescent="0.2">
      <c r="A35" s="107"/>
      <c r="B35" s="108"/>
      <c r="C35" s="515"/>
      <c r="D35" s="516"/>
      <c r="E35" s="517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</v>
      </c>
      <c r="V35" s="34"/>
    </row>
    <row r="36" spans="1:242" s="28" customFormat="1" x14ac:dyDescent="0.2">
      <c r="A36" s="107"/>
      <c r="B36" s="108"/>
      <c r="C36" s="515"/>
      <c r="D36" s="516"/>
      <c r="E36" s="517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</v>
      </c>
      <c r="V36" s="34"/>
    </row>
    <row r="37" spans="1:242" s="28" customFormat="1" x14ac:dyDescent="0.2">
      <c r="A37" s="107"/>
      <c r="B37" s="108"/>
      <c r="C37" s="515"/>
      <c r="D37" s="516"/>
      <c r="E37" s="517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</v>
      </c>
      <c r="V37" s="34"/>
    </row>
    <row r="38" spans="1:242" s="28" customFormat="1" x14ac:dyDescent="0.2">
      <c r="A38" s="107"/>
      <c r="B38" s="108"/>
      <c r="C38" s="515"/>
      <c r="D38" s="516"/>
      <c r="E38" s="517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</v>
      </c>
      <c r="V38" s="34"/>
    </row>
    <row r="39" spans="1:242" s="98" customFormat="1" x14ac:dyDescent="0.2">
      <c r="A39" s="107"/>
      <c r="B39" s="112"/>
      <c r="C39" s="515"/>
      <c r="D39" s="516"/>
      <c r="E39" s="517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5"/>
      <c r="D40" s="516"/>
      <c r="E40" s="517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</v>
      </c>
      <c r="V40" s="34"/>
    </row>
    <row r="41" spans="1:242" s="28" customFormat="1" x14ac:dyDescent="0.2">
      <c r="A41" s="107"/>
      <c r="B41" s="108"/>
      <c r="C41" s="515"/>
      <c r="D41" s="516"/>
      <c r="E41" s="517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</v>
      </c>
      <c r="V41" s="34"/>
    </row>
    <row r="42" spans="1:242" s="28" customFormat="1" x14ac:dyDescent="0.2">
      <c r="A42" s="107"/>
      <c r="B42" s="108"/>
      <c r="C42" s="515"/>
      <c r="D42" s="516"/>
      <c r="E42" s="517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</v>
      </c>
      <c r="V42" s="34"/>
    </row>
    <row r="43" spans="1:242" s="28" customFormat="1" x14ac:dyDescent="0.2">
      <c r="A43" s="107"/>
      <c r="B43" s="108"/>
      <c r="C43" s="522" t="s">
        <v>41</v>
      </c>
      <c r="D43" s="522"/>
      <c r="E43" s="522"/>
      <c r="F43" s="221">
        <f>SUM(F27:F42)</f>
        <v>0</v>
      </c>
      <c r="G43" s="221">
        <f>SUM(G27:G42)</f>
        <v>39</v>
      </c>
      <c r="H43" s="137"/>
      <c r="I43" s="34"/>
      <c r="J43" s="88"/>
      <c r="K43" s="88"/>
      <c r="L43" s="102">
        <f>MAX(F43:G43)</f>
        <v>39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1" t="s">
        <v>62</v>
      </c>
      <c r="E55" s="452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2"/>
      <c r="E56" s="512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0"/>
      <c r="E57" s="511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8" t="s">
        <v>69</v>
      </c>
      <c r="E60" s="438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2"/>
      <c r="E61" s="512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0"/>
      <c r="E62" s="511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P/JP/Zdd5iU8dtyt2LlgS/i0AitkmZN4wmv0n+PfokeUqmHrqfiXP2OH40hDL6kNcb2bB5OGfsOAhtyD4fszDg==" saltValue="2op6lO7mVqSKRKDdZoAuZA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8" t="s">
        <v>26</v>
      </c>
      <c r="C2" s="438"/>
      <c r="D2" s="438"/>
      <c r="E2" s="438"/>
      <c r="F2" s="438"/>
      <c r="G2" s="438"/>
      <c r="H2" s="438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5" t="s">
        <v>85</v>
      </c>
      <c r="C3" s="525"/>
      <c r="D3" s="525"/>
      <c r="E3" s="525"/>
      <c r="F3" s="525"/>
      <c r="G3" s="525"/>
      <c r="H3" s="525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BPe6kgdCUxugEdqbK1NUfImmptd9Tsb8JoA7LUNlkDtibMawYDAIicTTCIvNjQn3ubQl2P7OlVI7OgVz9qr/Qw==" saltValue="Lu6h387eOIIyIXEwDlmgug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8" t="s">
        <v>23</v>
      </c>
      <c r="C2" s="438"/>
      <c r="D2" s="438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OPfGmiepkBTrCD4vjzfX11LzqheLE63a4yG7eOEJnnuComWkLFAp0ytZCNg7L5pZ66bARvJ2qFJE+unLjxbzZQ==" saltValue="Paby8/dV3jlhMvi+Xg4qS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34.28515625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8" t="s">
        <v>22</v>
      </c>
      <c r="C2" s="438"/>
      <c r="D2" s="438"/>
      <c r="E2" s="438"/>
      <c r="F2" s="438"/>
      <c r="G2" s="438"/>
      <c r="H2" s="438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144.79</v>
      </c>
      <c r="G5" s="47" t="s">
        <v>140</v>
      </c>
      <c r="H5" s="46" t="s">
        <v>494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177.51</v>
      </c>
      <c r="G6" s="47" t="s">
        <v>269</v>
      </c>
      <c r="H6" s="46" t="s">
        <v>494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177.51</v>
      </c>
      <c r="G7" s="47" t="s">
        <v>140</v>
      </c>
      <c r="H7" s="46" t="s">
        <v>494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144.79</v>
      </c>
      <c r="G8" s="47" t="s">
        <v>140</v>
      </c>
      <c r="H8" s="46" t="s">
        <v>494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144.79</v>
      </c>
      <c r="G9" s="47" t="s">
        <v>269</v>
      </c>
      <c r="H9" s="46" t="s">
        <v>494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144.79</v>
      </c>
      <c r="G10" s="47" t="s">
        <v>140</v>
      </c>
      <c r="H10" s="46" t="s">
        <v>494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177.51</v>
      </c>
      <c r="G11" s="47" t="s">
        <v>269</v>
      </c>
      <c r="H11" s="46" t="s">
        <v>494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177.51</v>
      </c>
      <c r="G12" s="47" t="s">
        <v>140</v>
      </c>
      <c r="H12" s="46" t="s">
        <v>494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177.51</v>
      </c>
      <c r="G13" s="47" t="s">
        <v>140</v>
      </c>
      <c r="H13" s="46" t="s">
        <v>494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177.51</v>
      </c>
      <c r="G14" s="47" t="s">
        <v>140</v>
      </c>
      <c r="H14" s="46" t="s">
        <v>494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196.24</v>
      </c>
      <c r="G15" s="47" t="s">
        <v>140</v>
      </c>
      <c r="H15" s="46" t="s">
        <v>494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144.79</v>
      </c>
      <c r="G16" s="47" t="s">
        <v>269</v>
      </c>
      <c r="H16" s="46" t="s">
        <v>494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144.79</v>
      </c>
      <c r="G17" s="47" t="s">
        <v>269</v>
      </c>
      <c r="H17" s="46" t="s">
        <v>494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177.51</v>
      </c>
      <c r="G18" s="47" t="s">
        <v>269</v>
      </c>
      <c r="H18" s="46" t="s">
        <v>494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144.79</v>
      </c>
      <c r="G19" s="47" t="s">
        <v>269</v>
      </c>
      <c r="H19" s="46" t="s">
        <v>494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144.79</v>
      </c>
      <c r="G20" s="47" t="s">
        <v>269</v>
      </c>
      <c r="H20" s="46" t="s">
        <v>494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177.51</v>
      </c>
      <c r="G21" s="47" t="s">
        <v>140</v>
      </c>
      <c r="H21" s="46" t="s">
        <v>494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177.51</v>
      </c>
      <c r="G22" s="47" t="s">
        <v>140</v>
      </c>
      <c r="H22" s="46" t="s">
        <v>494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177.51</v>
      </c>
      <c r="G23" s="47" t="s">
        <v>269</v>
      </c>
      <c r="H23" s="46" t="s">
        <v>494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144.79</v>
      </c>
      <c r="G24" s="47" t="s">
        <v>269</v>
      </c>
      <c r="H24" s="46" t="s">
        <v>494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144.79</v>
      </c>
      <c r="G25" s="47" t="s">
        <v>140</v>
      </c>
      <c r="H25" s="46" t="s">
        <v>494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144.79</v>
      </c>
      <c r="G26" s="47" t="s">
        <v>140</v>
      </c>
      <c r="H26" s="46" t="s">
        <v>494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144.79</v>
      </c>
      <c r="G27" s="47" t="s">
        <v>140</v>
      </c>
      <c r="H27" s="46" t="s">
        <v>494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177.51</v>
      </c>
      <c r="G28" s="47" t="s">
        <v>140</v>
      </c>
      <c r="H28" s="46" t="s">
        <v>494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177.51</v>
      </c>
      <c r="G29" s="47" t="s">
        <v>140</v>
      </c>
      <c r="H29" s="46" t="s">
        <v>494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177.51</v>
      </c>
      <c r="G30" s="47" t="s">
        <v>140</v>
      </c>
      <c r="H30" s="46" t="s">
        <v>494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177.51</v>
      </c>
      <c r="G31" s="47" t="s">
        <v>269</v>
      </c>
      <c r="H31" s="46" t="s">
        <v>494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177.51</v>
      </c>
      <c r="G32" s="47" t="s">
        <v>140</v>
      </c>
      <c r="H32" s="46" t="s">
        <v>494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144.79</v>
      </c>
      <c r="G33" s="47" t="s">
        <v>140</v>
      </c>
      <c r="H33" s="46" t="s">
        <v>494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144.79</v>
      </c>
      <c r="G34" s="47" t="s">
        <v>269</v>
      </c>
      <c r="H34" s="46" t="s">
        <v>494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177.51</v>
      </c>
      <c r="G35" s="47" t="s">
        <v>140</v>
      </c>
      <c r="H35" s="46" t="s">
        <v>494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177.51</v>
      </c>
      <c r="G36" s="47" t="s">
        <v>140</v>
      </c>
      <c r="H36" s="46" t="s">
        <v>494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144.79</v>
      </c>
      <c r="G37" s="47" t="s">
        <v>140</v>
      </c>
      <c r="H37" s="46" t="s">
        <v>494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144.79</v>
      </c>
      <c r="G38" s="47" t="s">
        <v>140</v>
      </c>
      <c r="H38" s="46" t="s">
        <v>494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177.51</v>
      </c>
      <c r="G39" s="47" t="s">
        <v>269</v>
      </c>
      <c r="H39" s="46" t="s">
        <v>494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144.79</v>
      </c>
      <c r="G40" s="47" t="s">
        <v>269</v>
      </c>
      <c r="H40" s="46" t="s">
        <v>494</v>
      </c>
      <c r="I40" s="46"/>
      <c r="J40" s="182"/>
      <c r="K40" s="134" t="s">
        <v>165</v>
      </c>
      <c r="L40" s="182" t="b">
        <v>1</v>
      </c>
    </row>
  </sheetData>
  <sheetProtection algorithmName="SHA-512" hashValue="3XOJe5cfr4RiGHVre4NoD4VZOtr+E5wh40GAng8MeBrKQMSPweOb75hjUoTMhqrhvkNSZwXydUGIxEjIR5h8fA==" saltValue="1RdytxZBSdX5Ugr30edSg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K5:K40 G5:H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Parâmetros!E100:E105</xm:f>
          </x14:formula1>
          <xm:sqref>H5:H40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nWnivQykXDdCCwA6yr0s1hDkTIR1C7SbitjorVhPXWq+0KT+mipODTFgIpYSj7a2GRyyRC9hrIoI3z3lBs+iOQ==" saltValue="4P7juB89KT2lO2lwQJJprA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30" sqref="E30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6" t="s">
        <v>14</v>
      </c>
      <c r="C2" s="526"/>
      <c r="D2" s="526"/>
      <c r="E2" s="526"/>
      <c r="F2" s="526"/>
      <c r="G2" s="526"/>
      <c r="H2" s="526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 s="153" t="s">
        <v>494</v>
      </c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qPGpl7Zu++CPb2CobiEYf/1WSJDRMkAD6vq4pJhjd0JPMEGKzZEFZxkOistmDyDXZHiRSb5iooBPRlN2Sl+oZQ==" saltValue="vl2ZIjahTmF0Wgw1ZZdg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7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7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7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7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ZMgjOI6XBPFrsuXzNg/F2v/fA0v1qxG+4/hTFQAaamxoRWNNOa2zpNTyLdAZb2HT3xrW6lINki5oTk3rvqolzg==" saltValue="M1JNrepmYMSPhFf9nyh86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8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36.710937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  <row r="28" spans="1:30" x14ac:dyDescent="0.25">
      <c r="Y28" s="26" t="s">
        <v>494</v>
      </c>
      <c r="Z28" s="257">
        <f>COLUMN(PercentuaisFases[[#Headers],[Fases do Ciclo de Vida / Artefatos 2]])</f>
        <v>6</v>
      </c>
      <c r="AA28" s="257">
        <f>COLUMN(PercentuaisFases[[#Headers],[Percentual 2]])</f>
        <v>7</v>
      </c>
      <c r="AB28" s="257">
        <f>COLUMN(PercentuaisFases[[#Headers],[Fábrica testes 2]])</f>
        <v>8</v>
      </c>
      <c r="AC28" s="26" t="b">
        <v>1</v>
      </c>
      <c r="AD28" s="257" t="b">
        <v>0</v>
      </c>
    </row>
  </sheetData>
  <sheetProtection algorithmName="SHA-512" hashValue="dBOqETPeRCifTxq7JZ1K6+NXqmMeVaeXYA8RWJNKfGNYz54BNKYrSiFYOHIA73nu6ZRIY91SF7gGUsWAi/b8DA==" saltValue="LscZFcLaJUYDtDeDQRc3t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8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E1" zoomScale="80" zoomScaleNormal="80" workbookViewId="0">
      <selection activeCell="L28" sqref="L28:M2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  <c r="K28" t="s">
        <v>494</v>
      </c>
      <c r="L28" s="208" t="str">
        <f>ItensNaoFuncionais[[#Headers],[Itens 2]]</f>
        <v>Itens 2</v>
      </c>
      <c r="M28" s="208" t="str">
        <f>ItensNaoFuncionais[[#Headers],[Descrição obrigatoria item 2?]]</f>
        <v>Descrição obrigatoria item 2?</v>
      </c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6mLShUr96Dcoa5q/1d1RayGD+ILAZct7m6sbOriFRjF+14WPQNArVAfrZtDT4iXeroEKE+BoJiWaxCD+RQriFw==" saltValue="C/+h9uEtF6+DJS2nnhzUE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Bouzan, Raquel</cp:lastModifiedBy>
  <dcterms:created xsi:type="dcterms:W3CDTF">2006-09-25T12:47:36Z</dcterms:created>
  <dcterms:modified xsi:type="dcterms:W3CDTF">2017-11-09T17:30:54Z</dcterms:modified>
</cp:coreProperties>
</file>