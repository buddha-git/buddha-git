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eonora.f.silva\OneDrive - Accenture\Eleonora\pré-projeto\PRJ 20122\PROP00023069\"/>
    </mc:Choice>
  </mc:AlternateContent>
  <workbookProtection workbookAlgorithmName="SHA-512" workbookHashValue="VBXsQMWiE1SJzV6nY8kH7Up9joSGbxaF+DT65qMu6mk/IW42r7OvTAVORGyBKzbvZJfn4kCvzx+zMozbTSBabA==" workbookSaltValue="hM+tOrGVAwxXJJquFqOdgQ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1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 calcOnSave="0"/>
</workbook>
</file>

<file path=xl/calcChain.xml><?xml version="1.0" encoding="utf-8"?>
<calcChain xmlns="http://schemas.openxmlformats.org/spreadsheetml/2006/main">
  <c r="M27" i="21" l="1"/>
  <c r="L27" i="21"/>
  <c r="K27" i="21"/>
  <c r="M26" i="21"/>
  <c r="L26" i="21"/>
  <c r="K26" i="21"/>
  <c r="M25" i="21"/>
  <c r="L25" i="21"/>
  <c r="K25" i="21"/>
  <c r="M24" i="21"/>
  <c r="L24" i="21"/>
  <c r="K24" i="21"/>
  <c r="M23" i="21"/>
  <c r="L23" i="21"/>
  <c r="K23" i="21"/>
  <c r="M22" i="21"/>
  <c r="L22" i="21"/>
  <c r="K22" i="21"/>
  <c r="M21" i="21"/>
  <c r="L21" i="21"/>
  <c r="K21" i="21"/>
  <c r="M20" i="21"/>
  <c r="L20" i="21"/>
  <c r="K20" i="21"/>
  <c r="M19" i="21"/>
  <c r="L19" i="21"/>
  <c r="K19" i="21"/>
  <c r="M18" i="21"/>
  <c r="L18" i="21"/>
  <c r="K18" i="21"/>
  <c r="M17" i="21"/>
  <c r="L17" i="21"/>
  <c r="K17" i="21"/>
  <c r="M16" i="21"/>
  <c r="L16" i="21"/>
  <c r="K16" i="21"/>
  <c r="M15" i="21"/>
  <c r="L15" i="21"/>
  <c r="K15" i="21"/>
  <c r="M14" i="21"/>
  <c r="L14" i="21"/>
  <c r="K14" i="21"/>
  <c r="M13" i="21"/>
  <c r="L13" i="21"/>
  <c r="K13" i="21"/>
  <c r="M12" i="21"/>
  <c r="L12" i="21"/>
  <c r="K12" i="21"/>
  <c r="M11" i="21"/>
  <c r="L11" i="21"/>
  <c r="K11" i="21"/>
  <c r="M10" i="21"/>
  <c r="L10" i="21"/>
  <c r="K10" i="21"/>
  <c r="M9" i="21"/>
  <c r="L9" i="21"/>
  <c r="K9" i="21"/>
  <c r="M8" i="21"/>
  <c r="L8" i="21"/>
  <c r="K8" i="21"/>
  <c r="M7" i="21"/>
  <c r="L7" i="21"/>
  <c r="K7" i="21"/>
  <c r="M6" i="21"/>
  <c r="L6" i="21"/>
  <c r="K6" i="21"/>
  <c r="M5" i="21"/>
  <c r="L5" i="21"/>
  <c r="K5" i="21"/>
  <c r="M4" i="21"/>
  <c r="L4" i="21"/>
  <c r="K4" i="21"/>
  <c r="M3" i="21"/>
  <c r="L3" i="21"/>
  <c r="K3" i="21"/>
  <c r="AB27" i="16"/>
  <c r="AA27" i="16"/>
  <c r="Z27" i="16"/>
  <c r="Y27" i="16"/>
  <c r="AB26" i="16"/>
  <c r="AA26" i="16"/>
  <c r="Z26" i="16"/>
  <c r="Y26" i="16"/>
  <c r="AB25" i="16"/>
  <c r="AA25" i="16"/>
  <c r="Z25" i="16"/>
  <c r="Y25" i="16"/>
  <c r="AB24" i="16"/>
  <c r="AA24" i="16"/>
  <c r="Z24" i="16"/>
  <c r="Y24" i="16"/>
  <c r="AB23" i="16"/>
  <c r="AA23" i="16"/>
  <c r="Z23" i="16"/>
  <c r="Y23" i="16"/>
  <c r="AB22" i="16"/>
  <c r="AA22" i="16"/>
  <c r="Z22" i="16"/>
  <c r="Y22" i="16"/>
  <c r="AB21" i="16"/>
  <c r="AA21" i="16"/>
  <c r="Z21" i="16"/>
  <c r="Y21" i="16"/>
  <c r="AB20" i="16"/>
  <c r="AA20" i="16"/>
  <c r="Z20" i="16"/>
  <c r="Y20" i="16"/>
  <c r="AB19" i="16"/>
  <c r="AA19" i="16"/>
  <c r="Z19" i="16"/>
  <c r="Y19" i="16"/>
  <c r="AB18" i="16"/>
  <c r="AA18" i="16"/>
  <c r="Z18" i="16"/>
  <c r="Y18" i="16"/>
  <c r="AB17" i="16"/>
  <c r="AA17" i="16"/>
  <c r="Z17" i="16"/>
  <c r="Y17" i="16"/>
  <c r="AB16" i="16"/>
  <c r="AA16" i="16"/>
  <c r="Z16" i="16"/>
  <c r="Y16" i="16"/>
  <c r="AB15" i="16"/>
  <c r="AA15" i="16"/>
  <c r="Z15" i="16"/>
  <c r="Y15" i="16"/>
  <c r="AB14" i="16"/>
  <c r="AA14" i="16"/>
  <c r="Z14" i="16"/>
  <c r="Y14" i="16"/>
  <c r="AB13" i="16"/>
  <c r="AA13" i="16"/>
  <c r="Z13" i="16"/>
  <c r="Y13" i="16"/>
  <c r="D13" i="16"/>
  <c r="AB12" i="16"/>
  <c r="AA12" i="16"/>
  <c r="Z12" i="16"/>
  <c r="Y12" i="16"/>
  <c r="AB11" i="16"/>
  <c r="AA11" i="16"/>
  <c r="Z11" i="16"/>
  <c r="Y11" i="16"/>
  <c r="AB10" i="16"/>
  <c r="AA10" i="16"/>
  <c r="Z10" i="16"/>
  <c r="Y10" i="16"/>
  <c r="D10" i="16"/>
  <c r="AB9" i="16"/>
  <c r="AA9" i="16"/>
  <c r="Z9" i="16"/>
  <c r="Y9" i="16"/>
  <c r="AB8" i="16"/>
  <c r="AA8" i="16"/>
  <c r="Z8" i="16"/>
  <c r="Y8" i="16"/>
  <c r="G8" i="16"/>
  <c r="D8" i="16"/>
  <c r="AB7" i="16"/>
  <c r="AA7" i="16"/>
  <c r="Z7" i="16"/>
  <c r="Y7" i="16"/>
  <c r="AB6" i="16"/>
  <c r="AA6" i="16"/>
  <c r="Z6" i="16"/>
  <c r="Y6" i="16"/>
  <c r="AB5" i="16"/>
  <c r="AA5" i="16"/>
  <c r="Z5" i="16"/>
  <c r="Y5" i="16"/>
  <c r="D5" i="16"/>
  <c r="AB4" i="16"/>
  <c r="AA4" i="16"/>
  <c r="Z4" i="16"/>
  <c r="Y4" i="16"/>
  <c r="F3" i="8" s="1"/>
  <c r="AB3" i="16"/>
  <c r="AA3" i="16"/>
  <c r="Z3" i="16"/>
  <c r="Y3" i="16"/>
  <c r="D3" i="16"/>
  <c r="AA3" i="18"/>
  <c r="R6" i="13"/>
  <c r="R5" i="13"/>
  <c r="E40" i="6"/>
  <c r="E39" i="6"/>
  <c r="C38" i="6"/>
  <c r="E38" i="6" s="1"/>
  <c r="C37" i="6"/>
  <c r="E37" i="6" s="1"/>
  <c r="E34" i="6"/>
  <c r="C33" i="6"/>
  <c r="E32" i="6"/>
  <c r="D32" i="6"/>
  <c r="E31" i="6"/>
  <c r="E30" i="6"/>
  <c r="D30" i="6"/>
  <c r="E29" i="6"/>
  <c r="D29" i="6"/>
  <c r="E28" i="6"/>
  <c r="D28" i="6"/>
  <c r="C27" i="6"/>
  <c r="E27" i="6" s="1"/>
  <c r="C26" i="6"/>
  <c r="D26" i="6" s="1"/>
  <c r="C25" i="6"/>
  <c r="E25" i="6" s="1"/>
  <c r="E24" i="6"/>
  <c r="E23" i="6"/>
  <c r="E20" i="6"/>
  <c r="E19" i="6"/>
  <c r="E18" i="6"/>
  <c r="E17" i="6"/>
  <c r="E16" i="6"/>
  <c r="E14" i="6"/>
  <c r="D14" i="6"/>
  <c r="E13" i="6"/>
  <c r="D13" i="6"/>
  <c r="E12" i="6"/>
  <c r="D12" i="6"/>
  <c r="E11" i="6"/>
  <c r="C10" i="6"/>
  <c r="D10" i="6" s="1"/>
  <c r="E9" i="6"/>
  <c r="C8" i="6"/>
  <c r="D8" i="6" s="1"/>
  <c r="E7" i="6"/>
  <c r="D7" i="6"/>
  <c r="E6" i="6"/>
  <c r="E5" i="6"/>
  <c r="C5" i="6"/>
  <c r="D5" i="6" s="1"/>
  <c r="F19" i="4"/>
  <c r="I18" i="4"/>
  <c r="R18" i="4" s="1"/>
  <c r="G18" i="4"/>
  <c r="J17" i="4"/>
  <c r="I17" i="4"/>
  <c r="E17" i="4" s="1"/>
  <c r="G17" i="4"/>
  <c r="I16" i="4"/>
  <c r="I15" i="4"/>
  <c r="R15" i="4" s="1"/>
  <c r="G15" i="4"/>
  <c r="E15" i="4"/>
  <c r="I14" i="4"/>
  <c r="E14" i="4" s="1"/>
  <c r="G14" i="4"/>
  <c r="I13" i="4"/>
  <c r="I12" i="4"/>
  <c r="R12" i="4" s="1"/>
  <c r="G12" i="4"/>
  <c r="I11" i="4"/>
  <c r="I10" i="4"/>
  <c r="G10" i="4"/>
  <c r="U9" i="4"/>
  <c r="I9" i="4"/>
  <c r="R9" i="4" s="1"/>
  <c r="G9" i="4"/>
  <c r="I8" i="4"/>
  <c r="I7" i="4"/>
  <c r="Q7" i="4" s="1"/>
  <c r="G7" i="4"/>
  <c r="I6" i="4"/>
  <c r="U5" i="4"/>
  <c r="N5" i="4"/>
  <c r="A15" i="21" s="1"/>
  <c r="F61" i="12"/>
  <c r="G61" i="12" s="1"/>
  <c r="F56" i="12"/>
  <c r="F57" i="12" s="1"/>
  <c r="G57" i="12" s="1"/>
  <c r="F51" i="12"/>
  <c r="G51" i="12" s="1"/>
  <c r="F50" i="12"/>
  <c r="G50" i="12" s="1"/>
  <c r="G49" i="12"/>
  <c r="F49" i="12"/>
  <c r="F48" i="12"/>
  <c r="G48" i="12" s="1"/>
  <c r="F47" i="12"/>
  <c r="G47" i="12" s="1"/>
  <c r="F46" i="12"/>
  <c r="G46" i="12" s="1"/>
  <c r="G43" i="12"/>
  <c r="F43" i="12"/>
  <c r="L43" i="12" s="1"/>
  <c r="S42" i="12"/>
  <c r="Q42" i="12" s="1"/>
  <c r="T42" i="12" s="1"/>
  <c r="R42" i="12"/>
  <c r="S41" i="12"/>
  <c r="Q41" i="12" s="1"/>
  <c r="R41" i="12"/>
  <c r="S40" i="12"/>
  <c r="Q40" i="12" s="1"/>
  <c r="R40" i="12"/>
  <c r="S39" i="12"/>
  <c r="Q39" i="12" s="1"/>
  <c r="R39" i="12"/>
  <c r="S38" i="12"/>
  <c r="Q38" i="12" s="1"/>
  <c r="T38" i="12" s="1"/>
  <c r="R38" i="12"/>
  <c r="S37" i="12"/>
  <c r="R37" i="12"/>
  <c r="Q37" i="12"/>
  <c r="S36" i="12"/>
  <c r="Q36" i="12" s="1"/>
  <c r="R36" i="12"/>
  <c r="S35" i="12"/>
  <c r="R35" i="12"/>
  <c r="S34" i="12"/>
  <c r="R34" i="12"/>
  <c r="S33" i="12"/>
  <c r="R33" i="12"/>
  <c r="S32" i="12"/>
  <c r="R32" i="12"/>
  <c r="S31" i="12"/>
  <c r="R31" i="12"/>
  <c r="S30" i="12"/>
  <c r="R30" i="12"/>
  <c r="S29" i="12"/>
  <c r="R29" i="12"/>
  <c r="S28" i="12"/>
  <c r="R28" i="12"/>
  <c r="S27" i="12"/>
  <c r="R27" i="12"/>
  <c r="L21" i="12"/>
  <c r="M21" i="12" s="1"/>
  <c r="L20" i="12"/>
  <c r="M20" i="12" s="1"/>
  <c r="L19" i="12"/>
  <c r="M19" i="12" s="1"/>
  <c r="J19" i="12"/>
  <c r="J18" i="12"/>
  <c r="J17" i="12"/>
  <c r="J16" i="12"/>
  <c r="M12" i="12"/>
  <c r="L12" i="12"/>
  <c r="J12" i="12"/>
  <c r="M8" i="12"/>
  <c r="L8" i="12"/>
  <c r="J8" i="12"/>
  <c r="U51" i="34"/>
  <c r="Q51" i="34"/>
  <c r="N51" i="34"/>
  <c r="Z50" i="34"/>
  <c r="Y50" i="34"/>
  <c r="X50" i="34"/>
  <c r="W50" i="34"/>
  <c r="U50" i="34"/>
  <c r="V50" i="34" s="1"/>
  <c r="Q50" i="34"/>
  <c r="N50" i="34"/>
  <c r="K50" i="34"/>
  <c r="J50" i="34"/>
  <c r="Z49" i="34"/>
  <c r="Y49" i="34"/>
  <c r="X49" i="34"/>
  <c r="W49" i="34"/>
  <c r="U49" i="34"/>
  <c r="Q49" i="34"/>
  <c r="N49" i="34"/>
  <c r="V49" i="34" s="1"/>
  <c r="K49" i="34"/>
  <c r="J49" i="34"/>
  <c r="Z48" i="34"/>
  <c r="Y48" i="34"/>
  <c r="X48" i="34"/>
  <c r="W48" i="34"/>
  <c r="U48" i="34"/>
  <c r="Q48" i="34"/>
  <c r="N48" i="34"/>
  <c r="V48" i="34" s="1"/>
  <c r="K48" i="34"/>
  <c r="J48" i="34"/>
  <c r="Z47" i="34"/>
  <c r="Y47" i="34"/>
  <c r="X47" i="34"/>
  <c r="W47" i="34"/>
  <c r="U47" i="34"/>
  <c r="Q47" i="34"/>
  <c r="N47" i="34"/>
  <c r="K47" i="34"/>
  <c r="J47" i="34"/>
  <c r="Z46" i="34"/>
  <c r="Y46" i="34"/>
  <c r="X46" i="34"/>
  <c r="W46" i="34"/>
  <c r="U46" i="34"/>
  <c r="Q46" i="34"/>
  <c r="N46" i="34"/>
  <c r="K46" i="34"/>
  <c r="J46" i="34"/>
  <c r="AC45" i="34"/>
  <c r="Z45" i="34"/>
  <c r="Y45" i="34"/>
  <c r="X45" i="34"/>
  <c r="W45" i="34"/>
  <c r="U45" i="34"/>
  <c r="Q45" i="34"/>
  <c r="N45" i="34"/>
  <c r="K45" i="34"/>
  <c r="J45" i="34"/>
  <c r="AC44" i="34"/>
  <c r="Z44" i="34"/>
  <c r="Y44" i="34"/>
  <c r="X44" i="34"/>
  <c r="W44" i="34"/>
  <c r="U44" i="34"/>
  <c r="Q44" i="34"/>
  <c r="N44" i="34"/>
  <c r="K44" i="34"/>
  <c r="J44" i="34"/>
  <c r="AC43" i="34"/>
  <c r="Z43" i="34"/>
  <c r="Y43" i="34"/>
  <c r="X43" i="34"/>
  <c r="W43" i="34"/>
  <c r="U43" i="34"/>
  <c r="Q43" i="34"/>
  <c r="N43" i="34"/>
  <c r="K43" i="34"/>
  <c r="J43" i="34"/>
  <c r="AC42" i="34"/>
  <c r="Z42" i="34"/>
  <c r="Y42" i="34"/>
  <c r="X42" i="34"/>
  <c r="W42" i="34"/>
  <c r="U42" i="34"/>
  <c r="Q42" i="34"/>
  <c r="N42" i="34"/>
  <c r="K42" i="34"/>
  <c r="J42" i="34"/>
  <c r="AC41" i="34"/>
  <c r="Z41" i="34"/>
  <c r="Y41" i="34"/>
  <c r="X41" i="34"/>
  <c r="W41" i="34"/>
  <c r="U41" i="34"/>
  <c r="Q41" i="34"/>
  <c r="N41" i="34"/>
  <c r="K41" i="34"/>
  <c r="J41" i="34"/>
  <c r="AC40" i="34"/>
  <c r="Z40" i="34"/>
  <c r="Y40" i="34"/>
  <c r="X40" i="34"/>
  <c r="W40" i="34"/>
  <c r="U40" i="34"/>
  <c r="Q40" i="34"/>
  <c r="N40" i="34"/>
  <c r="K40" i="34"/>
  <c r="J40" i="34"/>
  <c r="AC39" i="34"/>
  <c r="Z39" i="34"/>
  <c r="Y39" i="34"/>
  <c r="X39" i="34"/>
  <c r="W39" i="34"/>
  <c r="U39" i="34"/>
  <c r="Q39" i="34"/>
  <c r="N39" i="34"/>
  <c r="K39" i="34"/>
  <c r="J39" i="34"/>
  <c r="AC38" i="34"/>
  <c r="Z38" i="34"/>
  <c r="Y38" i="34"/>
  <c r="X38" i="34"/>
  <c r="W38" i="34"/>
  <c r="U38" i="34"/>
  <c r="Q38" i="34"/>
  <c r="N38" i="34"/>
  <c r="K38" i="34"/>
  <c r="J38" i="34"/>
  <c r="AC37" i="34"/>
  <c r="Z37" i="34"/>
  <c r="Y37" i="34"/>
  <c r="X37" i="34"/>
  <c r="W37" i="34"/>
  <c r="U37" i="34"/>
  <c r="Q37" i="34"/>
  <c r="N37" i="34"/>
  <c r="K37" i="34"/>
  <c r="J37" i="34"/>
  <c r="Z36" i="34"/>
  <c r="Y36" i="34"/>
  <c r="X36" i="34"/>
  <c r="W36" i="34"/>
  <c r="U36" i="34"/>
  <c r="Q36" i="34"/>
  <c r="N36" i="34"/>
  <c r="K36" i="34"/>
  <c r="J36" i="34"/>
  <c r="Z35" i="34"/>
  <c r="Y35" i="34"/>
  <c r="X35" i="34"/>
  <c r="W35" i="34"/>
  <c r="U35" i="34"/>
  <c r="Q35" i="34"/>
  <c r="N35" i="34"/>
  <c r="K35" i="34"/>
  <c r="J35" i="34"/>
  <c r="AC34" i="34"/>
  <c r="Z34" i="34"/>
  <c r="Y34" i="34"/>
  <c r="X34" i="34"/>
  <c r="W34" i="34"/>
  <c r="U34" i="34"/>
  <c r="Q34" i="34"/>
  <c r="N34" i="34"/>
  <c r="K34" i="34"/>
  <c r="J34" i="34"/>
  <c r="AC33" i="34"/>
  <c r="Z33" i="34"/>
  <c r="Y33" i="34"/>
  <c r="X33" i="34"/>
  <c r="W33" i="34"/>
  <c r="U33" i="34"/>
  <c r="Q33" i="34"/>
  <c r="N33" i="34"/>
  <c r="K33" i="34"/>
  <c r="J33" i="34"/>
  <c r="AC32" i="34"/>
  <c r="Z32" i="34"/>
  <c r="Y32" i="34"/>
  <c r="X32" i="34"/>
  <c r="W32" i="34"/>
  <c r="U32" i="34"/>
  <c r="Q32" i="34"/>
  <c r="N32" i="34"/>
  <c r="K32" i="34"/>
  <c r="J32" i="34"/>
  <c r="Z31" i="34"/>
  <c r="Y31" i="34"/>
  <c r="X31" i="34"/>
  <c r="W31" i="34"/>
  <c r="U31" i="34"/>
  <c r="Q31" i="34"/>
  <c r="N31" i="34"/>
  <c r="K31" i="34"/>
  <c r="J31" i="34"/>
  <c r="Z30" i="34"/>
  <c r="Y30" i="34"/>
  <c r="X30" i="34"/>
  <c r="W30" i="34"/>
  <c r="U30" i="34"/>
  <c r="Q30" i="34"/>
  <c r="N30" i="34"/>
  <c r="K30" i="34"/>
  <c r="J30" i="34"/>
  <c r="Z29" i="34"/>
  <c r="Y29" i="34"/>
  <c r="X29" i="34"/>
  <c r="W29" i="34"/>
  <c r="U29" i="34"/>
  <c r="Q29" i="34"/>
  <c r="N29" i="34"/>
  <c r="K29" i="34"/>
  <c r="J29" i="34"/>
  <c r="Z28" i="34"/>
  <c r="Y28" i="34"/>
  <c r="X28" i="34"/>
  <c r="W28" i="34"/>
  <c r="U28" i="34"/>
  <c r="Q28" i="34"/>
  <c r="N28" i="34"/>
  <c r="K28" i="34"/>
  <c r="J28" i="34"/>
  <c r="Z27" i="34"/>
  <c r="Y27" i="34"/>
  <c r="X27" i="34"/>
  <c r="W27" i="34"/>
  <c r="U27" i="34"/>
  <c r="Q27" i="34"/>
  <c r="N27" i="34"/>
  <c r="K27" i="34"/>
  <c r="J27" i="34"/>
  <c r="AL26" i="34"/>
  <c r="AK26" i="34"/>
  <c r="AB26" i="34"/>
  <c r="Z26" i="34"/>
  <c r="Y26" i="34"/>
  <c r="X26" i="34"/>
  <c r="W26" i="34"/>
  <c r="U26" i="34"/>
  <c r="Q26" i="34"/>
  <c r="N26" i="34"/>
  <c r="K26" i="34"/>
  <c r="J26" i="34"/>
  <c r="AL25" i="34"/>
  <c r="AK25" i="34"/>
  <c r="AB25" i="34"/>
  <c r="Z25" i="34"/>
  <c r="Y25" i="34"/>
  <c r="X25" i="34"/>
  <c r="W25" i="34"/>
  <c r="U25" i="34"/>
  <c r="Q25" i="34"/>
  <c r="N25" i="34"/>
  <c r="K25" i="34"/>
  <c r="J25" i="34"/>
  <c r="AL24" i="34"/>
  <c r="AK24" i="34"/>
  <c r="AB24" i="34"/>
  <c r="Z24" i="34"/>
  <c r="Y24" i="34"/>
  <c r="X24" i="34"/>
  <c r="W24" i="34"/>
  <c r="U24" i="34"/>
  <c r="Q24" i="34"/>
  <c r="N24" i="34"/>
  <c r="K24" i="34"/>
  <c r="J24" i="34"/>
  <c r="AL23" i="34"/>
  <c r="AK23" i="34"/>
  <c r="AB23" i="34"/>
  <c r="Z23" i="34"/>
  <c r="Y23" i="34"/>
  <c r="X23" i="34"/>
  <c r="W23" i="34"/>
  <c r="U23" i="34"/>
  <c r="Q23" i="34"/>
  <c r="N23" i="34"/>
  <c r="K23" i="34"/>
  <c r="J23" i="34"/>
  <c r="AL22" i="34"/>
  <c r="AK22" i="34"/>
  <c r="AB22" i="34"/>
  <c r="Z22" i="34"/>
  <c r="Y22" i="34"/>
  <c r="X22" i="34"/>
  <c r="W22" i="34"/>
  <c r="U22" i="34"/>
  <c r="V22" i="34" s="1"/>
  <c r="Q22" i="34"/>
  <c r="N22" i="34"/>
  <c r="K22" i="34"/>
  <c r="J22" i="34"/>
  <c r="AL21" i="34"/>
  <c r="AK21" i="34"/>
  <c r="AB21" i="34"/>
  <c r="Z21" i="34"/>
  <c r="Y21" i="34"/>
  <c r="X21" i="34"/>
  <c r="W21" i="34"/>
  <c r="U21" i="34"/>
  <c r="Q21" i="34"/>
  <c r="N21" i="34"/>
  <c r="K21" i="34"/>
  <c r="J21" i="34"/>
  <c r="AL20" i="34"/>
  <c r="AK20" i="34"/>
  <c r="AB20" i="34"/>
  <c r="Z20" i="34"/>
  <c r="Y20" i="34"/>
  <c r="X20" i="34"/>
  <c r="W20" i="34"/>
  <c r="V20" i="34"/>
  <c r="U20" i="34"/>
  <c r="Q20" i="34"/>
  <c r="N20" i="34"/>
  <c r="K20" i="34"/>
  <c r="J20" i="34"/>
  <c r="AL19" i="34"/>
  <c r="AK19" i="34"/>
  <c r="AB19" i="34"/>
  <c r="Z19" i="34"/>
  <c r="Y19" i="34"/>
  <c r="X19" i="34"/>
  <c r="W19" i="34"/>
  <c r="U19" i="34"/>
  <c r="Q19" i="34"/>
  <c r="N19" i="34"/>
  <c r="K19" i="34"/>
  <c r="J19" i="34"/>
  <c r="AL18" i="34"/>
  <c r="AK18" i="34"/>
  <c r="AB18" i="34"/>
  <c r="Z18" i="34"/>
  <c r="Y18" i="34"/>
  <c r="X18" i="34"/>
  <c r="W18" i="34"/>
  <c r="U18" i="34"/>
  <c r="Q18" i="34"/>
  <c r="N18" i="34"/>
  <c r="K18" i="34"/>
  <c r="J18" i="34"/>
  <c r="AL17" i="34"/>
  <c r="AK17" i="34"/>
  <c r="AB17" i="34"/>
  <c r="Z17" i="34"/>
  <c r="Y17" i="34"/>
  <c r="X17" i="34"/>
  <c r="W17" i="34"/>
  <c r="U17" i="34"/>
  <c r="Q17" i="34"/>
  <c r="N17" i="34"/>
  <c r="K17" i="34"/>
  <c r="J17" i="34"/>
  <c r="AL16" i="34"/>
  <c r="AK16" i="34"/>
  <c r="AB16" i="34"/>
  <c r="Z16" i="34"/>
  <c r="Y16" i="34"/>
  <c r="X16" i="34"/>
  <c r="W16" i="34"/>
  <c r="U16" i="34"/>
  <c r="Q16" i="34"/>
  <c r="N16" i="34"/>
  <c r="K16" i="34"/>
  <c r="J16" i="34"/>
  <c r="AL15" i="34"/>
  <c r="AK15" i="34"/>
  <c r="AB15" i="34"/>
  <c r="Z15" i="34"/>
  <c r="Y15" i="34"/>
  <c r="X15" i="34"/>
  <c r="W15" i="34"/>
  <c r="U15" i="34"/>
  <c r="Q15" i="34"/>
  <c r="N15" i="34"/>
  <c r="K15" i="34"/>
  <c r="J15" i="34"/>
  <c r="AL14" i="34"/>
  <c r="AK14" i="34"/>
  <c r="AB14" i="34"/>
  <c r="Z14" i="34"/>
  <c r="Y14" i="34"/>
  <c r="X14" i="34"/>
  <c r="W14" i="34"/>
  <c r="U14" i="34"/>
  <c r="V14" i="34" s="1"/>
  <c r="Q14" i="34"/>
  <c r="N14" i="34"/>
  <c r="K14" i="34"/>
  <c r="J14" i="34"/>
  <c r="AL13" i="34"/>
  <c r="AK13" i="34"/>
  <c r="AB13" i="34"/>
  <c r="Z13" i="34"/>
  <c r="Y13" i="34"/>
  <c r="X13" i="34"/>
  <c r="W13" i="34"/>
  <c r="U13" i="34"/>
  <c r="Q13" i="34"/>
  <c r="N13" i="34"/>
  <c r="K13" i="34"/>
  <c r="J13" i="34"/>
  <c r="AL12" i="34"/>
  <c r="AK12" i="34"/>
  <c r="AB12" i="34"/>
  <c r="Z12" i="34"/>
  <c r="Y12" i="34"/>
  <c r="X12" i="34"/>
  <c r="W12" i="34"/>
  <c r="V12" i="34"/>
  <c r="U12" i="34"/>
  <c r="Q12" i="34"/>
  <c r="N12" i="34"/>
  <c r="K12" i="34"/>
  <c r="J12" i="34"/>
  <c r="Z11" i="34"/>
  <c r="Y11" i="34"/>
  <c r="X11" i="34"/>
  <c r="W11" i="34"/>
  <c r="U11" i="34"/>
  <c r="Q11" i="34"/>
  <c r="N11" i="34"/>
  <c r="V11" i="34" s="1"/>
  <c r="K11" i="34"/>
  <c r="J11" i="34"/>
  <c r="G1" i="34"/>
  <c r="F1" i="34"/>
  <c r="U51" i="30"/>
  <c r="Q51" i="30"/>
  <c r="N51" i="30"/>
  <c r="Z50" i="30"/>
  <c r="Y50" i="30"/>
  <c r="X50" i="30"/>
  <c r="W50" i="30"/>
  <c r="U50" i="30"/>
  <c r="Q50" i="30"/>
  <c r="N50" i="30"/>
  <c r="K50" i="30"/>
  <c r="J50" i="30"/>
  <c r="Z49" i="30"/>
  <c r="Y49" i="30"/>
  <c r="X49" i="30"/>
  <c r="W49" i="30"/>
  <c r="U49" i="30"/>
  <c r="Q49" i="30"/>
  <c r="N49" i="30"/>
  <c r="V49" i="30" s="1"/>
  <c r="K49" i="30"/>
  <c r="J49" i="30"/>
  <c r="Z48" i="30"/>
  <c r="Y48" i="30"/>
  <c r="X48" i="30"/>
  <c r="W48" i="30"/>
  <c r="U48" i="30"/>
  <c r="Q48" i="30"/>
  <c r="N48" i="30"/>
  <c r="V48" i="30" s="1"/>
  <c r="K48" i="30"/>
  <c r="J48" i="30"/>
  <c r="Z47" i="30"/>
  <c r="Y47" i="30"/>
  <c r="X47" i="30"/>
  <c r="W47" i="30"/>
  <c r="U47" i="30"/>
  <c r="Q47" i="30"/>
  <c r="N47" i="30"/>
  <c r="K47" i="30"/>
  <c r="J47" i="30"/>
  <c r="Z46" i="30"/>
  <c r="Y46" i="30"/>
  <c r="X46" i="30"/>
  <c r="W46" i="30"/>
  <c r="U46" i="30"/>
  <c r="Q46" i="30"/>
  <c r="N46" i="30"/>
  <c r="K46" i="30"/>
  <c r="J46" i="30"/>
  <c r="AC45" i="30"/>
  <c r="Z45" i="30"/>
  <c r="Y45" i="30"/>
  <c r="X45" i="30"/>
  <c r="W45" i="30"/>
  <c r="U45" i="30"/>
  <c r="Q45" i="30"/>
  <c r="N45" i="30"/>
  <c r="K45" i="30"/>
  <c r="J45" i="30"/>
  <c r="AC44" i="30"/>
  <c r="Z44" i="30"/>
  <c r="Y44" i="30"/>
  <c r="X44" i="30"/>
  <c r="W44" i="30"/>
  <c r="U44" i="30"/>
  <c r="Q44" i="30"/>
  <c r="N44" i="30"/>
  <c r="K44" i="30"/>
  <c r="J44" i="30"/>
  <c r="AC43" i="30"/>
  <c r="Z43" i="30"/>
  <c r="Y43" i="30"/>
  <c r="X43" i="30"/>
  <c r="W43" i="30"/>
  <c r="U43" i="30"/>
  <c r="Q43" i="30"/>
  <c r="N43" i="30"/>
  <c r="K43" i="30"/>
  <c r="J43" i="30"/>
  <c r="AC42" i="30"/>
  <c r="Z42" i="30"/>
  <c r="Y42" i="30"/>
  <c r="X42" i="30"/>
  <c r="W42" i="30"/>
  <c r="U42" i="30"/>
  <c r="Q42" i="30"/>
  <c r="N42" i="30"/>
  <c r="K42" i="30"/>
  <c r="J42" i="30"/>
  <c r="AC41" i="30"/>
  <c r="Z41" i="30"/>
  <c r="Y41" i="30"/>
  <c r="X41" i="30"/>
  <c r="W41" i="30"/>
  <c r="U41" i="30"/>
  <c r="Q41" i="30"/>
  <c r="N41" i="30"/>
  <c r="K41" i="30"/>
  <c r="J41" i="30"/>
  <c r="AC40" i="30"/>
  <c r="Z40" i="30"/>
  <c r="Y40" i="30"/>
  <c r="X40" i="30"/>
  <c r="W40" i="30"/>
  <c r="U40" i="30"/>
  <c r="Q40" i="30"/>
  <c r="N40" i="30"/>
  <c r="K40" i="30"/>
  <c r="J40" i="30"/>
  <c r="AC39" i="30"/>
  <c r="Z39" i="30"/>
  <c r="Y39" i="30"/>
  <c r="X39" i="30"/>
  <c r="W39" i="30"/>
  <c r="U39" i="30"/>
  <c r="Q39" i="30"/>
  <c r="N39" i="30"/>
  <c r="K39" i="30"/>
  <c r="J39" i="30"/>
  <c r="AC38" i="30"/>
  <c r="Z38" i="30"/>
  <c r="Y38" i="30"/>
  <c r="X38" i="30"/>
  <c r="W38" i="30"/>
  <c r="U38" i="30"/>
  <c r="Q38" i="30"/>
  <c r="N38" i="30"/>
  <c r="K38" i="30"/>
  <c r="J38" i="30"/>
  <c r="AC37" i="30"/>
  <c r="Z37" i="30"/>
  <c r="Y37" i="30"/>
  <c r="X37" i="30"/>
  <c r="W37" i="30"/>
  <c r="U37" i="30"/>
  <c r="Q37" i="30"/>
  <c r="N37" i="30"/>
  <c r="K37" i="30"/>
  <c r="J37" i="30"/>
  <c r="Z36" i="30"/>
  <c r="Y36" i="30"/>
  <c r="X36" i="30"/>
  <c r="W36" i="30"/>
  <c r="U36" i="30"/>
  <c r="Q36" i="30"/>
  <c r="N36" i="30"/>
  <c r="K36" i="30"/>
  <c r="J36" i="30"/>
  <c r="Z35" i="30"/>
  <c r="Y35" i="30"/>
  <c r="X35" i="30"/>
  <c r="W35" i="30"/>
  <c r="U35" i="30"/>
  <c r="Q35" i="30"/>
  <c r="N35" i="30"/>
  <c r="K35" i="30"/>
  <c r="J35" i="30"/>
  <c r="AC34" i="30"/>
  <c r="Z34" i="30"/>
  <c r="Y34" i="30"/>
  <c r="X34" i="30"/>
  <c r="W34" i="30"/>
  <c r="U34" i="30"/>
  <c r="Q34" i="30"/>
  <c r="N34" i="30"/>
  <c r="K34" i="30"/>
  <c r="J34" i="30"/>
  <c r="AC33" i="30"/>
  <c r="Z33" i="30"/>
  <c r="Y33" i="30"/>
  <c r="X33" i="30"/>
  <c r="W33" i="30"/>
  <c r="U33" i="30"/>
  <c r="Q33" i="30"/>
  <c r="N33" i="30"/>
  <c r="K33" i="30"/>
  <c r="J33" i="30"/>
  <c r="AC32" i="30"/>
  <c r="Z32" i="30"/>
  <c r="Y32" i="30"/>
  <c r="X32" i="30"/>
  <c r="W32" i="30"/>
  <c r="U32" i="30"/>
  <c r="Q32" i="30"/>
  <c r="V32" i="30" s="1"/>
  <c r="N32" i="30"/>
  <c r="K32" i="30"/>
  <c r="J32" i="30"/>
  <c r="Z31" i="30"/>
  <c r="Y31" i="30"/>
  <c r="X31" i="30"/>
  <c r="W31" i="30"/>
  <c r="U31" i="30"/>
  <c r="Q31" i="30"/>
  <c r="N31" i="30"/>
  <c r="K31" i="30"/>
  <c r="J31" i="30"/>
  <c r="Z30" i="30"/>
  <c r="Y30" i="30"/>
  <c r="X30" i="30"/>
  <c r="W30" i="30"/>
  <c r="U30" i="30"/>
  <c r="Q30" i="30"/>
  <c r="N30" i="30"/>
  <c r="K30" i="30"/>
  <c r="J30" i="30"/>
  <c r="Z29" i="30"/>
  <c r="Y29" i="30"/>
  <c r="X29" i="30"/>
  <c r="W29" i="30"/>
  <c r="U29" i="30"/>
  <c r="Q29" i="30"/>
  <c r="V29" i="30" s="1"/>
  <c r="N29" i="30"/>
  <c r="K29" i="30"/>
  <c r="J29" i="30"/>
  <c r="Z28" i="30"/>
  <c r="Y28" i="30"/>
  <c r="X28" i="30"/>
  <c r="W28" i="30"/>
  <c r="U28" i="30"/>
  <c r="Q28" i="30"/>
  <c r="N28" i="30"/>
  <c r="K28" i="30"/>
  <c r="J28" i="30"/>
  <c r="Z27" i="30"/>
  <c r="Y27" i="30"/>
  <c r="X27" i="30"/>
  <c r="W27" i="30"/>
  <c r="U27" i="30"/>
  <c r="Q27" i="30"/>
  <c r="N27" i="30"/>
  <c r="K27" i="30"/>
  <c r="J27" i="30"/>
  <c r="AL26" i="30"/>
  <c r="AK26" i="30"/>
  <c r="AB26" i="30"/>
  <c r="Z26" i="30"/>
  <c r="Y26" i="30"/>
  <c r="X26" i="30"/>
  <c r="W26" i="30"/>
  <c r="U26" i="30"/>
  <c r="Q26" i="30"/>
  <c r="N26" i="30"/>
  <c r="V26" i="30" s="1"/>
  <c r="K26" i="30"/>
  <c r="J26" i="30"/>
  <c r="AL25" i="30"/>
  <c r="AK25" i="30"/>
  <c r="AB25" i="30"/>
  <c r="Z25" i="30"/>
  <c r="Y25" i="30"/>
  <c r="X25" i="30"/>
  <c r="W25" i="30"/>
  <c r="U25" i="30"/>
  <c r="Q25" i="30"/>
  <c r="N25" i="30"/>
  <c r="V25" i="30" s="1"/>
  <c r="K25" i="30"/>
  <c r="J25" i="30"/>
  <c r="AL24" i="30"/>
  <c r="AK24" i="30"/>
  <c r="AB24" i="30"/>
  <c r="Z24" i="30"/>
  <c r="Y24" i="30"/>
  <c r="X24" i="30"/>
  <c r="W24" i="30"/>
  <c r="U24" i="30"/>
  <c r="Q24" i="30"/>
  <c r="N24" i="30"/>
  <c r="V24" i="30" s="1"/>
  <c r="K24" i="30"/>
  <c r="J24" i="30"/>
  <c r="AL23" i="30"/>
  <c r="AK23" i="30"/>
  <c r="AB23" i="30"/>
  <c r="Z23" i="30"/>
  <c r="Y23" i="30"/>
  <c r="X23" i="30"/>
  <c r="W23" i="30"/>
  <c r="U23" i="30"/>
  <c r="Q23" i="30"/>
  <c r="N23" i="30"/>
  <c r="V23" i="30" s="1"/>
  <c r="K23" i="30"/>
  <c r="J23" i="30"/>
  <c r="AL22" i="30"/>
  <c r="AK22" i="30"/>
  <c r="AB22" i="30"/>
  <c r="Z22" i="30"/>
  <c r="Y22" i="30"/>
  <c r="X22" i="30"/>
  <c r="W22" i="30"/>
  <c r="U22" i="30"/>
  <c r="Q22" i="30"/>
  <c r="N22" i="30"/>
  <c r="V22" i="30" s="1"/>
  <c r="K22" i="30"/>
  <c r="J22" i="30"/>
  <c r="AL21" i="30"/>
  <c r="AK21" i="30"/>
  <c r="AB21" i="30"/>
  <c r="Z21" i="30"/>
  <c r="Y21" i="30"/>
  <c r="X21" i="30"/>
  <c r="W21" i="30"/>
  <c r="U21" i="30"/>
  <c r="Q21" i="30"/>
  <c r="N21" i="30"/>
  <c r="K21" i="30"/>
  <c r="J21" i="30"/>
  <c r="AL20" i="30"/>
  <c r="AK20" i="30"/>
  <c r="AB20" i="30"/>
  <c r="Z20" i="30"/>
  <c r="Y20" i="30"/>
  <c r="X20" i="30"/>
  <c r="W20" i="30"/>
  <c r="U20" i="30"/>
  <c r="Q20" i="30"/>
  <c r="N20" i="30"/>
  <c r="K20" i="30"/>
  <c r="J20" i="30"/>
  <c r="AL19" i="30"/>
  <c r="AK19" i="30"/>
  <c r="AB19" i="30"/>
  <c r="Z19" i="30"/>
  <c r="Y19" i="30"/>
  <c r="X19" i="30"/>
  <c r="W19" i="30"/>
  <c r="U19" i="30"/>
  <c r="Q19" i="30"/>
  <c r="N19" i="30"/>
  <c r="K19" i="30"/>
  <c r="J19" i="30"/>
  <c r="AL18" i="30"/>
  <c r="AK18" i="30"/>
  <c r="AB18" i="30"/>
  <c r="Z18" i="30"/>
  <c r="Y18" i="30"/>
  <c r="X18" i="30"/>
  <c r="W18" i="30"/>
  <c r="U18" i="30"/>
  <c r="Q18" i="30"/>
  <c r="V18" i="30" s="1"/>
  <c r="N18" i="30"/>
  <c r="K18" i="30"/>
  <c r="J18" i="30"/>
  <c r="AL17" i="30"/>
  <c r="AK17" i="30"/>
  <c r="AB17" i="30"/>
  <c r="Z17" i="30"/>
  <c r="Y17" i="30"/>
  <c r="X17" i="30"/>
  <c r="W17" i="30"/>
  <c r="U17" i="30"/>
  <c r="Q17" i="30"/>
  <c r="N17" i="30"/>
  <c r="K17" i="30"/>
  <c r="J17" i="30"/>
  <c r="AL16" i="30"/>
  <c r="AK16" i="30"/>
  <c r="AB16" i="30"/>
  <c r="Z16" i="30"/>
  <c r="Y16" i="30"/>
  <c r="X16" i="30"/>
  <c r="W16" i="30"/>
  <c r="U16" i="30"/>
  <c r="Q16" i="30"/>
  <c r="N16" i="30"/>
  <c r="K16" i="30"/>
  <c r="J16" i="30"/>
  <c r="AL15" i="30"/>
  <c r="AK15" i="30"/>
  <c r="AB15" i="30"/>
  <c r="Z15" i="30"/>
  <c r="Y15" i="30"/>
  <c r="X15" i="30"/>
  <c r="W15" i="30"/>
  <c r="U15" i="30"/>
  <c r="Q15" i="30"/>
  <c r="N15" i="30"/>
  <c r="K15" i="30"/>
  <c r="J15" i="30"/>
  <c r="AL14" i="30"/>
  <c r="AK14" i="30"/>
  <c r="AB14" i="30"/>
  <c r="Z14" i="30"/>
  <c r="Y14" i="30"/>
  <c r="X14" i="30"/>
  <c r="W14" i="30"/>
  <c r="U14" i="30"/>
  <c r="Q14" i="30"/>
  <c r="N14" i="30"/>
  <c r="K14" i="30"/>
  <c r="J14" i="30"/>
  <c r="AL13" i="30"/>
  <c r="AK13" i="30"/>
  <c r="AB13" i="30"/>
  <c r="Z13" i="30"/>
  <c r="Y13" i="30"/>
  <c r="X13" i="30"/>
  <c r="W13" i="30"/>
  <c r="U13" i="30"/>
  <c r="Q13" i="30"/>
  <c r="N13" i="30"/>
  <c r="K13" i="30"/>
  <c r="J13" i="30"/>
  <c r="AL12" i="30"/>
  <c r="AK12" i="30"/>
  <c r="AB12" i="30"/>
  <c r="Z12" i="30"/>
  <c r="Y12" i="30"/>
  <c r="X12" i="30"/>
  <c r="W12" i="30"/>
  <c r="U12" i="30"/>
  <c r="Q12" i="30"/>
  <c r="N12" i="30"/>
  <c r="K12" i="30"/>
  <c r="J12" i="30"/>
  <c r="Z11" i="30"/>
  <c r="Y11" i="30"/>
  <c r="X11" i="30"/>
  <c r="W11" i="30"/>
  <c r="U11" i="30"/>
  <c r="Q11" i="30"/>
  <c r="N11" i="30"/>
  <c r="K11" i="30"/>
  <c r="J11" i="30"/>
  <c r="G1" i="30"/>
  <c r="F1" i="30"/>
  <c r="L36" i="28"/>
  <c r="K36" i="28"/>
  <c r="J36" i="28"/>
  <c r="I36" i="28"/>
  <c r="L35" i="28"/>
  <c r="K35" i="28"/>
  <c r="J35" i="28"/>
  <c r="I35" i="28"/>
  <c r="L34" i="28"/>
  <c r="K34" i="28"/>
  <c r="J34" i="28"/>
  <c r="I34" i="28"/>
  <c r="L33" i="28"/>
  <c r="K33" i="28"/>
  <c r="J33" i="28"/>
  <c r="I33" i="28"/>
  <c r="L32" i="28"/>
  <c r="K32" i="28"/>
  <c r="J32" i="28"/>
  <c r="I32" i="28"/>
  <c r="L31" i="28"/>
  <c r="K31" i="28"/>
  <c r="J31" i="28"/>
  <c r="I31" i="28"/>
  <c r="L30" i="28"/>
  <c r="K30" i="28"/>
  <c r="J30" i="28"/>
  <c r="I30" i="28"/>
  <c r="L29" i="28"/>
  <c r="K29" i="28"/>
  <c r="J29" i="28"/>
  <c r="I29" i="28"/>
  <c r="L28" i="28"/>
  <c r="K28" i="28"/>
  <c r="J28" i="28"/>
  <c r="I28" i="28"/>
  <c r="L27" i="28"/>
  <c r="K27" i="28"/>
  <c r="J27" i="28"/>
  <c r="I27" i="28"/>
  <c r="L26" i="28"/>
  <c r="K26" i="28"/>
  <c r="J26" i="28"/>
  <c r="I26" i="28"/>
  <c r="L25" i="28"/>
  <c r="K25" i="28"/>
  <c r="J25" i="28"/>
  <c r="I25" i="28"/>
  <c r="L24" i="28"/>
  <c r="K24" i="28"/>
  <c r="J24" i="28"/>
  <c r="I24" i="28"/>
  <c r="L23" i="28"/>
  <c r="K23" i="28"/>
  <c r="J23" i="28"/>
  <c r="I23" i="28"/>
  <c r="L22" i="28"/>
  <c r="K22" i="28"/>
  <c r="J22" i="28"/>
  <c r="I22" i="28"/>
  <c r="L21" i="28"/>
  <c r="K21" i="28"/>
  <c r="J21" i="28"/>
  <c r="I21" i="28"/>
  <c r="L20" i="28"/>
  <c r="K20" i="28"/>
  <c r="J20" i="28"/>
  <c r="I20" i="28"/>
  <c r="L19" i="28"/>
  <c r="K19" i="28"/>
  <c r="J19" i="28"/>
  <c r="I19" i="28"/>
  <c r="L18" i="28"/>
  <c r="K18" i="28"/>
  <c r="J18" i="28"/>
  <c r="I18" i="28"/>
  <c r="L17" i="28"/>
  <c r="K17" i="28"/>
  <c r="J17" i="28"/>
  <c r="I17" i="28"/>
  <c r="L16" i="28"/>
  <c r="K16" i="28"/>
  <c r="J16" i="28"/>
  <c r="I16" i="28"/>
  <c r="L15" i="28"/>
  <c r="K15" i="28"/>
  <c r="J15" i="28"/>
  <c r="I15" i="28"/>
  <c r="L14" i="28"/>
  <c r="K14" i="28"/>
  <c r="J14" i="28"/>
  <c r="I14" i="28"/>
  <c r="L13" i="28"/>
  <c r="K13" i="28"/>
  <c r="J13" i="28"/>
  <c r="I13" i="28"/>
  <c r="L12" i="28"/>
  <c r="K12" i="28"/>
  <c r="J12" i="28"/>
  <c r="I12" i="28"/>
  <c r="L11" i="28"/>
  <c r="K11" i="28"/>
  <c r="J11" i="28"/>
  <c r="I11" i="28"/>
  <c r="L37" i="23"/>
  <c r="K37" i="23"/>
  <c r="J37" i="23"/>
  <c r="I37" i="23"/>
  <c r="L36" i="23"/>
  <c r="K36" i="23"/>
  <c r="J36" i="23"/>
  <c r="I36" i="23"/>
  <c r="L35" i="23"/>
  <c r="K35" i="23"/>
  <c r="J35" i="23"/>
  <c r="I35" i="23"/>
  <c r="L34" i="23"/>
  <c r="K34" i="23"/>
  <c r="J34" i="23"/>
  <c r="I34" i="23"/>
  <c r="L33" i="23"/>
  <c r="K33" i="23"/>
  <c r="J33" i="23"/>
  <c r="I33" i="23"/>
  <c r="L32" i="23"/>
  <c r="K32" i="23"/>
  <c r="J32" i="23"/>
  <c r="I32" i="23"/>
  <c r="L31" i="23"/>
  <c r="K31" i="23"/>
  <c r="J31" i="23"/>
  <c r="I31" i="23"/>
  <c r="L30" i="23"/>
  <c r="K30" i="23"/>
  <c r="J30" i="23"/>
  <c r="I30" i="23"/>
  <c r="L29" i="23"/>
  <c r="K29" i="23"/>
  <c r="J29" i="23"/>
  <c r="I29" i="23"/>
  <c r="L28" i="23"/>
  <c r="K28" i="23"/>
  <c r="J28" i="23"/>
  <c r="I28" i="23"/>
  <c r="L27" i="23"/>
  <c r="K27" i="23"/>
  <c r="J27" i="23"/>
  <c r="I27" i="23"/>
  <c r="L26" i="23"/>
  <c r="K26" i="23"/>
  <c r="J26" i="23"/>
  <c r="I26" i="23"/>
  <c r="L25" i="23"/>
  <c r="K25" i="23"/>
  <c r="J25" i="23"/>
  <c r="I25" i="23"/>
  <c r="L24" i="23"/>
  <c r="K24" i="23"/>
  <c r="J24" i="23"/>
  <c r="I24" i="23"/>
  <c r="L23" i="23"/>
  <c r="K23" i="23"/>
  <c r="J23" i="23"/>
  <c r="I23" i="23"/>
  <c r="L22" i="23"/>
  <c r="K22" i="23"/>
  <c r="J22" i="23"/>
  <c r="I22" i="23"/>
  <c r="L21" i="23"/>
  <c r="K21" i="23"/>
  <c r="J21" i="23"/>
  <c r="I21" i="23"/>
  <c r="L20" i="23"/>
  <c r="K20" i="23"/>
  <c r="J20" i="23"/>
  <c r="I20" i="23"/>
  <c r="L19" i="23"/>
  <c r="K19" i="23"/>
  <c r="J19" i="23"/>
  <c r="I19" i="23"/>
  <c r="L18" i="23"/>
  <c r="K18" i="23"/>
  <c r="J18" i="23"/>
  <c r="I18" i="23"/>
  <c r="L17" i="23"/>
  <c r="K17" i="23"/>
  <c r="J17" i="23"/>
  <c r="I17" i="23"/>
  <c r="L16" i="23"/>
  <c r="K16" i="23"/>
  <c r="J16" i="23"/>
  <c r="I16" i="23"/>
  <c r="L15" i="23"/>
  <c r="K15" i="23"/>
  <c r="J15" i="23"/>
  <c r="I15" i="23"/>
  <c r="L14" i="23"/>
  <c r="K14" i="23"/>
  <c r="J14" i="23"/>
  <c r="I14" i="23"/>
  <c r="L13" i="23"/>
  <c r="K13" i="23"/>
  <c r="J13" i="23"/>
  <c r="I13" i="23"/>
  <c r="L12" i="23"/>
  <c r="K12" i="23"/>
  <c r="J12" i="23"/>
  <c r="I12" i="23"/>
  <c r="L11" i="23"/>
  <c r="K11" i="23"/>
  <c r="J11" i="23"/>
  <c r="I11" i="23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O26" i="38"/>
  <c r="N26" i="38"/>
  <c r="M26" i="38"/>
  <c r="L26" i="38"/>
  <c r="K26" i="38"/>
  <c r="O25" i="38"/>
  <c r="N25" i="38"/>
  <c r="M25" i="38"/>
  <c r="L25" i="38"/>
  <c r="K25" i="38"/>
  <c r="O24" i="38"/>
  <c r="N24" i="38"/>
  <c r="M24" i="38"/>
  <c r="L24" i="38"/>
  <c r="K24" i="38"/>
  <c r="O23" i="38"/>
  <c r="N23" i="38"/>
  <c r="M23" i="38"/>
  <c r="L23" i="38"/>
  <c r="K23" i="38"/>
  <c r="O22" i="38"/>
  <c r="N22" i="38"/>
  <c r="M22" i="38"/>
  <c r="L22" i="38"/>
  <c r="K22" i="38"/>
  <c r="O21" i="38"/>
  <c r="N21" i="38"/>
  <c r="M21" i="38"/>
  <c r="L21" i="38"/>
  <c r="K21" i="38"/>
  <c r="O20" i="38"/>
  <c r="N20" i="38"/>
  <c r="M20" i="38"/>
  <c r="L20" i="38"/>
  <c r="K20" i="38"/>
  <c r="O19" i="38"/>
  <c r="N19" i="38"/>
  <c r="M19" i="38"/>
  <c r="L19" i="38"/>
  <c r="K19" i="38"/>
  <c r="O18" i="38"/>
  <c r="N18" i="38"/>
  <c r="M18" i="38"/>
  <c r="L18" i="38"/>
  <c r="K18" i="38"/>
  <c r="O17" i="38"/>
  <c r="N17" i="38"/>
  <c r="M17" i="38"/>
  <c r="L17" i="38"/>
  <c r="K17" i="38"/>
  <c r="O16" i="38"/>
  <c r="N16" i="38"/>
  <c r="M16" i="38"/>
  <c r="L16" i="38"/>
  <c r="K16" i="38"/>
  <c r="O15" i="38"/>
  <c r="N15" i="38"/>
  <c r="M15" i="38"/>
  <c r="L15" i="38"/>
  <c r="K15" i="38"/>
  <c r="O14" i="38"/>
  <c r="N14" i="38"/>
  <c r="M14" i="38"/>
  <c r="L14" i="38"/>
  <c r="K14" i="38"/>
  <c r="O13" i="38"/>
  <c r="N13" i="38"/>
  <c r="M13" i="38"/>
  <c r="L13" i="38"/>
  <c r="K13" i="38"/>
  <c r="O12" i="38"/>
  <c r="N12" i="38"/>
  <c r="M12" i="38"/>
  <c r="L12" i="38"/>
  <c r="K12" i="38"/>
  <c r="O11" i="38"/>
  <c r="N11" i="38"/>
  <c r="M11" i="38"/>
  <c r="L11" i="38"/>
  <c r="K11" i="38"/>
  <c r="O10" i="38"/>
  <c r="N10" i="38"/>
  <c r="M10" i="38"/>
  <c r="L10" i="38"/>
  <c r="K10" i="38"/>
  <c r="O9" i="38"/>
  <c r="N9" i="38"/>
  <c r="M9" i="38"/>
  <c r="L9" i="38"/>
  <c r="K9" i="38"/>
  <c r="O8" i="38"/>
  <c r="N8" i="38"/>
  <c r="M8" i="38"/>
  <c r="L8" i="38"/>
  <c r="K8" i="38"/>
  <c r="O7" i="38"/>
  <c r="N7" i="38"/>
  <c r="M7" i="38"/>
  <c r="L7" i="38"/>
  <c r="K7" i="38"/>
  <c r="C4" i="38"/>
  <c r="F5" i="38" s="1"/>
  <c r="H1" i="38"/>
  <c r="G1" i="38"/>
  <c r="L26" i="36"/>
  <c r="K26" i="36"/>
  <c r="J26" i="36"/>
  <c r="L25" i="36"/>
  <c r="K25" i="36"/>
  <c r="J25" i="36"/>
  <c r="L24" i="36"/>
  <c r="K24" i="36"/>
  <c r="J24" i="36"/>
  <c r="L23" i="36"/>
  <c r="K23" i="36"/>
  <c r="J23" i="36"/>
  <c r="L22" i="36"/>
  <c r="K22" i="36"/>
  <c r="J22" i="36"/>
  <c r="L21" i="36"/>
  <c r="K21" i="36"/>
  <c r="J21" i="36"/>
  <c r="L20" i="36"/>
  <c r="K20" i="36"/>
  <c r="J20" i="36"/>
  <c r="L19" i="36"/>
  <c r="K19" i="36"/>
  <c r="J19" i="36"/>
  <c r="L18" i="36"/>
  <c r="K18" i="36"/>
  <c r="J18" i="36"/>
  <c r="L17" i="36"/>
  <c r="K17" i="36"/>
  <c r="J17" i="36"/>
  <c r="L16" i="36"/>
  <c r="K16" i="36"/>
  <c r="J16" i="36"/>
  <c r="L15" i="36"/>
  <c r="K15" i="36"/>
  <c r="J15" i="36"/>
  <c r="L14" i="36"/>
  <c r="K14" i="36"/>
  <c r="J14" i="36"/>
  <c r="L13" i="36"/>
  <c r="K13" i="36"/>
  <c r="J13" i="36"/>
  <c r="L12" i="36"/>
  <c r="K12" i="36"/>
  <c r="J12" i="36"/>
  <c r="L11" i="36"/>
  <c r="K11" i="36"/>
  <c r="J11" i="36"/>
  <c r="L10" i="36"/>
  <c r="K10" i="36"/>
  <c r="J10" i="36"/>
  <c r="L9" i="36"/>
  <c r="K9" i="36"/>
  <c r="J9" i="36"/>
  <c r="L8" i="36"/>
  <c r="K8" i="36"/>
  <c r="J8" i="36"/>
  <c r="L7" i="36"/>
  <c r="K7" i="36"/>
  <c r="J7" i="36"/>
  <c r="C4" i="36"/>
  <c r="F5" i="36" s="1"/>
  <c r="B2" i="36"/>
  <c r="G1" i="36"/>
  <c r="F1" i="36"/>
  <c r="C36" i="8"/>
  <c r="D24" i="8"/>
  <c r="C11" i="8"/>
  <c r="C9" i="8"/>
  <c r="X3" i="18"/>
  <c r="G21" i="12"/>
  <c r="Y3" i="18"/>
  <c r="F23" i="12"/>
  <c r="Z2" i="18"/>
  <c r="G23" i="12"/>
  <c r="E33" i="6" l="1"/>
  <c r="D33" i="6"/>
  <c r="P57" i="15"/>
  <c r="Q57" i="15" s="1"/>
  <c r="P59" i="15"/>
  <c r="Q59" i="15" s="1"/>
  <c r="P60" i="15"/>
  <c r="Q60" i="15" s="1"/>
  <c r="P61" i="15"/>
  <c r="Q61" i="15" s="1"/>
  <c r="P62" i="15"/>
  <c r="Q62" i="15" s="1"/>
  <c r="P63" i="15"/>
  <c r="Q63" i="15" s="1"/>
  <c r="P64" i="15"/>
  <c r="Q64" i="15" s="1"/>
  <c r="P65" i="15"/>
  <c r="Q65" i="15" s="1"/>
  <c r="P66" i="15"/>
  <c r="Q66" i="15" s="1"/>
  <c r="P67" i="15"/>
  <c r="Q67" i="15" s="1"/>
  <c r="P68" i="15"/>
  <c r="Q68" i="15" s="1"/>
  <c r="P69" i="15"/>
  <c r="Q69" i="15" s="1"/>
  <c r="P70" i="15"/>
  <c r="Q70" i="15" s="1"/>
  <c r="P71" i="15"/>
  <c r="Q71" i="15" s="1"/>
  <c r="P72" i="15"/>
  <c r="Q72" i="15" s="1"/>
  <c r="P73" i="15"/>
  <c r="Q73" i="15" s="1"/>
  <c r="P74" i="15"/>
  <c r="Q74" i="15" s="1"/>
  <c r="P75" i="15"/>
  <c r="Q75" i="15" s="1"/>
  <c r="P76" i="15"/>
  <c r="Q76" i="15" s="1"/>
  <c r="P77" i="15"/>
  <c r="Q77" i="15" s="1"/>
  <c r="P78" i="15"/>
  <c r="Q78" i="15" s="1"/>
  <c r="P79" i="15"/>
  <c r="Q79" i="15" s="1"/>
  <c r="P80" i="15"/>
  <c r="Q80" i="15" s="1"/>
  <c r="P81" i="15"/>
  <c r="Q81" i="15" s="1"/>
  <c r="P82" i="15"/>
  <c r="Q82" i="15" s="1"/>
  <c r="P83" i="15"/>
  <c r="Q83" i="15" s="1"/>
  <c r="P84" i="15"/>
  <c r="Q84" i="15" s="1"/>
  <c r="P85" i="15"/>
  <c r="Q85" i="15" s="1"/>
  <c r="P86" i="15"/>
  <c r="Q86" i="15" s="1"/>
  <c r="P87" i="15"/>
  <c r="Q87" i="15" s="1"/>
  <c r="P88" i="15"/>
  <c r="Q88" i="15" s="1"/>
  <c r="P89" i="15"/>
  <c r="Q89" i="15" s="1"/>
  <c r="P90" i="15"/>
  <c r="Q90" i="15" s="1"/>
  <c r="P91" i="15"/>
  <c r="Q91" i="15" s="1"/>
  <c r="P92" i="15"/>
  <c r="Q92" i="15" s="1"/>
  <c r="P93" i="15"/>
  <c r="Q93" i="15" s="1"/>
  <c r="P94" i="15"/>
  <c r="Q94" i="15" s="1"/>
  <c r="P95" i="15"/>
  <c r="Q95" i="15" s="1"/>
  <c r="P96" i="15"/>
  <c r="Q96" i="15" s="1"/>
  <c r="P97" i="15"/>
  <c r="Q97" i="15" s="1"/>
  <c r="P98" i="15"/>
  <c r="Q98" i="15" s="1"/>
  <c r="P99" i="15"/>
  <c r="Q99" i="15" s="1"/>
  <c r="P100" i="15"/>
  <c r="Q100" i="15" s="1"/>
  <c r="P101" i="15"/>
  <c r="Q101" i="15" s="1"/>
  <c r="P102" i="15"/>
  <c r="Q102" i="15" s="1"/>
  <c r="P103" i="15"/>
  <c r="Q103" i="15" s="1"/>
  <c r="P104" i="15"/>
  <c r="Q104" i="15" s="1"/>
  <c r="P105" i="15"/>
  <c r="Q105" i="15" s="1"/>
  <c r="P106" i="15"/>
  <c r="Q106" i="15" s="1"/>
  <c r="P107" i="15"/>
  <c r="Q107" i="15" s="1"/>
  <c r="P108" i="15"/>
  <c r="Q108" i="15" s="1"/>
  <c r="P109" i="15"/>
  <c r="Q109" i="15" s="1"/>
  <c r="P110" i="15"/>
  <c r="Q110" i="15" s="1"/>
  <c r="P111" i="15"/>
  <c r="Q111" i="15" s="1"/>
  <c r="P112" i="15"/>
  <c r="Q112" i="15" s="1"/>
  <c r="P113" i="15"/>
  <c r="Q113" i="15" s="1"/>
  <c r="P114" i="15"/>
  <c r="Q114" i="15" s="1"/>
  <c r="P115" i="15"/>
  <c r="Q115" i="15" s="1"/>
  <c r="P116" i="15"/>
  <c r="Q116" i="15" s="1"/>
  <c r="P117" i="15"/>
  <c r="Q117" i="15" s="1"/>
  <c r="P118" i="15"/>
  <c r="Q118" i="15" s="1"/>
  <c r="P119" i="15"/>
  <c r="Q119" i="15" s="1"/>
  <c r="P120" i="15"/>
  <c r="Q120" i="15" s="1"/>
  <c r="P121" i="15"/>
  <c r="Q121" i="15" s="1"/>
  <c r="P122" i="15"/>
  <c r="Q122" i="15" s="1"/>
  <c r="P123" i="15"/>
  <c r="Q123" i="15" s="1"/>
  <c r="Q10" i="4"/>
  <c r="S10" i="4" s="1"/>
  <c r="E10" i="4"/>
  <c r="R10" i="4"/>
  <c r="N27" i="38"/>
  <c r="C5" i="5"/>
  <c r="D5" i="5" s="1"/>
  <c r="C12" i="5"/>
  <c r="D12" i="5" s="1"/>
  <c r="C25" i="5"/>
  <c r="D25" i="5" s="1"/>
  <c r="C9" i="5"/>
  <c r="D9" i="5" s="1"/>
  <c r="K10" i="12"/>
  <c r="C10" i="12" s="1"/>
  <c r="L10" i="12" s="1"/>
  <c r="C24" i="5"/>
  <c r="C8" i="5"/>
  <c r="J16" i="4"/>
  <c r="J9" i="4"/>
  <c r="C21" i="5"/>
  <c r="C16" i="5"/>
  <c r="D16" i="5" s="1"/>
  <c r="J8" i="4"/>
  <c r="O5" i="4"/>
  <c r="K8" i="12"/>
  <c r="AA49" i="30"/>
  <c r="J7" i="4"/>
  <c r="C7" i="4" s="1"/>
  <c r="K7" i="4" s="1"/>
  <c r="D5" i="36"/>
  <c r="AA40" i="30"/>
  <c r="AA44" i="30"/>
  <c r="AA18" i="34"/>
  <c r="AA30" i="34"/>
  <c r="AA40" i="34"/>
  <c r="C15" i="5"/>
  <c r="D5" i="38"/>
  <c r="C22" i="5"/>
  <c r="D22" i="5" s="1"/>
  <c r="P124" i="15"/>
  <c r="Q124" i="15" s="1"/>
  <c r="P125" i="15"/>
  <c r="Q125" i="15" s="1"/>
  <c r="P126" i="15"/>
  <c r="Q126" i="15" s="1"/>
  <c r="P127" i="15"/>
  <c r="Q127" i="15" s="1"/>
  <c r="P128" i="15"/>
  <c r="Q128" i="15" s="1"/>
  <c r="P129" i="15"/>
  <c r="Q129" i="15" s="1"/>
  <c r="P130" i="15"/>
  <c r="Q130" i="15" s="1"/>
  <c r="P131" i="15"/>
  <c r="Q131" i="15" s="1"/>
  <c r="P132" i="15"/>
  <c r="Q132" i="15" s="1"/>
  <c r="P133" i="15"/>
  <c r="Q133" i="15" s="1"/>
  <c r="P134" i="15"/>
  <c r="Q134" i="15" s="1"/>
  <c r="P135" i="15"/>
  <c r="Q135" i="15" s="1"/>
  <c r="P136" i="15"/>
  <c r="Q136" i="15" s="1"/>
  <c r="P137" i="15"/>
  <c r="Q137" i="15" s="1"/>
  <c r="P138" i="15"/>
  <c r="Q138" i="15" s="1"/>
  <c r="P139" i="15"/>
  <c r="Q139" i="15" s="1"/>
  <c r="P140" i="15"/>
  <c r="Q140" i="15" s="1"/>
  <c r="P141" i="15"/>
  <c r="Q141" i="15" s="1"/>
  <c r="P142" i="15"/>
  <c r="Q142" i="15" s="1"/>
  <c r="P143" i="15"/>
  <c r="Q143" i="15" s="1"/>
  <c r="P144" i="15"/>
  <c r="Q144" i="15" s="1"/>
  <c r="P145" i="15"/>
  <c r="Q145" i="15" s="1"/>
  <c r="P146" i="15"/>
  <c r="Q146" i="15" s="1"/>
  <c r="P147" i="15"/>
  <c r="Q147" i="15" s="1"/>
  <c r="P148" i="15"/>
  <c r="Q148" i="15" s="1"/>
  <c r="P149" i="15"/>
  <c r="Q149" i="15" s="1"/>
  <c r="P150" i="15"/>
  <c r="Q150" i="15" s="1"/>
  <c r="P151" i="15"/>
  <c r="Q151" i="15" s="1"/>
  <c r="P152" i="15"/>
  <c r="Q152" i="15" s="1"/>
  <c r="P153" i="15"/>
  <c r="Q153" i="15" s="1"/>
  <c r="P154" i="15"/>
  <c r="Q154" i="15" s="1"/>
  <c r="P155" i="15"/>
  <c r="Q155" i="15" s="1"/>
  <c r="P156" i="15"/>
  <c r="Q156" i="15" s="1"/>
  <c r="P157" i="15"/>
  <c r="Q157" i="15" s="1"/>
  <c r="P158" i="15"/>
  <c r="Q158" i="15" s="1"/>
  <c r="P159" i="15"/>
  <c r="Q159" i="15" s="1"/>
  <c r="P160" i="15"/>
  <c r="Q160" i="15" s="1"/>
  <c r="P161" i="15"/>
  <c r="Q161" i="15" s="1"/>
  <c r="P162" i="15"/>
  <c r="Q162" i="15" s="1"/>
  <c r="P163" i="15"/>
  <c r="Q163" i="15" s="1"/>
  <c r="P164" i="15"/>
  <c r="Q164" i="15" s="1"/>
  <c r="P165" i="15"/>
  <c r="Q165" i="15" s="1"/>
  <c r="P166" i="15"/>
  <c r="Q166" i="15" s="1"/>
  <c r="M11" i="23"/>
  <c r="M13" i="23"/>
  <c r="M15" i="23"/>
  <c r="M17" i="23"/>
  <c r="M19" i="23"/>
  <c r="M21" i="23"/>
  <c r="M23" i="23"/>
  <c r="M25" i="23"/>
  <c r="M27" i="23"/>
  <c r="M29" i="23"/>
  <c r="M31" i="23"/>
  <c r="M33" i="23"/>
  <c r="M35" i="23"/>
  <c r="M37" i="23"/>
  <c r="M12" i="28"/>
  <c r="M14" i="28"/>
  <c r="M16" i="28"/>
  <c r="M18" i="28"/>
  <c r="M20" i="28"/>
  <c r="M22" i="28"/>
  <c r="M24" i="28"/>
  <c r="M26" i="28"/>
  <c r="V11" i="30"/>
  <c r="AA17" i="30"/>
  <c r="V28" i="30"/>
  <c r="V38" i="30"/>
  <c r="V42" i="30"/>
  <c r="V46" i="30"/>
  <c r="V17" i="34"/>
  <c r="V19" i="34"/>
  <c r="AA26" i="34"/>
  <c r="V33" i="34"/>
  <c r="V38" i="34"/>
  <c r="V42" i="34"/>
  <c r="V46" i="34"/>
  <c r="V16" i="30"/>
  <c r="AA25" i="30"/>
  <c r="V25" i="34"/>
  <c r="V27" i="34"/>
  <c r="AA11" i="30"/>
  <c r="V12" i="30"/>
  <c r="AA38" i="30"/>
  <c r="AA42" i="30"/>
  <c r="AA46" i="30"/>
  <c r="AA19" i="34"/>
  <c r="V29" i="34"/>
  <c r="AA33" i="34"/>
  <c r="AA38" i="34"/>
  <c r="AA42" i="34"/>
  <c r="C17" i="5"/>
  <c r="D17" i="5" s="1"/>
  <c r="M12" i="23"/>
  <c r="M14" i="23"/>
  <c r="M16" i="23"/>
  <c r="M18" i="23"/>
  <c r="M20" i="23"/>
  <c r="M22" i="23"/>
  <c r="M24" i="23"/>
  <c r="M26" i="23"/>
  <c r="M28" i="23"/>
  <c r="M30" i="23"/>
  <c r="M32" i="23"/>
  <c r="M34" i="23"/>
  <c r="M36" i="23"/>
  <c r="M11" i="28"/>
  <c r="M13" i="28"/>
  <c r="M15" i="28"/>
  <c r="M17" i="28"/>
  <c r="M19" i="28"/>
  <c r="M21" i="28"/>
  <c r="M23" i="28"/>
  <c r="M25" i="28"/>
  <c r="M27" i="28"/>
  <c r="AA16" i="30"/>
  <c r="V20" i="30"/>
  <c r="V34" i="30"/>
  <c r="V35" i="30"/>
  <c r="V40" i="30"/>
  <c r="V16" i="34"/>
  <c r="V18" i="34"/>
  <c r="AA27" i="34"/>
  <c r="V30" i="34"/>
  <c r="V35" i="34"/>
  <c r="V40" i="34"/>
  <c r="V44" i="34"/>
  <c r="AA47" i="34"/>
  <c r="C23" i="5"/>
  <c r="D23" i="5" s="1"/>
  <c r="V15" i="30"/>
  <c r="V17" i="30"/>
  <c r="AA24" i="30"/>
  <c r="V24" i="34"/>
  <c r="V26" i="34"/>
  <c r="P12" i="15"/>
  <c r="Q12" i="15" s="1"/>
  <c r="P15" i="15"/>
  <c r="Q15" i="15" s="1"/>
  <c r="P18" i="15"/>
  <c r="Q18" i="15" s="1"/>
  <c r="P21" i="15"/>
  <c r="Q21" i="15" s="1"/>
  <c r="P22" i="15"/>
  <c r="Q22" i="15" s="1"/>
  <c r="P26" i="15"/>
  <c r="Q26" i="15" s="1"/>
  <c r="P28" i="15"/>
  <c r="Q28" i="15" s="1"/>
  <c r="P32" i="15"/>
  <c r="Q32" i="15" s="1"/>
  <c r="P33" i="15"/>
  <c r="Q33" i="15" s="1"/>
  <c r="P39" i="15"/>
  <c r="Q39" i="15" s="1"/>
  <c r="P47" i="15"/>
  <c r="Q47" i="15" s="1"/>
  <c r="P51" i="15"/>
  <c r="Q51" i="15" s="1"/>
  <c r="P53" i="15"/>
  <c r="Q53" i="15" s="1"/>
  <c r="P55" i="15"/>
  <c r="Q55" i="15" s="1"/>
  <c r="O27" i="38"/>
  <c r="P11" i="15"/>
  <c r="Q11" i="15" s="1"/>
  <c r="P13" i="15"/>
  <c r="Q13" i="15" s="1"/>
  <c r="P14" i="15"/>
  <c r="Q14" i="15" s="1"/>
  <c r="P16" i="15"/>
  <c r="Q16" i="15" s="1"/>
  <c r="P17" i="15"/>
  <c r="Q17" i="15" s="1"/>
  <c r="P19" i="15"/>
  <c r="Q19" i="15" s="1"/>
  <c r="P20" i="15"/>
  <c r="Q20" i="15" s="1"/>
  <c r="P23" i="15"/>
  <c r="Q23" i="15" s="1"/>
  <c r="P24" i="15"/>
  <c r="Q24" i="15" s="1"/>
  <c r="P25" i="15"/>
  <c r="Q25" i="15" s="1"/>
  <c r="P27" i="15"/>
  <c r="Q27" i="15" s="1"/>
  <c r="P29" i="15"/>
  <c r="Q29" i="15" s="1"/>
  <c r="P30" i="15"/>
  <c r="Q30" i="15" s="1"/>
  <c r="P31" i="15"/>
  <c r="Q31" i="15" s="1"/>
  <c r="P34" i="15"/>
  <c r="Q34" i="15" s="1"/>
  <c r="P35" i="15"/>
  <c r="Q35" i="15" s="1"/>
  <c r="P37" i="15"/>
  <c r="Q37" i="15" s="1"/>
  <c r="P41" i="15"/>
  <c r="Q41" i="15" s="1"/>
  <c r="P43" i="15"/>
  <c r="Q43" i="15" s="1"/>
  <c r="P45" i="15"/>
  <c r="Q45" i="15" s="1"/>
  <c r="P49" i="15"/>
  <c r="Q49" i="15" s="1"/>
  <c r="V14" i="30"/>
  <c r="M29" i="28"/>
  <c r="M31" i="28"/>
  <c r="M33" i="28"/>
  <c r="M35" i="28"/>
  <c r="AA26" i="30"/>
  <c r="AA29" i="30"/>
  <c r="AA47" i="30"/>
  <c r="AA50" i="30"/>
  <c r="AA13" i="34"/>
  <c r="AA20" i="34"/>
  <c r="E5" i="21"/>
  <c r="A6" i="21"/>
  <c r="E7" i="21"/>
  <c r="A8" i="21"/>
  <c r="E13" i="21"/>
  <c r="A14" i="21"/>
  <c r="K27" i="36"/>
  <c r="C22" i="8" s="1"/>
  <c r="D22" i="8" s="1"/>
  <c r="C26" i="8" s="1"/>
  <c r="L27" i="36"/>
  <c r="L27" i="38"/>
  <c r="F23" i="8" s="1"/>
  <c r="M27" i="38"/>
  <c r="C23" i="8" s="1"/>
  <c r="D23" i="8" s="1"/>
  <c r="AA12" i="30"/>
  <c r="AA13" i="30"/>
  <c r="V19" i="30"/>
  <c r="AA20" i="30"/>
  <c r="AA21" i="30"/>
  <c r="AA30" i="30"/>
  <c r="V33" i="30"/>
  <c r="V36" i="30"/>
  <c r="AA37" i="30"/>
  <c r="AA39" i="30"/>
  <c r="AA41" i="30"/>
  <c r="AA45" i="30"/>
  <c r="V47" i="30"/>
  <c r="V50" i="30"/>
  <c r="V13" i="34"/>
  <c r="AA14" i="34"/>
  <c r="AA15" i="34"/>
  <c r="V21" i="34"/>
  <c r="AA22" i="34"/>
  <c r="AA23" i="34"/>
  <c r="V28" i="34"/>
  <c r="V31" i="34"/>
  <c r="AA32" i="34"/>
  <c r="AA34" i="34"/>
  <c r="V36" i="34"/>
  <c r="AA37" i="34"/>
  <c r="AA39" i="34"/>
  <c r="AA41" i="34"/>
  <c r="AA43" i="34"/>
  <c r="AA45" i="34"/>
  <c r="AA50" i="34"/>
  <c r="M9" i="12"/>
  <c r="M11" i="12"/>
  <c r="J13" i="12"/>
  <c r="J15" i="12"/>
  <c r="E7" i="4"/>
  <c r="R7" i="4"/>
  <c r="S7" i="4" s="1"/>
  <c r="C9" i="4"/>
  <c r="K9" i="4" s="1"/>
  <c r="Q9" i="4"/>
  <c r="S9" i="4" s="1"/>
  <c r="J13" i="4"/>
  <c r="C13" i="4" s="1"/>
  <c r="K13" i="4" s="1"/>
  <c r="J14" i="4"/>
  <c r="C14" i="4" s="1"/>
  <c r="K14" i="4" s="1"/>
  <c r="Q15" i="4"/>
  <c r="S15" i="4" s="1"/>
  <c r="C17" i="4"/>
  <c r="K17" i="4" s="1"/>
  <c r="C6" i="5"/>
  <c r="D6" i="5" s="1"/>
  <c r="C10" i="5"/>
  <c r="D10" i="5" s="1"/>
  <c r="C13" i="5"/>
  <c r="D13" i="5" s="1"/>
  <c r="E10" i="6"/>
  <c r="D25" i="6"/>
  <c r="E8" i="21"/>
  <c r="A9" i="21"/>
  <c r="M28" i="28"/>
  <c r="M37" i="28" s="1"/>
  <c r="E5" i="28" s="1"/>
  <c r="M30" i="28"/>
  <c r="M32" i="28"/>
  <c r="M34" i="28"/>
  <c r="M36" i="28"/>
  <c r="AA18" i="30"/>
  <c r="AA19" i="30"/>
  <c r="AA32" i="30"/>
  <c r="AA36" i="30"/>
  <c r="AA12" i="34"/>
  <c r="AA21" i="34"/>
  <c r="AA28" i="34"/>
  <c r="AA31" i="34"/>
  <c r="AA36" i="34"/>
  <c r="E15" i="21"/>
  <c r="V13" i="30"/>
  <c r="AA14" i="30"/>
  <c r="AA15" i="30"/>
  <c r="V21" i="30"/>
  <c r="AA22" i="30"/>
  <c r="AA23" i="30"/>
  <c r="AA28" i="30"/>
  <c r="V30" i="30"/>
  <c r="AA33" i="30"/>
  <c r="V39" i="30"/>
  <c r="V43" i="30"/>
  <c r="V45" i="30"/>
  <c r="AA48" i="30"/>
  <c r="K51" i="34"/>
  <c r="AA11" i="34"/>
  <c r="V15" i="34"/>
  <c r="AA16" i="34"/>
  <c r="AA17" i="34"/>
  <c r="V23" i="34"/>
  <c r="AA24" i="34"/>
  <c r="AA25" i="34"/>
  <c r="AA29" i="34"/>
  <c r="V32" i="34"/>
  <c r="V34" i="34"/>
  <c r="V37" i="34"/>
  <c r="V39" i="34"/>
  <c r="V41" i="34"/>
  <c r="V43" i="34"/>
  <c r="V45" i="34"/>
  <c r="J10" i="12"/>
  <c r="K13" i="12"/>
  <c r="C13" i="12" s="1"/>
  <c r="L13" i="12" s="1"/>
  <c r="K15" i="12"/>
  <c r="C15" i="12" s="1"/>
  <c r="L15" i="12" s="1"/>
  <c r="G19" i="4"/>
  <c r="Q14" i="4"/>
  <c r="C16" i="4"/>
  <c r="K16" i="4" s="1"/>
  <c r="C7" i="5"/>
  <c r="D7" i="5" s="1"/>
  <c r="C11" i="5"/>
  <c r="D11" i="5" s="1"/>
  <c r="C14" i="5"/>
  <c r="D14" i="5" s="1"/>
  <c r="C20" i="5"/>
  <c r="D20" i="5" s="1"/>
  <c r="E3" i="21"/>
  <c r="A4" i="21"/>
  <c r="E9" i="21"/>
  <c r="A10" i="21"/>
  <c r="E11" i="21"/>
  <c r="A12" i="21"/>
  <c r="AA44" i="34"/>
  <c r="AA46" i="34"/>
  <c r="AA49" i="34"/>
  <c r="J14" i="12"/>
  <c r="J6" i="4"/>
  <c r="C6" i="4" s="1"/>
  <c r="K6" i="4" s="1"/>
  <c r="J10" i="4"/>
  <c r="C10" i="4" s="1"/>
  <c r="K10" i="4" s="1"/>
  <c r="J11" i="4"/>
  <c r="J12" i="4"/>
  <c r="C12" i="4" s="1"/>
  <c r="K12" i="4" s="1"/>
  <c r="J15" i="4"/>
  <c r="C15" i="4" s="1"/>
  <c r="K15" i="4" s="1"/>
  <c r="D8" i="5"/>
  <c r="D15" i="5"/>
  <c r="D21" i="5"/>
  <c r="D24" i="5"/>
  <c r="E4" i="21"/>
  <c r="A5" i="21"/>
  <c r="E12" i="21"/>
  <c r="A13" i="21"/>
  <c r="P38" i="12"/>
  <c r="P42" i="12"/>
  <c r="AA4" i="18"/>
  <c r="AA2" i="18"/>
  <c r="V12" i="4"/>
  <c r="V11" i="4"/>
  <c r="V14" i="4"/>
  <c r="V13" i="4"/>
  <c r="V6" i="4"/>
  <c r="V10" i="4"/>
  <c r="V8" i="4"/>
  <c r="V7" i="4"/>
  <c r="E5" i="36"/>
  <c r="E5" i="38"/>
  <c r="P36" i="15"/>
  <c r="Q36" i="15" s="1"/>
  <c r="P40" i="15"/>
  <c r="Q40" i="15" s="1"/>
  <c r="P44" i="15"/>
  <c r="Q44" i="15" s="1"/>
  <c r="P48" i="15"/>
  <c r="Q48" i="15" s="1"/>
  <c r="P52" i="15"/>
  <c r="Q52" i="15" s="1"/>
  <c r="P56" i="15"/>
  <c r="Q56" i="15" s="1"/>
  <c r="F15" i="12"/>
  <c r="F13" i="12"/>
  <c r="F10" i="12"/>
  <c r="F14" i="12"/>
  <c r="F11" i="12"/>
  <c r="F9" i="12"/>
  <c r="C19" i="8"/>
  <c r="P38" i="15"/>
  <c r="Q38" i="15" s="1"/>
  <c r="P42" i="15"/>
  <c r="Q42" i="15" s="1"/>
  <c r="P46" i="15"/>
  <c r="Q46" i="15" s="1"/>
  <c r="P50" i="15"/>
  <c r="Q50" i="15" s="1"/>
  <c r="P54" i="15"/>
  <c r="Q54" i="15" s="1"/>
  <c r="P58" i="15"/>
  <c r="Q58" i="15" s="1"/>
  <c r="AA27" i="30"/>
  <c r="AA31" i="30"/>
  <c r="AA34" i="30"/>
  <c r="V37" i="30"/>
  <c r="V41" i="30"/>
  <c r="V44" i="30"/>
  <c r="T39" i="12"/>
  <c r="P39" i="12"/>
  <c r="V27" i="30"/>
  <c r="V31" i="30"/>
  <c r="AA43" i="30"/>
  <c r="T36" i="12"/>
  <c r="P36" i="12"/>
  <c r="T40" i="12"/>
  <c r="P40" i="12"/>
  <c r="K51" i="30"/>
  <c r="AA35" i="30"/>
  <c r="AA35" i="34"/>
  <c r="AA51" i="34" s="1"/>
  <c r="C7" i="34" s="1"/>
  <c r="V47" i="34"/>
  <c r="L57" i="12"/>
  <c r="L6" i="4"/>
  <c r="E9" i="4"/>
  <c r="E12" i="4"/>
  <c r="Q17" i="4"/>
  <c r="Q18" i="4"/>
  <c r="S18" i="4" s="1"/>
  <c r="T37" i="12"/>
  <c r="P37" i="12"/>
  <c r="T41" i="12"/>
  <c r="P41" i="12"/>
  <c r="Q12" i="4"/>
  <c r="S12" i="4" s="1"/>
  <c r="L14" i="4"/>
  <c r="R17" i="4"/>
  <c r="E8" i="6"/>
  <c r="D27" i="6"/>
  <c r="D38" i="6"/>
  <c r="J18" i="4"/>
  <c r="C18" i="4"/>
  <c r="K18" i="4" s="1"/>
  <c r="C11" i="4"/>
  <c r="K11" i="4" s="1"/>
  <c r="C8" i="4"/>
  <c r="K8" i="4" s="1"/>
  <c r="K14" i="12"/>
  <c r="C14" i="12" s="1"/>
  <c r="L14" i="12" s="1"/>
  <c r="K12" i="12"/>
  <c r="K11" i="12"/>
  <c r="C11" i="12" s="1"/>
  <c r="L11" i="12" s="1"/>
  <c r="K9" i="12"/>
  <c r="C9" i="12" s="1"/>
  <c r="L9" i="12" s="1"/>
  <c r="AA48" i="34"/>
  <c r="G56" i="12"/>
  <c r="F62" i="12"/>
  <c r="L17" i="4"/>
  <c r="L15" i="4"/>
  <c r="L12" i="4"/>
  <c r="L11" i="4"/>
  <c r="L9" i="4"/>
  <c r="L8" i="4"/>
  <c r="M15" i="12"/>
  <c r="M13" i="12"/>
  <c r="M10" i="12"/>
  <c r="F52" i="12"/>
  <c r="L7" i="4"/>
  <c r="L10" i="4"/>
  <c r="L13" i="4"/>
  <c r="R14" i="4"/>
  <c r="E18" i="4"/>
  <c r="L18" i="4"/>
  <c r="E26" i="6"/>
  <c r="D37" i="6"/>
  <c r="L28" i="12"/>
  <c r="L27" i="12"/>
  <c r="A3" i="21"/>
  <c r="E6" i="21"/>
  <c r="A7" i="21"/>
  <c r="E10" i="21"/>
  <c r="A11" i="21"/>
  <c r="E14" i="21"/>
  <c r="N19" i="12"/>
  <c r="F19" i="12"/>
  <c r="G19" i="12"/>
  <c r="F21" i="12"/>
  <c r="S14" i="4" l="1"/>
  <c r="M38" i="23"/>
  <c r="E5" i="23" s="1"/>
  <c r="L16" i="4"/>
  <c r="J11" i="12"/>
  <c r="J9" i="12"/>
  <c r="M14" i="12"/>
  <c r="E19" i="4"/>
  <c r="D5" i="15"/>
  <c r="AA51" i="30"/>
  <c r="C7" i="30" s="1"/>
  <c r="G52" i="12"/>
  <c r="L52" i="12"/>
  <c r="R19" i="4"/>
  <c r="V15" i="4"/>
  <c r="M27" i="12"/>
  <c r="M28" i="12"/>
  <c r="S17" i="4"/>
  <c r="Q19" i="4"/>
  <c r="G62" i="12"/>
  <c r="L62" i="12"/>
  <c r="L17" i="12" l="1"/>
  <c r="Q34" i="12"/>
  <c r="Q29" i="12"/>
  <c r="Q28" i="12"/>
  <c r="Q35" i="12"/>
  <c r="Q31" i="12"/>
  <c r="Q30" i="12"/>
  <c r="Q32" i="12"/>
  <c r="Q33" i="12"/>
  <c r="Q27" i="12"/>
  <c r="T32" i="12" l="1"/>
  <c r="P32" i="12"/>
  <c r="T29" i="12"/>
  <c r="P29" i="12"/>
  <c r="T28" i="12"/>
  <c r="P28" i="12"/>
  <c r="T33" i="12"/>
  <c r="P33" i="12"/>
  <c r="T35" i="12"/>
  <c r="P35" i="12"/>
  <c r="T30" i="12"/>
  <c r="P30" i="12"/>
  <c r="T31" i="12"/>
  <c r="P31" i="12"/>
  <c r="Q25" i="12"/>
  <c r="T27" i="12"/>
  <c r="U27" i="12" s="1"/>
  <c r="P27" i="12"/>
  <c r="T34" i="12"/>
  <c r="P34" i="12"/>
  <c r="G17" i="12"/>
  <c r="G24" i="12" s="1"/>
  <c r="M17" i="12"/>
  <c r="N17" i="12" s="1"/>
  <c r="F17" i="12"/>
  <c r="F24" i="12" s="1"/>
  <c r="U28" i="12" l="1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T25" i="12" s="1"/>
  <c r="L24" i="12"/>
  <c r="D5" i="12" s="1"/>
  <c r="C29" i="8" s="1"/>
  <c r="D32" i="8" l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<sst xmlns="http://schemas.openxmlformats.org/spreadsheetml/2006/main" count="1869" uniqueCount="504">
  <si>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</si>
  <si>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</si>
  <si>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</si>
  <si>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</si>
  <si>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</si>
  <si>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</si>
  <si>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</si>
  <si>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</si>
  <si>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</si>
  <si>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</si>
  <si>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</si>
  <si>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</si>
  <si>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</si>
  <si>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</si>
  <si>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</si>
  <si>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</si>
  <si>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</si>
  <si>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</si>
  <si>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</si>
  <si>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</si>
  <si>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</si>
  <si>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</si>
  <si>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</si>
  <si>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</si>
  <si>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</si>
  <si>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</si>
  <si>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</si>
  <si>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</si>
  <si>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</si>
  <si>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</si>
  <si>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</si>
  <si>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</si>
  <si>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</si>
  <si>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</si>
  <si>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</si>
  <si>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</si>
  <si>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</si>
  <si>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</si>
  <si>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</si>
  <si>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</si>
  <si>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</si>
  <si>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</si>
  <si>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</si>
  <si>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</si>
  <si>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</si>
  <si>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</si>
  <si>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</si>
  <si>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</si>
  <si>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</si>
  <si>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</si>
  <si>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</si>
  <si>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</si>
  <si>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</si>
  <si>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</si>
  <si>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</si>
  <si>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</si>
  <si>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</si>
  <si>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</si>
  <si>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</si>
  <si>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</si>
  <si>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</si>
  <si>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</si>
  <si>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</si>
  <si>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</si>
  <si>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</si>
  <si>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</si>
  <si>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</si>
  <si>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</si>
  <si>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</si>
  <si>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</si>
  <si>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</si>
  <si>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</si>
  <si>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</si>
  <si>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</si>
  <si>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</si>
  <si>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</si>
  <si>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</si>
  <si>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</si>
  <si>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</si>
  <si>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</si>
  <si>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</si>
  <si>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</si>
  <si>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</si>
  <si>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</si>
  <si>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</si>
  <si>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</si>
  <si>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</si>
  <si>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</si>
  <si>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</si>
  <si>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</si>
  <si>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</si>
  <si>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</si>
  <si>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</si>
  <si>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</si>
  <si>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</si>
  <si>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</si>
  <si>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</si>
  <si>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</si>
  <si>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</si>
  <si>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</si>
  <si>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</si>
  <si>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</si>
  <si>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</si>
  <si>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</si>
  <si>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</si>
  <si>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</si>
  <si>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</si>
  <si>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</si>
  <si>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</si>
  <si>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</si>
  <si>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</si>
  <si>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</si>
  <si>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</si>
  <si>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</si>
  <si>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</si>
  <si>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</si>
  <si>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</si>
  <si>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</si>
  <si>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</si>
  <si>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</si>
  <si>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</si>
  <si>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</si>
  <si>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</si>
  <si>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</si>
  <si>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</si>
  <si>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</si>
  <si>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</si>
  <si>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</si>
  <si>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</si>
  <si>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</si>
  <si>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</si>
  <si>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</si>
  <si>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</si>
  <si>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</si>
  <si>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</si>
  <si>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</si>
  <si>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</si>
  <si>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</si>
  <si>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</si>
  <si>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</si>
  <si>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</si>
  <si>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</si>
  <si>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</si>
  <si>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</si>
  <si>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</si>
  <si>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</si>
  <si>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</si>
  <si>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</si>
  <si>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</si>
  <si>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</si>
  <si>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</si>
  <si>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</si>
  <si>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</si>
  <si>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</si>
  <si>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</si>
  <si>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</si>
  <si>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</si>
  <si>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</si>
  <si>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</si>
  <si>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</si>
  <si>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</si>
  <si>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</si>
  <si>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</si>
  <si>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</si>
  <si>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</si>
  <si>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</si>
  <si>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</si>
  <si>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</si>
  <si>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</si>
  <si>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</si>
  <si>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</si>
  <si>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</si>
  <si>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</si>
  <si>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</si>
  <si>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</si>
  <si>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</si>
  <si>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</si>
  <si>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</si>
  <si>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</si>
  <si>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</si>
  <si>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</si>
  <si>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</si>
  <si>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</si>
  <si>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</si>
  <si>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</si>
  <si>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</si>
  <si>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</si>
  <si>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</si>
  <si>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</si>
  <si>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</si>
  <si>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</si>
  <si>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</si>
  <si>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</si>
  <si>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</si>
  <si>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</si>
  <si>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</si>
  <si>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</si>
  <si>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</si>
  <si>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</si>
  <si>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</si>
  <si>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</si>
  <si>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</si>
  <si>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</si>
  <si>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</si>
  <si>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</si>
  <si>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</si>
  <si>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</si>
  <si>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</si>
  <si>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</si>
  <si>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</si>
  <si>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</si>
  <si>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</si>
  <si>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</si>
  <si>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</si>
  <si>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</si>
  <si>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</si>
  <si>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</si>
  <si>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</si>
  <si>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</si>
  <si>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</si>
  <si>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</si>
  <si>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</si>
  <si>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</si>
  <si>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</si>
  <si>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</si>
  <si>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</si>
  <si>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</si>
  <si>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</si>
  <si>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</si>
  <si>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</si>
  <si>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</si>
  <si>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</si>
  <si>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</si>
  <si>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</si>
  <si>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</si>
  <si>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</si>
  <si>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</si>
  <si>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</si>
  <si>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</si>
  <si>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</si>
  <si>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</si>
  <si>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</si>
  <si>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</si>
  <si>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</si>
  <si>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</si>
  <si>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</si>
  <si>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</si>
  <si>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</si>
  <si>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</si>
  <si>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</si>
  <si>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</si>
  <si>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</si>
  <si>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</si>
  <si>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</si>
  <si>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</si>
  <si>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</si>
  <si>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</si>
  <si>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</si>
  <si>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</si>
  <si>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</si>
  <si>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</si>
  <si>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</si>
  <si>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</si>
  <si>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</si>
  <si>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</si>
  <si>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</si>
  <si>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</si>
  <si>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</si>
  <si>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</si>
  <si>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</si>
  <si>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</si>
  <si>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</si>
  <si>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</si>
  <si>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</si>
  <si>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</si>
  <si>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</si>
  <si>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</si>
  <si>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</si>
  <si>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</si>
  <si>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</si>
  <si>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</si>
  <si>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</si>
  <si>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</si>
  <si>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</si>
  <si>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</si>
  <si>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</si>
  <si>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</si>
  <si>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</si>
  <si>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</si>
  <si>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</si>
  <si>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</si>
  <si>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</si>
  <si>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</si>
  <si>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</si>
  <si>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</si>
  <si>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</si>
  <si>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</si>
  <si>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</si>
  <si>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</si>
  <si>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</si>
  <si>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</si>
  <si>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</si>
  <si>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</si>
  <si>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</si>
  <si>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</si>
  <si>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</si>
  <si>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</si>
  <si>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</si>
  <si>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</si>
  <si>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</si>
  <si>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</si>
  <si>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</si>
  <si>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</si>
  <si>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</si>
  <si>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</si>
  <si>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</si>
  <si>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</si>
  <si>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</si>
  <si>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</si>
  <si>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</si>
  <si>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</si>
  <si>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</si>
  <si>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</si>
  <si>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</si>
  <si>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</si>
  <si>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</si>
  <si>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</si>
  <si>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</si>
  <si>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</si>
  <si>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</si>
  <si>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</si>
  <si>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</si>
  <si>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</si>
  <si>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</si>
  <si>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</si>
  <si>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</si>
  <si>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</si>
  <si>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</si>
  <si>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</si>
  <si>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</si>
  <si>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</si>
  <si>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</si>
  <si>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</si>
  <si>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</si>
  <si>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</si>
  <si>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</si>
  <si>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</si>
  <si>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</si>
  <si>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</si>
  <si>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</si>
  <si>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</si>
  <si>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</si>
  <si>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</si>
  <si>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</si>
  <si>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</si>
  <si>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</si>
  <si>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</si>
  <si>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</si>
  <si>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</si>
  <si>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</si>
  <si>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</si>
  <si>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</si>
  <si>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</si>
  <si>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</si>
  <si>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</si>
  <si>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</si>
  <si>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</si>
  <si>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</si>
  <si>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</si>
  <si>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</si>
  <si>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</si>
  <si>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</si>
  <si>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</si>
  <si>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</si>
  <si>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</si>
  <si>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</si>
  <si>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</si>
  <si>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</si>
  <si>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</si>
  <si>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</si>
  <si>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</si>
  <si>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</si>
  <si>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</si>
  <si>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</si>
  <si>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</si>
  <si>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</si>
  <si>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</si>
  <si>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</si>
  <si>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</si>
  <si>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</si>
  <si>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</si>
  <si>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</si>
  <si>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</si>
  <si>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</si>
  <si>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</si>
  <si>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</si>
  <si>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</si>
  <si>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</si>
  <si>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</si>
  <si>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</si>
  <si>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</si>
  <si>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</si>
  <si>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</si>
  <si>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</si>
  <si>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</si>
  <si>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</si>
  <si>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</si>
  <si>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</si>
  <si>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</si>
  <si>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</si>
  <si>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</si>
  <si>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</si>
  <si>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</si>
  <si>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</si>
  <si>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</si>
  <si>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</si>
  <si>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</si>
  <si>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</si>
  <si>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</si>
  <si>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</si>
  <si>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</si>
  <si>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</si>
  <si>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</si>
  <si>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</si>
  <si>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</si>
  <si>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</si>
  <si>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</si>
  <si>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</si>
  <si>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</si>
  <si>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</si>
  <si>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</si>
  <si>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</si>
  <si>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</si>
  <si>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</si>
  <si>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</si>
  <si>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</si>
  <si>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</si>
  <si>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</si>
  <si>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</si>
  <si>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</si>
  <si>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</si>
  <si>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</si>
  <si>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</si>
  <si>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</si>
  <si>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</si>
  <si>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</si>
  <si>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</si>
  <si>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</si>
  <si>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</si>
  <si>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</si>
  <si>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</si>
  <si>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</si>
  <si>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</si>
  <si>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</si>
  <si>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</si>
  <si>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</si>
  <si>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</si>
  <si>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</si>
  <si>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</si>
  <si>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</si>
  <si>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</si>
  <si>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</si>
  <si>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</si>
  <si>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</si>
  <si>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</si>
  <si>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</si>
  <si>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</si>
  <si>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</si>
  <si>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</si>
  <si>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</si>
  <si>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</si>
  <si>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</si>
  <si>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</si>
  <si>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</si>
  <si>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</si>
  <si>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</si>
  <si>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</si>
  <si>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</si>
  <si>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</si>
  <si>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</si>
  <si>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</si>
  <si>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</si>
  <si>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</si>
  <si>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</si>
  <si>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</si>
  <si>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</si>
  <si>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</si>
  <si>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</si>
  <si>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</si>
  <si>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</si>
  <si>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</si>
  <si>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</si>
  <si>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</si>
  <si>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</si>
  <si>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IMP</t>
  </si>
  <si>
    <t>TS</t>
  </si>
  <si>
    <t>Disponibilizar novos planos e pacotes para o produto IPTV</t>
  </si>
  <si>
    <t>ET - Backlog</t>
  </si>
  <si>
    <t>CTTU - Backlog</t>
  </si>
  <si>
    <t>RBK - Backlog</t>
  </si>
  <si>
    <t>DSOL - Backlog</t>
  </si>
  <si>
    <t>DSOL - Configuração de pkt / desc</t>
  </si>
  <si>
    <t>ET - Configuração de pkt / desc</t>
  </si>
  <si>
    <t>CTTU - Configuração de pkt / 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</si>
</sst>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-* #,##0.00\ _€_-;\-* #,##0.00\ _€_-;_-* &quot;-&quot;??\ _€_-;_-@_-"/>
    <numFmt numFmtId="165" formatCode="[$R$-416]\ #,##0"/>
    <numFmt numFmtId="166" formatCode="&quot;R$&quot;\ #,##0.00"/>
    <numFmt numFmtId="167" formatCode="[$R$-416]\ #,##0.00"/>
    <numFmt numFmtId="168" formatCode="_(&quot;R$ &quot;* #,##0.00_);_(&quot;R$ &quot;* \(#,##0.00\);_(&quot;R$ &quot;* &quot;-&quot;??_);_(@_)"/>
    <numFmt numFmtId="169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5" fontId="0" fillId="0" borderId="0"/>
    <xf numFmtId="165" fontId="23" fillId="0" borderId="0" applyNumberFormat="0" applyFill="0" applyBorder="0" applyAlignment="0" applyProtection="0">
      <alignment vertical="top"/>
      <protection locked="0"/>
    </xf>
    <xf numFmtId="165" fontId="4" fillId="0" borderId="0"/>
    <xf numFmtId="165" fontId="4" fillId="0" borderId="0"/>
    <xf numFmtId="165" fontId="4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165" fontId="35" fillId="0" borderId="0"/>
    <xf numFmtId="9" fontId="35" fillId="0" borderId="0" applyFont="0" applyFill="0" applyBorder="0" applyAlignment="0" applyProtection="0"/>
    <xf numFmtId="165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0" fillId="0" borderId="0"/>
    <xf numFmtId="165" fontId="4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0" fontId="40" fillId="0" borderId="0"/>
    <xf numFmtId="168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0" fontId="40" fillId="0" borderId="0"/>
    <xf numFmtId="0" fontId="40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34">
    <xf numFmtId="165" fontId="0" fillId="0" borderId="0" xfId="0"/>
    <xf numFmtId="165" fontId="13" fillId="0" borderId="0" xfId="0" applyFont="1" applyAlignment="1">
      <alignment horizontal="center"/>
    </xf>
    <xf numFmtId="165" fontId="0" fillId="0" borderId="1" xfId="0" applyBorder="1"/>
    <xf numFmtId="165" fontId="13" fillId="0" borderId="0" xfId="0" applyFont="1"/>
    <xf numFmtId="165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5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5" fontId="0" fillId="0" borderId="1" xfId="0" applyBorder="1" applyAlignment="1">
      <alignment horizontal="center"/>
    </xf>
    <xf numFmtId="165" fontId="5" fillId="6" borderId="1" xfId="3" applyFont="1" applyFill="1" applyBorder="1" applyAlignment="1" applyProtection="1">
      <alignment horizontal="left" vertical="center" wrapText="1"/>
    </xf>
    <xf numFmtId="43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43" fontId="9" fillId="6" borderId="1" xfId="6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9" fillId="6" borderId="1" xfId="3" applyFont="1" applyFill="1" applyBorder="1" applyAlignment="1" applyProtection="1">
      <alignment horizontal="center" vertical="center" wrapText="1"/>
    </xf>
    <xf numFmtId="165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5" fontId="17" fillId="0" borderId="0" xfId="0" applyFont="1"/>
    <xf numFmtId="165" fontId="17" fillId="0" borderId="0" xfId="0" applyFont="1" applyFill="1" applyBorder="1"/>
    <xf numFmtId="165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5" fontId="20" fillId="0" borderId="0" xfId="1" applyFont="1" applyFill="1" applyBorder="1" applyAlignment="1" applyProtection="1">
      <alignment horizontal="right" vertical="center" wrapText="1"/>
    </xf>
    <xf numFmtId="165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5" fontId="20" fillId="0" borderId="0" xfId="1" applyFont="1" applyFill="1" applyBorder="1" applyAlignment="1" applyProtection="1">
      <alignment horizontal="center" vertical="center" wrapText="1"/>
    </xf>
    <xf numFmtId="165" fontId="0" fillId="0" borderId="0" xfId="0" applyAlignment="1">
      <alignment vertical="center"/>
    </xf>
    <xf numFmtId="165" fontId="6" fillId="9" borderId="0" xfId="0" applyFont="1" applyFill="1" applyAlignment="1" applyProtection="1">
      <alignment horizontal="center" vertical="center"/>
    </xf>
    <xf numFmtId="165" fontId="17" fillId="0" borderId="0" xfId="0" applyFont="1" applyProtection="1"/>
    <xf numFmtId="165" fontId="17" fillId="9" borderId="0" xfId="0" applyFont="1" applyFill="1" applyAlignment="1" applyProtection="1">
      <alignment horizontal="center" vertical="center"/>
    </xf>
    <xf numFmtId="165" fontId="17" fillId="9" borderId="0" xfId="0" applyFont="1" applyFill="1" applyBorder="1" applyAlignment="1" applyProtection="1">
      <alignment horizontal="center" vertical="center"/>
    </xf>
    <xf numFmtId="165" fontId="17" fillId="0" borderId="0" xfId="0" applyFont="1" applyFill="1" applyBorder="1" applyProtection="1"/>
    <xf numFmtId="165" fontId="9" fillId="0" borderId="0" xfId="3" applyFont="1" applyFill="1" applyBorder="1" applyAlignment="1" applyProtection="1">
      <alignment horizontal="center" vertical="center" wrapText="1"/>
    </xf>
    <xf numFmtId="43" fontId="9" fillId="0" borderId="0" xfId="7" applyFont="1" applyFill="1" applyBorder="1" applyAlignment="1" applyProtection="1">
      <alignment horizontal="center" vertical="center" wrapText="1"/>
    </xf>
    <xf numFmtId="165" fontId="17" fillId="0" borderId="0" xfId="0" applyFont="1" applyFill="1" applyProtection="1"/>
    <xf numFmtId="165" fontId="5" fillId="11" borderId="1" xfId="3" applyFont="1" applyFill="1" applyBorder="1" applyAlignment="1" applyProtection="1">
      <alignment horizontal="center" vertical="center" wrapText="1"/>
    </xf>
    <xf numFmtId="165" fontId="5" fillId="9" borderId="1" xfId="3" applyFont="1" applyFill="1" applyBorder="1" applyAlignment="1" applyProtection="1">
      <alignment horizontal="center" vertical="center" wrapText="1"/>
    </xf>
    <xf numFmtId="165" fontId="5" fillId="0" borderId="1" xfId="3" applyFont="1" applyFill="1" applyBorder="1" applyAlignment="1" applyProtection="1">
      <alignment horizontal="center" vertical="center" wrapText="1"/>
      <protection locked="0"/>
    </xf>
    <xf numFmtId="165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6" borderId="9" xfId="3" applyFont="1" applyFill="1" applyBorder="1" applyAlignment="1" applyProtection="1">
      <alignment horizontal="center" vertical="center" wrapText="1"/>
    </xf>
    <xf numFmtId="165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5" fontId="0" fillId="0" borderId="0" xfId="0" applyFont="1"/>
    <xf numFmtId="165" fontId="4" fillId="4" borderId="1" xfId="0" applyNumberFormat="1" applyFont="1" applyFill="1" applyBorder="1" applyAlignment="1" applyProtection="1">
      <alignment horizontal="center"/>
    </xf>
    <xf numFmtId="165" fontId="5" fillId="9" borderId="9" xfId="3" applyFont="1" applyFill="1" applyBorder="1" applyAlignment="1" applyProtection="1">
      <alignment horizontal="center" vertical="center" wrapText="1"/>
    </xf>
    <xf numFmtId="165" fontId="1" fillId="0" borderId="8" xfId="0" applyFont="1" applyFill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5" fontId="18" fillId="7" borderId="0" xfId="0" applyFont="1" applyFill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indent="1"/>
    </xf>
    <xf numFmtId="165" fontId="10" fillId="0" borderId="0" xfId="0" applyFont="1" applyProtection="1"/>
    <xf numFmtId="165" fontId="9" fillId="7" borderId="0" xfId="0" applyFont="1" applyFill="1" applyAlignment="1" applyProtection="1">
      <alignment horizontal="left" vertical="center" indent="1"/>
    </xf>
    <xf numFmtId="165" fontId="6" fillId="7" borderId="0" xfId="0" applyFont="1" applyFill="1" applyBorder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wrapText="1" indent="1"/>
    </xf>
    <xf numFmtId="165" fontId="10" fillId="0" borderId="0" xfId="0" applyFont="1" applyBorder="1" applyProtection="1"/>
    <xf numFmtId="165" fontId="4" fillId="7" borderId="0" xfId="0" applyFont="1" applyFill="1" applyBorder="1" applyAlignment="1" applyProtection="1">
      <alignment horizontal="left" vertical="center" indent="1"/>
    </xf>
    <xf numFmtId="165" fontId="25" fillId="0" borderId="0" xfId="0" applyFont="1" applyProtection="1"/>
    <xf numFmtId="165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5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5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5" fontId="10" fillId="0" borderId="0" xfId="0" applyFont="1" applyFill="1" applyProtection="1"/>
    <xf numFmtId="165" fontId="0" fillId="0" borderId="0" xfId="0" applyFill="1" applyProtection="1"/>
    <xf numFmtId="165" fontId="17" fillId="0" borderId="0" xfId="0" applyFont="1" applyFill="1" applyAlignment="1" applyProtection="1">
      <alignment horizontal="center"/>
    </xf>
    <xf numFmtId="165" fontId="0" fillId="0" borderId="0" xfId="0" applyFill="1"/>
    <xf numFmtId="165" fontId="0" fillId="0" borderId="0" xfId="0" applyAlignment="1">
      <alignment horizontal="center"/>
    </xf>
    <xf numFmtId="165" fontId="17" fillId="9" borderId="0" xfId="0" applyFont="1" applyFill="1" applyProtection="1"/>
    <xf numFmtId="165" fontId="17" fillId="9" borderId="0" xfId="0" applyFont="1" applyFill="1" applyBorder="1" applyProtection="1"/>
    <xf numFmtId="165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5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5" fontId="29" fillId="9" borderId="0" xfId="0" applyFont="1" applyFill="1" applyProtection="1"/>
    <xf numFmtId="165" fontId="18" fillId="9" borderId="0" xfId="0" applyFont="1" applyFill="1" applyAlignment="1" applyProtection="1">
      <alignment horizontal="center"/>
    </xf>
    <xf numFmtId="165" fontId="17" fillId="0" borderId="0" xfId="0" applyFont="1" applyFill="1" applyBorder="1" applyAlignment="1" applyProtection="1">
      <alignment horizontal="center" vertical="center"/>
    </xf>
    <xf numFmtId="165" fontId="17" fillId="3" borderId="0" xfId="0" applyFont="1" applyFill="1" applyProtection="1"/>
    <xf numFmtId="165" fontId="5" fillId="0" borderId="0" xfId="3" applyFont="1" applyFill="1" applyBorder="1" applyAlignment="1" applyProtection="1">
      <alignment vertical="center" wrapText="1"/>
    </xf>
    <xf numFmtId="165" fontId="17" fillId="0" borderId="0" xfId="0" applyFont="1" applyFill="1" applyBorder="1" applyAlignment="1" applyProtection="1">
      <alignment vertical="center"/>
    </xf>
    <xf numFmtId="165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5" fontId="1" fillId="0" borderId="0" xfId="0" applyFont="1"/>
    <xf numFmtId="165" fontId="10" fillId="9" borderId="0" xfId="0" applyFont="1" applyFill="1" applyProtection="1"/>
    <xf numFmtId="165" fontId="14" fillId="0" borderId="0" xfId="0" applyFont="1" applyProtection="1"/>
    <xf numFmtId="165" fontId="14" fillId="9" borderId="0" xfId="0" applyFont="1" applyFill="1" applyAlignment="1" applyProtection="1">
      <alignment horizontal="center" vertical="center"/>
    </xf>
    <xf numFmtId="165" fontId="5" fillId="10" borderId="0" xfId="3" applyFont="1" applyFill="1" applyBorder="1" applyAlignment="1" applyProtection="1">
      <alignment horizontal="center" vertical="center" wrapText="1"/>
    </xf>
    <xf numFmtId="43" fontId="5" fillId="10" borderId="0" xfId="6" applyFont="1" applyFill="1" applyBorder="1" applyAlignment="1" applyProtection="1">
      <alignment horizontal="center" vertical="center" wrapText="1"/>
    </xf>
    <xf numFmtId="165" fontId="21" fillId="0" borderId="0" xfId="0" applyFont="1" applyAlignment="1" applyProtection="1">
      <alignment horizontal="center"/>
    </xf>
    <xf numFmtId="165" fontId="14" fillId="9" borderId="0" xfId="0" applyFont="1" applyFill="1" applyProtection="1"/>
    <xf numFmtId="165" fontId="30" fillId="0" borderId="0" xfId="0" applyFont="1" applyProtection="1"/>
    <xf numFmtId="165" fontId="30" fillId="9" borderId="0" xfId="0" applyFont="1" applyFill="1" applyAlignment="1" applyProtection="1">
      <alignment horizontal="center" vertical="center"/>
    </xf>
    <xf numFmtId="165" fontId="14" fillId="0" borderId="0" xfId="0" applyFont="1" applyFill="1" applyBorder="1" applyProtection="1"/>
    <xf numFmtId="165" fontId="14" fillId="9" borderId="0" xfId="0" applyFont="1" applyFill="1" applyBorder="1" applyAlignment="1" applyProtection="1">
      <alignment horizontal="center" vertical="center"/>
    </xf>
    <xf numFmtId="165" fontId="21" fillId="9" borderId="0" xfId="0" applyFont="1" applyFill="1" applyAlignment="1" applyProtection="1">
      <alignment horizontal="center" vertical="center"/>
    </xf>
    <xf numFmtId="165" fontId="14" fillId="0" borderId="0" xfId="0" applyFont="1" applyBorder="1" applyAlignment="1" applyProtection="1">
      <alignment horizontal="justify" vertical="center" wrapText="1"/>
    </xf>
    <xf numFmtId="165" fontId="14" fillId="0" borderId="0" xfId="0" applyFont="1" applyBorder="1" applyProtection="1"/>
    <xf numFmtId="165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5" fontId="18" fillId="5" borderId="1" xfId="0" applyNumberFormat="1" applyFont="1" applyFill="1" applyBorder="1" applyAlignment="1">
      <alignment horizontal="center" vertical="center" wrapText="1"/>
    </xf>
    <xf numFmtId="165" fontId="3" fillId="2" borderId="1" xfId="0" applyFont="1" applyFill="1" applyBorder="1" applyAlignment="1">
      <alignment horizontal="center"/>
    </xf>
    <xf numFmtId="165" fontId="3" fillId="2" borderId="1" xfId="0" applyFont="1" applyFill="1" applyBorder="1" applyAlignment="1">
      <alignment horizontal="center" vertical="center"/>
    </xf>
    <xf numFmtId="165" fontId="29" fillId="0" borderId="0" xfId="0" applyFont="1" applyFill="1" applyProtection="1"/>
    <xf numFmtId="165" fontId="18" fillId="0" borderId="0" xfId="0" applyFont="1" applyFill="1" applyAlignment="1" applyProtection="1">
      <alignment horizontal="center"/>
    </xf>
    <xf numFmtId="165" fontId="17" fillId="0" borderId="0" xfId="0" applyFont="1" applyFill="1"/>
    <xf numFmtId="165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5" fontId="32" fillId="0" borderId="0" xfId="1" applyFont="1" applyFill="1" applyBorder="1" applyAlignment="1" applyProtection="1">
      <alignment horizontal="center" vertical="center" wrapText="1"/>
    </xf>
    <xf numFmtId="165" fontId="4" fillId="0" borderId="0" xfId="0" applyFont="1" applyFill="1" applyBorder="1" applyProtection="1"/>
    <xf numFmtId="165" fontId="4" fillId="0" borderId="0" xfId="0" applyFont="1" applyProtection="1"/>
    <xf numFmtId="165" fontId="5" fillId="6" borderId="1" xfId="3" applyFont="1" applyFill="1" applyBorder="1" applyAlignment="1">
      <alignment horizontal="left" vertical="center" wrapText="1"/>
    </xf>
    <xf numFmtId="165" fontId="33" fillId="0" borderId="14" xfId="0" applyFont="1" applyFill="1" applyBorder="1"/>
    <xf numFmtId="165" fontId="33" fillId="0" borderId="15" xfId="0" applyFont="1" applyFill="1" applyBorder="1"/>
    <xf numFmtId="165" fontId="0" fillId="0" borderId="14" xfId="0" applyBorder="1"/>
    <xf numFmtId="165" fontId="33" fillId="0" borderId="0" xfId="0" applyFont="1" applyFill="1"/>
    <xf numFmtId="165" fontId="17" fillId="9" borderId="0" xfId="0" applyFont="1" applyFill="1" applyAlignment="1" applyProtection="1">
      <alignment horizontal="left"/>
    </xf>
    <xf numFmtId="165" fontId="24" fillId="0" borderId="16" xfId="0" applyFont="1" applyBorder="1" applyAlignment="1">
      <alignment horizontal="center" vertical="top"/>
    </xf>
    <xf numFmtId="165" fontId="5" fillId="6" borderId="7" xfId="3" applyFont="1" applyFill="1" applyBorder="1" applyAlignment="1" applyProtection="1">
      <alignment horizontal="center" vertical="center" wrapText="1"/>
    </xf>
    <xf numFmtId="165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5" fontId="1" fillId="0" borderId="5" xfId="0" applyFont="1" applyBorder="1" applyAlignment="1">
      <alignment horizontal="center"/>
    </xf>
    <xf numFmtId="165" fontId="5" fillId="6" borderId="13" xfId="3" applyFont="1" applyFill="1" applyBorder="1" applyAlignment="1">
      <alignment horizontal="center" vertical="center" wrapText="1"/>
    </xf>
    <xf numFmtId="165" fontId="1" fillId="0" borderId="18" xfId="0" applyFont="1" applyBorder="1" applyAlignment="1">
      <alignment horizontal="center"/>
    </xf>
    <xf numFmtId="165" fontId="0" fillId="0" borderId="5" xfId="0" applyBorder="1"/>
    <xf numFmtId="165" fontId="13" fillId="0" borderId="13" xfId="0" applyFont="1" applyBorder="1" applyAlignment="1">
      <alignment horizontal="center"/>
    </xf>
    <xf numFmtId="165" fontId="0" fillId="0" borderId="18" xfId="0" applyBorder="1"/>
    <xf numFmtId="165" fontId="13" fillId="0" borderId="2" xfId="0" applyFont="1" applyBorder="1" applyAlignment="1">
      <alignment horizontal="center"/>
    </xf>
    <xf numFmtId="165" fontId="0" fillId="0" borderId="2" xfId="0" applyBorder="1"/>
    <xf numFmtId="165" fontId="13" fillId="0" borderId="7" xfId="0" applyFont="1" applyBorder="1" applyAlignment="1">
      <alignment horizontal="center"/>
    </xf>
    <xf numFmtId="165" fontId="5" fillId="9" borderId="0" xfId="3" applyFont="1" applyFill="1" applyBorder="1" applyAlignment="1" applyProtection="1">
      <alignment horizontal="left" vertical="center" wrapText="1" indent="1"/>
    </xf>
    <xf numFmtId="165" fontId="18" fillId="9" borderId="0" xfId="0" applyFont="1" applyFill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indent="1"/>
    </xf>
    <xf numFmtId="165" fontId="9" fillId="9" borderId="0" xfId="0" applyFont="1" applyFill="1" applyAlignment="1" applyProtection="1">
      <alignment horizontal="left" vertical="center" indent="1"/>
    </xf>
    <xf numFmtId="165" fontId="6" fillId="9" borderId="0" xfId="0" applyFont="1" applyFill="1" applyBorder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wrapText="1" indent="1"/>
    </xf>
    <xf numFmtId="165" fontId="4" fillId="9" borderId="0" xfId="0" applyFont="1" applyFill="1" applyBorder="1" applyAlignment="1" applyProtection="1">
      <alignment horizontal="left" vertical="center" indent="1"/>
    </xf>
    <xf numFmtId="165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5" fontId="10" fillId="9" borderId="0" xfId="0" applyNumberFormat="1" applyFont="1" applyFill="1" applyProtection="1"/>
    <xf numFmtId="165" fontId="37" fillId="0" borderId="0" xfId="0" applyFont="1"/>
    <xf numFmtId="165" fontId="17" fillId="9" borderId="0" xfId="0" applyFont="1" applyFill="1" applyBorder="1"/>
    <xf numFmtId="165" fontId="17" fillId="9" borderId="0" xfId="0" applyFont="1" applyFill="1"/>
    <xf numFmtId="165" fontId="20" fillId="9" borderId="0" xfId="1" applyFont="1" applyFill="1" applyBorder="1" applyAlignment="1" applyProtection="1">
      <alignment horizontal="center" vertical="center" wrapText="1"/>
    </xf>
    <xf numFmtId="165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5" fontId="5" fillId="9" borderId="0" xfId="3" applyFont="1" applyFill="1" applyBorder="1" applyAlignment="1" applyProtection="1">
      <alignment vertical="center" wrapText="1"/>
    </xf>
    <xf numFmtId="165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5" fontId="38" fillId="15" borderId="1" xfId="8" applyFont="1" applyFill="1" applyBorder="1" applyAlignment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9" fillId="0" borderId="16" xfId="0" applyFont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6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5" fontId="0" fillId="0" borderId="0" xfId="0" applyFill="1" applyBorder="1"/>
    <xf numFmtId="165" fontId="0" fillId="0" borderId="0" xfId="0" applyNumberFormat="1" applyFill="1" applyBorder="1" applyAlignment="1"/>
    <xf numFmtId="165" fontId="0" fillId="0" borderId="0" xfId="0" applyNumberFormat="1" applyFill="1" applyBorder="1"/>
    <xf numFmtId="165" fontId="5" fillId="6" borderId="1" xfId="3" applyFont="1" applyFill="1" applyBorder="1" applyAlignment="1" applyProtection="1">
      <alignment horizontal="center" vertical="center" wrapText="1"/>
    </xf>
    <xf numFmtId="165" fontId="4" fillId="4" borderId="17" xfId="4" applyFont="1" applyFill="1" applyBorder="1" applyAlignment="1" applyProtection="1">
      <alignment horizontal="left"/>
    </xf>
    <xf numFmtId="165" fontId="10" fillId="16" borderId="0" xfId="0" applyNumberFormat="1" applyFont="1" applyFill="1"/>
    <xf numFmtId="165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5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5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14" fillId="2" borderId="1" xfId="0" applyFont="1" applyFill="1" applyBorder="1" applyAlignment="1">
      <alignment wrapText="1"/>
    </xf>
    <xf numFmtId="165" fontId="4" fillId="4" borderId="1" xfId="0" applyFont="1" applyFill="1" applyBorder="1" applyAlignment="1">
      <alignment vertical="top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5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5" fontId="5" fillId="6" borderId="1" xfId="3" applyFont="1" applyFill="1" applyBorder="1" applyAlignment="1" applyProtection="1">
      <alignment vertical="center" wrapText="1"/>
    </xf>
    <xf numFmtId="165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5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5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5" fontId="17" fillId="0" borderId="0" xfId="0" applyFont="1" applyAlignment="1" applyProtection="1"/>
    <xf numFmtId="165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41" fillId="0" borderId="0" xfId="0" applyFont="1"/>
    <xf numFmtId="165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5" fontId="17" fillId="0" borderId="0" xfId="0" applyFont="1" applyFill="1" applyAlignment="1" applyProtection="1">
      <alignment horizontal="center" vertical="center"/>
    </xf>
    <xf numFmtId="165" fontId="0" fillId="0" borderId="0" xfId="0" applyFill="1" applyBorder="1" applyAlignment="1" applyProtection="1">
      <alignment vertical="center"/>
    </xf>
    <xf numFmtId="165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5" fontId="17" fillId="0" borderId="18" xfId="0" applyFont="1" applyFill="1" applyBorder="1" applyAlignment="1" applyProtection="1"/>
    <xf numFmtId="165" fontId="17" fillId="0" borderId="0" xfId="0" applyFont="1" applyFill="1" applyBorder="1" applyAlignment="1" applyProtection="1"/>
    <xf numFmtId="2" fontId="42" fillId="12" borderId="1" xfId="0" applyNumberFormat="1" applyFont="1" applyFill="1" applyBorder="1" applyAlignment="1" applyProtection="1">
      <alignment horizontal="center" vertical="center"/>
    </xf>
    <xf numFmtId="2" fontId="43" fillId="12" borderId="1" xfId="0" applyNumberFormat="1" applyFont="1" applyFill="1" applyBorder="1" applyAlignment="1" applyProtection="1">
      <alignment horizontal="center" vertical="center"/>
    </xf>
    <xf numFmtId="2" fontId="42" fillId="0" borderId="0" xfId="0" applyNumberFormat="1" applyFont="1" applyFill="1" applyBorder="1" applyAlignment="1" applyProtection="1">
      <alignment horizontal="center" vertical="center"/>
    </xf>
    <xf numFmtId="2" fontId="42" fillId="12" borderId="7" xfId="0" applyNumberFormat="1" applyFont="1" applyFill="1" applyBorder="1" applyAlignment="1" applyProtection="1">
      <alignment horizontal="center" vertical="center"/>
    </xf>
    <xf numFmtId="165" fontId="41" fillId="0" borderId="8" xfId="0" applyFont="1" applyBorder="1"/>
    <xf numFmtId="165" fontId="41" fillId="0" borderId="0" xfId="0" applyFont="1" applyBorder="1"/>
    <xf numFmtId="165" fontId="41" fillId="0" borderId="0" xfId="0" applyFont="1" applyFill="1" applyBorder="1" applyAlignment="1">
      <alignment horizontal="left"/>
    </xf>
    <xf numFmtId="2" fontId="43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43" fontId="9" fillId="9" borderId="0" xfId="7" applyFont="1" applyFill="1" applyBorder="1" applyAlignment="1" applyProtection="1">
      <alignment horizontal="center" vertical="center" wrapText="1"/>
    </xf>
    <xf numFmtId="1" fontId="42" fillId="9" borderId="1" xfId="0" applyNumberFormat="1" applyFont="1" applyFill="1" applyBorder="1" applyAlignment="1" applyProtection="1">
      <alignment horizontal="center" vertical="center"/>
    </xf>
    <xf numFmtId="165" fontId="17" fillId="9" borderId="18" xfId="0" applyFont="1" applyFill="1" applyBorder="1" applyAlignment="1" applyProtection="1"/>
    <xf numFmtId="165" fontId="17" fillId="9" borderId="0" xfId="0" applyFont="1" applyFill="1" applyBorder="1" applyAlignment="1" applyProtection="1"/>
    <xf numFmtId="165" fontId="0" fillId="9" borderId="0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0" fontId="42" fillId="0" borderId="1" xfId="0" applyNumberFormat="1" applyFont="1" applyFill="1" applyBorder="1" applyAlignment="1" applyProtection="1">
      <alignment horizontal="center" vertical="center"/>
      <protection locked="0"/>
    </xf>
    <xf numFmtId="1" fontId="42" fillId="0" borderId="1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4" fillId="17" borderId="11" xfId="3" applyNumberFormat="1" applyFont="1" applyFill="1" applyBorder="1" applyAlignment="1">
      <alignment horizontal="center"/>
    </xf>
    <xf numFmtId="0" fontId="44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4" fillId="0" borderId="11" xfId="3" applyNumberFormat="1" applyFont="1" applyFill="1" applyBorder="1" applyAlignment="1">
      <alignment horizontal="center"/>
    </xf>
    <xf numFmtId="0" fontId="44" fillId="0" borderId="24" xfId="3" applyNumberFormat="1" applyFont="1" applyFill="1" applyBorder="1" applyAlignment="1">
      <alignment horizontal="center"/>
    </xf>
    <xf numFmtId="165" fontId="5" fillId="0" borderId="27" xfId="0" applyFont="1" applyFill="1" applyBorder="1" applyAlignment="1">
      <alignment horizontal="center"/>
    </xf>
    <xf numFmtId="165" fontId="5" fillId="0" borderId="19" xfId="0" applyFont="1" applyFill="1" applyBorder="1" applyAlignment="1">
      <alignment horizontal="center"/>
    </xf>
    <xf numFmtId="165" fontId="5" fillId="9" borderId="0" xfId="3" applyNumberFormat="1" applyFont="1" applyFill="1" applyBorder="1" applyAlignment="1">
      <alignment horizontal="center" vertical="center" wrapText="1"/>
    </xf>
    <xf numFmtId="165" fontId="5" fillId="9" borderId="11" xfId="3" applyNumberFormat="1" applyFont="1" applyFill="1" applyBorder="1" applyAlignment="1">
      <alignment horizontal="center" vertical="center" wrapText="1"/>
    </xf>
    <xf numFmtId="0" fontId="44" fillId="0" borderId="1" xfId="3" applyNumberFormat="1" applyFont="1" applyFill="1" applyBorder="1" applyAlignment="1">
      <alignment horizontal="center"/>
    </xf>
    <xf numFmtId="0" fontId="44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5" fontId="5" fillId="9" borderId="21" xfId="3" applyNumberFormat="1" applyFont="1" applyFill="1" applyBorder="1" applyAlignment="1">
      <alignment horizontal="center" wrapText="1"/>
    </xf>
    <xf numFmtId="165" fontId="5" fillId="9" borderId="22" xfId="3" applyNumberFormat="1" applyFont="1" applyFill="1" applyBorder="1" applyAlignment="1">
      <alignment horizontal="center" wrapText="1"/>
    </xf>
    <xf numFmtId="165" fontId="5" fillId="9" borderId="17" xfId="3" applyNumberFormat="1" applyFont="1" applyFill="1" applyBorder="1" applyAlignment="1">
      <alignment horizontal="center" vertical="center" wrapText="1"/>
    </xf>
    <xf numFmtId="165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5" fontId="5" fillId="9" borderId="18" xfId="3" applyNumberFormat="1" applyFont="1" applyFill="1" applyBorder="1" applyAlignment="1">
      <alignment horizontal="center" vertical="center" wrapText="1"/>
    </xf>
    <xf numFmtId="165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5" fontId="5" fillId="9" borderId="10" xfId="3" applyNumberFormat="1" applyFont="1" applyFill="1" applyBorder="1" applyAlignment="1">
      <alignment horizontal="center" vertical="center" wrapText="1"/>
    </xf>
    <xf numFmtId="165" fontId="5" fillId="11" borderId="38" xfId="3" applyNumberFormat="1" applyFont="1" applyFill="1" applyBorder="1" applyAlignment="1">
      <alignment horizontal="center" vertical="center" wrapText="1"/>
    </xf>
    <xf numFmtId="165" fontId="5" fillId="11" borderId="39" xfId="3" applyNumberFormat="1" applyFont="1" applyFill="1" applyBorder="1" applyAlignment="1">
      <alignment horizontal="center" vertical="center" wrapText="1"/>
    </xf>
    <xf numFmtId="165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5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5" fontId="18" fillId="5" borderId="1" xfId="0" applyNumberFormat="1" applyFont="1" applyFill="1" applyBorder="1" applyAlignment="1">
      <alignment horizontal="left" vertical="center" wrapText="1"/>
    </xf>
    <xf numFmtId="165" fontId="4" fillId="4" borderId="1" xfId="0" applyNumberFormat="1" applyFont="1" applyFill="1" applyBorder="1" applyAlignment="1" applyProtection="1">
      <alignment horizontal="left" vertical="center"/>
    </xf>
    <xf numFmtId="169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17" fillId="0" borderId="1" xfId="0" applyFont="1" applyBorder="1" applyAlignment="1" applyProtection="1">
      <alignment horizontal="center"/>
    </xf>
    <xf numFmtId="1" fontId="42" fillId="12" borderId="1" xfId="0" applyNumberFormat="1" applyFont="1" applyFill="1" applyBorder="1" applyAlignment="1" applyProtection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5" fontId="17" fillId="0" borderId="0" xfId="0" applyFont="1" applyAlignment="1" applyProtection="1">
      <alignment vertical="center"/>
    </xf>
    <xf numFmtId="165" fontId="10" fillId="0" borderId="0" xfId="0" applyFont="1" applyAlignment="1" applyProtection="1">
      <alignment vertical="center"/>
    </xf>
    <xf numFmtId="165" fontId="4" fillId="4" borderId="1" xfId="2" applyNumberFormat="1" applyFont="1" applyFill="1" applyBorder="1" applyAlignment="1" applyProtection="1">
      <alignment horizontal="center" vertical="center"/>
    </xf>
    <xf numFmtId="165" fontId="4" fillId="0" borderId="1" xfId="0" applyFont="1" applyBorder="1" applyAlignment="1" applyProtection="1">
      <alignment vertical="center"/>
      <protection locked="0"/>
    </xf>
    <xf numFmtId="165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5" fontId="4" fillId="0" borderId="0" xfId="0" applyFont="1" applyFill="1" applyBorder="1" applyAlignment="1" applyProtection="1">
      <alignment horizontal="center" vertical="center"/>
    </xf>
    <xf numFmtId="165" fontId="4" fillId="9" borderId="0" xfId="3" applyFont="1" applyFill="1" applyBorder="1" applyAlignment="1" applyProtection="1">
      <alignment horizontal="center" vertical="center" wrapText="1"/>
    </xf>
    <xf numFmtId="165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5" fontId="20" fillId="9" borderId="0" xfId="1" applyFont="1" applyFill="1" applyBorder="1" applyAlignment="1" applyProtection="1">
      <alignment horizontal="right" vertical="center" wrapText="1"/>
    </xf>
    <xf numFmtId="165" fontId="19" fillId="9" borderId="0" xfId="0" applyFont="1" applyFill="1" applyAlignment="1" applyProtection="1">
      <alignment horizontal="center" vertical="center" textRotation="45"/>
    </xf>
    <xf numFmtId="165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5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5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5" fontId="17" fillId="9" borderId="4" xfId="0" applyNumberFormat="1" applyFont="1" applyFill="1" applyBorder="1" applyAlignment="1" applyProtection="1">
      <alignment horizontal="center"/>
    </xf>
    <xf numFmtId="165" fontId="17" fillId="9" borderId="0" xfId="0" applyNumberFormat="1" applyFont="1" applyFill="1" applyBorder="1" applyAlignment="1" applyProtection="1">
      <alignment horizontal="center"/>
    </xf>
    <xf numFmtId="165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5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5" fontId="10" fillId="9" borderId="0" xfId="0" applyFont="1" applyFill="1" applyAlignment="1" applyProtection="1">
      <alignment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5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5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5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0" fontId="4" fillId="0" borderId="1" xfId="3" applyNumberFormat="1" applyFont="1" applyFill="1" applyBorder="1" applyAlignment="1" applyProtection="1">
      <alignment horizontal="left" wrapText="1"/>
      <protection locked="0"/>
    </xf>
    <xf numFmtId="165" fontId="38" fillId="15" borderId="1" xfId="8" applyFont="1" applyFill="1" applyBorder="1" applyAlignment="1">
      <alignment horizontal="center"/>
    </xf>
    <xf numFmtId="167" fontId="10" fillId="4" borderId="2" xfId="2" applyNumberFormat="1" applyFont="1" applyFill="1" applyBorder="1" applyAlignment="1" applyProtection="1">
      <alignment horizontal="center" vertical="center"/>
    </xf>
    <xf numFmtId="167" fontId="10" fillId="4" borderId="4" xfId="2" applyNumberFormat="1" applyFont="1" applyFill="1" applyBorder="1" applyAlignment="1" applyProtection="1">
      <alignment horizontal="center" vertical="center"/>
    </xf>
    <xf numFmtId="165" fontId="4" fillId="0" borderId="2" xfId="0" applyNumberFormat="1" applyFont="1" applyFill="1" applyBorder="1" applyAlignment="1" applyProtection="1">
      <alignment horizontal="center" vertical="center"/>
      <protection locked="0"/>
    </xf>
    <xf numFmtId="165" fontId="4" fillId="0" borderId="4" xfId="0" applyNumberFormat="1" applyFont="1" applyFill="1" applyBorder="1" applyAlignment="1" applyProtection="1">
      <alignment horizontal="center" vertical="center"/>
      <protection locked="0"/>
    </xf>
    <xf numFmtId="167" fontId="6" fillId="4" borderId="2" xfId="2" applyNumberFormat="1" applyFont="1" applyFill="1" applyBorder="1" applyAlignment="1" applyProtection="1">
      <alignment horizontal="center" vertical="center"/>
    </xf>
    <xf numFmtId="167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4" xfId="3" applyFont="1" applyFill="1" applyBorder="1" applyAlignment="1" applyProtection="1">
      <alignment horizontal="center" vertical="center" wrapText="1"/>
    </xf>
    <xf numFmtId="165" fontId="4" fillId="0" borderId="2" xfId="0" applyFont="1" applyBorder="1" applyAlignment="1" applyProtection="1">
      <alignment horizontal="left" vertical="center"/>
      <protection locked="0"/>
    </xf>
    <xf numFmtId="165" fontId="4" fillId="0" borderId="4" xfId="0" applyFont="1" applyBorder="1" applyAlignment="1" applyProtection="1">
      <alignment horizontal="left" vertical="center"/>
      <protection locked="0"/>
    </xf>
    <xf numFmtId="165" fontId="4" fillId="0" borderId="2" xfId="0" applyFont="1" applyBorder="1" applyAlignment="1" applyProtection="1">
      <alignment horizontal="center" vertical="center"/>
      <protection locked="0"/>
    </xf>
    <xf numFmtId="165" fontId="4" fillId="0" borderId="4" xfId="0" applyFont="1" applyBorder="1" applyAlignment="1" applyProtection="1">
      <alignment horizontal="center" vertical="center"/>
      <protection locked="0"/>
    </xf>
    <xf numFmtId="165" fontId="4" fillId="0" borderId="0" xfId="3" applyFont="1" applyFill="1" applyBorder="1" applyAlignment="1" applyProtection="1">
      <alignment horizontal="center" vertical="center" wrapText="1"/>
    </xf>
    <xf numFmtId="165" fontId="5" fillId="6" borderId="3" xfId="3" applyFont="1" applyFill="1" applyBorder="1" applyAlignment="1" applyProtection="1">
      <alignment horizontal="center" vertical="center" wrapText="1"/>
    </xf>
    <xf numFmtId="165" fontId="5" fillId="6" borderId="6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11" borderId="3" xfId="3" applyFont="1" applyFill="1" applyBorder="1" applyAlignment="1" applyProtection="1">
      <alignment horizontal="center" vertical="center" wrapText="1"/>
    </xf>
    <xf numFmtId="165" fontId="5" fillId="11" borderId="7" xfId="3" applyFont="1" applyFill="1" applyBorder="1" applyAlignment="1" applyProtection="1">
      <alignment horizontal="center" vertical="center" wrapText="1"/>
    </xf>
    <xf numFmtId="165" fontId="0" fillId="12" borderId="3" xfId="0" applyFill="1" applyBorder="1" applyAlignment="1" applyProtection="1">
      <alignment horizontal="center" vertical="center" wrapText="1"/>
    </xf>
    <xf numFmtId="165" fontId="0" fillId="12" borderId="6" xfId="0" applyFill="1" applyBorder="1" applyAlignment="1" applyProtection="1">
      <alignment horizontal="center" vertical="center"/>
    </xf>
    <xf numFmtId="165" fontId="0" fillId="12" borderId="7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165" fontId="43" fillId="12" borderId="1" xfId="0" applyFont="1" applyFill="1" applyBorder="1" applyAlignment="1" applyProtection="1">
      <alignment horizontal="center" vertical="center" wrapText="1"/>
    </xf>
    <xf numFmtId="165" fontId="5" fillId="11" borderId="2" xfId="3" applyFont="1" applyFill="1" applyBorder="1" applyAlignment="1" applyProtection="1">
      <alignment horizontal="center" vertical="center" wrapText="1"/>
    </xf>
    <xf numFmtId="165" fontId="5" fillId="11" borderId="5" xfId="3" applyFont="1" applyFill="1" applyBorder="1" applyAlignment="1" applyProtection="1">
      <alignment horizontal="center" vertical="center" wrapText="1"/>
    </xf>
    <xf numFmtId="165" fontId="5" fillId="11" borderId="4" xfId="3" applyFont="1" applyFill="1" applyBorder="1" applyAlignment="1" applyProtection="1">
      <alignment horizontal="center" vertical="center" wrapText="1"/>
    </xf>
    <xf numFmtId="165" fontId="5" fillId="9" borderId="3" xfId="3" applyFont="1" applyFill="1" applyBorder="1" applyAlignment="1" applyProtection="1">
      <alignment horizontal="center" vertical="center" wrapText="1"/>
    </xf>
    <xf numFmtId="165" fontId="5" fillId="9" borderId="6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165" fontId="43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5" fontId="5" fillId="6" borderId="32" xfId="3" applyNumberFormat="1" applyFont="1" applyFill="1" applyBorder="1" applyAlignment="1">
      <alignment horizontal="center" vertical="center" wrapText="1"/>
    </xf>
    <xf numFmtId="165" fontId="5" fillId="6" borderId="49" xfId="3" applyNumberFormat="1" applyFont="1" applyFill="1" applyBorder="1" applyAlignment="1">
      <alignment horizontal="center" vertical="center" wrapText="1"/>
    </xf>
    <xf numFmtId="165" fontId="5" fillId="6" borderId="48" xfId="3" applyNumberFormat="1" applyFont="1" applyFill="1" applyBorder="1" applyAlignment="1">
      <alignment horizontal="center" vertical="center" wrapText="1"/>
    </xf>
    <xf numFmtId="165" fontId="5" fillId="6" borderId="50" xfId="3" applyNumberFormat="1" applyFont="1" applyFill="1" applyBorder="1" applyAlignment="1">
      <alignment horizontal="center" vertical="center" wrapText="1"/>
    </xf>
    <xf numFmtId="165" fontId="5" fillId="6" borderId="29" xfId="3" applyNumberFormat="1" applyFont="1" applyFill="1" applyBorder="1" applyAlignment="1">
      <alignment horizontal="center" vertical="center" wrapText="1"/>
    </xf>
    <xf numFmtId="165" fontId="5" fillId="6" borderId="20" xfId="3" applyNumberFormat="1" applyFont="1" applyFill="1" applyBorder="1" applyAlignment="1">
      <alignment horizontal="center" vertical="center" wrapText="1"/>
    </xf>
    <xf numFmtId="165" fontId="17" fillId="0" borderId="14" xfId="0" applyFont="1" applyBorder="1" applyAlignment="1" applyProtection="1">
      <alignment horizontal="center"/>
    </xf>
    <xf numFmtId="165" fontId="5" fillId="6" borderId="3" xfId="3" applyNumberFormat="1" applyFont="1" applyFill="1" applyBorder="1" applyAlignment="1">
      <alignment horizontal="center" vertical="center" wrapText="1"/>
    </xf>
    <xf numFmtId="165" fontId="5" fillId="6" borderId="7" xfId="3" applyNumberFormat="1" applyFont="1" applyFill="1" applyBorder="1" applyAlignment="1">
      <alignment horizontal="center" vertical="center" wrapText="1"/>
    </xf>
    <xf numFmtId="165" fontId="5" fillId="6" borderId="18" xfId="3" applyNumberFormat="1" applyFont="1" applyFill="1" applyBorder="1" applyAlignment="1">
      <alignment horizontal="center" vertical="center" wrapText="1"/>
    </xf>
    <xf numFmtId="165" fontId="5" fillId="6" borderId="13" xfId="3" applyNumberFormat="1" applyFont="1" applyFill="1" applyBorder="1" applyAlignment="1">
      <alignment horizontal="center" vertical="center" wrapText="1"/>
    </xf>
    <xf numFmtId="165" fontId="5" fillId="18" borderId="41" xfId="3" applyNumberFormat="1" applyFont="1" applyFill="1" applyBorder="1" applyAlignment="1">
      <alignment horizontal="center" vertical="center" wrapText="1"/>
    </xf>
    <xf numFmtId="165" fontId="5" fillId="18" borderId="42" xfId="3" applyNumberFormat="1" applyFont="1" applyFill="1" applyBorder="1" applyAlignment="1">
      <alignment horizontal="center" vertical="center" wrapText="1"/>
    </xf>
    <xf numFmtId="165" fontId="5" fillId="11" borderId="35" xfId="3" applyFont="1" applyFill="1" applyBorder="1" applyAlignment="1" applyProtection="1">
      <alignment horizontal="center" vertical="center" wrapText="1"/>
    </xf>
    <xf numFmtId="165" fontId="5" fillId="11" borderId="36" xfId="3" applyFont="1" applyFill="1" applyBorder="1" applyAlignment="1" applyProtection="1">
      <alignment horizontal="center" vertical="center" wrapText="1"/>
    </xf>
    <xf numFmtId="165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5" fontId="5" fillId="6" borderId="21" xfId="3" applyNumberFormat="1" applyFont="1" applyFill="1" applyBorder="1" applyAlignment="1">
      <alignment horizontal="center" vertical="center" wrapText="1"/>
    </xf>
    <xf numFmtId="165" fontId="5" fillId="6" borderId="10" xfId="3" applyNumberFormat="1" applyFont="1" applyFill="1" applyBorder="1" applyAlignment="1">
      <alignment horizontal="center" vertical="center" wrapText="1"/>
    </xf>
    <xf numFmtId="165" fontId="5" fillId="6" borderId="28" xfId="3" applyNumberFormat="1" applyFont="1" applyFill="1" applyBorder="1" applyAlignment="1">
      <alignment horizontal="center" vertical="center" wrapText="1"/>
    </xf>
    <xf numFmtId="165" fontId="5" fillId="18" borderId="53" xfId="3" applyNumberFormat="1" applyFont="1" applyFill="1" applyBorder="1" applyAlignment="1">
      <alignment horizontal="center" vertical="center" wrapText="1"/>
    </xf>
    <xf numFmtId="165" fontId="5" fillId="18" borderId="54" xfId="3" applyNumberFormat="1" applyFont="1" applyFill="1" applyBorder="1" applyAlignment="1">
      <alignment horizontal="center" vertical="center" wrapText="1"/>
    </xf>
    <xf numFmtId="165" fontId="5" fillId="18" borderId="55" xfId="3" applyNumberFormat="1" applyFont="1" applyFill="1" applyBorder="1" applyAlignment="1">
      <alignment horizontal="center" vertical="center" wrapText="1"/>
    </xf>
    <xf numFmtId="165" fontId="14" fillId="0" borderId="8" xfId="0" applyFont="1" applyBorder="1" applyAlignment="1" applyProtection="1">
      <alignment horizontal="center"/>
    </xf>
    <xf numFmtId="165" fontId="14" fillId="0" borderId="12" xfId="0" applyFont="1" applyBorder="1" applyAlignment="1" applyProtection="1">
      <alignment horizontal="center"/>
    </xf>
    <xf numFmtId="165" fontId="3" fillId="0" borderId="1" xfId="3" applyFont="1" applyFill="1" applyBorder="1" applyAlignment="1" applyProtection="1">
      <alignment horizontal="center" vertical="center" wrapText="1"/>
    </xf>
    <xf numFmtId="165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4" fillId="0" borderId="1" xfId="3" applyFont="1" applyFill="1" applyBorder="1" applyAlignment="1" applyProtection="1">
      <alignment horizontal="center" vertical="center" wrapText="1"/>
    </xf>
    <xf numFmtId="165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35" t="s">
        <v>360</v>
      </c>
      <c r="B6" s="435"/>
      <c r="C6" s="435"/>
      <c r="D6" s="435"/>
      <c r="E6" s="435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WrLnj2cTZcA4vowTnz1sTHbcoEN2rWV6ub2GO5tJHnA0paan/Ye8+/bFPe98i51w3xP8nd2mrCvNSEA64lWAiw==" saltValue="bl7tIlcekAFSb7z9S0k3x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E13" sqref="E13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44" t="s">
        <v>25</v>
      </c>
      <c r="C2" s="444"/>
      <c r="D2" s="444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45" t="s">
        <v>143</v>
      </c>
      <c r="D4" s="446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9">
        <v>20122</v>
      </c>
      <c r="D6" s="450"/>
      <c r="E6" s="61"/>
      <c r="F6" s="161"/>
    </row>
    <row r="7" spans="2:6" ht="18" customHeight="1" x14ac:dyDescent="0.2">
      <c r="B7" s="189" t="s">
        <v>280</v>
      </c>
      <c r="C7" s="449">
        <v>23069</v>
      </c>
      <c r="D7" s="450"/>
      <c r="E7" s="61"/>
      <c r="F7" s="161"/>
    </row>
    <row r="8" spans="2:6" ht="54" customHeight="1" x14ac:dyDescent="0.2">
      <c r="B8" s="52" t="s">
        <v>21</v>
      </c>
      <c r="C8" s="451" t="s">
        <v>496</v>
      </c>
      <c r="D8" s="452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53" t="str">
        <f>IFERROR(VLOOKUP(Sistema,Produtividades[],COLUMN(Produtividades[[#Headers],[Contrato]])-1,FALSE),"")</f>
        <v>Uso comercial</v>
      </c>
      <c r="D11" s="454"/>
      <c r="F11" s="158"/>
    </row>
    <row r="12" spans="2:6" x14ac:dyDescent="0.2">
      <c r="F12" s="158"/>
    </row>
    <row r="13" spans="2:6" x14ac:dyDescent="0.2">
      <c r="B13" s="179" t="s">
        <v>271</v>
      </c>
      <c r="C13" s="453" t="s">
        <v>173</v>
      </c>
      <c r="D13" s="454"/>
      <c r="F13" s="158"/>
    </row>
    <row r="14" spans="2:6" x14ac:dyDescent="0.2">
      <c r="F14" s="158"/>
    </row>
    <row r="15" spans="2:6" x14ac:dyDescent="0.2">
      <c r="B15" s="53" t="s">
        <v>166</v>
      </c>
      <c r="C15" s="459" t="s">
        <v>96</v>
      </c>
      <c r="D15" s="460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61" t="s">
        <v>156</v>
      </c>
      <c r="D17" s="462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53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54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55">
        <f>Horas_APF</f>
        <v>0</v>
      </c>
      <c r="D26" s="456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7" t="s">
        <v>24</v>
      </c>
      <c r="D28" s="458"/>
      <c r="E28" s="19"/>
      <c r="F28" s="19"/>
    </row>
    <row r="29" spans="2:6" ht="18" customHeight="1" x14ac:dyDescent="0.2">
      <c r="B29" s="52" t="s">
        <v>29</v>
      </c>
      <c r="C29" s="453">
        <f ca="1">ROUND(IF(RespostaContagem=Sim,Horas_HH_Total,Horas_HH_Total+EsforcoFases[[#Totals],[Esforço em Horas (preenchido)]]),2)</f>
        <v>2161.77</v>
      </c>
      <c r="D29" s="454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389.12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7">
        <f ca="1">ROUND((Horas_APF+Horas_Analogia+Horas_HH+Horas_Gestao)*Flip,2)</f>
        <v>2550.89</v>
      </c>
      <c r="D34" s="448"/>
      <c r="E34" s="16"/>
      <c r="F34" s="16"/>
    </row>
    <row r="36" spans="2:6" x14ac:dyDescent="0.2">
      <c r="B36" s="53" t="s">
        <v>175</v>
      </c>
      <c r="C36" s="436">
        <f>VLOOKUP(Sistema,Produtividades[],COLUMN(Produtividades[[#Headers],[Taxa horária]])-1,FALSE)</f>
        <v>154.36000000000001</v>
      </c>
      <c r="D36" s="437"/>
    </row>
    <row r="38" spans="2:6" x14ac:dyDescent="0.2">
      <c r="B38" s="53" t="s">
        <v>179</v>
      </c>
      <c r="C38" s="436">
        <f ca="1">Horas_Total*Taxa_Horaria</f>
        <v>393755.38040000002</v>
      </c>
      <c r="D38" s="437"/>
    </row>
    <row r="40" spans="2:6" x14ac:dyDescent="0.2">
      <c r="B40" s="53" t="s">
        <v>178</v>
      </c>
      <c r="C40" s="438"/>
      <c r="D40" s="439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42"/>
      <c r="D42" s="443"/>
    </row>
    <row r="44" spans="2:6" ht="15.75" x14ac:dyDescent="0.2">
      <c r="B44" s="53" t="s">
        <v>180</v>
      </c>
      <c r="C44" s="440">
        <f ca="1">Custo-Desconto</f>
        <v>393755.38040000002</v>
      </c>
      <c r="D44" s="441"/>
    </row>
  </sheetData>
  <sheetProtection algorithmName="SHA-512" hashValue="kANDSx1qXT2TFwu33sX7vXI+Aj/gp+6HwWJENY94GCVZCKAuPasid/ZBUPvLgcxfHOFiVMynbWXmeLjceO3dLA==" saltValue="t9apzqxsWrv5UMYSkUbIgg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E7" activePane="bottomRight" state="frozen"/>
      <selection activeCell="G19" sqref="G19"/>
      <selection pane="topRight" activeCell="G19" sqref="G19"/>
      <selection pane="bottomLeft" activeCell="G19" sqref="G19"/>
      <selection pane="bottomRight" activeCell="M16" sqref="M16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44" t="str">
        <f>IF(TipoContagem=TipoContagemDetalhada,"Pontos de Função - Contagem Detalhada Conforme IFPUG","Pontos de Função - Contagem Estimada Conforme NESMA")</f>
        <v>Pontos de Função - Contagem Detalhada Conforme IFPUG</v>
      </c>
      <c r="C2" s="444"/>
      <c r="D2" s="444"/>
      <c r="E2" s="444"/>
      <c r="F2" s="444"/>
      <c r="G2" s="444"/>
      <c r="H2" s="444"/>
      <c r="I2" s="444"/>
      <c r="J2" s="444"/>
      <c r="K2" s="444"/>
      <c r="L2" s="444"/>
      <c r="M2" s="444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434"/>
      <c r="D7" s="412"/>
      <c r="E7" s="412"/>
      <c r="F7" s="412"/>
      <c r="G7" s="412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HyZoscYtKZEMCL9u5r2Cs4tqqVIlRYNLSka/EbbRBUQTU8Cc6lv54iAMS2JndOe1nCzn6rr3aT2mcO8U2ju8sg==" saltValue="+3flazZl6Rk4spKX1QtgoQ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D8" sqref="D8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44" t="s">
        <v>71</v>
      </c>
      <c r="C2" s="444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4"/>
    </row>
    <row r="3" spans="2:19" s="31" customFormat="1" ht="20.100000000000001" customHeight="1" x14ac:dyDescent="0.2">
      <c r="B3" s="463" t="s">
        <v>40</v>
      </c>
      <c r="C3" s="463"/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1oPPrScROYdxVkg8kaa9yz4EFfcWWh1hpq+7UaB1qISXDBwLsnCEAShKJsIVcVktTicyWXdj4YS0tb0ZbVrD/A==" saltValue="MEtFIVjazbSW1us0UBjxgQ==" spinCount="100000" sheet="1" objects="1" scenarios="1"/>
  <dataConsolidate link="1"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44" t="s">
        <v>98</v>
      </c>
      <c r="D2" s="444"/>
      <c r="E2" s="444"/>
      <c r="F2" s="444"/>
      <c r="G2" s="444"/>
      <c r="H2" s="444"/>
      <c r="I2" s="444"/>
    </row>
    <row r="3" spans="2:25" s="31" customFormat="1" ht="34.5" customHeight="1" x14ac:dyDescent="0.2">
      <c r="B3" s="30"/>
      <c r="C3" s="472"/>
      <c r="D3" s="472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73">
        <f>SUM(Q:Q)</f>
        <v>0</v>
      </c>
      <c r="E5" s="473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64" t="s">
        <v>100</v>
      </c>
      <c r="D8" s="464" t="s">
        <v>101</v>
      </c>
      <c r="E8" s="464" t="s">
        <v>4</v>
      </c>
      <c r="F8" s="464" t="s">
        <v>102</v>
      </c>
      <c r="G8" s="464" t="s">
        <v>103</v>
      </c>
      <c r="H8" s="474" t="s">
        <v>104</v>
      </c>
      <c r="I8" s="474"/>
      <c r="J8" s="474"/>
      <c r="K8" s="474"/>
      <c r="L8" s="474"/>
      <c r="M8" s="474"/>
      <c r="N8" s="474"/>
      <c r="O8" s="474"/>
      <c r="P8" s="474"/>
      <c r="Q8" s="464" t="s">
        <v>105</v>
      </c>
    </row>
    <row r="9" spans="2:25" ht="25.5" x14ac:dyDescent="0.2">
      <c r="C9" s="465"/>
      <c r="D9" s="465"/>
      <c r="E9" s="465"/>
      <c r="F9" s="465"/>
      <c r="G9" s="465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7" t="s">
        <v>112</v>
      </c>
      <c r="Q9" s="465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6"/>
      <c r="D10" s="466"/>
      <c r="E10" s="466"/>
      <c r="F10" s="466"/>
      <c r="G10" s="466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8"/>
      <c r="Q10" s="466"/>
    </row>
    <row r="11" spans="2:25" ht="15" x14ac:dyDescent="0.2">
      <c r="C11" s="469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70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70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70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70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70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70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70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70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70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70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70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70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70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70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70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70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71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Niw4dPL4SmSQUOJMEQIxjwSSml79XXhOwaCrkKJ2AaoF4esESJGhg6FSE8dYsXBCXX353QnOhAQuHU5TuPSgXw==" saltValue="tTt5bPeZRAYcs+x200gwXw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44" t="s">
        <v>410</v>
      </c>
      <c r="D2" s="444"/>
      <c r="E2" s="444"/>
      <c r="F2" s="444"/>
      <c r="G2" s="444"/>
      <c r="H2" s="444"/>
      <c r="I2" s="444"/>
      <c r="J2" s="444"/>
    </row>
    <row r="3" spans="2:20" s="31" customFormat="1" ht="34.5" customHeight="1" x14ac:dyDescent="0.2">
      <c r="B3" s="30"/>
      <c r="C3" s="472"/>
      <c r="D3" s="472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64" t="s">
        <v>227</v>
      </c>
      <c r="D8" s="479" t="s">
        <v>1</v>
      </c>
      <c r="E8" s="464" t="s">
        <v>1</v>
      </c>
      <c r="F8" s="464" t="s">
        <v>101</v>
      </c>
      <c r="G8" s="464" t="s">
        <v>151</v>
      </c>
      <c r="H8" s="464" t="s">
        <v>391</v>
      </c>
      <c r="I8" s="476" t="s">
        <v>104</v>
      </c>
      <c r="J8" s="477"/>
      <c r="K8" s="477"/>
      <c r="L8" s="478"/>
      <c r="M8" s="464" t="s">
        <v>105</v>
      </c>
    </row>
    <row r="9" spans="2:20" ht="37.5" customHeight="1" x14ac:dyDescent="0.2">
      <c r="C9" s="465"/>
      <c r="D9" s="480"/>
      <c r="E9" s="465"/>
      <c r="F9" s="465"/>
      <c r="G9" s="465"/>
      <c r="H9" s="465"/>
      <c r="I9" s="301" t="s">
        <v>83</v>
      </c>
      <c r="J9" s="301" t="s">
        <v>383</v>
      </c>
      <c r="K9" s="301" t="s">
        <v>384</v>
      </c>
      <c r="L9" s="301" t="s">
        <v>10</v>
      </c>
      <c r="M9" s="465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6"/>
      <c r="D10" s="481"/>
      <c r="E10" s="466"/>
      <c r="F10" s="466"/>
      <c r="G10" s="466"/>
      <c r="H10" s="466"/>
      <c r="I10" s="278" t="s">
        <v>173</v>
      </c>
      <c r="J10" s="278" t="s">
        <v>173</v>
      </c>
      <c r="K10" s="278" t="s">
        <v>173</v>
      </c>
      <c r="L10" s="278" t="s">
        <v>173</v>
      </c>
      <c r="M10" s="466"/>
    </row>
    <row r="11" spans="2:20" ht="15" customHeight="1" x14ac:dyDescent="0.2">
      <c r="C11" s="475" t="s">
        <v>313</v>
      </c>
      <c r="D11" s="295"/>
      <c r="E11" s="302"/>
      <c r="F11" s="303"/>
      <c r="G11" s="303"/>
      <c r="H11" s="303"/>
      <c r="I11" s="285">
        <f t="shared" ref="I11:I17" si="0">IF($I$10="Não",0,
IF($I$10="Sim",
IF(H11="1 a 2 campos",$O$11,
IF(H11="3 a 4 campos",$O$12,
IF(H11="5 a 6 campos",$O$13,
IF(H11="7 a 8 campos",$O$14,
IF(H11="9 a 10 campos",$O$15,0)))))))</f>
        <v>0</v>
      </c>
      <c r="J11" s="285">
        <f t="shared" ref="J11:J17" si="1">IF($J$10="Não",0,
IF($J$10="Sim",
IF(H11="1 a 2 campos",$P$11,
IF(H11="3 a 4 campos",$P$12,
IF(H11="5 a 6 campos",$P$13,
IF(H11="7 a 8 campos",$P$14,
IF(H11="9 a 10 campos",$P$15,0)))))))</f>
        <v>0</v>
      </c>
      <c r="K11" s="285">
        <f t="shared" ref="K11:K17" si="2">IF($K$10="Não",0,
IF($K$10="Sim",
IF(H11="1 a 2 campos",$Q$11,
IF(H11="3 a 4 campos",$Q$12,
IF(H11="5 a 6 campos",$Q$13,
IF(H11="7 a 8 campos",$Q$14,
IF(H11="9 a 10 campos",$Q$15,0)))))))</f>
        <v>0</v>
      </c>
      <c r="L11" s="285">
        <f t="shared" ref="L11:L17" si="3">IF($L$10="Não",0,
IF($L$10="Sim",
IF(H11="1 a 2 campos",$R$11,
IF(H11="3 a 4 campos",$R$12,
IF(H11="5 a 6 campos",$R$13,
IF(H11="7 a 8 campos",$R$14,
IF(H11="9 a 10 campos",$R$15,0)))))))</f>
        <v>0</v>
      </c>
      <c r="M11" s="285">
        <f t="shared" ref="M11:M17" si="4"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si="0"/>
        <v>0</v>
      </c>
      <c r="J12" s="285">
        <f t="shared" si="1"/>
        <v>0</v>
      </c>
      <c r="K12" s="285">
        <f t="shared" si="2"/>
        <v>0</v>
      </c>
      <c r="L12" s="285">
        <f t="shared" si="3"/>
        <v>0</v>
      </c>
      <c r="M12" s="285">
        <f t="shared" si="4"/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75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75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75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75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75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75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75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75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75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75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75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75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75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75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75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75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75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75"/>
      <c r="D35" s="295"/>
      <c r="E35" s="302"/>
      <c r="F35" s="303"/>
      <c r="G35" s="303"/>
      <c r="H35" s="303"/>
      <c r="I35" s="285">
        <f>IF($I$10="Não",0,
IF($I$10="Sim",
IF(H35="1 a 2 campos",$O$11,
IF(H35="3 a 4 campos",$O$12,
IF(H35="5 a 6 campos",$O$13,
IF(H35="7 a 8 campos",$O$14,
IF(H35="9 a 10 campos",$O$15,0)))))))</f>
        <v>0</v>
      </c>
      <c r="J35" s="285">
        <f>IF($J$10="Não",0,
IF($J$10="Sim",
IF(H35="1 a 2 campos",$P$11,
IF(H35="3 a 4 campos",$P$12,
IF(H35="5 a 6 campos",$P$13,
IF(H35="7 a 8 campos",$P$14,
IF(H35="9 a 10 campos",$P$15,0)))))))</f>
        <v>0</v>
      </c>
      <c r="K35" s="285">
        <f>IF($K$10="Não",0,
IF($K$10="Sim",
IF(H35="1 a 2 campos",$Q$11,
IF(H35="3 a 4 campos",$Q$12,
IF(H35="5 a 6 campos",$Q$13,
IF(H35="7 a 8 campos",$Q$14,
IF(H35="9 a 10 campos",$Q$15,0)))))))</f>
        <v>0</v>
      </c>
      <c r="L35" s="285">
        <f>IF($L$10="Não",0,
IF($L$10="Sim",
IF(H35="1 a 2 campos",$R$11,
IF(H35="3 a 4 campos",$R$12,
IF(H35="5 a 6 campos",$R$13,
IF(H35="7 a 8 campos",$R$14,
IF(H35="9 a 10 campos",$R$15,0)))))))</f>
        <v>0</v>
      </c>
      <c r="M35" s="285">
        <f>SUM(I35:L35)</f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75"/>
      <c r="D36" s="295"/>
      <c r="E36" s="302"/>
      <c r="F36" s="303"/>
      <c r="G36" s="303"/>
      <c r="H36" s="303"/>
      <c r="I36" s="285">
        <f>IF($I$10="Não",0,
IF($I$10="Sim",
IF(H36="1 a 2 campos",$O$11,
IF(H36="3 a 4 campos",$O$12,
IF(H36="5 a 6 campos",$O$13,
IF(H36="7 a 8 campos",$O$14,
IF(H36="9 a 10 campos",$O$15,0)))))))</f>
        <v>0</v>
      </c>
      <c r="J36" s="285">
        <f>IF($J$10="Não",0,
IF($J$10="Sim",
IF(H36="1 a 2 campos",$P$11,
IF(H36="3 a 4 campos",$P$12,
IF(H36="5 a 6 campos",$P$13,
IF(H36="7 a 8 campos",$P$14,
IF(H36="9 a 10 campos",$P$15,0)))))))</f>
        <v>0</v>
      </c>
      <c r="K36" s="285">
        <f>IF($K$10="Não",0,
IF($K$10="Sim",
IF(H36="1 a 2 campos",$Q$11,
IF(H36="3 a 4 campos",$Q$12,
IF(H36="5 a 6 campos",$Q$13,
IF(H36="7 a 8 campos",$Q$14,
IF(H36="9 a 10 campos",$Q$15,0)))))))</f>
        <v>0</v>
      </c>
      <c r="L36" s="285">
        <f>IF($L$10="Não",0,
IF($L$10="Sim",
IF(H36="1 a 2 campos",$R$11,
IF(H36="3 a 4 campos",$R$12,
IF(H36="5 a 6 campos",$R$13,
IF(H36="7 a 8 campos",$R$14,
IF(H36="9 a 10 campos",$R$15,0)))))))</f>
        <v>0</v>
      </c>
      <c r="M36" s="285">
        <f>SUM(I36:L36)</f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75"/>
      <c r="D37" s="295"/>
      <c r="E37" s="302"/>
      <c r="F37" s="303"/>
      <c r="G37" s="303"/>
      <c r="H37" s="303"/>
      <c r="I37" s="285">
        <f>IF($I$10="Não",0,
IF($I$10="Sim",
IF(H37="1 a 2 campos",$O$11,
IF(H37="3 a 4 campos",$O$12,
IF(H37="5 a 6 campos",$O$13,
IF(H37="7 a 8 campos",$O$14,
IF(H37="9 a 10 campos",$O$15,0)))))))</f>
        <v>0</v>
      </c>
      <c r="J37" s="285">
        <f>IF($J$10="Não",0,
IF($J$10="Sim",
IF(H37="1 a 2 campos",$P$11,
IF(H37="3 a 4 campos",$P$12,
IF(H37="5 a 6 campos",$P$13,
IF(H37="7 a 8 campos",$P$14,
IF(H37="9 a 10 campos",$P$15,0)))))))</f>
        <v>0</v>
      </c>
      <c r="K37" s="285">
        <f>IF($K$10="Não",0,
IF($K$10="Sim",
IF(H37="1 a 2 campos",$Q$11,
IF(H37="3 a 4 campos",$Q$12,
IF(H37="5 a 6 campos",$Q$13,
IF(H37="7 a 8 campos",$Q$14,
IF(H37="9 a 10 campos",$Q$15,0)))))))</f>
        <v>0</v>
      </c>
      <c r="L37" s="285">
        <f>IF($L$10="Não",0,
IF($L$10="Sim",
IF(H37="1 a 2 campos",$R$11,
IF(H37="3 a 4 campos",$R$12,
IF(H37="5 a 6 campos",$R$13,
IF(H37="7 a 8 campos",$R$14,
IF(H37="9 a 10 campos",$R$15,0)))))))</f>
        <v>0</v>
      </c>
      <c r="M37" s="285">
        <f>SUM(I37:L37)</f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aecigINji3423qR3xsqSzPOvqCPckKX4Gemstdjpto7Jm8fITBWsf3M1HODD4PS7rKnI/TMF/wzxa7kSCkV4+w==" saltValue="vCN5X+M3mSLnHi4sP2SwN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44" t="s">
        <v>411</v>
      </c>
      <c r="D2" s="444"/>
      <c r="E2" s="444"/>
      <c r="F2" s="444"/>
      <c r="G2" s="444"/>
      <c r="H2" s="444"/>
      <c r="I2" s="444"/>
      <c r="J2" s="444"/>
    </row>
    <row r="3" spans="2:20" s="31" customFormat="1" ht="34.5" customHeight="1" x14ac:dyDescent="0.2">
      <c r="B3" s="30"/>
      <c r="C3" s="472"/>
      <c r="D3" s="472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64" t="s">
        <v>227</v>
      </c>
      <c r="D8" s="479" t="s">
        <v>1</v>
      </c>
      <c r="E8" s="464" t="s">
        <v>1</v>
      </c>
      <c r="F8" s="464" t="s">
        <v>101</v>
      </c>
      <c r="G8" s="464" t="s">
        <v>151</v>
      </c>
      <c r="H8" s="464" t="s">
        <v>391</v>
      </c>
      <c r="I8" s="476" t="s">
        <v>104</v>
      </c>
      <c r="J8" s="477"/>
      <c r="K8" s="477"/>
      <c r="L8" s="478"/>
      <c r="M8" s="464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65"/>
      <c r="D9" s="480"/>
      <c r="E9" s="465"/>
      <c r="F9" s="465"/>
      <c r="G9" s="465"/>
      <c r="H9" s="465"/>
      <c r="I9" s="301" t="s">
        <v>83</v>
      </c>
      <c r="J9" s="301" t="s">
        <v>383</v>
      </c>
      <c r="K9" s="301" t="s">
        <v>384</v>
      </c>
      <c r="L9" s="301" t="s">
        <v>10</v>
      </c>
      <c r="M9" s="465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6"/>
      <c r="D10" s="481"/>
      <c r="E10" s="466"/>
      <c r="F10" s="466"/>
      <c r="G10" s="466"/>
      <c r="H10" s="466"/>
      <c r="I10" s="278" t="s">
        <v>173</v>
      </c>
      <c r="J10" s="278" t="s">
        <v>173</v>
      </c>
      <c r="K10" s="278" t="s">
        <v>173</v>
      </c>
      <c r="L10" s="278" t="s">
        <v>173</v>
      </c>
      <c r="M10" s="466"/>
      <c r="N10" s="34"/>
      <c r="O10" s="34"/>
      <c r="P10" s="34"/>
      <c r="Q10" s="34"/>
      <c r="R10" s="34"/>
      <c r="S10" s="34"/>
      <c r="T10" s="34"/>
    </row>
    <row r="11" spans="2:20" ht="15" x14ac:dyDescent="0.2">
      <c r="C11" s="482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 t="shared" ref="M11:M19" si="0"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82"/>
      <c r="D12" s="295"/>
      <c r="E12" s="302"/>
      <c r="F12" s="303"/>
      <c r="G12" s="303"/>
      <c r="H12" s="303"/>
      <c r="I12" s="285">
        <f t="shared" ref="I12:I36" si="1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2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3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4">IF($L$10="Não",0,
IF($L$10="Sim",
IF(H12="1 a 2 campos",$R$11,
IF(H12="3 a 4 campos",$R$12,
IF(H12="5 a 6 campos",$R$13,
IF(H12="7 a 8 campos",$R$14,
IF(H12="9 a 10 campos",$R$15,0)))))))</f>
        <v>0</v>
      </c>
      <c r="M12" s="288">
        <f t="shared" si="0"/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82"/>
      <c r="D13" s="295"/>
      <c r="E13" s="302"/>
      <c r="F13" s="303"/>
      <c r="G13" s="303"/>
      <c r="H13" s="303"/>
      <c r="I13" s="285">
        <f t="shared" si="1"/>
        <v>0</v>
      </c>
      <c r="J13" s="285">
        <f t="shared" si="2"/>
        <v>0</v>
      </c>
      <c r="K13" s="285">
        <f t="shared" si="3"/>
        <v>0</v>
      </c>
      <c r="L13" s="285">
        <f t="shared" si="4"/>
        <v>0</v>
      </c>
      <c r="M13" s="288">
        <f t="shared" si="0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82"/>
      <c r="D14" s="295"/>
      <c r="E14" s="302"/>
      <c r="F14" s="303"/>
      <c r="G14" s="303"/>
      <c r="H14" s="303"/>
      <c r="I14" s="285">
        <f t="shared" si="1"/>
        <v>0</v>
      </c>
      <c r="J14" s="285">
        <f t="shared" si="2"/>
        <v>0</v>
      </c>
      <c r="K14" s="285">
        <f t="shared" si="3"/>
        <v>0</v>
      </c>
      <c r="L14" s="285">
        <f t="shared" si="4"/>
        <v>0</v>
      </c>
      <c r="M14" s="288">
        <f t="shared" si="0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82"/>
      <c r="D15" s="295"/>
      <c r="E15" s="302"/>
      <c r="F15" s="303"/>
      <c r="G15" s="303"/>
      <c r="H15" s="303"/>
      <c r="I15" s="285">
        <f t="shared" si="1"/>
        <v>0</v>
      </c>
      <c r="J15" s="285">
        <f t="shared" si="2"/>
        <v>0</v>
      </c>
      <c r="K15" s="285">
        <f t="shared" si="3"/>
        <v>0</v>
      </c>
      <c r="L15" s="285">
        <f t="shared" si="4"/>
        <v>0</v>
      </c>
      <c r="M15" s="288">
        <f t="shared" si="0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82"/>
      <c r="D16" s="295"/>
      <c r="E16" s="302"/>
      <c r="F16" s="303"/>
      <c r="G16" s="303"/>
      <c r="H16" s="303"/>
      <c r="I16" s="285">
        <f t="shared" si="1"/>
        <v>0</v>
      </c>
      <c r="J16" s="285">
        <f t="shared" si="2"/>
        <v>0</v>
      </c>
      <c r="K16" s="285">
        <f t="shared" si="3"/>
        <v>0</v>
      </c>
      <c r="L16" s="285">
        <f t="shared" si="4"/>
        <v>0</v>
      </c>
      <c r="M16" s="288">
        <f t="shared" si="0"/>
        <v>0</v>
      </c>
    </row>
    <row r="17" spans="3:13" x14ac:dyDescent="0.2">
      <c r="C17" s="482"/>
      <c r="D17" s="295"/>
      <c r="E17" s="302"/>
      <c r="F17" s="303"/>
      <c r="G17" s="303"/>
      <c r="H17" s="303"/>
      <c r="I17" s="285">
        <f t="shared" si="1"/>
        <v>0</v>
      </c>
      <c r="J17" s="285">
        <f t="shared" si="2"/>
        <v>0</v>
      </c>
      <c r="K17" s="285">
        <f t="shared" si="3"/>
        <v>0</v>
      </c>
      <c r="L17" s="285">
        <f t="shared" si="4"/>
        <v>0</v>
      </c>
      <c r="M17" s="288">
        <f t="shared" si="0"/>
        <v>0</v>
      </c>
    </row>
    <row r="18" spans="3:13" x14ac:dyDescent="0.2">
      <c r="C18" s="482"/>
      <c r="D18" s="295"/>
      <c r="E18" s="302"/>
      <c r="F18" s="303"/>
      <c r="G18" s="303"/>
      <c r="H18" s="303"/>
      <c r="I18" s="285">
        <f t="shared" si="1"/>
        <v>0</v>
      </c>
      <c r="J18" s="285">
        <f t="shared" si="2"/>
        <v>0</v>
      </c>
      <c r="K18" s="285">
        <f t="shared" si="3"/>
        <v>0</v>
      </c>
      <c r="L18" s="285">
        <f t="shared" si="4"/>
        <v>0</v>
      </c>
      <c r="M18" s="288">
        <f t="shared" si="0"/>
        <v>0</v>
      </c>
    </row>
    <row r="19" spans="3:13" x14ac:dyDescent="0.2">
      <c r="C19" s="482"/>
      <c r="D19" s="295"/>
      <c r="E19" s="302"/>
      <c r="F19" s="303"/>
      <c r="G19" s="303"/>
      <c r="H19" s="303"/>
      <c r="I19" s="285">
        <f t="shared" si="1"/>
        <v>0</v>
      </c>
      <c r="J19" s="285">
        <f t="shared" si="2"/>
        <v>0</v>
      </c>
      <c r="K19" s="285">
        <f t="shared" si="3"/>
        <v>0</v>
      </c>
      <c r="L19" s="285">
        <f t="shared" si="4"/>
        <v>0</v>
      </c>
      <c r="M19" s="288">
        <f t="shared" si="0"/>
        <v>0</v>
      </c>
    </row>
    <row r="20" spans="3:13" x14ac:dyDescent="0.2">
      <c r="C20" s="482"/>
      <c r="D20" s="295"/>
      <c r="E20" s="302"/>
      <c r="F20" s="303"/>
      <c r="G20" s="303"/>
      <c r="H20" s="303"/>
      <c r="I20" s="285">
        <f t="shared" si="1"/>
        <v>0</v>
      </c>
      <c r="J20" s="285">
        <f t="shared" si="2"/>
        <v>0</v>
      </c>
      <c r="K20" s="285">
        <f t="shared" si="3"/>
        <v>0</v>
      </c>
      <c r="L20" s="285">
        <f t="shared" si="4"/>
        <v>0</v>
      </c>
      <c r="M20" s="288">
        <f t="shared" ref="M20:M36" si="5">SUM(I20:L20)</f>
        <v>0</v>
      </c>
    </row>
    <row r="21" spans="3:13" x14ac:dyDescent="0.2">
      <c r="C21" s="482"/>
      <c r="D21" s="295"/>
      <c r="E21" s="302"/>
      <c r="F21" s="303"/>
      <c r="G21" s="303"/>
      <c r="H21" s="303"/>
      <c r="I21" s="285">
        <f t="shared" si="1"/>
        <v>0</v>
      </c>
      <c r="J21" s="285">
        <f t="shared" si="2"/>
        <v>0</v>
      </c>
      <c r="K21" s="285">
        <f t="shared" si="3"/>
        <v>0</v>
      </c>
      <c r="L21" s="285">
        <f t="shared" si="4"/>
        <v>0</v>
      </c>
      <c r="M21" s="288">
        <f t="shared" si="5"/>
        <v>0</v>
      </c>
    </row>
    <row r="22" spans="3:13" x14ac:dyDescent="0.2">
      <c r="C22" s="482"/>
      <c r="D22" s="295"/>
      <c r="E22" s="302"/>
      <c r="F22" s="303"/>
      <c r="G22" s="303"/>
      <c r="H22" s="303"/>
      <c r="I22" s="285">
        <f t="shared" si="1"/>
        <v>0</v>
      </c>
      <c r="J22" s="285">
        <f t="shared" si="2"/>
        <v>0</v>
      </c>
      <c r="K22" s="285">
        <f t="shared" si="3"/>
        <v>0</v>
      </c>
      <c r="L22" s="285">
        <f t="shared" si="4"/>
        <v>0</v>
      </c>
      <c r="M22" s="288">
        <f t="shared" si="5"/>
        <v>0</v>
      </c>
    </row>
    <row r="23" spans="3:13" x14ac:dyDescent="0.2">
      <c r="C23" s="482"/>
      <c r="D23" s="295"/>
      <c r="E23" s="302"/>
      <c r="F23" s="303"/>
      <c r="G23" s="303"/>
      <c r="H23" s="303"/>
      <c r="I23" s="285">
        <f t="shared" si="1"/>
        <v>0</v>
      </c>
      <c r="J23" s="285">
        <f t="shared" si="2"/>
        <v>0</v>
      </c>
      <c r="K23" s="285">
        <f t="shared" si="3"/>
        <v>0</v>
      </c>
      <c r="L23" s="285">
        <f t="shared" si="4"/>
        <v>0</v>
      </c>
      <c r="M23" s="288">
        <f t="shared" si="5"/>
        <v>0</v>
      </c>
    </row>
    <row r="24" spans="3:13" x14ac:dyDescent="0.2">
      <c r="C24" s="482"/>
      <c r="D24" s="295"/>
      <c r="E24" s="302"/>
      <c r="F24" s="303"/>
      <c r="G24" s="303"/>
      <c r="H24" s="303"/>
      <c r="I24" s="285">
        <f t="shared" si="1"/>
        <v>0</v>
      </c>
      <c r="J24" s="285">
        <f t="shared" si="2"/>
        <v>0</v>
      </c>
      <c r="K24" s="285">
        <f t="shared" si="3"/>
        <v>0</v>
      </c>
      <c r="L24" s="285">
        <f t="shared" si="4"/>
        <v>0</v>
      </c>
      <c r="M24" s="288">
        <f t="shared" si="5"/>
        <v>0</v>
      </c>
    </row>
    <row r="25" spans="3:13" x14ac:dyDescent="0.2">
      <c r="C25" s="482"/>
      <c r="D25" s="295"/>
      <c r="E25" s="302"/>
      <c r="F25" s="303"/>
      <c r="G25" s="303"/>
      <c r="H25" s="303"/>
      <c r="I25" s="285">
        <f t="shared" si="1"/>
        <v>0</v>
      </c>
      <c r="J25" s="285">
        <f t="shared" si="2"/>
        <v>0</v>
      </c>
      <c r="K25" s="285">
        <f t="shared" si="3"/>
        <v>0</v>
      </c>
      <c r="L25" s="285">
        <f t="shared" si="4"/>
        <v>0</v>
      </c>
      <c r="M25" s="288">
        <f t="shared" si="5"/>
        <v>0</v>
      </c>
    </row>
    <row r="26" spans="3:13" x14ac:dyDescent="0.2">
      <c r="C26" s="482"/>
      <c r="D26" s="295"/>
      <c r="E26" s="302"/>
      <c r="F26" s="303"/>
      <c r="G26" s="303"/>
      <c r="H26" s="303"/>
      <c r="I26" s="285">
        <f t="shared" si="1"/>
        <v>0</v>
      </c>
      <c r="J26" s="285">
        <f t="shared" si="2"/>
        <v>0</v>
      </c>
      <c r="K26" s="285">
        <f t="shared" si="3"/>
        <v>0</v>
      </c>
      <c r="L26" s="285">
        <f t="shared" si="4"/>
        <v>0</v>
      </c>
      <c r="M26" s="288">
        <f t="shared" si="5"/>
        <v>0</v>
      </c>
    </row>
    <row r="27" spans="3:13" x14ac:dyDescent="0.2">
      <c r="C27" s="482"/>
      <c r="D27" s="295"/>
      <c r="E27" s="302"/>
      <c r="F27" s="303"/>
      <c r="G27" s="303"/>
      <c r="H27" s="303"/>
      <c r="I27" s="285">
        <f t="shared" si="1"/>
        <v>0</v>
      </c>
      <c r="J27" s="285">
        <f t="shared" si="2"/>
        <v>0</v>
      </c>
      <c r="K27" s="285">
        <f t="shared" si="3"/>
        <v>0</v>
      </c>
      <c r="L27" s="285">
        <f t="shared" si="4"/>
        <v>0</v>
      </c>
      <c r="M27" s="288">
        <f t="shared" si="5"/>
        <v>0</v>
      </c>
    </row>
    <row r="28" spans="3:13" x14ac:dyDescent="0.2">
      <c r="C28" s="482"/>
      <c r="D28" s="295"/>
      <c r="E28" s="302"/>
      <c r="F28" s="303"/>
      <c r="G28" s="303"/>
      <c r="H28" s="303"/>
      <c r="I28" s="285">
        <f t="shared" si="1"/>
        <v>0</v>
      </c>
      <c r="J28" s="285">
        <f t="shared" si="2"/>
        <v>0</v>
      </c>
      <c r="K28" s="285">
        <f t="shared" si="3"/>
        <v>0</v>
      </c>
      <c r="L28" s="285">
        <f t="shared" si="4"/>
        <v>0</v>
      </c>
      <c r="M28" s="288">
        <f t="shared" si="5"/>
        <v>0</v>
      </c>
    </row>
    <row r="29" spans="3:13" x14ac:dyDescent="0.2">
      <c r="C29" s="482"/>
      <c r="D29" s="295"/>
      <c r="E29" s="302"/>
      <c r="F29" s="303"/>
      <c r="G29" s="303"/>
      <c r="H29" s="303"/>
      <c r="I29" s="285">
        <f t="shared" si="1"/>
        <v>0</v>
      </c>
      <c r="J29" s="285">
        <f t="shared" si="2"/>
        <v>0</v>
      </c>
      <c r="K29" s="285">
        <f t="shared" si="3"/>
        <v>0</v>
      </c>
      <c r="L29" s="285">
        <f t="shared" si="4"/>
        <v>0</v>
      </c>
      <c r="M29" s="288">
        <f t="shared" si="5"/>
        <v>0</v>
      </c>
    </row>
    <row r="30" spans="3:13" x14ac:dyDescent="0.2">
      <c r="C30" s="482"/>
      <c r="D30" s="295"/>
      <c r="E30" s="302"/>
      <c r="F30" s="303"/>
      <c r="G30" s="303"/>
      <c r="H30" s="303"/>
      <c r="I30" s="285">
        <f t="shared" si="1"/>
        <v>0</v>
      </c>
      <c r="J30" s="285">
        <f t="shared" si="2"/>
        <v>0</v>
      </c>
      <c r="K30" s="285">
        <f t="shared" si="3"/>
        <v>0</v>
      </c>
      <c r="L30" s="285">
        <f t="shared" si="4"/>
        <v>0</v>
      </c>
      <c r="M30" s="288">
        <f t="shared" si="5"/>
        <v>0</v>
      </c>
    </row>
    <row r="31" spans="3:13" x14ac:dyDescent="0.2">
      <c r="C31" s="482"/>
      <c r="D31" s="295"/>
      <c r="E31" s="302"/>
      <c r="F31" s="303"/>
      <c r="G31" s="303"/>
      <c r="H31" s="303"/>
      <c r="I31" s="285">
        <f t="shared" si="1"/>
        <v>0</v>
      </c>
      <c r="J31" s="285">
        <f t="shared" si="2"/>
        <v>0</v>
      </c>
      <c r="K31" s="285">
        <f t="shared" si="3"/>
        <v>0</v>
      </c>
      <c r="L31" s="285">
        <f t="shared" si="4"/>
        <v>0</v>
      </c>
      <c r="M31" s="288">
        <f t="shared" si="5"/>
        <v>0</v>
      </c>
    </row>
    <row r="32" spans="3:13" x14ac:dyDescent="0.2">
      <c r="C32" s="482"/>
      <c r="D32" s="295"/>
      <c r="E32" s="302"/>
      <c r="F32" s="303"/>
      <c r="G32" s="303"/>
      <c r="H32" s="303"/>
      <c r="I32" s="285">
        <f t="shared" si="1"/>
        <v>0</v>
      </c>
      <c r="J32" s="285">
        <f t="shared" si="2"/>
        <v>0</v>
      </c>
      <c r="K32" s="285">
        <f t="shared" si="3"/>
        <v>0</v>
      </c>
      <c r="L32" s="285">
        <f t="shared" si="4"/>
        <v>0</v>
      </c>
      <c r="M32" s="288">
        <f t="shared" si="5"/>
        <v>0</v>
      </c>
    </row>
    <row r="33" spans="3:13" x14ac:dyDescent="0.2">
      <c r="C33" s="482"/>
      <c r="D33" s="295"/>
      <c r="E33" s="302"/>
      <c r="F33" s="303"/>
      <c r="G33" s="303"/>
      <c r="H33" s="303"/>
      <c r="I33" s="285">
        <f t="shared" si="1"/>
        <v>0</v>
      </c>
      <c r="J33" s="285">
        <f t="shared" si="2"/>
        <v>0</v>
      </c>
      <c r="K33" s="285">
        <f t="shared" si="3"/>
        <v>0</v>
      </c>
      <c r="L33" s="285">
        <f t="shared" si="4"/>
        <v>0</v>
      </c>
      <c r="M33" s="288">
        <f t="shared" si="5"/>
        <v>0</v>
      </c>
    </row>
    <row r="34" spans="3:13" x14ac:dyDescent="0.2">
      <c r="C34" s="482"/>
      <c r="D34" s="295"/>
      <c r="E34" s="302"/>
      <c r="F34" s="303"/>
      <c r="G34" s="303"/>
      <c r="H34" s="303"/>
      <c r="I34" s="285">
        <f t="shared" si="1"/>
        <v>0</v>
      </c>
      <c r="J34" s="285">
        <f t="shared" si="2"/>
        <v>0</v>
      </c>
      <c r="K34" s="285">
        <f t="shared" si="3"/>
        <v>0</v>
      </c>
      <c r="L34" s="285">
        <f t="shared" si="4"/>
        <v>0</v>
      </c>
      <c r="M34" s="288">
        <f t="shared" si="5"/>
        <v>0</v>
      </c>
    </row>
    <row r="35" spans="3:13" x14ac:dyDescent="0.2">
      <c r="C35" s="482"/>
      <c r="D35" s="295"/>
      <c r="E35" s="302"/>
      <c r="F35" s="303"/>
      <c r="G35" s="303"/>
      <c r="H35" s="303"/>
      <c r="I35" s="285">
        <f t="shared" si="1"/>
        <v>0</v>
      </c>
      <c r="J35" s="285">
        <f t="shared" si="2"/>
        <v>0</v>
      </c>
      <c r="K35" s="285">
        <f t="shared" si="3"/>
        <v>0</v>
      </c>
      <c r="L35" s="285">
        <f t="shared" si="4"/>
        <v>0</v>
      </c>
      <c r="M35" s="288">
        <f t="shared" si="5"/>
        <v>0</v>
      </c>
    </row>
    <row r="36" spans="3:13" x14ac:dyDescent="0.2">
      <c r="C36" s="482"/>
      <c r="D36" s="295"/>
      <c r="E36" s="302"/>
      <c r="F36" s="303"/>
      <c r="G36" s="303"/>
      <c r="H36" s="303"/>
      <c r="I36" s="285">
        <f t="shared" si="1"/>
        <v>0</v>
      </c>
      <c r="J36" s="285">
        <f t="shared" si="2"/>
        <v>0</v>
      </c>
      <c r="K36" s="285">
        <f t="shared" si="3"/>
        <v>0</v>
      </c>
      <c r="L36" s="285">
        <f t="shared" si="4"/>
        <v>0</v>
      </c>
      <c r="M36" s="288">
        <f t="shared" si="5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lHqR0XEwLAMZYAAvkYr2W7O3AYePvpT8lL3kwXM+FZwr6Ep9bqENnLaAzBtjCTrusyDiLGgB6KSfKRT8r6fvPg==" saltValue="o7TBbCLeRNT/4K+BYPvvrQ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44" t="s">
        <v>433</v>
      </c>
      <c r="C2" s="444"/>
      <c r="D2" s="444"/>
      <c r="E2" s="444"/>
      <c r="F2" s="444"/>
      <c r="G2" s="444"/>
      <c r="H2" s="444"/>
      <c r="I2" s="444"/>
      <c r="J2" s="444"/>
      <c r="K2" s="444"/>
      <c r="L2" s="444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505" t="s">
        <v>412</v>
      </c>
      <c r="M8" s="506"/>
      <c r="N8" s="323"/>
      <c r="O8" s="505" t="s">
        <v>413</v>
      </c>
      <c r="P8" s="506"/>
      <c r="Q8" s="323"/>
      <c r="R8" s="507" t="s">
        <v>414</v>
      </c>
      <c r="S8" s="508"/>
      <c r="T8" s="509"/>
      <c r="U8" s="333"/>
      <c r="V8" s="336"/>
      <c r="W8" s="502" t="s">
        <v>104</v>
      </c>
      <c r="X8" s="503"/>
      <c r="Y8" s="503"/>
      <c r="Z8" s="504"/>
      <c r="AA8" s="500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5"/>
      <c r="B9" s="493" t="s">
        <v>79</v>
      </c>
      <c r="C9" s="496" t="s">
        <v>1</v>
      </c>
      <c r="D9" s="496" t="s">
        <v>101</v>
      </c>
      <c r="E9" s="496" t="s">
        <v>151</v>
      </c>
      <c r="F9" s="496" t="s">
        <v>51</v>
      </c>
      <c r="G9" s="496" t="s">
        <v>52</v>
      </c>
      <c r="H9" s="496" t="s">
        <v>171</v>
      </c>
      <c r="I9" s="496" t="s">
        <v>172</v>
      </c>
      <c r="J9" s="512" t="s">
        <v>415</v>
      </c>
      <c r="K9" s="510" t="s">
        <v>5</v>
      </c>
      <c r="L9" s="489" t="s">
        <v>441</v>
      </c>
      <c r="M9" s="490"/>
      <c r="N9" s="331" t="s">
        <v>424</v>
      </c>
      <c r="O9" s="489" t="s">
        <v>442</v>
      </c>
      <c r="P9" s="490"/>
      <c r="Q9" s="331" t="s">
        <v>423</v>
      </c>
      <c r="R9" s="489" t="s">
        <v>443</v>
      </c>
      <c r="S9" s="498"/>
      <c r="T9" s="490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1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5"/>
      <c r="B10" s="494"/>
      <c r="C10" s="497"/>
      <c r="D10" s="497"/>
      <c r="E10" s="497"/>
      <c r="F10" s="497"/>
      <c r="G10" s="497"/>
      <c r="H10" s="497"/>
      <c r="I10" s="497"/>
      <c r="J10" s="497"/>
      <c r="K10" s="511"/>
      <c r="L10" s="491"/>
      <c r="M10" s="492"/>
      <c r="N10" s="332"/>
      <c r="O10" s="491"/>
      <c r="P10" s="492"/>
      <c r="Q10" s="332"/>
      <c r="R10" s="491"/>
      <c r="S10" s="499"/>
      <c r="T10" s="492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1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86"/>
      <c r="M11" s="488"/>
      <c r="N11" s="346" t="str">
        <f t="shared" ref="N11:N28" si="0">IF(L11="","",$AC$12&amp;L11)</f>
        <v/>
      </c>
      <c r="O11" s="486"/>
      <c r="P11" s="488"/>
      <c r="Q11" s="346" t="str">
        <f t="shared" ref="Q11:Q27" si="1">IF(O11="","",$AC$15&amp;O11)</f>
        <v/>
      </c>
      <c r="R11" s="486"/>
      <c r="S11" s="487"/>
      <c r="T11" s="488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86"/>
      <c r="M12" s="488"/>
      <c r="N12" s="346" t="str">
        <f t="shared" si="0"/>
        <v/>
      </c>
      <c r="O12" s="486"/>
      <c r="P12" s="488"/>
      <c r="Q12" s="346" t="str">
        <f t="shared" si="1"/>
        <v/>
      </c>
      <c r="R12" s="486"/>
      <c r="S12" s="487"/>
      <c r="T12" s="488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86"/>
      <c r="M13" s="488"/>
      <c r="N13" s="346" t="str">
        <f t="shared" si="0"/>
        <v/>
      </c>
      <c r="O13" s="486"/>
      <c r="P13" s="488"/>
      <c r="Q13" s="346" t="str">
        <f t="shared" si="1"/>
        <v/>
      </c>
      <c r="R13" s="486"/>
      <c r="S13" s="487"/>
      <c r="T13" s="488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86"/>
      <c r="M14" s="488"/>
      <c r="N14" s="346" t="str">
        <f t="shared" si="0"/>
        <v/>
      </c>
      <c r="O14" s="486"/>
      <c r="P14" s="488"/>
      <c r="Q14" s="346" t="str">
        <f t="shared" si="1"/>
        <v/>
      </c>
      <c r="R14" s="486"/>
      <c r="S14" s="487"/>
      <c r="T14" s="488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86"/>
      <c r="M15" s="488"/>
      <c r="N15" s="346" t="str">
        <f t="shared" si="0"/>
        <v/>
      </c>
      <c r="O15" s="486"/>
      <c r="P15" s="488"/>
      <c r="Q15" s="346" t="str">
        <f t="shared" si="1"/>
        <v/>
      </c>
      <c r="R15" s="486"/>
      <c r="S15" s="487"/>
      <c r="T15" s="488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86"/>
      <c r="M16" s="488"/>
      <c r="N16" s="346" t="str">
        <f t="shared" si="0"/>
        <v/>
      </c>
      <c r="O16" s="486"/>
      <c r="P16" s="488"/>
      <c r="Q16" s="346" t="str">
        <f t="shared" si="1"/>
        <v/>
      </c>
      <c r="R16" s="486"/>
      <c r="S16" s="487"/>
      <c r="T16" s="488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86"/>
      <c r="M17" s="488"/>
      <c r="N17" s="346" t="str">
        <f t="shared" si="0"/>
        <v/>
      </c>
      <c r="O17" s="486"/>
      <c r="P17" s="488"/>
      <c r="Q17" s="346" t="str">
        <f t="shared" si="1"/>
        <v/>
      </c>
      <c r="R17" s="486"/>
      <c r="S17" s="487"/>
      <c r="T17" s="488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86"/>
      <c r="M18" s="488"/>
      <c r="N18" s="346" t="str">
        <f t="shared" si="0"/>
        <v/>
      </c>
      <c r="O18" s="486"/>
      <c r="P18" s="488"/>
      <c r="Q18" s="346" t="str">
        <f t="shared" si="1"/>
        <v/>
      </c>
      <c r="R18" s="486"/>
      <c r="S18" s="487"/>
      <c r="T18" s="488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86"/>
      <c r="M19" s="488"/>
      <c r="N19" s="346" t="str">
        <f t="shared" si="0"/>
        <v/>
      </c>
      <c r="O19" s="486"/>
      <c r="P19" s="488"/>
      <c r="Q19" s="346" t="str">
        <f t="shared" si="1"/>
        <v/>
      </c>
      <c r="R19" s="486"/>
      <c r="S19" s="487"/>
      <c r="T19" s="488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86"/>
      <c r="M20" s="488"/>
      <c r="N20" s="346" t="str">
        <f t="shared" si="0"/>
        <v/>
      </c>
      <c r="O20" s="486"/>
      <c r="P20" s="488"/>
      <c r="Q20" s="346" t="str">
        <f t="shared" si="1"/>
        <v/>
      </c>
      <c r="R20" s="486"/>
      <c r="S20" s="487"/>
      <c r="T20" s="488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86"/>
      <c r="M21" s="488"/>
      <c r="N21" s="346" t="str">
        <f t="shared" si="0"/>
        <v/>
      </c>
      <c r="O21" s="486"/>
      <c r="P21" s="488"/>
      <c r="Q21" s="346" t="str">
        <f t="shared" si="1"/>
        <v/>
      </c>
      <c r="R21" s="486"/>
      <c r="S21" s="487"/>
      <c r="T21" s="488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86"/>
      <c r="M22" s="488"/>
      <c r="N22" s="346" t="str">
        <f t="shared" si="0"/>
        <v/>
      </c>
      <c r="O22" s="486"/>
      <c r="P22" s="488"/>
      <c r="Q22" s="346" t="str">
        <f t="shared" si="1"/>
        <v/>
      </c>
      <c r="R22" s="486"/>
      <c r="S22" s="487"/>
      <c r="T22" s="488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86"/>
      <c r="M23" s="488"/>
      <c r="N23" s="346" t="str">
        <f t="shared" si="0"/>
        <v/>
      </c>
      <c r="O23" s="486"/>
      <c r="P23" s="488"/>
      <c r="Q23" s="346" t="str">
        <f t="shared" si="1"/>
        <v/>
      </c>
      <c r="R23" s="486"/>
      <c r="S23" s="487"/>
      <c r="T23" s="488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86"/>
      <c r="M24" s="488"/>
      <c r="N24" s="346" t="str">
        <f t="shared" si="0"/>
        <v/>
      </c>
      <c r="O24" s="486"/>
      <c r="P24" s="488"/>
      <c r="Q24" s="346" t="str">
        <f t="shared" si="1"/>
        <v/>
      </c>
      <c r="R24" s="486"/>
      <c r="S24" s="487"/>
      <c r="T24" s="488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86"/>
      <c r="M25" s="488"/>
      <c r="N25" s="346" t="str">
        <f t="shared" si="0"/>
        <v/>
      </c>
      <c r="O25" s="486"/>
      <c r="P25" s="488"/>
      <c r="Q25" s="346" t="str">
        <f t="shared" si="1"/>
        <v/>
      </c>
      <c r="R25" s="486"/>
      <c r="S25" s="487"/>
      <c r="T25" s="488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86"/>
      <c r="M26" s="488"/>
      <c r="N26" s="346" t="str">
        <f t="shared" si="0"/>
        <v/>
      </c>
      <c r="O26" s="486"/>
      <c r="P26" s="488"/>
      <c r="Q26" s="346" t="str">
        <f t="shared" si="1"/>
        <v/>
      </c>
      <c r="R26" s="486"/>
      <c r="S26" s="487"/>
      <c r="T26" s="488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86"/>
      <c r="M27" s="488"/>
      <c r="N27" s="346" t="str">
        <f t="shared" si="0"/>
        <v/>
      </c>
      <c r="O27" s="486"/>
      <c r="P27" s="488"/>
      <c r="Q27" s="346" t="str">
        <f t="shared" si="1"/>
        <v/>
      </c>
      <c r="R27" s="486"/>
      <c r="S27" s="487"/>
      <c r="T27" s="488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86"/>
      <c r="M28" s="488"/>
      <c r="N28" s="346" t="str">
        <f t="shared" si="0"/>
        <v/>
      </c>
      <c r="O28" s="486"/>
      <c r="P28" s="488"/>
      <c r="Q28" s="346" t="str">
        <f t="shared" ref="Q28:Q38" si="13">IF(O28="","",$AC$15&amp;O28)</f>
        <v/>
      </c>
      <c r="R28" s="486"/>
      <c r="S28" s="487"/>
      <c r="T28" s="488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86"/>
      <c r="M29" s="488"/>
      <c r="N29" s="346" t="str">
        <f t="shared" ref="N29:N40" si="14">IF(L29="","",$AC$12&amp;L29)</f>
        <v/>
      </c>
      <c r="O29" s="486"/>
      <c r="P29" s="488"/>
      <c r="Q29" s="346" t="str">
        <f t="shared" si="13"/>
        <v/>
      </c>
      <c r="R29" s="486"/>
      <c r="S29" s="487"/>
      <c r="T29" s="488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86"/>
      <c r="M30" s="488"/>
      <c r="N30" s="346" t="str">
        <f t="shared" si="14"/>
        <v/>
      </c>
      <c r="O30" s="486"/>
      <c r="P30" s="488"/>
      <c r="Q30" s="346" t="str">
        <f t="shared" si="13"/>
        <v/>
      </c>
      <c r="R30" s="486"/>
      <c r="S30" s="487"/>
      <c r="T30" s="488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86"/>
      <c r="M31" s="488"/>
      <c r="N31" s="346" t="str">
        <f t="shared" si="14"/>
        <v/>
      </c>
      <c r="O31" s="486"/>
      <c r="P31" s="488"/>
      <c r="Q31" s="346" t="str">
        <f t="shared" si="13"/>
        <v/>
      </c>
      <c r="R31" s="486"/>
      <c r="S31" s="487"/>
      <c r="T31" s="488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86"/>
      <c r="M32" s="488"/>
      <c r="N32" s="346" t="str">
        <f t="shared" si="14"/>
        <v/>
      </c>
      <c r="O32" s="486"/>
      <c r="P32" s="488"/>
      <c r="Q32" s="346" t="str">
        <f t="shared" si="13"/>
        <v/>
      </c>
      <c r="R32" s="486"/>
      <c r="S32" s="487"/>
      <c r="T32" s="488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86"/>
      <c r="M33" s="488"/>
      <c r="N33" s="346" t="str">
        <f t="shared" si="14"/>
        <v/>
      </c>
      <c r="O33" s="486"/>
      <c r="P33" s="488"/>
      <c r="Q33" s="346" t="str">
        <f t="shared" si="13"/>
        <v/>
      </c>
      <c r="R33" s="486"/>
      <c r="S33" s="487"/>
      <c r="T33" s="488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86"/>
      <c r="M34" s="488"/>
      <c r="N34" s="346" t="str">
        <f t="shared" si="14"/>
        <v/>
      </c>
      <c r="O34" s="486"/>
      <c r="P34" s="488"/>
      <c r="Q34" s="346" t="str">
        <f t="shared" si="13"/>
        <v/>
      </c>
      <c r="R34" s="486"/>
      <c r="S34" s="487"/>
      <c r="T34" s="488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86"/>
      <c r="M35" s="488"/>
      <c r="N35" s="346" t="str">
        <f t="shared" si="14"/>
        <v/>
      </c>
      <c r="O35" s="486"/>
      <c r="P35" s="488"/>
      <c r="Q35" s="346" t="str">
        <f t="shared" si="13"/>
        <v/>
      </c>
      <c r="R35" s="486"/>
      <c r="S35" s="487"/>
      <c r="T35" s="488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86"/>
      <c r="M36" s="488"/>
      <c r="N36" s="346" t="str">
        <f t="shared" si="14"/>
        <v/>
      </c>
      <c r="O36" s="486"/>
      <c r="P36" s="488"/>
      <c r="Q36" s="346" t="str">
        <f t="shared" si="13"/>
        <v/>
      </c>
      <c r="R36" s="486"/>
      <c r="S36" s="487"/>
      <c r="T36" s="488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86"/>
      <c r="M37" s="488"/>
      <c r="N37" s="346" t="str">
        <f t="shared" si="14"/>
        <v/>
      </c>
      <c r="O37" s="486"/>
      <c r="P37" s="488"/>
      <c r="Q37" s="346" t="str">
        <f t="shared" si="13"/>
        <v/>
      </c>
      <c r="R37" s="486"/>
      <c r="S37" s="487"/>
      <c r="T37" s="488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86"/>
      <c r="M38" s="488"/>
      <c r="N38" s="346" t="str">
        <f t="shared" si="14"/>
        <v/>
      </c>
      <c r="O38" s="486"/>
      <c r="P38" s="488"/>
      <c r="Q38" s="346" t="str">
        <f t="shared" si="13"/>
        <v/>
      </c>
      <c r="R38" s="486"/>
      <c r="S38" s="487"/>
      <c r="T38" s="488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86"/>
      <c r="M39" s="488"/>
      <c r="N39" s="346" t="str">
        <f t="shared" si="14"/>
        <v/>
      </c>
      <c r="O39" s="486"/>
      <c r="P39" s="488"/>
      <c r="Q39" s="346" t="str">
        <f t="shared" ref="Q39:Q50" si="16">IF(O39="","",$AC$15&amp;O39)</f>
        <v/>
      </c>
      <c r="R39" s="486"/>
      <c r="S39" s="487"/>
      <c r="T39" s="488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86"/>
      <c r="M40" s="488"/>
      <c r="N40" s="346" t="str">
        <f t="shared" si="14"/>
        <v/>
      </c>
      <c r="O40" s="486"/>
      <c r="P40" s="488"/>
      <c r="Q40" s="346" t="str">
        <f t="shared" si="16"/>
        <v/>
      </c>
      <c r="R40" s="486"/>
      <c r="S40" s="487"/>
      <c r="T40" s="488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86"/>
      <c r="M41" s="488"/>
      <c r="N41" s="346" t="str">
        <f t="shared" ref="N41:N50" si="17">IF(L41="","",$AC$12&amp;L41)</f>
        <v/>
      </c>
      <c r="O41" s="486"/>
      <c r="P41" s="488"/>
      <c r="Q41" s="346" t="str">
        <f t="shared" si="16"/>
        <v/>
      </c>
      <c r="R41" s="486"/>
      <c r="S41" s="487"/>
      <c r="T41" s="488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86"/>
      <c r="M42" s="488"/>
      <c r="N42" s="346" t="str">
        <f t="shared" si="17"/>
        <v/>
      </c>
      <c r="O42" s="486"/>
      <c r="P42" s="488"/>
      <c r="Q42" s="346" t="str">
        <f t="shared" si="16"/>
        <v/>
      </c>
      <c r="R42" s="486"/>
      <c r="S42" s="487"/>
      <c r="T42" s="488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86"/>
      <c r="M43" s="488"/>
      <c r="N43" s="346" t="str">
        <f t="shared" si="17"/>
        <v/>
      </c>
      <c r="O43" s="486"/>
      <c r="P43" s="488"/>
      <c r="Q43" s="346" t="str">
        <f t="shared" si="16"/>
        <v/>
      </c>
      <c r="R43" s="486"/>
      <c r="S43" s="487"/>
      <c r="T43" s="488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86"/>
      <c r="M44" s="488"/>
      <c r="N44" s="346" t="str">
        <f t="shared" si="17"/>
        <v/>
      </c>
      <c r="O44" s="486"/>
      <c r="P44" s="488"/>
      <c r="Q44" s="346" t="str">
        <f t="shared" si="16"/>
        <v/>
      </c>
      <c r="R44" s="486"/>
      <c r="S44" s="487"/>
      <c r="T44" s="488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86"/>
      <c r="M45" s="488"/>
      <c r="N45" s="346" t="str">
        <f t="shared" si="17"/>
        <v/>
      </c>
      <c r="O45" s="486"/>
      <c r="P45" s="488"/>
      <c r="Q45" s="346" t="str">
        <f t="shared" si="16"/>
        <v/>
      </c>
      <c r="R45" s="486"/>
      <c r="S45" s="487"/>
      <c r="T45" s="488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86"/>
      <c r="M46" s="488"/>
      <c r="N46" s="346" t="str">
        <f t="shared" si="17"/>
        <v/>
      </c>
      <c r="O46" s="486"/>
      <c r="P46" s="488"/>
      <c r="Q46" s="346" t="str">
        <f t="shared" si="16"/>
        <v/>
      </c>
      <c r="R46" s="486"/>
      <c r="S46" s="487"/>
      <c r="T46" s="488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86"/>
      <c r="M47" s="488"/>
      <c r="N47" s="346" t="str">
        <f t="shared" si="17"/>
        <v/>
      </c>
      <c r="O47" s="486"/>
      <c r="P47" s="488"/>
      <c r="Q47" s="346" t="str">
        <f t="shared" si="16"/>
        <v/>
      </c>
      <c r="R47" s="486"/>
      <c r="S47" s="487"/>
      <c r="T47" s="488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86"/>
      <c r="M48" s="488"/>
      <c r="N48" s="346" t="str">
        <f t="shared" si="17"/>
        <v/>
      </c>
      <c r="O48" s="486"/>
      <c r="P48" s="488"/>
      <c r="Q48" s="346" t="str">
        <f t="shared" si="16"/>
        <v/>
      </c>
      <c r="R48" s="486"/>
      <c r="S48" s="487"/>
      <c r="T48" s="488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86"/>
      <c r="M49" s="488"/>
      <c r="N49" s="346" t="str">
        <f t="shared" si="17"/>
        <v/>
      </c>
      <c r="O49" s="486"/>
      <c r="P49" s="488"/>
      <c r="Q49" s="346" t="str">
        <f t="shared" si="16"/>
        <v/>
      </c>
      <c r="R49" s="486"/>
      <c r="S49" s="487"/>
      <c r="T49" s="488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86"/>
      <c r="M50" s="488"/>
      <c r="N50" s="346" t="str">
        <f t="shared" si="17"/>
        <v/>
      </c>
      <c r="O50" s="486"/>
      <c r="P50" s="488"/>
      <c r="Q50" s="346" t="str">
        <f t="shared" si="16"/>
        <v/>
      </c>
      <c r="R50" s="486"/>
      <c r="S50" s="487"/>
      <c r="T50" s="488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83"/>
      <c r="M51" s="484"/>
      <c r="N51" s="346" t="str">
        <f>IF(AND(L51&lt;&gt;"",M51&lt;&gt;""),CONCATENATE($AC$12,L51,M51),"")</f>
        <v/>
      </c>
      <c r="O51" s="483"/>
      <c r="P51" s="484"/>
      <c r="Q51" s="346" t="str">
        <f>IF(AND(O51&lt;&gt;"",P51&lt;&gt;""),CONCATENATE($AC$15,O51,P51),"")</f>
        <v/>
      </c>
      <c r="R51" s="483"/>
      <c r="S51" s="485"/>
      <c r="T51" s="484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67TibW1SLke+dy1NUPozYtAjnFIvMWM1utFmirHZy4CiyAJj7osEuuiK3vFHWhNnS4oFhIs/0nDsLL6pYja5CQ==" saltValue="ZDNOLArzn+UKPLVUsH4f0g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44" t="s">
        <v>433</v>
      </c>
      <c r="C2" s="444"/>
      <c r="D2" s="444"/>
      <c r="E2" s="444"/>
      <c r="F2" s="444"/>
      <c r="G2" s="444"/>
      <c r="H2" s="444"/>
      <c r="I2" s="444"/>
      <c r="J2" s="444"/>
      <c r="K2" s="444"/>
      <c r="L2" s="444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505" t="s">
        <v>412</v>
      </c>
      <c r="M8" s="506"/>
      <c r="N8" s="323"/>
      <c r="O8" s="505" t="s">
        <v>413</v>
      </c>
      <c r="P8" s="506"/>
      <c r="Q8" s="323"/>
      <c r="R8" s="507" t="s">
        <v>414</v>
      </c>
      <c r="S8" s="508"/>
      <c r="T8" s="509"/>
      <c r="U8" s="333"/>
      <c r="V8" s="336"/>
      <c r="W8" s="502" t="s">
        <v>104</v>
      </c>
      <c r="X8" s="503"/>
      <c r="Y8" s="503"/>
      <c r="Z8" s="504"/>
      <c r="AA8" s="513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5"/>
      <c r="B9" s="493" t="s">
        <v>79</v>
      </c>
      <c r="C9" s="496" t="s">
        <v>1</v>
      </c>
      <c r="D9" s="496" t="s">
        <v>101</v>
      </c>
      <c r="E9" s="496" t="s">
        <v>151</v>
      </c>
      <c r="F9" s="496" t="s">
        <v>51</v>
      </c>
      <c r="G9" s="496" t="s">
        <v>52</v>
      </c>
      <c r="H9" s="496" t="s">
        <v>171</v>
      </c>
      <c r="I9" s="496" t="s">
        <v>172</v>
      </c>
      <c r="J9" s="512" t="s">
        <v>415</v>
      </c>
      <c r="K9" s="510" t="s">
        <v>5</v>
      </c>
      <c r="L9" s="489" t="s">
        <v>441</v>
      </c>
      <c r="M9" s="490"/>
      <c r="N9" s="331" t="s">
        <v>424</v>
      </c>
      <c r="O9" s="489" t="s">
        <v>442</v>
      </c>
      <c r="P9" s="490"/>
      <c r="Q9" s="331" t="s">
        <v>423</v>
      </c>
      <c r="R9" s="489" t="s">
        <v>443</v>
      </c>
      <c r="S9" s="498"/>
      <c r="T9" s="490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14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5"/>
      <c r="B10" s="494"/>
      <c r="C10" s="497"/>
      <c r="D10" s="497"/>
      <c r="E10" s="497"/>
      <c r="F10" s="497"/>
      <c r="G10" s="497"/>
      <c r="H10" s="497"/>
      <c r="I10" s="497"/>
      <c r="J10" s="497"/>
      <c r="K10" s="511"/>
      <c r="L10" s="491"/>
      <c r="M10" s="492"/>
      <c r="N10" s="332"/>
      <c r="O10" s="491"/>
      <c r="P10" s="492"/>
      <c r="Q10" s="332"/>
      <c r="R10" s="491"/>
      <c r="S10" s="499"/>
      <c r="T10" s="492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15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86"/>
      <c r="M11" s="488"/>
      <c r="N11" s="346" t="str">
        <f t="shared" ref="N11:N50" si="0">IF(L11="","",$AC$12&amp;L11)</f>
        <v/>
      </c>
      <c r="O11" s="486"/>
      <c r="P11" s="488"/>
      <c r="Q11" s="346" t="str">
        <f t="shared" ref="Q11:Q50" si="1">IF(O11="","",$AC$15&amp;O11)</f>
        <v/>
      </c>
      <c r="R11" s="486"/>
      <c r="S11" s="487"/>
      <c r="T11" s="488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86"/>
      <c r="M12" s="488"/>
      <c r="N12" s="346" t="str">
        <f t="shared" si="0"/>
        <v/>
      </c>
      <c r="O12" s="486"/>
      <c r="P12" s="488"/>
      <c r="Q12" s="346" t="str">
        <f t="shared" si="1"/>
        <v/>
      </c>
      <c r="R12" s="486"/>
      <c r="S12" s="487"/>
      <c r="T12" s="488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86"/>
      <c r="M13" s="488"/>
      <c r="N13" s="346" t="str">
        <f t="shared" si="0"/>
        <v/>
      </c>
      <c r="O13" s="486"/>
      <c r="P13" s="488"/>
      <c r="Q13" s="346" t="str">
        <f t="shared" si="1"/>
        <v/>
      </c>
      <c r="R13" s="486"/>
      <c r="S13" s="487"/>
      <c r="T13" s="488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86"/>
      <c r="M14" s="488"/>
      <c r="N14" s="346" t="str">
        <f t="shared" si="0"/>
        <v/>
      </c>
      <c r="O14" s="486"/>
      <c r="P14" s="488"/>
      <c r="Q14" s="346" t="str">
        <f t="shared" si="1"/>
        <v/>
      </c>
      <c r="R14" s="486"/>
      <c r="S14" s="487"/>
      <c r="T14" s="488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86"/>
      <c r="M15" s="488"/>
      <c r="N15" s="346" t="str">
        <f t="shared" si="0"/>
        <v/>
      </c>
      <c r="O15" s="486"/>
      <c r="P15" s="488"/>
      <c r="Q15" s="346" t="str">
        <f t="shared" si="1"/>
        <v/>
      </c>
      <c r="R15" s="486"/>
      <c r="S15" s="487"/>
      <c r="T15" s="488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86"/>
      <c r="M16" s="488"/>
      <c r="N16" s="346" t="str">
        <f t="shared" si="0"/>
        <v/>
      </c>
      <c r="O16" s="486"/>
      <c r="P16" s="488"/>
      <c r="Q16" s="346" t="str">
        <f t="shared" si="1"/>
        <v/>
      </c>
      <c r="R16" s="486"/>
      <c r="S16" s="487"/>
      <c r="T16" s="488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86"/>
      <c r="M17" s="488"/>
      <c r="N17" s="346" t="str">
        <f t="shared" si="0"/>
        <v/>
      </c>
      <c r="O17" s="486"/>
      <c r="P17" s="488"/>
      <c r="Q17" s="346" t="str">
        <f t="shared" si="1"/>
        <v/>
      </c>
      <c r="R17" s="486"/>
      <c r="S17" s="487"/>
      <c r="T17" s="488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86"/>
      <c r="M18" s="488"/>
      <c r="N18" s="346" t="str">
        <f t="shared" si="0"/>
        <v/>
      </c>
      <c r="O18" s="486"/>
      <c r="P18" s="488"/>
      <c r="Q18" s="346" t="str">
        <f t="shared" si="1"/>
        <v/>
      </c>
      <c r="R18" s="486"/>
      <c r="S18" s="487"/>
      <c r="T18" s="488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86"/>
      <c r="M19" s="488"/>
      <c r="N19" s="346" t="str">
        <f t="shared" si="0"/>
        <v/>
      </c>
      <c r="O19" s="486"/>
      <c r="P19" s="488"/>
      <c r="Q19" s="346" t="str">
        <f t="shared" si="1"/>
        <v/>
      </c>
      <c r="R19" s="486"/>
      <c r="S19" s="487"/>
      <c r="T19" s="488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86"/>
      <c r="M20" s="488"/>
      <c r="N20" s="346" t="str">
        <f t="shared" si="0"/>
        <v/>
      </c>
      <c r="O20" s="486"/>
      <c r="P20" s="488"/>
      <c r="Q20" s="346" t="str">
        <f t="shared" si="1"/>
        <v/>
      </c>
      <c r="R20" s="486"/>
      <c r="S20" s="487"/>
      <c r="T20" s="488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86"/>
      <c r="M21" s="488"/>
      <c r="N21" s="346" t="str">
        <f t="shared" si="0"/>
        <v/>
      </c>
      <c r="O21" s="486"/>
      <c r="P21" s="488"/>
      <c r="Q21" s="346" t="str">
        <f t="shared" si="1"/>
        <v/>
      </c>
      <c r="R21" s="486"/>
      <c r="S21" s="487"/>
      <c r="T21" s="488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86"/>
      <c r="M22" s="488"/>
      <c r="N22" s="346" t="str">
        <f t="shared" si="0"/>
        <v/>
      </c>
      <c r="O22" s="486"/>
      <c r="P22" s="488"/>
      <c r="Q22" s="346" t="str">
        <f t="shared" si="1"/>
        <v/>
      </c>
      <c r="R22" s="486"/>
      <c r="S22" s="487"/>
      <c r="T22" s="488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86"/>
      <c r="M23" s="488"/>
      <c r="N23" s="346" t="str">
        <f t="shared" si="0"/>
        <v/>
      </c>
      <c r="O23" s="486"/>
      <c r="P23" s="488"/>
      <c r="Q23" s="346" t="str">
        <f t="shared" si="1"/>
        <v/>
      </c>
      <c r="R23" s="486"/>
      <c r="S23" s="487"/>
      <c r="T23" s="488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86"/>
      <c r="M24" s="488"/>
      <c r="N24" s="346" t="str">
        <f t="shared" si="0"/>
        <v/>
      </c>
      <c r="O24" s="486"/>
      <c r="P24" s="488"/>
      <c r="Q24" s="346" t="str">
        <f t="shared" si="1"/>
        <v/>
      </c>
      <c r="R24" s="486"/>
      <c r="S24" s="487"/>
      <c r="T24" s="488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86"/>
      <c r="M25" s="488"/>
      <c r="N25" s="346" t="str">
        <f t="shared" si="0"/>
        <v/>
      </c>
      <c r="O25" s="486"/>
      <c r="P25" s="488"/>
      <c r="Q25" s="346" t="str">
        <f t="shared" si="1"/>
        <v/>
      </c>
      <c r="R25" s="486"/>
      <c r="S25" s="487"/>
      <c r="T25" s="488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86"/>
      <c r="M26" s="488"/>
      <c r="N26" s="346" t="str">
        <f t="shared" si="0"/>
        <v/>
      </c>
      <c r="O26" s="486"/>
      <c r="P26" s="488"/>
      <c r="Q26" s="346" t="str">
        <f t="shared" si="1"/>
        <v/>
      </c>
      <c r="R26" s="486"/>
      <c r="S26" s="487"/>
      <c r="T26" s="488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86"/>
      <c r="M27" s="488"/>
      <c r="N27" s="346" t="str">
        <f t="shared" si="0"/>
        <v/>
      </c>
      <c r="O27" s="486"/>
      <c r="P27" s="488"/>
      <c r="Q27" s="346" t="str">
        <f t="shared" si="1"/>
        <v/>
      </c>
      <c r="R27" s="486"/>
      <c r="S27" s="487"/>
      <c r="T27" s="488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86"/>
      <c r="M28" s="488"/>
      <c r="N28" s="346" t="str">
        <f t="shared" si="0"/>
        <v/>
      </c>
      <c r="O28" s="486"/>
      <c r="P28" s="488"/>
      <c r="Q28" s="346" t="str">
        <f t="shared" si="1"/>
        <v/>
      </c>
      <c r="R28" s="486"/>
      <c r="S28" s="487"/>
      <c r="T28" s="488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86"/>
      <c r="M29" s="488"/>
      <c r="N29" s="346" t="str">
        <f t="shared" si="0"/>
        <v/>
      </c>
      <c r="O29" s="486"/>
      <c r="P29" s="488"/>
      <c r="Q29" s="346" t="str">
        <f t="shared" si="1"/>
        <v/>
      </c>
      <c r="R29" s="486"/>
      <c r="S29" s="487"/>
      <c r="T29" s="488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86"/>
      <c r="M30" s="488"/>
      <c r="N30" s="346" t="str">
        <f t="shared" si="0"/>
        <v/>
      </c>
      <c r="O30" s="486"/>
      <c r="P30" s="488"/>
      <c r="Q30" s="346" t="str">
        <f t="shared" si="1"/>
        <v/>
      </c>
      <c r="R30" s="486"/>
      <c r="S30" s="487"/>
      <c r="T30" s="488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86"/>
      <c r="M31" s="488"/>
      <c r="N31" s="346" t="str">
        <f t="shared" si="0"/>
        <v/>
      </c>
      <c r="O31" s="486"/>
      <c r="P31" s="488"/>
      <c r="Q31" s="346" t="str">
        <f t="shared" si="1"/>
        <v/>
      </c>
      <c r="R31" s="486"/>
      <c r="S31" s="487"/>
      <c r="T31" s="488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86"/>
      <c r="M32" s="488"/>
      <c r="N32" s="346" t="str">
        <f t="shared" si="0"/>
        <v/>
      </c>
      <c r="O32" s="486"/>
      <c r="P32" s="488"/>
      <c r="Q32" s="346" t="str">
        <f t="shared" si="1"/>
        <v/>
      </c>
      <c r="R32" s="486"/>
      <c r="S32" s="487"/>
      <c r="T32" s="488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86"/>
      <c r="M33" s="488"/>
      <c r="N33" s="346" t="str">
        <f t="shared" si="0"/>
        <v/>
      </c>
      <c r="O33" s="486"/>
      <c r="P33" s="488"/>
      <c r="Q33" s="346" t="str">
        <f t="shared" si="1"/>
        <v/>
      </c>
      <c r="R33" s="486"/>
      <c r="S33" s="487"/>
      <c r="T33" s="488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86"/>
      <c r="M34" s="488"/>
      <c r="N34" s="346" t="str">
        <f t="shared" si="0"/>
        <v/>
      </c>
      <c r="O34" s="486"/>
      <c r="P34" s="488"/>
      <c r="Q34" s="346" t="str">
        <f t="shared" si="1"/>
        <v/>
      </c>
      <c r="R34" s="486"/>
      <c r="S34" s="487"/>
      <c r="T34" s="488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86"/>
      <c r="M35" s="488"/>
      <c r="N35" s="346" t="str">
        <f t="shared" si="0"/>
        <v/>
      </c>
      <c r="O35" s="486"/>
      <c r="P35" s="488"/>
      <c r="Q35" s="346" t="str">
        <f t="shared" si="1"/>
        <v/>
      </c>
      <c r="R35" s="486"/>
      <c r="S35" s="487"/>
      <c r="T35" s="488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86"/>
      <c r="M36" s="488"/>
      <c r="N36" s="346" t="str">
        <f t="shared" si="0"/>
        <v/>
      </c>
      <c r="O36" s="486"/>
      <c r="P36" s="488"/>
      <c r="Q36" s="346" t="str">
        <f t="shared" si="1"/>
        <v/>
      </c>
      <c r="R36" s="486"/>
      <c r="S36" s="487"/>
      <c r="T36" s="488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86"/>
      <c r="M37" s="488"/>
      <c r="N37" s="346" t="str">
        <f t="shared" si="0"/>
        <v/>
      </c>
      <c r="O37" s="486"/>
      <c r="P37" s="488"/>
      <c r="Q37" s="346" t="str">
        <f t="shared" si="1"/>
        <v/>
      </c>
      <c r="R37" s="486"/>
      <c r="S37" s="487"/>
      <c r="T37" s="488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86"/>
      <c r="M38" s="488"/>
      <c r="N38" s="346" t="str">
        <f t="shared" si="0"/>
        <v/>
      </c>
      <c r="O38" s="486"/>
      <c r="P38" s="488"/>
      <c r="Q38" s="346" t="str">
        <f t="shared" si="1"/>
        <v/>
      </c>
      <c r="R38" s="486"/>
      <c r="S38" s="487"/>
      <c r="T38" s="488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86"/>
      <c r="M39" s="488"/>
      <c r="N39" s="346" t="str">
        <f t="shared" si="0"/>
        <v/>
      </c>
      <c r="O39" s="486"/>
      <c r="P39" s="488"/>
      <c r="Q39" s="346" t="str">
        <f t="shared" si="1"/>
        <v/>
      </c>
      <c r="R39" s="486"/>
      <c r="S39" s="487"/>
      <c r="T39" s="488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86"/>
      <c r="M40" s="488"/>
      <c r="N40" s="346" t="str">
        <f t="shared" si="0"/>
        <v/>
      </c>
      <c r="O40" s="486"/>
      <c r="P40" s="488"/>
      <c r="Q40" s="346" t="str">
        <f t="shared" si="1"/>
        <v/>
      </c>
      <c r="R40" s="486"/>
      <c r="S40" s="487"/>
      <c r="T40" s="488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86"/>
      <c r="M41" s="488"/>
      <c r="N41" s="346" t="str">
        <f t="shared" si="0"/>
        <v/>
      </c>
      <c r="O41" s="486"/>
      <c r="P41" s="488"/>
      <c r="Q41" s="346" t="str">
        <f t="shared" si="1"/>
        <v/>
      </c>
      <c r="R41" s="486"/>
      <c r="S41" s="487"/>
      <c r="T41" s="488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86"/>
      <c r="M42" s="488"/>
      <c r="N42" s="346" t="str">
        <f t="shared" si="0"/>
        <v/>
      </c>
      <c r="O42" s="486"/>
      <c r="P42" s="488"/>
      <c r="Q42" s="346" t="str">
        <f t="shared" si="1"/>
        <v/>
      </c>
      <c r="R42" s="486"/>
      <c r="S42" s="487"/>
      <c r="T42" s="488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86"/>
      <c r="M43" s="488"/>
      <c r="N43" s="346" t="str">
        <f t="shared" si="0"/>
        <v/>
      </c>
      <c r="O43" s="486"/>
      <c r="P43" s="488"/>
      <c r="Q43" s="346" t="str">
        <f t="shared" si="1"/>
        <v/>
      </c>
      <c r="R43" s="486"/>
      <c r="S43" s="487"/>
      <c r="T43" s="488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86"/>
      <c r="M44" s="488"/>
      <c r="N44" s="346" t="str">
        <f t="shared" si="0"/>
        <v/>
      </c>
      <c r="O44" s="486"/>
      <c r="P44" s="488"/>
      <c r="Q44" s="346" t="str">
        <f t="shared" si="1"/>
        <v/>
      </c>
      <c r="R44" s="486"/>
      <c r="S44" s="487"/>
      <c r="T44" s="488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86"/>
      <c r="M45" s="488"/>
      <c r="N45" s="346" t="str">
        <f t="shared" si="0"/>
        <v/>
      </c>
      <c r="O45" s="486"/>
      <c r="P45" s="488"/>
      <c r="Q45" s="346" t="str">
        <f t="shared" si="1"/>
        <v/>
      </c>
      <c r="R45" s="486"/>
      <c r="S45" s="487"/>
      <c r="T45" s="488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86"/>
      <c r="M46" s="488"/>
      <c r="N46" s="346" t="str">
        <f t="shared" si="0"/>
        <v/>
      </c>
      <c r="O46" s="486"/>
      <c r="P46" s="488"/>
      <c r="Q46" s="346" t="str">
        <f t="shared" si="1"/>
        <v/>
      </c>
      <c r="R46" s="486"/>
      <c r="S46" s="487"/>
      <c r="T46" s="488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86"/>
      <c r="M47" s="488"/>
      <c r="N47" s="346" t="str">
        <f t="shared" si="0"/>
        <v/>
      </c>
      <c r="O47" s="486"/>
      <c r="P47" s="488"/>
      <c r="Q47" s="346" t="str">
        <f t="shared" si="1"/>
        <v/>
      </c>
      <c r="R47" s="486"/>
      <c r="S47" s="487"/>
      <c r="T47" s="488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86"/>
      <c r="M48" s="488"/>
      <c r="N48" s="346" t="str">
        <f t="shared" si="0"/>
        <v/>
      </c>
      <c r="O48" s="486"/>
      <c r="P48" s="488"/>
      <c r="Q48" s="346" t="str">
        <f t="shared" si="1"/>
        <v/>
      </c>
      <c r="R48" s="486"/>
      <c r="S48" s="487"/>
      <c r="T48" s="488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86"/>
      <c r="M49" s="488"/>
      <c r="N49" s="346" t="str">
        <f t="shared" si="0"/>
        <v/>
      </c>
      <c r="O49" s="486"/>
      <c r="P49" s="488"/>
      <c r="Q49" s="346" t="str">
        <f t="shared" si="1"/>
        <v/>
      </c>
      <c r="R49" s="486"/>
      <c r="S49" s="487"/>
      <c r="T49" s="488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86"/>
      <c r="M50" s="488"/>
      <c r="N50" s="346" t="str">
        <f t="shared" si="0"/>
        <v/>
      </c>
      <c r="O50" s="486"/>
      <c r="P50" s="488"/>
      <c r="Q50" s="346" t="str">
        <f t="shared" si="1"/>
        <v/>
      </c>
      <c r="R50" s="486"/>
      <c r="S50" s="487"/>
      <c r="T50" s="488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83"/>
      <c r="M51" s="484"/>
      <c r="N51" s="346" t="str">
        <f>IF(AND(L51&lt;&gt;"",M51&lt;&gt;""),CONCATENATE($AC$12,L51,M51),"")</f>
        <v/>
      </c>
      <c r="O51" s="483"/>
      <c r="P51" s="484"/>
      <c r="Q51" s="346" t="str">
        <f>IF(AND(O51&lt;&gt;"",P51&lt;&gt;""),CONCATENATE($AC$15,O51,P51),"")</f>
        <v/>
      </c>
      <c r="R51" s="483"/>
      <c r="S51" s="485"/>
      <c r="T51" s="484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N80QQ/vU/sL7gjbHxr9ljIVsT5vZGE1sze+h162FFp1bFhmsx4oVYTuGXXmzKEz6haLYOXM2nDnv9CycnjI0hA==" saltValue="WpV9Tf6ycvHfqpWGXuag0g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22" zoomScale="85" zoomScaleNormal="85" workbookViewId="0">
      <selection activeCell="X26" sqref="X26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44" t="s">
        <v>38</v>
      </c>
      <c r="D2" s="444"/>
      <c r="E2" s="444"/>
      <c r="F2" s="444"/>
      <c r="G2" s="444"/>
      <c r="H2" s="444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8" t="s">
        <v>39</v>
      </c>
      <c r="D3" s="518"/>
      <c r="E3" s="518"/>
      <c r="F3" s="518"/>
      <c r="G3" s="518"/>
      <c r="H3" s="518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2161.77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44" t="s">
        <v>90</v>
      </c>
      <c r="E7" s="444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3"/>
      <c r="E8" s="523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24"/>
      <c r="E9" s="524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24"/>
      <c r="E10" s="524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24"/>
      <c r="E11" s="524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25"/>
      <c r="E12" s="525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24"/>
      <c r="E13" s="524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24"/>
      <c r="E14" s="524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24"/>
      <c r="E15" s="524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25"/>
      <c r="E16" s="525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30"/>
      <c r="E17" s="530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2161.77</v>
      </c>
      <c r="M17" s="103">
        <f ca="1">L17*Acomp_PosProducao_Perc</f>
        <v>43.235399999999998</v>
      </c>
      <c r="N17" s="103">
        <f ca="1">MIN(M17,Acomp_PosProducao_Max)</f>
        <v>43.235399999999998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25"/>
      <c r="E18" s="525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8"/>
      <c r="E19" s="529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25"/>
      <c r="E20" s="525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8"/>
      <c r="E21" s="529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25"/>
      <c r="E22" s="525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8"/>
      <c r="E23" s="529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7" t="s">
        <v>432</v>
      </c>
      <c r="D24" s="527"/>
      <c r="E24" s="527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57" t="s">
        <v>409</v>
      </c>
      <c r="D26" s="519"/>
      <c r="E26" s="458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20" t="s">
        <v>212</v>
      </c>
      <c r="D27" s="521"/>
      <c r="E27" s="522"/>
      <c r="F27" s="351"/>
      <c r="G27" s="351">
        <v>45</v>
      </c>
      <c r="H27" s="227" t="s">
        <v>500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20" t="s">
        <v>212</v>
      </c>
      <c r="D28" s="521"/>
      <c r="E28" s="522"/>
      <c r="F28" s="351"/>
      <c r="G28" s="351">
        <v>45</v>
      </c>
      <c r="H28" s="227" t="s">
        <v>497</v>
      </c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1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>•Alocação de recursos / Serviços de consultoria _x000D_</v>
      </c>
      <c r="U28" s="88" t="str">
        <f t="shared" ref="U28:U42" ca="1" si="6">U27&amp;T28</f>
        <v>•Alocação de recursos / Serviços de consultoria _x000D_•Alocação de recursos / Serviços de consultoria _x000D_</v>
      </c>
      <c r="V28" s="34"/>
    </row>
    <row r="29" spans="1:22" s="28" customFormat="1" x14ac:dyDescent="0.2">
      <c r="A29" s="107"/>
      <c r="B29" s="108"/>
      <c r="C29" s="431" t="s">
        <v>212</v>
      </c>
      <c r="D29" s="432"/>
      <c r="E29" s="433"/>
      <c r="F29" s="351"/>
      <c r="G29" s="351">
        <v>140</v>
      </c>
      <c r="H29" s="227" t="s">
        <v>498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1</v>
      </c>
      <c r="R29" s="88" t="b">
        <f t="shared" si="3"/>
        <v>1</v>
      </c>
      <c r="S29" s="88" t="b">
        <f t="shared" si="4"/>
        <v>1</v>
      </c>
      <c r="T29" s="88" t="str">
        <f t="shared" ca="1" si="5"/>
        <v>•Alocação de recursos / Serviços de consultoria _x000D_</v>
      </c>
      <c r="U29" s="88" t="str">
        <f t="shared" ca="1" si="6"/>
        <v>•Alocação de recursos / Serviços de consultoria _x000D_•Alocação de recursos / Serviços de consultoria _x000D_•Alocação de recursos / Serviços de consultoria _x000D_</v>
      </c>
      <c r="V29" s="34"/>
    </row>
    <row r="30" spans="1:22" s="28" customFormat="1" x14ac:dyDescent="0.2">
      <c r="A30" s="107"/>
      <c r="B30" s="108"/>
      <c r="C30" s="431" t="s">
        <v>212</v>
      </c>
      <c r="D30" s="432"/>
      <c r="E30" s="433"/>
      <c r="F30" s="351"/>
      <c r="G30" s="351">
        <v>20</v>
      </c>
      <c r="H30" s="227" t="s">
        <v>499</v>
      </c>
      <c r="I30" s="97"/>
      <c r="J30" s="30"/>
      <c r="K30" s="30"/>
      <c r="L30" s="88"/>
      <c r="M30" s="88"/>
      <c r="N30" s="88"/>
      <c r="O30" s="88"/>
      <c r="P30" s="88" t="b">
        <f t="shared" ca="1" si="1"/>
        <v>1</v>
      </c>
      <c r="Q30" s="88" t="b">
        <f t="shared" ca="1" si="2"/>
        <v>1</v>
      </c>
      <c r="R30" s="88" t="b">
        <f t="shared" si="3"/>
        <v>1</v>
      </c>
      <c r="S30" s="88" t="b">
        <f t="shared" si="4"/>
        <v>1</v>
      </c>
      <c r="T30" s="88" t="str">
        <f t="shared" ca="1" si="5"/>
        <v>•Alocação de recursos / Serviços de consultoria _x000D_</v>
      </c>
      <c r="U30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</v>
      </c>
      <c r="V30" s="34"/>
    </row>
    <row r="31" spans="1:22" s="28" customFormat="1" x14ac:dyDescent="0.2">
      <c r="A31" s="107"/>
      <c r="B31" s="108"/>
      <c r="C31" s="520" t="s">
        <v>278</v>
      </c>
      <c r="D31" s="521"/>
      <c r="E31" s="522"/>
      <c r="F31" s="351"/>
      <c r="G31" s="351">
        <v>544</v>
      </c>
      <c r="H31" s="227" t="s">
        <v>501</v>
      </c>
      <c r="I31" s="97"/>
      <c r="J31" s="30"/>
      <c r="K31" s="30"/>
      <c r="L31" s="88"/>
      <c r="M31" s="88"/>
      <c r="N31" s="88"/>
      <c r="O31" s="88"/>
      <c r="P31" s="88" t="b">
        <f t="shared" ca="1" si="1"/>
        <v>1</v>
      </c>
      <c r="Q31" s="88" t="b">
        <f t="shared" ca="1" si="2"/>
        <v>0</v>
      </c>
      <c r="R31" s="88" t="b">
        <f t="shared" si="3"/>
        <v>1</v>
      </c>
      <c r="S31" s="88" t="b">
        <f t="shared" si="4"/>
        <v>1</v>
      </c>
      <c r="T31" s="88" t="str">
        <f t="shared" ca="1" si="5"/>
        <v/>
      </c>
      <c r="U31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</v>
      </c>
      <c r="V31" s="34"/>
    </row>
    <row r="32" spans="1:22" s="28" customFormat="1" x14ac:dyDescent="0.2">
      <c r="A32" s="107"/>
      <c r="B32" s="108"/>
      <c r="C32" s="520" t="s">
        <v>278</v>
      </c>
      <c r="D32" s="521"/>
      <c r="E32" s="522"/>
      <c r="F32" s="351"/>
      <c r="G32" s="351">
        <v>480</v>
      </c>
      <c r="H32" s="227" t="s">
        <v>502</v>
      </c>
      <c r="I32" s="97"/>
      <c r="J32" s="30"/>
      <c r="K32" s="30"/>
      <c r="L32" s="88"/>
      <c r="M32" s="88"/>
      <c r="N32" s="88"/>
      <c r="O32" s="88"/>
      <c r="P32" s="88" t="b">
        <f t="shared" ca="1" si="1"/>
        <v>1</v>
      </c>
      <c r="Q32" s="88" t="b">
        <f t="shared" ca="1" si="2"/>
        <v>0</v>
      </c>
      <c r="R32" s="88" t="b">
        <f t="shared" si="3"/>
        <v>1</v>
      </c>
      <c r="S32" s="88" t="b">
        <f t="shared" si="4"/>
        <v>1</v>
      </c>
      <c r="T32" s="88" t="str">
        <f t="shared" ca="1" si="5"/>
        <v/>
      </c>
      <c r="U32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</v>
      </c>
      <c r="V32" s="34"/>
    </row>
    <row r="33" spans="1:242" s="28" customFormat="1" x14ac:dyDescent="0.2">
      <c r="A33" s="107"/>
      <c r="B33" s="108"/>
      <c r="C33" s="520" t="s">
        <v>278</v>
      </c>
      <c r="D33" s="521"/>
      <c r="E33" s="522"/>
      <c r="F33" s="351"/>
      <c r="G33" s="351">
        <v>709</v>
      </c>
      <c r="H33" s="227" t="s">
        <v>503</v>
      </c>
      <c r="I33" s="97"/>
      <c r="J33" s="30"/>
      <c r="K33" s="30"/>
      <c r="L33" s="88"/>
      <c r="M33" s="88"/>
      <c r="N33" s="88"/>
      <c r="O33" s="88"/>
      <c r="P33" s="88" t="b">
        <f t="shared" ca="1" si="1"/>
        <v>1</v>
      </c>
      <c r="Q33" s="88" t="b">
        <f t="shared" ca="1" si="2"/>
        <v>0</v>
      </c>
      <c r="R33" s="88" t="b">
        <f t="shared" si="3"/>
        <v>1</v>
      </c>
      <c r="S33" s="88" t="b">
        <f t="shared" si="4"/>
        <v>1</v>
      </c>
      <c r="T33" s="88" t="str">
        <f t="shared" ca="1" si="5"/>
        <v/>
      </c>
      <c r="U33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</v>
      </c>
      <c r="V33" s="34"/>
    </row>
    <row r="34" spans="1:242" s="28" customFormat="1" x14ac:dyDescent="0.2">
      <c r="A34" s="107"/>
      <c r="B34" s="108"/>
      <c r="C34" s="520" t="s">
        <v>278</v>
      </c>
      <c r="D34" s="521"/>
      <c r="E34" s="522"/>
      <c r="F34" s="351"/>
      <c r="G34" s="351">
        <v>143.77000000000001</v>
      </c>
      <c r="H34" s="227" t="s">
        <v>495</v>
      </c>
      <c r="I34" s="97"/>
      <c r="J34" s="30"/>
      <c r="K34" s="30"/>
      <c r="L34" s="88"/>
      <c r="M34" s="88"/>
      <c r="N34" s="88"/>
      <c r="O34" s="88"/>
      <c r="P34" s="88" t="b">
        <f t="shared" ca="1" si="1"/>
        <v>1</v>
      </c>
      <c r="Q34" s="88" t="b">
        <f t="shared" ca="1" si="2"/>
        <v>0</v>
      </c>
      <c r="R34" s="88" t="b">
        <f t="shared" si="3"/>
        <v>1</v>
      </c>
      <c r="S34" s="88" t="b">
        <f t="shared" si="4"/>
        <v>1</v>
      </c>
      <c r="T34" s="88" t="str">
        <f t="shared" ca="1" si="5"/>
        <v/>
      </c>
      <c r="U34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</v>
      </c>
      <c r="V34" s="34"/>
    </row>
    <row r="35" spans="1:242" s="28" customFormat="1" x14ac:dyDescent="0.2">
      <c r="A35" s="107"/>
      <c r="B35" s="108"/>
      <c r="C35" s="428" t="s">
        <v>212</v>
      </c>
      <c r="D35" s="429"/>
      <c r="E35" s="430"/>
      <c r="F35" s="351"/>
      <c r="G35" s="351">
        <v>35</v>
      </c>
      <c r="H35" s="227" t="s">
        <v>494</v>
      </c>
      <c r="I35" s="97"/>
      <c r="J35" s="30"/>
      <c r="K35" s="30"/>
      <c r="L35" s="88"/>
      <c r="M35" s="88"/>
      <c r="N35" s="88"/>
      <c r="O35" s="88"/>
      <c r="P35" s="88" t="b">
        <f t="shared" ca="1" si="1"/>
        <v>1</v>
      </c>
      <c r="Q35" s="88" t="b">
        <f t="shared" ca="1" si="2"/>
        <v>1</v>
      </c>
      <c r="R35" s="88" t="b">
        <f t="shared" si="3"/>
        <v>1</v>
      </c>
      <c r="S35" s="88" t="b">
        <f t="shared" si="4"/>
        <v>1</v>
      </c>
      <c r="T35" s="88" t="str">
        <f t="shared" ca="1" si="5"/>
        <v>•Alocação de recursos / Serviços de consultoria _x000D_</v>
      </c>
      <c r="U35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5" s="34"/>
    </row>
    <row r="36" spans="1:242" s="28" customFormat="1" x14ac:dyDescent="0.2">
      <c r="A36" s="107"/>
      <c r="B36" s="108"/>
      <c r="C36" s="428"/>
      <c r="D36" s="429"/>
      <c r="E36" s="430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6" s="34"/>
    </row>
    <row r="37" spans="1:242" s="28" customFormat="1" x14ac:dyDescent="0.2">
      <c r="A37" s="107"/>
      <c r="B37" s="108"/>
      <c r="C37" s="520"/>
      <c r="D37" s="521"/>
      <c r="E37" s="522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7" s="34"/>
    </row>
    <row r="38" spans="1:242" s="28" customFormat="1" x14ac:dyDescent="0.2">
      <c r="A38" s="107"/>
      <c r="B38" s="108"/>
      <c r="C38" s="520"/>
      <c r="D38" s="521"/>
      <c r="E38" s="522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8" s="34"/>
    </row>
    <row r="39" spans="1:242" s="98" customFormat="1" x14ac:dyDescent="0.2">
      <c r="A39" s="107"/>
      <c r="B39" s="112"/>
      <c r="C39" s="520"/>
      <c r="D39" s="521"/>
      <c r="E39" s="522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20"/>
      <c r="D40" s="521"/>
      <c r="E40" s="522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0" s="34"/>
    </row>
    <row r="41" spans="1:242" s="28" customFormat="1" x14ac:dyDescent="0.2">
      <c r="A41" s="107"/>
      <c r="B41" s="108"/>
      <c r="C41" s="520"/>
      <c r="D41" s="521"/>
      <c r="E41" s="522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1" s="34"/>
    </row>
    <row r="42" spans="1:242" s="28" customFormat="1" x14ac:dyDescent="0.2">
      <c r="A42" s="107"/>
      <c r="B42" s="108"/>
      <c r="C42" s="520"/>
      <c r="D42" s="521"/>
      <c r="E42" s="522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2" s="34"/>
    </row>
    <row r="43" spans="1:242" s="28" customFormat="1" x14ac:dyDescent="0.2">
      <c r="A43" s="107"/>
      <c r="B43" s="108"/>
      <c r="C43" s="527" t="s">
        <v>41</v>
      </c>
      <c r="D43" s="527"/>
      <c r="E43" s="527"/>
      <c r="F43" s="221">
        <f>SUM(F27:F42)</f>
        <v>0</v>
      </c>
      <c r="G43" s="221">
        <f>SUM(G27:G42)</f>
        <v>2161.77</v>
      </c>
      <c r="H43" s="137"/>
      <c r="I43" s="34"/>
      <c r="J43" s="88"/>
      <c r="K43" s="88"/>
      <c r="L43" s="102">
        <f>MAX(F43:G43)</f>
        <v>2161.77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 t="shared" ref="G46:G52" si="8"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si="8"/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 t="shared" si="8"/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7" t="s">
        <v>62</v>
      </c>
      <c r="E55" s="458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26"/>
      <c r="E56" s="526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6"/>
      <c r="E57" s="517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44" t="s">
        <v>69</v>
      </c>
      <c r="E60" s="444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26"/>
      <c r="E61" s="526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6"/>
      <c r="E62" s="517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PTfZ9ugR4tctr0iO9zhEdFfOjmWyvL0+PGks6VPU2wNxgdFQwqyQ709vWDx8JQkpbkp4SGAry4zGmFHGUPS3KA==" saltValue="Vb+ysG+QhCW0gNXeUFGEyw==" spinCount="100000" sheet="1" objects="1" scenarios="1"/>
  <mergeCells count="40">
    <mergeCell ref="C31:E31"/>
    <mergeCell ref="C32:E32"/>
    <mergeCell ref="D20:E20"/>
    <mergeCell ref="D21:E21"/>
    <mergeCell ref="D22:E22"/>
    <mergeCell ref="D23:E23"/>
    <mergeCell ref="C24:E24"/>
    <mergeCell ref="D18:E18"/>
    <mergeCell ref="D19:E19"/>
    <mergeCell ref="D14:E14"/>
    <mergeCell ref="D15:E15"/>
    <mergeCell ref="D16:E16"/>
    <mergeCell ref="D17:E17"/>
    <mergeCell ref="D60:E60"/>
    <mergeCell ref="D61:E61"/>
    <mergeCell ref="D56:E56"/>
    <mergeCell ref="C37:E37"/>
    <mergeCell ref="C38:E38"/>
    <mergeCell ref="C39:E39"/>
    <mergeCell ref="C40:E40"/>
    <mergeCell ref="C41:E41"/>
    <mergeCell ref="C42:E42"/>
    <mergeCell ref="C43:E43"/>
    <mergeCell ref="D55:E55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C33:E33"/>
    <mergeCell ref="C34:E34"/>
    <mergeCell ref="D57:E57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3" zoomScale="85" zoomScaleNormal="85" workbookViewId="0">
      <selection activeCell="C12" sqref="C1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44" t="s">
        <v>26</v>
      </c>
      <c r="C2" s="444"/>
      <c r="D2" s="444"/>
      <c r="E2" s="444"/>
      <c r="F2" s="444"/>
      <c r="G2" s="444"/>
      <c r="H2" s="444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31" t="s">
        <v>85</v>
      </c>
      <c r="C3" s="531"/>
      <c r="D3" s="531"/>
      <c r="E3" s="531"/>
      <c r="F3" s="531"/>
      <c r="G3" s="531"/>
      <c r="H3" s="531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>Q18+R18</f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be7uv/YrndNXrVwXD/QzRyFbwyhDvcXCU3JksDAdkBNCB+TNvVavPn1Zrwizo7EA3JDyunRQzC7Ig/K8aGPPkw==" saltValue="rlXwc3xarYHg3h2cCDJQpQ==" spinCount="100000" sheet="1" objects="1" scenarios="1"/>
  <dataConsolidate link="1"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44" t="s">
        <v>23</v>
      </c>
      <c r="C2" s="444"/>
      <c r="D2" s="444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gwjzuipasKkff1ft8O8UyCxxAX7mcr+kAqsuXMa3DIsXR5mA48pTfUO6AIbCLHp7EyrP3lbhN+/ESWVwRbBr/A==" saltValue="QjKDXy/wBaR9Rpfe9zecbQ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15" sqref="B15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44" t="s">
        <v>22</v>
      </c>
      <c r="C2" s="444"/>
      <c r="D2" s="444"/>
      <c r="E2" s="444"/>
      <c r="F2" s="444"/>
      <c r="G2" s="444"/>
      <c r="H2" s="444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125.9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154.36000000000001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154.36000000000001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125.9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125.9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125.9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154.36000000000001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154.36000000000001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154.36000000000001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154.36000000000001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170.64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125.9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125.9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154.36000000000001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125.9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125.9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154.36000000000001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154.36000000000001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154.36000000000001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125.9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125.9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125.9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125.9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154.36000000000001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154.36000000000001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154.36000000000001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154.36000000000001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154.36000000000001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125.9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125.9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154.36000000000001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154.36000000000001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125.9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125.9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154.36000000000001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125.9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bio5R3NvMOFAwIq8gZ6rB9vgiYbpcBFZ3MEdTMb0VunodeRGbVy+gD/eWabow4P+Kc+iSIdxhPmKj0dFtR5DgA==" saltValue="6x8ajeH1xpRdEMUI1MmmE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g9KWzUe8gYlSVcMGQfR1CbOtBqW5cw+e/5Dpa3a+HIkvsZ97OyUmiIQsywFNtaN1vsRhYJ7eZjDP0c1FpVD9Gg==" saltValue="54XDG/vPwUqyvEyptGj9lg==" spinCount="100000" sheet="1" objects="1" scenarios="1"/>
  <dataConsolidate link="1"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32" t="s">
        <v>14</v>
      </c>
      <c r="C2" s="532"/>
      <c r="D2" s="532"/>
      <c r="E2" s="532"/>
      <c r="F2" s="532"/>
      <c r="G2" s="532"/>
      <c r="H2" s="532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5g+5AcBwpxTzhN4pknNobI/0kQzR12g6s27CAU9YBzvF3FIniEhXIJFb6pT4JXi51M6O2PKmL0WiQPA0kjViPg==" saltValue="2yElYEbIyD1udZEhCEEYs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33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33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33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33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i++i10xrAsglBwjHfNPCllX4/aE1ODOnvxQv8IKgLpxY387Rc6UrjUO3ZyWamZc4XkTjW/tWQ0d5wbrfnnFx5Q==" saltValue="umOxStyEBXtU2BozcJvJO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3XrO0ijpIwsrDSJ43MFmlY3HOUUV1/cOoun2qDjSBoZTy2V8nvZyXEWT4U3zjbgMXkLsM33WxOrkDfwAcdWqIg==" saltValue="tlWRS+VLiE2A4WHpR44sUw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EJ0SCdNO/e9aAM4IQZcDW3LiL9nPplWGQOdS1gbCTXiVrpK9fGExYZJLmvbYipQRSYIlsmlDoIyLzps/lbAtsg==" saltValue="YSeuvKKLiBY55wz1vJOvN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Silva, Eleonora F.</cp:lastModifiedBy>
  <dcterms:created xsi:type="dcterms:W3CDTF">2006-09-25T12:47:36Z</dcterms:created>
  <dcterms:modified xsi:type="dcterms:W3CDTF">2017-11-01T13:24:36Z</dcterms:modified>
</cp:coreProperties>
</file>