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tiana.vila.bela\OneDrive - Accenture\Demandas\PRJ26199\"/>
    </mc:Choice>
  </mc:AlternateContent>
  <workbookProtection workbookAlgorithmName="SHA-512" workbookHashValue="IS8UZ1ZmSQHkZmUSa48ntAU1XA/n9gS7vdaMdEwqILVLIs7gY9F5gWdQVTy9d/X6kdxrCKYODf5Vp/sIncAT2g==" workbookSaltValue="s8nPmcL8uETRtOR637u/mQ==" workbookSpinCount="100000" lockStructure="1"/>
  <bookViews>
    <workbookView xWindow="0" yWindow="0" windowWidth="5865" windowHeight="3330" tabRatio="942" activeTab="1"/>
  </bookViews>
  <sheets>
    <sheet name="Histórico de Validações" sheetId="22" r:id="rId1"/>
    <sheet name="Resumo" sheetId="8" r:id="rId2"/>
    <sheet name="Pontos de Função" sheetId="36" state="hidden" r:id="rId3"/>
    <sheet name="Analogia" sheetId="38" state="hidden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/>
</workbook>
</file>

<file path=xl/calcChain.xml><?xml version="1.0" encoding="utf-8"?>
<calcChain xmlns="http://schemas.openxmlformats.org/spreadsheetml/2006/main">
  <c r="N11" i="30" l="1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Q28" i="30"/>
  <c r="Q29" i="30"/>
  <c r="Q30" i="30"/>
  <c r="Q31" i="30"/>
  <c r="Q32" i="30"/>
  <c r="Q33" i="30"/>
  <c r="Q34" i="30"/>
  <c r="Q35" i="30"/>
  <c r="Q36" i="30"/>
  <c r="Q37" i="30"/>
  <c r="Q38" i="30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 l="1"/>
  <c r="AA16" i="16"/>
  <c r="Z16" i="16"/>
  <c r="E6" i="6" l="1"/>
  <c r="E7" i="6"/>
  <c r="E9" i="6"/>
  <c r="E11" i="6"/>
  <c r="E12" i="6"/>
  <c r="E13" i="6"/>
  <c r="E14" i="6"/>
  <c r="E16" i="6"/>
  <c r="E17" i="6"/>
  <c r="E18" i="6"/>
  <c r="E19" i="6"/>
  <c r="E20" i="6"/>
  <c r="E23" i="6"/>
  <c r="E24" i="6"/>
  <c r="E28" i="6"/>
  <c r="E29" i="6"/>
  <c r="E30" i="6"/>
  <c r="E31" i="6"/>
  <c r="E32" i="6"/>
  <c r="E34" i="6"/>
  <c r="E39" i="6"/>
  <c r="E40" i="6"/>
  <c r="C27" i="6" l="1"/>
  <c r="E27" i="6" s="1"/>
  <c r="C26" i="6"/>
  <c r="E26" i="6" s="1"/>
  <c r="C25" i="6"/>
  <c r="E25" i="6" s="1"/>
  <c r="C38" i="6"/>
  <c r="E38" i="6" s="1"/>
  <c r="C37" i="6"/>
  <c r="E37" i="6" s="1"/>
  <c r="C33" i="6"/>
  <c r="E33" i="6" s="1"/>
  <c r="C10" i="6"/>
  <c r="E10" i="6" s="1"/>
  <c r="C8" i="6"/>
  <c r="E8" i="6" s="1"/>
  <c r="C5" i="6"/>
  <c r="E5" i="6" s="1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11" i="36"/>
  <c r="J13" i="36"/>
  <c r="J14" i="36"/>
  <c r="J21" i="36"/>
  <c r="J22" i="36"/>
  <c r="J20" i="36"/>
  <c r="J25" i="36"/>
  <c r="J16" i="36"/>
  <c r="J18" i="36"/>
  <c r="J24" i="36"/>
  <c r="J8" i="36"/>
  <c r="J19" i="36"/>
  <c r="J9" i="36"/>
  <c r="J10" i="36"/>
  <c r="J15" i="36"/>
  <c r="J12" i="36"/>
  <c r="J23" i="36"/>
  <c r="J7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38" i="6"/>
  <c r="D33" i="6"/>
  <c r="D32" i="6"/>
  <c r="D30" i="6"/>
  <c r="D29" i="6"/>
  <c r="D28" i="6"/>
  <c r="D27" i="6"/>
  <c r="D26" i="6"/>
  <c r="D25" i="6"/>
  <c r="D14" i="6"/>
  <c r="D13" i="6"/>
  <c r="D12" i="6"/>
  <c r="D10" i="6"/>
  <c r="D8" i="6"/>
  <c r="D7" i="6"/>
  <c r="D5" i="6"/>
  <c r="D5" i="38" l="1"/>
  <c r="D37" i="6"/>
  <c r="D5" i="36"/>
  <c r="AA33" i="30"/>
  <c r="L9" i="21"/>
  <c r="M9" i="21"/>
  <c r="L17" i="36" l="1"/>
  <c r="L9" i="36"/>
  <c r="L12" i="36"/>
  <c r="L16" i="36"/>
  <c r="L25" i="36"/>
  <c r="L10" i="36"/>
  <c r="L24" i="36"/>
  <c r="L13" i="36"/>
  <c r="L18" i="36"/>
  <c r="L22" i="36"/>
  <c r="L21" i="36"/>
  <c r="L20" i="36"/>
  <c r="L23" i="36"/>
  <c r="L19" i="36"/>
  <c r="L8" i="36"/>
  <c r="L14" i="36"/>
  <c r="L11" i="36"/>
  <c r="L15" i="36"/>
  <c r="E5" i="38"/>
  <c r="N7" i="38" s="1"/>
  <c r="E5" i="36"/>
  <c r="AA34" i="30"/>
  <c r="G8" i="16"/>
  <c r="O7" i="38" l="1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27" i="36" s="1"/>
  <c r="AA35" i="30"/>
  <c r="L8" i="21"/>
  <c r="M8" i="21"/>
  <c r="N27" i="38" l="1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AA45" i="30" l="1"/>
  <c r="R30" i="12"/>
  <c r="S30" i="12"/>
  <c r="AA46" i="30" l="1"/>
  <c r="R31" i="12"/>
  <c r="S31" i="12"/>
  <c r="AA47" i="30" l="1"/>
  <c r="R32" i="12"/>
  <c r="S32" i="12"/>
  <c r="Q32" i="12" s="1"/>
  <c r="T32" i="12" s="1"/>
  <c r="AA48" i="30" l="1"/>
  <c r="P32" i="12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G23" i="12"/>
  <c r="F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8" i="12"/>
  <c r="Q27" i="12"/>
  <c r="R12" i="4" l="1"/>
  <c r="Q10" i="4"/>
  <c r="R10" i="4"/>
  <c r="R14" i="4"/>
  <c r="Q14" i="4"/>
  <c r="Q15" i="4"/>
  <c r="R15" i="4"/>
  <c r="T28" i="12"/>
  <c r="P28" i="12"/>
  <c r="T27" i="12"/>
  <c r="U27" i="12" s="1"/>
  <c r="P27" i="12"/>
  <c r="F19" i="4"/>
  <c r="C19" i="8" s="1"/>
  <c r="Q29" i="12"/>
  <c r="Q30" i="12"/>
  <c r="Q31" i="12"/>
  <c r="T31" i="12" l="1"/>
  <c r="P31" i="12"/>
  <c r="T30" i="12"/>
  <c r="P30" i="12"/>
  <c r="T29" i="12"/>
  <c r="P29" i="12"/>
  <c r="Q25" i="12"/>
  <c r="S10" i="4"/>
  <c r="S14" i="4"/>
  <c r="S15" i="4"/>
  <c r="U28" i="12"/>
  <c r="G15" i="4"/>
  <c r="G18" i="4"/>
  <c r="G14" i="4"/>
  <c r="G12" i="4"/>
  <c r="G7" i="4"/>
  <c r="G17" i="4"/>
  <c r="G9" i="4"/>
  <c r="G10" i="4"/>
  <c r="Y3" i="18"/>
  <c r="X3" i="18"/>
  <c r="U29" i="12" l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T25" i="12" s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G19" i="12"/>
  <c r="F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F21" i="12"/>
  <c r="G21" i="12"/>
  <c r="N19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<sst xmlns="http://schemas.openxmlformats.org/spreadsheetml/2006/main" count="1861" uniqueCount="499">
  <si>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</si>
  <si>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</si>
  <si>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</si>
  <si>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</si>
  <si>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</si>
  <si>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</si>
  <si>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</si>
  <si>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</si>
  <si>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</si>
  <si>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</si>
  <si>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</si>
  <si>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</si>
  <si>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</si>
  <si>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</si>
  <si>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</si>
  <si>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</si>
  <si>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</si>
  <si>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</si>
  <si>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</si>
  <si>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</si>
  <si>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</si>
  <si>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</si>
  <si>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</si>
  <si>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</si>
  <si>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</si>
  <si>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</si>
  <si>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</si>
  <si>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</si>
  <si>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</si>
  <si>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</si>
  <si>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</si>
  <si>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</si>
  <si>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</si>
  <si>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</si>
  <si>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</si>
  <si>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</si>
  <si>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</si>
  <si>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</si>
  <si>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</si>
  <si>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</si>
  <si>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</si>
  <si>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</si>
  <si>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</si>
  <si>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</si>
  <si>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</si>
  <si>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</si>
  <si>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</si>
  <si>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</si>
  <si>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</si>
  <si>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</si>
  <si>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</si>
  <si>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</si>
  <si>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</si>
  <si>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</si>
  <si>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</si>
  <si>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</si>
  <si>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</si>
  <si>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</si>
  <si>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</si>
  <si>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</si>
  <si>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</si>
  <si>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</si>
  <si>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</si>
  <si>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</si>
  <si>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</si>
  <si>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</si>
  <si>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</si>
  <si>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</si>
  <si>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</si>
  <si>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</si>
  <si>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</si>
  <si>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</si>
  <si>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</si>
  <si>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</si>
  <si>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</si>
  <si>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</si>
  <si>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</si>
  <si>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</si>
  <si>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</si>
  <si>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</si>
  <si>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</si>
  <si>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</si>
  <si>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</si>
  <si>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</si>
  <si>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</si>
  <si>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</si>
  <si>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</si>
  <si>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</si>
  <si>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</si>
  <si>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</si>
  <si>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</si>
  <si>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</si>
  <si>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</si>
  <si>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</si>
  <si>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</si>
  <si>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</si>
  <si>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</si>
  <si>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</si>
  <si>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</si>
  <si>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</si>
  <si>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</si>
  <si>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</si>
  <si>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</si>
  <si>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</si>
  <si>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</si>
  <si>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</si>
  <si>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</si>
  <si>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</si>
  <si>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</si>
  <si>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</si>
  <si>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</si>
  <si>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</si>
  <si>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</si>
  <si>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</si>
  <si>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</si>
  <si>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</si>
  <si>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</si>
  <si>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</si>
  <si>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</si>
  <si>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</si>
  <si>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</si>
  <si>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</si>
  <si>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</si>
  <si>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</si>
  <si>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</si>
  <si>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</si>
  <si>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</si>
  <si>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</si>
  <si>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</si>
  <si>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</si>
  <si>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</si>
  <si>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</si>
  <si>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</si>
  <si>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</si>
  <si>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</si>
  <si>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</si>
  <si>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</si>
  <si>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</si>
  <si>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</si>
  <si>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</si>
  <si>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</si>
  <si>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</si>
  <si>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</si>
  <si>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</si>
  <si>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</si>
  <si>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</si>
  <si>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</si>
  <si>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</si>
  <si>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</si>
  <si>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</si>
  <si>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</si>
  <si>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</si>
  <si>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</si>
  <si>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</si>
  <si>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</si>
  <si>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</si>
  <si>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</si>
  <si>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</si>
  <si>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</si>
  <si>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</si>
  <si>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</si>
  <si>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</si>
  <si>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</si>
  <si>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</si>
  <si>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</si>
  <si>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</si>
  <si>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</si>
  <si>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</si>
  <si>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</si>
  <si>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</si>
  <si>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</si>
  <si>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</si>
  <si>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</si>
  <si>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</si>
  <si>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</si>
  <si>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</si>
  <si>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</si>
  <si>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</si>
  <si>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</si>
  <si>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</si>
  <si>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</si>
  <si>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</si>
  <si>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</si>
  <si>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</si>
  <si>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</si>
  <si>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</si>
  <si>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</si>
  <si>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</si>
  <si>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</si>
  <si>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</si>
  <si>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</si>
  <si>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</si>
  <si>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</si>
  <si>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</si>
  <si>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</si>
  <si>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</si>
  <si>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</si>
  <si>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</si>
  <si>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</si>
  <si>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</si>
  <si>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</si>
  <si>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</si>
  <si>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</si>
  <si>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</si>
  <si>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</si>
  <si>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</si>
  <si>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</si>
  <si>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</si>
  <si>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</si>
  <si>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</si>
  <si>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</si>
  <si>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</si>
  <si>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</si>
  <si>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</si>
  <si>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</si>
  <si>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</si>
  <si>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</si>
  <si>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</si>
  <si>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</si>
  <si>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</si>
  <si>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</si>
  <si>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</si>
  <si>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</si>
  <si>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</si>
  <si>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</si>
  <si>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</si>
  <si>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</si>
  <si>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</si>
  <si>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</si>
  <si>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</si>
  <si>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</si>
  <si>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</si>
  <si>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</si>
  <si>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</si>
  <si>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</si>
  <si>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</si>
  <si>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</si>
  <si>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</si>
  <si>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</si>
  <si>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</si>
  <si>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</si>
  <si>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</si>
  <si>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</si>
  <si>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</si>
  <si>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</si>
  <si>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</si>
  <si>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</si>
  <si>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</si>
  <si>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</si>
  <si>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</si>
  <si>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</si>
  <si>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</si>
  <si>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</si>
  <si>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</si>
  <si>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</si>
  <si>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</si>
  <si>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</si>
  <si>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</si>
  <si>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</si>
  <si>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</si>
  <si>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</si>
  <si>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</si>
  <si>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</si>
  <si>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</si>
  <si>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</si>
  <si>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</si>
  <si>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</si>
  <si>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</si>
  <si>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</si>
  <si>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</si>
  <si>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</si>
  <si>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</si>
  <si>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</si>
  <si>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</si>
  <si>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</si>
  <si>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</si>
  <si>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</si>
  <si>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</si>
  <si>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</si>
  <si>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</si>
  <si>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</si>
  <si>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</si>
  <si>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</si>
  <si>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</si>
  <si>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</si>
  <si>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</si>
  <si>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</si>
  <si>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</si>
  <si>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</si>
  <si>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</si>
  <si>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</si>
  <si>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</si>
  <si>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</si>
  <si>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</si>
  <si>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</si>
  <si>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</si>
  <si>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</si>
  <si>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</si>
  <si>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</si>
  <si>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</si>
  <si>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</si>
  <si>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</si>
  <si>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</si>
  <si>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</si>
  <si>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</si>
  <si>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</si>
  <si>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</si>
  <si>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</si>
  <si>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</si>
  <si>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</si>
  <si>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</si>
  <si>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</si>
  <si>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</si>
  <si>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</si>
  <si>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</si>
  <si>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</si>
  <si>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</si>
  <si>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</si>
  <si>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</si>
  <si>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</si>
  <si>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</si>
  <si>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</si>
  <si>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</si>
  <si>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</si>
  <si>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</si>
  <si>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</si>
  <si>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</si>
  <si>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</si>
  <si>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</si>
  <si>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</si>
  <si>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</si>
  <si>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</si>
  <si>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</si>
  <si>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</si>
  <si>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</si>
  <si>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</si>
  <si>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</si>
  <si>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</si>
  <si>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</si>
  <si>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</si>
  <si>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</si>
  <si>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</si>
  <si>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</si>
  <si>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</si>
  <si>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</si>
  <si>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</si>
  <si>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</si>
  <si>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</si>
  <si>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</si>
  <si>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</si>
  <si>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</si>
  <si>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</si>
  <si>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</si>
  <si>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</si>
  <si>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</si>
  <si>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</si>
  <si>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</si>
  <si>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</si>
  <si>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</si>
  <si>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</si>
  <si>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</si>
  <si>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</si>
  <si>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</si>
  <si>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</si>
  <si>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</si>
  <si>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</si>
  <si>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</si>
  <si>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</si>
  <si>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</si>
  <si>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</si>
  <si>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</si>
  <si>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</si>
  <si>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</si>
  <si>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</si>
  <si>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</si>
  <si>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</si>
  <si>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</si>
  <si>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</si>
  <si>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</si>
  <si>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</si>
  <si>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</si>
  <si>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</si>
  <si>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</si>
  <si>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</si>
  <si>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</si>
  <si>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</si>
  <si>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</si>
  <si>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</si>
  <si>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</si>
  <si>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</si>
  <si>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</si>
  <si>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</si>
  <si>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</si>
  <si>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</si>
  <si>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</si>
  <si>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</si>
  <si>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</si>
  <si>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</si>
  <si>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</si>
  <si>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</si>
  <si>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</si>
  <si>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</si>
  <si>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</si>
  <si>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</si>
  <si>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</si>
  <si>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</si>
  <si>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</si>
  <si>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</si>
  <si>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</si>
  <si>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</si>
  <si>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</si>
  <si>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</si>
  <si>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</si>
  <si>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</si>
  <si>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</si>
  <si>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</si>
  <si>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</si>
  <si>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</si>
  <si>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</si>
  <si>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</si>
  <si>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</si>
  <si>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</si>
  <si>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</si>
  <si>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</si>
  <si>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</si>
  <si>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</si>
  <si>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</si>
  <si>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</si>
  <si>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</si>
  <si>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</si>
  <si>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</si>
  <si>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</si>
  <si>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</si>
  <si>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</si>
  <si>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</si>
  <si>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</si>
  <si>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</si>
  <si>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</si>
  <si>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</si>
  <si>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</si>
  <si>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</si>
  <si>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</si>
  <si>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</si>
  <si>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</si>
  <si>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</si>
  <si>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</si>
  <si>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</si>
  <si>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</si>
  <si>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</si>
  <si>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</si>
  <si>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</si>
  <si>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</si>
  <si>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</si>
  <si>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</si>
  <si>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</si>
  <si>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</si>
  <si>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</si>
  <si>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</si>
  <si>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</si>
  <si>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</si>
  <si>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</si>
  <si>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</si>
  <si>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</si>
  <si>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</si>
  <si>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</si>
  <si>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</si>
  <si>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</si>
  <si>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</si>
  <si>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</si>
  <si>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</si>
  <si>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</si>
  <si>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</si>
  <si>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</si>
  <si>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</si>
  <si>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</si>
  <si>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</si>
  <si>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</si>
  <si>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</si>
  <si>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</si>
  <si>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</si>
  <si>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</si>
  <si>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</si>
  <si>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</si>
  <si>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</si>
  <si>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</si>
  <si>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</si>
  <si>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</si>
  <si>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</si>
  <si>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</si>
  <si>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</si>
  <si>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</si>
  <si>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</si>
  <si>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</si>
  <si>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</si>
  <si>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DSOL</t>
  </si>
  <si>
    <t>ET</t>
  </si>
  <si>
    <t>CTTU</t>
  </si>
  <si>
    <t>IMP</t>
  </si>
  <si>
    <t>Configuração Contábil Códigos de Serviços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</si>
</sst>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_-* #,##0.00\ _€_-;\-* #,##0.00\ _€_-;_-* &quot;-&quot;??\ _€_-;_-@_-"/>
    <numFmt numFmtId="165" formatCode="[$R$-416]\ #,##0"/>
    <numFmt numFmtId="166" formatCode="&quot;R$&quot;\ #,##0.00"/>
    <numFmt numFmtId="167" formatCode="[$R$-416]\ #,##0.00"/>
    <numFmt numFmtId="168" formatCode="_(&quot;R$ &quot;* #,##0.00_);_(&quot;R$ &quot;* \(#,##0.00\);_(&quot;R$ &quot;* &quot;-&quot;??_);_(@_)"/>
    <numFmt numFmtId="169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5" fontId="0" fillId="0" borderId="0"/>
    <xf numFmtId="165" fontId="23" fillId="0" borderId="0" applyNumberFormat="0" applyFill="0" applyBorder="0" applyAlignment="0" applyProtection="0">
      <alignment vertical="top"/>
      <protection locked="0"/>
    </xf>
    <xf numFmtId="165" fontId="4" fillId="0" borderId="0"/>
    <xf numFmtId="165" fontId="4" fillId="0" borderId="0"/>
    <xf numFmtId="165" fontId="4" fillId="0" borderId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14" borderId="0" applyNumberFormat="0" applyBorder="0" applyAlignment="0" applyProtection="0"/>
    <xf numFmtId="165" fontId="35" fillId="0" borderId="0"/>
    <xf numFmtId="9" fontId="35" fillId="0" borderId="0" applyFont="0" applyFill="0" applyBorder="0" applyAlignment="0" applyProtection="0"/>
    <xf numFmtId="165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5" fontId="4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14" borderId="0" applyNumberFormat="0" applyBorder="0" applyAlignment="0" applyProtection="0"/>
    <xf numFmtId="0" fontId="41" fillId="0" borderId="0"/>
    <xf numFmtId="168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7">
    <xf numFmtId="165" fontId="0" fillId="0" borderId="0" xfId="0"/>
    <xf numFmtId="165" fontId="13" fillId="0" borderId="0" xfId="0" applyFont="1" applyAlignment="1">
      <alignment horizontal="center"/>
    </xf>
    <xf numFmtId="165" fontId="0" fillId="0" borderId="1" xfId="0" applyBorder="1"/>
    <xf numFmtId="165" fontId="13" fillId="0" borderId="0" xfId="0" applyFont="1"/>
    <xf numFmtId="165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5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5" fontId="0" fillId="0" borderId="1" xfId="0" applyBorder="1" applyAlignment="1">
      <alignment horizontal="center"/>
    </xf>
    <xf numFmtId="165" fontId="5" fillId="6" borderId="1" xfId="3" applyFont="1" applyFill="1" applyBorder="1" applyAlignment="1" applyProtection="1">
      <alignment horizontal="left" vertical="center" wrapText="1"/>
    </xf>
    <xf numFmtId="43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43" fontId="9" fillId="6" borderId="1" xfId="6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165" fontId="9" fillId="6" borderId="1" xfId="3" applyFont="1" applyFill="1" applyBorder="1" applyAlignment="1" applyProtection="1">
      <alignment horizontal="center" vertical="center" wrapText="1"/>
    </xf>
    <xf numFmtId="165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5" fontId="17" fillId="0" borderId="0" xfId="0" applyFont="1"/>
    <xf numFmtId="165" fontId="17" fillId="0" borderId="0" xfId="0" applyFont="1" applyFill="1" applyBorder="1"/>
    <xf numFmtId="165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5" fontId="20" fillId="0" borderId="0" xfId="1" applyFont="1" applyFill="1" applyBorder="1" applyAlignment="1" applyProtection="1">
      <alignment horizontal="right" vertical="center" wrapText="1"/>
    </xf>
    <xf numFmtId="165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5" fontId="20" fillId="0" borderId="0" xfId="1" applyFont="1" applyFill="1" applyBorder="1" applyAlignment="1" applyProtection="1">
      <alignment horizontal="center" vertical="center" wrapText="1"/>
    </xf>
    <xf numFmtId="165" fontId="0" fillId="0" borderId="0" xfId="0" applyAlignment="1">
      <alignment vertical="center"/>
    </xf>
    <xf numFmtId="165" fontId="6" fillId="9" borderId="0" xfId="0" applyFont="1" applyFill="1" applyAlignment="1" applyProtection="1">
      <alignment horizontal="center" vertical="center"/>
    </xf>
    <xf numFmtId="165" fontId="17" fillId="0" borderId="0" xfId="0" applyFont="1" applyProtection="1"/>
    <xf numFmtId="165" fontId="17" fillId="9" borderId="0" xfId="0" applyFont="1" applyFill="1" applyAlignment="1" applyProtection="1">
      <alignment horizontal="center" vertical="center"/>
    </xf>
    <xf numFmtId="165" fontId="17" fillId="9" borderId="0" xfId="0" applyFont="1" applyFill="1" applyBorder="1" applyAlignment="1" applyProtection="1">
      <alignment horizontal="center" vertical="center"/>
    </xf>
    <xf numFmtId="165" fontId="17" fillId="0" borderId="0" xfId="0" applyFont="1" applyFill="1" applyBorder="1" applyProtection="1"/>
    <xf numFmtId="165" fontId="9" fillId="0" borderId="0" xfId="3" applyFont="1" applyFill="1" applyBorder="1" applyAlignment="1" applyProtection="1">
      <alignment horizontal="center" vertical="center" wrapText="1"/>
    </xf>
    <xf numFmtId="43" fontId="9" fillId="0" borderId="0" xfId="7" applyFont="1" applyFill="1" applyBorder="1" applyAlignment="1" applyProtection="1">
      <alignment horizontal="center" vertical="center" wrapText="1"/>
    </xf>
    <xf numFmtId="165" fontId="17" fillId="0" borderId="0" xfId="0" applyFont="1" applyFill="1" applyProtection="1"/>
    <xf numFmtId="165" fontId="5" fillId="11" borderId="1" xfId="3" applyFont="1" applyFill="1" applyBorder="1" applyAlignment="1" applyProtection="1">
      <alignment horizontal="center" vertical="center" wrapText="1"/>
    </xf>
    <xf numFmtId="165" fontId="5" fillId="9" borderId="1" xfId="3" applyFont="1" applyFill="1" applyBorder="1" applyAlignment="1" applyProtection="1">
      <alignment horizontal="center" vertical="center" wrapText="1"/>
    </xf>
    <xf numFmtId="165" fontId="5" fillId="0" borderId="1" xfId="3" applyFont="1" applyFill="1" applyBorder="1" applyAlignment="1" applyProtection="1">
      <alignment horizontal="center" vertical="center" wrapText="1"/>
      <protection locked="0"/>
    </xf>
    <xf numFmtId="165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5" fontId="5" fillId="6" borderId="7" xfId="3" applyFont="1" applyFill="1" applyBorder="1" applyAlignment="1" applyProtection="1">
      <alignment horizontal="center" vertical="center" wrapText="1"/>
    </xf>
    <xf numFmtId="165" fontId="5" fillId="6" borderId="9" xfId="3" applyFont="1" applyFill="1" applyBorder="1" applyAlignment="1" applyProtection="1">
      <alignment horizontal="center" vertical="center" wrapText="1"/>
    </xf>
    <xf numFmtId="165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5" fontId="0" fillId="0" borderId="0" xfId="0" applyFont="1"/>
    <xf numFmtId="165" fontId="4" fillId="4" borderId="1" xfId="0" applyNumberFormat="1" applyFont="1" applyFill="1" applyBorder="1" applyAlignment="1" applyProtection="1">
      <alignment horizontal="center"/>
    </xf>
    <xf numFmtId="165" fontId="5" fillId="9" borderId="9" xfId="3" applyFont="1" applyFill="1" applyBorder="1" applyAlignment="1" applyProtection="1">
      <alignment horizontal="center" vertical="center" wrapText="1"/>
    </xf>
    <xf numFmtId="165" fontId="1" fillId="0" borderId="8" xfId="0" applyFont="1" applyFill="1" applyBorder="1" applyAlignment="1">
      <alignment horizontal="center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2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5" fontId="18" fillId="7" borderId="0" xfId="0" applyFont="1" applyFill="1" applyAlignment="1" applyProtection="1">
      <alignment horizontal="left" vertical="center" indent="1"/>
    </xf>
    <xf numFmtId="165" fontId="5" fillId="7" borderId="0" xfId="0" applyFont="1" applyFill="1" applyBorder="1" applyAlignment="1" applyProtection="1">
      <alignment horizontal="left" vertical="center" indent="1"/>
    </xf>
    <xf numFmtId="165" fontId="10" fillId="0" borderId="0" xfId="0" applyFont="1" applyProtection="1"/>
    <xf numFmtId="165" fontId="9" fillId="7" borderId="0" xfId="0" applyFont="1" applyFill="1" applyAlignment="1" applyProtection="1">
      <alignment horizontal="left" vertical="center" indent="1"/>
    </xf>
    <xf numFmtId="165" fontId="6" fillId="7" borderId="0" xfId="0" applyFont="1" applyFill="1" applyBorder="1" applyAlignment="1" applyProtection="1">
      <alignment horizontal="left" vertical="center" indent="1"/>
    </xf>
    <xf numFmtId="165" fontId="5" fillId="7" borderId="0" xfId="0" applyFont="1" applyFill="1" applyBorder="1" applyAlignment="1" applyProtection="1">
      <alignment horizontal="left" vertical="center" wrapText="1" indent="1"/>
    </xf>
    <xf numFmtId="165" fontId="10" fillId="0" borderId="0" xfId="0" applyFont="1" applyBorder="1" applyProtection="1"/>
    <xf numFmtId="165" fontId="4" fillId="7" borderId="0" xfId="0" applyFont="1" applyFill="1" applyBorder="1" applyAlignment="1" applyProtection="1">
      <alignment horizontal="left" vertical="center" indent="1"/>
    </xf>
    <xf numFmtId="165" fontId="25" fillId="0" borderId="0" xfId="0" applyFont="1" applyProtection="1"/>
    <xf numFmtId="165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5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5" fontId="5" fillId="6" borderId="2" xfId="3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165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5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5" fontId="10" fillId="0" borderId="0" xfId="0" applyFont="1" applyFill="1" applyProtection="1"/>
    <xf numFmtId="165" fontId="0" fillId="0" borderId="0" xfId="0" applyFill="1" applyProtection="1"/>
    <xf numFmtId="165" fontId="17" fillId="0" borderId="0" xfId="0" applyFont="1" applyFill="1" applyAlignment="1" applyProtection="1">
      <alignment horizontal="center"/>
    </xf>
    <xf numFmtId="165" fontId="0" fillId="0" borderId="0" xfId="0" applyFill="1"/>
    <xf numFmtId="165" fontId="0" fillId="0" borderId="0" xfId="0" applyAlignment="1">
      <alignment horizontal="center"/>
    </xf>
    <xf numFmtId="165" fontId="17" fillId="9" borderId="0" xfId="0" applyFont="1" applyFill="1" applyProtection="1"/>
    <xf numFmtId="165" fontId="17" fillId="9" borderId="0" xfId="0" applyFont="1" applyFill="1" applyBorder="1" applyProtection="1"/>
    <xf numFmtId="165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5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5" fontId="29" fillId="9" borderId="0" xfId="0" applyFont="1" applyFill="1" applyProtection="1"/>
    <xf numFmtId="165" fontId="18" fillId="9" borderId="0" xfId="0" applyFont="1" applyFill="1" applyAlignment="1" applyProtection="1">
      <alignment horizontal="center"/>
    </xf>
    <xf numFmtId="165" fontId="17" fillId="0" borderId="0" xfId="0" applyFont="1" applyFill="1" applyBorder="1" applyAlignment="1" applyProtection="1">
      <alignment horizontal="center" vertical="center"/>
    </xf>
    <xf numFmtId="165" fontId="17" fillId="3" borderId="0" xfId="0" applyFont="1" applyFill="1" applyProtection="1"/>
    <xf numFmtId="165" fontId="5" fillId="0" borderId="0" xfId="3" applyFont="1" applyFill="1" applyBorder="1" applyAlignment="1" applyProtection="1">
      <alignment vertical="center" wrapText="1"/>
    </xf>
    <xf numFmtId="165" fontId="17" fillId="0" borderId="0" xfId="0" applyFont="1" applyFill="1" applyBorder="1" applyAlignment="1" applyProtection="1">
      <alignment vertical="center"/>
    </xf>
    <xf numFmtId="165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5" fontId="1" fillId="0" borderId="0" xfId="0" applyFont="1"/>
    <xf numFmtId="165" fontId="10" fillId="9" borderId="0" xfId="0" applyFont="1" applyFill="1" applyProtection="1"/>
    <xf numFmtId="165" fontId="14" fillId="0" borderId="0" xfId="0" applyFont="1" applyProtection="1"/>
    <xf numFmtId="165" fontId="14" fillId="9" borderId="0" xfId="0" applyFont="1" applyFill="1" applyAlignment="1" applyProtection="1">
      <alignment horizontal="center" vertical="center"/>
    </xf>
    <xf numFmtId="165" fontId="5" fillId="10" borderId="0" xfId="3" applyFont="1" applyFill="1" applyBorder="1" applyAlignment="1" applyProtection="1">
      <alignment horizontal="center" vertical="center" wrapText="1"/>
    </xf>
    <xf numFmtId="43" fontId="5" fillId="10" borderId="0" xfId="6" applyFont="1" applyFill="1" applyBorder="1" applyAlignment="1" applyProtection="1">
      <alignment horizontal="center" vertical="center" wrapText="1"/>
    </xf>
    <xf numFmtId="165" fontId="21" fillId="0" borderId="0" xfId="0" applyFont="1" applyAlignment="1" applyProtection="1">
      <alignment horizontal="center"/>
    </xf>
    <xf numFmtId="165" fontId="14" fillId="9" borderId="0" xfId="0" applyFont="1" applyFill="1" applyProtection="1"/>
    <xf numFmtId="165" fontId="30" fillId="0" borderId="0" xfId="0" applyFont="1" applyProtection="1"/>
    <xf numFmtId="165" fontId="30" fillId="9" borderId="0" xfId="0" applyFont="1" applyFill="1" applyAlignment="1" applyProtection="1">
      <alignment horizontal="center" vertical="center"/>
    </xf>
    <xf numFmtId="165" fontId="14" fillId="0" borderId="0" xfId="0" applyFont="1" applyFill="1" applyBorder="1" applyProtection="1"/>
    <xf numFmtId="165" fontId="14" fillId="9" borderId="0" xfId="0" applyFont="1" applyFill="1" applyBorder="1" applyAlignment="1" applyProtection="1">
      <alignment horizontal="center" vertical="center"/>
    </xf>
    <xf numFmtId="165" fontId="21" fillId="9" borderId="0" xfId="0" applyFont="1" applyFill="1" applyAlignment="1" applyProtection="1">
      <alignment horizontal="center" vertical="center"/>
    </xf>
    <xf numFmtId="165" fontId="14" fillId="0" borderId="0" xfId="0" applyFont="1" applyBorder="1" applyAlignment="1" applyProtection="1">
      <alignment horizontal="justify" vertical="center" wrapText="1"/>
    </xf>
    <xf numFmtId="165" fontId="14" fillId="0" borderId="0" xfId="0" applyFont="1" applyBorder="1" applyProtection="1"/>
    <xf numFmtId="165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5" fontId="18" fillId="5" borderId="1" xfId="0" applyNumberFormat="1" applyFont="1" applyFill="1" applyBorder="1" applyAlignment="1">
      <alignment horizontal="center" vertical="center" wrapText="1"/>
    </xf>
    <xf numFmtId="165" fontId="3" fillId="2" borderId="1" xfId="0" applyFont="1" applyFill="1" applyBorder="1" applyAlignment="1">
      <alignment horizontal="center"/>
    </xf>
    <xf numFmtId="165" fontId="3" fillId="2" borderId="1" xfId="0" applyFont="1" applyFill="1" applyBorder="1" applyAlignment="1">
      <alignment horizontal="center" vertical="center"/>
    </xf>
    <xf numFmtId="165" fontId="29" fillId="0" borderId="0" xfId="0" applyFont="1" applyFill="1" applyProtection="1"/>
    <xf numFmtId="165" fontId="18" fillId="0" borderId="0" xfId="0" applyFont="1" applyFill="1" applyAlignment="1" applyProtection="1">
      <alignment horizontal="center"/>
    </xf>
    <xf numFmtId="165" fontId="17" fillId="0" borderId="0" xfId="0" applyFont="1" applyFill="1"/>
    <xf numFmtId="165" fontId="4" fillId="0" borderId="1" xfId="2" applyNumberFormat="1" applyFont="1" applyFill="1" applyBorder="1" applyAlignment="1" applyProtection="1">
      <alignment horizontal="center" vertical="center"/>
      <protection locked="0"/>
    </xf>
    <xf numFmtId="165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5" fontId="32" fillId="0" borderId="0" xfId="1" applyFont="1" applyFill="1" applyBorder="1" applyAlignment="1" applyProtection="1">
      <alignment horizontal="center" vertical="center" wrapText="1"/>
    </xf>
    <xf numFmtId="165" fontId="4" fillId="0" borderId="0" xfId="0" applyFont="1" applyFill="1" applyBorder="1" applyProtection="1"/>
    <xf numFmtId="165" fontId="4" fillId="0" borderId="0" xfId="0" applyFont="1" applyProtection="1"/>
    <xf numFmtId="165" fontId="5" fillId="6" borderId="1" xfId="3" applyFont="1" applyFill="1" applyBorder="1" applyAlignment="1">
      <alignment horizontal="left" vertical="center" wrapText="1"/>
    </xf>
    <xf numFmtId="165" fontId="33" fillId="0" borderId="14" xfId="0" applyFont="1" applyFill="1" applyBorder="1"/>
    <xf numFmtId="165" fontId="33" fillId="0" borderId="15" xfId="0" applyFont="1" applyFill="1" applyBorder="1"/>
    <xf numFmtId="165" fontId="0" fillId="0" borderId="14" xfId="0" applyBorder="1"/>
    <xf numFmtId="165" fontId="33" fillId="0" borderId="0" xfId="0" applyFont="1" applyFill="1"/>
    <xf numFmtId="165" fontId="17" fillId="9" borderId="0" xfId="0" applyFont="1" applyFill="1" applyAlignment="1" applyProtection="1">
      <alignment horizontal="left"/>
    </xf>
    <xf numFmtId="165" fontId="24" fillId="0" borderId="16" xfId="0" applyFont="1" applyBorder="1" applyAlignment="1">
      <alignment horizontal="center" vertical="top"/>
    </xf>
    <xf numFmtId="165" fontId="5" fillId="6" borderId="7" xfId="3" applyFont="1" applyFill="1" applyBorder="1" applyAlignment="1" applyProtection="1">
      <alignment horizontal="center" vertical="center" wrapText="1"/>
    </xf>
    <xf numFmtId="165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5" fontId="1" fillId="0" borderId="5" xfId="0" applyFont="1" applyBorder="1" applyAlignment="1">
      <alignment horizontal="center"/>
    </xf>
    <xf numFmtId="165" fontId="5" fillId="6" borderId="13" xfId="3" applyFont="1" applyFill="1" applyBorder="1" applyAlignment="1">
      <alignment horizontal="center" vertical="center" wrapText="1"/>
    </xf>
    <xf numFmtId="165" fontId="1" fillId="0" borderId="18" xfId="0" applyFont="1" applyBorder="1" applyAlignment="1">
      <alignment horizontal="center"/>
    </xf>
    <xf numFmtId="165" fontId="0" fillId="0" borderId="5" xfId="0" applyBorder="1"/>
    <xf numFmtId="165" fontId="13" fillId="0" borderId="13" xfId="0" applyFont="1" applyBorder="1" applyAlignment="1">
      <alignment horizontal="center"/>
    </xf>
    <xf numFmtId="165" fontId="0" fillId="0" borderId="18" xfId="0" applyBorder="1"/>
    <xf numFmtId="165" fontId="13" fillId="0" borderId="2" xfId="0" applyFont="1" applyBorder="1" applyAlignment="1">
      <alignment horizontal="center"/>
    </xf>
    <xf numFmtId="165" fontId="0" fillId="0" borderId="2" xfId="0" applyBorder="1"/>
    <xf numFmtId="165" fontId="13" fillId="0" borderId="7" xfId="0" applyFont="1" applyBorder="1" applyAlignment="1">
      <alignment horizontal="center"/>
    </xf>
    <xf numFmtId="165" fontId="5" fillId="9" borderId="0" xfId="3" applyFont="1" applyFill="1" applyBorder="1" applyAlignment="1" applyProtection="1">
      <alignment horizontal="left" vertical="center" wrapText="1" indent="1"/>
    </xf>
    <xf numFmtId="165" fontId="18" fillId="9" borderId="0" xfId="0" applyFont="1" applyFill="1" applyAlignment="1" applyProtection="1">
      <alignment horizontal="left" vertical="center" indent="1"/>
    </xf>
    <xf numFmtId="165" fontId="5" fillId="9" borderId="0" xfId="0" applyFont="1" applyFill="1" applyBorder="1" applyAlignment="1" applyProtection="1">
      <alignment horizontal="left" vertical="center" indent="1"/>
    </xf>
    <xf numFmtId="165" fontId="9" fillId="9" borderId="0" xfId="0" applyFont="1" applyFill="1" applyAlignment="1" applyProtection="1">
      <alignment horizontal="left" vertical="center" indent="1"/>
    </xf>
    <xf numFmtId="165" fontId="6" fillId="9" borderId="0" xfId="0" applyFont="1" applyFill="1" applyBorder="1" applyAlignment="1" applyProtection="1">
      <alignment horizontal="left" vertical="center" indent="1"/>
    </xf>
    <xf numFmtId="165" fontId="5" fillId="9" borderId="0" xfId="0" applyFont="1" applyFill="1" applyBorder="1" applyAlignment="1" applyProtection="1">
      <alignment horizontal="left" vertical="center" wrapText="1" indent="1"/>
    </xf>
    <xf numFmtId="165" fontId="4" fillId="9" borderId="0" xfId="0" applyFont="1" applyFill="1" applyBorder="1" applyAlignment="1" applyProtection="1">
      <alignment horizontal="left" vertical="center" indent="1"/>
    </xf>
    <xf numFmtId="165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5" fontId="10" fillId="9" borderId="0" xfId="0" applyNumberFormat="1" applyFont="1" applyFill="1" applyProtection="1"/>
    <xf numFmtId="165" fontId="37" fillId="0" borderId="0" xfId="0" applyFont="1"/>
    <xf numFmtId="165" fontId="17" fillId="9" borderId="0" xfId="0" applyFont="1" applyFill="1" applyBorder="1"/>
    <xf numFmtId="165" fontId="17" fillId="9" borderId="0" xfId="0" applyFont="1" applyFill="1"/>
    <xf numFmtId="165" fontId="20" fillId="9" borderId="0" xfId="1" applyFont="1" applyFill="1" applyBorder="1" applyAlignment="1" applyProtection="1">
      <alignment horizontal="center" vertical="center" wrapText="1"/>
    </xf>
    <xf numFmtId="165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5" fontId="5" fillId="9" borderId="0" xfId="3" applyFont="1" applyFill="1" applyBorder="1" applyAlignment="1" applyProtection="1">
      <alignment vertical="center" wrapText="1"/>
    </xf>
    <xf numFmtId="165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5" fontId="38" fillId="15" borderId="1" xfId="8" applyFont="1" applyFill="1" applyBorder="1" applyAlignment="1">
      <alignment horizontal="center"/>
    </xf>
    <xf numFmtId="165" fontId="5" fillId="6" borderId="2" xfId="3" applyFont="1" applyFill="1" applyBorder="1" applyAlignment="1" applyProtection="1">
      <alignment horizontal="center" vertical="center" wrapText="1"/>
    </xf>
    <xf numFmtId="165" fontId="39" fillId="0" borderId="16" xfId="0" applyFont="1" applyBorder="1" applyAlignment="1">
      <alignment horizontal="center"/>
    </xf>
    <xf numFmtId="165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6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5" fontId="0" fillId="0" borderId="0" xfId="0" applyFill="1" applyBorder="1"/>
    <xf numFmtId="165" fontId="0" fillId="0" borderId="0" xfId="0" applyNumberFormat="1" applyFill="1" applyBorder="1" applyAlignment="1"/>
    <xf numFmtId="165" fontId="0" fillId="0" borderId="0" xfId="0" applyNumberFormat="1" applyFill="1" applyBorder="1"/>
    <xf numFmtId="165" fontId="5" fillId="6" borderId="1" xfId="3" applyFont="1" applyFill="1" applyBorder="1" applyAlignment="1" applyProtection="1">
      <alignment horizontal="center" vertical="center" wrapText="1"/>
    </xf>
    <xf numFmtId="165" fontId="4" fillId="4" borderId="17" xfId="4" applyFont="1" applyFill="1" applyBorder="1" applyAlignment="1" applyProtection="1">
      <alignment horizontal="left"/>
    </xf>
    <xf numFmtId="165" fontId="10" fillId="16" borderId="0" xfId="0" applyNumberFormat="1" applyFont="1" applyFill="1"/>
    <xf numFmtId="165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5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5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5" fontId="5" fillId="6" borderId="1" xfId="3" applyFont="1" applyFill="1" applyBorder="1" applyAlignment="1" applyProtection="1">
      <alignment horizontal="center" vertical="center" wrapText="1"/>
    </xf>
    <xf numFmtId="165" fontId="14" fillId="2" borderId="1" xfId="0" applyFont="1" applyFill="1" applyBorder="1" applyAlignment="1">
      <alignment wrapText="1"/>
    </xf>
    <xf numFmtId="165" fontId="4" fillId="4" borderId="1" xfId="0" applyFont="1" applyFill="1" applyBorder="1" applyAlignment="1">
      <alignment vertical="top" wrapText="1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5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5" fontId="5" fillId="6" borderId="1" xfId="3" applyFont="1" applyFill="1" applyBorder="1" applyAlignment="1" applyProtection="1">
      <alignment vertical="center" wrapText="1"/>
    </xf>
    <xf numFmtId="165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5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5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5" fontId="17" fillId="0" borderId="0" xfId="0" applyFont="1" applyAlignment="1" applyProtection="1"/>
    <xf numFmtId="165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165" fontId="42" fillId="0" borderId="0" xfId="0" applyFont="1"/>
    <xf numFmtId="165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5" fontId="17" fillId="0" borderId="0" xfId="0" applyFont="1" applyFill="1" applyAlignment="1" applyProtection="1">
      <alignment horizontal="center" vertical="center"/>
    </xf>
    <xf numFmtId="165" fontId="0" fillId="0" borderId="0" xfId="0" applyFill="1" applyBorder="1" applyAlignment="1" applyProtection="1">
      <alignment vertical="center"/>
    </xf>
    <xf numFmtId="165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5" fontId="17" fillId="0" borderId="18" xfId="0" applyFont="1" applyFill="1" applyBorder="1" applyAlignment="1" applyProtection="1"/>
    <xf numFmtId="165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5" fontId="42" fillId="0" borderId="8" xfId="0" applyFont="1" applyBorder="1"/>
    <xf numFmtId="165" fontId="42" fillId="0" borderId="0" xfId="0" applyFont="1" applyBorder="1"/>
    <xf numFmtId="165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43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5" fontId="17" fillId="9" borderId="18" xfId="0" applyFont="1" applyFill="1" applyBorder="1" applyAlignment="1" applyProtection="1"/>
    <xf numFmtId="165" fontId="17" fillId="9" borderId="0" xfId="0" applyFont="1" applyFill="1" applyBorder="1" applyAlignment="1" applyProtection="1"/>
    <xf numFmtId="165" fontId="0" fillId="9" borderId="0" xfId="0" applyFill="1" applyBorder="1" applyAlignment="1" applyProtection="1">
      <alignment horizontal="center" vertical="center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5" fontId="5" fillId="0" borderId="27" xfId="0" applyFont="1" applyFill="1" applyBorder="1" applyAlignment="1">
      <alignment horizontal="center"/>
    </xf>
    <xf numFmtId="165" fontId="5" fillId="0" borderId="19" xfId="0" applyFont="1" applyFill="1" applyBorder="1" applyAlignment="1">
      <alignment horizontal="center"/>
    </xf>
    <xf numFmtId="165" fontId="5" fillId="9" borderId="0" xfId="3" applyNumberFormat="1" applyFont="1" applyFill="1" applyBorder="1" applyAlignment="1">
      <alignment horizontal="center" vertical="center" wrapText="1"/>
    </xf>
    <xf numFmtId="165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5" fontId="5" fillId="9" borderId="21" xfId="3" applyNumberFormat="1" applyFont="1" applyFill="1" applyBorder="1" applyAlignment="1">
      <alignment horizontal="center" wrapText="1"/>
    </xf>
    <xf numFmtId="165" fontId="5" fillId="9" borderId="22" xfId="3" applyNumberFormat="1" applyFont="1" applyFill="1" applyBorder="1" applyAlignment="1">
      <alignment horizontal="center" wrapText="1"/>
    </xf>
    <xf numFmtId="165" fontId="5" fillId="9" borderId="17" xfId="3" applyNumberFormat="1" applyFont="1" applyFill="1" applyBorder="1" applyAlignment="1">
      <alignment horizontal="center" vertical="center" wrapText="1"/>
    </xf>
    <xf numFmtId="165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5" fontId="5" fillId="9" borderId="18" xfId="3" applyNumberFormat="1" applyFont="1" applyFill="1" applyBorder="1" applyAlignment="1">
      <alignment horizontal="center" vertical="center" wrapText="1"/>
    </xf>
    <xf numFmtId="165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5" fontId="5" fillId="9" borderId="10" xfId="3" applyNumberFormat="1" applyFont="1" applyFill="1" applyBorder="1" applyAlignment="1">
      <alignment horizontal="center" vertical="center" wrapText="1"/>
    </xf>
    <xf numFmtId="165" fontId="5" fillId="11" borderId="38" xfId="3" applyNumberFormat="1" applyFont="1" applyFill="1" applyBorder="1" applyAlignment="1">
      <alignment horizontal="center" vertical="center" wrapText="1"/>
    </xf>
    <xf numFmtId="165" fontId="5" fillId="11" borderId="39" xfId="3" applyNumberFormat="1" applyFont="1" applyFill="1" applyBorder="1" applyAlignment="1">
      <alignment horizontal="center" vertical="center" wrapText="1"/>
    </xf>
    <xf numFmtId="165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5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5" fontId="18" fillId="5" borderId="1" xfId="0" applyNumberFormat="1" applyFont="1" applyFill="1" applyBorder="1" applyAlignment="1">
      <alignment horizontal="left" vertical="center" wrapText="1"/>
    </xf>
    <xf numFmtId="165" fontId="4" fillId="4" borderId="1" xfId="0" applyNumberFormat="1" applyFont="1" applyFill="1" applyBorder="1" applyAlignment="1" applyProtection="1">
      <alignment horizontal="left" vertical="center"/>
    </xf>
    <xf numFmtId="169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5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2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5" fontId="17" fillId="0" borderId="0" xfId="0" applyFont="1" applyAlignment="1" applyProtection="1">
      <alignment vertical="center"/>
    </xf>
    <xf numFmtId="165" fontId="10" fillId="0" borderId="0" xfId="0" applyFont="1" applyAlignment="1" applyProtection="1">
      <alignment vertical="center"/>
    </xf>
    <xf numFmtId="165" fontId="4" fillId="4" borderId="1" xfId="2" applyNumberFormat="1" applyFont="1" applyFill="1" applyBorder="1" applyAlignment="1" applyProtection="1">
      <alignment horizontal="center" vertical="center"/>
    </xf>
    <xf numFmtId="165" fontId="4" fillId="0" borderId="1" xfId="0" applyFont="1" applyBorder="1" applyAlignment="1" applyProtection="1">
      <alignment vertical="center"/>
      <protection locked="0"/>
    </xf>
    <xf numFmtId="165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5" fontId="4" fillId="0" borderId="0" xfId="0" applyFont="1" applyFill="1" applyBorder="1" applyAlignment="1" applyProtection="1">
      <alignment horizontal="center" vertical="center"/>
    </xf>
    <xf numFmtId="165" fontId="4" fillId="9" borderId="0" xfId="3" applyFont="1" applyFill="1" applyBorder="1" applyAlignment="1" applyProtection="1">
      <alignment horizontal="center" vertical="center" wrapText="1"/>
    </xf>
    <xf numFmtId="165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5" fontId="20" fillId="9" borderId="0" xfId="1" applyFont="1" applyFill="1" applyBorder="1" applyAlignment="1" applyProtection="1">
      <alignment horizontal="right" vertical="center" wrapText="1"/>
    </xf>
    <xf numFmtId="165" fontId="19" fillId="9" borderId="0" xfId="0" applyFont="1" applyFill="1" applyAlignment="1" applyProtection="1">
      <alignment horizontal="center" vertical="center" textRotation="45"/>
    </xf>
    <xf numFmtId="165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5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5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5" fontId="17" fillId="9" borderId="4" xfId="0" applyNumberFormat="1" applyFont="1" applyFill="1" applyBorder="1" applyAlignment="1" applyProtection="1">
      <alignment horizontal="center"/>
    </xf>
    <xf numFmtId="165" fontId="17" fillId="9" borderId="0" xfId="0" applyNumberFormat="1" applyFont="1" applyFill="1" applyBorder="1" applyAlignment="1" applyProtection="1">
      <alignment horizontal="center"/>
    </xf>
    <xf numFmtId="165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5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5" fontId="10" fillId="9" borderId="0" xfId="0" applyFont="1" applyFill="1" applyAlignment="1" applyProtection="1">
      <alignment vertical="center"/>
    </xf>
    <xf numFmtId="165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5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5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5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5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165" fontId="38" fillId="15" borderId="1" xfId="8" applyFont="1" applyFill="1" applyBorder="1" applyAlignment="1">
      <alignment horizontal="center"/>
    </xf>
    <xf numFmtId="167" fontId="10" fillId="4" borderId="2" xfId="2" applyNumberFormat="1" applyFont="1" applyFill="1" applyBorder="1" applyAlignment="1" applyProtection="1">
      <alignment horizontal="center" vertical="center"/>
    </xf>
    <xf numFmtId="167" fontId="10" fillId="4" borderId="4" xfId="2" applyNumberFormat="1" applyFont="1" applyFill="1" applyBorder="1" applyAlignment="1" applyProtection="1">
      <alignment horizontal="center" vertical="center"/>
    </xf>
    <xf numFmtId="165" fontId="4" fillId="0" borderId="2" xfId="0" applyNumberFormat="1" applyFont="1" applyFill="1" applyBorder="1" applyAlignment="1" applyProtection="1">
      <alignment horizontal="center" vertical="center"/>
      <protection locked="0"/>
    </xf>
    <xf numFmtId="165" fontId="4" fillId="0" borderId="4" xfId="0" applyNumberFormat="1" applyFont="1" applyFill="1" applyBorder="1" applyAlignment="1" applyProtection="1">
      <alignment horizontal="center" vertical="center"/>
      <protection locked="0"/>
    </xf>
    <xf numFmtId="167" fontId="6" fillId="4" borderId="2" xfId="2" applyNumberFormat="1" applyFont="1" applyFill="1" applyBorder="1" applyAlignment="1" applyProtection="1">
      <alignment horizontal="center" vertical="center"/>
    </xf>
    <xf numFmtId="167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5" fontId="5" fillId="6" borderId="2" xfId="3" applyFont="1" applyFill="1" applyBorder="1" applyAlignment="1" applyProtection="1">
      <alignment horizontal="center" vertical="center" wrapText="1"/>
    </xf>
    <xf numFmtId="165" fontId="5" fillId="6" borderId="4" xfId="3" applyFont="1" applyFill="1" applyBorder="1" applyAlignment="1" applyProtection="1">
      <alignment horizontal="center" vertical="center" wrapText="1"/>
    </xf>
    <xf numFmtId="165" fontId="4" fillId="0" borderId="2" xfId="0" applyFont="1" applyBorder="1" applyAlignment="1" applyProtection="1">
      <alignment horizontal="left" vertical="center"/>
      <protection locked="0"/>
    </xf>
    <xf numFmtId="165" fontId="4" fillId="0" borderId="4" xfId="0" applyFont="1" applyBorder="1" applyAlignment="1" applyProtection="1">
      <alignment horizontal="left" vertical="center"/>
      <protection locked="0"/>
    </xf>
    <xf numFmtId="165" fontId="4" fillId="0" borderId="2" xfId="0" applyFont="1" applyBorder="1" applyAlignment="1" applyProtection="1">
      <alignment horizontal="center" vertical="center"/>
      <protection locked="0"/>
    </xf>
    <xf numFmtId="165" fontId="4" fillId="0" borderId="4" xfId="0" applyFont="1" applyBorder="1" applyAlignment="1" applyProtection="1">
      <alignment horizontal="center" vertical="center"/>
      <protection locked="0"/>
    </xf>
    <xf numFmtId="165" fontId="4" fillId="0" borderId="0" xfId="3" applyFont="1" applyFill="1" applyBorder="1" applyAlignment="1" applyProtection="1">
      <alignment horizontal="center" vertical="center" wrapText="1"/>
    </xf>
    <xf numFmtId="165" fontId="5" fillId="6" borderId="3" xfId="3" applyFont="1" applyFill="1" applyBorder="1" applyAlignment="1" applyProtection="1">
      <alignment horizontal="center" vertical="center" wrapText="1"/>
    </xf>
    <xf numFmtId="165" fontId="5" fillId="6" borderId="6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5" fillId="11" borderId="3" xfId="3" applyFont="1" applyFill="1" applyBorder="1" applyAlignment="1" applyProtection="1">
      <alignment horizontal="center" vertical="center" wrapText="1"/>
    </xf>
    <xf numFmtId="165" fontId="5" fillId="11" borderId="7" xfId="3" applyFont="1" applyFill="1" applyBorder="1" applyAlignment="1" applyProtection="1">
      <alignment horizontal="center" vertical="center" wrapText="1"/>
    </xf>
    <xf numFmtId="165" fontId="0" fillId="12" borderId="3" xfId="0" applyFill="1" applyBorder="1" applyAlignment="1" applyProtection="1">
      <alignment horizontal="center" vertical="center" wrapText="1"/>
    </xf>
    <xf numFmtId="165" fontId="0" fillId="12" borderId="6" xfId="0" applyFill="1" applyBorder="1" applyAlignment="1" applyProtection="1">
      <alignment horizontal="center" vertical="center"/>
    </xf>
    <xf numFmtId="165" fontId="0" fillId="12" borderId="7" xfId="0" applyFill="1" applyBorder="1" applyAlignment="1" applyProtection="1">
      <alignment horizontal="center" vertical="center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5" fillId="11" borderId="1" xfId="3" applyFont="1" applyFill="1" applyBorder="1" applyAlignment="1" applyProtection="1">
      <alignment horizontal="center" vertical="center" wrapText="1"/>
    </xf>
    <xf numFmtId="165" fontId="44" fillId="12" borderId="1" xfId="0" applyFont="1" applyFill="1" applyBorder="1" applyAlignment="1" applyProtection="1">
      <alignment horizontal="center" vertical="center" wrapText="1"/>
    </xf>
    <xf numFmtId="165" fontId="5" fillId="11" borderId="2" xfId="3" applyFont="1" applyFill="1" applyBorder="1" applyAlignment="1" applyProtection="1">
      <alignment horizontal="center" vertical="center" wrapText="1"/>
    </xf>
    <xf numFmtId="165" fontId="5" fillId="11" borderId="5" xfId="3" applyFont="1" applyFill="1" applyBorder="1" applyAlignment="1" applyProtection="1">
      <alignment horizontal="center" vertical="center" wrapText="1"/>
    </xf>
    <xf numFmtId="165" fontId="5" fillId="11" borderId="4" xfId="3" applyFont="1" applyFill="1" applyBorder="1" applyAlignment="1" applyProtection="1">
      <alignment horizontal="center" vertical="center" wrapText="1"/>
    </xf>
    <xf numFmtId="165" fontId="5" fillId="9" borderId="3" xfId="3" applyFont="1" applyFill="1" applyBorder="1" applyAlignment="1" applyProtection="1">
      <alignment horizontal="center" vertical="center" wrapText="1"/>
    </xf>
    <xf numFmtId="165" fontId="5" fillId="9" borderId="6" xfId="3" applyFont="1" applyFill="1" applyBorder="1" applyAlignment="1" applyProtection="1">
      <alignment horizontal="center" vertical="center" wrapText="1"/>
    </xf>
    <xf numFmtId="165" fontId="5" fillId="9" borderId="7" xfId="3" applyFont="1" applyFill="1" applyBorder="1" applyAlignment="1" applyProtection="1">
      <alignment horizontal="center" vertical="center" wrapText="1"/>
    </xf>
    <xf numFmtId="165" fontId="44" fillId="12" borderId="1" xfId="0" applyFont="1" applyFill="1" applyBorder="1" applyAlignment="1" applyProtection="1">
      <alignment horizontal="center" vertical="center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165" fontId="5" fillId="6" borderId="32" xfId="3" applyNumberFormat="1" applyFont="1" applyFill="1" applyBorder="1" applyAlignment="1">
      <alignment horizontal="center" vertical="center" wrapText="1"/>
    </xf>
    <xf numFmtId="165" fontId="5" fillId="6" borderId="49" xfId="3" applyNumberFormat="1" applyFont="1" applyFill="1" applyBorder="1" applyAlignment="1">
      <alignment horizontal="center" vertical="center" wrapText="1"/>
    </xf>
    <xf numFmtId="165" fontId="5" fillId="6" borderId="48" xfId="3" applyNumberFormat="1" applyFont="1" applyFill="1" applyBorder="1" applyAlignment="1">
      <alignment horizontal="center" vertical="center" wrapText="1"/>
    </xf>
    <xf numFmtId="165" fontId="5" fillId="6" borderId="50" xfId="3" applyNumberFormat="1" applyFont="1" applyFill="1" applyBorder="1" applyAlignment="1">
      <alignment horizontal="center" vertical="center" wrapText="1"/>
    </xf>
    <xf numFmtId="165" fontId="5" fillId="6" borderId="29" xfId="3" applyNumberFormat="1" applyFont="1" applyFill="1" applyBorder="1" applyAlignment="1">
      <alignment horizontal="center" vertical="center" wrapText="1"/>
    </xf>
    <xf numFmtId="165" fontId="5" fillId="6" borderId="20" xfId="3" applyNumberFormat="1" applyFont="1" applyFill="1" applyBorder="1" applyAlignment="1">
      <alignment horizontal="center" vertical="center" wrapText="1"/>
    </xf>
    <xf numFmtId="165" fontId="17" fillId="0" borderId="14" xfId="0" applyFont="1" applyBorder="1" applyAlignment="1" applyProtection="1">
      <alignment horizontal="center"/>
    </xf>
    <xf numFmtId="165" fontId="5" fillId="6" borderId="3" xfId="3" applyNumberFormat="1" applyFont="1" applyFill="1" applyBorder="1" applyAlignment="1">
      <alignment horizontal="center" vertical="center" wrapText="1"/>
    </xf>
    <xf numFmtId="165" fontId="5" fillId="6" borderId="7" xfId="3" applyNumberFormat="1" applyFont="1" applyFill="1" applyBorder="1" applyAlignment="1">
      <alignment horizontal="center" vertical="center" wrapText="1"/>
    </xf>
    <xf numFmtId="165" fontId="5" fillId="6" borderId="18" xfId="3" applyNumberFormat="1" applyFont="1" applyFill="1" applyBorder="1" applyAlignment="1">
      <alignment horizontal="center" vertical="center" wrapText="1"/>
    </xf>
    <xf numFmtId="165" fontId="5" fillId="6" borderId="13" xfId="3" applyNumberFormat="1" applyFont="1" applyFill="1" applyBorder="1" applyAlignment="1">
      <alignment horizontal="center" vertical="center" wrapText="1"/>
    </xf>
    <xf numFmtId="165" fontId="5" fillId="18" borderId="41" xfId="3" applyNumberFormat="1" applyFont="1" applyFill="1" applyBorder="1" applyAlignment="1">
      <alignment horizontal="center" vertical="center" wrapText="1"/>
    </xf>
    <xf numFmtId="165" fontId="5" fillId="18" borderId="42" xfId="3" applyNumberFormat="1" applyFont="1" applyFill="1" applyBorder="1" applyAlignment="1">
      <alignment horizontal="center" vertical="center" wrapText="1"/>
    </xf>
    <xf numFmtId="165" fontId="5" fillId="11" borderId="35" xfId="3" applyFont="1" applyFill="1" applyBorder="1" applyAlignment="1" applyProtection="1">
      <alignment horizontal="center" vertical="center" wrapText="1"/>
    </xf>
    <xf numFmtId="165" fontId="5" fillId="11" borderId="36" xfId="3" applyFont="1" applyFill="1" applyBorder="1" applyAlignment="1" applyProtection="1">
      <alignment horizontal="center" vertical="center" wrapText="1"/>
    </xf>
    <xf numFmtId="165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5" fontId="5" fillId="6" borderId="21" xfId="3" applyNumberFormat="1" applyFont="1" applyFill="1" applyBorder="1" applyAlignment="1">
      <alignment horizontal="center" vertical="center" wrapText="1"/>
    </xf>
    <xf numFmtId="165" fontId="5" fillId="6" borderId="10" xfId="3" applyNumberFormat="1" applyFont="1" applyFill="1" applyBorder="1" applyAlignment="1">
      <alignment horizontal="center" vertical="center" wrapText="1"/>
    </xf>
    <xf numFmtId="165" fontId="5" fillId="6" borderId="28" xfId="3" applyNumberFormat="1" applyFont="1" applyFill="1" applyBorder="1" applyAlignment="1">
      <alignment horizontal="center" vertical="center" wrapText="1"/>
    </xf>
    <xf numFmtId="165" fontId="5" fillId="18" borderId="53" xfId="3" applyNumberFormat="1" applyFont="1" applyFill="1" applyBorder="1" applyAlignment="1">
      <alignment horizontal="center" vertical="center" wrapText="1"/>
    </xf>
    <xf numFmtId="165" fontId="5" fillId="18" borderId="54" xfId="3" applyNumberFormat="1" applyFont="1" applyFill="1" applyBorder="1" applyAlignment="1">
      <alignment horizontal="center" vertical="center" wrapText="1"/>
    </xf>
    <xf numFmtId="165" fontId="5" fillId="18" borderId="55" xfId="3" applyNumberFormat="1" applyFont="1" applyFill="1" applyBorder="1" applyAlignment="1">
      <alignment horizontal="center" vertical="center" wrapText="1"/>
    </xf>
    <xf numFmtId="165" fontId="14" fillId="0" borderId="8" xfId="0" applyFont="1" applyBorder="1" applyAlignment="1" applyProtection="1">
      <alignment horizontal="center"/>
    </xf>
    <xf numFmtId="165" fontId="14" fillId="0" borderId="12" xfId="0" applyFont="1" applyBorder="1" applyAlignment="1" applyProtection="1">
      <alignment horizontal="center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5" fontId="3" fillId="0" borderId="1" xfId="3" applyFont="1" applyFill="1" applyBorder="1" applyAlignment="1" applyProtection="1">
      <alignment horizontal="center" vertical="center" wrapText="1"/>
    </xf>
    <xf numFmtId="165" fontId="5" fillId="6" borderId="5" xfId="3" applyFont="1" applyFill="1" applyBorder="1" applyAlignment="1" applyProtection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2" fillId="5" borderId="1" xfId="2" applyNumberFormat="1" applyFont="1" applyFill="1" applyBorder="1" applyAlignment="1" applyProtection="1">
      <alignment horizontal="center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1" fontId="2" fillId="5" borderId="1" xfId="2" applyNumberFormat="1" applyFont="1" applyFill="1" applyBorder="1" applyAlignment="1" applyProtection="1">
      <alignment horizontal="center" vertical="center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left" vertical="center" wrapText="1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165" fontId="4" fillId="0" borderId="1" xfId="3" applyFont="1" applyFill="1" applyBorder="1" applyAlignment="1" applyProtection="1">
      <alignment horizontal="center" vertical="center" wrapText="1"/>
    </xf>
    <xf numFmtId="165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02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194"/>
    <tableColumn id="2" name="Nome da Função" dataDxfId="193" totalsRowDxfId="192" dataCellStyle="Normal 6"/>
    <tableColumn id="3" name="Tipo de Manutenção" dataDxfId="191" totalsRowDxfId="190" dataCellStyle="Normal 6"/>
    <tableColumn id="4" name="Tipo de Função" dataDxfId="189" totalsRowDxfId="188" dataCellStyle="Normal 6"/>
    <tableColumn id="5" name="Qtde Registros Lógicos/ Arquivos Referenciados" dataDxfId="187" totalsRowDxfId="186" dataCellStyle="Normal 6"/>
    <tableColumn id="6" name="Qtde de Itens" dataDxfId="185" totalsRowDxfId="184" dataCellStyle="Normal 6"/>
    <tableColumn id="11" name="Descrição dos Registros Lógicos/Arquivos Referenciados" dataDxfId="183" totalsRowDxfId="182" dataCellStyle="Normal 6"/>
    <tableColumn id="10" name="Descrição dos Itens de Dados" dataDxfId="181" totalsRowDxfId="180" dataCellStyle="Normal 6"/>
    <tableColumn id="7" name="Complexidade" dataDxfId="179" totalsRowDxfId="178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77" totalsRowDxfId="176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75" totalsRowDxfId="174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73" totalsRowDxfId="172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71" dataDxfId="169" totalsRowDxfId="167" headerRowBorderDxfId="170" tableBorderDxfId="168" totalsRowBorderDxfId="166">
  <autoFilter ref="B6:P26"/>
  <tableColumns count="15">
    <tableColumn id="1" name="Fronteira" totalsRowLabel="Total" dataDxfId="165" totalsRowDxfId="164"/>
    <tableColumn id="10" name="Analogia" dataDxfId="163" totalsRowDxfId="162" dataCellStyle="Normal 6"/>
    <tableColumn id="2" name="Nome da Função" dataDxfId="161" totalsRowDxfId="160" dataCellStyle="Normal 6"/>
    <tableColumn id="3" name="Tipo de Manutenção" dataDxfId="159" totalsRowDxfId="158" dataCellStyle="Normal 6"/>
    <tableColumn id="4" name="Tipo de Função" dataDxfId="157" totalsRowDxfId="156" dataCellStyle="Normal 6"/>
    <tableColumn id="5" name="Qtde Registros Lógicos/ Arquivos Referenciados" dataDxfId="155" totalsRowDxfId="154" dataCellStyle="Normal 6"/>
    <tableColumn id="6" name="Qtde de Itens" dataDxfId="153" totalsRowDxfId="152" dataCellStyle="Normal 6"/>
    <tableColumn id="13" name="Descrição dos Registros Lógicos/Arquivos Referenciados" dataDxfId="151" totalsRowDxfId="150" dataCellStyle="Normal 6"/>
    <tableColumn id="12" name="Descrição dos Itens de Dados" dataDxfId="149" totalsRowDxfId="148" dataCellStyle="Normal 6"/>
    <tableColumn id="7" name="Complexidade" dataDxfId="147" totalsRowDxfId="14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45" totalsRowDxfId="144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43" totalsRowDxfId="142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41" totalsRowDxfId="140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39" totalsRowDxfId="138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37" totalsRowDxfId="136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35" dataDxfId="133" totalsRowDxfId="131" headerRowBorderDxfId="134" tableBorderDxfId="132" headerRowCellStyle="Normal 6">
  <autoFilter ref="B5:L18"/>
  <tableColumns count="11">
    <tableColumn id="8" name="Id" dataDxfId="130" totalsRowDxfId="129"/>
    <tableColumn id="1" name="Fases do Ciclo de Vida / Artefatos" totalsRowLabel="Total" dataDxfId="128" totalsRowDxfId="127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26" totalsRowDxfId="125" dataCellStyle="Normal 5"/>
    <tableColumn id="3" name="Esforço em Horas (calculado)" totalsRowFunction="custom" dataDxfId="124" totalsRowDxfId="123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22" totalsRowDxfId="121" dataCellStyle="Normal 5"/>
    <tableColumn id="5" name="Percentual Calculado da Fase" totalsRowFunction="sum" dataDxfId="120" totalsRowDxfId="119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18" totalsRowDxfId="117" dataCellStyle="Normal 5">
      <calculatedColumnFormula>(Pontos_APF+IF(EsforcoFases[[#This Row],[Man Cosmetica Especial]]=FALSE,Pontos_Analogia,Pontos_Analogia_SemFatorImpacto))*0</calculatedColumnFormula>
    </tableColumn>
    <tableColumn id="7" name="checks" dataDxfId="116" totalsRowDxfId="115">
      <calculatedColumnFormula>IF(EsforcoFases[[#This Row],[Contratação]]=Sim,TRUE,FALSE)</calculatedColumnFormula>
    </tableColumn>
    <tableColumn id="9" name="Ativ. Fabrica Testes" dataDxfId="114" totalsRowDxfId="113">
      <calculatedColumnFormula>AND(FabricaTestes,VLOOKUP(B6,PercentuaisFases[],VLOOKUP(Fornecedor,MapFasesFornecedores[#All],4,FALSE),FALSE))</calculatedColumnFormula>
    </tableColumn>
    <tableColumn id="10" name="Max" dataDxfId="112" totalsRowDxfId="111">
      <calculatedColumnFormula>IF(C6="",0)</calculatedColumnFormula>
    </tableColumn>
    <tableColumn id="11" name="Man Cosmetica Especial" dataDxfId="110" totalsRowDxfId="109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40" totalsRowShown="0" headerRowDxfId="108" dataDxfId="106" headerRowBorderDxfId="107" tableBorderDxfId="105" totalsRowBorderDxfId="104" headerRowCellStyle="Normal 6" dataCellStyle="Normal 9">
  <autoFilter ref="B4:L40"/>
  <tableColumns count="11">
    <tableColumn id="1" name="Nome Sistema ou Tecnologia" dataDxfId="103" dataCellStyle="Normal 9"/>
    <tableColumn id="2" name="Produtividade Inclusão" dataDxfId="102" dataCellStyle="Normal 9"/>
    <tableColumn id="10" name="Produtividade Alteração" dataDxfId="101" dataCellStyle="Normal 9">
      <calculatedColumnFormula>Produtividades[[#This Row],[Produtividade Inclusão]]</calculatedColumnFormula>
    </tableColumn>
    <tableColumn id="11" name="Produtividade Exclusão" dataDxfId="100" dataCellStyle="Normal 9">
      <calculatedColumnFormula>Produtividades[[#This Row],[Produtividade Inclusão]]</calculatedColumnFormula>
    </tableColumn>
    <tableColumn id="8" name="Taxa horária" dataDxfId="99" dataCellStyle="Normal 9"/>
    <tableColumn id="6" name="Contrato" dataDxfId="98" dataCellStyle="Normal 9"/>
    <tableColumn id="7" name="Fornecedor" dataDxfId="97" dataCellStyle="Normal 9"/>
    <tableColumn id="3" name="Aba Itens configuração" dataDxfId="96" dataCellStyle="Normal 9"/>
    <tableColumn id="9" name="Aba Estimator" dataDxfId="95" dataCellStyle="Normal 9"/>
    <tableColumn id="4" name="Sistema/Tecnologia" dataDxfId="94" dataCellStyle="Normal 9"/>
    <tableColumn id="5" name="Fábrica Testes" dataDxfId="93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92" dataDxfId="91">
  <autoFilter ref="J4:J16"/>
  <sortState ref="J5:J16">
    <sortCondition ref="J6"/>
  </sortState>
  <tableColumns count="1">
    <tableColumn id="1" name="Motivo" dataDxfId="9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89" dataDxfId="87" headerRowBorderDxfId="88" tableBorderDxfId="86" totalsRowBorderDxfId="85" headerRowCellStyle="Normal 6">
  <autoFilter ref="I4:I6"/>
  <tableColumns count="1">
    <tableColumn id="1" name="Tipo Contagem" dataDxfId="84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83" dataDxfId="81" headerRowBorderDxfId="82" tableBorderDxfId="80" totalsRowBorderDxfId="79" headerRowCellStyle="Normal 6">
  <autoFilter ref="H4:H7"/>
  <tableColumns count="1">
    <tableColumn id="1" name="Complexidade" dataDxfId="78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77" dataDxfId="75" headerRowBorderDxfId="76" tableBorderDxfId="74" totalsRowBorderDxfId="73" headerRowCellStyle="Normal 6">
  <autoFilter ref="G4:G9"/>
  <tableColumns count="1">
    <tableColumn id="1" name="Tipo de Função (ALI/AIE/EE/SE/CE)" dataDxfId="72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71" dataDxfId="69" headerRowBorderDxfId="70" tableBorderDxfId="68" totalsRowBorderDxfId="67" headerRowCellStyle="Normal 6">
  <autoFilter ref="F4:F7"/>
  <tableColumns count="1">
    <tableColumn id="1" name="Tipo de Manutenção (I/A/E)" dataDxfId="66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29" totalsRowShown="0" headerRowDxfId="65" headerRowBorderDxfId="64" tableBorderDxfId="63" totalsRowBorderDxfId="62">
  <autoFilter ref="E4:E29"/>
  <tableColumns count="1">
    <tableColumn id="1" name="Fornecedor" dataDxfId="61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60" headerRowBorderDxfId="59" tableBorderDxfId="58" totalsRowBorderDxfId="57">
  <autoFilter ref="D4:D7"/>
  <tableColumns count="1">
    <tableColumn id="1" name="Contrato" dataDxfId="56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55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54" dataDxfId="53">
  <autoFilter ref="Q1:R8"/>
  <tableColumns count="2">
    <tableColumn id="1" name="Analogia" dataDxfId="52"/>
    <tableColumn id="2" name="Fator de ajuste" dataDxfId="51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50" dataDxfId="48" headerRowBorderDxfId="49" tableBorderDxfId="47" totalsRowBorderDxfId="46" headerRowCellStyle="Normal 6">
  <autoFilter ref="A2:W21"/>
  <tableColumns count="23">
    <tableColumn id="4" name="Id" dataDxfId="45"/>
    <tableColumn id="8" name="Man Cosmetica Especial" dataDxfId="44"/>
    <tableColumn id="1" name="Fases do Ciclo de Vida / Artefatos 1" dataDxfId="43"/>
    <tableColumn id="2" name="Percentual 1" dataDxfId="42"/>
    <tableColumn id="6" name="Fábrica testes 1" dataDxfId="41"/>
    <tableColumn id="5" name="Fases do Ciclo de Vida / Artefatos 2" dataDxfId="40"/>
    <tableColumn id="3" name="Percentual 2" dataDxfId="39"/>
    <tableColumn id="7" name="Fábrica testes 2" dataDxfId="38"/>
    <tableColumn id="9" name="Fases do Ciclo de Vida / Artefatos 3" dataDxfId="37"/>
    <tableColumn id="10" name="Percentual 3" dataDxfId="36"/>
    <tableColumn id="11" name="Fábrica testes 3" dataDxfId="35"/>
    <tableColumn id="12" name="Fases do Ciclo de Vida / Artefatos 4" dataDxfId="34"/>
    <tableColumn id="13" name="Percentual 4" dataDxfId="33"/>
    <tableColumn id="14" name="Fábrica testes 4" dataDxfId="32"/>
    <tableColumn id="15" name="Fases do Ciclo de Vida / Artefatos 5" dataDxfId="31"/>
    <tableColumn id="16" name="Percentual 5" dataDxfId="30"/>
    <tableColumn id="17" name="Fábrica testes 5" dataDxfId="29"/>
    <tableColumn id="18" name="Fases do Ciclo de Vida / Artefatos 6" dataDxfId="28"/>
    <tableColumn id="19" name="Percentual 6" dataDxfId="27"/>
    <tableColumn id="20" name="Fábrica testes 6" dataDxfId="26"/>
    <tableColumn id="21" name="Fases do Ciclo de Vida / Artefatos 7" dataDxfId="25"/>
    <tableColumn id="22" name="Percentual 7" dataDxfId="24"/>
    <tableColumn id="23" name="Fábrica testes 7" dataDxfId="23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7" totalsRowShown="0" headerRowDxfId="22" dataDxfId="21">
  <autoFilter ref="Y2:AD27"/>
  <tableColumns count="6">
    <tableColumn id="1" name="Fornecedor" dataDxfId="20">
      <calculatedColumnFormula>Parâmetros!E5</calculatedColumnFormula>
    </tableColumn>
    <tableColumn id="3" name="Descrição" dataDxfId="19"/>
    <tableColumn id="2" name="Percentual" dataDxfId="18"/>
    <tableColumn id="4" name="Fábrica testes" dataDxfId="17"/>
    <tableColumn id="5" name="Man Cosmetica Especial" dataDxfId="16"/>
    <tableColumn id="6" name="Variacao Gestao" dataDxfId="15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14" dataDxfId="12" headerRowBorderDxfId="13" tableBorderDxfId="11" totalsRowBorderDxfId="10">
  <autoFilter ref="A2:H15"/>
  <sortState ref="A3:H13">
    <sortCondition ref="A2:A13"/>
  </sortState>
  <tableColumns count="8">
    <tableColumn id="2" name="Itens 1" dataDxfId="9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8"/>
    <tableColumn id="6" name="Fabrica Testes 1" dataDxfId="7"/>
    <tableColumn id="4" name="Lista 1" dataDxfId="6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5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"/>
    <tableColumn id="7" name="Fabrica Testes 2" dataDxfId="3"/>
    <tableColumn id="8" name="Lista 2" dataDxfId="2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7" totalsRowShown="0">
  <autoFilter ref="K2:M27"/>
  <tableColumns count="3">
    <tableColumn id="1" name="Fornecedor">
      <calculatedColumnFormula>Parâmetros!E5</calculatedColumnFormula>
    </tableColumn>
    <tableColumn id="2" name="Itens" dataDxfId="1">
      <calculatedColumnFormula>ItensNaoFuncionais[[#Headers],[Itens 1]]</calculatedColumnFormula>
    </tableColumn>
    <tableColumn id="3" name="Coluna obrigtório" dataDxfId="0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A16" sqref="A16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28" t="s">
        <v>360</v>
      </c>
      <c r="B6" s="428"/>
      <c r="C6" s="428"/>
      <c r="D6" s="428"/>
      <c r="E6" s="428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/>
      <c r="B8" s="177"/>
      <c r="C8" s="222"/>
      <c r="D8" s="222"/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WrLnj2cTZcA4vowTnz1sTHbcoEN2rWV6ub2GO5tJHnA0paan/Ye8+/bFPe98i51w3xP8nd2mrCvNSEA64lWAiw==" saltValue="bl7tIlcekAFSb7z9S0k3xQ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zoomScale="90" zoomScaleNormal="90" workbookViewId="0">
      <selection activeCell="E13" sqref="E13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37" t="s">
        <v>25</v>
      </c>
      <c r="C2" s="437"/>
      <c r="D2" s="437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38" t="s">
        <v>143</v>
      </c>
      <c r="D4" s="439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42">
        <v>26199</v>
      </c>
      <c r="D6" s="443"/>
      <c r="E6" s="61"/>
      <c r="F6" s="161"/>
    </row>
    <row r="7" spans="2:6" ht="18" customHeight="1" x14ac:dyDescent="0.2">
      <c r="B7" s="189" t="s">
        <v>280</v>
      </c>
      <c r="C7" s="442">
        <v>23563</v>
      </c>
      <c r="D7" s="443"/>
      <c r="E7" s="61"/>
      <c r="F7" s="161"/>
    </row>
    <row r="8" spans="2:6" ht="54" customHeight="1" x14ac:dyDescent="0.2">
      <c r="B8" s="52" t="s">
        <v>21</v>
      </c>
      <c r="C8" s="444" t="s">
        <v>498</v>
      </c>
      <c r="D8" s="445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>Sistema</v>
      </c>
      <c r="D9" s="378" t="s">
        <v>283</v>
      </c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46" t="str">
        <f>IFERROR(VLOOKUP(Sistema,Produtividades[],COLUMN(Produtividades[[#Headers],[Contrato]])-1,FALSE),"")</f>
        <v>Uso comercial</v>
      </c>
      <c r="D11" s="447"/>
      <c r="F11" s="158"/>
    </row>
    <row r="12" spans="2:6" x14ac:dyDescent="0.2">
      <c r="F12" s="158"/>
    </row>
    <row r="13" spans="2:6" x14ac:dyDescent="0.2">
      <c r="B13" s="179" t="s">
        <v>271</v>
      </c>
      <c r="C13" s="446" t="s">
        <v>173</v>
      </c>
      <c r="D13" s="447"/>
      <c r="F13" s="158"/>
    </row>
    <row r="14" spans="2:6" x14ac:dyDescent="0.2">
      <c r="F14" s="158"/>
    </row>
    <row r="15" spans="2:6" x14ac:dyDescent="0.2">
      <c r="B15" s="53" t="s">
        <v>166</v>
      </c>
      <c r="C15" s="452" t="s">
        <v>183</v>
      </c>
      <c r="D15" s="453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54" t="s">
        <v>156</v>
      </c>
      <c r="D17" s="455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46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20.86</v>
      </c>
      <c r="D19" s="447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80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48">
        <f>Horas_APF</f>
        <v>0</v>
      </c>
      <c r="D26" s="449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50" t="s">
        <v>24</v>
      </c>
      <c r="D28" s="451"/>
      <c r="E28" s="19"/>
      <c r="F28" s="19"/>
    </row>
    <row r="29" spans="2:6" ht="18" customHeight="1" x14ac:dyDescent="0.2">
      <c r="B29" s="52" t="s">
        <v>29</v>
      </c>
      <c r="C29" s="446">
        <f ca="1">ROUND(IF(RespostaContagem=Sim,Horas_HH_Total,Horas_HH_Total+EsforcoFases[[#Totals],[Esforço em Horas (preenchido)]]),2)</f>
        <v>184</v>
      </c>
      <c r="D29" s="447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33.119999999999997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40" t="e">
        <f ca="1">ROUND((Horas_APF+Horas_Analogia+Horas_HH+Horas_Gestao)*Flip,2)</f>
        <v>#VALUE!</v>
      </c>
      <c r="D34" s="441"/>
      <c r="E34" s="16"/>
      <c r="F34" s="16"/>
    </row>
    <row r="36" spans="2:6" x14ac:dyDescent="0.2">
      <c r="B36" s="53" t="s">
        <v>175</v>
      </c>
      <c r="C36" s="429">
        <f>VLOOKUP(Sistema,Produtividades[],COLUMN(Produtividades[[#Headers],[Taxa horária]])-1,FALSE)</f>
        <v>154.36000000000001</v>
      </c>
      <c r="D36" s="430"/>
    </row>
    <row r="38" spans="2:6" x14ac:dyDescent="0.2">
      <c r="B38" s="53" t="s">
        <v>179</v>
      </c>
      <c r="C38" s="429" t="e">
        <f ca="1">Horas_Total*Taxa_Horaria</f>
        <v>#VALUE!</v>
      </c>
      <c r="D38" s="430"/>
    </row>
    <row r="40" spans="2:6" x14ac:dyDescent="0.2">
      <c r="B40" s="53" t="s">
        <v>178</v>
      </c>
      <c r="C40" s="431"/>
      <c r="D40" s="432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35"/>
      <c r="D42" s="436"/>
    </row>
    <row r="44" spans="2:6" ht="15.75" x14ac:dyDescent="0.2">
      <c r="B44" s="53" t="s">
        <v>180</v>
      </c>
      <c r="C44" s="433" t="e">
        <f ca="1">Custo-Desconto</f>
        <v>#VALUE!</v>
      </c>
      <c r="D44" s="434"/>
    </row>
  </sheetData>
  <sheetProtection algorithmName="SHA-512" hashValue="0sXRgPiYNMP+8A+Kx1Pi6xilI7V6guoWOe2FpGjelAwGMyyAwtx0WChYxROZIR1Q5HuCAB6QoHm2XarwiU5p3g==" saltValue="y6dTJ5UlY8CPRk0cGlhE+w==" spinCount="100000" sheet="1" objects="1" scenarios="1"/>
  <mergeCells count="19"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  <mergeCell ref="C36:D36"/>
    <mergeCell ref="C38:D38"/>
    <mergeCell ref="C40:D40"/>
    <mergeCell ref="C44:D44"/>
    <mergeCell ref="C42:D42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G19" sqref="G19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37" t="str">
        <f>IF(TipoContagem=TipoContagemDetalhada,"Pontos de Função - Contagem Detalhada Conforme IFPUG","Pontos de Função - Contagem Estimada Conforme NESMA")</f>
        <v>Pontos de Função - Contagem Detalhada Conforme IFPUG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x14ac:dyDescent="0.2">
      <c r="B7" s="268"/>
      <c r="C7" s="269"/>
      <c r="D7" s="270"/>
      <c r="E7" s="270"/>
      <c r="F7" s="270"/>
      <c r="G7" s="270"/>
      <c r="H7" s="412"/>
      <c r="I7" s="412"/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9"/>
      <c r="P7" s="272"/>
    </row>
    <row r="8" spans="2:16" s="271" customFormat="1" x14ac:dyDescent="0.2">
      <c r="B8" s="268"/>
      <c r="C8" s="269"/>
      <c r="D8" s="270"/>
      <c r="E8" s="270"/>
      <c r="F8" s="270"/>
      <c r="G8" s="270"/>
      <c r="H8" s="412"/>
      <c r="I8" s="412"/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9"/>
      <c r="P8" s="272" t="s">
        <v>258</v>
      </c>
    </row>
    <row r="9" spans="2:16" s="271" customFormat="1" x14ac:dyDescent="0.2">
      <c r="B9" s="268"/>
      <c r="C9" s="269"/>
      <c r="D9" s="270"/>
      <c r="E9" s="270"/>
      <c r="F9" s="270"/>
      <c r="G9" s="270"/>
      <c r="H9" s="412"/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9"/>
      <c r="P9" s="272" t="s">
        <v>259</v>
      </c>
    </row>
    <row r="10" spans="2:16" s="271" customFormat="1" x14ac:dyDescent="0.2">
      <c r="B10" s="268"/>
      <c r="C10" s="269"/>
      <c r="D10" s="270"/>
      <c r="E10" s="270"/>
      <c r="F10" s="270"/>
      <c r="G10" s="270"/>
      <c r="H10" s="412"/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9"/>
      <c r="P10" s="272" t="s">
        <v>260</v>
      </c>
    </row>
    <row r="11" spans="2:16" s="271" customFormat="1" x14ac:dyDescent="0.2">
      <c r="B11" s="268"/>
      <c r="C11" s="269"/>
      <c r="D11" s="270"/>
      <c r="E11" s="270"/>
      <c r="F11" s="270"/>
      <c r="G11" s="270"/>
      <c r="H11" s="412"/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9"/>
      <c r="P11" s="272"/>
    </row>
    <row r="12" spans="2:16" s="271" customFormat="1" x14ac:dyDescent="0.2">
      <c r="B12" s="268"/>
      <c r="C12" s="269"/>
      <c r="D12" s="270"/>
      <c r="E12" s="270"/>
      <c r="F12" s="270"/>
      <c r="G12" s="270"/>
      <c r="H12" s="412"/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9"/>
      <c r="P12" s="272"/>
    </row>
    <row r="13" spans="2:16" s="271" customFormat="1" x14ac:dyDescent="0.2">
      <c r="B13" s="268"/>
      <c r="C13" s="269"/>
      <c r="D13" s="270"/>
      <c r="E13" s="270"/>
      <c r="F13" s="270"/>
      <c r="G13" s="270"/>
      <c r="H13" s="412"/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9"/>
    </row>
    <row r="14" spans="2:16" s="271" customFormat="1" x14ac:dyDescent="0.2">
      <c r="B14" s="268"/>
      <c r="C14" s="269"/>
      <c r="D14" s="270"/>
      <c r="E14" s="270"/>
      <c r="F14" s="270"/>
      <c r="G14" s="270"/>
      <c r="H14" s="412"/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9"/>
    </row>
    <row r="15" spans="2:16" s="271" customFormat="1" x14ac:dyDescent="0.2">
      <c r="B15" s="268"/>
      <c r="C15" s="269"/>
      <c r="D15" s="270"/>
      <c r="E15" s="270"/>
      <c r="F15" s="270"/>
      <c r="G15" s="270"/>
      <c r="H15" s="412"/>
      <c r="I15" s="412"/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9"/>
    </row>
    <row r="16" spans="2:16" s="271" customFormat="1" x14ac:dyDescent="0.2">
      <c r="B16" s="268"/>
      <c r="C16" s="269"/>
      <c r="D16" s="270"/>
      <c r="E16" s="270"/>
      <c r="F16" s="270"/>
      <c r="G16" s="270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68"/>
      <c r="C17" s="269"/>
      <c r="D17" s="270"/>
      <c r="E17" s="270"/>
      <c r="F17" s="270"/>
      <c r="G17" s="270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x14ac:dyDescent="0.2">
      <c r="B18" s="268"/>
      <c r="C18" s="269"/>
      <c r="D18" s="270"/>
      <c r="E18" s="270"/>
      <c r="F18" s="270"/>
      <c r="G18" s="270"/>
      <c r="H18" s="412"/>
      <c r="I18" s="412"/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9"/>
    </row>
    <row r="19" spans="2:13" s="271" customFormat="1" x14ac:dyDescent="0.2">
      <c r="B19" s="268"/>
      <c r="C19" s="269"/>
      <c r="D19" s="270"/>
      <c r="E19" s="270"/>
      <c r="F19" s="270"/>
      <c r="G19" s="270"/>
      <c r="H19" s="412"/>
      <c r="I19" s="412"/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9"/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x14ac:dyDescent="0.2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>SUBTOTAL(109,PontosFuncao[PF])</f>
        <v>0</v>
      </c>
      <c r="L27" s="359">
        <f>SUBTOTAL(109,PontosFuncao[Esforço])</f>
        <v>0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j9AkLaW/PWdGVTFDVb744DTkhn/Wsi8KSbQvViz1ZMTmLtRhuhS8zrQtOoCxkqchnU5qG/dW1191TewFV4TKkg==" saltValue="1rS/8IPhHfU87R9Atvuaxw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37" t="s">
        <v>71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</row>
    <row r="3" spans="2:19" s="31" customFormat="1" ht="20.100000000000001" customHeight="1" x14ac:dyDescent="0.2">
      <c r="B3" s="456" t="s">
        <v>40</v>
      </c>
      <c r="C3" s="456"/>
      <c r="D3" s="456"/>
      <c r="E3" s="456"/>
      <c r="F3" s="456"/>
      <c r="G3" s="456"/>
      <c r="H3" s="456"/>
      <c r="I3" s="456"/>
      <c r="J3" s="456"/>
      <c r="K3" s="456"/>
      <c r="L3" s="456"/>
      <c r="M3" s="456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x14ac:dyDescent="0.2">
      <c r="B7" s="223"/>
      <c r="C7" s="269"/>
      <c r="D7" s="269"/>
      <c r="E7" s="270"/>
      <c r="F7" s="270"/>
      <c r="G7" s="270"/>
      <c r="H7" s="270"/>
      <c r="I7" s="412"/>
      <c r="J7" s="412"/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8">
        <f>IF(Analogia[[#This Row],[Tipo de Função]]="",0,INDEX(Pesos_IFPUG,MATCH(Analogia[[#This Row],[Tipo de Função]],Pesos_IFPUG_Objetos,0),MATCH(Analogia[[#This Row],[Complexidade]],Pesos_IFPUG_Complexidade,0)))</f>
        <v>0</v>
      </c>
      <c r="M7" s="218">
        <f>ROUND(IF(Analogia[[#This Row],[Tipo de Função]]="",0,Analogia[[#This Row],[PF s/ Fator de Impacto]]*VLOOKUP(Analogia[[#This Row],[Analogia]],FatoresAjuste_Analogia_[],2,FALSE)),2)</f>
        <v>0</v>
      </c>
      <c r="N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9"/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x14ac:dyDescent="0.2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>SUBTOTAL(109,Analogia[PF s/ Fator de Impacto])</f>
        <v>0</v>
      </c>
      <c r="M27" s="205">
        <f>SUBTOTAL(109,Analogia[Pontos])</f>
        <v>0</v>
      </c>
      <c r="N27" s="359">
        <f>SUBTOTAL(109,Analogia[Esforço com Impacto])</f>
        <v>0</v>
      </c>
      <c r="O27" s="359">
        <f>SUBTOTAL(109,Analogia[Esforço sem Impacto])</f>
        <v>0</v>
      </c>
      <c r="P27" s="273"/>
    </row>
  </sheetData>
  <sheetProtection algorithmName="SHA-512" hashValue="TiDV5KT+REX8ih+KziFcoELkeaJOcqIpv+ZmpSPSFbq1ZFVCHJfNSybdjQZgAiMU+86SHwFG3zCcajr5F1Qa/Q==" saltValue="g3mi8/Tu4Fgv4vg2z7iy4w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37" t="s">
        <v>98</v>
      </c>
      <c r="D2" s="437"/>
      <c r="E2" s="437"/>
      <c r="F2" s="437"/>
      <c r="G2" s="437"/>
      <c r="H2" s="437"/>
      <c r="I2" s="437"/>
    </row>
    <row r="3" spans="2:25" s="31" customFormat="1" ht="34.5" customHeight="1" x14ac:dyDescent="0.2">
      <c r="B3" s="30"/>
      <c r="C3" s="465"/>
      <c r="D3" s="465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6">
        <f>SUM(Q:Q)</f>
        <v>0</v>
      </c>
      <c r="E5" s="466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7" t="s">
        <v>100</v>
      </c>
      <c r="D8" s="457" t="s">
        <v>101</v>
      </c>
      <c r="E8" s="457" t="s">
        <v>4</v>
      </c>
      <c r="F8" s="457" t="s">
        <v>102</v>
      </c>
      <c r="G8" s="457" t="s">
        <v>103</v>
      </c>
      <c r="H8" s="467" t="s">
        <v>104</v>
      </c>
      <c r="I8" s="467"/>
      <c r="J8" s="467"/>
      <c r="K8" s="467"/>
      <c r="L8" s="467"/>
      <c r="M8" s="467"/>
      <c r="N8" s="467"/>
      <c r="O8" s="467"/>
      <c r="P8" s="467"/>
      <c r="Q8" s="457" t="s">
        <v>105</v>
      </c>
    </row>
    <row r="9" spans="2:25" ht="25.5" x14ac:dyDescent="0.2">
      <c r="C9" s="458"/>
      <c r="D9" s="458"/>
      <c r="E9" s="458"/>
      <c r="F9" s="458"/>
      <c r="G9" s="458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0" t="s">
        <v>112</v>
      </c>
      <c r="Q9" s="458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59"/>
      <c r="D10" s="459"/>
      <c r="E10" s="459"/>
      <c r="F10" s="459"/>
      <c r="G10" s="459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1"/>
      <c r="Q10" s="459"/>
    </row>
    <row r="11" spans="2:25" ht="15" x14ac:dyDescent="0.2">
      <c r="C11" s="462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3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3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3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3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3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3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3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3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3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3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3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3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3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3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3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3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4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Niw4dPL4SmSQUOJMEQIxjwSSml79XXhOwaCrkKJ2AaoF4esESJGhg6FSE8dYsXBCXX353QnOhAQuHU5TuPSgXw==" saltValue="tTt5bPeZRAYcs+x200gwXw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7" t="s">
        <v>410</v>
      </c>
      <c r="D2" s="437"/>
      <c r="E2" s="437"/>
      <c r="F2" s="437"/>
      <c r="G2" s="437"/>
      <c r="H2" s="437"/>
      <c r="I2" s="437"/>
      <c r="J2" s="437"/>
    </row>
    <row r="3" spans="2:20" s="31" customFormat="1" ht="34.5" customHeight="1" x14ac:dyDescent="0.2">
      <c r="B3" s="30"/>
      <c r="C3" s="465"/>
      <c r="D3" s="465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57" t="s">
        <v>227</v>
      </c>
      <c r="D8" s="472" t="s">
        <v>1</v>
      </c>
      <c r="E8" s="457" t="s">
        <v>1</v>
      </c>
      <c r="F8" s="457" t="s">
        <v>101</v>
      </c>
      <c r="G8" s="457" t="s">
        <v>151</v>
      </c>
      <c r="H8" s="457" t="s">
        <v>391</v>
      </c>
      <c r="I8" s="469" t="s">
        <v>104</v>
      </c>
      <c r="J8" s="470"/>
      <c r="K8" s="470"/>
      <c r="L8" s="471"/>
      <c r="M8" s="457" t="s">
        <v>105</v>
      </c>
    </row>
    <row r="9" spans="2:20" ht="37.5" customHeight="1" x14ac:dyDescent="0.2">
      <c r="C9" s="458"/>
      <c r="D9" s="473"/>
      <c r="E9" s="458"/>
      <c r="F9" s="458"/>
      <c r="G9" s="458"/>
      <c r="H9" s="458"/>
      <c r="I9" s="301" t="s">
        <v>83</v>
      </c>
      <c r="J9" s="301" t="s">
        <v>383</v>
      </c>
      <c r="K9" s="301" t="s">
        <v>384</v>
      </c>
      <c r="L9" s="301" t="s">
        <v>10</v>
      </c>
      <c r="M9" s="458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59"/>
      <c r="D10" s="474"/>
      <c r="E10" s="459"/>
      <c r="F10" s="459"/>
      <c r="G10" s="459"/>
      <c r="H10" s="459"/>
      <c r="I10" s="278" t="s">
        <v>173</v>
      </c>
      <c r="J10" s="278" t="s">
        <v>173</v>
      </c>
      <c r="K10" s="278" t="s">
        <v>173</v>
      </c>
      <c r="L10" s="278" t="s">
        <v>173</v>
      </c>
      <c r="M10" s="459"/>
    </row>
    <row r="11" spans="2:20" ht="15" customHeight="1" x14ac:dyDescent="0.2">
      <c r="C11" s="468" t="s">
        <v>313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8"/>
      <c r="D12" s="295"/>
      <c r="E12" s="302"/>
      <c r="F12" s="303"/>
      <c r="G12" s="303"/>
      <c r="H12" s="303"/>
      <c r="I12" s="285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37" si="4">SUM(I12:L12)</f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8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8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8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8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68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68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68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68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68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68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68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68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68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68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68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68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68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68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68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68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68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68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68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5">
        <f t="shared" si="4"/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68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5">
        <f t="shared" si="4"/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68"/>
      <c r="D37" s="295"/>
      <c r="E37" s="302"/>
      <c r="F37" s="303"/>
      <c r="G37" s="303"/>
      <c r="H37" s="303"/>
      <c r="I37" s="285">
        <f t="shared" si="0"/>
        <v>0</v>
      </c>
      <c r="J37" s="285">
        <f t="shared" si="1"/>
        <v>0</v>
      </c>
      <c r="K37" s="285">
        <f t="shared" si="2"/>
        <v>0</v>
      </c>
      <c r="L37" s="285">
        <f t="shared" si="3"/>
        <v>0</v>
      </c>
      <c r="M37" s="285">
        <f t="shared" si="4"/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aecigINji3423qR3xsqSzPOvqCPckKX4Gemstdjpto7Jm8fITBWsf3M1HODD4PS7rKnI/TMF/wzxa7kSCkV4+w==" saltValue="vCN5X+M3mSLnHi4sP2SwNg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7" t="s">
        <v>411</v>
      </c>
      <c r="D2" s="437"/>
      <c r="E2" s="437"/>
      <c r="F2" s="437"/>
      <c r="G2" s="437"/>
      <c r="H2" s="437"/>
      <c r="I2" s="437"/>
      <c r="J2" s="437"/>
    </row>
    <row r="3" spans="2:20" s="31" customFormat="1" ht="34.5" customHeight="1" x14ac:dyDescent="0.2">
      <c r="B3" s="30"/>
      <c r="C3" s="465"/>
      <c r="D3" s="465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57" t="s">
        <v>227</v>
      </c>
      <c r="D8" s="472" t="s">
        <v>1</v>
      </c>
      <c r="E8" s="457" t="s">
        <v>1</v>
      </c>
      <c r="F8" s="457" t="s">
        <v>101</v>
      </c>
      <c r="G8" s="457" t="s">
        <v>151</v>
      </c>
      <c r="H8" s="457" t="s">
        <v>391</v>
      </c>
      <c r="I8" s="469" t="s">
        <v>104</v>
      </c>
      <c r="J8" s="470"/>
      <c r="K8" s="470"/>
      <c r="L8" s="471"/>
      <c r="M8" s="457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8"/>
      <c r="D9" s="473"/>
      <c r="E9" s="458"/>
      <c r="F9" s="458"/>
      <c r="G9" s="458"/>
      <c r="H9" s="458"/>
      <c r="I9" s="301" t="s">
        <v>83</v>
      </c>
      <c r="J9" s="301" t="s">
        <v>383</v>
      </c>
      <c r="K9" s="301" t="s">
        <v>384</v>
      </c>
      <c r="L9" s="301" t="s">
        <v>10</v>
      </c>
      <c r="M9" s="458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59"/>
      <c r="D10" s="474"/>
      <c r="E10" s="459"/>
      <c r="F10" s="459"/>
      <c r="G10" s="459"/>
      <c r="H10" s="459"/>
      <c r="I10" s="278" t="s">
        <v>173</v>
      </c>
      <c r="J10" s="278" t="s">
        <v>173</v>
      </c>
      <c r="K10" s="278" t="s">
        <v>173</v>
      </c>
      <c r="L10" s="278" t="s">
        <v>173</v>
      </c>
      <c r="M10" s="459"/>
      <c r="N10" s="34"/>
      <c r="O10" s="34"/>
      <c r="P10" s="34"/>
      <c r="Q10" s="34"/>
      <c r="R10" s="34"/>
      <c r="S10" s="34"/>
      <c r="T10" s="34"/>
    </row>
    <row r="11" spans="2:20" ht="15" x14ac:dyDescent="0.2">
      <c r="C11" s="475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5"/>
      <c r="D12" s="295"/>
      <c r="E12" s="302"/>
      <c r="F12" s="303"/>
      <c r="G12" s="303"/>
      <c r="H12" s="303"/>
      <c r="I12" s="285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8">
        <f t="shared" ref="M12:M15" si="4">SUM(I12:L12)</f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5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8">
        <f t="shared" si="4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5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8">
        <f t="shared" si="4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5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8">
        <f t="shared" si="4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5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8">
        <f t="shared" ref="M16:M19" si="5">SUM(I16:L16)</f>
        <v>0</v>
      </c>
    </row>
    <row r="17" spans="3:13" x14ac:dyDescent="0.2">
      <c r="C17" s="475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8">
        <f t="shared" si="5"/>
        <v>0</v>
      </c>
    </row>
    <row r="18" spans="3:13" x14ac:dyDescent="0.2">
      <c r="C18" s="475"/>
      <c r="D18" s="295"/>
      <c r="E18" s="302"/>
      <c r="F18" s="303"/>
      <c r="G18" s="303"/>
      <c r="H18" s="303"/>
      <c r="I18" s="285">
        <f t="shared" si="0"/>
        <v>0</v>
      </c>
      <c r="J18" s="285">
        <f t="shared" si="1"/>
        <v>0</v>
      </c>
      <c r="K18" s="285">
        <f t="shared" si="2"/>
        <v>0</v>
      </c>
      <c r="L18" s="285">
        <f t="shared" si="3"/>
        <v>0</v>
      </c>
      <c r="M18" s="288">
        <f t="shared" si="5"/>
        <v>0</v>
      </c>
    </row>
    <row r="19" spans="3:13" x14ac:dyDescent="0.2">
      <c r="C19" s="475"/>
      <c r="D19" s="295"/>
      <c r="E19" s="302"/>
      <c r="F19" s="303"/>
      <c r="G19" s="303"/>
      <c r="H19" s="303"/>
      <c r="I19" s="285">
        <f t="shared" si="0"/>
        <v>0</v>
      </c>
      <c r="J19" s="285">
        <f t="shared" si="1"/>
        <v>0</v>
      </c>
      <c r="K19" s="285">
        <f t="shared" si="2"/>
        <v>0</v>
      </c>
      <c r="L19" s="285">
        <f t="shared" si="3"/>
        <v>0</v>
      </c>
      <c r="M19" s="288">
        <f t="shared" si="5"/>
        <v>0</v>
      </c>
    </row>
    <row r="20" spans="3:13" x14ac:dyDescent="0.2">
      <c r="C20" s="475"/>
      <c r="D20" s="295"/>
      <c r="E20" s="302"/>
      <c r="F20" s="303"/>
      <c r="G20" s="303"/>
      <c r="H20" s="303"/>
      <c r="I20" s="285">
        <f t="shared" si="0"/>
        <v>0</v>
      </c>
      <c r="J20" s="285">
        <f t="shared" si="1"/>
        <v>0</v>
      </c>
      <c r="K20" s="285">
        <f t="shared" si="2"/>
        <v>0</v>
      </c>
      <c r="L20" s="285">
        <f t="shared" si="3"/>
        <v>0</v>
      </c>
      <c r="M20" s="288">
        <f t="shared" ref="M20:M36" si="6">SUM(I20:L20)</f>
        <v>0</v>
      </c>
    </row>
    <row r="21" spans="3:13" x14ac:dyDescent="0.2">
      <c r="C21" s="475"/>
      <c r="D21" s="295"/>
      <c r="E21" s="302"/>
      <c r="F21" s="303"/>
      <c r="G21" s="303"/>
      <c r="H21" s="303"/>
      <c r="I21" s="285">
        <f t="shared" si="0"/>
        <v>0</v>
      </c>
      <c r="J21" s="285">
        <f t="shared" si="1"/>
        <v>0</v>
      </c>
      <c r="K21" s="285">
        <f t="shared" si="2"/>
        <v>0</v>
      </c>
      <c r="L21" s="285">
        <f t="shared" si="3"/>
        <v>0</v>
      </c>
      <c r="M21" s="288">
        <f t="shared" si="6"/>
        <v>0</v>
      </c>
    </row>
    <row r="22" spans="3:13" x14ac:dyDescent="0.2">
      <c r="C22" s="475"/>
      <c r="D22" s="295"/>
      <c r="E22" s="302"/>
      <c r="F22" s="303"/>
      <c r="G22" s="303"/>
      <c r="H22" s="303"/>
      <c r="I22" s="285">
        <f t="shared" si="0"/>
        <v>0</v>
      </c>
      <c r="J22" s="285">
        <f t="shared" si="1"/>
        <v>0</v>
      </c>
      <c r="K22" s="285">
        <f t="shared" si="2"/>
        <v>0</v>
      </c>
      <c r="L22" s="285">
        <f t="shared" si="3"/>
        <v>0</v>
      </c>
      <c r="M22" s="288">
        <f t="shared" si="6"/>
        <v>0</v>
      </c>
    </row>
    <row r="23" spans="3:13" x14ac:dyDescent="0.2">
      <c r="C23" s="475"/>
      <c r="D23" s="295"/>
      <c r="E23" s="302"/>
      <c r="F23" s="303"/>
      <c r="G23" s="303"/>
      <c r="H23" s="303"/>
      <c r="I23" s="285">
        <f t="shared" si="0"/>
        <v>0</v>
      </c>
      <c r="J23" s="285">
        <f t="shared" si="1"/>
        <v>0</v>
      </c>
      <c r="K23" s="285">
        <f t="shared" si="2"/>
        <v>0</v>
      </c>
      <c r="L23" s="285">
        <f t="shared" si="3"/>
        <v>0</v>
      </c>
      <c r="M23" s="288">
        <f t="shared" si="6"/>
        <v>0</v>
      </c>
    </row>
    <row r="24" spans="3:13" x14ac:dyDescent="0.2">
      <c r="C24" s="475"/>
      <c r="D24" s="295"/>
      <c r="E24" s="302"/>
      <c r="F24" s="303"/>
      <c r="G24" s="303"/>
      <c r="H24" s="303"/>
      <c r="I24" s="285">
        <f t="shared" si="0"/>
        <v>0</v>
      </c>
      <c r="J24" s="285">
        <f t="shared" si="1"/>
        <v>0</v>
      </c>
      <c r="K24" s="285">
        <f t="shared" si="2"/>
        <v>0</v>
      </c>
      <c r="L24" s="285">
        <f t="shared" si="3"/>
        <v>0</v>
      </c>
      <c r="M24" s="288">
        <f t="shared" si="6"/>
        <v>0</v>
      </c>
    </row>
    <row r="25" spans="3:13" x14ac:dyDescent="0.2">
      <c r="C25" s="475"/>
      <c r="D25" s="295"/>
      <c r="E25" s="302"/>
      <c r="F25" s="303"/>
      <c r="G25" s="303"/>
      <c r="H25" s="303"/>
      <c r="I25" s="285">
        <f t="shared" si="0"/>
        <v>0</v>
      </c>
      <c r="J25" s="285">
        <f t="shared" si="1"/>
        <v>0</v>
      </c>
      <c r="K25" s="285">
        <f t="shared" si="2"/>
        <v>0</v>
      </c>
      <c r="L25" s="285">
        <f t="shared" si="3"/>
        <v>0</v>
      </c>
      <c r="M25" s="288">
        <f t="shared" si="6"/>
        <v>0</v>
      </c>
    </row>
    <row r="26" spans="3:13" x14ac:dyDescent="0.2">
      <c r="C26" s="475"/>
      <c r="D26" s="295"/>
      <c r="E26" s="302"/>
      <c r="F26" s="303"/>
      <c r="G26" s="303"/>
      <c r="H26" s="303"/>
      <c r="I26" s="285">
        <f t="shared" si="0"/>
        <v>0</v>
      </c>
      <c r="J26" s="285">
        <f t="shared" si="1"/>
        <v>0</v>
      </c>
      <c r="K26" s="285">
        <f t="shared" si="2"/>
        <v>0</v>
      </c>
      <c r="L26" s="285">
        <f t="shared" si="3"/>
        <v>0</v>
      </c>
      <c r="M26" s="288">
        <f t="shared" si="6"/>
        <v>0</v>
      </c>
    </row>
    <row r="27" spans="3:13" x14ac:dyDescent="0.2">
      <c r="C27" s="475"/>
      <c r="D27" s="295"/>
      <c r="E27" s="302"/>
      <c r="F27" s="303"/>
      <c r="G27" s="303"/>
      <c r="H27" s="303"/>
      <c r="I27" s="285">
        <f t="shared" si="0"/>
        <v>0</v>
      </c>
      <c r="J27" s="285">
        <f t="shared" si="1"/>
        <v>0</v>
      </c>
      <c r="K27" s="285">
        <f t="shared" si="2"/>
        <v>0</v>
      </c>
      <c r="L27" s="285">
        <f t="shared" si="3"/>
        <v>0</v>
      </c>
      <c r="M27" s="288">
        <f t="shared" si="6"/>
        <v>0</v>
      </c>
    </row>
    <row r="28" spans="3:13" x14ac:dyDescent="0.2">
      <c r="C28" s="475"/>
      <c r="D28" s="295"/>
      <c r="E28" s="302"/>
      <c r="F28" s="303"/>
      <c r="G28" s="303"/>
      <c r="H28" s="303"/>
      <c r="I28" s="285">
        <f t="shared" si="0"/>
        <v>0</v>
      </c>
      <c r="J28" s="285">
        <f t="shared" si="1"/>
        <v>0</v>
      </c>
      <c r="K28" s="285">
        <f t="shared" si="2"/>
        <v>0</v>
      </c>
      <c r="L28" s="285">
        <f t="shared" si="3"/>
        <v>0</v>
      </c>
      <c r="M28" s="288">
        <f t="shared" si="6"/>
        <v>0</v>
      </c>
    </row>
    <row r="29" spans="3:13" x14ac:dyDescent="0.2">
      <c r="C29" s="475"/>
      <c r="D29" s="295"/>
      <c r="E29" s="302"/>
      <c r="F29" s="303"/>
      <c r="G29" s="303"/>
      <c r="H29" s="303"/>
      <c r="I29" s="285">
        <f t="shared" si="0"/>
        <v>0</v>
      </c>
      <c r="J29" s="285">
        <f t="shared" si="1"/>
        <v>0</v>
      </c>
      <c r="K29" s="285">
        <f t="shared" si="2"/>
        <v>0</v>
      </c>
      <c r="L29" s="285">
        <f t="shared" si="3"/>
        <v>0</v>
      </c>
      <c r="M29" s="288">
        <f t="shared" si="6"/>
        <v>0</v>
      </c>
    </row>
    <row r="30" spans="3:13" x14ac:dyDescent="0.2">
      <c r="C30" s="475"/>
      <c r="D30" s="295"/>
      <c r="E30" s="302"/>
      <c r="F30" s="303"/>
      <c r="G30" s="303"/>
      <c r="H30" s="303"/>
      <c r="I30" s="285">
        <f t="shared" si="0"/>
        <v>0</v>
      </c>
      <c r="J30" s="285">
        <f t="shared" si="1"/>
        <v>0</v>
      </c>
      <c r="K30" s="285">
        <f t="shared" si="2"/>
        <v>0</v>
      </c>
      <c r="L30" s="285">
        <f t="shared" si="3"/>
        <v>0</v>
      </c>
      <c r="M30" s="288">
        <f t="shared" si="6"/>
        <v>0</v>
      </c>
    </row>
    <row r="31" spans="3:13" x14ac:dyDescent="0.2">
      <c r="C31" s="475"/>
      <c r="D31" s="295"/>
      <c r="E31" s="302"/>
      <c r="F31" s="303"/>
      <c r="G31" s="303"/>
      <c r="H31" s="303"/>
      <c r="I31" s="285">
        <f t="shared" si="0"/>
        <v>0</v>
      </c>
      <c r="J31" s="285">
        <f t="shared" si="1"/>
        <v>0</v>
      </c>
      <c r="K31" s="285">
        <f t="shared" si="2"/>
        <v>0</v>
      </c>
      <c r="L31" s="285">
        <f t="shared" si="3"/>
        <v>0</v>
      </c>
      <c r="M31" s="288">
        <f t="shared" si="6"/>
        <v>0</v>
      </c>
    </row>
    <row r="32" spans="3:13" x14ac:dyDescent="0.2">
      <c r="C32" s="475"/>
      <c r="D32" s="295"/>
      <c r="E32" s="302"/>
      <c r="F32" s="303"/>
      <c r="G32" s="303"/>
      <c r="H32" s="303"/>
      <c r="I32" s="285">
        <f t="shared" si="0"/>
        <v>0</v>
      </c>
      <c r="J32" s="285">
        <f t="shared" si="1"/>
        <v>0</v>
      </c>
      <c r="K32" s="285">
        <f t="shared" si="2"/>
        <v>0</v>
      </c>
      <c r="L32" s="285">
        <f t="shared" si="3"/>
        <v>0</v>
      </c>
      <c r="M32" s="288">
        <f t="shared" si="6"/>
        <v>0</v>
      </c>
    </row>
    <row r="33" spans="3:13" x14ac:dyDescent="0.2">
      <c r="C33" s="475"/>
      <c r="D33" s="295"/>
      <c r="E33" s="302"/>
      <c r="F33" s="303"/>
      <c r="G33" s="303"/>
      <c r="H33" s="303"/>
      <c r="I33" s="285">
        <f t="shared" si="0"/>
        <v>0</v>
      </c>
      <c r="J33" s="285">
        <f t="shared" si="1"/>
        <v>0</v>
      </c>
      <c r="K33" s="285">
        <f t="shared" si="2"/>
        <v>0</v>
      </c>
      <c r="L33" s="285">
        <f t="shared" si="3"/>
        <v>0</v>
      </c>
      <c r="M33" s="288">
        <f t="shared" si="6"/>
        <v>0</v>
      </c>
    </row>
    <row r="34" spans="3:13" x14ac:dyDescent="0.2">
      <c r="C34" s="475"/>
      <c r="D34" s="295"/>
      <c r="E34" s="302"/>
      <c r="F34" s="303"/>
      <c r="G34" s="303"/>
      <c r="H34" s="303"/>
      <c r="I34" s="285">
        <f t="shared" si="0"/>
        <v>0</v>
      </c>
      <c r="J34" s="285">
        <f t="shared" si="1"/>
        <v>0</v>
      </c>
      <c r="K34" s="285">
        <f t="shared" si="2"/>
        <v>0</v>
      </c>
      <c r="L34" s="285">
        <f t="shared" si="3"/>
        <v>0</v>
      </c>
      <c r="M34" s="288">
        <f t="shared" si="6"/>
        <v>0</v>
      </c>
    </row>
    <row r="35" spans="3:13" x14ac:dyDescent="0.2">
      <c r="C35" s="475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8">
        <f t="shared" si="6"/>
        <v>0</v>
      </c>
    </row>
    <row r="36" spans="3:13" x14ac:dyDescent="0.2">
      <c r="C36" s="475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8">
        <f t="shared" si="6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lHqR0XEwLAMZYAAvkYr2W7O3AYePvpT8lL3kwXM+FZwr6Ep9bqENnLaAzBtjCTrusyDiLGgB6KSfKRT8r6fvPg==" saltValue="o7TBbCLeRNT/4K+BYPvvrQ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7" t="s">
        <v>433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8" t="s">
        <v>412</v>
      </c>
      <c r="M8" s="499"/>
      <c r="N8" s="323"/>
      <c r="O8" s="498" t="s">
        <v>413</v>
      </c>
      <c r="P8" s="499"/>
      <c r="Q8" s="323"/>
      <c r="R8" s="500" t="s">
        <v>414</v>
      </c>
      <c r="S8" s="501"/>
      <c r="T8" s="502"/>
      <c r="U8" s="333"/>
      <c r="V8" s="336"/>
      <c r="W8" s="495" t="s">
        <v>104</v>
      </c>
      <c r="X8" s="496"/>
      <c r="Y8" s="496"/>
      <c r="Z8" s="497"/>
      <c r="AA8" s="493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88"/>
      <c r="B9" s="486" t="s">
        <v>79</v>
      </c>
      <c r="C9" s="489" t="s">
        <v>1</v>
      </c>
      <c r="D9" s="489" t="s">
        <v>101</v>
      </c>
      <c r="E9" s="489" t="s">
        <v>151</v>
      </c>
      <c r="F9" s="489" t="s">
        <v>51</v>
      </c>
      <c r="G9" s="489" t="s">
        <v>52</v>
      </c>
      <c r="H9" s="489" t="s">
        <v>171</v>
      </c>
      <c r="I9" s="489" t="s">
        <v>172</v>
      </c>
      <c r="J9" s="505" t="s">
        <v>415</v>
      </c>
      <c r="K9" s="503" t="s">
        <v>5</v>
      </c>
      <c r="L9" s="482" t="s">
        <v>441</v>
      </c>
      <c r="M9" s="483"/>
      <c r="N9" s="331" t="s">
        <v>424</v>
      </c>
      <c r="O9" s="482" t="s">
        <v>442</v>
      </c>
      <c r="P9" s="483"/>
      <c r="Q9" s="331" t="s">
        <v>423</v>
      </c>
      <c r="R9" s="482" t="s">
        <v>443</v>
      </c>
      <c r="S9" s="491"/>
      <c r="T9" s="483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494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88"/>
      <c r="B10" s="487"/>
      <c r="C10" s="490"/>
      <c r="D10" s="490"/>
      <c r="E10" s="490"/>
      <c r="F10" s="490"/>
      <c r="G10" s="490"/>
      <c r="H10" s="490"/>
      <c r="I10" s="490"/>
      <c r="J10" s="490"/>
      <c r="K10" s="504"/>
      <c r="L10" s="484"/>
      <c r="M10" s="485"/>
      <c r="N10" s="332"/>
      <c r="O10" s="484"/>
      <c r="P10" s="485"/>
      <c r="Q10" s="332"/>
      <c r="R10" s="484"/>
      <c r="S10" s="492"/>
      <c r="T10" s="485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494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479"/>
      <c r="M11" s="481"/>
      <c r="N11" s="346" t="str">
        <f t="shared" ref="N11:N28" si="0">IF(L11="","",$AC$12&amp;L11)</f>
        <v/>
      </c>
      <c r="O11" s="479"/>
      <c r="P11" s="481"/>
      <c r="Q11" s="346" t="str">
        <f t="shared" ref="Q11:Q27" si="1">IF(O11="","",$AC$15&amp;O11)</f>
        <v/>
      </c>
      <c r="R11" s="479"/>
      <c r="S11" s="480"/>
      <c r="T11" s="481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479"/>
      <c r="M12" s="481"/>
      <c r="N12" s="346" t="str">
        <f t="shared" si="0"/>
        <v/>
      </c>
      <c r="O12" s="479"/>
      <c r="P12" s="481"/>
      <c r="Q12" s="346" t="str">
        <f t="shared" si="1"/>
        <v/>
      </c>
      <c r="R12" s="479"/>
      <c r="S12" s="480"/>
      <c r="T12" s="481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479"/>
      <c r="M13" s="481"/>
      <c r="N13" s="346" t="str">
        <f t="shared" si="0"/>
        <v/>
      </c>
      <c r="O13" s="479"/>
      <c r="P13" s="481"/>
      <c r="Q13" s="346" t="str">
        <f t="shared" si="1"/>
        <v/>
      </c>
      <c r="R13" s="479"/>
      <c r="S13" s="480"/>
      <c r="T13" s="481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479"/>
      <c r="M14" s="481"/>
      <c r="N14" s="346" t="str">
        <f t="shared" si="0"/>
        <v/>
      </c>
      <c r="O14" s="479"/>
      <c r="P14" s="481"/>
      <c r="Q14" s="346" t="str">
        <f t="shared" si="1"/>
        <v/>
      </c>
      <c r="R14" s="479"/>
      <c r="S14" s="480"/>
      <c r="T14" s="481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479"/>
      <c r="M15" s="481"/>
      <c r="N15" s="346" t="str">
        <f t="shared" si="0"/>
        <v/>
      </c>
      <c r="O15" s="479"/>
      <c r="P15" s="481"/>
      <c r="Q15" s="346" t="str">
        <f t="shared" si="1"/>
        <v/>
      </c>
      <c r="R15" s="479"/>
      <c r="S15" s="480"/>
      <c r="T15" s="481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479"/>
      <c r="M16" s="481"/>
      <c r="N16" s="346" t="str">
        <f t="shared" si="0"/>
        <v/>
      </c>
      <c r="O16" s="479"/>
      <c r="P16" s="481"/>
      <c r="Q16" s="346" t="str">
        <f t="shared" si="1"/>
        <v/>
      </c>
      <c r="R16" s="479"/>
      <c r="S16" s="480"/>
      <c r="T16" s="481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479"/>
      <c r="M17" s="481"/>
      <c r="N17" s="346" t="str">
        <f t="shared" si="0"/>
        <v/>
      </c>
      <c r="O17" s="479"/>
      <c r="P17" s="481"/>
      <c r="Q17" s="346" t="str">
        <f t="shared" si="1"/>
        <v/>
      </c>
      <c r="R17" s="479"/>
      <c r="S17" s="480"/>
      <c r="T17" s="481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479"/>
      <c r="M18" s="481"/>
      <c r="N18" s="346" t="str">
        <f t="shared" si="0"/>
        <v/>
      </c>
      <c r="O18" s="479"/>
      <c r="P18" s="481"/>
      <c r="Q18" s="346" t="str">
        <f t="shared" si="1"/>
        <v/>
      </c>
      <c r="R18" s="479"/>
      <c r="S18" s="480"/>
      <c r="T18" s="481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479"/>
      <c r="M19" s="481"/>
      <c r="N19" s="346" t="str">
        <f t="shared" si="0"/>
        <v/>
      </c>
      <c r="O19" s="479"/>
      <c r="P19" s="481"/>
      <c r="Q19" s="346" t="str">
        <f t="shared" si="1"/>
        <v/>
      </c>
      <c r="R19" s="479"/>
      <c r="S19" s="480"/>
      <c r="T19" s="481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479"/>
      <c r="M20" s="481"/>
      <c r="N20" s="346" t="str">
        <f t="shared" si="0"/>
        <v/>
      </c>
      <c r="O20" s="479"/>
      <c r="P20" s="481"/>
      <c r="Q20" s="346" t="str">
        <f t="shared" si="1"/>
        <v/>
      </c>
      <c r="R20" s="479"/>
      <c r="S20" s="480"/>
      <c r="T20" s="481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479"/>
      <c r="M21" s="481"/>
      <c r="N21" s="346" t="str">
        <f t="shared" si="0"/>
        <v/>
      </c>
      <c r="O21" s="479"/>
      <c r="P21" s="481"/>
      <c r="Q21" s="346" t="str">
        <f t="shared" si="1"/>
        <v/>
      </c>
      <c r="R21" s="479"/>
      <c r="S21" s="480"/>
      <c r="T21" s="481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479"/>
      <c r="M22" s="481"/>
      <c r="N22" s="346" t="str">
        <f t="shared" si="0"/>
        <v/>
      </c>
      <c r="O22" s="479"/>
      <c r="P22" s="481"/>
      <c r="Q22" s="346" t="str">
        <f t="shared" si="1"/>
        <v/>
      </c>
      <c r="R22" s="479"/>
      <c r="S22" s="480"/>
      <c r="T22" s="481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479"/>
      <c r="M23" s="481"/>
      <c r="N23" s="346" t="str">
        <f t="shared" si="0"/>
        <v/>
      </c>
      <c r="O23" s="479"/>
      <c r="P23" s="481"/>
      <c r="Q23" s="346" t="str">
        <f t="shared" si="1"/>
        <v/>
      </c>
      <c r="R23" s="479"/>
      <c r="S23" s="480"/>
      <c r="T23" s="481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479"/>
      <c r="M24" s="481"/>
      <c r="N24" s="346" t="str">
        <f t="shared" si="0"/>
        <v/>
      </c>
      <c r="O24" s="479"/>
      <c r="P24" s="481"/>
      <c r="Q24" s="346" t="str">
        <f t="shared" si="1"/>
        <v/>
      </c>
      <c r="R24" s="479"/>
      <c r="S24" s="480"/>
      <c r="T24" s="481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479"/>
      <c r="M25" s="481"/>
      <c r="N25" s="346" t="str">
        <f t="shared" si="0"/>
        <v/>
      </c>
      <c r="O25" s="479"/>
      <c r="P25" s="481"/>
      <c r="Q25" s="346" t="str">
        <f t="shared" si="1"/>
        <v/>
      </c>
      <c r="R25" s="479"/>
      <c r="S25" s="480"/>
      <c r="T25" s="481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479"/>
      <c r="M26" s="481"/>
      <c r="N26" s="346" t="str">
        <f t="shared" si="0"/>
        <v/>
      </c>
      <c r="O26" s="479"/>
      <c r="P26" s="481"/>
      <c r="Q26" s="346" t="str">
        <f t="shared" si="1"/>
        <v/>
      </c>
      <c r="R26" s="479"/>
      <c r="S26" s="480"/>
      <c r="T26" s="481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479"/>
      <c r="M27" s="481"/>
      <c r="N27" s="346" t="str">
        <f t="shared" si="0"/>
        <v/>
      </c>
      <c r="O27" s="479"/>
      <c r="P27" s="481"/>
      <c r="Q27" s="346" t="str">
        <f t="shared" si="1"/>
        <v/>
      </c>
      <c r="R27" s="479"/>
      <c r="S27" s="480"/>
      <c r="T27" s="481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479"/>
      <c r="M28" s="481"/>
      <c r="N28" s="346" t="str">
        <f t="shared" si="0"/>
        <v/>
      </c>
      <c r="O28" s="479"/>
      <c r="P28" s="481"/>
      <c r="Q28" s="346" t="str">
        <f t="shared" ref="Q28:Q38" si="13">IF(O28="","",$AC$15&amp;O28)</f>
        <v/>
      </c>
      <c r="R28" s="479"/>
      <c r="S28" s="480"/>
      <c r="T28" s="481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479"/>
      <c r="M29" s="481"/>
      <c r="N29" s="346" t="str">
        <f t="shared" ref="N29:N40" si="14">IF(L29="","",$AC$12&amp;L29)</f>
        <v/>
      </c>
      <c r="O29" s="479"/>
      <c r="P29" s="481"/>
      <c r="Q29" s="346" t="str">
        <f t="shared" si="13"/>
        <v/>
      </c>
      <c r="R29" s="479"/>
      <c r="S29" s="480"/>
      <c r="T29" s="481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479"/>
      <c r="M30" s="481"/>
      <c r="N30" s="346" t="str">
        <f t="shared" si="14"/>
        <v/>
      </c>
      <c r="O30" s="479"/>
      <c r="P30" s="481"/>
      <c r="Q30" s="346" t="str">
        <f t="shared" si="13"/>
        <v/>
      </c>
      <c r="R30" s="479"/>
      <c r="S30" s="480"/>
      <c r="T30" s="481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479"/>
      <c r="M31" s="481"/>
      <c r="N31" s="346" t="str">
        <f t="shared" si="14"/>
        <v/>
      </c>
      <c r="O31" s="479"/>
      <c r="P31" s="481"/>
      <c r="Q31" s="346" t="str">
        <f t="shared" si="13"/>
        <v/>
      </c>
      <c r="R31" s="479"/>
      <c r="S31" s="480"/>
      <c r="T31" s="481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479"/>
      <c r="M32" s="481"/>
      <c r="N32" s="346" t="str">
        <f t="shared" si="14"/>
        <v/>
      </c>
      <c r="O32" s="479"/>
      <c r="P32" s="481"/>
      <c r="Q32" s="346" t="str">
        <f t="shared" si="13"/>
        <v/>
      </c>
      <c r="R32" s="479"/>
      <c r="S32" s="480"/>
      <c r="T32" s="481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479"/>
      <c r="M33" s="481"/>
      <c r="N33" s="346" t="str">
        <f t="shared" si="14"/>
        <v/>
      </c>
      <c r="O33" s="479"/>
      <c r="P33" s="481"/>
      <c r="Q33" s="346" t="str">
        <f t="shared" si="13"/>
        <v/>
      </c>
      <c r="R33" s="479"/>
      <c r="S33" s="480"/>
      <c r="T33" s="481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479"/>
      <c r="M34" s="481"/>
      <c r="N34" s="346" t="str">
        <f t="shared" si="14"/>
        <v/>
      </c>
      <c r="O34" s="479"/>
      <c r="P34" s="481"/>
      <c r="Q34" s="346" t="str">
        <f t="shared" si="13"/>
        <v/>
      </c>
      <c r="R34" s="479"/>
      <c r="S34" s="480"/>
      <c r="T34" s="481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479"/>
      <c r="M35" s="481"/>
      <c r="N35" s="346" t="str">
        <f t="shared" si="14"/>
        <v/>
      </c>
      <c r="O35" s="479"/>
      <c r="P35" s="481"/>
      <c r="Q35" s="346" t="str">
        <f t="shared" si="13"/>
        <v/>
      </c>
      <c r="R35" s="479"/>
      <c r="S35" s="480"/>
      <c r="T35" s="481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479"/>
      <c r="M36" s="481"/>
      <c r="N36" s="346" t="str">
        <f t="shared" si="14"/>
        <v/>
      </c>
      <c r="O36" s="479"/>
      <c r="P36" s="481"/>
      <c r="Q36" s="346" t="str">
        <f t="shared" si="13"/>
        <v/>
      </c>
      <c r="R36" s="479"/>
      <c r="S36" s="480"/>
      <c r="T36" s="481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479"/>
      <c r="M37" s="481"/>
      <c r="N37" s="346" t="str">
        <f t="shared" si="14"/>
        <v/>
      </c>
      <c r="O37" s="479"/>
      <c r="P37" s="481"/>
      <c r="Q37" s="346" t="str">
        <f t="shared" si="13"/>
        <v/>
      </c>
      <c r="R37" s="479"/>
      <c r="S37" s="480"/>
      <c r="T37" s="481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479"/>
      <c r="M38" s="481"/>
      <c r="N38" s="346" t="str">
        <f t="shared" si="14"/>
        <v/>
      </c>
      <c r="O38" s="479"/>
      <c r="P38" s="481"/>
      <c r="Q38" s="346" t="str">
        <f t="shared" si="13"/>
        <v/>
      </c>
      <c r="R38" s="479"/>
      <c r="S38" s="480"/>
      <c r="T38" s="481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479"/>
      <c r="M39" s="481"/>
      <c r="N39" s="346" t="str">
        <f t="shared" si="14"/>
        <v/>
      </c>
      <c r="O39" s="479"/>
      <c r="P39" s="481"/>
      <c r="Q39" s="346" t="str">
        <f t="shared" ref="Q39:Q50" si="16">IF(O39="","",$AC$15&amp;O39)</f>
        <v/>
      </c>
      <c r="R39" s="479"/>
      <c r="S39" s="480"/>
      <c r="T39" s="481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479"/>
      <c r="M40" s="481"/>
      <c r="N40" s="346" t="str">
        <f t="shared" si="14"/>
        <v/>
      </c>
      <c r="O40" s="479"/>
      <c r="P40" s="481"/>
      <c r="Q40" s="346" t="str">
        <f t="shared" si="16"/>
        <v/>
      </c>
      <c r="R40" s="479"/>
      <c r="S40" s="480"/>
      <c r="T40" s="481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479"/>
      <c r="M41" s="481"/>
      <c r="N41" s="346" t="str">
        <f t="shared" ref="N41:N50" si="17">IF(L41="","",$AC$12&amp;L41)</f>
        <v/>
      </c>
      <c r="O41" s="479"/>
      <c r="P41" s="481"/>
      <c r="Q41" s="346" t="str">
        <f t="shared" si="16"/>
        <v/>
      </c>
      <c r="R41" s="479"/>
      <c r="S41" s="480"/>
      <c r="T41" s="481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479"/>
      <c r="M42" s="481"/>
      <c r="N42" s="346" t="str">
        <f t="shared" si="17"/>
        <v/>
      </c>
      <c r="O42" s="479"/>
      <c r="P42" s="481"/>
      <c r="Q42" s="346" t="str">
        <f t="shared" si="16"/>
        <v/>
      </c>
      <c r="R42" s="479"/>
      <c r="S42" s="480"/>
      <c r="T42" s="481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479"/>
      <c r="M43" s="481"/>
      <c r="N43" s="346" t="str">
        <f t="shared" si="17"/>
        <v/>
      </c>
      <c r="O43" s="479"/>
      <c r="P43" s="481"/>
      <c r="Q43" s="346" t="str">
        <f t="shared" si="16"/>
        <v/>
      </c>
      <c r="R43" s="479"/>
      <c r="S43" s="480"/>
      <c r="T43" s="481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479"/>
      <c r="M44" s="481"/>
      <c r="N44" s="346" t="str">
        <f t="shared" si="17"/>
        <v/>
      </c>
      <c r="O44" s="479"/>
      <c r="P44" s="481"/>
      <c r="Q44" s="346" t="str">
        <f t="shared" si="16"/>
        <v/>
      </c>
      <c r="R44" s="479"/>
      <c r="S44" s="480"/>
      <c r="T44" s="481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479"/>
      <c r="M45" s="481"/>
      <c r="N45" s="346" t="str">
        <f t="shared" si="17"/>
        <v/>
      </c>
      <c r="O45" s="479"/>
      <c r="P45" s="481"/>
      <c r="Q45" s="346" t="str">
        <f t="shared" si="16"/>
        <v/>
      </c>
      <c r="R45" s="479"/>
      <c r="S45" s="480"/>
      <c r="T45" s="481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479"/>
      <c r="M46" s="481"/>
      <c r="N46" s="346" t="str">
        <f t="shared" si="17"/>
        <v/>
      </c>
      <c r="O46" s="479"/>
      <c r="P46" s="481"/>
      <c r="Q46" s="346" t="str">
        <f t="shared" si="16"/>
        <v/>
      </c>
      <c r="R46" s="479"/>
      <c r="S46" s="480"/>
      <c r="T46" s="481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479"/>
      <c r="M47" s="481"/>
      <c r="N47" s="346" t="str">
        <f t="shared" si="17"/>
        <v/>
      </c>
      <c r="O47" s="479"/>
      <c r="P47" s="481"/>
      <c r="Q47" s="346" t="str">
        <f t="shared" si="16"/>
        <v/>
      </c>
      <c r="R47" s="479"/>
      <c r="S47" s="480"/>
      <c r="T47" s="481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479"/>
      <c r="M48" s="481"/>
      <c r="N48" s="346" t="str">
        <f t="shared" si="17"/>
        <v/>
      </c>
      <c r="O48" s="479"/>
      <c r="P48" s="481"/>
      <c r="Q48" s="346" t="str">
        <f t="shared" si="16"/>
        <v/>
      </c>
      <c r="R48" s="479"/>
      <c r="S48" s="480"/>
      <c r="T48" s="481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479"/>
      <c r="M49" s="481"/>
      <c r="N49" s="346" t="str">
        <f t="shared" si="17"/>
        <v/>
      </c>
      <c r="O49" s="479"/>
      <c r="P49" s="481"/>
      <c r="Q49" s="346" t="str">
        <f t="shared" si="16"/>
        <v/>
      </c>
      <c r="R49" s="479"/>
      <c r="S49" s="480"/>
      <c r="T49" s="481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479"/>
      <c r="M50" s="481"/>
      <c r="N50" s="346" t="str">
        <f t="shared" si="17"/>
        <v/>
      </c>
      <c r="O50" s="479"/>
      <c r="P50" s="481"/>
      <c r="Q50" s="346" t="str">
        <f t="shared" si="16"/>
        <v/>
      </c>
      <c r="R50" s="479"/>
      <c r="S50" s="480"/>
      <c r="T50" s="481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476"/>
      <c r="M51" s="477"/>
      <c r="N51" s="346" t="str">
        <f t="shared" ref="N51" si="18">IF(AND(L51&lt;&gt;"",M51&lt;&gt;""),CONCATENATE($AC$12,L51,M51),"")</f>
        <v/>
      </c>
      <c r="O51" s="476"/>
      <c r="P51" s="477"/>
      <c r="Q51" s="346" t="str">
        <f t="shared" ref="Q51" si="19">IF(AND(O51&lt;&gt;"",P51&lt;&gt;""),CONCATENATE($AC$15,O51,P51),"")</f>
        <v/>
      </c>
      <c r="R51" s="476"/>
      <c r="S51" s="478"/>
      <c r="T51" s="477"/>
      <c r="U51" s="346" t="str">
        <f t="shared" ref="U51" si="20"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67TibW1SLke+dy1NUPozYtAjnFIvMWM1utFmirHZy4CiyAJj7osEuuiK3vFHWhNnS4oFhIs/0nDsLL6pYja5CQ==" saltValue="ZDNOLArzn+UKPLVUsH4f0g==" spinCount="100000" sheet="1" objects="1" scenarios="1"/>
  <mergeCells count="143">
    <mergeCell ref="AA8:AA10"/>
    <mergeCell ref="W8:Z8"/>
    <mergeCell ref="L8:M8"/>
    <mergeCell ref="O8:P8"/>
    <mergeCell ref="R8:T8"/>
    <mergeCell ref="K9:K10"/>
    <mergeCell ref="J9:J10"/>
    <mergeCell ref="H9:H10"/>
    <mergeCell ref="I9:I1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7" t="s">
        <v>433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8" t="s">
        <v>412</v>
      </c>
      <c r="M8" s="499"/>
      <c r="N8" s="323"/>
      <c r="O8" s="498" t="s">
        <v>413</v>
      </c>
      <c r="P8" s="499"/>
      <c r="Q8" s="323"/>
      <c r="R8" s="500" t="s">
        <v>414</v>
      </c>
      <c r="S8" s="501"/>
      <c r="T8" s="502"/>
      <c r="U8" s="333"/>
      <c r="V8" s="336"/>
      <c r="W8" s="495" t="s">
        <v>104</v>
      </c>
      <c r="X8" s="496"/>
      <c r="Y8" s="496"/>
      <c r="Z8" s="497"/>
      <c r="AA8" s="506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88"/>
      <c r="B9" s="486" t="s">
        <v>79</v>
      </c>
      <c r="C9" s="489" t="s">
        <v>1</v>
      </c>
      <c r="D9" s="489" t="s">
        <v>101</v>
      </c>
      <c r="E9" s="489" t="s">
        <v>151</v>
      </c>
      <c r="F9" s="489" t="s">
        <v>51</v>
      </c>
      <c r="G9" s="489" t="s">
        <v>52</v>
      </c>
      <c r="H9" s="489" t="s">
        <v>171</v>
      </c>
      <c r="I9" s="489" t="s">
        <v>172</v>
      </c>
      <c r="J9" s="505" t="s">
        <v>415</v>
      </c>
      <c r="K9" s="503" t="s">
        <v>5</v>
      </c>
      <c r="L9" s="482" t="s">
        <v>441</v>
      </c>
      <c r="M9" s="483"/>
      <c r="N9" s="331" t="s">
        <v>424</v>
      </c>
      <c r="O9" s="482" t="s">
        <v>442</v>
      </c>
      <c r="P9" s="483"/>
      <c r="Q9" s="331" t="s">
        <v>423</v>
      </c>
      <c r="R9" s="482" t="s">
        <v>443</v>
      </c>
      <c r="S9" s="491"/>
      <c r="T9" s="483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7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88"/>
      <c r="B10" s="487"/>
      <c r="C10" s="490"/>
      <c r="D10" s="490"/>
      <c r="E10" s="490"/>
      <c r="F10" s="490"/>
      <c r="G10" s="490"/>
      <c r="H10" s="490"/>
      <c r="I10" s="490"/>
      <c r="J10" s="490"/>
      <c r="K10" s="504"/>
      <c r="L10" s="484"/>
      <c r="M10" s="485"/>
      <c r="N10" s="332"/>
      <c r="O10" s="484"/>
      <c r="P10" s="485"/>
      <c r="Q10" s="332"/>
      <c r="R10" s="484"/>
      <c r="S10" s="492"/>
      <c r="T10" s="485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08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479"/>
      <c r="M11" s="481"/>
      <c r="N11" s="346" t="str">
        <f t="shared" ref="N11:N50" si="0">IF(L11="","",$AC$12&amp;L11)</f>
        <v/>
      </c>
      <c r="O11" s="479"/>
      <c r="P11" s="481"/>
      <c r="Q11" s="346" t="str">
        <f t="shared" ref="Q11:Q50" si="1">IF(O11="","",$AC$15&amp;O11)</f>
        <v/>
      </c>
      <c r="R11" s="479"/>
      <c r="S11" s="480"/>
      <c r="T11" s="481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479"/>
      <c r="M12" s="481"/>
      <c r="N12" s="346" t="str">
        <f t="shared" si="0"/>
        <v/>
      </c>
      <c r="O12" s="479"/>
      <c r="P12" s="481"/>
      <c r="Q12" s="346" t="str">
        <f t="shared" si="1"/>
        <v/>
      </c>
      <c r="R12" s="479"/>
      <c r="S12" s="480"/>
      <c r="T12" s="481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479"/>
      <c r="M13" s="481"/>
      <c r="N13" s="346" t="str">
        <f t="shared" si="0"/>
        <v/>
      </c>
      <c r="O13" s="479"/>
      <c r="P13" s="481"/>
      <c r="Q13" s="346" t="str">
        <f t="shared" si="1"/>
        <v/>
      </c>
      <c r="R13" s="479"/>
      <c r="S13" s="480"/>
      <c r="T13" s="481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479"/>
      <c r="M14" s="481"/>
      <c r="N14" s="346" t="str">
        <f t="shared" si="0"/>
        <v/>
      </c>
      <c r="O14" s="479"/>
      <c r="P14" s="481"/>
      <c r="Q14" s="346" t="str">
        <f t="shared" si="1"/>
        <v/>
      </c>
      <c r="R14" s="479"/>
      <c r="S14" s="480"/>
      <c r="T14" s="481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479"/>
      <c r="M15" s="481"/>
      <c r="N15" s="346" t="str">
        <f t="shared" si="0"/>
        <v/>
      </c>
      <c r="O15" s="479"/>
      <c r="P15" s="481"/>
      <c r="Q15" s="346" t="str">
        <f t="shared" si="1"/>
        <v/>
      </c>
      <c r="R15" s="479"/>
      <c r="S15" s="480"/>
      <c r="T15" s="481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479"/>
      <c r="M16" s="481"/>
      <c r="N16" s="346" t="str">
        <f t="shared" si="0"/>
        <v/>
      </c>
      <c r="O16" s="479"/>
      <c r="P16" s="481"/>
      <c r="Q16" s="346" t="str">
        <f t="shared" si="1"/>
        <v/>
      </c>
      <c r="R16" s="479"/>
      <c r="S16" s="480"/>
      <c r="T16" s="481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479"/>
      <c r="M17" s="481"/>
      <c r="N17" s="346" t="str">
        <f t="shared" si="0"/>
        <v/>
      </c>
      <c r="O17" s="479"/>
      <c r="P17" s="481"/>
      <c r="Q17" s="346" t="str">
        <f t="shared" si="1"/>
        <v/>
      </c>
      <c r="R17" s="479"/>
      <c r="S17" s="480"/>
      <c r="T17" s="481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479"/>
      <c r="M18" s="481"/>
      <c r="N18" s="346" t="str">
        <f t="shared" si="0"/>
        <v/>
      </c>
      <c r="O18" s="479"/>
      <c r="P18" s="481"/>
      <c r="Q18" s="346" t="str">
        <f t="shared" si="1"/>
        <v/>
      </c>
      <c r="R18" s="479"/>
      <c r="S18" s="480"/>
      <c r="T18" s="481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479"/>
      <c r="M19" s="481"/>
      <c r="N19" s="346" t="str">
        <f t="shared" si="0"/>
        <v/>
      </c>
      <c r="O19" s="479"/>
      <c r="P19" s="481"/>
      <c r="Q19" s="346" t="str">
        <f t="shared" si="1"/>
        <v/>
      </c>
      <c r="R19" s="479"/>
      <c r="S19" s="480"/>
      <c r="T19" s="481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479"/>
      <c r="M20" s="481"/>
      <c r="N20" s="346" t="str">
        <f t="shared" si="0"/>
        <v/>
      </c>
      <c r="O20" s="479"/>
      <c r="P20" s="481"/>
      <c r="Q20" s="346" t="str">
        <f t="shared" si="1"/>
        <v/>
      </c>
      <c r="R20" s="479"/>
      <c r="S20" s="480"/>
      <c r="T20" s="481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479"/>
      <c r="M21" s="481"/>
      <c r="N21" s="346" t="str">
        <f t="shared" si="0"/>
        <v/>
      </c>
      <c r="O21" s="479"/>
      <c r="P21" s="481"/>
      <c r="Q21" s="346" t="str">
        <f t="shared" si="1"/>
        <v/>
      </c>
      <c r="R21" s="479"/>
      <c r="S21" s="480"/>
      <c r="T21" s="481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479"/>
      <c r="M22" s="481"/>
      <c r="N22" s="346" t="str">
        <f t="shared" si="0"/>
        <v/>
      </c>
      <c r="O22" s="479"/>
      <c r="P22" s="481"/>
      <c r="Q22" s="346" t="str">
        <f t="shared" si="1"/>
        <v/>
      </c>
      <c r="R22" s="479"/>
      <c r="S22" s="480"/>
      <c r="T22" s="481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479"/>
      <c r="M23" s="481"/>
      <c r="N23" s="346" t="str">
        <f t="shared" si="0"/>
        <v/>
      </c>
      <c r="O23" s="479"/>
      <c r="P23" s="481"/>
      <c r="Q23" s="346" t="str">
        <f t="shared" si="1"/>
        <v/>
      </c>
      <c r="R23" s="479"/>
      <c r="S23" s="480"/>
      <c r="T23" s="481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479"/>
      <c r="M24" s="481"/>
      <c r="N24" s="346" t="str">
        <f t="shared" si="0"/>
        <v/>
      </c>
      <c r="O24" s="479"/>
      <c r="P24" s="481"/>
      <c r="Q24" s="346" t="str">
        <f t="shared" si="1"/>
        <v/>
      </c>
      <c r="R24" s="479"/>
      <c r="S24" s="480"/>
      <c r="T24" s="481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479"/>
      <c r="M25" s="481"/>
      <c r="N25" s="346" t="str">
        <f t="shared" si="0"/>
        <v/>
      </c>
      <c r="O25" s="479"/>
      <c r="P25" s="481"/>
      <c r="Q25" s="346" t="str">
        <f t="shared" si="1"/>
        <v/>
      </c>
      <c r="R25" s="479"/>
      <c r="S25" s="480"/>
      <c r="T25" s="481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479"/>
      <c r="M26" s="481"/>
      <c r="N26" s="346" t="str">
        <f t="shared" si="0"/>
        <v/>
      </c>
      <c r="O26" s="479"/>
      <c r="P26" s="481"/>
      <c r="Q26" s="346" t="str">
        <f t="shared" si="1"/>
        <v/>
      </c>
      <c r="R26" s="479"/>
      <c r="S26" s="480"/>
      <c r="T26" s="481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479"/>
      <c r="M27" s="481"/>
      <c r="N27" s="346" t="str">
        <f t="shared" si="0"/>
        <v/>
      </c>
      <c r="O27" s="479"/>
      <c r="P27" s="481"/>
      <c r="Q27" s="346" t="str">
        <f t="shared" si="1"/>
        <v/>
      </c>
      <c r="R27" s="479"/>
      <c r="S27" s="480"/>
      <c r="T27" s="481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479"/>
      <c r="M28" s="481"/>
      <c r="N28" s="346" t="str">
        <f t="shared" si="0"/>
        <v/>
      </c>
      <c r="O28" s="479"/>
      <c r="P28" s="481"/>
      <c r="Q28" s="346" t="str">
        <f t="shared" si="1"/>
        <v/>
      </c>
      <c r="R28" s="479"/>
      <c r="S28" s="480"/>
      <c r="T28" s="481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479"/>
      <c r="M29" s="481"/>
      <c r="N29" s="346" t="str">
        <f t="shared" si="0"/>
        <v/>
      </c>
      <c r="O29" s="479"/>
      <c r="P29" s="481"/>
      <c r="Q29" s="346" t="str">
        <f t="shared" si="1"/>
        <v/>
      </c>
      <c r="R29" s="479"/>
      <c r="S29" s="480"/>
      <c r="T29" s="481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479"/>
      <c r="M30" s="481"/>
      <c r="N30" s="346" t="str">
        <f t="shared" si="0"/>
        <v/>
      </c>
      <c r="O30" s="479"/>
      <c r="P30" s="481"/>
      <c r="Q30" s="346" t="str">
        <f t="shared" si="1"/>
        <v/>
      </c>
      <c r="R30" s="479"/>
      <c r="S30" s="480"/>
      <c r="T30" s="481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479"/>
      <c r="M31" s="481"/>
      <c r="N31" s="346" t="str">
        <f t="shared" si="0"/>
        <v/>
      </c>
      <c r="O31" s="479"/>
      <c r="P31" s="481"/>
      <c r="Q31" s="346" t="str">
        <f t="shared" si="1"/>
        <v/>
      </c>
      <c r="R31" s="479"/>
      <c r="S31" s="480"/>
      <c r="T31" s="481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479"/>
      <c r="M32" s="481"/>
      <c r="N32" s="346" t="str">
        <f t="shared" si="0"/>
        <v/>
      </c>
      <c r="O32" s="479"/>
      <c r="P32" s="481"/>
      <c r="Q32" s="346" t="str">
        <f t="shared" si="1"/>
        <v/>
      </c>
      <c r="R32" s="479"/>
      <c r="S32" s="480"/>
      <c r="T32" s="481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479"/>
      <c r="M33" s="481"/>
      <c r="N33" s="346" t="str">
        <f t="shared" si="0"/>
        <v/>
      </c>
      <c r="O33" s="479"/>
      <c r="P33" s="481"/>
      <c r="Q33" s="346" t="str">
        <f t="shared" si="1"/>
        <v/>
      </c>
      <c r="R33" s="479"/>
      <c r="S33" s="480"/>
      <c r="T33" s="481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479"/>
      <c r="M34" s="481"/>
      <c r="N34" s="346" t="str">
        <f t="shared" si="0"/>
        <v/>
      </c>
      <c r="O34" s="479"/>
      <c r="P34" s="481"/>
      <c r="Q34" s="346" t="str">
        <f t="shared" si="1"/>
        <v/>
      </c>
      <c r="R34" s="479"/>
      <c r="S34" s="480"/>
      <c r="T34" s="481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479"/>
      <c r="M35" s="481"/>
      <c r="N35" s="346" t="str">
        <f t="shared" si="0"/>
        <v/>
      </c>
      <c r="O35" s="479"/>
      <c r="P35" s="481"/>
      <c r="Q35" s="346" t="str">
        <f t="shared" si="1"/>
        <v/>
      </c>
      <c r="R35" s="479"/>
      <c r="S35" s="480"/>
      <c r="T35" s="481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479"/>
      <c r="M36" s="481"/>
      <c r="N36" s="346" t="str">
        <f t="shared" si="0"/>
        <v/>
      </c>
      <c r="O36" s="479"/>
      <c r="P36" s="481"/>
      <c r="Q36" s="346" t="str">
        <f t="shared" si="1"/>
        <v/>
      </c>
      <c r="R36" s="479"/>
      <c r="S36" s="480"/>
      <c r="T36" s="481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479"/>
      <c r="M37" s="481"/>
      <c r="N37" s="346" t="str">
        <f t="shared" si="0"/>
        <v/>
      </c>
      <c r="O37" s="479"/>
      <c r="P37" s="481"/>
      <c r="Q37" s="346" t="str">
        <f t="shared" si="1"/>
        <v/>
      </c>
      <c r="R37" s="479"/>
      <c r="S37" s="480"/>
      <c r="T37" s="481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479"/>
      <c r="M38" s="481"/>
      <c r="N38" s="346" t="str">
        <f t="shared" si="0"/>
        <v/>
      </c>
      <c r="O38" s="479"/>
      <c r="P38" s="481"/>
      <c r="Q38" s="346" t="str">
        <f t="shared" si="1"/>
        <v/>
      </c>
      <c r="R38" s="479"/>
      <c r="S38" s="480"/>
      <c r="T38" s="481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479"/>
      <c r="M39" s="481"/>
      <c r="N39" s="346" t="str">
        <f t="shared" si="0"/>
        <v/>
      </c>
      <c r="O39" s="479"/>
      <c r="P39" s="481"/>
      <c r="Q39" s="346" t="str">
        <f t="shared" si="1"/>
        <v/>
      </c>
      <c r="R39" s="479"/>
      <c r="S39" s="480"/>
      <c r="T39" s="481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479"/>
      <c r="M40" s="481"/>
      <c r="N40" s="346" t="str">
        <f t="shared" si="0"/>
        <v/>
      </c>
      <c r="O40" s="479"/>
      <c r="P40" s="481"/>
      <c r="Q40" s="346" t="str">
        <f t="shared" si="1"/>
        <v/>
      </c>
      <c r="R40" s="479"/>
      <c r="S40" s="480"/>
      <c r="T40" s="481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479"/>
      <c r="M41" s="481"/>
      <c r="N41" s="346" t="str">
        <f t="shared" si="0"/>
        <v/>
      </c>
      <c r="O41" s="479"/>
      <c r="P41" s="481"/>
      <c r="Q41" s="346" t="str">
        <f t="shared" si="1"/>
        <v/>
      </c>
      <c r="R41" s="479"/>
      <c r="S41" s="480"/>
      <c r="T41" s="481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479"/>
      <c r="M42" s="481"/>
      <c r="N42" s="346" t="str">
        <f t="shared" si="0"/>
        <v/>
      </c>
      <c r="O42" s="479"/>
      <c r="P42" s="481"/>
      <c r="Q42" s="346" t="str">
        <f t="shared" si="1"/>
        <v/>
      </c>
      <c r="R42" s="479"/>
      <c r="S42" s="480"/>
      <c r="T42" s="481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479"/>
      <c r="M43" s="481"/>
      <c r="N43" s="346" t="str">
        <f t="shared" si="0"/>
        <v/>
      </c>
      <c r="O43" s="479"/>
      <c r="P43" s="481"/>
      <c r="Q43" s="346" t="str">
        <f t="shared" si="1"/>
        <v/>
      </c>
      <c r="R43" s="479"/>
      <c r="S43" s="480"/>
      <c r="T43" s="481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479"/>
      <c r="M44" s="481"/>
      <c r="N44" s="346" t="str">
        <f t="shared" si="0"/>
        <v/>
      </c>
      <c r="O44" s="479"/>
      <c r="P44" s="481"/>
      <c r="Q44" s="346" t="str">
        <f t="shared" si="1"/>
        <v/>
      </c>
      <c r="R44" s="479"/>
      <c r="S44" s="480"/>
      <c r="T44" s="481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479"/>
      <c r="M45" s="481"/>
      <c r="N45" s="346" t="str">
        <f t="shared" si="0"/>
        <v/>
      </c>
      <c r="O45" s="479"/>
      <c r="P45" s="481"/>
      <c r="Q45" s="346" t="str">
        <f t="shared" si="1"/>
        <v/>
      </c>
      <c r="R45" s="479"/>
      <c r="S45" s="480"/>
      <c r="T45" s="481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479"/>
      <c r="M46" s="481"/>
      <c r="N46" s="346" t="str">
        <f t="shared" si="0"/>
        <v/>
      </c>
      <c r="O46" s="479"/>
      <c r="P46" s="481"/>
      <c r="Q46" s="346" t="str">
        <f t="shared" si="1"/>
        <v/>
      </c>
      <c r="R46" s="479"/>
      <c r="S46" s="480"/>
      <c r="T46" s="481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479"/>
      <c r="M47" s="481"/>
      <c r="N47" s="346" t="str">
        <f t="shared" si="0"/>
        <v/>
      </c>
      <c r="O47" s="479"/>
      <c r="P47" s="481"/>
      <c r="Q47" s="346" t="str">
        <f t="shared" si="1"/>
        <v/>
      </c>
      <c r="R47" s="479"/>
      <c r="S47" s="480"/>
      <c r="T47" s="481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479"/>
      <c r="M48" s="481"/>
      <c r="N48" s="346" t="str">
        <f t="shared" si="0"/>
        <v/>
      </c>
      <c r="O48" s="479"/>
      <c r="P48" s="481"/>
      <c r="Q48" s="346" t="str">
        <f t="shared" si="1"/>
        <v/>
      </c>
      <c r="R48" s="479"/>
      <c r="S48" s="480"/>
      <c r="T48" s="481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479"/>
      <c r="M49" s="481"/>
      <c r="N49" s="346" t="str">
        <f t="shared" si="0"/>
        <v/>
      </c>
      <c r="O49" s="479"/>
      <c r="P49" s="481"/>
      <c r="Q49" s="346" t="str">
        <f t="shared" si="1"/>
        <v/>
      </c>
      <c r="R49" s="479"/>
      <c r="S49" s="480"/>
      <c r="T49" s="481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479"/>
      <c r="M50" s="481"/>
      <c r="N50" s="346" t="str">
        <f t="shared" si="0"/>
        <v/>
      </c>
      <c r="O50" s="479"/>
      <c r="P50" s="481"/>
      <c r="Q50" s="346" t="str">
        <f t="shared" si="1"/>
        <v/>
      </c>
      <c r="R50" s="479"/>
      <c r="S50" s="480"/>
      <c r="T50" s="481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476"/>
      <c r="M51" s="477"/>
      <c r="N51" s="346" t="str">
        <f>IF(AND(L51&lt;&gt;"",M51&lt;&gt;""),CONCATENATE($AC$12,L51,M51),"")</f>
        <v/>
      </c>
      <c r="O51" s="476"/>
      <c r="P51" s="477"/>
      <c r="Q51" s="346" t="str">
        <f>IF(AND(O51&lt;&gt;"",P51&lt;&gt;""),CONCATENATE($AC$15,O51,P51),"")</f>
        <v/>
      </c>
      <c r="R51" s="476"/>
      <c r="S51" s="478"/>
      <c r="T51" s="477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N80QQ/vU/sL7gjbHxr9ljIVsT5vZGE1sze+h162FFp1bFhmsx4oVYTuGXXmzKEz6haLYOXM2nDnv9CycnjI0hA==" saltValue="WpV9Tf6ycvHfqpWGXuag0g==" spinCount="100000" sheet="1" objects="1" scenarios="1"/>
  <mergeCells count="143"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topLeftCell="A13" zoomScale="85" zoomScaleNormal="85" workbookViewId="0">
      <selection activeCell="V25" sqref="V25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hidden="1" customWidth="1"/>
    <col min="7" max="7" width="22" style="28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37" t="s">
        <v>38</v>
      </c>
      <c r="D2" s="437"/>
      <c r="E2" s="437"/>
      <c r="F2" s="437"/>
      <c r="G2" s="437"/>
      <c r="H2" s="437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12" t="s">
        <v>39</v>
      </c>
      <c r="D3" s="512"/>
      <c r="E3" s="512"/>
      <c r="F3" s="512"/>
      <c r="G3" s="512"/>
      <c r="H3" s="512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184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37" t="s">
        <v>90</v>
      </c>
      <c r="E7" s="437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17"/>
      <c r="E8" s="517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/>
      </c>
      <c r="D9" s="518"/>
      <c r="E9" s="518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b">
        <f>AND(FabricaTestes,VLOOKUP(B9,PercentuaisFases[],VLOOKUP(Fornecedor,MapFasesFornecedores[#All],4,FALSE),FALSE))</f>
        <v>1</v>
      </c>
      <c r="L9" s="166">
        <f>IF(C9="",0)</f>
        <v>0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/>
      </c>
      <c r="D10" s="518"/>
      <c r="E10" s="518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b">
        <f>AND(FabricaTestes,VLOOKUP(B10,PercentuaisFases[],VLOOKUP(Fornecedor,MapFasesFornecedores[#All],4,FALSE),FALSE))</f>
        <v>1</v>
      </c>
      <c r="L10" s="166">
        <f t="shared" ref="L10:L15" si="0">IF(C10="",0)</f>
        <v>0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8"/>
      <c r="E11" s="518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b">
        <f>AND(FabricaTestes,VLOOKUP(B11,PercentuaisFases[],VLOOKUP(Fornecedor,MapFasesFornecedores[#All],4,FALSE),FALSE))</f>
        <v>0</v>
      </c>
      <c r="L11" s="166" t="b">
        <f t="shared" si="0"/>
        <v>0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19"/>
      <c r="E12" s="519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/>
      </c>
      <c r="D13" s="518"/>
      <c r="E13" s="518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b">
        <f>AND(FabricaTestes,VLOOKUP(B13,PercentuaisFases[],VLOOKUP(Fornecedor,MapFasesFornecedores[#All],4,FALSE),FALSE))</f>
        <v>1</v>
      </c>
      <c r="L13" s="166">
        <f>IF(C13="",0)</f>
        <v>0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/>
      </c>
      <c r="D14" s="518"/>
      <c r="E14" s="518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b">
        <f>AND(FabricaTestes,VLOOKUP(B14,PercentuaisFases[],VLOOKUP(Fornecedor,MapFasesFornecedores[#All],4,FALSE),FALSE))</f>
        <v>1</v>
      </c>
      <c r="L14" s="166">
        <f t="shared" si="0"/>
        <v>0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8"/>
      <c r="E15" s="518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b">
        <f>AND(FabricaTestes,VLOOKUP(B15,PercentuaisFases[],VLOOKUP(Fornecedor,MapFasesFornecedores[#All],4,FALSE),FALSE))</f>
        <v>0</v>
      </c>
      <c r="L15" s="166" t="b">
        <f t="shared" si="0"/>
        <v>0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19"/>
      <c r="E16" s="519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20"/>
      <c r="E17" s="520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184</v>
      </c>
      <c r="M17" s="103">
        <f ca="1">L17*Acomp_PosProducao_Perc</f>
        <v>3.68</v>
      </c>
      <c r="N17" s="103">
        <f ca="1">MIN(M17,Acomp_PosProducao_Max)</f>
        <v>3.68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19"/>
      <c r="E18" s="519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22"/>
      <c r="E19" s="523"/>
      <c r="F19" s="349">
        <f ca="1">IFERROR(INDIRECT(M19),0)</f>
        <v>0</v>
      </c>
      <c r="G19" s="365">
        <f ca="1">IFERROR(INDIRECT(M19),0)</f>
        <v>0</v>
      </c>
      <c r="H19" s="225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19"/>
      <c r="E20" s="519"/>
      <c r="F20" s="350"/>
      <c r="G20" s="7"/>
      <c r="H20" s="226"/>
      <c r="I20" s="94"/>
      <c r="J20" s="173"/>
      <c r="K20" s="174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22"/>
      <c r="E21" s="523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19"/>
      <c r="E22" s="519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22"/>
      <c r="E23" s="523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21" t="s">
        <v>432</v>
      </c>
      <c r="D24" s="521"/>
      <c r="E24" s="521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1</v>
      </c>
      <c r="R25" s="89"/>
      <c r="S25" s="89"/>
      <c r="T25" s="89" t="str">
        <f ca="1">U42</f>
        <v>•Alocação de recursos / Serviços de consultoria _x000D_</v>
      </c>
      <c r="U25" s="89"/>
    </row>
    <row r="26" spans="1:22" s="90" customFormat="1" ht="30.75" customHeight="1" x14ac:dyDescent="0.25">
      <c r="A26" s="111"/>
      <c r="B26" s="117"/>
      <c r="C26" s="450" t="s">
        <v>409</v>
      </c>
      <c r="D26" s="513"/>
      <c r="E26" s="451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x14ac:dyDescent="0.2">
      <c r="A27" s="107"/>
      <c r="B27" s="108"/>
      <c r="C27" s="514" t="s">
        <v>278</v>
      </c>
      <c r="D27" s="515"/>
      <c r="E27" s="516"/>
      <c r="F27" s="351">
        <v>41</v>
      </c>
      <c r="G27" s="351">
        <v>41</v>
      </c>
      <c r="H27" s="227" t="s">
        <v>494</v>
      </c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0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/>
      </c>
      <c r="U27" s="88" t="str">
        <f ca="1">U26&amp;T27</f>
        <v/>
      </c>
      <c r="V27" s="34"/>
    </row>
    <row r="28" spans="1:22" s="28" customFormat="1" x14ac:dyDescent="0.2">
      <c r="A28" s="107"/>
      <c r="B28" s="108"/>
      <c r="C28" s="514" t="s">
        <v>278</v>
      </c>
      <c r="D28" s="515"/>
      <c r="E28" s="516"/>
      <c r="F28" s="351">
        <v>33</v>
      </c>
      <c r="G28" s="351">
        <v>33</v>
      </c>
      <c r="H28" s="227" t="s">
        <v>495</v>
      </c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1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1</v>
      </c>
      <c r="S28" s="88" t="b">
        <f t="shared" ref="S28:S42" si="4">ISTEXT(C28)</f>
        <v>1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/>
      </c>
      <c r="V28" s="34"/>
    </row>
    <row r="29" spans="1:22" s="28" customFormat="1" x14ac:dyDescent="0.2">
      <c r="A29" s="107"/>
      <c r="B29" s="108"/>
      <c r="C29" s="514" t="s">
        <v>278</v>
      </c>
      <c r="D29" s="515"/>
      <c r="E29" s="516"/>
      <c r="F29" s="351">
        <v>88</v>
      </c>
      <c r="G29" s="351">
        <v>88</v>
      </c>
      <c r="H29" s="227" t="s">
        <v>496</v>
      </c>
      <c r="I29" s="97"/>
      <c r="J29" s="30"/>
      <c r="K29" s="30"/>
      <c r="L29" s="88"/>
      <c r="M29" s="88"/>
      <c r="N29" s="88"/>
      <c r="O29" s="88"/>
      <c r="P29" s="88" t="b">
        <f t="shared" ca="1" si="1"/>
        <v>1</v>
      </c>
      <c r="Q29" s="88" t="b">
        <f t="shared" ca="1" si="2"/>
        <v>0</v>
      </c>
      <c r="R29" s="88" t="b">
        <f t="shared" si="3"/>
        <v>1</v>
      </c>
      <c r="S29" s="88" t="b">
        <f t="shared" si="4"/>
        <v>1</v>
      </c>
      <c r="T29" s="88" t="str">
        <f t="shared" ca="1" si="5"/>
        <v/>
      </c>
      <c r="U29" s="88" t="str">
        <f t="shared" ca="1" si="6"/>
        <v/>
      </c>
      <c r="V29" s="34"/>
    </row>
    <row r="30" spans="1:22" s="28" customFormat="1" x14ac:dyDescent="0.2">
      <c r="A30" s="107"/>
      <c r="B30" s="108"/>
      <c r="C30" s="514" t="s">
        <v>212</v>
      </c>
      <c r="D30" s="515"/>
      <c r="E30" s="516"/>
      <c r="F30" s="351">
        <v>16</v>
      </c>
      <c r="G30" s="351">
        <v>16</v>
      </c>
      <c r="H30" s="227" t="s">
        <v>18</v>
      </c>
      <c r="I30" s="97"/>
      <c r="J30" s="30"/>
      <c r="K30" s="30"/>
      <c r="L30" s="88"/>
      <c r="M30" s="88"/>
      <c r="N30" s="88"/>
      <c r="O30" s="88"/>
      <c r="P30" s="88" t="b">
        <f t="shared" ca="1" si="1"/>
        <v>1</v>
      </c>
      <c r="Q30" s="88" t="b">
        <f t="shared" ca="1" si="2"/>
        <v>1</v>
      </c>
      <c r="R30" s="88" t="b">
        <f t="shared" si="3"/>
        <v>1</v>
      </c>
      <c r="S30" s="88" t="b">
        <f t="shared" si="4"/>
        <v>1</v>
      </c>
      <c r="T30" s="88" t="str">
        <f t="shared" ca="1" si="5"/>
        <v>•Alocação de recursos / Serviços de consultoria _x000D_</v>
      </c>
      <c r="U30" s="88" t="str">
        <f t="shared" ca="1" si="6"/>
        <v>•Alocação de recursos / Serviços de consultoria _x000D_</v>
      </c>
      <c r="V30" s="34"/>
    </row>
    <row r="31" spans="1:22" s="28" customFormat="1" x14ac:dyDescent="0.2">
      <c r="A31" s="107"/>
      <c r="B31" s="108"/>
      <c r="C31" s="514" t="s">
        <v>278</v>
      </c>
      <c r="D31" s="515"/>
      <c r="E31" s="516"/>
      <c r="F31" s="351">
        <v>6</v>
      </c>
      <c r="G31" s="351">
        <v>6</v>
      </c>
      <c r="H31" s="227" t="s">
        <v>497</v>
      </c>
      <c r="I31" s="97"/>
      <c r="J31" s="30"/>
      <c r="K31" s="30"/>
      <c r="L31" s="88"/>
      <c r="M31" s="88"/>
      <c r="N31" s="88"/>
      <c r="O31" s="88"/>
      <c r="P31" s="88" t="b">
        <f t="shared" ca="1" si="1"/>
        <v>1</v>
      </c>
      <c r="Q31" s="88" t="b">
        <f t="shared" ca="1" si="2"/>
        <v>0</v>
      </c>
      <c r="R31" s="88" t="b">
        <f t="shared" si="3"/>
        <v>1</v>
      </c>
      <c r="S31" s="88" t="b">
        <f t="shared" si="4"/>
        <v>1</v>
      </c>
      <c r="T31" s="88" t="str">
        <f t="shared" ca="1" si="5"/>
        <v/>
      </c>
      <c r="U31" s="88" t="str">
        <f t="shared" ca="1" si="6"/>
        <v>•Alocação de recursos / Serviços de consultoria _x000D_</v>
      </c>
      <c r="V31" s="34"/>
    </row>
    <row r="32" spans="1:22" s="28" customFormat="1" x14ac:dyDescent="0.2">
      <c r="A32" s="107"/>
      <c r="B32" s="108"/>
      <c r="C32" s="514"/>
      <c r="D32" s="515"/>
      <c r="E32" s="516"/>
      <c r="F32" s="351"/>
      <c r="G32" s="351"/>
      <c r="H32" s="227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>•Alocação de recursos / Serviços de consultoria _x000D_</v>
      </c>
      <c r="V32" s="34"/>
    </row>
    <row r="33" spans="1:242" s="28" customFormat="1" x14ac:dyDescent="0.2">
      <c r="A33" s="107"/>
      <c r="B33" s="108"/>
      <c r="C33" s="514"/>
      <c r="D33" s="515"/>
      <c r="E33" s="516"/>
      <c r="F33" s="351"/>
      <c r="G33" s="351"/>
      <c r="H33" s="227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>•Alocação de recursos / Serviços de consultoria _x000D_</v>
      </c>
      <c r="V33" s="34"/>
    </row>
    <row r="34" spans="1:242" s="28" customFormat="1" x14ac:dyDescent="0.2">
      <c r="A34" s="107"/>
      <c r="B34" s="108"/>
      <c r="C34" s="514"/>
      <c r="D34" s="515"/>
      <c r="E34" s="516"/>
      <c r="F34" s="351"/>
      <c r="G34" s="351"/>
      <c r="H34" s="227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>•Alocação de recursos / Serviços de consultoria _x000D_</v>
      </c>
      <c r="V34" s="34"/>
    </row>
    <row r="35" spans="1:242" s="28" customFormat="1" x14ac:dyDescent="0.2">
      <c r="A35" s="107"/>
      <c r="B35" s="108"/>
      <c r="C35" s="514"/>
      <c r="D35" s="515"/>
      <c r="E35" s="516"/>
      <c r="F35" s="351"/>
      <c r="G35" s="351"/>
      <c r="H35" s="227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>•Alocação de recursos / Serviços de consultoria _x000D_</v>
      </c>
      <c r="V35" s="34"/>
    </row>
    <row r="36" spans="1:242" s="28" customFormat="1" x14ac:dyDescent="0.2">
      <c r="A36" s="107"/>
      <c r="B36" s="108"/>
      <c r="C36" s="514"/>
      <c r="D36" s="515"/>
      <c r="E36" s="516"/>
      <c r="F36" s="351"/>
      <c r="G36" s="351"/>
      <c r="H36" s="227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>•Alocação de recursos / Serviços de consultoria _x000D_</v>
      </c>
      <c r="V36" s="34"/>
    </row>
    <row r="37" spans="1:242" s="28" customFormat="1" x14ac:dyDescent="0.2">
      <c r="A37" s="107"/>
      <c r="B37" s="108"/>
      <c r="C37" s="514"/>
      <c r="D37" s="515"/>
      <c r="E37" s="516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>•Alocação de recursos / Serviços de consultoria _x000D_</v>
      </c>
      <c r="V37" s="34"/>
    </row>
    <row r="38" spans="1:242" s="28" customFormat="1" x14ac:dyDescent="0.2">
      <c r="A38" s="107"/>
      <c r="B38" s="108"/>
      <c r="C38" s="514"/>
      <c r="D38" s="515"/>
      <c r="E38" s="516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>•Alocação de recursos / Serviços de consultoria _x000D_</v>
      </c>
      <c r="V38" s="34"/>
    </row>
    <row r="39" spans="1:242" s="98" customFormat="1" x14ac:dyDescent="0.2">
      <c r="A39" s="107"/>
      <c r="B39" s="112"/>
      <c r="C39" s="514"/>
      <c r="D39" s="515"/>
      <c r="E39" s="516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>•Alocação de recursos / Serviços de consultoria _x000D_</v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4"/>
      <c r="D40" s="515"/>
      <c r="E40" s="516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>•Alocação de recursos / Serviços de consultoria _x000D_</v>
      </c>
      <c r="V40" s="34"/>
    </row>
    <row r="41" spans="1:242" s="28" customFormat="1" x14ac:dyDescent="0.2">
      <c r="A41" s="107"/>
      <c r="B41" s="108"/>
      <c r="C41" s="514"/>
      <c r="D41" s="515"/>
      <c r="E41" s="516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>•Alocação de recursos / Serviços de consultoria _x000D_</v>
      </c>
      <c r="V41" s="34"/>
    </row>
    <row r="42" spans="1:242" s="28" customFormat="1" x14ac:dyDescent="0.2">
      <c r="A42" s="107"/>
      <c r="B42" s="108"/>
      <c r="C42" s="514"/>
      <c r="D42" s="515"/>
      <c r="E42" s="516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>•Alocação de recursos / Serviços de consultoria _x000D_</v>
      </c>
      <c r="V42" s="34"/>
    </row>
    <row r="43" spans="1:242" s="28" customFormat="1" x14ac:dyDescent="0.2">
      <c r="A43" s="107"/>
      <c r="B43" s="108"/>
      <c r="C43" s="521" t="s">
        <v>41</v>
      </c>
      <c r="D43" s="521"/>
      <c r="E43" s="521"/>
      <c r="F43" s="221">
        <f>SUM(F27:F42)</f>
        <v>184</v>
      </c>
      <c r="G43" s="221">
        <f>SUM(G27:G42)</f>
        <v>184</v>
      </c>
      <c r="H43" s="137"/>
      <c r="I43" s="34"/>
      <c r="J43" s="88"/>
      <c r="K43" s="88"/>
      <c r="L43" s="102">
        <f>MAX(F43:G43)</f>
        <v>184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ref="G47:G51" si="8">F47</f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50" t="s">
        <v>62</v>
      </c>
      <c r="E55" s="451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1"/>
      <c r="E56" s="511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09"/>
      <c r="E57" s="510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37" t="s">
        <v>69</v>
      </c>
      <c r="E60" s="437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1"/>
      <c r="E61" s="511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09"/>
      <c r="E62" s="510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PtxHIyproPknv9/TGJkGGrB4gq7VIQCG3HeZ9bFJiKLp6O+Wn4y7J9UZ8tBM39mQmz0Orqrfu8DPVpds16zx5g==" saltValue="PB2rnrnIIvj3AD9K4dGVTw==" spinCount="100000" sheet="1" objects="1" scenarios="1"/>
  <mergeCells count="44"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zoomScale="85" zoomScaleNormal="85" workbookViewId="0">
      <selection activeCell="X11" sqref="X11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hidden="1" customWidth="1"/>
    <col min="5" max="5" width="19.140625" style="68" hidden="1" customWidth="1"/>
    <col min="6" max="7" width="19.140625" style="68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37" t="s">
        <v>26</v>
      </c>
      <c r="C2" s="437"/>
      <c r="D2" s="437"/>
      <c r="E2" s="437"/>
      <c r="F2" s="437"/>
      <c r="G2" s="437"/>
      <c r="H2" s="437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24" t="s">
        <v>85</v>
      </c>
      <c r="C3" s="524"/>
      <c r="D3" s="524"/>
      <c r="E3" s="524"/>
      <c r="F3" s="524"/>
      <c r="G3" s="524"/>
      <c r="H3" s="524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1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b">
        <f>AND(FabricaTestes,VLOOKUP(B6,PercentuaisFases[],VLOOKUP(Fornecedor,MapFasesFornecedores[#All],4,FALSE),FALSE))</f>
        <v>0</v>
      </c>
      <c r="K6" s="166" t="b">
        <f t="shared" ref="K6:K18" si="0">IF(C6="",0)</f>
        <v>0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>ROUND(Analogia[[#Totals],[Esforço com Impacto]]*'Fases Contratadas'!U6,2)</f>
        <v>0</v>
      </c>
    </row>
    <row r="7" spans="2:22" ht="14.25" x14ac:dyDescent="0.2">
      <c r="B7" s="204" t="s">
        <v>196</v>
      </c>
      <c r="C7" s="235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0</v>
      </c>
      <c r="J7" s="394" t="b">
        <f>AND(FabricaTestes,VLOOKUP(B7,PercentuaisFases[],VLOOKUP(Fornecedor,MapFasesFornecedores[#All],4,FALSE),FALSE))</f>
        <v>0</v>
      </c>
      <c r="K7" s="166" t="b">
        <f t="shared" si="0"/>
        <v>0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>ROUND(IF(EsforcoFases[[#This Row],[checks]]=FALSE,0,PontosFuncao[[#Totals],[Esforço]]*IF(C7="","",VLOOKUP(B7,PercentuaisFases[],VLOOKUP(Fornecedor,MapFasesFornecedores[#All],3,FALSE),FALSE))),2)</f>
        <v>0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>Q7+R7</f>
        <v>0</v>
      </c>
      <c r="T7" s="406" t="s">
        <v>455</v>
      </c>
      <c r="U7" s="407">
        <v>0.03</v>
      </c>
      <c r="V7" s="408">
        <f>ROUND(Analogia[[#Totals],[Esforço com Impacto]]*'Fases Contratadas'!U7,2)</f>
        <v>0</v>
      </c>
    </row>
    <row r="8" spans="2:22" ht="15" x14ac:dyDescent="0.2">
      <c r="B8" s="203">
        <v>2</v>
      </c>
      <c r="C8" s="355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b">
        <f>AND(FabricaTestes,VLOOKUP(B8,PercentuaisFases[],VLOOKUP(Fornecedor,MapFasesFornecedores[#All],4,FALSE),FALSE))</f>
        <v>0</v>
      </c>
      <c r="K8" s="166" t="b">
        <f t="shared" si="0"/>
        <v>0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>ROUND(Analogia[[#Totals],[Esforço com Impacto]]*'Fases Contratadas'!U8,2)</f>
        <v>0</v>
      </c>
    </row>
    <row r="9" spans="2:22" ht="15" customHeight="1" x14ac:dyDescent="0.25">
      <c r="B9" s="204" t="s">
        <v>197</v>
      </c>
      <c r="C9" s="235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0</v>
      </c>
      <c r="J9" s="394" t="b">
        <f>AND(FabricaTestes,VLOOKUP(B9,PercentuaisFases[],VLOOKUP(Fornecedor,MapFasesFornecedores[#All],4,FALSE),FALSE))</f>
        <v>0</v>
      </c>
      <c r="K9" s="166" t="b">
        <f>IF(OR(F10&gt;0,C9=""),0)</f>
        <v>0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>ROUND(IF(EsforcoFases[[#This Row],[checks]]=FALSE,0,PontosFuncao[[#Totals],[Esforço]]*IF(C9="","",VLOOKUP(B9,PercentuaisFases[],VLOOKUP(Fornecedor,MapFasesFornecedores[#All],3,FALSE),FALSE))),2)</f>
        <v>0</v>
      </c>
      <c r="R9" s="396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7">
        <f>Q9+R9</f>
        <v>0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b">
        <f>AND(FabricaTestes,VLOOKUP(B10,PercentuaisFases[],VLOOKUP(Fornecedor,MapFasesFornecedores[#All],4,FALSE),FALSE))</f>
        <v>0</v>
      </c>
      <c r="K10" s="166" t="b">
        <f>IF(OR(F9&gt;0,C10=""),0)</f>
        <v>0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>ROUND(Analogia[[#Totals],[Esforço com Impacto]]*'Fases Contratadas'!U10,2)</f>
        <v>0</v>
      </c>
    </row>
    <row r="11" spans="2:22" ht="15" x14ac:dyDescent="0.2">
      <c r="B11" s="203">
        <v>3</v>
      </c>
      <c r="C11" s="355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b">
        <f>AND(FabricaTestes,VLOOKUP(B11,PercentuaisFases[],VLOOKUP(Fornecedor,MapFasesFornecedores[#All],4,FALSE),FALSE))</f>
        <v>0</v>
      </c>
      <c r="K11" s="166" t="b">
        <f t="shared" si="0"/>
        <v>0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>ROUND(Analogia[[#Totals],[Esforço sem Impacto]]*'Fases Contratadas'!U11,2)</f>
        <v>0</v>
      </c>
    </row>
    <row r="12" spans="2:22" ht="76.5" customHeight="1" x14ac:dyDescent="0.2">
      <c r="B12" s="204" t="s">
        <v>199</v>
      </c>
      <c r="C12" s="235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0</v>
      </c>
      <c r="J12" s="394" t="b">
        <f>AND(FabricaTestes,VLOOKUP(B12,PercentuaisFases[],VLOOKUP(Fornecedor,MapFasesFornecedores[#All],4,FALSE),FALSE))</f>
        <v>0</v>
      </c>
      <c r="K12" s="166" t="b">
        <f t="shared" si="0"/>
        <v>0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>ROUND(IF(EsforcoFases[[#This Row],[checks]]=FALSE,0,PontosFuncao[[#Totals],[Esforço]]*IF(C12="","",VLOOKUP(B12,PercentuaisFases[],VLOOKUP(Fornecedor,MapFasesFornecedores[#All],3,FALSE),FALSE))),2)</f>
        <v>0</v>
      </c>
      <c r="R12" s="396">
        <f>ROUND(IF(EsforcoFases[[#This Row],[checks]]=FALSE,0,V15),2)</f>
        <v>0</v>
      </c>
      <c r="S12" s="397">
        <f>Q12+R12</f>
        <v>0</v>
      </c>
      <c r="T12" s="409" t="s">
        <v>460</v>
      </c>
      <c r="U12" s="407">
        <v>1.4999999999999999E-2</v>
      </c>
      <c r="V12" s="408">
        <f>ROUND(Analogia[[#Totals],[Esforço sem Impacto]]*'Fases Contratadas'!U12,2)</f>
        <v>0</v>
      </c>
    </row>
    <row r="13" spans="2:22" ht="15" customHeight="1" x14ac:dyDescent="0.2">
      <c r="B13" s="203">
        <v>4</v>
      </c>
      <c r="C13" s="355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/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b">
        <f>AND(FabricaTestes,VLOOKUP(B13,PercentuaisFases[],VLOOKUP(Fornecedor,MapFasesFornecedores[#All],4,FALSE),FALSE))</f>
        <v>1</v>
      </c>
      <c r="K13" s="374">
        <f t="shared" si="0"/>
        <v>0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>ROUND(Analogia[[#Totals],[Esforço sem Impacto]]*'Fases Contratadas'!U13,2)</f>
        <v>0</v>
      </c>
    </row>
    <row r="14" spans="2:22" ht="14.25" customHeight="1" x14ac:dyDescent="0.2">
      <c r="B14" s="204" t="s">
        <v>200</v>
      </c>
      <c r="C14" s="235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/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b">
        <f>AND(FabricaTestes,VLOOKUP(B14,PercentuaisFases[],VLOOKUP(Fornecedor,MapFasesFornecedores[#All],4,FALSE),FALSE))</f>
        <v>1</v>
      </c>
      <c r="K14" s="374">
        <f t="shared" si="0"/>
        <v>0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>ROUND(Analogia[[#Totals],[Esforço sem Impacto]]*'Fases Contratadas'!U14,2)</f>
        <v>0</v>
      </c>
    </row>
    <row r="15" spans="2:22" ht="14.25" x14ac:dyDescent="0.2">
      <c r="B15" s="204" t="s">
        <v>201</v>
      </c>
      <c r="C15" s="235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/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b">
        <f>AND(FabricaTestes,VLOOKUP(B15,PercentuaisFases[],VLOOKUP(Fornecedor,MapFasesFornecedores[#All],4,FALSE),FALSE))</f>
        <v>1</v>
      </c>
      <c r="K15" s="374">
        <f t="shared" si="0"/>
        <v>0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>SUM(V6:V14)</f>
        <v>0</v>
      </c>
    </row>
    <row r="16" spans="2:22" ht="15" x14ac:dyDescent="0.2">
      <c r="B16" s="203">
        <v>5</v>
      </c>
      <c r="C16" s="355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b">
        <f>AND(FabricaTestes,VLOOKUP(B16,PercentuaisFases[],VLOOKUP(Fornecedor,MapFasesFornecedores[#All],4,FALSE),FALSE))</f>
        <v>0</v>
      </c>
      <c r="K16" s="166" t="b">
        <f t="shared" si="0"/>
        <v>0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0</v>
      </c>
      <c r="J17" s="394" t="b">
        <f>AND(FabricaTestes,VLOOKUP(B17,PercentuaisFases[],VLOOKUP(Fornecedor,MapFasesFornecedores[#All],4,FALSE),FALSE))</f>
        <v>0</v>
      </c>
      <c r="K17" s="166" t="b">
        <f t="shared" si="0"/>
        <v>0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>ROUND(IF(EsforcoFases[[#This Row],[checks]]=FALSE,0,PontosFuncao[[#Totals],[Esforço]]*IF(C17="","",VLOOKUP(B17,PercentuaisFases[],VLOOKUP(Fornecedor,MapFasesFornecedores[#All],3,FALSE),FALSE))),2)</f>
        <v>0</v>
      </c>
      <c r="R17" s="396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7">
        <f t="shared" ref="S17:S18" si="1">Q17+R17</f>
        <v>0</v>
      </c>
    </row>
    <row r="18" spans="1:19" ht="14.25" x14ac:dyDescent="0.2">
      <c r="B18" s="204" t="s">
        <v>203</v>
      </c>
      <c r="C18" s="235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b">
        <f>AND(FabricaTestes,VLOOKUP(B18,PercentuaisFases[],VLOOKUP(Fornecedor,MapFasesFornecedores[#All],4,FALSE),FALSE))</f>
        <v>0</v>
      </c>
      <c r="K18" s="103" t="b">
        <f t="shared" si="0"/>
        <v>0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 t="shared" si="1"/>
        <v>0</v>
      </c>
    </row>
    <row r="19" spans="1:19" ht="15" x14ac:dyDescent="0.25">
      <c r="B19" s="205"/>
      <c r="C19" s="356" t="s">
        <v>112</v>
      </c>
      <c r="D19" s="49"/>
      <c r="E19" s="184">
        <f>ROUND(SUBTOTAL(109,EsforcoFases[Esforço em Horas (calculado)]),2)</f>
        <v>0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>SUBTOTAL(109,Q6:Q18)</f>
        <v>0</v>
      </c>
      <c r="R19" s="399">
        <f>SUBTOTAL(109,R6:R18)</f>
        <v>0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r0oqpwnvvidbE2f0CUvQ4yoxE+l+fzRduJTMQ8m06O7wyIQJZgNtx44hBCBd2tErJU6z3C08qt0sR9JQ2zqjfA==" saltValue="OeZjGcl/Vn5Htwm96PQT2g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37" t="s">
        <v>23</v>
      </c>
      <c r="C2" s="437"/>
      <c r="D2" s="437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gwjzuipasKkff1ft8O8UyCxxAX7mcr+kAqsuXMa3DIsXR5mA48pTfUO6AIbCLHp7EyrP3lbhN+/ESWVwRbBr/A==" saltValue="QjKDXy/wBaR9Rpfe9zecbQ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40"/>
  <sheetViews>
    <sheetView showGridLines="0" showRowColHeaders="0" zoomScaleNormal="100" workbookViewId="0">
      <selection activeCell="B15" sqref="B15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37" t="s">
        <v>22</v>
      </c>
      <c r="C2" s="437"/>
      <c r="D2" s="437"/>
      <c r="E2" s="437"/>
      <c r="F2" s="437"/>
      <c r="G2" s="437"/>
      <c r="H2" s="437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125.9</v>
      </c>
      <c r="G5" s="47" t="s">
        <v>140</v>
      </c>
      <c r="H5" s="46" t="s">
        <v>143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154.36000000000001</v>
      </c>
      <c r="G6" s="47" t="s">
        <v>269</v>
      </c>
      <c r="H6" s="46" t="s">
        <v>143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154.36000000000001</v>
      </c>
      <c r="G7" s="47" t="s">
        <v>140</v>
      </c>
      <c r="H7" s="46" t="s">
        <v>143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125.9</v>
      </c>
      <c r="G8" s="47" t="s">
        <v>140</v>
      </c>
      <c r="H8" s="46" t="s">
        <v>143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125.9</v>
      </c>
      <c r="G9" s="47" t="s">
        <v>269</v>
      </c>
      <c r="H9" s="46" t="s">
        <v>143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125.9</v>
      </c>
      <c r="G10" s="47" t="s">
        <v>140</v>
      </c>
      <c r="H10" s="46" t="s">
        <v>143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154.36000000000001</v>
      </c>
      <c r="G11" s="47" t="s">
        <v>269</v>
      </c>
      <c r="H11" s="46" t="s">
        <v>143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154.36000000000001</v>
      </c>
      <c r="G12" s="47" t="s">
        <v>140</v>
      </c>
      <c r="H12" s="46" t="s">
        <v>143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154.36000000000001</v>
      </c>
      <c r="G13" s="47" t="s">
        <v>140</v>
      </c>
      <c r="H13" s="46" t="s">
        <v>143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154.36000000000001</v>
      </c>
      <c r="G14" s="47" t="s">
        <v>140</v>
      </c>
      <c r="H14" s="46" t="s">
        <v>143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170.64</v>
      </c>
      <c r="G15" s="47" t="s">
        <v>140</v>
      </c>
      <c r="H15" s="46" t="s">
        <v>143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125.9</v>
      </c>
      <c r="G16" s="47" t="s">
        <v>269</v>
      </c>
      <c r="H16" s="46" t="s">
        <v>143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125.9</v>
      </c>
      <c r="G17" s="47" t="s">
        <v>269</v>
      </c>
      <c r="H17" s="46" t="s">
        <v>143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154.36000000000001</v>
      </c>
      <c r="G18" s="47" t="s">
        <v>269</v>
      </c>
      <c r="H18" s="46" t="s">
        <v>143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125.9</v>
      </c>
      <c r="G19" s="47" t="s">
        <v>269</v>
      </c>
      <c r="H19" s="46" t="s">
        <v>143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125.9</v>
      </c>
      <c r="G20" s="47" t="s">
        <v>269</v>
      </c>
      <c r="H20" s="46" t="s">
        <v>143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154.36000000000001</v>
      </c>
      <c r="G21" s="47" t="s">
        <v>140</v>
      </c>
      <c r="H21" s="46" t="s">
        <v>143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154.36000000000001</v>
      </c>
      <c r="G22" s="47" t="s">
        <v>140</v>
      </c>
      <c r="H22" s="46" t="s">
        <v>143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154.36000000000001</v>
      </c>
      <c r="G23" s="47" t="s">
        <v>269</v>
      </c>
      <c r="H23" s="46" t="s">
        <v>143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125.9</v>
      </c>
      <c r="G24" s="47" t="s">
        <v>269</v>
      </c>
      <c r="H24" s="46" t="s">
        <v>143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125.9</v>
      </c>
      <c r="G25" s="47" t="s">
        <v>140</v>
      </c>
      <c r="H25" s="46" t="s">
        <v>143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125.9</v>
      </c>
      <c r="G26" s="47" t="s">
        <v>140</v>
      </c>
      <c r="H26" s="46" t="s">
        <v>143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125.9</v>
      </c>
      <c r="G27" s="47" t="s">
        <v>140</v>
      </c>
      <c r="H27" s="46" t="s">
        <v>143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154.36000000000001</v>
      </c>
      <c r="G28" s="47" t="s">
        <v>140</v>
      </c>
      <c r="H28" s="46" t="s">
        <v>143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154.36000000000001</v>
      </c>
      <c r="G29" s="47" t="s">
        <v>140</v>
      </c>
      <c r="H29" s="46" t="s">
        <v>143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154.36000000000001</v>
      </c>
      <c r="G30" s="47" t="s">
        <v>140</v>
      </c>
      <c r="H30" s="46" t="s">
        <v>143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154.36000000000001</v>
      </c>
      <c r="G31" s="47" t="s">
        <v>269</v>
      </c>
      <c r="H31" s="46" t="s">
        <v>143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154.36000000000001</v>
      </c>
      <c r="G32" s="47" t="s">
        <v>140</v>
      </c>
      <c r="H32" s="46" t="s">
        <v>143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125.9</v>
      </c>
      <c r="G33" s="47" t="s">
        <v>140</v>
      </c>
      <c r="H33" s="46" t="s">
        <v>143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125.9</v>
      </c>
      <c r="G34" s="47" t="s">
        <v>269</v>
      </c>
      <c r="H34" s="46" t="s">
        <v>143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154.36000000000001</v>
      </c>
      <c r="G35" s="47" t="s">
        <v>140</v>
      </c>
      <c r="H35" s="46" t="s">
        <v>143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154.36000000000001</v>
      </c>
      <c r="G36" s="47" t="s">
        <v>140</v>
      </c>
      <c r="H36" s="46" t="s">
        <v>143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125.9</v>
      </c>
      <c r="G37" s="47" t="s">
        <v>140</v>
      </c>
      <c r="H37" s="46" t="s">
        <v>143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125.9</v>
      </c>
      <c r="G38" s="47" t="s">
        <v>140</v>
      </c>
      <c r="H38" s="46" t="s">
        <v>143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154.36000000000001</v>
      </c>
      <c r="G39" s="47" t="s">
        <v>269</v>
      </c>
      <c r="H39" s="46" t="s">
        <v>143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125.9</v>
      </c>
      <c r="G40" s="47" t="s">
        <v>269</v>
      </c>
      <c r="H40" s="46" t="s">
        <v>143</v>
      </c>
      <c r="I40" s="46"/>
      <c r="J40" s="182"/>
      <c r="K40" s="134" t="s">
        <v>165</v>
      </c>
      <c r="L40" s="182" t="b">
        <v>1</v>
      </c>
    </row>
  </sheetData>
  <sheetProtection algorithmName="SHA-512" hashValue="bio5R3NvMOFAwIq8gZ6rB9vgiYbpcBFZ3MEdTMb0VunodeRGbVy+gD/eWabow4P+Kc+iSIdxhPmKj0dFtR5DgA==" saltValue="6x8ajeH1xpRdEMUI1MmmEw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G5:H40 K5:K40">
      <formula1>INDIRECT(#REF!)</formula1>
    </dataValidation>
    <dataValidation type="list" allowBlank="1" showInputMessage="1" showErrorMessage="1" sqref="L5:L40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Parâmetros!$D$5:$D$7</xm:f>
          </x14:formula1>
          <xm:sqref>G5:G40</xm:sqref>
        </x14:dataValidation>
        <x14:dataValidation type="list" allowBlank="1" showInputMessage="1" showErrorMessage="1">
          <x14:formula1>
            <xm:f>Parâmetros!$P$5:$P$6</xm:f>
          </x14:formula1>
          <xm:sqref>K5:K40</xm:sqref>
        </x14:dataValidation>
        <x14:dataValidation type="list" allowBlank="1" showInputMessage="1" showErrorMessage="1">
          <x14:formula1>
            <xm:f>Parâmetros!E110:E115</xm:f>
          </x14:formula1>
          <xm:sqref>H35:H40 H16:H22</xm:sqref>
        </x14:dataValidation>
        <x14:dataValidation type="list" allowBlank="1" showInputMessage="1" showErrorMessage="1">
          <x14:formula1>
            <xm:f>Parâmetros!E100:E105</xm:f>
          </x14:formula1>
          <xm:sqref>H5:H15</xm:sqref>
        </x14:dataValidation>
        <x14:dataValidation type="list" allowBlank="1" showInputMessage="1" showErrorMessage="1">
          <x14:formula1>
            <xm:f>Parâmetros!E116:E121</xm:f>
          </x14:formula1>
          <xm:sqref>H23:H34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7"/>
  <sheetViews>
    <sheetView showGridLines="0" showRowColHeaders="0" zoomScale="85" zoomScaleNormal="85" workbookViewId="0">
      <selection activeCell="B17" sqref="B17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</sheetData>
  <sheetProtection algorithmName="SHA-512" hashValue="g9KWzUe8gYlSVcMGQfR1CbOtBqW5cw+e/5Dpa3a+HIkvsZ97OyUmiIQsywFNtaN1vsRhYJ7eZjDP0c1FpVD9Gg==" saltValue="54XDG/vPwUqyvEyptGj9lg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F8" sqref="F8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5" t="s">
        <v>14</v>
      </c>
      <c r="C2" s="525"/>
      <c r="D2" s="525"/>
      <c r="E2" s="525"/>
      <c r="F2" s="525"/>
      <c r="G2" s="525"/>
      <c r="H2" s="525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/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5g+5AcBwpxTzhN4pknNobI/0kQzR12g6s27CAU9YBzvF3FIniEhXIJFb6pT4JXi51M6O2PKmL0WiQPA0kjViPg==" saltValue="2yElYEbIyD1udZEhCEEYsw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26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26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26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26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i++i10xrAsglBwjHfNPCllX4/aE1ODOnvxQv8IKgLpxY387Rc6UrjUO3ZyWamZc4XkTjW/tWQ0d5wbrfnnFx5Q==" saltValue="umOxStyEBXtU2BozcJvJOw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7"/>
  <sheetViews>
    <sheetView showGridLines="0" zoomScale="80" zoomScaleNormal="80" workbookViewId="0">
      <selection activeCell="B9" sqref="B9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21.4257812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</sheetData>
  <sheetProtection algorithmName="SHA-512" hashValue="3XrO0ijpIwsrDSJ43MFmlY3HOUUV1/cOoun2qDjSBoZTy2V8nvZyXEWT4U3zjbgMXkLsM33WxOrkDfwAcdWqIg==" saltValue="tlWRS+VLiE2A4WHpR44sUw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7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C1" zoomScale="80" zoomScaleNormal="80" workbookViewId="0">
      <selection activeCell="F13" sqref="F13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2" t="b">
        <v>0</v>
      </c>
      <c r="C7" s="142" t="b">
        <v>0</v>
      </c>
      <c r="D7" s="142" t="s">
        <v>277</v>
      </c>
      <c r="E7" s="86" t="str">
        <f>IF(ItensNaoFuncionais[[#This Row],[Lista 2]]="","",IF(AND(FabricaTestes=TRUE,ItensNaoFuncionais[[#This Row],[Fabrica Testes 2]]=TRUE),"",ItensNaoFuncionais[[#This Row],[Lista 2]]))</f>
        <v/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2" t="b">
        <v>0</v>
      </c>
      <c r="C8" s="142" t="b">
        <v>0</v>
      </c>
      <c r="D8" s="142" t="s">
        <v>36</v>
      </c>
      <c r="E8" s="86" t="str">
        <f>IF(ItensNaoFuncionais[[#This Row],[Lista 2]]="","",IF(AND(FabricaTestes=TRUE,ItensNaoFuncionais[[#This Row],[Fabrica Testes 2]]=TRUE),"",ItensNaoFuncionais[[#This Row],[Lista 2]]))</f>
        <v/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2" t="b">
        <v>0</v>
      </c>
      <c r="C9" s="142" t="b">
        <v>0</v>
      </c>
      <c r="D9" s="142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2" t="b">
        <v>0</v>
      </c>
      <c r="C10" s="142" t="b">
        <v>0</v>
      </c>
      <c r="D10" s="142" t="s">
        <v>16</v>
      </c>
      <c r="E10" s="86" t="str">
        <f>IF(ItensNaoFuncionais[[#This Row],[Lista 2]]="","",IF(AND(FabricaTestes=TRUE,ItensNaoFuncionais[[#This Row],[Fabrica Testes 2]]=TRUE),"",ItensNaoFuncionais[[#This Row],[Lista 2]]))</f>
        <v/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2" t="b">
        <v>0</v>
      </c>
      <c r="C11" s="142" t="b">
        <v>0</v>
      </c>
      <c r="D11" s="142" t="s">
        <v>80</v>
      </c>
      <c r="E11" s="86" t="str">
        <f>IF(ItensNaoFuncionais[[#This Row],[Lista 2]]="","",IF(AND(FabricaTestes=TRUE,ItensNaoFuncionais[[#This Row],[Fabrica Testes 2]]=TRUE),"",ItensNaoFuncionais[[#This Row],[Lista 2]]))</f>
        <v/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2" t="b">
        <v>0</v>
      </c>
      <c r="C12" s="142" t="b">
        <v>0</v>
      </c>
      <c r="D12" s="142" t="s">
        <v>17</v>
      </c>
      <c r="E12" s="86" t="str">
        <f>IF(ItensNaoFuncionais[[#This Row],[Lista 2]]="","",IF(AND(FabricaTestes=TRUE,ItensNaoFuncionais[[#This Row],[Fabrica Testes 2]]=TRUE),"",ItensNaoFuncionais[[#This Row],[Lista 2]]))</f>
        <v/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2" t="b">
        <v>0</v>
      </c>
      <c r="C13" s="186" t="b">
        <v>0</v>
      </c>
      <c r="D13" s="187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2" t="b">
        <v>0</v>
      </c>
      <c r="C14" s="142" t="b">
        <v>0</v>
      </c>
      <c r="D14" s="188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2" t="b">
        <v>0</v>
      </c>
      <c r="C15" s="142" t="b">
        <v>0</v>
      </c>
      <c r="D15" s="188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EJ0SCdNO/e9aAM4IQZcDW3LiL9nPplWGQOdS1gbCTXiVrpK9fGExYZJLmvbYipQRSYIlsmlDoIyLzps/lbAtsg==" saltValue="YSeuvKKLiBY55wz1vJOvNg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Vila Bela, Tatiana</cp:lastModifiedBy>
  <dcterms:created xsi:type="dcterms:W3CDTF">2006-09-25T12:47:36Z</dcterms:created>
  <dcterms:modified xsi:type="dcterms:W3CDTF">2017-11-17T12:43:48Z</dcterms:modified>
</cp:coreProperties>
</file>