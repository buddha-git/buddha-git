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.a.lima\OneDrive - Accenture\PRJ00014396 - Fibra\CRs\CR SUP TI - 16Out a 31Dez\ARB\Extrabaseline\"/>
    </mc:Choice>
  </mc:AlternateContent>
  <workbookProtection workbookAlgorithmName="SHA-512" workbookHashValue="MTZCIgjK9n8wK6NiX0P74D08MBAys9sAhD8FjXFB9D1fwCqvJqRonSlwysI9Bh3p8+tLRu9AuYrEZzx70BnvzQ==" workbookSaltValue="jpvQQPuNfTSQd4EXt0fUwA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1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alcOnSave="0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F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<sst xmlns="http://schemas.openxmlformats.org/spreadsheetml/2006/main" count="1859" uniqueCount="500">
  <si>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</si>
  <si>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</si>
  <si>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</si>
  <si>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</si>
  <si>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</si>
  <si>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</si>
  <si>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</si>
  <si>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</si>
  <si>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</si>
  <si>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</si>
  <si>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</si>
  <si>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</si>
  <si>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</si>
  <si>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</si>
  <si>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</si>
  <si>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</si>
  <si>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</si>
  <si>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</si>
  <si>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</si>
  <si>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</si>
  <si>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</si>
  <si>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</si>
  <si>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</si>
  <si>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</si>
  <si>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</si>
  <si>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</si>
  <si>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</si>
  <si>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</si>
  <si>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</si>
  <si>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</si>
  <si>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</si>
  <si>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</si>
  <si>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</si>
  <si>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</si>
  <si>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</si>
  <si>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</si>
  <si>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</si>
  <si>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</si>
  <si>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</si>
  <si>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</si>
  <si>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</si>
  <si>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</si>
  <si>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</si>
  <si>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</si>
  <si>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</si>
  <si>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</si>
  <si>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</si>
  <si>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</si>
  <si>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</si>
  <si>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</si>
  <si>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</si>
  <si>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</si>
  <si>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</si>
  <si>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</si>
  <si>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</si>
  <si>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</si>
  <si>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</si>
  <si>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</si>
  <si>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</si>
  <si>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</si>
  <si>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</si>
  <si>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</si>
  <si>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</si>
  <si>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</si>
  <si>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</si>
  <si>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</si>
  <si>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</si>
  <si>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</si>
  <si>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</si>
  <si>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</si>
  <si>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</si>
  <si>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</si>
  <si>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</si>
  <si>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</si>
  <si>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</si>
  <si>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</si>
  <si>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</si>
  <si>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</si>
  <si>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</si>
  <si>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</si>
  <si>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</si>
  <si>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</si>
  <si>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</si>
  <si>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</si>
  <si>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</si>
  <si>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</si>
  <si>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</si>
  <si>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</si>
  <si>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</si>
  <si>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</si>
  <si>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</si>
  <si>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</si>
  <si>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</si>
  <si>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</si>
  <si>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</si>
  <si>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</si>
  <si>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</si>
  <si>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</si>
  <si>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</si>
  <si>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</si>
  <si>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</si>
  <si>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</si>
  <si>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</si>
  <si>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</si>
  <si>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</si>
  <si>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</si>
  <si>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</si>
  <si>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</si>
  <si>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</si>
  <si>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</si>
  <si>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</si>
  <si>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</si>
  <si>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</si>
  <si>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</si>
  <si>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</si>
  <si>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</si>
  <si>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</si>
  <si>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</si>
  <si>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</si>
  <si>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</si>
  <si>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</si>
  <si>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</si>
  <si>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</si>
  <si>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</si>
  <si>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</si>
  <si>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</si>
  <si>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</si>
  <si>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</si>
  <si>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</si>
  <si>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</si>
  <si>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</si>
  <si>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</si>
  <si>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</si>
  <si>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</si>
  <si>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</si>
  <si>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</si>
  <si>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</si>
  <si>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</si>
  <si>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</si>
  <si>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</si>
  <si>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</si>
  <si>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</si>
  <si>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</si>
  <si>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</si>
  <si>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</si>
  <si>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</si>
  <si>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</si>
  <si>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</si>
  <si>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</si>
  <si>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</si>
  <si>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</si>
  <si>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</si>
  <si>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</si>
  <si>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</si>
  <si>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</si>
  <si>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</si>
  <si>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</si>
  <si>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</si>
  <si>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</si>
  <si>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</si>
  <si>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</si>
  <si>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</si>
  <si>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</si>
  <si>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</si>
  <si>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</si>
  <si>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</si>
  <si>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</si>
  <si>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</si>
  <si>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</si>
  <si>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</si>
  <si>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</si>
  <si>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</si>
  <si>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</si>
  <si>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</si>
  <si>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</si>
  <si>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</si>
  <si>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</si>
  <si>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</si>
  <si>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</si>
  <si>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</si>
  <si>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</si>
  <si>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</si>
  <si>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</si>
  <si>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</si>
  <si>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</si>
  <si>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</si>
  <si>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</si>
  <si>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</si>
  <si>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</si>
  <si>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</si>
  <si>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</si>
  <si>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</si>
  <si>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</si>
  <si>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</si>
  <si>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</si>
  <si>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</si>
  <si>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</si>
  <si>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</si>
  <si>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</si>
  <si>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</si>
  <si>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</si>
  <si>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</si>
  <si>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</si>
  <si>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</si>
  <si>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</si>
  <si>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</si>
  <si>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</si>
  <si>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</si>
  <si>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</si>
  <si>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</si>
  <si>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</si>
  <si>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</si>
  <si>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</si>
  <si>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</si>
  <si>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</si>
  <si>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</si>
  <si>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</si>
  <si>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</si>
  <si>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</si>
  <si>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</si>
  <si>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</si>
  <si>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</si>
  <si>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</si>
  <si>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</si>
  <si>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</si>
  <si>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</si>
  <si>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</si>
  <si>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</si>
  <si>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</si>
  <si>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</si>
  <si>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</si>
  <si>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</si>
  <si>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</si>
  <si>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</si>
  <si>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</si>
  <si>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</si>
  <si>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</si>
  <si>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</si>
  <si>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</si>
  <si>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</si>
  <si>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</si>
  <si>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</si>
  <si>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</si>
  <si>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</si>
  <si>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</si>
  <si>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</si>
  <si>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</si>
  <si>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</si>
  <si>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</si>
  <si>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</si>
  <si>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</si>
  <si>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</si>
  <si>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</si>
  <si>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</si>
  <si>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</si>
  <si>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</si>
  <si>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</si>
  <si>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</si>
  <si>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</si>
  <si>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</si>
  <si>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</si>
  <si>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</si>
  <si>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</si>
  <si>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</si>
  <si>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</si>
  <si>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</si>
  <si>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</si>
  <si>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</si>
  <si>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</si>
  <si>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</si>
  <si>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</si>
  <si>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</si>
  <si>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</si>
  <si>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</si>
  <si>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</si>
  <si>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</si>
  <si>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</si>
  <si>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</si>
  <si>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</si>
  <si>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</si>
  <si>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</si>
  <si>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</si>
  <si>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</si>
  <si>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</si>
  <si>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</si>
  <si>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</si>
  <si>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</si>
  <si>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</si>
  <si>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</si>
  <si>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</si>
  <si>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</si>
  <si>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</si>
  <si>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</si>
  <si>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</si>
  <si>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</si>
  <si>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</si>
  <si>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</si>
  <si>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</si>
  <si>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</si>
  <si>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</si>
  <si>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</si>
  <si>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</si>
  <si>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</si>
  <si>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</si>
  <si>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</si>
  <si>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</si>
  <si>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</si>
  <si>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</si>
  <si>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</si>
  <si>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</si>
  <si>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</si>
  <si>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</si>
  <si>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</si>
  <si>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</si>
  <si>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</si>
  <si>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</si>
  <si>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</si>
  <si>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</si>
  <si>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</si>
  <si>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</si>
  <si>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</si>
  <si>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</si>
  <si>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</si>
  <si>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</si>
  <si>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</si>
  <si>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</si>
  <si>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</si>
  <si>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</si>
  <si>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</si>
  <si>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</si>
  <si>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</si>
  <si>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</si>
  <si>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</si>
  <si>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</si>
  <si>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</si>
  <si>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</si>
  <si>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</si>
  <si>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</si>
  <si>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</si>
  <si>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</si>
  <si>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</si>
  <si>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</si>
  <si>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</si>
  <si>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</si>
  <si>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</si>
  <si>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</si>
  <si>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</si>
  <si>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</si>
  <si>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</si>
  <si>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</si>
  <si>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</si>
  <si>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</si>
  <si>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</si>
  <si>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</si>
  <si>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</si>
  <si>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</si>
  <si>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</si>
  <si>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</si>
  <si>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</si>
  <si>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</si>
  <si>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</si>
  <si>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</si>
  <si>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</si>
  <si>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</si>
  <si>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</si>
  <si>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</si>
  <si>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</si>
  <si>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</si>
  <si>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</si>
  <si>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</si>
  <si>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</si>
  <si>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</si>
  <si>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</si>
  <si>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</si>
  <si>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</si>
  <si>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</si>
  <si>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</si>
  <si>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</si>
  <si>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</si>
  <si>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</si>
  <si>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</si>
  <si>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</si>
  <si>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</si>
  <si>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</si>
  <si>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</si>
  <si>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</si>
  <si>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</si>
  <si>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</si>
  <si>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</si>
  <si>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</si>
  <si>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</si>
  <si>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</si>
  <si>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</si>
  <si>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</si>
  <si>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</si>
  <si>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</si>
  <si>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</si>
  <si>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</si>
  <si>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</si>
  <si>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</si>
  <si>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</si>
  <si>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</si>
  <si>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</si>
  <si>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</si>
  <si>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</si>
  <si>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</si>
  <si>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</si>
  <si>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</si>
  <si>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</si>
  <si>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</si>
  <si>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</si>
  <si>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</si>
  <si>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</si>
  <si>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</si>
  <si>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</si>
  <si>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</si>
  <si>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</si>
  <si>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</si>
  <si>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</si>
  <si>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</si>
  <si>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</si>
  <si>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</si>
  <si>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</si>
  <si>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</si>
  <si>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</si>
  <si>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</si>
  <si>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</si>
  <si>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</si>
  <si>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</si>
  <si>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</si>
  <si>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</si>
  <si>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</si>
  <si>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</si>
  <si>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</si>
  <si>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</si>
  <si>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</si>
  <si>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</si>
  <si>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</si>
  <si>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</si>
  <si>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</si>
  <si>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</si>
  <si>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</si>
  <si>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</si>
  <si>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</si>
  <si>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</si>
  <si>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</si>
  <si>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</si>
  <si>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</si>
  <si>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</si>
  <si>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</si>
  <si>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</si>
  <si>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</si>
  <si>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</si>
  <si>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</si>
  <si>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</si>
  <si>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</si>
  <si>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</si>
  <si>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</si>
  <si>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</si>
  <si>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</si>
  <si>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</si>
  <si>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</si>
  <si>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</si>
  <si>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</si>
  <si>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</si>
  <si>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</si>
  <si>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</si>
  <si>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</si>
  <si>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</si>
  <si>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</si>
  <si>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</si>
  <si>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</si>
  <si>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</si>
  <si>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</si>
  <si>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</si>
  <si>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</si>
  <si>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</si>
  <si>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</si>
  <si>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</si>
  <si>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</si>
  <si>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</si>
  <si>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</si>
  <si>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</si>
  <si>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</si>
  <si>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</si>
  <si>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</si>
  <si>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</si>
  <si>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</si>
  <si>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</si>
  <si>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</si>
  <si>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</si>
  <si>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</si>
  <si>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</si>
  <si>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</si>
  <si>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</si>
  <si>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CR SUP TI em HE - 14Out a 30Nov</t>
  </si>
  <si>
    <t>Suporte ao TI em HE de 14/10 a 30/11. 
De 18h às 22h nos dias úteis e de 10h às 19h nos finais de semana.</t>
  </si>
  <si>
    <t>19/10/2017</t>
  </si>
  <si>
    <t>Versão inicial</t>
  </si>
  <si>
    <t>Felipe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</si>
</sst>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[$R$-416]\ #,##0"/>
    <numFmt numFmtId="166" formatCode="&quot;R$&quot;\ #,##0.00"/>
    <numFmt numFmtId="167" formatCode="[$R$-416]\ #,##0.00"/>
    <numFmt numFmtId="168" formatCode="_(&quot;R$ &quot;* #,##0.00_);_(&quot;R$ &quot;* \(#,##0.00\);_(&quot;R$ &quot;* &quot;-&quot;??_);_(@_)"/>
    <numFmt numFmtId="169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5" fontId="0" fillId="0" borderId="0"/>
    <xf numFmtId="165" fontId="23" fillId="0" borderId="0" applyNumberFormat="0" applyFill="0" applyBorder="0" applyAlignment="0" applyProtection="0">
      <alignment vertical="top"/>
      <protection locked="0"/>
    </xf>
    <xf numFmtId="165" fontId="4" fillId="0" borderId="0"/>
    <xf numFmtId="165" fontId="4" fillId="0" borderId="0"/>
    <xf numFmtId="165" fontId="4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165" fontId="35" fillId="0" borderId="0"/>
    <xf numFmtId="9" fontId="35" fillId="0" borderId="0" applyFont="0" applyFill="0" applyBorder="0" applyAlignment="0" applyProtection="0"/>
    <xf numFmtId="165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5" fontId="4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5" fontId="0" fillId="0" borderId="0" xfId="0"/>
    <xf numFmtId="165" fontId="13" fillId="0" borderId="0" xfId="0" applyFont="1" applyAlignment="1">
      <alignment horizontal="center"/>
    </xf>
    <xf numFmtId="165" fontId="0" fillId="0" borderId="1" xfId="0" applyBorder="1"/>
    <xf numFmtId="165" fontId="13" fillId="0" borderId="0" xfId="0" applyFont="1"/>
    <xf numFmtId="165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5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5" fontId="0" fillId="0" borderId="1" xfId="0" applyBorder="1" applyAlignment="1">
      <alignment horizontal="center"/>
    </xf>
    <xf numFmtId="165" fontId="5" fillId="6" borderId="1" xfId="3" applyFont="1" applyFill="1" applyBorder="1" applyAlignment="1" applyProtection="1">
      <alignment horizontal="left" vertical="center" wrapText="1"/>
    </xf>
    <xf numFmtId="43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43" fontId="9" fillId="6" borderId="1" xfId="6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9" fillId="6" borderId="1" xfId="3" applyFont="1" applyFill="1" applyBorder="1" applyAlignment="1" applyProtection="1">
      <alignment horizontal="center" vertical="center" wrapText="1"/>
    </xf>
    <xf numFmtId="165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5" fontId="17" fillId="0" borderId="0" xfId="0" applyFont="1"/>
    <xf numFmtId="165" fontId="17" fillId="0" borderId="0" xfId="0" applyFont="1" applyFill="1" applyBorder="1"/>
    <xf numFmtId="165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5" fontId="20" fillId="0" borderId="0" xfId="1" applyFont="1" applyFill="1" applyBorder="1" applyAlignment="1" applyProtection="1">
      <alignment horizontal="right" vertical="center" wrapText="1"/>
    </xf>
    <xf numFmtId="165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5" fontId="20" fillId="0" borderId="0" xfId="1" applyFont="1" applyFill="1" applyBorder="1" applyAlignment="1" applyProtection="1">
      <alignment horizontal="center" vertical="center" wrapText="1"/>
    </xf>
    <xf numFmtId="165" fontId="0" fillId="0" borderId="0" xfId="0" applyAlignment="1">
      <alignment vertical="center"/>
    </xf>
    <xf numFmtId="165" fontId="6" fillId="9" borderId="0" xfId="0" applyFont="1" applyFill="1" applyAlignment="1" applyProtection="1">
      <alignment horizontal="center" vertical="center"/>
    </xf>
    <xf numFmtId="165" fontId="17" fillId="0" borderId="0" xfId="0" applyFont="1" applyProtection="1"/>
    <xf numFmtId="165" fontId="17" fillId="9" borderId="0" xfId="0" applyFont="1" applyFill="1" applyAlignment="1" applyProtection="1">
      <alignment horizontal="center" vertical="center"/>
    </xf>
    <xf numFmtId="165" fontId="17" fillId="9" borderId="0" xfId="0" applyFont="1" applyFill="1" applyBorder="1" applyAlignment="1" applyProtection="1">
      <alignment horizontal="center" vertical="center"/>
    </xf>
    <xf numFmtId="165" fontId="17" fillId="0" borderId="0" xfId="0" applyFont="1" applyFill="1" applyBorder="1" applyProtection="1"/>
    <xf numFmtId="165" fontId="9" fillId="0" borderId="0" xfId="3" applyFont="1" applyFill="1" applyBorder="1" applyAlignment="1" applyProtection="1">
      <alignment horizontal="center" vertical="center" wrapText="1"/>
    </xf>
    <xf numFmtId="43" fontId="9" fillId="0" borderId="0" xfId="7" applyFont="1" applyFill="1" applyBorder="1" applyAlignment="1" applyProtection="1">
      <alignment horizontal="center" vertical="center" wrapText="1"/>
    </xf>
    <xf numFmtId="165" fontId="17" fillId="0" borderId="0" xfId="0" applyFont="1" applyFill="1" applyProtection="1"/>
    <xf numFmtId="165" fontId="5" fillId="11" borderId="1" xfId="3" applyFont="1" applyFill="1" applyBorder="1" applyAlignment="1" applyProtection="1">
      <alignment horizontal="center" vertical="center" wrapText="1"/>
    </xf>
    <xf numFmtId="165" fontId="5" fillId="9" borderId="1" xfId="3" applyFont="1" applyFill="1" applyBorder="1" applyAlignment="1" applyProtection="1">
      <alignment horizontal="center" vertical="center" wrapText="1"/>
    </xf>
    <xf numFmtId="165" fontId="5" fillId="0" borderId="1" xfId="3" applyFont="1" applyFill="1" applyBorder="1" applyAlignment="1" applyProtection="1">
      <alignment horizontal="center" vertical="center" wrapText="1"/>
      <protection locked="0"/>
    </xf>
    <xf numFmtId="165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6" borderId="9" xfId="3" applyFont="1" applyFill="1" applyBorder="1" applyAlignment="1" applyProtection="1">
      <alignment horizontal="center" vertical="center" wrapText="1"/>
    </xf>
    <xf numFmtId="165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5" fontId="0" fillId="0" borderId="0" xfId="0" applyFont="1"/>
    <xf numFmtId="165" fontId="4" fillId="4" borderId="1" xfId="0" applyNumberFormat="1" applyFont="1" applyFill="1" applyBorder="1" applyAlignment="1" applyProtection="1">
      <alignment horizontal="center"/>
    </xf>
    <xf numFmtId="165" fontId="5" fillId="9" borderId="9" xfId="3" applyFont="1" applyFill="1" applyBorder="1" applyAlignment="1" applyProtection="1">
      <alignment horizontal="center" vertical="center" wrapText="1"/>
    </xf>
    <xf numFmtId="165" fontId="1" fillId="0" borderId="8" xfId="0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5" fontId="18" fillId="7" borderId="0" xfId="0" applyFont="1" applyFill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indent="1"/>
    </xf>
    <xf numFmtId="165" fontId="10" fillId="0" borderId="0" xfId="0" applyFont="1" applyProtection="1"/>
    <xf numFmtId="165" fontId="9" fillId="7" borderId="0" xfId="0" applyFont="1" applyFill="1" applyAlignment="1" applyProtection="1">
      <alignment horizontal="left" vertical="center" indent="1"/>
    </xf>
    <xf numFmtId="165" fontId="6" fillId="7" borderId="0" xfId="0" applyFont="1" applyFill="1" applyBorder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wrapText="1" indent="1"/>
    </xf>
    <xf numFmtId="165" fontId="10" fillId="0" borderId="0" xfId="0" applyFont="1" applyBorder="1" applyProtection="1"/>
    <xf numFmtId="165" fontId="4" fillId="7" borderId="0" xfId="0" applyFont="1" applyFill="1" applyBorder="1" applyAlignment="1" applyProtection="1">
      <alignment horizontal="left" vertical="center" indent="1"/>
    </xf>
    <xf numFmtId="165" fontId="25" fillId="0" borderId="0" xfId="0" applyFont="1" applyProtection="1"/>
    <xf numFmtId="165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5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5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5" fontId="10" fillId="0" borderId="0" xfId="0" applyFont="1" applyFill="1" applyProtection="1"/>
    <xf numFmtId="165" fontId="0" fillId="0" borderId="0" xfId="0" applyFill="1" applyProtection="1"/>
    <xf numFmtId="165" fontId="17" fillId="0" borderId="0" xfId="0" applyFont="1" applyFill="1" applyAlignment="1" applyProtection="1">
      <alignment horizontal="center"/>
    </xf>
    <xf numFmtId="165" fontId="0" fillId="0" borderId="0" xfId="0" applyFill="1"/>
    <xf numFmtId="165" fontId="0" fillId="0" borderId="0" xfId="0" applyAlignment="1">
      <alignment horizontal="center"/>
    </xf>
    <xf numFmtId="165" fontId="17" fillId="9" borderId="0" xfId="0" applyFont="1" applyFill="1" applyProtection="1"/>
    <xf numFmtId="165" fontId="17" fillId="9" borderId="0" xfId="0" applyFont="1" applyFill="1" applyBorder="1" applyProtection="1"/>
    <xf numFmtId="165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5" fontId="29" fillId="9" borderId="0" xfId="0" applyFont="1" applyFill="1" applyProtection="1"/>
    <xf numFmtId="165" fontId="18" fillId="9" borderId="0" xfId="0" applyFont="1" applyFill="1" applyAlignment="1" applyProtection="1">
      <alignment horizontal="center"/>
    </xf>
    <xf numFmtId="165" fontId="17" fillId="0" borderId="0" xfId="0" applyFont="1" applyFill="1" applyBorder="1" applyAlignment="1" applyProtection="1">
      <alignment horizontal="center" vertical="center"/>
    </xf>
    <xf numFmtId="165" fontId="17" fillId="3" borderId="0" xfId="0" applyFont="1" applyFill="1" applyProtection="1"/>
    <xf numFmtId="165" fontId="5" fillId="0" borderId="0" xfId="3" applyFont="1" applyFill="1" applyBorder="1" applyAlignment="1" applyProtection="1">
      <alignment vertical="center" wrapText="1"/>
    </xf>
    <xf numFmtId="165" fontId="17" fillId="0" borderId="0" xfId="0" applyFont="1" applyFill="1" applyBorder="1" applyAlignment="1" applyProtection="1">
      <alignment vertical="center"/>
    </xf>
    <xf numFmtId="165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5" fontId="1" fillId="0" borderId="0" xfId="0" applyFont="1"/>
    <xf numFmtId="165" fontId="10" fillId="9" borderId="0" xfId="0" applyFont="1" applyFill="1" applyProtection="1"/>
    <xf numFmtId="165" fontId="14" fillId="0" borderId="0" xfId="0" applyFont="1" applyProtection="1"/>
    <xf numFmtId="165" fontId="14" fillId="9" borderId="0" xfId="0" applyFont="1" applyFill="1" applyAlignment="1" applyProtection="1">
      <alignment horizontal="center" vertical="center"/>
    </xf>
    <xf numFmtId="165" fontId="5" fillId="10" borderId="0" xfId="3" applyFont="1" applyFill="1" applyBorder="1" applyAlignment="1" applyProtection="1">
      <alignment horizontal="center" vertical="center" wrapText="1"/>
    </xf>
    <xf numFmtId="43" fontId="5" fillId="10" borderId="0" xfId="6" applyFont="1" applyFill="1" applyBorder="1" applyAlignment="1" applyProtection="1">
      <alignment horizontal="center" vertical="center" wrapText="1"/>
    </xf>
    <xf numFmtId="165" fontId="21" fillId="0" borderId="0" xfId="0" applyFont="1" applyAlignment="1" applyProtection="1">
      <alignment horizontal="center"/>
    </xf>
    <xf numFmtId="165" fontId="14" fillId="9" borderId="0" xfId="0" applyFont="1" applyFill="1" applyProtection="1"/>
    <xf numFmtId="165" fontId="30" fillId="0" borderId="0" xfId="0" applyFont="1" applyProtection="1"/>
    <xf numFmtId="165" fontId="30" fillId="9" borderId="0" xfId="0" applyFont="1" applyFill="1" applyAlignment="1" applyProtection="1">
      <alignment horizontal="center" vertical="center"/>
    </xf>
    <xf numFmtId="165" fontId="14" fillId="0" borderId="0" xfId="0" applyFont="1" applyFill="1" applyBorder="1" applyProtection="1"/>
    <xf numFmtId="165" fontId="14" fillId="9" borderId="0" xfId="0" applyFont="1" applyFill="1" applyBorder="1" applyAlignment="1" applyProtection="1">
      <alignment horizontal="center" vertical="center"/>
    </xf>
    <xf numFmtId="165" fontId="21" fillId="9" borderId="0" xfId="0" applyFont="1" applyFill="1" applyAlignment="1" applyProtection="1">
      <alignment horizontal="center" vertical="center"/>
    </xf>
    <xf numFmtId="165" fontId="14" fillId="0" borderId="0" xfId="0" applyFont="1" applyBorder="1" applyAlignment="1" applyProtection="1">
      <alignment horizontal="justify" vertical="center" wrapText="1"/>
    </xf>
    <xf numFmtId="165" fontId="14" fillId="0" borderId="0" xfId="0" applyFont="1" applyBorder="1" applyProtection="1"/>
    <xf numFmtId="165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5" fontId="18" fillId="5" borderId="1" xfId="0" applyNumberFormat="1" applyFont="1" applyFill="1" applyBorder="1" applyAlignment="1">
      <alignment horizontal="center" vertical="center" wrapText="1"/>
    </xf>
    <xf numFmtId="165" fontId="3" fillId="2" borderId="1" xfId="0" applyFont="1" applyFill="1" applyBorder="1" applyAlignment="1">
      <alignment horizontal="center"/>
    </xf>
    <xf numFmtId="165" fontId="3" fillId="2" borderId="1" xfId="0" applyFont="1" applyFill="1" applyBorder="1" applyAlignment="1">
      <alignment horizontal="center" vertical="center"/>
    </xf>
    <xf numFmtId="165" fontId="29" fillId="0" borderId="0" xfId="0" applyFont="1" applyFill="1" applyProtection="1"/>
    <xf numFmtId="165" fontId="18" fillId="0" borderId="0" xfId="0" applyFont="1" applyFill="1" applyAlignment="1" applyProtection="1">
      <alignment horizontal="center"/>
    </xf>
    <xf numFmtId="165" fontId="17" fillId="0" borderId="0" xfId="0" applyFont="1" applyFill="1"/>
    <xf numFmtId="165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5" fontId="32" fillId="0" borderId="0" xfId="1" applyFont="1" applyFill="1" applyBorder="1" applyAlignment="1" applyProtection="1">
      <alignment horizontal="center" vertical="center" wrapText="1"/>
    </xf>
    <xf numFmtId="165" fontId="4" fillId="0" borderId="0" xfId="0" applyFont="1" applyFill="1" applyBorder="1" applyProtection="1"/>
    <xf numFmtId="165" fontId="4" fillId="0" borderId="0" xfId="0" applyFont="1" applyProtection="1"/>
    <xf numFmtId="165" fontId="5" fillId="6" borderId="1" xfId="3" applyFont="1" applyFill="1" applyBorder="1" applyAlignment="1">
      <alignment horizontal="left" vertical="center" wrapText="1"/>
    </xf>
    <xf numFmtId="165" fontId="33" fillId="0" borderId="14" xfId="0" applyFont="1" applyFill="1" applyBorder="1"/>
    <xf numFmtId="165" fontId="33" fillId="0" borderId="15" xfId="0" applyFont="1" applyFill="1" applyBorder="1"/>
    <xf numFmtId="165" fontId="0" fillId="0" borderId="14" xfId="0" applyBorder="1"/>
    <xf numFmtId="165" fontId="33" fillId="0" borderId="0" xfId="0" applyFont="1" applyFill="1"/>
    <xf numFmtId="165" fontId="17" fillId="9" borderId="0" xfId="0" applyFont="1" applyFill="1" applyAlignment="1" applyProtection="1">
      <alignment horizontal="left"/>
    </xf>
    <xf numFmtId="165" fontId="24" fillId="0" borderId="16" xfId="0" applyFont="1" applyBorder="1" applyAlignment="1">
      <alignment horizontal="center" vertical="top"/>
    </xf>
    <xf numFmtId="165" fontId="5" fillId="6" borderId="7" xfId="3" applyFont="1" applyFill="1" applyBorder="1" applyAlignment="1" applyProtection="1">
      <alignment horizontal="center" vertical="center" wrapText="1"/>
    </xf>
    <xf numFmtId="165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5" fontId="1" fillId="0" borderId="5" xfId="0" applyFont="1" applyBorder="1" applyAlignment="1">
      <alignment horizontal="center"/>
    </xf>
    <xf numFmtId="165" fontId="5" fillId="6" borderId="13" xfId="3" applyFont="1" applyFill="1" applyBorder="1" applyAlignment="1">
      <alignment horizontal="center" vertical="center" wrapText="1"/>
    </xf>
    <xf numFmtId="165" fontId="1" fillId="0" borderId="18" xfId="0" applyFont="1" applyBorder="1" applyAlignment="1">
      <alignment horizontal="center"/>
    </xf>
    <xf numFmtId="165" fontId="0" fillId="0" borderId="5" xfId="0" applyBorder="1"/>
    <xf numFmtId="165" fontId="13" fillId="0" borderId="13" xfId="0" applyFont="1" applyBorder="1" applyAlignment="1">
      <alignment horizontal="center"/>
    </xf>
    <xf numFmtId="165" fontId="0" fillId="0" borderId="18" xfId="0" applyBorder="1"/>
    <xf numFmtId="165" fontId="13" fillId="0" borderId="2" xfId="0" applyFont="1" applyBorder="1" applyAlignment="1">
      <alignment horizontal="center"/>
    </xf>
    <xf numFmtId="165" fontId="0" fillId="0" borderId="2" xfId="0" applyBorder="1"/>
    <xf numFmtId="165" fontId="13" fillId="0" borderId="7" xfId="0" applyFont="1" applyBorder="1" applyAlignment="1">
      <alignment horizontal="center"/>
    </xf>
    <xf numFmtId="165" fontId="5" fillId="9" borderId="0" xfId="3" applyFont="1" applyFill="1" applyBorder="1" applyAlignment="1" applyProtection="1">
      <alignment horizontal="left" vertical="center" wrapText="1" indent="1"/>
    </xf>
    <xf numFmtId="165" fontId="18" fillId="9" borderId="0" xfId="0" applyFont="1" applyFill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indent="1"/>
    </xf>
    <xf numFmtId="165" fontId="9" fillId="9" borderId="0" xfId="0" applyFont="1" applyFill="1" applyAlignment="1" applyProtection="1">
      <alignment horizontal="left" vertical="center" indent="1"/>
    </xf>
    <xf numFmtId="165" fontId="6" fillId="9" borderId="0" xfId="0" applyFont="1" applyFill="1" applyBorder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wrapText="1" indent="1"/>
    </xf>
    <xf numFmtId="165" fontId="4" fillId="9" borderId="0" xfId="0" applyFont="1" applyFill="1" applyBorder="1" applyAlignment="1" applyProtection="1">
      <alignment horizontal="left" vertical="center" indent="1"/>
    </xf>
    <xf numFmtId="165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5" fontId="10" fillId="9" borderId="0" xfId="0" applyNumberFormat="1" applyFont="1" applyFill="1" applyProtection="1"/>
    <xf numFmtId="165" fontId="37" fillId="0" borderId="0" xfId="0" applyFont="1"/>
    <xf numFmtId="165" fontId="17" fillId="9" borderId="0" xfId="0" applyFont="1" applyFill="1" applyBorder="1"/>
    <xf numFmtId="165" fontId="17" fillId="9" borderId="0" xfId="0" applyFont="1" applyFill="1"/>
    <xf numFmtId="165" fontId="20" fillId="9" borderId="0" xfId="1" applyFont="1" applyFill="1" applyBorder="1" applyAlignment="1" applyProtection="1">
      <alignment horizontal="center" vertical="center" wrapText="1"/>
    </xf>
    <xf numFmtId="165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5" fontId="5" fillId="9" borderId="0" xfId="3" applyFont="1" applyFill="1" applyBorder="1" applyAlignment="1" applyProtection="1">
      <alignment vertical="center" wrapText="1"/>
    </xf>
    <xf numFmtId="165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9" fillId="0" borderId="16" xfId="0" applyFont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6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5" fontId="0" fillId="0" borderId="0" xfId="0" applyFill="1" applyBorder="1"/>
    <xf numFmtId="165" fontId="0" fillId="0" borderId="0" xfId="0" applyNumberFormat="1" applyFill="1" applyBorder="1" applyAlignment="1"/>
    <xf numFmtId="165" fontId="0" fillId="0" borderId="0" xfId="0" applyNumberFormat="1" applyFill="1" applyBorder="1"/>
    <xf numFmtId="165" fontId="5" fillId="6" borderId="1" xfId="3" applyFont="1" applyFill="1" applyBorder="1" applyAlignment="1" applyProtection="1">
      <alignment horizontal="center" vertical="center" wrapText="1"/>
    </xf>
    <xf numFmtId="165" fontId="4" fillId="4" borderId="17" xfId="4" applyFont="1" applyFill="1" applyBorder="1" applyAlignment="1" applyProtection="1">
      <alignment horizontal="left"/>
    </xf>
    <xf numFmtId="165" fontId="10" fillId="16" borderId="0" xfId="0" applyNumberFormat="1" applyFont="1" applyFill="1"/>
    <xf numFmtId="165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5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5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14" fillId="2" borderId="1" xfId="0" applyFont="1" applyFill="1" applyBorder="1" applyAlignment="1">
      <alignment wrapText="1"/>
    </xf>
    <xf numFmtId="165" fontId="4" fillId="4" borderId="1" xfId="0" applyFont="1" applyFill="1" applyBorder="1" applyAlignment="1">
      <alignment vertical="top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5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5" fontId="5" fillId="6" borderId="1" xfId="3" applyFont="1" applyFill="1" applyBorder="1" applyAlignment="1" applyProtection="1">
      <alignment vertical="center" wrapText="1"/>
    </xf>
    <xf numFmtId="165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5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5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5" fontId="17" fillId="0" borderId="0" xfId="0" applyFont="1" applyAlignment="1" applyProtection="1"/>
    <xf numFmtId="165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42" fillId="0" borderId="0" xfId="0" applyFont="1"/>
    <xf numFmtId="165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5" fontId="17" fillId="0" borderId="0" xfId="0" applyFont="1" applyFill="1" applyAlignment="1" applyProtection="1">
      <alignment horizontal="center" vertical="center"/>
    </xf>
    <xf numFmtId="165" fontId="0" fillId="0" borderId="0" xfId="0" applyFill="1" applyBorder="1" applyAlignment="1" applyProtection="1">
      <alignment vertical="center"/>
    </xf>
    <xf numFmtId="165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5" fontId="17" fillId="0" borderId="18" xfId="0" applyFont="1" applyFill="1" applyBorder="1" applyAlignment="1" applyProtection="1"/>
    <xf numFmtId="165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5" fontId="42" fillId="0" borderId="8" xfId="0" applyFont="1" applyBorder="1"/>
    <xf numFmtId="165" fontId="42" fillId="0" borderId="0" xfId="0" applyFont="1" applyBorder="1"/>
    <xf numFmtId="165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43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5" fontId="17" fillId="9" borderId="18" xfId="0" applyFont="1" applyFill="1" applyBorder="1" applyAlignment="1" applyProtection="1"/>
    <xf numFmtId="165" fontId="17" fillId="9" borderId="0" xfId="0" applyFont="1" applyFill="1" applyBorder="1" applyAlignment="1" applyProtection="1"/>
    <xf numFmtId="165" fontId="0" fillId="9" borderId="0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5" fontId="5" fillId="0" borderId="27" xfId="0" applyFont="1" applyFill="1" applyBorder="1" applyAlignment="1">
      <alignment horizontal="center"/>
    </xf>
    <xf numFmtId="165" fontId="5" fillId="0" borderId="19" xfId="0" applyFont="1" applyFill="1" applyBorder="1" applyAlignment="1">
      <alignment horizontal="center"/>
    </xf>
    <xf numFmtId="165" fontId="5" fillId="9" borderId="0" xfId="3" applyNumberFormat="1" applyFont="1" applyFill="1" applyBorder="1" applyAlignment="1">
      <alignment horizontal="center" vertical="center" wrapText="1"/>
    </xf>
    <xf numFmtId="165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5" fontId="5" fillId="9" borderId="21" xfId="3" applyNumberFormat="1" applyFont="1" applyFill="1" applyBorder="1" applyAlignment="1">
      <alignment horizontal="center" wrapText="1"/>
    </xf>
    <xf numFmtId="165" fontId="5" fillId="9" borderId="22" xfId="3" applyNumberFormat="1" applyFont="1" applyFill="1" applyBorder="1" applyAlignment="1">
      <alignment horizontal="center" wrapText="1"/>
    </xf>
    <xf numFmtId="165" fontId="5" fillId="9" borderId="17" xfId="3" applyNumberFormat="1" applyFont="1" applyFill="1" applyBorder="1" applyAlignment="1">
      <alignment horizontal="center" vertical="center" wrapText="1"/>
    </xf>
    <xf numFmtId="165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5" fontId="5" fillId="9" borderId="18" xfId="3" applyNumberFormat="1" applyFont="1" applyFill="1" applyBorder="1" applyAlignment="1">
      <alignment horizontal="center" vertical="center" wrapText="1"/>
    </xf>
    <xf numFmtId="165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5" fontId="5" fillId="9" borderId="10" xfId="3" applyNumberFormat="1" applyFont="1" applyFill="1" applyBorder="1" applyAlignment="1">
      <alignment horizontal="center" vertical="center" wrapText="1"/>
    </xf>
    <xf numFmtId="165" fontId="5" fillId="11" borderId="38" xfId="3" applyNumberFormat="1" applyFont="1" applyFill="1" applyBorder="1" applyAlignment="1">
      <alignment horizontal="center" vertical="center" wrapText="1"/>
    </xf>
    <xf numFmtId="165" fontId="5" fillId="11" borderId="39" xfId="3" applyNumberFormat="1" applyFont="1" applyFill="1" applyBorder="1" applyAlignment="1">
      <alignment horizontal="center" vertical="center" wrapText="1"/>
    </xf>
    <xf numFmtId="165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5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5" fontId="18" fillId="5" borderId="1" xfId="0" applyNumberFormat="1" applyFont="1" applyFill="1" applyBorder="1" applyAlignment="1">
      <alignment horizontal="left" vertical="center" wrapText="1"/>
    </xf>
    <xf numFmtId="165" fontId="4" fillId="4" borderId="1" xfId="0" applyNumberFormat="1" applyFont="1" applyFill="1" applyBorder="1" applyAlignment="1" applyProtection="1">
      <alignment horizontal="left" vertical="center"/>
    </xf>
    <xf numFmtId="169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5" fontId="17" fillId="0" borderId="0" xfId="0" applyFont="1" applyAlignment="1" applyProtection="1">
      <alignment vertical="center"/>
    </xf>
    <xf numFmtId="165" fontId="10" fillId="0" borderId="0" xfId="0" applyFont="1" applyAlignment="1" applyProtection="1">
      <alignment vertical="center"/>
    </xf>
    <xf numFmtId="165" fontId="4" fillId="4" borderId="1" xfId="2" applyNumberFormat="1" applyFont="1" applyFill="1" applyBorder="1" applyAlignment="1" applyProtection="1">
      <alignment horizontal="center" vertical="center"/>
    </xf>
    <xf numFmtId="165" fontId="4" fillId="0" borderId="1" xfId="0" applyFont="1" applyBorder="1" applyAlignment="1" applyProtection="1">
      <alignment vertical="center"/>
      <protection locked="0"/>
    </xf>
    <xf numFmtId="165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5" fontId="4" fillId="0" borderId="0" xfId="0" applyFont="1" applyFill="1" applyBorder="1" applyAlignment="1" applyProtection="1">
      <alignment horizontal="center" vertical="center"/>
    </xf>
    <xf numFmtId="165" fontId="4" fillId="9" borderId="0" xfId="3" applyFont="1" applyFill="1" applyBorder="1" applyAlignment="1" applyProtection="1">
      <alignment horizontal="center" vertical="center" wrapText="1"/>
    </xf>
    <xf numFmtId="165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5" fontId="20" fillId="9" borderId="0" xfId="1" applyFont="1" applyFill="1" applyBorder="1" applyAlignment="1" applyProtection="1">
      <alignment horizontal="right" vertical="center" wrapText="1"/>
    </xf>
    <xf numFmtId="165" fontId="19" fillId="9" borderId="0" xfId="0" applyFont="1" applyFill="1" applyAlignment="1" applyProtection="1">
      <alignment horizontal="center" vertical="center" textRotation="45"/>
    </xf>
    <xf numFmtId="165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5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5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5" fontId="17" fillId="9" borderId="4" xfId="0" applyNumberFormat="1" applyFont="1" applyFill="1" applyBorder="1" applyAlignment="1" applyProtection="1">
      <alignment horizontal="center"/>
    </xf>
    <xf numFmtId="165" fontId="17" fillId="9" borderId="0" xfId="0" applyNumberFormat="1" applyFont="1" applyFill="1" applyBorder="1" applyAlignment="1" applyProtection="1">
      <alignment horizontal="center"/>
    </xf>
    <xf numFmtId="165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5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5" fontId="10" fillId="9" borderId="0" xfId="0" applyFont="1" applyFill="1" applyAlignment="1" applyProtection="1">
      <alignment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5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5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5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4" xfId="3" applyFont="1" applyFill="1" applyBorder="1" applyAlignment="1" applyProtection="1">
      <alignment horizontal="center" vertical="center" wrapText="1"/>
    </xf>
    <xf numFmtId="165" fontId="4" fillId="0" borderId="2" xfId="0" applyFont="1" applyBorder="1" applyAlignment="1" applyProtection="1">
      <alignment horizontal="left" vertical="center"/>
      <protection locked="0"/>
    </xf>
    <xf numFmtId="165" fontId="4" fillId="0" borderId="4" xfId="0" applyFont="1" applyBorder="1" applyAlignment="1" applyProtection="1">
      <alignment horizontal="left" vertical="center"/>
      <protection locked="0"/>
    </xf>
    <xf numFmtId="165" fontId="4" fillId="0" borderId="2" xfId="0" applyFont="1" applyBorder="1" applyAlignment="1" applyProtection="1">
      <alignment horizontal="center" vertical="center"/>
      <protection locked="0"/>
    </xf>
    <xf numFmtId="165" fontId="4" fillId="0" borderId="4" xfId="0" applyFont="1" applyBorder="1" applyAlignment="1" applyProtection="1">
      <alignment horizontal="center" vertical="center"/>
      <protection locked="0"/>
    </xf>
    <xf numFmtId="167" fontId="10" fillId="4" borderId="2" xfId="2" applyNumberFormat="1" applyFont="1" applyFill="1" applyBorder="1" applyAlignment="1" applyProtection="1">
      <alignment horizontal="center" vertical="center"/>
    </xf>
    <xf numFmtId="167" fontId="10" fillId="4" borderId="4" xfId="2" applyNumberFormat="1" applyFont="1" applyFill="1" applyBorder="1" applyAlignment="1" applyProtection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7" fontId="6" fillId="4" borderId="2" xfId="2" applyNumberFormat="1" applyFont="1" applyFill="1" applyBorder="1" applyAlignment="1" applyProtection="1">
      <alignment horizontal="center" vertical="center"/>
    </xf>
    <xf numFmtId="167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4" fillId="0" borderId="0" xfId="3" applyFont="1" applyFill="1" applyBorder="1" applyAlignment="1" applyProtection="1">
      <alignment horizontal="center" vertical="center" wrapText="1"/>
    </xf>
    <xf numFmtId="165" fontId="5" fillId="6" borderId="3" xfId="3" applyFont="1" applyFill="1" applyBorder="1" applyAlignment="1" applyProtection="1">
      <alignment horizontal="center" vertical="center" wrapText="1"/>
    </xf>
    <xf numFmtId="165" fontId="5" fillId="6" borderId="6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11" borderId="3" xfId="3" applyFont="1" applyFill="1" applyBorder="1" applyAlignment="1" applyProtection="1">
      <alignment horizontal="center" vertical="center" wrapText="1"/>
    </xf>
    <xf numFmtId="165" fontId="5" fillId="11" borderId="7" xfId="3" applyFont="1" applyFill="1" applyBorder="1" applyAlignment="1" applyProtection="1">
      <alignment horizontal="center" vertical="center" wrapText="1"/>
    </xf>
    <xf numFmtId="165" fontId="0" fillId="12" borderId="3" xfId="0" applyFill="1" applyBorder="1" applyAlignment="1" applyProtection="1">
      <alignment horizontal="center" vertical="center" wrapText="1"/>
    </xf>
    <xf numFmtId="165" fontId="0" fillId="12" borderId="6" xfId="0" applyFill="1" applyBorder="1" applyAlignment="1" applyProtection="1">
      <alignment horizontal="center" vertical="center"/>
    </xf>
    <xf numFmtId="165" fontId="0" fillId="12" borderId="7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 wrapText="1"/>
    </xf>
    <xf numFmtId="165" fontId="5" fillId="11" borderId="2" xfId="3" applyFont="1" applyFill="1" applyBorder="1" applyAlignment="1" applyProtection="1">
      <alignment horizontal="center" vertical="center" wrapText="1"/>
    </xf>
    <xf numFmtId="165" fontId="5" fillId="11" borderId="5" xfId="3" applyFont="1" applyFill="1" applyBorder="1" applyAlignment="1" applyProtection="1">
      <alignment horizontal="center" vertical="center" wrapText="1"/>
    </xf>
    <xf numFmtId="165" fontId="5" fillId="11" borderId="4" xfId="3" applyFont="1" applyFill="1" applyBorder="1" applyAlignment="1" applyProtection="1">
      <alignment horizontal="center" vertical="center" wrapText="1"/>
    </xf>
    <xf numFmtId="165" fontId="5" fillId="9" borderId="3" xfId="3" applyFont="1" applyFill="1" applyBorder="1" applyAlignment="1" applyProtection="1">
      <alignment horizontal="center" vertical="center" wrapText="1"/>
    </xf>
    <xf numFmtId="165" fontId="5" fillId="9" borderId="6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/>
    </xf>
    <xf numFmtId="165" fontId="5" fillId="18" borderId="41" xfId="3" applyNumberFormat="1" applyFont="1" applyFill="1" applyBorder="1" applyAlignment="1">
      <alignment horizontal="center" vertical="center" wrapText="1"/>
    </xf>
    <xf numFmtId="165" fontId="5" fillId="18" borderId="42" xfId="3" applyNumberFormat="1" applyFont="1" applyFill="1" applyBorder="1" applyAlignment="1">
      <alignment horizontal="center" vertical="center" wrapText="1"/>
    </xf>
    <xf numFmtId="165" fontId="5" fillId="11" borderId="35" xfId="3" applyFont="1" applyFill="1" applyBorder="1" applyAlignment="1" applyProtection="1">
      <alignment horizontal="center" vertical="center" wrapText="1"/>
    </xf>
    <xf numFmtId="165" fontId="5" fillId="11" borderId="36" xfId="3" applyFont="1" applyFill="1" applyBorder="1" applyAlignment="1" applyProtection="1">
      <alignment horizontal="center" vertical="center" wrapText="1"/>
    </xf>
    <xf numFmtId="165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5" fontId="5" fillId="6" borderId="21" xfId="3" applyNumberFormat="1" applyFont="1" applyFill="1" applyBorder="1" applyAlignment="1">
      <alignment horizontal="center" vertical="center" wrapText="1"/>
    </xf>
    <xf numFmtId="165" fontId="5" fillId="6" borderId="10" xfId="3" applyNumberFormat="1" applyFont="1" applyFill="1" applyBorder="1" applyAlignment="1">
      <alignment horizontal="center" vertical="center" wrapText="1"/>
    </xf>
    <xf numFmtId="165" fontId="5" fillId="6" borderId="28" xfId="3" applyNumberFormat="1" applyFont="1" applyFill="1" applyBorder="1" applyAlignment="1">
      <alignment horizontal="center" vertical="center" wrapText="1"/>
    </xf>
    <xf numFmtId="165" fontId="5" fillId="6" borderId="7" xfId="3" applyNumberFormat="1" applyFont="1" applyFill="1" applyBorder="1" applyAlignment="1">
      <alignment horizontal="center" vertical="center" wrapText="1"/>
    </xf>
    <xf numFmtId="165" fontId="5" fillId="6" borderId="3" xfId="3" applyNumberFormat="1" applyFont="1" applyFill="1" applyBorder="1" applyAlignment="1">
      <alignment horizontal="center" vertical="center" wrapText="1"/>
    </xf>
    <xf numFmtId="165" fontId="5" fillId="6" borderId="29" xfId="3" applyNumberFormat="1" applyFont="1" applyFill="1" applyBorder="1" applyAlignment="1">
      <alignment horizontal="center" vertical="center" wrapText="1"/>
    </xf>
    <xf numFmtId="165" fontId="5" fillId="6" borderId="20" xfId="3" applyNumberFormat="1" applyFont="1" applyFill="1" applyBorder="1" applyAlignment="1">
      <alignment horizontal="center" vertical="center" wrapText="1"/>
    </xf>
    <xf numFmtId="165" fontId="17" fillId="0" borderId="14" xfId="0" applyFont="1" applyBorder="1" applyAlignment="1" applyProtection="1">
      <alignment horizontal="center"/>
    </xf>
    <xf numFmtId="165" fontId="5" fillId="6" borderId="32" xfId="3" applyNumberFormat="1" applyFont="1" applyFill="1" applyBorder="1" applyAlignment="1">
      <alignment horizontal="center" vertical="center" wrapText="1"/>
    </xf>
    <xf numFmtId="165" fontId="5" fillId="6" borderId="18" xfId="3" applyNumberFormat="1" applyFont="1" applyFill="1" applyBorder="1" applyAlignment="1">
      <alignment horizontal="center" vertical="center" wrapText="1"/>
    </xf>
    <xf numFmtId="165" fontId="5" fillId="6" borderId="49" xfId="3" applyNumberFormat="1" applyFont="1" applyFill="1" applyBorder="1" applyAlignment="1">
      <alignment horizontal="center" vertical="center" wrapText="1"/>
    </xf>
    <xf numFmtId="165" fontId="5" fillId="6" borderId="48" xfId="3" applyNumberFormat="1" applyFont="1" applyFill="1" applyBorder="1" applyAlignment="1">
      <alignment horizontal="center" vertical="center" wrapText="1"/>
    </xf>
    <xf numFmtId="165" fontId="5" fillId="6" borderId="13" xfId="3" applyNumberFormat="1" applyFont="1" applyFill="1" applyBorder="1" applyAlignment="1">
      <alignment horizontal="center" vertical="center" wrapText="1"/>
    </xf>
    <xf numFmtId="165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5" fontId="5" fillId="18" borderId="53" xfId="3" applyNumberFormat="1" applyFont="1" applyFill="1" applyBorder="1" applyAlignment="1">
      <alignment horizontal="center" vertical="center" wrapText="1"/>
    </xf>
    <xf numFmtId="165" fontId="5" fillId="18" borderId="54" xfId="3" applyNumberFormat="1" applyFont="1" applyFill="1" applyBorder="1" applyAlignment="1">
      <alignment horizontal="center" vertical="center" wrapText="1"/>
    </xf>
    <xf numFmtId="165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left" vertical="center" wrapText="1"/>
    </xf>
    <xf numFmtId="165" fontId="14" fillId="0" borderId="8" xfId="0" applyFont="1" applyBorder="1" applyAlignment="1" applyProtection="1">
      <alignment horizontal="center"/>
    </xf>
    <xf numFmtId="165" fontId="14" fillId="0" borderId="12" xfId="0" applyFont="1" applyBorder="1" applyAlignment="1" applyProtection="1">
      <alignment horizontal="center"/>
    </xf>
    <xf numFmtId="165" fontId="3" fillId="0" borderId="1" xfId="3" applyFont="1" applyFill="1" applyBorder="1" applyAlignment="1" applyProtection="1">
      <alignment horizontal="center" vertical="center" wrapText="1"/>
    </xf>
    <xf numFmtId="165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5" fontId="4" fillId="0" borderId="1" xfId="3" applyFont="1" applyFill="1" applyBorder="1" applyAlignment="1" applyProtection="1">
      <alignment horizontal="center" vertical="center" wrapText="1"/>
    </xf>
    <xf numFmtId="165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37"/>
    <tableColumn id="2" name="Nome da Função" dataDxfId="194" totalsRowDxfId="36" dataCellStyle="Normal 6"/>
    <tableColumn id="3" name="Tipo de Manutenção" dataDxfId="193" totalsRowDxfId="35" dataCellStyle="Normal 6"/>
    <tableColumn id="4" name="Tipo de Função" dataDxfId="192" totalsRowDxfId="34" dataCellStyle="Normal 6"/>
    <tableColumn id="5" name="Qtde Registros Lógicos/ Arquivos Referenciados" dataDxfId="191" totalsRowDxfId="33" dataCellStyle="Normal 6"/>
    <tableColumn id="6" name="Qtde de Itens" dataDxfId="190" totalsRowDxfId="32" dataCellStyle="Normal 6"/>
    <tableColumn id="11" name="Descrição dos Registros Lógicos/Arquivos Referenciados" dataDxfId="189" totalsRowDxfId="31" dataCellStyle="Normal 6"/>
    <tableColumn id="10" name="Descrição dos Itens de Dados" dataDxfId="188" totalsRowDxfId="30" dataCellStyle="Normal 6"/>
    <tableColumn id="7" name="Complexidade" dataDxfId="187" totalsRowDxfId="29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28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27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2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25"/>
    <tableColumn id="10" name="Analogia" dataDxfId="176" totalsRowDxfId="24" dataCellStyle="Normal 6"/>
    <tableColumn id="2" name="Nome da Função" dataDxfId="175" totalsRowDxfId="23" dataCellStyle="Normal 6"/>
    <tableColumn id="3" name="Tipo de Manutenção" dataDxfId="174" totalsRowDxfId="22" dataCellStyle="Normal 6"/>
    <tableColumn id="4" name="Tipo de Função" dataDxfId="173" totalsRowDxfId="21" dataCellStyle="Normal 6"/>
    <tableColumn id="5" name="Qtde Registros Lógicos/ Arquivos Referenciados" dataDxfId="172" totalsRowDxfId="20" dataCellStyle="Normal 6"/>
    <tableColumn id="6" name="Qtde de Itens" dataDxfId="171" totalsRowDxfId="19" dataCellStyle="Normal 6"/>
    <tableColumn id="13" name="Descrição dos Registros Lógicos/Arquivos Referenciados" dataDxfId="170" totalsRowDxfId="18" dataCellStyle="Normal 6"/>
    <tableColumn id="12" name="Descrição dos Itens de Dados" dataDxfId="169" totalsRowDxfId="17" dataCellStyle="Normal 6"/>
    <tableColumn id="7" name="Complexidade" dataDxfId="168" totalsRowDxfId="1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67" totalsRowDxfId="15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66" totalsRowDxfId="1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65" totalsRowDxfId="13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64" totalsRowDxfId="12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63" totalsRowDxfId="11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62" dataDxfId="160" totalsRowDxfId="158" headerRowBorderDxfId="161" tableBorderDxfId="159" headerRowCellStyle="Normal 6">
  <autoFilter ref="B5:L18"/>
  <tableColumns count="11">
    <tableColumn id="8" name="Id" dataDxfId="157" totalsRowDxfId="10"/>
    <tableColumn id="1" name="Fases do Ciclo de Vida / Artefatos" totalsRowLabel="Total" dataDxfId="156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55" totalsRowDxfId="8" dataCellStyle="Normal 5"/>
    <tableColumn id="3" name="Esforço em Horas (calculado)" totalsRowFunction="custom" dataDxfId="154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53" totalsRowDxfId="6" dataCellStyle="Normal 5"/>
    <tableColumn id="5" name="Percentual Calculado da Fase" totalsRowFunction="sum" dataDxfId="152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51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50" totalsRowDxfId="3">
      <calculatedColumnFormula>IF(EsforcoFases[[#This Row],[Contratação]]=Sim,TRUE,FALSE)</calculatedColumnFormula>
    </tableColumn>
    <tableColumn id="9" name="Ativ. Fabrica Testes" dataDxfId="149" totalsRowDxfId="2">
      <calculatedColumnFormula>AND(FabricaTestes,VLOOKUP(B6,PercentuaisFases[],VLOOKUP(Fornecedor,MapFasesFornecedores[#All],4,FALSE),FALSE))</calculatedColumnFormula>
    </tableColumn>
    <tableColumn id="10" name="Max" dataDxfId="148" totalsRowDxfId="1">
      <calculatedColumnFormula>IF(C6="",0)</calculatedColumnFormula>
    </tableColumn>
    <tableColumn id="11" name="Man Cosmetica Especial" dataDxfId="147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46" dataDxfId="144" headerRowBorderDxfId="145" tableBorderDxfId="143" totalsRowBorderDxfId="142" headerRowCellStyle="Normal 6" dataCellStyle="Normal 9">
  <autoFilter ref="B4:L40"/>
  <tableColumns count="11">
    <tableColumn id="1" name="Nome Sistema ou Tecnologia" dataDxfId="141" dataCellStyle="Normal 9"/>
    <tableColumn id="2" name="Produtividade Inclusão" dataDxfId="140" dataCellStyle="Normal 9"/>
    <tableColumn id="10" name="Produtividade Alteração" dataDxfId="139" dataCellStyle="Normal 9">
      <calculatedColumnFormula>Produtividades[[#This Row],[Produtividade Inclusão]]</calculatedColumnFormula>
    </tableColumn>
    <tableColumn id="11" name="Produtividade Exclusão" dataDxfId="138" dataCellStyle="Normal 9">
      <calculatedColumnFormula>Produtividades[[#This Row],[Produtividade Inclusão]]</calculatedColumnFormula>
    </tableColumn>
    <tableColumn id="8" name="Taxa horária" dataDxfId="137" dataCellStyle="Normal 9"/>
    <tableColumn id="6" name="Contrato" dataDxfId="136" dataCellStyle="Normal 9"/>
    <tableColumn id="7" name="Fornecedor" dataDxfId="135" dataCellStyle="Normal 9"/>
    <tableColumn id="3" name="Aba Itens configuração" dataDxfId="134" dataCellStyle="Normal 9"/>
    <tableColumn id="9" name="Aba Estimator" dataDxfId="133" dataCellStyle="Normal 9"/>
    <tableColumn id="4" name="Sistema/Tecnologia" dataDxfId="132" dataCellStyle="Normal 9"/>
    <tableColumn id="5" name="Fábrica Testes" dataDxfId="131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30" dataDxfId="129">
  <autoFilter ref="J4:J16"/>
  <sortState ref="J5:J16">
    <sortCondition ref="J6"/>
  </sortState>
  <tableColumns count="1">
    <tableColumn id="1" name="Motivo" dataDxfId="1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27" dataDxfId="125" headerRowBorderDxfId="126" tableBorderDxfId="124" totalsRowBorderDxfId="123" headerRowCellStyle="Normal 6">
  <autoFilter ref="I4:I6"/>
  <tableColumns count="1">
    <tableColumn id="1" name="Tipo Contagem" dataDxfId="12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21" dataDxfId="119" headerRowBorderDxfId="120" tableBorderDxfId="118" totalsRowBorderDxfId="117" headerRowCellStyle="Normal 6">
  <autoFilter ref="H4:H7"/>
  <tableColumns count="1">
    <tableColumn id="1" name="Complexidade" dataDxfId="1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15" dataDxfId="113" headerRowBorderDxfId="114" tableBorderDxfId="112" totalsRowBorderDxfId="111" headerRowCellStyle="Normal 6">
  <autoFilter ref="G4:G9"/>
  <tableColumns count="1">
    <tableColumn id="1" name="Tipo de Função (ALI/AIE/EE/SE/CE)" dataDxfId="110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109" dataDxfId="107" headerRowBorderDxfId="108" tableBorderDxfId="106" totalsRowBorderDxfId="105" headerRowCellStyle="Normal 6">
  <autoFilter ref="F4:F7"/>
  <tableColumns count="1">
    <tableColumn id="1" name="Tipo de Manutenção (I/A/E)" dataDxfId="10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103" headerRowBorderDxfId="102" tableBorderDxfId="101" totalsRowBorderDxfId="100">
  <autoFilter ref="E4:E30"/>
  <tableColumns count="1">
    <tableColumn id="1" name="Fornecedor" dataDxfId="9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98" headerRowBorderDxfId="97" tableBorderDxfId="96" totalsRowBorderDxfId="95">
  <autoFilter ref="D4:D7"/>
  <tableColumns count="1">
    <tableColumn id="1" name="Contrato" dataDxfId="9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93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92" dataDxfId="91">
  <autoFilter ref="Q1:R8"/>
  <tableColumns count="2">
    <tableColumn id="1" name="Analogia" dataDxfId="90"/>
    <tableColumn id="2" name="Fator de ajuste" dataDxfId="8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88" dataDxfId="86" headerRowBorderDxfId="87" tableBorderDxfId="85" totalsRowBorderDxfId="84" headerRowCellStyle="Normal 6">
  <autoFilter ref="A2:W21"/>
  <tableColumns count="23">
    <tableColumn id="4" name="Id" dataDxfId="83"/>
    <tableColumn id="8" name="Man Cosmetica Especial" dataDxfId="82"/>
    <tableColumn id="1" name="Fases do Ciclo de Vida / Artefatos 1" dataDxfId="81"/>
    <tableColumn id="2" name="Percentual 1" dataDxfId="80"/>
    <tableColumn id="6" name="Fábrica testes 1" dataDxfId="79"/>
    <tableColumn id="5" name="Fases do Ciclo de Vida / Artefatos 2" dataDxfId="78"/>
    <tableColumn id="3" name="Percentual 2" dataDxfId="77"/>
    <tableColumn id="7" name="Fábrica testes 2" dataDxfId="76"/>
    <tableColumn id="9" name="Fases do Ciclo de Vida / Artefatos 3" dataDxfId="75"/>
    <tableColumn id="10" name="Percentual 3" dataDxfId="74"/>
    <tableColumn id="11" name="Fábrica testes 3" dataDxfId="73"/>
    <tableColumn id="12" name="Fases do Ciclo de Vida / Artefatos 4" dataDxfId="72"/>
    <tableColumn id="13" name="Percentual 4" dataDxfId="71"/>
    <tableColumn id="14" name="Fábrica testes 4" dataDxfId="70"/>
    <tableColumn id="15" name="Fases do Ciclo de Vida / Artefatos 5" dataDxfId="69"/>
    <tableColumn id="16" name="Percentual 5" dataDxfId="68"/>
    <tableColumn id="17" name="Fábrica testes 5" dataDxfId="67"/>
    <tableColumn id="18" name="Fases do Ciclo de Vida / Artefatos 6" dataDxfId="66"/>
    <tableColumn id="19" name="Percentual 6" dataDxfId="65"/>
    <tableColumn id="20" name="Fábrica testes 6" dataDxfId="64"/>
    <tableColumn id="21" name="Fases do Ciclo de Vida / Artefatos 7" dataDxfId="63"/>
    <tableColumn id="22" name="Percentual 7" dataDxfId="62"/>
    <tableColumn id="23" name="Fábrica testes 7" dataDxfId="61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60" dataDxfId="59">
  <autoFilter ref="Y2:AD28"/>
  <tableColumns count="6">
    <tableColumn id="1" name="Fornecedor" dataDxfId="58">
      <calculatedColumnFormula>Parâmetros!E5</calculatedColumnFormula>
    </tableColumn>
    <tableColumn id="3" name="Descrição" dataDxfId="57"/>
    <tableColumn id="2" name="Percentual" dataDxfId="56"/>
    <tableColumn id="4" name="Fábrica testes" dataDxfId="55"/>
    <tableColumn id="5" name="Man Cosmetica Especial" dataDxfId="54"/>
    <tableColumn id="6" name="Variacao Gestao" dataDxfId="5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52" dataDxfId="50" headerRowBorderDxfId="51" tableBorderDxfId="49" totalsRowBorderDxfId="48">
  <autoFilter ref="A2:H15"/>
  <sortState ref="A3:H13">
    <sortCondition ref="A2:A13"/>
  </sortState>
  <tableColumns count="8">
    <tableColumn id="2" name="Itens 1" dataDxfId="47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46"/>
    <tableColumn id="6" name="Fabrica Testes 1" dataDxfId="45"/>
    <tableColumn id="4" name="Lista 1" dataDxfId="44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43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2"/>
    <tableColumn id="7" name="Fabrica Testes 2" dataDxfId="41"/>
    <tableColumn id="8" name="Lista 2" dataDxfId="4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39">
      <calculatedColumnFormula>ItensNaoFuncionais[[#Headers],[Itens 1]]</calculatedColumnFormula>
    </tableColumn>
    <tableColumn id="3" name="Coluna obrigtório" dataDxfId="38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D10" sqref="D10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>
        <v>1</v>
      </c>
      <c r="B8" s="177" t="s">
        <v>497</v>
      </c>
      <c r="C8" s="222" t="s">
        <v>498</v>
      </c>
      <c r="D8" s="222" t="s">
        <v>499</v>
      </c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7" zoomScale="90" zoomScaleNormal="90" workbookViewId="0">
      <selection activeCell="G14" sqref="G14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0" t="s">
        <v>25</v>
      </c>
      <c r="C2" s="430"/>
      <c r="D2" s="430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1" t="s">
        <v>494</v>
      </c>
      <c r="D4" s="432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5">
        <v>21262</v>
      </c>
      <c r="D6" s="436"/>
      <c r="E6" s="61"/>
      <c r="F6" s="161"/>
    </row>
    <row r="7" spans="2:6" ht="18" customHeight="1" x14ac:dyDescent="0.2">
      <c r="B7" s="189" t="s">
        <v>280</v>
      </c>
      <c r="C7" s="435">
        <v>22458</v>
      </c>
      <c r="D7" s="436"/>
      <c r="E7" s="61"/>
      <c r="F7" s="161"/>
    </row>
    <row r="8" spans="2:6" ht="54" customHeight="1" x14ac:dyDescent="0.2">
      <c r="B8" s="52" t="s">
        <v>21</v>
      </c>
      <c r="C8" s="437" t="s">
        <v>495</v>
      </c>
      <c r="D8" s="438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9" t="str">
        <f>IFERROR(VLOOKUP(Sistema,Produtividades[],COLUMN(Produtividades[[#Headers],[Contrato]])-1,FALSE),"")</f>
        <v>Uso comercial</v>
      </c>
      <c r="D11" s="440"/>
      <c r="F11" s="158"/>
    </row>
    <row r="12" spans="2:6" x14ac:dyDescent="0.2">
      <c r="F12" s="158"/>
    </row>
    <row r="13" spans="2:6" x14ac:dyDescent="0.2">
      <c r="B13" s="179" t="s">
        <v>271</v>
      </c>
      <c r="C13" s="439" t="s">
        <v>173</v>
      </c>
      <c r="D13" s="440"/>
      <c r="F13" s="158"/>
    </row>
    <row r="14" spans="2:6" x14ac:dyDescent="0.2">
      <c r="F14" s="158"/>
    </row>
    <row r="15" spans="2:6" x14ac:dyDescent="0.2">
      <c r="B15" s="53" t="s">
        <v>166</v>
      </c>
      <c r="C15" s="445" t="s">
        <v>187</v>
      </c>
      <c r="D15" s="446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7" t="s">
        <v>156</v>
      </c>
      <c r="D17" s="448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9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0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1">
        <f>Horas_APF</f>
        <v>0</v>
      </c>
      <c r="D26" s="442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3" t="s">
        <v>24</v>
      </c>
      <c r="D28" s="444"/>
      <c r="E28" s="19"/>
      <c r="F28" s="19"/>
    </row>
    <row r="29" spans="2:6" ht="18" customHeight="1" x14ac:dyDescent="0.2">
      <c r="B29" s="52" t="s">
        <v>29</v>
      </c>
      <c r="C29" s="439">
        <f ca="1">ROUND(IF(RespostaContagem=Sim,Horas_HH_Total,Horas_HH_Total+EsforcoFases[[#Totals],[Esforço em Horas (preenchido)]]),2)</f>
        <v>512</v>
      </c>
      <c r="D29" s="440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92.16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3">
        <f ca="1">ROUND((Horas_APF+Horas_Analogia+Horas_HH+Horas_Gestao)*Flip,2)</f>
        <v>604.16</v>
      </c>
      <c r="D34" s="434"/>
      <c r="E34" s="16"/>
      <c r="F34" s="16"/>
    </row>
    <row r="36" spans="2:6" x14ac:dyDescent="0.2">
      <c r="B36" s="53" t="s">
        <v>175</v>
      </c>
      <c r="C36" s="449">
        <f>VLOOKUP(Sistema,Produtividades[],COLUMN(Produtividades[[#Headers],[Taxa horária]])-1,FALSE)</f>
        <v>177.51</v>
      </c>
      <c r="D36" s="450"/>
    </row>
    <row r="38" spans="2:6" x14ac:dyDescent="0.2">
      <c r="B38" s="53" t="s">
        <v>179</v>
      </c>
      <c r="C38" s="449">
        <f ca="1">Horas_Total*Taxa_Horaria</f>
        <v>107244.44159999999</v>
      </c>
      <c r="D38" s="450"/>
    </row>
    <row r="40" spans="2:6" x14ac:dyDescent="0.2">
      <c r="B40" s="53" t="s">
        <v>178</v>
      </c>
      <c r="C40" s="451"/>
      <c r="D40" s="45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5"/>
      <c r="D42" s="456"/>
    </row>
    <row r="44" spans="2:6" ht="15.75" x14ac:dyDescent="0.2">
      <c r="B44" s="53" t="s">
        <v>180</v>
      </c>
      <c r="C44" s="453">
        <f ca="1">Custo-Desconto</f>
        <v>107244.44159999999</v>
      </c>
      <c r="D44" s="454"/>
    </row>
  </sheetData>
  <sheetProtection algorithmName="SHA-512" hashValue="Hri6YPgInbgCqB7PC9JpDghIKQhLIQnLBdnFrTNKfyi0QhxdztIvrNqyfDF2242+hTjp8wKxlr1a8TY7Rmnv5g==" saltValue="x5EuppGI8aJBaluAYnkA4w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0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7/swSgTQarvjWj455g19AFycVm8nqXfCZkMPNKKpfTi3ERZkGH1ZijzlGwHmjtcI/0FD2k9/dXD8aC77cqH5mw==" saltValue="vH+0t/59PQG9yybdlNYfX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0" t="s">
        <v>71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IttrqI+NEZrCYywybTn5NPG4h3c8HldBG7nKnY8zHvQ9BrMMunec3IHLQgZ1pAJ34YU24aAsrEerNG2ZB/w93g==" saltValue="pS6I8YdHnJ4/sCUg09Hw3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0" t="s">
        <v>98</v>
      </c>
      <c r="D2" s="430"/>
      <c r="E2" s="430"/>
      <c r="F2" s="430"/>
      <c r="G2" s="430"/>
      <c r="H2" s="430"/>
      <c r="I2" s="430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410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411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47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1"/>
      <c r="M11" s="502"/>
      <c r="N11" s="346" t="str">
        <f t="shared" ref="N11:N28" si="0">IF(L11="","",$AC$12&amp;L11)</f>
        <v/>
      </c>
      <c r="O11" s="501"/>
      <c r="P11" s="502"/>
      <c r="Q11" s="346" t="str">
        <f t="shared" ref="Q11:Q27" si="1">IF(O11="","",$AC$15&amp;O11)</f>
        <v/>
      </c>
      <c r="R11" s="501"/>
      <c r="S11" s="503"/>
      <c r="T11" s="50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ref="Q28:Q38" si="13">IF(O28="","",$AC$15&amp;O28)</f>
        <v/>
      </c>
      <c r="R28" s="501"/>
      <c r="S28" s="503"/>
      <c r="T28" s="50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1"/>
      <c r="M29" s="502"/>
      <c r="N29" s="346" t="str">
        <f t="shared" ref="N29:N40" si="14">IF(L29="","",$AC$12&amp;L29)</f>
        <v/>
      </c>
      <c r="O29" s="501"/>
      <c r="P29" s="502"/>
      <c r="Q29" s="346" t="str">
        <f t="shared" si="13"/>
        <v/>
      </c>
      <c r="R29" s="501"/>
      <c r="S29" s="503"/>
      <c r="T29" s="50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1"/>
      <c r="M30" s="502"/>
      <c r="N30" s="346" t="str">
        <f t="shared" si="14"/>
        <v/>
      </c>
      <c r="O30" s="501"/>
      <c r="P30" s="502"/>
      <c r="Q30" s="346" t="str">
        <f t="shared" si="13"/>
        <v/>
      </c>
      <c r="R30" s="501"/>
      <c r="S30" s="503"/>
      <c r="T30" s="50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1"/>
      <c r="M31" s="502"/>
      <c r="N31" s="346" t="str">
        <f t="shared" si="14"/>
        <v/>
      </c>
      <c r="O31" s="501"/>
      <c r="P31" s="502"/>
      <c r="Q31" s="346" t="str">
        <f t="shared" si="13"/>
        <v/>
      </c>
      <c r="R31" s="501"/>
      <c r="S31" s="503"/>
      <c r="T31" s="50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1"/>
      <c r="M32" s="502"/>
      <c r="N32" s="346" t="str">
        <f t="shared" si="14"/>
        <v/>
      </c>
      <c r="O32" s="501"/>
      <c r="P32" s="502"/>
      <c r="Q32" s="346" t="str">
        <f t="shared" si="13"/>
        <v/>
      </c>
      <c r="R32" s="501"/>
      <c r="S32" s="503"/>
      <c r="T32" s="50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1"/>
      <c r="M33" s="502"/>
      <c r="N33" s="346" t="str">
        <f t="shared" si="14"/>
        <v/>
      </c>
      <c r="O33" s="501"/>
      <c r="P33" s="502"/>
      <c r="Q33" s="346" t="str">
        <f t="shared" si="13"/>
        <v/>
      </c>
      <c r="R33" s="501"/>
      <c r="S33" s="503"/>
      <c r="T33" s="50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1"/>
      <c r="M34" s="502"/>
      <c r="N34" s="346" t="str">
        <f t="shared" si="14"/>
        <v/>
      </c>
      <c r="O34" s="501"/>
      <c r="P34" s="502"/>
      <c r="Q34" s="346" t="str">
        <f t="shared" si="13"/>
        <v/>
      </c>
      <c r="R34" s="501"/>
      <c r="S34" s="503"/>
      <c r="T34" s="50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1"/>
      <c r="M35" s="502"/>
      <c r="N35" s="346" t="str">
        <f t="shared" si="14"/>
        <v/>
      </c>
      <c r="O35" s="501"/>
      <c r="P35" s="502"/>
      <c r="Q35" s="346" t="str">
        <f t="shared" si="13"/>
        <v/>
      </c>
      <c r="R35" s="501"/>
      <c r="S35" s="503"/>
      <c r="T35" s="50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1"/>
      <c r="M36" s="502"/>
      <c r="N36" s="346" t="str">
        <f t="shared" si="14"/>
        <v/>
      </c>
      <c r="O36" s="501"/>
      <c r="P36" s="502"/>
      <c r="Q36" s="346" t="str">
        <f t="shared" si="13"/>
        <v/>
      </c>
      <c r="R36" s="501"/>
      <c r="S36" s="503"/>
      <c r="T36" s="50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1"/>
      <c r="M37" s="502"/>
      <c r="N37" s="346" t="str">
        <f t="shared" si="14"/>
        <v/>
      </c>
      <c r="O37" s="501"/>
      <c r="P37" s="502"/>
      <c r="Q37" s="346" t="str">
        <f t="shared" si="13"/>
        <v/>
      </c>
      <c r="R37" s="501"/>
      <c r="S37" s="503"/>
      <c r="T37" s="50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1"/>
      <c r="M38" s="502"/>
      <c r="N38" s="346" t="str">
        <f t="shared" si="14"/>
        <v/>
      </c>
      <c r="O38" s="501"/>
      <c r="P38" s="502"/>
      <c r="Q38" s="346" t="str">
        <f t="shared" si="13"/>
        <v/>
      </c>
      <c r="R38" s="501"/>
      <c r="S38" s="503"/>
      <c r="T38" s="50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1"/>
      <c r="M39" s="502"/>
      <c r="N39" s="346" t="str">
        <f t="shared" si="14"/>
        <v/>
      </c>
      <c r="O39" s="501"/>
      <c r="P39" s="502"/>
      <c r="Q39" s="346" t="str">
        <f t="shared" ref="Q39:Q50" si="16">IF(O39="","",$AC$15&amp;O39)</f>
        <v/>
      </c>
      <c r="R39" s="501"/>
      <c r="S39" s="503"/>
      <c r="T39" s="50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1"/>
      <c r="M40" s="502"/>
      <c r="N40" s="346" t="str">
        <f t="shared" si="14"/>
        <v/>
      </c>
      <c r="O40" s="501"/>
      <c r="P40" s="502"/>
      <c r="Q40" s="346" t="str">
        <f t="shared" si="16"/>
        <v/>
      </c>
      <c r="R40" s="501"/>
      <c r="S40" s="503"/>
      <c r="T40" s="50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1"/>
      <c r="M41" s="502"/>
      <c r="N41" s="346" t="str">
        <f t="shared" ref="N41:N50" si="17">IF(L41="","",$AC$12&amp;L41)</f>
        <v/>
      </c>
      <c r="O41" s="501"/>
      <c r="P41" s="502"/>
      <c r="Q41" s="346" t="str">
        <f t="shared" si="16"/>
        <v/>
      </c>
      <c r="R41" s="501"/>
      <c r="S41" s="503"/>
      <c r="T41" s="50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1"/>
      <c r="M42" s="502"/>
      <c r="N42" s="346" t="str">
        <f t="shared" si="17"/>
        <v/>
      </c>
      <c r="O42" s="501"/>
      <c r="P42" s="502"/>
      <c r="Q42" s="346" t="str">
        <f t="shared" si="16"/>
        <v/>
      </c>
      <c r="R42" s="501"/>
      <c r="S42" s="503"/>
      <c r="T42" s="50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1"/>
      <c r="M43" s="502"/>
      <c r="N43" s="346" t="str">
        <f t="shared" si="17"/>
        <v/>
      </c>
      <c r="O43" s="501"/>
      <c r="P43" s="502"/>
      <c r="Q43" s="346" t="str">
        <f t="shared" si="16"/>
        <v/>
      </c>
      <c r="R43" s="501"/>
      <c r="S43" s="503"/>
      <c r="T43" s="50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1"/>
      <c r="M44" s="502"/>
      <c r="N44" s="346" t="str">
        <f t="shared" si="17"/>
        <v/>
      </c>
      <c r="O44" s="501"/>
      <c r="P44" s="502"/>
      <c r="Q44" s="346" t="str">
        <f t="shared" si="16"/>
        <v/>
      </c>
      <c r="R44" s="501"/>
      <c r="S44" s="503"/>
      <c r="T44" s="50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1"/>
      <c r="M45" s="502"/>
      <c r="N45" s="346" t="str">
        <f t="shared" si="17"/>
        <v/>
      </c>
      <c r="O45" s="501"/>
      <c r="P45" s="502"/>
      <c r="Q45" s="346" t="str">
        <f t="shared" si="16"/>
        <v/>
      </c>
      <c r="R45" s="501"/>
      <c r="S45" s="503"/>
      <c r="T45" s="50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1"/>
      <c r="M46" s="502"/>
      <c r="N46" s="346" t="str">
        <f t="shared" si="17"/>
        <v/>
      </c>
      <c r="O46" s="501"/>
      <c r="P46" s="502"/>
      <c r="Q46" s="346" t="str">
        <f t="shared" si="16"/>
        <v/>
      </c>
      <c r="R46" s="501"/>
      <c r="S46" s="503"/>
      <c r="T46" s="50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1"/>
      <c r="M47" s="502"/>
      <c r="N47" s="346" t="str">
        <f t="shared" si="17"/>
        <v/>
      </c>
      <c r="O47" s="501"/>
      <c r="P47" s="502"/>
      <c r="Q47" s="346" t="str">
        <f t="shared" si="16"/>
        <v/>
      </c>
      <c r="R47" s="501"/>
      <c r="S47" s="503"/>
      <c r="T47" s="50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1"/>
      <c r="M48" s="502"/>
      <c r="N48" s="346" t="str">
        <f t="shared" si="17"/>
        <v/>
      </c>
      <c r="O48" s="501"/>
      <c r="P48" s="502"/>
      <c r="Q48" s="346" t="str">
        <f t="shared" si="16"/>
        <v/>
      </c>
      <c r="R48" s="501"/>
      <c r="S48" s="503"/>
      <c r="T48" s="50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1"/>
      <c r="M49" s="502"/>
      <c r="N49" s="346" t="str">
        <f t="shared" si="17"/>
        <v/>
      </c>
      <c r="O49" s="501"/>
      <c r="P49" s="502"/>
      <c r="Q49" s="346" t="str">
        <f t="shared" si="16"/>
        <v/>
      </c>
      <c r="R49" s="501"/>
      <c r="S49" s="503"/>
      <c r="T49" s="50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1"/>
      <c r="M50" s="502"/>
      <c r="N50" s="346" t="str">
        <f t="shared" si="17"/>
        <v/>
      </c>
      <c r="O50" s="501"/>
      <c r="P50" s="502"/>
      <c r="Q50" s="346" t="str">
        <f t="shared" si="16"/>
        <v/>
      </c>
      <c r="R50" s="501"/>
      <c r="S50" s="503"/>
      <c r="T50" s="50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4"/>
      <c r="M51" s="505"/>
      <c r="N51" s="346" t="str">
        <f t="shared" ref="N51" si="18">IF(AND(L51&lt;&gt;"",M51&lt;&gt;""),CONCATENATE($AC$12,L51,M51),"")</f>
        <v/>
      </c>
      <c r="O51" s="504"/>
      <c r="P51" s="505"/>
      <c r="Q51" s="346" t="str">
        <f t="shared" ref="Q51" si="19">IF(AND(O51&lt;&gt;"",P51&lt;&gt;""),CONCATENATE($AC$15,O51,P51),"")</f>
        <v/>
      </c>
      <c r="R51" s="504"/>
      <c r="S51" s="506"/>
      <c r="T51" s="505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1"/>
      <c r="M11" s="502"/>
      <c r="N11" s="346" t="str">
        <f t="shared" ref="N11:N50" si="0">IF(L11="","",$AC$12&amp;L11)</f>
        <v/>
      </c>
      <c r="O11" s="501"/>
      <c r="P11" s="502"/>
      <c r="Q11" s="346" t="str">
        <f t="shared" ref="Q11:Q50" si="1">IF(O11="","",$AC$15&amp;O11)</f>
        <v/>
      </c>
      <c r="R11" s="501"/>
      <c r="S11" s="503"/>
      <c r="T11" s="50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si="1"/>
        <v/>
      </c>
      <c r="R28" s="501"/>
      <c r="S28" s="503"/>
      <c r="T28" s="50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1"/>
      <c r="M29" s="502"/>
      <c r="N29" s="346" t="str">
        <f t="shared" si="0"/>
        <v/>
      </c>
      <c r="O29" s="501"/>
      <c r="P29" s="502"/>
      <c r="Q29" s="346" t="str">
        <f t="shared" si="1"/>
        <v/>
      </c>
      <c r="R29" s="501"/>
      <c r="S29" s="503"/>
      <c r="T29" s="50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1"/>
      <c r="M30" s="502"/>
      <c r="N30" s="346" t="str">
        <f t="shared" si="0"/>
        <v/>
      </c>
      <c r="O30" s="501"/>
      <c r="P30" s="502"/>
      <c r="Q30" s="346" t="str">
        <f t="shared" si="1"/>
        <v/>
      </c>
      <c r="R30" s="501"/>
      <c r="S30" s="503"/>
      <c r="T30" s="50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1"/>
      <c r="M31" s="502"/>
      <c r="N31" s="346" t="str">
        <f t="shared" si="0"/>
        <v/>
      </c>
      <c r="O31" s="501"/>
      <c r="P31" s="502"/>
      <c r="Q31" s="346" t="str">
        <f t="shared" si="1"/>
        <v/>
      </c>
      <c r="R31" s="501"/>
      <c r="S31" s="503"/>
      <c r="T31" s="50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1"/>
      <c r="M32" s="502"/>
      <c r="N32" s="346" t="str">
        <f t="shared" si="0"/>
        <v/>
      </c>
      <c r="O32" s="501"/>
      <c r="P32" s="502"/>
      <c r="Q32" s="346" t="str">
        <f t="shared" si="1"/>
        <v/>
      </c>
      <c r="R32" s="501"/>
      <c r="S32" s="503"/>
      <c r="T32" s="50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1"/>
      <c r="M33" s="502"/>
      <c r="N33" s="346" t="str">
        <f t="shared" si="0"/>
        <v/>
      </c>
      <c r="O33" s="501"/>
      <c r="P33" s="502"/>
      <c r="Q33" s="346" t="str">
        <f t="shared" si="1"/>
        <v/>
      </c>
      <c r="R33" s="501"/>
      <c r="S33" s="503"/>
      <c r="T33" s="50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1"/>
      <c r="M34" s="502"/>
      <c r="N34" s="346" t="str">
        <f t="shared" si="0"/>
        <v/>
      </c>
      <c r="O34" s="501"/>
      <c r="P34" s="502"/>
      <c r="Q34" s="346" t="str">
        <f t="shared" si="1"/>
        <v/>
      </c>
      <c r="R34" s="501"/>
      <c r="S34" s="503"/>
      <c r="T34" s="50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1"/>
      <c r="M35" s="502"/>
      <c r="N35" s="346" t="str">
        <f t="shared" si="0"/>
        <v/>
      </c>
      <c r="O35" s="501"/>
      <c r="P35" s="502"/>
      <c r="Q35" s="346" t="str">
        <f t="shared" si="1"/>
        <v/>
      </c>
      <c r="R35" s="501"/>
      <c r="S35" s="503"/>
      <c r="T35" s="50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1"/>
      <c r="M36" s="502"/>
      <c r="N36" s="346" t="str">
        <f t="shared" si="0"/>
        <v/>
      </c>
      <c r="O36" s="501"/>
      <c r="P36" s="502"/>
      <c r="Q36" s="346" t="str">
        <f t="shared" si="1"/>
        <v/>
      </c>
      <c r="R36" s="501"/>
      <c r="S36" s="503"/>
      <c r="T36" s="50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1"/>
      <c r="M37" s="502"/>
      <c r="N37" s="346" t="str">
        <f t="shared" si="0"/>
        <v/>
      </c>
      <c r="O37" s="501"/>
      <c r="P37" s="502"/>
      <c r="Q37" s="346" t="str">
        <f t="shared" si="1"/>
        <v/>
      </c>
      <c r="R37" s="501"/>
      <c r="S37" s="503"/>
      <c r="T37" s="50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1"/>
      <c r="M38" s="502"/>
      <c r="N38" s="346" t="str">
        <f t="shared" si="0"/>
        <v/>
      </c>
      <c r="O38" s="501"/>
      <c r="P38" s="502"/>
      <c r="Q38" s="346" t="str">
        <f t="shared" si="1"/>
        <v/>
      </c>
      <c r="R38" s="501"/>
      <c r="S38" s="503"/>
      <c r="T38" s="50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1"/>
      <c r="M39" s="502"/>
      <c r="N39" s="346" t="str">
        <f t="shared" si="0"/>
        <v/>
      </c>
      <c r="O39" s="501"/>
      <c r="P39" s="502"/>
      <c r="Q39" s="346" t="str">
        <f t="shared" si="1"/>
        <v/>
      </c>
      <c r="R39" s="501"/>
      <c r="S39" s="503"/>
      <c r="T39" s="50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1"/>
      <c r="M40" s="502"/>
      <c r="N40" s="346" t="str">
        <f t="shared" si="0"/>
        <v/>
      </c>
      <c r="O40" s="501"/>
      <c r="P40" s="502"/>
      <c r="Q40" s="346" t="str">
        <f t="shared" si="1"/>
        <v/>
      </c>
      <c r="R40" s="501"/>
      <c r="S40" s="503"/>
      <c r="T40" s="50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1"/>
      <c r="M41" s="502"/>
      <c r="N41" s="346" t="str">
        <f t="shared" si="0"/>
        <v/>
      </c>
      <c r="O41" s="501"/>
      <c r="P41" s="502"/>
      <c r="Q41" s="346" t="str">
        <f t="shared" si="1"/>
        <v/>
      </c>
      <c r="R41" s="501"/>
      <c r="S41" s="503"/>
      <c r="T41" s="50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1"/>
      <c r="M42" s="502"/>
      <c r="N42" s="346" t="str">
        <f t="shared" si="0"/>
        <v/>
      </c>
      <c r="O42" s="501"/>
      <c r="P42" s="502"/>
      <c r="Q42" s="346" t="str">
        <f t="shared" si="1"/>
        <v/>
      </c>
      <c r="R42" s="501"/>
      <c r="S42" s="503"/>
      <c r="T42" s="50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1"/>
      <c r="M43" s="502"/>
      <c r="N43" s="346" t="str">
        <f t="shared" si="0"/>
        <v/>
      </c>
      <c r="O43" s="501"/>
      <c r="P43" s="502"/>
      <c r="Q43" s="346" t="str">
        <f t="shared" si="1"/>
        <v/>
      </c>
      <c r="R43" s="501"/>
      <c r="S43" s="503"/>
      <c r="T43" s="50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1"/>
      <c r="M44" s="502"/>
      <c r="N44" s="346" t="str">
        <f t="shared" si="0"/>
        <v/>
      </c>
      <c r="O44" s="501"/>
      <c r="P44" s="502"/>
      <c r="Q44" s="346" t="str">
        <f t="shared" si="1"/>
        <v/>
      </c>
      <c r="R44" s="501"/>
      <c r="S44" s="503"/>
      <c r="T44" s="50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1"/>
      <c r="M45" s="502"/>
      <c r="N45" s="346" t="str">
        <f t="shared" si="0"/>
        <v/>
      </c>
      <c r="O45" s="501"/>
      <c r="P45" s="502"/>
      <c r="Q45" s="346" t="str">
        <f t="shared" si="1"/>
        <v/>
      </c>
      <c r="R45" s="501"/>
      <c r="S45" s="503"/>
      <c r="T45" s="50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1"/>
      <c r="M46" s="502"/>
      <c r="N46" s="346" t="str">
        <f t="shared" si="0"/>
        <v/>
      </c>
      <c r="O46" s="501"/>
      <c r="P46" s="502"/>
      <c r="Q46" s="346" t="str">
        <f t="shared" si="1"/>
        <v/>
      </c>
      <c r="R46" s="501"/>
      <c r="S46" s="503"/>
      <c r="T46" s="50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1"/>
      <c r="M47" s="502"/>
      <c r="N47" s="346" t="str">
        <f t="shared" si="0"/>
        <v/>
      </c>
      <c r="O47" s="501"/>
      <c r="P47" s="502"/>
      <c r="Q47" s="346" t="str">
        <f t="shared" si="1"/>
        <v/>
      </c>
      <c r="R47" s="501"/>
      <c r="S47" s="503"/>
      <c r="T47" s="50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1"/>
      <c r="M48" s="502"/>
      <c r="N48" s="346" t="str">
        <f t="shared" si="0"/>
        <v/>
      </c>
      <c r="O48" s="501"/>
      <c r="P48" s="502"/>
      <c r="Q48" s="346" t="str">
        <f t="shared" si="1"/>
        <v/>
      </c>
      <c r="R48" s="501"/>
      <c r="S48" s="503"/>
      <c r="T48" s="50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1"/>
      <c r="M49" s="502"/>
      <c r="N49" s="346" t="str">
        <f t="shared" si="0"/>
        <v/>
      </c>
      <c r="O49" s="501"/>
      <c r="P49" s="502"/>
      <c r="Q49" s="346" t="str">
        <f t="shared" si="1"/>
        <v/>
      </c>
      <c r="R49" s="501"/>
      <c r="S49" s="503"/>
      <c r="T49" s="50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1"/>
      <c r="M50" s="502"/>
      <c r="N50" s="346" t="str">
        <f t="shared" si="0"/>
        <v/>
      </c>
      <c r="O50" s="501"/>
      <c r="P50" s="502"/>
      <c r="Q50" s="346" t="str">
        <f t="shared" si="1"/>
        <v/>
      </c>
      <c r="R50" s="501"/>
      <c r="S50" s="503"/>
      <c r="T50" s="50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4"/>
      <c r="M51" s="505"/>
      <c r="N51" s="346" t="str">
        <f>IF(AND(L51&lt;&gt;"",M51&lt;&gt;""),CONCATENATE($AC$12,L51,M51),"")</f>
        <v/>
      </c>
      <c r="O51" s="504"/>
      <c r="P51" s="505"/>
      <c r="Q51" s="346" t="str">
        <f>IF(AND(O51&lt;&gt;"",P51&lt;&gt;""),CONCATENATE($AC$15,O51,P51),"")</f>
        <v/>
      </c>
      <c r="R51" s="504"/>
      <c r="S51" s="506"/>
      <c r="T51" s="505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4" zoomScale="85" zoomScaleNormal="85" workbookViewId="0">
      <selection activeCell="G28" sqref="G2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0" t="s">
        <v>38</v>
      </c>
      <c r="D2" s="430"/>
      <c r="E2" s="430"/>
      <c r="F2" s="430"/>
      <c r="G2" s="430"/>
      <c r="H2" s="430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2" t="s">
        <v>39</v>
      </c>
      <c r="D3" s="522"/>
      <c r="E3" s="522"/>
      <c r="F3" s="522"/>
      <c r="G3" s="522"/>
      <c r="H3" s="52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512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0" t="s">
        <v>90</v>
      </c>
      <c r="E7" s="430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4"/>
      <c r="E8" s="524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6"/>
      <c r="E9" s="516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6"/>
      <c r="E10" s="516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6"/>
      <c r="E11" s="516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0"/>
      <c r="E12" s="51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6"/>
      <c r="E13" s="516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6"/>
      <c r="E14" s="516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6"/>
      <c r="E15" s="516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0"/>
      <c r="E16" s="51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7"/>
      <c r="E17" s="517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512</v>
      </c>
      <c r="M17" s="103">
        <f ca="1">L17*Acomp_PosProducao_Perc</f>
        <v>10.24</v>
      </c>
      <c r="N17" s="103">
        <f ca="1">MIN(M17,Acomp_PosProducao_Max)</f>
        <v>10.24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0"/>
      <c r="E18" s="51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1"/>
      <c r="E19" s="512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0"/>
      <c r="E20" s="51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1"/>
      <c r="E21" s="512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0"/>
      <c r="E22" s="51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1"/>
      <c r="E23" s="512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9" t="s">
        <v>432</v>
      </c>
      <c r="D24" s="519"/>
      <c r="E24" s="519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43" t="s">
        <v>409</v>
      </c>
      <c r="D26" s="523"/>
      <c r="E26" s="444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38.25" x14ac:dyDescent="0.2">
      <c r="A27" s="107"/>
      <c r="B27" s="108"/>
      <c r="C27" s="513" t="s">
        <v>212</v>
      </c>
      <c r="D27" s="514"/>
      <c r="E27" s="515"/>
      <c r="F27" s="351"/>
      <c r="G27" s="351">
        <v>512</v>
      </c>
      <c r="H27" s="428" t="s">
        <v>496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3"/>
      <c r="D28" s="514"/>
      <c r="E28" s="515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3"/>
      <c r="D29" s="514"/>
      <c r="E29" s="515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3"/>
      <c r="D30" s="514"/>
      <c r="E30" s="515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3"/>
      <c r="D31" s="514"/>
      <c r="E31" s="515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3"/>
      <c r="D32" s="514"/>
      <c r="E32" s="515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3"/>
      <c r="D33" s="514"/>
      <c r="E33" s="515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3"/>
      <c r="D34" s="514"/>
      <c r="E34" s="515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3"/>
      <c r="D35" s="514"/>
      <c r="E35" s="515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3"/>
      <c r="D36" s="514"/>
      <c r="E36" s="515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3"/>
      <c r="D37" s="514"/>
      <c r="E37" s="515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3"/>
      <c r="D38" s="514"/>
      <c r="E38" s="515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3"/>
      <c r="D39" s="514"/>
      <c r="E39" s="515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3"/>
      <c r="D40" s="514"/>
      <c r="E40" s="515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3"/>
      <c r="D41" s="514"/>
      <c r="E41" s="515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3"/>
      <c r="D42" s="514"/>
      <c r="E42" s="515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19" t="s">
        <v>41</v>
      </c>
      <c r="D43" s="519"/>
      <c r="E43" s="519"/>
      <c r="F43" s="221">
        <f>SUM(F27:F42)</f>
        <v>0</v>
      </c>
      <c r="G43" s="221">
        <f>SUM(G27:G42)</f>
        <v>512</v>
      </c>
      <c r="H43" s="137"/>
      <c r="I43" s="34"/>
      <c r="J43" s="88"/>
      <c r="K43" s="88"/>
      <c r="L43" s="102">
        <f>MAX(F43:G43)</f>
        <v>512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3" t="s">
        <v>62</v>
      </c>
      <c r="E55" s="444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8"/>
      <c r="E56" s="518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20"/>
      <c r="E57" s="52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0" t="s">
        <v>69</v>
      </c>
      <c r="E60" s="430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8"/>
      <c r="E61" s="518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20"/>
      <c r="E62" s="52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cZg/nP+bKdG5cvUpwVGl0R3g14RLQLxSuIn2C/nZWHZfNdcjpIboBw3qWSxBWRaAx0mw1m/etcmFL9S84pACWg==" saltValue="7oI7uiOPNcOKezz8EVk2NQ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16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0" t="s">
        <v>26</v>
      </c>
      <c r="C2" s="430"/>
      <c r="D2" s="430"/>
      <c r="E2" s="430"/>
      <c r="F2" s="430"/>
      <c r="G2" s="430"/>
      <c r="H2" s="430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/nkBPr2dSYMkzFId+DNxzHtI2wlZyo2m9FvDic4cG0yR9mlIkl6UNpjvbkcnmsiizEwGLbE2jCN9m+9nTGm92g==" saltValue="SdHjDlyYlftF0NP8HnLFNg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0" t="s">
        <v>23</v>
      </c>
      <c r="C2" s="430"/>
      <c r="D2" s="430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0" t="s">
        <v>22</v>
      </c>
      <c r="C2" s="430"/>
      <c r="D2" s="430"/>
      <c r="E2" s="430"/>
      <c r="F2" s="430"/>
      <c r="G2" s="430"/>
      <c r="H2" s="430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Lima, Felipe A.</cp:lastModifiedBy>
  <dcterms:created xsi:type="dcterms:W3CDTF">2006-09-25T12:47:36Z</dcterms:created>
  <dcterms:modified xsi:type="dcterms:W3CDTF">2017-10-19T19:38:46Z</dcterms:modified>
</cp:coreProperties>
</file>