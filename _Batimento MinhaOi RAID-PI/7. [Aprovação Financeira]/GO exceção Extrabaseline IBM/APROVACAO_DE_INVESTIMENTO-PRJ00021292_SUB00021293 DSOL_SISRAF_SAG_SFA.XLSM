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5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E:\work\Carteira de Projetos 2017\_Batimento MinhaOi RAID-PI\7. [Aprovação Financeira]\GO exceção Extrabaseline IBM\"/>
    </mc:Choice>
  </mc:AlternateContent>
  <bookViews>
    <workbookView xWindow="255" yWindow="4170" windowWidth="14685" windowHeight="3180" tabRatio="772" activeTab="3"/>
  </bookViews>
  <sheets>
    <sheet name="INSTRUÇÕES" sheetId="2" r:id="rId1"/>
    <sheet name="Defesa" sheetId="3" r:id="rId2"/>
    <sheet name="Propostas" sheetId="10" r:id="rId3"/>
    <sheet name="Projeto" sheetId="31" r:id="rId4"/>
    <sheet name="FICHA" sheetId="27" state="hidden" r:id="rId5"/>
    <sheet name="CONTRATOS" sheetId="29" state="hidden" r:id="rId6"/>
    <sheet name="SISTEMA" sheetId="26" state="hidden" r:id="rId7"/>
    <sheet name="TABELAS" sheetId="5" state="hidden" r:id="rId8"/>
    <sheet name="VW_GO" sheetId="21" state="hidden" r:id="rId9"/>
    <sheet name="VW_RC" sheetId="22" state="hidden" r:id="rId10"/>
    <sheet name="VW_PROJETO" sheetId="28" state="hidden" r:id="rId11"/>
    <sheet name="TB_DEFESA" sheetId="19" state="hidden" r:id="rId12"/>
    <sheet name="TB_PROPOSTA" sheetId="14" state="hidden" r:id="rId13"/>
    <sheet name="TB_MENSALIZACAO" sheetId="15" state="hidden" r:id="rId14"/>
  </sheets>
  <functionGroups builtInGroupCount="18"/>
  <definedNames>
    <definedName name="_xlnm._FilterDatabase" localSheetId="5" hidden="1">CONTRATOS!$B$1:$L$69</definedName>
    <definedName name="_xlnm._FilterDatabase" localSheetId="2" hidden="1">Propostas!$H$7:$AD$7</definedName>
    <definedName name="_xlnm._FilterDatabase" localSheetId="6" hidden="1">SISTEMA!$A$1:$B$492</definedName>
    <definedName name="_xlnm._FilterDatabase" localSheetId="7" hidden="1">TABELAS!$M$1:$O$24</definedName>
    <definedName name="_xlnm.Print_Area" localSheetId="1">Defesa!$E$2:$O$30</definedName>
    <definedName name="_xlnm.Print_Area" localSheetId="4">FICHA!$A$1:$AF$143</definedName>
    <definedName name="_xlnm.Print_Area" localSheetId="0">INSTRUÇÕES!$A$1:$F$42</definedName>
    <definedName name="_xlnm.Print_Area" localSheetId="3">Projeto!$A$1:$AF$143</definedName>
  </definedNames>
  <calcPr calcId="152511"/>
</workbook>
</file>

<file path=xl/calcChain.xml><?xml version="1.0" encoding="utf-8"?>
<calcChain xmlns="http://schemas.openxmlformats.org/spreadsheetml/2006/main">
  <c r="AA17" i="10" l="1"/>
  <c r="AD17" i="10" s="1"/>
  <c r="AA14" i="10"/>
  <c r="AA11" i="10"/>
  <c r="AA8" i="10"/>
  <c r="R31" i="27" l="1"/>
  <c r="T31" i="27" s="1"/>
  <c r="J503" i="14" l="1"/>
  <c r="J502" i="14"/>
  <c r="J501" i="14"/>
  <c r="J500" i="14"/>
  <c r="J499" i="14"/>
  <c r="J498" i="14"/>
  <c r="J497" i="14"/>
  <c r="J496" i="14"/>
  <c r="J495" i="14"/>
  <c r="J494" i="14"/>
  <c r="J493" i="14"/>
  <c r="J492" i="14"/>
  <c r="J491" i="14"/>
  <c r="J490" i="14"/>
  <c r="J489" i="14"/>
  <c r="J488" i="14"/>
  <c r="J487" i="14"/>
  <c r="J486" i="14"/>
  <c r="J485" i="14"/>
  <c r="J484" i="14"/>
  <c r="J483" i="14"/>
  <c r="J482" i="14"/>
  <c r="J481" i="14"/>
  <c r="J480" i="14"/>
  <c r="J479" i="14"/>
  <c r="J478" i="14"/>
  <c r="J477" i="14"/>
  <c r="J476" i="14"/>
  <c r="J475" i="14"/>
  <c r="J474" i="14"/>
  <c r="J473" i="14"/>
  <c r="J472" i="14"/>
  <c r="J471" i="14"/>
  <c r="J470" i="14"/>
  <c r="J469" i="14"/>
  <c r="J468" i="14"/>
  <c r="J467" i="14"/>
  <c r="J466" i="14"/>
  <c r="J465" i="14"/>
  <c r="J464" i="14"/>
  <c r="J463" i="14"/>
  <c r="J462" i="14"/>
  <c r="J461" i="14"/>
  <c r="J460" i="14"/>
  <c r="J459" i="14"/>
  <c r="J458" i="14"/>
  <c r="J457" i="14"/>
  <c r="J456" i="14"/>
  <c r="J455" i="14"/>
  <c r="J454" i="14"/>
  <c r="J453" i="14"/>
  <c r="J452" i="14"/>
  <c r="J451" i="14"/>
  <c r="J450" i="14"/>
  <c r="J449" i="14"/>
  <c r="J448" i="14"/>
  <c r="J447" i="14"/>
  <c r="J446" i="14"/>
  <c r="J445" i="14"/>
  <c r="J444" i="14"/>
  <c r="J443" i="14"/>
  <c r="J442" i="14"/>
  <c r="J441" i="14"/>
  <c r="J440" i="14"/>
  <c r="J439" i="14"/>
  <c r="J438" i="14"/>
  <c r="J437" i="14"/>
  <c r="J436" i="14"/>
  <c r="J435" i="14"/>
  <c r="J434" i="14"/>
  <c r="J433" i="14"/>
  <c r="J432" i="14"/>
  <c r="J431" i="14"/>
  <c r="J430" i="14"/>
  <c r="J429" i="14"/>
  <c r="J428" i="14"/>
  <c r="J427" i="14"/>
  <c r="J426" i="14"/>
  <c r="J425" i="14"/>
  <c r="J424" i="14"/>
  <c r="J423" i="14"/>
  <c r="J422" i="14"/>
  <c r="J421" i="14"/>
  <c r="J420" i="14"/>
  <c r="J419" i="14"/>
  <c r="J418" i="14"/>
  <c r="J417" i="14"/>
  <c r="J416" i="14"/>
  <c r="J415" i="14"/>
  <c r="J414" i="14"/>
  <c r="J413" i="14"/>
  <c r="J412" i="14"/>
  <c r="J411" i="14"/>
  <c r="J410" i="14"/>
  <c r="J409" i="14"/>
  <c r="J408" i="14"/>
  <c r="J407" i="14"/>
  <c r="J406" i="14"/>
  <c r="J405" i="14"/>
  <c r="J404" i="14"/>
  <c r="J403" i="14"/>
  <c r="J402" i="14"/>
  <c r="J401" i="14"/>
  <c r="J400" i="14"/>
  <c r="J399" i="14"/>
  <c r="J398" i="14"/>
  <c r="J397" i="14"/>
  <c r="J396" i="14"/>
  <c r="J395" i="14"/>
  <c r="J394" i="14"/>
  <c r="J393" i="14"/>
  <c r="J392" i="14"/>
  <c r="J391" i="14"/>
  <c r="J390" i="14"/>
  <c r="J389" i="14"/>
  <c r="J388" i="14"/>
  <c r="J387" i="14"/>
  <c r="J386" i="14"/>
  <c r="J385" i="14"/>
  <c r="J384" i="14"/>
  <c r="J383" i="14"/>
  <c r="J382" i="14"/>
  <c r="J381" i="14"/>
  <c r="J380" i="14"/>
  <c r="J379" i="14"/>
  <c r="J378" i="14"/>
  <c r="J377" i="14"/>
  <c r="J376" i="14"/>
  <c r="J375" i="14"/>
  <c r="J374" i="14"/>
  <c r="J373" i="14"/>
  <c r="J372" i="14"/>
  <c r="J371" i="14"/>
  <c r="J370" i="14"/>
  <c r="J369" i="14"/>
  <c r="J368" i="14"/>
  <c r="J367" i="14"/>
  <c r="J366" i="14"/>
  <c r="J365" i="14"/>
  <c r="J364" i="14"/>
  <c r="J363" i="14"/>
  <c r="J362" i="14"/>
  <c r="J361" i="14"/>
  <c r="J360" i="14"/>
  <c r="J359" i="14"/>
  <c r="J358" i="14"/>
  <c r="J357" i="14"/>
  <c r="J356" i="14"/>
  <c r="J355" i="14"/>
  <c r="J354" i="14"/>
  <c r="J353" i="14"/>
  <c r="J352" i="14"/>
  <c r="J351" i="14"/>
  <c r="J350" i="14"/>
  <c r="J349" i="14"/>
  <c r="J348" i="14"/>
  <c r="J347" i="14"/>
  <c r="J346" i="14"/>
  <c r="J345" i="14"/>
  <c r="J344" i="14"/>
  <c r="J343" i="14"/>
  <c r="J342" i="14"/>
  <c r="J341" i="14"/>
  <c r="J340" i="14"/>
  <c r="J339" i="14"/>
  <c r="J338" i="14"/>
  <c r="J337" i="14"/>
  <c r="J336" i="14"/>
  <c r="J335" i="14"/>
  <c r="J334" i="14"/>
  <c r="J333" i="14"/>
  <c r="J332" i="14"/>
  <c r="J331" i="14"/>
  <c r="J330" i="14"/>
  <c r="J329" i="14"/>
  <c r="J328" i="14"/>
  <c r="J327" i="14"/>
  <c r="J326" i="14"/>
  <c r="J325" i="14"/>
  <c r="J324" i="14"/>
  <c r="J323" i="14"/>
  <c r="J322" i="14"/>
  <c r="J321" i="14"/>
  <c r="J320" i="14"/>
  <c r="J319" i="14"/>
  <c r="J318" i="14"/>
  <c r="J317" i="14"/>
  <c r="J316" i="14"/>
  <c r="J315" i="14"/>
  <c r="J314" i="14"/>
  <c r="J313" i="14"/>
  <c r="J312" i="14"/>
  <c r="J311" i="14"/>
  <c r="J310" i="14"/>
  <c r="J309" i="14"/>
  <c r="J308" i="14"/>
  <c r="J307" i="14"/>
  <c r="J306" i="14"/>
  <c r="J305" i="14"/>
  <c r="J304" i="14"/>
  <c r="J303" i="14"/>
  <c r="J302" i="14"/>
  <c r="J301" i="14"/>
  <c r="J300" i="14"/>
  <c r="J299" i="14"/>
  <c r="J298" i="14"/>
  <c r="J297" i="14"/>
  <c r="J296" i="14"/>
  <c r="J295" i="14"/>
  <c r="J294" i="14"/>
  <c r="J293" i="14"/>
  <c r="J292" i="14"/>
  <c r="J291" i="14"/>
  <c r="J290" i="14"/>
  <c r="J289" i="14"/>
  <c r="J288" i="14"/>
  <c r="J287" i="14"/>
  <c r="J286" i="14"/>
  <c r="J285" i="14"/>
  <c r="J284" i="14"/>
  <c r="J283" i="14"/>
  <c r="J282" i="14"/>
  <c r="J281" i="14"/>
  <c r="J280" i="14"/>
  <c r="J279" i="14"/>
  <c r="J278" i="14"/>
  <c r="J277" i="14"/>
  <c r="J276" i="14"/>
  <c r="J275" i="14"/>
  <c r="J274" i="14"/>
  <c r="J273" i="14"/>
  <c r="J272" i="14"/>
  <c r="J271" i="14"/>
  <c r="J270" i="14"/>
  <c r="J269" i="14"/>
  <c r="J268" i="14"/>
  <c r="J267" i="14"/>
  <c r="J266" i="14"/>
  <c r="J265" i="14"/>
  <c r="J264" i="14"/>
  <c r="J263" i="14"/>
  <c r="J262" i="14"/>
  <c r="J261" i="14"/>
  <c r="J260" i="14"/>
  <c r="J259" i="14"/>
  <c r="J258" i="14"/>
  <c r="J257" i="14"/>
  <c r="J256" i="14"/>
  <c r="J255" i="14"/>
  <c r="J254" i="14"/>
  <c r="J253" i="14"/>
  <c r="J252" i="14"/>
  <c r="J251" i="14"/>
  <c r="J250" i="14"/>
  <c r="J249" i="14"/>
  <c r="J248" i="14"/>
  <c r="J247" i="14"/>
  <c r="J246" i="14"/>
  <c r="J245" i="14"/>
  <c r="J244" i="14"/>
  <c r="J243" i="14"/>
  <c r="J242" i="14"/>
  <c r="J241" i="14"/>
  <c r="J240" i="14"/>
  <c r="J239" i="14"/>
  <c r="J238" i="14"/>
  <c r="J237" i="14"/>
  <c r="J236" i="14"/>
  <c r="J235" i="14"/>
  <c r="J234" i="14"/>
  <c r="J233" i="14"/>
  <c r="J232" i="14"/>
  <c r="J231" i="14"/>
  <c r="J230" i="14"/>
  <c r="J229" i="14"/>
  <c r="J228" i="14"/>
  <c r="J227" i="14"/>
  <c r="J226" i="14"/>
  <c r="J225" i="14"/>
  <c r="J224" i="14"/>
  <c r="J223" i="14"/>
  <c r="J222" i="14"/>
  <c r="J221" i="14"/>
  <c r="J220" i="14"/>
  <c r="J219" i="14"/>
  <c r="J218" i="14"/>
  <c r="J217" i="14"/>
  <c r="J216" i="14"/>
  <c r="J215" i="14"/>
  <c r="J214" i="14"/>
  <c r="J213" i="14"/>
  <c r="J212" i="14"/>
  <c r="J211" i="14"/>
  <c r="J210" i="14"/>
  <c r="J209" i="14"/>
  <c r="J208" i="14"/>
  <c r="J207" i="14"/>
  <c r="J206" i="14"/>
  <c r="J205" i="14"/>
  <c r="J204" i="14"/>
  <c r="J203" i="14"/>
  <c r="J202" i="14"/>
  <c r="J201" i="14"/>
  <c r="J200" i="14"/>
  <c r="J199" i="14"/>
  <c r="J198" i="14"/>
  <c r="J197" i="14"/>
  <c r="J196" i="14"/>
  <c r="J195" i="14"/>
  <c r="J194" i="14"/>
  <c r="J193" i="14"/>
  <c r="J192" i="14"/>
  <c r="J191" i="14"/>
  <c r="J190" i="14"/>
  <c r="J189" i="14"/>
  <c r="J188" i="14"/>
  <c r="J187" i="14"/>
  <c r="J186" i="14"/>
  <c r="J185" i="14"/>
  <c r="J184" i="14"/>
  <c r="J183" i="14"/>
  <c r="J182" i="14"/>
  <c r="J181" i="14"/>
  <c r="J180" i="14"/>
  <c r="J179" i="14"/>
  <c r="J178" i="14"/>
  <c r="J177" i="14"/>
  <c r="J176" i="14"/>
  <c r="J175" i="14"/>
  <c r="J174" i="14"/>
  <c r="J173" i="14"/>
  <c r="J172" i="14"/>
  <c r="J171" i="14"/>
  <c r="J170" i="14"/>
  <c r="J169" i="14"/>
  <c r="J168" i="14"/>
  <c r="J167" i="14"/>
  <c r="J166" i="14"/>
  <c r="J165" i="14"/>
  <c r="J164" i="14"/>
  <c r="J163" i="14"/>
  <c r="J162" i="14"/>
  <c r="J161" i="14"/>
  <c r="J160" i="14"/>
  <c r="J159" i="14"/>
  <c r="J158" i="14"/>
  <c r="J157" i="14"/>
  <c r="J156" i="14"/>
  <c r="J155" i="14"/>
  <c r="J154" i="14"/>
  <c r="J153" i="14"/>
  <c r="J152" i="14"/>
  <c r="J151" i="14"/>
  <c r="J150" i="14"/>
  <c r="J149" i="14"/>
  <c r="J148" i="14"/>
  <c r="J147" i="14"/>
  <c r="J146" i="14"/>
  <c r="J145" i="14"/>
  <c r="J144" i="14"/>
  <c r="J143" i="14"/>
  <c r="J142" i="14"/>
  <c r="J141" i="14"/>
  <c r="J140" i="14"/>
  <c r="J139" i="14"/>
  <c r="J138" i="14"/>
  <c r="J137" i="14"/>
  <c r="J136" i="14"/>
  <c r="J135" i="14"/>
  <c r="J134" i="14"/>
  <c r="J133" i="14"/>
  <c r="J132" i="14"/>
  <c r="J131" i="14"/>
  <c r="J130" i="14"/>
  <c r="J129" i="14"/>
  <c r="J128" i="14"/>
  <c r="J127" i="14"/>
  <c r="J126" i="14"/>
  <c r="J125" i="14"/>
  <c r="J124" i="14"/>
  <c r="J123" i="14"/>
  <c r="J122" i="14"/>
  <c r="J121" i="14"/>
  <c r="J120" i="14"/>
  <c r="J119" i="14"/>
  <c r="J118" i="14"/>
  <c r="J117" i="14"/>
  <c r="J116" i="14"/>
  <c r="J115" i="14"/>
  <c r="J114" i="14"/>
  <c r="J113" i="14"/>
  <c r="J112" i="14"/>
  <c r="J111" i="14"/>
  <c r="J110" i="14"/>
  <c r="J109" i="14"/>
  <c r="J108" i="14"/>
  <c r="J107" i="14"/>
  <c r="J106" i="14"/>
  <c r="J105" i="14"/>
  <c r="J104" i="14"/>
  <c r="J103" i="14"/>
  <c r="J102" i="14"/>
  <c r="J101" i="14"/>
  <c r="J100" i="14"/>
  <c r="J99" i="14"/>
  <c r="J98" i="14"/>
  <c r="J97" i="14"/>
  <c r="J96" i="14"/>
  <c r="J95" i="14"/>
  <c r="J94" i="14"/>
  <c r="J93" i="14"/>
  <c r="J92" i="14"/>
  <c r="J91" i="14"/>
  <c r="J90" i="14"/>
  <c r="J89" i="14"/>
  <c r="J88" i="14"/>
  <c r="J87" i="14"/>
  <c r="J86" i="14"/>
  <c r="J85" i="14"/>
  <c r="J84" i="14"/>
  <c r="J83" i="14"/>
  <c r="J82" i="14"/>
  <c r="J81" i="14"/>
  <c r="J80" i="14"/>
  <c r="J79" i="14"/>
  <c r="J78" i="14"/>
  <c r="J77" i="14"/>
  <c r="J76" i="14"/>
  <c r="J75" i="14"/>
  <c r="J74" i="14"/>
  <c r="J73" i="14"/>
  <c r="J72" i="14"/>
  <c r="J71" i="14"/>
  <c r="J70" i="14"/>
  <c r="J69" i="14"/>
  <c r="J68" i="14"/>
  <c r="J67" i="14"/>
  <c r="J66" i="14"/>
  <c r="J65" i="14"/>
  <c r="J64" i="14"/>
  <c r="J63" i="14"/>
  <c r="J62" i="14"/>
  <c r="J61" i="14"/>
  <c r="J60" i="14"/>
  <c r="J59" i="14"/>
  <c r="J58" i="14"/>
  <c r="J57" i="14"/>
  <c r="J56" i="14"/>
  <c r="J55" i="14"/>
  <c r="J54" i="14"/>
  <c r="J53" i="14"/>
  <c r="J52" i="14"/>
  <c r="J51" i="14"/>
  <c r="J50" i="14"/>
  <c r="J49" i="14"/>
  <c r="J48" i="14"/>
  <c r="J47" i="14"/>
  <c r="J46" i="14"/>
  <c r="J45" i="14"/>
  <c r="J44" i="14"/>
  <c r="J43" i="14"/>
  <c r="J42" i="14"/>
  <c r="J41" i="14"/>
  <c r="J40" i="14"/>
  <c r="J39" i="14"/>
  <c r="J38" i="14"/>
  <c r="J37" i="14"/>
  <c r="J36" i="14"/>
  <c r="J35" i="14"/>
  <c r="J34" i="14"/>
  <c r="J33" i="14"/>
  <c r="J32" i="14"/>
  <c r="J31" i="14"/>
  <c r="J30" i="14"/>
  <c r="J29" i="14"/>
  <c r="J28" i="14"/>
  <c r="J27" i="14"/>
  <c r="J26" i="14"/>
  <c r="J25" i="14"/>
  <c r="J24" i="14"/>
  <c r="J23" i="14"/>
  <c r="J22" i="14"/>
  <c r="J21" i="14"/>
  <c r="J20" i="14"/>
  <c r="J19" i="14"/>
  <c r="J18" i="14"/>
  <c r="J17" i="14"/>
  <c r="J16" i="14"/>
  <c r="J15" i="14"/>
  <c r="J14" i="14"/>
  <c r="J13" i="14"/>
  <c r="J12" i="14"/>
  <c r="J11" i="14"/>
  <c r="J10" i="14"/>
  <c r="J9" i="14"/>
  <c r="J8" i="14"/>
  <c r="J7" i="14"/>
  <c r="J6" i="14"/>
  <c r="U507" i="10" l="1"/>
  <c r="U506" i="10"/>
  <c r="U505" i="10"/>
  <c r="U504" i="10"/>
  <c r="U503" i="10"/>
  <c r="U502" i="10"/>
  <c r="U501" i="10"/>
  <c r="U500" i="10"/>
  <c r="U499" i="10"/>
  <c r="U498" i="10"/>
  <c r="U497" i="10"/>
  <c r="U496" i="10"/>
  <c r="U495" i="10"/>
  <c r="U494" i="10"/>
  <c r="U493" i="10"/>
  <c r="U492" i="10"/>
  <c r="U491" i="10"/>
  <c r="U490" i="10"/>
  <c r="U489" i="10"/>
  <c r="U488" i="10"/>
  <c r="U487" i="10"/>
  <c r="U486" i="10"/>
  <c r="U485" i="10"/>
  <c r="U484" i="10"/>
  <c r="U483" i="10"/>
  <c r="U482" i="10"/>
  <c r="U481" i="10"/>
  <c r="U480" i="10"/>
  <c r="U479" i="10"/>
  <c r="U478" i="10"/>
  <c r="U477" i="10"/>
  <c r="U476" i="10"/>
  <c r="U475" i="10"/>
  <c r="U474" i="10"/>
  <c r="U473" i="10"/>
  <c r="U472" i="10"/>
  <c r="U471" i="10"/>
  <c r="U470" i="10"/>
  <c r="U469" i="10"/>
  <c r="U468" i="10"/>
  <c r="U467" i="10"/>
  <c r="U466" i="10"/>
  <c r="U465" i="10"/>
  <c r="U464" i="10"/>
  <c r="U463" i="10"/>
  <c r="U462" i="10"/>
  <c r="U461" i="10"/>
  <c r="U460" i="10"/>
  <c r="U459" i="10"/>
  <c r="U458" i="10"/>
  <c r="U457" i="10"/>
  <c r="U456" i="10"/>
  <c r="U455" i="10"/>
  <c r="U454" i="10"/>
  <c r="U453" i="10"/>
  <c r="U452" i="10"/>
  <c r="U451" i="10"/>
  <c r="U450" i="10"/>
  <c r="U449" i="10"/>
  <c r="U448" i="10"/>
  <c r="U447" i="10"/>
  <c r="U446" i="10"/>
  <c r="U445" i="10"/>
  <c r="U444" i="10"/>
  <c r="U443" i="10"/>
  <c r="U442" i="10"/>
  <c r="U441" i="10"/>
  <c r="U440" i="10"/>
  <c r="U439" i="10"/>
  <c r="U438" i="10"/>
  <c r="U437" i="10"/>
  <c r="U436" i="10"/>
  <c r="U435" i="10"/>
  <c r="U434" i="10"/>
  <c r="U433" i="10"/>
  <c r="U432" i="10"/>
  <c r="U431" i="10"/>
  <c r="U430" i="10"/>
  <c r="U429" i="10"/>
  <c r="U428" i="10"/>
  <c r="U427" i="10"/>
  <c r="U426" i="10"/>
  <c r="U425" i="10"/>
  <c r="U424" i="10"/>
  <c r="U423" i="10"/>
  <c r="U422" i="10"/>
  <c r="U421" i="10"/>
  <c r="U420" i="10"/>
  <c r="U419" i="10"/>
  <c r="U418" i="10"/>
  <c r="U417" i="10"/>
  <c r="U416" i="10"/>
  <c r="U415" i="10"/>
  <c r="U414" i="10"/>
  <c r="U413" i="10"/>
  <c r="U412" i="10"/>
  <c r="U411" i="10"/>
  <c r="U410" i="10"/>
  <c r="U409" i="10"/>
  <c r="U408" i="10"/>
  <c r="U407" i="10"/>
  <c r="U406" i="10"/>
  <c r="U405" i="10"/>
  <c r="U404" i="10"/>
  <c r="U403" i="10"/>
  <c r="U402" i="10"/>
  <c r="U401" i="10"/>
  <c r="U400" i="10"/>
  <c r="U399" i="10"/>
  <c r="U398" i="10"/>
  <c r="U397" i="10"/>
  <c r="U396" i="10"/>
  <c r="U395" i="10"/>
  <c r="U394" i="10"/>
  <c r="U393" i="10"/>
  <c r="U392" i="10"/>
  <c r="U391" i="10"/>
  <c r="U390" i="10"/>
  <c r="U389" i="10"/>
  <c r="U388" i="10"/>
  <c r="U387" i="10"/>
  <c r="U386" i="10"/>
  <c r="U385" i="10"/>
  <c r="U384" i="10"/>
  <c r="U383" i="10"/>
  <c r="U382" i="10"/>
  <c r="U381" i="10"/>
  <c r="U380" i="10"/>
  <c r="U379" i="10"/>
  <c r="U378" i="10"/>
  <c r="U377" i="10"/>
  <c r="U376" i="10"/>
  <c r="U375" i="10"/>
  <c r="U374" i="10"/>
  <c r="U373" i="10"/>
  <c r="U372" i="10"/>
  <c r="U371" i="10"/>
  <c r="U370" i="10"/>
  <c r="U369" i="10"/>
  <c r="U368" i="10"/>
  <c r="U367" i="10"/>
  <c r="U366" i="10"/>
  <c r="U365" i="10"/>
  <c r="U364" i="10"/>
  <c r="U363" i="10"/>
  <c r="U362" i="10"/>
  <c r="U361" i="10"/>
  <c r="U360" i="10"/>
  <c r="U359" i="10"/>
  <c r="U358" i="10"/>
  <c r="U357" i="10"/>
  <c r="U356" i="10"/>
  <c r="U355" i="10"/>
  <c r="U354" i="10"/>
  <c r="U353" i="10"/>
  <c r="U352" i="10"/>
  <c r="U351" i="10"/>
  <c r="U350" i="10"/>
  <c r="U349" i="10"/>
  <c r="U348" i="10"/>
  <c r="U347" i="10"/>
  <c r="U346" i="10"/>
  <c r="U345" i="10"/>
  <c r="U344" i="10"/>
  <c r="U343" i="10"/>
  <c r="U342" i="10"/>
  <c r="U341" i="10"/>
  <c r="U340" i="10"/>
  <c r="U339" i="10"/>
  <c r="U338" i="10"/>
  <c r="U337" i="10"/>
  <c r="U336" i="10"/>
  <c r="U335" i="10"/>
  <c r="U334" i="10"/>
  <c r="U333" i="10"/>
  <c r="U332" i="10"/>
  <c r="U331" i="10"/>
  <c r="U330" i="10"/>
  <c r="U329" i="10"/>
  <c r="U328" i="10"/>
  <c r="U327" i="10"/>
  <c r="U326" i="10"/>
  <c r="U325" i="10"/>
  <c r="U324" i="10"/>
  <c r="U323" i="10"/>
  <c r="U322" i="10"/>
  <c r="U321" i="10"/>
  <c r="U320" i="10"/>
  <c r="U319" i="10"/>
  <c r="U318" i="10"/>
  <c r="U317" i="10"/>
  <c r="U316" i="10"/>
  <c r="U315" i="10"/>
  <c r="U314" i="10"/>
  <c r="U313" i="10"/>
  <c r="U312" i="10"/>
  <c r="U311" i="10"/>
  <c r="U310" i="10"/>
  <c r="U309" i="10"/>
  <c r="U308" i="10"/>
  <c r="U307" i="10"/>
  <c r="U306" i="10"/>
  <c r="U305" i="10"/>
  <c r="U304" i="10"/>
  <c r="U303" i="10"/>
  <c r="U302" i="10"/>
  <c r="U301" i="10"/>
  <c r="U300" i="10"/>
  <c r="U299" i="10"/>
  <c r="U298" i="10"/>
  <c r="U297" i="10"/>
  <c r="U296" i="10"/>
  <c r="U295" i="10"/>
  <c r="U294" i="10"/>
  <c r="U293" i="10"/>
  <c r="U292" i="10"/>
  <c r="U291" i="10"/>
  <c r="U290" i="10"/>
  <c r="U289" i="10"/>
  <c r="U288" i="10"/>
  <c r="U287" i="10"/>
  <c r="U286" i="10"/>
  <c r="U285" i="10"/>
  <c r="U284" i="10"/>
  <c r="U283" i="10"/>
  <c r="U282" i="10"/>
  <c r="U281" i="10"/>
  <c r="U280" i="10"/>
  <c r="U279" i="10"/>
  <c r="U278" i="10"/>
  <c r="U277" i="10"/>
  <c r="U276" i="10"/>
  <c r="U275" i="10"/>
  <c r="U274" i="10"/>
  <c r="U273" i="10"/>
  <c r="U272" i="10"/>
  <c r="U271" i="10"/>
  <c r="U270" i="10"/>
  <c r="U269" i="10"/>
  <c r="U268" i="10"/>
  <c r="U267" i="10"/>
  <c r="U266" i="10"/>
  <c r="U265" i="10"/>
  <c r="U264" i="10"/>
  <c r="U263" i="10"/>
  <c r="U262" i="10"/>
  <c r="U261" i="10"/>
  <c r="U260" i="10"/>
  <c r="U259" i="10"/>
  <c r="U258" i="10"/>
  <c r="U257" i="10"/>
  <c r="U256" i="10"/>
  <c r="U255" i="10"/>
  <c r="U254" i="10"/>
  <c r="U253" i="10"/>
  <c r="U252" i="10"/>
  <c r="U251" i="10"/>
  <c r="U250" i="10"/>
  <c r="U249" i="10"/>
  <c r="U248" i="10"/>
  <c r="U247" i="10"/>
  <c r="U246" i="10"/>
  <c r="U245" i="10"/>
  <c r="U244" i="10"/>
  <c r="U243" i="10"/>
  <c r="U242" i="10"/>
  <c r="U241" i="10"/>
  <c r="U240" i="10"/>
  <c r="U239" i="10"/>
  <c r="U238" i="10"/>
  <c r="U237" i="10"/>
  <c r="U236" i="10"/>
  <c r="U235" i="10"/>
  <c r="U234" i="10"/>
  <c r="U233" i="10"/>
  <c r="U232" i="10"/>
  <c r="U231" i="10"/>
  <c r="U230" i="10"/>
  <c r="U229" i="10"/>
  <c r="U228" i="10"/>
  <c r="U227" i="10"/>
  <c r="U226" i="10"/>
  <c r="U225" i="10"/>
  <c r="U224" i="10"/>
  <c r="U223" i="10"/>
  <c r="U222" i="10"/>
  <c r="U221" i="10"/>
  <c r="U220" i="10"/>
  <c r="U219" i="10"/>
  <c r="U218" i="10"/>
  <c r="U217" i="10"/>
  <c r="U216" i="10"/>
  <c r="U215" i="10"/>
  <c r="U214" i="10"/>
  <c r="U213" i="10"/>
  <c r="U212" i="10"/>
  <c r="U211" i="10"/>
  <c r="U210" i="10"/>
  <c r="U209" i="10"/>
  <c r="U208" i="10"/>
  <c r="U207" i="10"/>
  <c r="U206" i="10"/>
  <c r="U205" i="10"/>
  <c r="U204" i="10"/>
  <c r="U203" i="10"/>
  <c r="U202" i="10"/>
  <c r="U201" i="10"/>
  <c r="U200" i="10"/>
  <c r="U199" i="10"/>
  <c r="U198" i="10"/>
  <c r="U197" i="10"/>
  <c r="U196" i="10"/>
  <c r="U195" i="10"/>
  <c r="U194" i="10"/>
  <c r="U193" i="10"/>
  <c r="U192" i="10"/>
  <c r="U191" i="10"/>
  <c r="U190" i="10"/>
  <c r="U189" i="10"/>
  <c r="U188" i="10"/>
  <c r="U187" i="10"/>
  <c r="U186" i="10"/>
  <c r="U185" i="10"/>
  <c r="U184" i="10"/>
  <c r="U183" i="10"/>
  <c r="U182" i="10"/>
  <c r="U181" i="10"/>
  <c r="U180" i="10"/>
  <c r="U179" i="10"/>
  <c r="U178" i="10"/>
  <c r="U177" i="10"/>
  <c r="U176" i="10"/>
  <c r="U175" i="10"/>
  <c r="U174" i="10"/>
  <c r="U173" i="10"/>
  <c r="U172" i="10"/>
  <c r="U171" i="10"/>
  <c r="U170" i="10"/>
  <c r="U169" i="10"/>
  <c r="U168" i="10"/>
  <c r="U167" i="10"/>
  <c r="U166" i="10"/>
  <c r="U165" i="10"/>
  <c r="U164" i="10"/>
  <c r="U163" i="10"/>
  <c r="U162" i="10"/>
  <c r="U161" i="10"/>
  <c r="U160" i="10"/>
  <c r="U159" i="10"/>
  <c r="U158" i="10"/>
  <c r="U157" i="10"/>
  <c r="U156" i="10"/>
  <c r="U155" i="10"/>
  <c r="U154" i="10"/>
  <c r="U153" i="10"/>
  <c r="U152" i="10"/>
  <c r="U151" i="10"/>
  <c r="U150" i="10"/>
  <c r="U149" i="10"/>
  <c r="U148" i="10"/>
  <c r="U147" i="10"/>
  <c r="U146" i="10"/>
  <c r="U145" i="10"/>
  <c r="U144" i="10"/>
  <c r="U143" i="10"/>
  <c r="U142" i="10"/>
  <c r="U141" i="10"/>
  <c r="U140" i="10"/>
  <c r="U139" i="10"/>
  <c r="U138" i="10"/>
  <c r="U137" i="10"/>
  <c r="U136" i="10"/>
  <c r="U135" i="10"/>
  <c r="U134" i="10"/>
  <c r="U133" i="10"/>
  <c r="U132" i="10"/>
  <c r="U131" i="10"/>
  <c r="U130" i="10"/>
  <c r="U129" i="10"/>
  <c r="U128" i="10"/>
  <c r="U127" i="10"/>
  <c r="U126" i="10"/>
  <c r="U125" i="10"/>
  <c r="U124" i="10"/>
  <c r="U123" i="10"/>
  <c r="U122" i="10"/>
  <c r="U121" i="10"/>
  <c r="U120" i="10"/>
  <c r="U119" i="10"/>
  <c r="U118" i="10"/>
  <c r="U117" i="10"/>
  <c r="U116" i="10"/>
  <c r="U115" i="10"/>
  <c r="U114" i="10"/>
  <c r="U113" i="10"/>
  <c r="U112" i="10"/>
  <c r="U111" i="10"/>
  <c r="U110" i="10"/>
  <c r="U109" i="10"/>
  <c r="U108" i="10"/>
  <c r="U107" i="10"/>
  <c r="U106" i="10"/>
  <c r="U105" i="10"/>
  <c r="U104" i="10"/>
  <c r="U103" i="10"/>
  <c r="U102" i="10"/>
  <c r="U101" i="10"/>
  <c r="U100" i="10"/>
  <c r="U99" i="10"/>
  <c r="U98" i="10"/>
  <c r="U97" i="10"/>
  <c r="U96" i="10"/>
  <c r="U95" i="10"/>
  <c r="U94" i="10"/>
  <c r="U93" i="10"/>
  <c r="U92" i="10"/>
  <c r="U91" i="10"/>
  <c r="U90" i="10"/>
  <c r="U89" i="10"/>
  <c r="U88" i="10"/>
  <c r="U87" i="10"/>
  <c r="U86" i="10"/>
  <c r="U85" i="10"/>
  <c r="U84" i="10"/>
  <c r="U83" i="10"/>
  <c r="U82" i="10"/>
  <c r="U81" i="10"/>
  <c r="U80" i="10"/>
  <c r="U79" i="10"/>
  <c r="U78" i="10"/>
  <c r="U77" i="10"/>
  <c r="U76" i="10"/>
  <c r="U75" i="10"/>
  <c r="U74" i="10"/>
  <c r="U73" i="10"/>
  <c r="U72" i="10"/>
  <c r="U71" i="10"/>
  <c r="U70" i="10"/>
  <c r="U69" i="10"/>
  <c r="U68" i="10"/>
  <c r="U67" i="10"/>
  <c r="U66" i="10"/>
  <c r="U65" i="10"/>
  <c r="U64" i="10"/>
  <c r="U63" i="10"/>
  <c r="U62" i="10"/>
  <c r="U61" i="10"/>
  <c r="U60" i="10"/>
  <c r="U59" i="10"/>
  <c r="U58" i="10"/>
  <c r="U57" i="10"/>
  <c r="U56" i="10"/>
  <c r="U55" i="10"/>
  <c r="U54" i="10"/>
  <c r="U53" i="10"/>
  <c r="U52" i="10"/>
  <c r="U51" i="10"/>
  <c r="U50" i="10"/>
  <c r="U49" i="10"/>
  <c r="U48" i="10"/>
  <c r="U47" i="10"/>
  <c r="U46" i="10"/>
  <c r="U45" i="10"/>
  <c r="U44" i="10"/>
  <c r="U43" i="10"/>
  <c r="U42" i="10"/>
  <c r="U41" i="10"/>
  <c r="U40" i="10"/>
  <c r="U39" i="10"/>
  <c r="U38" i="10"/>
  <c r="U37" i="10"/>
  <c r="U36" i="10"/>
  <c r="U35" i="10"/>
  <c r="U34" i="10"/>
  <c r="U33" i="10"/>
  <c r="U32" i="10"/>
  <c r="U31" i="10"/>
  <c r="U30" i="10"/>
  <c r="U29" i="10"/>
  <c r="U28" i="10"/>
  <c r="U27" i="10"/>
  <c r="U26" i="10"/>
  <c r="U25" i="10"/>
  <c r="U24" i="10"/>
  <c r="U23" i="10"/>
  <c r="U22" i="10"/>
  <c r="U21" i="10"/>
  <c r="U20" i="10"/>
  <c r="U19" i="10"/>
  <c r="U18" i="10"/>
  <c r="U17" i="10"/>
  <c r="U16" i="10"/>
  <c r="U15" i="10"/>
  <c r="U14" i="10"/>
  <c r="U13" i="10"/>
  <c r="U12" i="10"/>
  <c r="U11" i="10"/>
  <c r="U10" i="10"/>
  <c r="U9" i="10"/>
  <c r="U8" i="10"/>
  <c r="BM507" i="10" l="1"/>
  <c r="BF507" i="10"/>
  <c r="BC507" i="10"/>
  <c r="BM506" i="10"/>
  <c r="BF506" i="10"/>
  <c r="BC506" i="10"/>
  <c r="BM505" i="10"/>
  <c r="BF505" i="10"/>
  <c r="BC505" i="10"/>
  <c r="BM504" i="10"/>
  <c r="BF504" i="10"/>
  <c r="BC504" i="10"/>
  <c r="BM503" i="10"/>
  <c r="BF503" i="10"/>
  <c r="BC503" i="10"/>
  <c r="BM502" i="10"/>
  <c r="BF502" i="10"/>
  <c r="BC502" i="10"/>
  <c r="BM501" i="10"/>
  <c r="BF501" i="10"/>
  <c r="BC501" i="10"/>
  <c r="BM500" i="10"/>
  <c r="BF500" i="10"/>
  <c r="BC500" i="10"/>
  <c r="BM499" i="10"/>
  <c r="BF499" i="10"/>
  <c r="BC499" i="10"/>
  <c r="BM498" i="10"/>
  <c r="BF498" i="10"/>
  <c r="BC498" i="10"/>
  <c r="BM497" i="10"/>
  <c r="BF497" i="10"/>
  <c r="BC497" i="10"/>
  <c r="BM496" i="10"/>
  <c r="BF496" i="10"/>
  <c r="BC496" i="10"/>
  <c r="BM495" i="10"/>
  <c r="BF495" i="10"/>
  <c r="BC495" i="10"/>
  <c r="BM494" i="10"/>
  <c r="BF494" i="10"/>
  <c r="BC494" i="10"/>
  <c r="BM493" i="10"/>
  <c r="BF493" i="10"/>
  <c r="BC493" i="10"/>
  <c r="BM492" i="10"/>
  <c r="BF492" i="10"/>
  <c r="BC492" i="10"/>
  <c r="BM491" i="10"/>
  <c r="BF491" i="10"/>
  <c r="BC491" i="10"/>
  <c r="BM490" i="10"/>
  <c r="BF490" i="10"/>
  <c r="BC490" i="10"/>
  <c r="BM489" i="10"/>
  <c r="BF489" i="10"/>
  <c r="BC489" i="10"/>
  <c r="BM488" i="10"/>
  <c r="BF488" i="10"/>
  <c r="BC488" i="10"/>
  <c r="BM487" i="10"/>
  <c r="BF487" i="10"/>
  <c r="BC487" i="10"/>
  <c r="BM486" i="10"/>
  <c r="BF486" i="10"/>
  <c r="BC486" i="10"/>
  <c r="BM485" i="10"/>
  <c r="BF485" i="10"/>
  <c r="BC485" i="10"/>
  <c r="BM484" i="10"/>
  <c r="BF484" i="10"/>
  <c r="BC484" i="10"/>
  <c r="BM483" i="10"/>
  <c r="BF483" i="10"/>
  <c r="BC483" i="10"/>
  <c r="BM482" i="10"/>
  <c r="BF482" i="10"/>
  <c r="BC482" i="10"/>
  <c r="BM481" i="10"/>
  <c r="BF481" i="10"/>
  <c r="BC481" i="10"/>
  <c r="BM480" i="10"/>
  <c r="BF480" i="10"/>
  <c r="BC480" i="10"/>
  <c r="BM479" i="10"/>
  <c r="BF479" i="10"/>
  <c r="BC479" i="10"/>
  <c r="BM478" i="10"/>
  <c r="BF478" i="10"/>
  <c r="BC478" i="10"/>
  <c r="BM477" i="10"/>
  <c r="BF477" i="10"/>
  <c r="BC477" i="10"/>
  <c r="BM476" i="10"/>
  <c r="BF476" i="10"/>
  <c r="BC476" i="10"/>
  <c r="BM475" i="10"/>
  <c r="BF475" i="10"/>
  <c r="BC475" i="10"/>
  <c r="BM474" i="10"/>
  <c r="BF474" i="10"/>
  <c r="BC474" i="10"/>
  <c r="BM473" i="10"/>
  <c r="BF473" i="10"/>
  <c r="BC473" i="10"/>
  <c r="BM472" i="10"/>
  <c r="BF472" i="10"/>
  <c r="BC472" i="10"/>
  <c r="BM471" i="10"/>
  <c r="BF471" i="10"/>
  <c r="BC471" i="10"/>
  <c r="BM470" i="10"/>
  <c r="BF470" i="10"/>
  <c r="BC470" i="10"/>
  <c r="BM469" i="10"/>
  <c r="BF469" i="10"/>
  <c r="BC469" i="10"/>
  <c r="BM468" i="10"/>
  <c r="BF468" i="10"/>
  <c r="BC468" i="10"/>
  <c r="BM467" i="10"/>
  <c r="BF467" i="10"/>
  <c r="BC467" i="10"/>
  <c r="BM466" i="10"/>
  <c r="BF466" i="10"/>
  <c r="BC466" i="10"/>
  <c r="BM465" i="10"/>
  <c r="BF465" i="10"/>
  <c r="BC465" i="10"/>
  <c r="BM464" i="10"/>
  <c r="BF464" i="10"/>
  <c r="BC464" i="10"/>
  <c r="BM463" i="10"/>
  <c r="BF463" i="10"/>
  <c r="BC463" i="10"/>
  <c r="BM462" i="10"/>
  <c r="BF462" i="10"/>
  <c r="BC462" i="10"/>
  <c r="BM461" i="10"/>
  <c r="BF461" i="10"/>
  <c r="BC461" i="10"/>
  <c r="BM460" i="10"/>
  <c r="BF460" i="10"/>
  <c r="BC460" i="10"/>
  <c r="BM459" i="10"/>
  <c r="BF459" i="10"/>
  <c r="BC459" i="10"/>
  <c r="BM458" i="10"/>
  <c r="BF458" i="10"/>
  <c r="BC458" i="10"/>
  <c r="BM457" i="10"/>
  <c r="BF457" i="10"/>
  <c r="BC457" i="10"/>
  <c r="BM456" i="10"/>
  <c r="BF456" i="10"/>
  <c r="BC456" i="10"/>
  <c r="BM455" i="10"/>
  <c r="BF455" i="10"/>
  <c r="BC455" i="10"/>
  <c r="BM454" i="10"/>
  <c r="BF454" i="10"/>
  <c r="BC454" i="10"/>
  <c r="BM453" i="10"/>
  <c r="BF453" i="10"/>
  <c r="BC453" i="10"/>
  <c r="BM452" i="10"/>
  <c r="BF452" i="10"/>
  <c r="BC452" i="10"/>
  <c r="BM451" i="10"/>
  <c r="BF451" i="10"/>
  <c r="BC451" i="10"/>
  <c r="BM450" i="10"/>
  <c r="BF450" i="10"/>
  <c r="BC450" i="10"/>
  <c r="BM449" i="10"/>
  <c r="BF449" i="10"/>
  <c r="BC449" i="10"/>
  <c r="BM448" i="10"/>
  <c r="BF448" i="10"/>
  <c r="BC448" i="10"/>
  <c r="BM447" i="10"/>
  <c r="BF447" i="10"/>
  <c r="BC447" i="10"/>
  <c r="BM446" i="10"/>
  <c r="BF446" i="10"/>
  <c r="BC446" i="10"/>
  <c r="BM445" i="10"/>
  <c r="BF445" i="10"/>
  <c r="BC445" i="10"/>
  <c r="BM444" i="10"/>
  <c r="BF444" i="10"/>
  <c r="BC444" i="10"/>
  <c r="BM443" i="10"/>
  <c r="BF443" i="10"/>
  <c r="BC443" i="10"/>
  <c r="BM442" i="10"/>
  <c r="BF442" i="10"/>
  <c r="BC442" i="10"/>
  <c r="BM441" i="10"/>
  <c r="BF441" i="10"/>
  <c r="BC441" i="10"/>
  <c r="BM440" i="10"/>
  <c r="BF440" i="10"/>
  <c r="BC440" i="10"/>
  <c r="BM439" i="10"/>
  <c r="BF439" i="10"/>
  <c r="BC439" i="10"/>
  <c r="BM438" i="10"/>
  <c r="BF438" i="10"/>
  <c r="BC438" i="10"/>
  <c r="BM437" i="10"/>
  <c r="BF437" i="10"/>
  <c r="BC437" i="10"/>
  <c r="BM436" i="10"/>
  <c r="BF436" i="10"/>
  <c r="BC436" i="10"/>
  <c r="BM435" i="10"/>
  <c r="BF435" i="10"/>
  <c r="BC435" i="10"/>
  <c r="BM434" i="10"/>
  <c r="BF434" i="10"/>
  <c r="BC434" i="10"/>
  <c r="BM433" i="10"/>
  <c r="BF433" i="10"/>
  <c r="BC433" i="10"/>
  <c r="BM432" i="10"/>
  <c r="BF432" i="10"/>
  <c r="BC432" i="10"/>
  <c r="BM431" i="10"/>
  <c r="BF431" i="10"/>
  <c r="BC431" i="10"/>
  <c r="BM430" i="10"/>
  <c r="BF430" i="10"/>
  <c r="BC430" i="10"/>
  <c r="BM429" i="10"/>
  <c r="BF429" i="10"/>
  <c r="BC429" i="10"/>
  <c r="BM428" i="10"/>
  <c r="BF428" i="10"/>
  <c r="BC428" i="10"/>
  <c r="BM427" i="10"/>
  <c r="BF427" i="10"/>
  <c r="BC427" i="10"/>
  <c r="BM426" i="10"/>
  <c r="BF426" i="10"/>
  <c r="BC426" i="10"/>
  <c r="BM425" i="10"/>
  <c r="BF425" i="10"/>
  <c r="BC425" i="10"/>
  <c r="BM424" i="10"/>
  <c r="BF424" i="10"/>
  <c r="BC424" i="10"/>
  <c r="BM423" i="10"/>
  <c r="BF423" i="10"/>
  <c r="BC423" i="10"/>
  <c r="BM422" i="10"/>
  <c r="BF422" i="10"/>
  <c r="BC422" i="10"/>
  <c r="BM421" i="10"/>
  <c r="BF421" i="10"/>
  <c r="BC421" i="10"/>
  <c r="BM420" i="10"/>
  <c r="BF420" i="10"/>
  <c r="BC420" i="10"/>
  <c r="BM419" i="10"/>
  <c r="BF419" i="10"/>
  <c r="BC419" i="10"/>
  <c r="BM418" i="10"/>
  <c r="BF418" i="10"/>
  <c r="BC418" i="10"/>
  <c r="BM417" i="10"/>
  <c r="BF417" i="10"/>
  <c r="BC417" i="10"/>
  <c r="BM416" i="10"/>
  <c r="BF416" i="10"/>
  <c r="BC416" i="10"/>
  <c r="BM415" i="10"/>
  <c r="BF415" i="10"/>
  <c r="BC415" i="10"/>
  <c r="BM414" i="10"/>
  <c r="BF414" i="10"/>
  <c r="BC414" i="10"/>
  <c r="BM413" i="10"/>
  <c r="BF413" i="10"/>
  <c r="BC413" i="10"/>
  <c r="BM412" i="10"/>
  <c r="BF412" i="10"/>
  <c r="BC412" i="10"/>
  <c r="BM411" i="10"/>
  <c r="BF411" i="10"/>
  <c r="BC411" i="10"/>
  <c r="BM410" i="10"/>
  <c r="BF410" i="10"/>
  <c r="BC410" i="10"/>
  <c r="BM409" i="10"/>
  <c r="BF409" i="10"/>
  <c r="BC409" i="10"/>
  <c r="BM408" i="10"/>
  <c r="BF408" i="10"/>
  <c r="BC408" i="10"/>
  <c r="BM407" i="10"/>
  <c r="BF407" i="10"/>
  <c r="BC407" i="10"/>
  <c r="BM406" i="10"/>
  <c r="BF406" i="10"/>
  <c r="BC406" i="10"/>
  <c r="BM405" i="10"/>
  <c r="BF405" i="10"/>
  <c r="BC405" i="10"/>
  <c r="BM404" i="10"/>
  <c r="BF404" i="10"/>
  <c r="BC404" i="10"/>
  <c r="BM403" i="10"/>
  <c r="BF403" i="10"/>
  <c r="BC403" i="10"/>
  <c r="BM402" i="10"/>
  <c r="BF402" i="10"/>
  <c r="BC402" i="10"/>
  <c r="BM401" i="10"/>
  <c r="BF401" i="10"/>
  <c r="BC401" i="10"/>
  <c r="BM400" i="10"/>
  <c r="BF400" i="10"/>
  <c r="BC400" i="10"/>
  <c r="BM399" i="10"/>
  <c r="BF399" i="10"/>
  <c r="BC399" i="10"/>
  <c r="BM398" i="10"/>
  <c r="BF398" i="10"/>
  <c r="BC398" i="10"/>
  <c r="BM397" i="10"/>
  <c r="BF397" i="10"/>
  <c r="BC397" i="10"/>
  <c r="BM396" i="10"/>
  <c r="BF396" i="10"/>
  <c r="BC396" i="10"/>
  <c r="BM395" i="10"/>
  <c r="BF395" i="10"/>
  <c r="BC395" i="10"/>
  <c r="BM394" i="10"/>
  <c r="BF394" i="10"/>
  <c r="BC394" i="10"/>
  <c r="BM393" i="10"/>
  <c r="BF393" i="10"/>
  <c r="BC393" i="10"/>
  <c r="BM392" i="10"/>
  <c r="BF392" i="10"/>
  <c r="BC392" i="10"/>
  <c r="BM391" i="10"/>
  <c r="BF391" i="10"/>
  <c r="BC391" i="10"/>
  <c r="BM390" i="10"/>
  <c r="BF390" i="10"/>
  <c r="BC390" i="10"/>
  <c r="BM389" i="10"/>
  <c r="BF389" i="10"/>
  <c r="BC389" i="10"/>
  <c r="BM388" i="10"/>
  <c r="BF388" i="10"/>
  <c r="BC388" i="10"/>
  <c r="BM387" i="10"/>
  <c r="BF387" i="10"/>
  <c r="BC387" i="10"/>
  <c r="BM386" i="10"/>
  <c r="BF386" i="10"/>
  <c r="BC386" i="10"/>
  <c r="BM385" i="10"/>
  <c r="BF385" i="10"/>
  <c r="BC385" i="10"/>
  <c r="BM384" i="10"/>
  <c r="BF384" i="10"/>
  <c r="BC384" i="10"/>
  <c r="BM383" i="10"/>
  <c r="BF383" i="10"/>
  <c r="BC383" i="10"/>
  <c r="BM382" i="10"/>
  <c r="BF382" i="10"/>
  <c r="BC382" i="10"/>
  <c r="BM381" i="10"/>
  <c r="BF381" i="10"/>
  <c r="BC381" i="10"/>
  <c r="BM380" i="10"/>
  <c r="BF380" i="10"/>
  <c r="BC380" i="10"/>
  <c r="BM379" i="10"/>
  <c r="BF379" i="10"/>
  <c r="BC379" i="10"/>
  <c r="BM378" i="10"/>
  <c r="BF378" i="10"/>
  <c r="BC378" i="10"/>
  <c r="BM377" i="10"/>
  <c r="BF377" i="10"/>
  <c r="BC377" i="10"/>
  <c r="BM376" i="10"/>
  <c r="BF376" i="10"/>
  <c r="BC376" i="10"/>
  <c r="BM375" i="10"/>
  <c r="BF375" i="10"/>
  <c r="BC375" i="10"/>
  <c r="BM374" i="10"/>
  <c r="BF374" i="10"/>
  <c r="BC374" i="10"/>
  <c r="BM373" i="10"/>
  <c r="BF373" i="10"/>
  <c r="BC373" i="10"/>
  <c r="BM372" i="10"/>
  <c r="BF372" i="10"/>
  <c r="BC372" i="10"/>
  <c r="BM371" i="10"/>
  <c r="BF371" i="10"/>
  <c r="BC371" i="10"/>
  <c r="BM370" i="10"/>
  <c r="BF370" i="10"/>
  <c r="BC370" i="10"/>
  <c r="BM369" i="10"/>
  <c r="BF369" i="10"/>
  <c r="BC369" i="10"/>
  <c r="BM368" i="10"/>
  <c r="BF368" i="10"/>
  <c r="BC368" i="10"/>
  <c r="BM367" i="10"/>
  <c r="BF367" i="10"/>
  <c r="BC367" i="10"/>
  <c r="BM366" i="10"/>
  <c r="BF366" i="10"/>
  <c r="BC366" i="10"/>
  <c r="BM365" i="10"/>
  <c r="BF365" i="10"/>
  <c r="BC365" i="10"/>
  <c r="BM364" i="10"/>
  <c r="BF364" i="10"/>
  <c r="BC364" i="10"/>
  <c r="BM363" i="10"/>
  <c r="BF363" i="10"/>
  <c r="BC363" i="10"/>
  <c r="BM362" i="10"/>
  <c r="BF362" i="10"/>
  <c r="BC362" i="10"/>
  <c r="BM361" i="10"/>
  <c r="BF361" i="10"/>
  <c r="BC361" i="10"/>
  <c r="BM360" i="10"/>
  <c r="BF360" i="10"/>
  <c r="BC360" i="10"/>
  <c r="BM359" i="10"/>
  <c r="BF359" i="10"/>
  <c r="BC359" i="10"/>
  <c r="BM358" i="10"/>
  <c r="BF358" i="10"/>
  <c r="BC358" i="10"/>
  <c r="BM357" i="10"/>
  <c r="BF357" i="10"/>
  <c r="BC357" i="10"/>
  <c r="BM356" i="10"/>
  <c r="BF356" i="10"/>
  <c r="BC356" i="10"/>
  <c r="BM355" i="10"/>
  <c r="BF355" i="10"/>
  <c r="BC355" i="10"/>
  <c r="BM354" i="10"/>
  <c r="BF354" i="10"/>
  <c r="BC354" i="10"/>
  <c r="BM353" i="10"/>
  <c r="BF353" i="10"/>
  <c r="BC353" i="10"/>
  <c r="BM352" i="10"/>
  <c r="BF352" i="10"/>
  <c r="BC352" i="10"/>
  <c r="BM351" i="10"/>
  <c r="BF351" i="10"/>
  <c r="BC351" i="10"/>
  <c r="BM350" i="10"/>
  <c r="BF350" i="10"/>
  <c r="BC350" i="10"/>
  <c r="BM349" i="10"/>
  <c r="BF349" i="10"/>
  <c r="BC349" i="10"/>
  <c r="BM348" i="10"/>
  <c r="BF348" i="10"/>
  <c r="BC348" i="10"/>
  <c r="BM347" i="10"/>
  <c r="BF347" i="10"/>
  <c r="BC347" i="10"/>
  <c r="BM346" i="10"/>
  <c r="BF346" i="10"/>
  <c r="BC346" i="10"/>
  <c r="BM345" i="10"/>
  <c r="BF345" i="10"/>
  <c r="BC345" i="10"/>
  <c r="BM344" i="10"/>
  <c r="BF344" i="10"/>
  <c r="BC344" i="10"/>
  <c r="BM343" i="10"/>
  <c r="BF343" i="10"/>
  <c r="BC343" i="10"/>
  <c r="BM342" i="10"/>
  <c r="BF342" i="10"/>
  <c r="BC342" i="10"/>
  <c r="BM341" i="10"/>
  <c r="BF341" i="10"/>
  <c r="BC341" i="10"/>
  <c r="BM340" i="10"/>
  <c r="BF340" i="10"/>
  <c r="BC340" i="10"/>
  <c r="BM339" i="10"/>
  <c r="BF339" i="10"/>
  <c r="BC339" i="10"/>
  <c r="BM338" i="10"/>
  <c r="BF338" i="10"/>
  <c r="BC338" i="10"/>
  <c r="BM337" i="10"/>
  <c r="BF337" i="10"/>
  <c r="BC337" i="10"/>
  <c r="BM336" i="10"/>
  <c r="BF336" i="10"/>
  <c r="BC336" i="10"/>
  <c r="BM335" i="10"/>
  <c r="BF335" i="10"/>
  <c r="BC335" i="10"/>
  <c r="BM334" i="10"/>
  <c r="BF334" i="10"/>
  <c r="BC334" i="10"/>
  <c r="BM333" i="10"/>
  <c r="BF333" i="10"/>
  <c r="BC333" i="10"/>
  <c r="BM332" i="10"/>
  <c r="BF332" i="10"/>
  <c r="BC332" i="10"/>
  <c r="BM331" i="10"/>
  <c r="BF331" i="10"/>
  <c r="BC331" i="10"/>
  <c r="BM330" i="10"/>
  <c r="BF330" i="10"/>
  <c r="BC330" i="10"/>
  <c r="BM329" i="10"/>
  <c r="BF329" i="10"/>
  <c r="BC329" i="10"/>
  <c r="BM328" i="10"/>
  <c r="BF328" i="10"/>
  <c r="BC328" i="10"/>
  <c r="BM327" i="10"/>
  <c r="BF327" i="10"/>
  <c r="BC327" i="10"/>
  <c r="BM326" i="10"/>
  <c r="BF326" i="10"/>
  <c r="BC326" i="10"/>
  <c r="BM325" i="10"/>
  <c r="BF325" i="10"/>
  <c r="BC325" i="10"/>
  <c r="BM324" i="10"/>
  <c r="BF324" i="10"/>
  <c r="BC324" i="10"/>
  <c r="BM323" i="10"/>
  <c r="BF323" i="10"/>
  <c r="BC323" i="10"/>
  <c r="BM322" i="10"/>
  <c r="BF322" i="10"/>
  <c r="BC322" i="10"/>
  <c r="BM321" i="10"/>
  <c r="BF321" i="10"/>
  <c r="BC321" i="10"/>
  <c r="BM320" i="10"/>
  <c r="BF320" i="10"/>
  <c r="BC320" i="10"/>
  <c r="BM319" i="10"/>
  <c r="BF319" i="10"/>
  <c r="BC319" i="10"/>
  <c r="BM318" i="10"/>
  <c r="BF318" i="10"/>
  <c r="BC318" i="10"/>
  <c r="BM317" i="10"/>
  <c r="BF317" i="10"/>
  <c r="BC317" i="10"/>
  <c r="BM316" i="10"/>
  <c r="BF316" i="10"/>
  <c r="BC316" i="10"/>
  <c r="BM315" i="10"/>
  <c r="BF315" i="10"/>
  <c r="BC315" i="10"/>
  <c r="BM314" i="10"/>
  <c r="BF314" i="10"/>
  <c r="BC314" i="10"/>
  <c r="BM313" i="10"/>
  <c r="BF313" i="10"/>
  <c r="BC313" i="10"/>
  <c r="BM312" i="10"/>
  <c r="BF312" i="10"/>
  <c r="BC312" i="10"/>
  <c r="BM311" i="10"/>
  <c r="BF311" i="10"/>
  <c r="BC311" i="10"/>
  <c r="BM310" i="10"/>
  <c r="BF310" i="10"/>
  <c r="BC310" i="10"/>
  <c r="BM309" i="10"/>
  <c r="BF309" i="10"/>
  <c r="BC309" i="10"/>
  <c r="BM308" i="10"/>
  <c r="BF308" i="10"/>
  <c r="BC308" i="10"/>
  <c r="BM307" i="10"/>
  <c r="BF307" i="10"/>
  <c r="BC307" i="10"/>
  <c r="BM306" i="10"/>
  <c r="BF306" i="10"/>
  <c r="BC306" i="10"/>
  <c r="BM305" i="10"/>
  <c r="BF305" i="10"/>
  <c r="BC305" i="10"/>
  <c r="BM304" i="10"/>
  <c r="BF304" i="10"/>
  <c r="BC304" i="10"/>
  <c r="BM303" i="10"/>
  <c r="BF303" i="10"/>
  <c r="BC303" i="10"/>
  <c r="BM302" i="10"/>
  <c r="BF302" i="10"/>
  <c r="BC302" i="10"/>
  <c r="BM301" i="10"/>
  <c r="BF301" i="10"/>
  <c r="BC301" i="10"/>
  <c r="BM300" i="10"/>
  <c r="BF300" i="10"/>
  <c r="BC300" i="10"/>
  <c r="BM299" i="10"/>
  <c r="BF299" i="10"/>
  <c r="BC299" i="10"/>
  <c r="BM298" i="10"/>
  <c r="BF298" i="10"/>
  <c r="BC298" i="10"/>
  <c r="BM297" i="10"/>
  <c r="BF297" i="10"/>
  <c r="BC297" i="10"/>
  <c r="BM296" i="10"/>
  <c r="BF296" i="10"/>
  <c r="BC296" i="10"/>
  <c r="BM295" i="10"/>
  <c r="BF295" i="10"/>
  <c r="BC295" i="10"/>
  <c r="BM294" i="10"/>
  <c r="BF294" i="10"/>
  <c r="BC294" i="10"/>
  <c r="BM293" i="10"/>
  <c r="BF293" i="10"/>
  <c r="BC293" i="10"/>
  <c r="BM292" i="10"/>
  <c r="BF292" i="10"/>
  <c r="BC292" i="10"/>
  <c r="BM291" i="10"/>
  <c r="BF291" i="10"/>
  <c r="BC291" i="10"/>
  <c r="BM290" i="10"/>
  <c r="BF290" i="10"/>
  <c r="BC290" i="10"/>
  <c r="BM289" i="10"/>
  <c r="BF289" i="10"/>
  <c r="BC289" i="10"/>
  <c r="BM288" i="10"/>
  <c r="BF288" i="10"/>
  <c r="BC288" i="10"/>
  <c r="BM287" i="10"/>
  <c r="BF287" i="10"/>
  <c r="BC287" i="10"/>
  <c r="BM286" i="10"/>
  <c r="BF286" i="10"/>
  <c r="BC286" i="10"/>
  <c r="BM285" i="10"/>
  <c r="BF285" i="10"/>
  <c r="BC285" i="10"/>
  <c r="BM284" i="10"/>
  <c r="BF284" i="10"/>
  <c r="BC284" i="10"/>
  <c r="BM283" i="10"/>
  <c r="BF283" i="10"/>
  <c r="BC283" i="10"/>
  <c r="BM282" i="10"/>
  <c r="BF282" i="10"/>
  <c r="BC282" i="10"/>
  <c r="BM281" i="10"/>
  <c r="BF281" i="10"/>
  <c r="BC281" i="10"/>
  <c r="BM280" i="10"/>
  <c r="BF280" i="10"/>
  <c r="BC280" i="10"/>
  <c r="BM279" i="10"/>
  <c r="BF279" i="10"/>
  <c r="BC279" i="10"/>
  <c r="BM278" i="10"/>
  <c r="BF278" i="10"/>
  <c r="BC278" i="10"/>
  <c r="BM277" i="10"/>
  <c r="BF277" i="10"/>
  <c r="BC277" i="10"/>
  <c r="BM276" i="10"/>
  <c r="BF276" i="10"/>
  <c r="BC276" i="10"/>
  <c r="BM275" i="10"/>
  <c r="BF275" i="10"/>
  <c r="BC275" i="10"/>
  <c r="BM274" i="10"/>
  <c r="BF274" i="10"/>
  <c r="BC274" i="10"/>
  <c r="BM273" i="10"/>
  <c r="BF273" i="10"/>
  <c r="BC273" i="10"/>
  <c r="BM272" i="10"/>
  <c r="BF272" i="10"/>
  <c r="BC272" i="10"/>
  <c r="BM271" i="10"/>
  <c r="BF271" i="10"/>
  <c r="BC271" i="10"/>
  <c r="BM270" i="10"/>
  <c r="BF270" i="10"/>
  <c r="BC270" i="10"/>
  <c r="BM269" i="10"/>
  <c r="BF269" i="10"/>
  <c r="BC269" i="10"/>
  <c r="BM268" i="10"/>
  <c r="BF268" i="10"/>
  <c r="BC268" i="10"/>
  <c r="BM267" i="10"/>
  <c r="BF267" i="10"/>
  <c r="BC267" i="10"/>
  <c r="BM266" i="10"/>
  <c r="BF266" i="10"/>
  <c r="BC266" i="10"/>
  <c r="BM265" i="10"/>
  <c r="BF265" i="10"/>
  <c r="BC265" i="10"/>
  <c r="BM264" i="10"/>
  <c r="BF264" i="10"/>
  <c r="BC264" i="10"/>
  <c r="BM263" i="10"/>
  <c r="BF263" i="10"/>
  <c r="BC263" i="10"/>
  <c r="BM262" i="10"/>
  <c r="BF262" i="10"/>
  <c r="BC262" i="10"/>
  <c r="BM261" i="10"/>
  <c r="BF261" i="10"/>
  <c r="BC261" i="10"/>
  <c r="BM260" i="10"/>
  <c r="BF260" i="10"/>
  <c r="BC260" i="10"/>
  <c r="BM259" i="10"/>
  <c r="BF259" i="10"/>
  <c r="BC259" i="10"/>
  <c r="BM258" i="10"/>
  <c r="BF258" i="10"/>
  <c r="BC258" i="10"/>
  <c r="BM257" i="10"/>
  <c r="BF257" i="10"/>
  <c r="BC257" i="10"/>
  <c r="BM256" i="10"/>
  <c r="BF256" i="10"/>
  <c r="BC256" i="10"/>
  <c r="BM255" i="10"/>
  <c r="BF255" i="10"/>
  <c r="BC255" i="10"/>
  <c r="BM254" i="10"/>
  <c r="BF254" i="10"/>
  <c r="BC254" i="10"/>
  <c r="BM253" i="10"/>
  <c r="BF253" i="10"/>
  <c r="BC253" i="10"/>
  <c r="BM252" i="10"/>
  <c r="BF252" i="10"/>
  <c r="BC252" i="10"/>
  <c r="BM251" i="10"/>
  <c r="BF251" i="10"/>
  <c r="BC251" i="10"/>
  <c r="BM250" i="10"/>
  <c r="BF250" i="10"/>
  <c r="BC250" i="10"/>
  <c r="BM249" i="10"/>
  <c r="BF249" i="10"/>
  <c r="BC249" i="10"/>
  <c r="BM248" i="10"/>
  <c r="BF248" i="10"/>
  <c r="BC248" i="10"/>
  <c r="BM247" i="10"/>
  <c r="BF247" i="10"/>
  <c r="BC247" i="10"/>
  <c r="BM246" i="10"/>
  <c r="BF246" i="10"/>
  <c r="BC246" i="10"/>
  <c r="BM245" i="10"/>
  <c r="BF245" i="10"/>
  <c r="BC245" i="10"/>
  <c r="BM244" i="10"/>
  <c r="BF244" i="10"/>
  <c r="BC244" i="10"/>
  <c r="BM243" i="10"/>
  <c r="BF243" i="10"/>
  <c r="BC243" i="10"/>
  <c r="BM242" i="10"/>
  <c r="BF242" i="10"/>
  <c r="BC242" i="10"/>
  <c r="BM241" i="10"/>
  <c r="BF241" i="10"/>
  <c r="BC241" i="10"/>
  <c r="BM240" i="10"/>
  <c r="BF240" i="10"/>
  <c r="BC240" i="10"/>
  <c r="BM239" i="10"/>
  <c r="BF239" i="10"/>
  <c r="BC239" i="10"/>
  <c r="BM238" i="10"/>
  <c r="BF238" i="10"/>
  <c r="BC238" i="10"/>
  <c r="BM237" i="10"/>
  <c r="BF237" i="10"/>
  <c r="BC237" i="10"/>
  <c r="BM236" i="10"/>
  <c r="BF236" i="10"/>
  <c r="BC236" i="10"/>
  <c r="BM235" i="10"/>
  <c r="BF235" i="10"/>
  <c r="BC235" i="10"/>
  <c r="BM234" i="10"/>
  <c r="BF234" i="10"/>
  <c r="BC234" i="10"/>
  <c r="BM233" i="10"/>
  <c r="BF233" i="10"/>
  <c r="BC233" i="10"/>
  <c r="BM232" i="10"/>
  <c r="BF232" i="10"/>
  <c r="BC232" i="10"/>
  <c r="BM231" i="10"/>
  <c r="BF231" i="10"/>
  <c r="BC231" i="10"/>
  <c r="BM230" i="10"/>
  <c r="BF230" i="10"/>
  <c r="BC230" i="10"/>
  <c r="BM229" i="10"/>
  <c r="BF229" i="10"/>
  <c r="BC229" i="10"/>
  <c r="BM228" i="10"/>
  <c r="BF228" i="10"/>
  <c r="BC228" i="10"/>
  <c r="BM227" i="10"/>
  <c r="BF227" i="10"/>
  <c r="BC227" i="10"/>
  <c r="BM226" i="10"/>
  <c r="BF226" i="10"/>
  <c r="BC226" i="10"/>
  <c r="BM225" i="10"/>
  <c r="BF225" i="10"/>
  <c r="BC225" i="10"/>
  <c r="BM224" i="10"/>
  <c r="BF224" i="10"/>
  <c r="BC224" i="10"/>
  <c r="BM223" i="10"/>
  <c r="BF223" i="10"/>
  <c r="BC223" i="10"/>
  <c r="BM222" i="10"/>
  <c r="BF222" i="10"/>
  <c r="BC222" i="10"/>
  <c r="BM221" i="10"/>
  <c r="BF221" i="10"/>
  <c r="BC221" i="10"/>
  <c r="BM220" i="10"/>
  <c r="BF220" i="10"/>
  <c r="BC220" i="10"/>
  <c r="BM219" i="10"/>
  <c r="BF219" i="10"/>
  <c r="BC219" i="10"/>
  <c r="BM218" i="10"/>
  <c r="BF218" i="10"/>
  <c r="BC218" i="10"/>
  <c r="BM217" i="10"/>
  <c r="BF217" i="10"/>
  <c r="BC217" i="10"/>
  <c r="BM216" i="10"/>
  <c r="BF216" i="10"/>
  <c r="BC216" i="10"/>
  <c r="BM215" i="10"/>
  <c r="BF215" i="10"/>
  <c r="BC215" i="10"/>
  <c r="BM214" i="10"/>
  <c r="BF214" i="10"/>
  <c r="BC214" i="10"/>
  <c r="BM213" i="10"/>
  <c r="BF213" i="10"/>
  <c r="BC213" i="10"/>
  <c r="BM212" i="10"/>
  <c r="BF212" i="10"/>
  <c r="BC212" i="10"/>
  <c r="BM211" i="10"/>
  <c r="BF211" i="10"/>
  <c r="BC211" i="10"/>
  <c r="BM210" i="10"/>
  <c r="BF210" i="10"/>
  <c r="BC210" i="10"/>
  <c r="BM209" i="10"/>
  <c r="BF209" i="10"/>
  <c r="BC209" i="10"/>
  <c r="BM208" i="10"/>
  <c r="BF208" i="10"/>
  <c r="BC208" i="10"/>
  <c r="BM207" i="10"/>
  <c r="BF207" i="10"/>
  <c r="BC207" i="10"/>
  <c r="BM206" i="10"/>
  <c r="BF206" i="10"/>
  <c r="BC206" i="10"/>
  <c r="BM205" i="10"/>
  <c r="BF205" i="10"/>
  <c r="BC205" i="10"/>
  <c r="BM204" i="10"/>
  <c r="BF204" i="10"/>
  <c r="BC204" i="10"/>
  <c r="BM203" i="10"/>
  <c r="BF203" i="10"/>
  <c r="BC203" i="10"/>
  <c r="BM202" i="10"/>
  <c r="BF202" i="10"/>
  <c r="BC202" i="10"/>
  <c r="BM201" i="10"/>
  <c r="BF201" i="10"/>
  <c r="BC201" i="10"/>
  <c r="BM200" i="10"/>
  <c r="BF200" i="10"/>
  <c r="BC200" i="10"/>
  <c r="BM199" i="10"/>
  <c r="BF199" i="10"/>
  <c r="BC199" i="10"/>
  <c r="BM198" i="10"/>
  <c r="BF198" i="10"/>
  <c r="BC198" i="10"/>
  <c r="BM197" i="10"/>
  <c r="BF197" i="10"/>
  <c r="BC197" i="10"/>
  <c r="BM196" i="10"/>
  <c r="BF196" i="10"/>
  <c r="BC196" i="10"/>
  <c r="BM195" i="10"/>
  <c r="BF195" i="10"/>
  <c r="BC195" i="10"/>
  <c r="BM194" i="10"/>
  <c r="BF194" i="10"/>
  <c r="BC194" i="10"/>
  <c r="BM193" i="10"/>
  <c r="BF193" i="10"/>
  <c r="BC193" i="10"/>
  <c r="BM192" i="10"/>
  <c r="BF192" i="10"/>
  <c r="BC192" i="10"/>
  <c r="BM191" i="10"/>
  <c r="BF191" i="10"/>
  <c r="BC191" i="10"/>
  <c r="BM190" i="10"/>
  <c r="BF190" i="10"/>
  <c r="BC190" i="10"/>
  <c r="BM189" i="10"/>
  <c r="BF189" i="10"/>
  <c r="BC189" i="10"/>
  <c r="BM188" i="10"/>
  <c r="BF188" i="10"/>
  <c r="BC188" i="10"/>
  <c r="BM187" i="10"/>
  <c r="BF187" i="10"/>
  <c r="BC187" i="10"/>
  <c r="BM186" i="10"/>
  <c r="BF186" i="10"/>
  <c r="BC186" i="10"/>
  <c r="BM185" i="10"/>
  <c r="BF185" i="10"/>
  <c r="BC185" i="10"/>
  <c r="BM184" i="10"/>
  <c r="BF184" i="10"/>
  <c r="BC184" i="10"/>
  <c r="BM183" i="10"/>
  <c r="BF183" i="10"/>
  <c r="BC183" i="10"/>
  <c r="BM182" i="10"/>
  <c r="BF182" i="10"/>
  <c r="BC182" i="10"/>
  <c r="BM181" i="10"/>
  <c r="BF181" i="10"/>
  <c r="BC181" i="10"/>
  <c r="BM180" i="10"/>
  <c r="BF180" i="10"/>
  <c r="BC180" i="10"/>
  <c r="BM179" i="10"/>
  <c r="BF179" i="10"/>
  <c r="BC179" i="10"/>
  <c r="BM178" i="10"/>
  <c r="BF178" i="10"/>
  <c r="BC178" i="10"/>
  <c r="BM177" i="10"/>
  <c r="BF177" i="10"/>
  <c r="BC177" i="10"/>
  <c r="BM176" i="10"/>
  <c r="BF176" i="10"/>
  <c r="BC176" i="10"/>
  <c r="BM175" i="10"/>
  <c r="BF175" i="10"/>
  <c r="BC175" i="10"/>
  <c r="BM174" i="10"/>
  <c r="BF174" i="10"/>
  <c r="BC174" i="10"/>
  <c r="BM173" i="10"/>
  <c r="BF173" i="10"/>
  <c r="BC173" i="10"/>
  <c r="BM172" i="10"/>
  <c r="BF172" i="10"/>
  <c r="BC172" i="10"/>
  <c r="BM171" i="10"/>
  <c r="BF171" i="10"/>
  <c r="BC171" i="10"/>
  <c r="BM170" i="10"/>
  <c r="BF170" i="10"/>
  <c r="BC170" i="10"/>
  <c r="BM169" i="10"/>
  <c r="BF169" i="10"/>
  <c r="BC169" i="10"/>
  <c r="BM168" i="10"/>
  <c r="BF168" i="10"/>
  <c r="BC168" i="10"/>
  <c r="BM167" i="10"/>
  <c r="BF167" i="10"/>
  <c r="BC167" i="10"/>
  <c r="BM166" i="10"/>
  <c r="BF166" i="10"/>
  <c r="BC166" i="10"/>
  <c r="BM165" i="10"/>
  <c r="BF165" i="10"/>
  <c r="BC165" i="10"/>
  <c r="BM164" i="10"/>
  <c r="BF164" i="10"/>
  <c r="BC164" i="10"/>
  <c r="BM163" i="10"/>
  <c r="BF163" i="10"/>
  <c r="BC163" i="10"/>
  <c r="BM162" i="10"/>
  <c r="BF162" i="10"/>
  <c r="BC162" i="10"/>
  <c r="BM161" i="10"/>
  <c r="BF161" i="10"/>
  <c r="BC161" i="10"/>
  <c r="BM160" i="10"/>
  <c r="BF160" i="10"/>
  <c r="BC160" i="10"/>
  <c r="BM159" i="10"/>
  <c r="BF159" i="10"/>
  <c r="BC159" i="10"/>
  <c r="BM158" i="10"/>
  <c r="BF158" i="10"/>
  <c r="BC158" i="10"/>
  <c r="BM157" i="10"/>
  <c r="BF157" i="10"/>
  <c r="BC157" i="10"/>
  <c r="BM156" i="10"/>
  <c r="BF156" i="10"/>
  <c r="BC156" i="10"/>
  <c r="BM155" i="10"/>
  <c r="BF155" i="10"/>
  <c r="BC155" i="10"/>
  <c r="BM154" i="10"/>
  <c r="BF154" i="10"/>
  <c r="BC154" i="10"/>
  <c r="BM153" i="10"/>
  <c r="BF153" i="10"/>
  <c r="BC153" i="10"/>
  <c r="BM152" i="10"/>
  <c r="BF152" i="10"/>
  <c r="BC152" i="10"/>
  <c r="BM151" i="10"/>
  <c r="BF151" i="10"/>
  <c r="BC151" i="10"/>
  <c r="BM150" i="10"/>
  <c r="BF150" i="10"/>
  <c r="BC150" i="10"/>
  <c r="BM149" i="10"/>
  <c r="BF149" i="10"/>
  <c r="BC149" i="10"/>
  <c r="BM148" i="10"/>
  <c r="BF148" i="10"/>
  <c r="BC148" i="10"/>
  <c r="BM147" i="10"/>
  <c r="BF147" i="10"/>
  <c r="BC147" i="10"/>
  <c r="BM146" i="10"/>
  <c r="BF146" i="10"/>
  <c r="BC146" i="10"/>
  <c r="BM145" i="10"/>
  <c r="BF145" i="10"/>
  <c r="BC145" i="10"/>
  <c r="BM144" i="10"/>
  <c r="BF144" i="10"/>
  <c r="BC144" i="10"/>
  <c r="BM143" i="10"/>
  <c r="BF143" i="10"/>
  <c r="BC143" i="10"/>
  <c r="BM142" i="10"/>
  <c r="BF142" i="10"/>
  <c r="BC142" i="10"/>
  <c r="BM141" i="10"/>
  <c r="BF141" i="10"/>
  <c r="BC141" i="10"/>
  <c r="BM140" i="10"/>
  <c r="BF140" i="10"/>
  <c r="BC140" i="10"/>
  <c r="BM139" i="10"/>
  <c r="BF139" i="10"/>
  <c r="BC139" i="10"/>
  <c r="BM138" i="10"/>
  <c r="BF138" i="10"/>
  <c r="BC138" i="10"/>
  <c r="BM137" i="10"/>
  <c r="BF137" i="10"/>
  <c r="BC137" i="10"/>
  <c r="BM136" i="10"/>
  <c r="BF136" i="10"/>
  <c r="BC136" i="10"/>
  <c r="BM135" i="10"/>
  <c r="BF135" i="10"/>
  <c r="BC135" i="10"/>
  <c r="BM134" i="10"/>
  <c r="BF134" i="10"/>
  <c r="BC134" i="10"/>
  <c r="BM133" i="10"/>
  <c r="BF133" i="10"/>
  <c r="BC133" i="10"/>
  <c r="BM132" i="10"/>
  <c r="BF132" i="10"/>
  <c r="BC132" i="10"/>
  <c r="BM131" i="10"/>
  <c r="BF131" i="10"/>
  <c r="BC131" i="10"/>
  <c r="BM130" i="10"/>
  <c r="BF130" i="10"/>
  <c r="BC130" i="10"/>
  <c r="BM129" i="10"/>
  <c r="BF129" i="10"/>
  <c r="BC129" i="10"/>
  <c r="BM128" i="10"/>
  <c r="BF128" i="10"/>
  <c r="BC128" i="10"/>
  <c r="BM127" i="10"/>
  <c r="BF127" i="10"/>
  <c r="BC127" i="10"/>
  <c r="BM126" i="10"/>
  <c r="BF126" i="10"/>
  <c r="BC126" i="10"/>
  <c r="BM125" i="10"/>
  <c r="BF125" i="10"/>
  <c r="BC125" i="10"/>
  <c r="BM124" i="10"/>
  <c r="BF124" i="10"/>
  <c r="BC124" i="10"/>
  <c r="BM123" i="10"/>
  <c r="BF123" i="10"/>
  <c r="BC123" i="10"/>
  <c r="BM122" i="10"/>
  <c r="BF122" i="10"/>
  <c r="BC122" i="10"/>
  <c r="BM121" i="10"/>
  <c r="BF121" i="10"/>
  <c r="BC121" i="10"/>
  <c r="BM120" i="10"/>
  <c r="BF120" i="10"/>
  <c r="BC120" i="10"/>
  <c r="BM119" i="10"/>
  <c r="BF119" i="10"/>
  <c r="BC119" i="10"/>
  <c r="BM118" i="10"/>
  <c r="BF118" i="10"/>
  <c r="BC118" i="10"/>
  <c r="BM117" i="10"/>
  <c r="BF117" i="10"/>
  <c r="BC117" i="10"/>
  <c r="BM116" i="10"/>
  <c r="BF116" i="10"/>
  <c r="BC116" i="10"/>
  <c r="BM115" i="10"/>
  <c r="BF115" i="10"/>
  <c r="BC115" i="10"/>
  <c r="BM114" i="10"/>
  <c r="BF114" i="10"/>
  <c r="BC114" i="10"/>
  <c r="BM113" i="10"/>
  <c r="BF113" i="10"/>
  <c r="BC113" i="10"/>
  <c r="BM112" i="10"/>
  <c r="BF112" i="10"/>
  <c r="BC112" i="10"/>
  <c r="BM111" i="10"/>
  <c r="BF111" i="10"/>
  <c r="BC111" i="10"/>
  <c r="BM110" i="10"/>
  <c r="BF110" i="10"/>
  <c r="BC110" i="10"/>
  <c r="BM109" i="10"/>
  <c r="BF109" i="10"/>
  <c r="BC109" i="10"/>
  <c r="BM108" i="10"/>
  <c r="BF108" i="10"/>
  <c r="BC108" i="10"/>
  <c r="BM107" i="10"/>
  <c r="BF107" i="10"/>
  <c r="BC107" i="10"/>
  <c r="BM106" i="10"/>
  <c r="BF106" i="10"/>
  <c r="BC106" i="10"/>
  <c r="BM105" i="10"/>
  <c r="BF105" i="10"/>
  <c r="BC105" i="10"/>
  <c r="BM104" i="10"/>
  <c r="BF104" i="10"/>
  <c r="BC104" i="10"/>
  <c r="BM103" i="10"/>
  <c r="BF103" i="10"/>
  <c r="BC103" i="10"/>
  <c r="BM102" i="10"/>
  <c r="BF102" i="10"/>
  <c r="BC102" i="10"/>
  <c r="BM101" i="10"/>
  <c r="BF101" i="10"/>
  <c r="BC101" i="10"/>
  <c r="BM100" i="10"/>
  <c r="BF100" i="10"/>
  <c r="BC100" i="10"/>
  <c r="BM99" i="10"/>
  <c r="BF99" i="10"/>
  <c r="BC99" i="10"/>
  <c r="BM98" i="10"/>
  <c r="BF98" i="10"/>
  <c r="BC98" i="10"/>
  <c r="BM97" i="10"/>
  <c r="BF97" i="10"/>
  <c r="BC97" i="10"/>
  <c r="BM96" i="10"/>
  <c r="BF96" i="10"/>
  <c r="BC96" i="10"/>
  <c r="BM95" i="10"/>
  <c r="BF95" i="10"/>
  <c r="BC95" i="10"/>
  <c r="BM94" i="10"/>
  <c r="BF94" i="10"/>
  <c r="BC94" i="10"/>
  <c r="BM93" i="10"/>
  <c r="BF93" i="10"/>
  <c r="BC93" i="10"/>
  <c r="BM92" i="10"/>
  <c r="BF92" i="10"/>
  <c r="BC92" i="10"/>
  <c r="BM91" i="10"/>
  <c r="BF91" i="10"/>
  <c r="BC91" i="10"/>
  <c r="BM90" i="10"/>
  <c r="BF90" i="10"/>
  <c r="BC90" i="10"/>
  <c r="BM89" i="10"/>
  <c r="BF89" i="10"/>
  <c r="BC89" i="10"/>
  <c r="BM88" i="10"/>
  <c r="BF88" i="10"/>
  <c r="BC88" i="10"/>
  <c r="BM87" i="10"/>
  <c r="BF87" i="10"/>
  <c r="BC87" i="10"/>
  <c r="BM86" i="10"/>
  <c r="BF86" i="10"/>
  <c r="BC86" i="10"/>
  <c r="BM85" i="10"/>
  <c r="BF85" i="10"/>
  <c r="BC85" i="10"/>
  <c r="BM84" i="10"/>
  <c r="BF84" i="10"/>
  <c r="BC84" i="10"/>
  <c r="BM83" i="10"/>
  <c r="BF83" i="10"/>
  <c r="BC83" i="10"/>
  <c r="BM82" i="10"/>
  <c r="BF82" i="10"/>
  <c r="BC82" i="10"/>
  <c r="BM81" i="10"/>
  <c r="BF81" i="10"/>
  <c r="BC81" i="10"/>
  <c r="BM80" i="10"/>
  <c r="BF80" i="10"/>
  <c r="BC80" i="10"/>
  <c r="BM79" i="10"/>
  <c r="BF79" i="10"/>
  <c r="BC79" i="10"/>
  <c r="BM78" i="10"/>
  <c r="BF78" i="10"/>
  <c r="BC78" i="10"/>
  <c r="BM77" i="10"/>
  <c r="BF77" i="10"/>
  <c r="BC77" i="10"/>
  <c r="BM76" i="10"/>
  <c r="BF76" i="10"/>
  <c r="BC76" i="10"/>
  <c r="BM75" i="10"/>
  <c r="BF75" i="10"/>
  <c r="BC75" i="10"/>
  <c r="BM74" i="10"/>
  <c r="BF74" i="10"/>
  <c r="BC74" i="10"/>
  <c r="BM73" i="10"/>
  <c r="BF73" i="10"/>
  <c r="BC73" i="10"/>
  <c r="BM72" i="10"/>
  <c r="BF72" i="10"/>
  <c r="BC72" i="10"/>
  <c r="BM71" i="10"/>
  <c r="BF71" i="10"/>
  <c r="BC71" i="10"/>
  <c r="BM70" i="10"/>
  <c r="BF70" i="10"/>
  <c r="BC70" i="10"/>
  <c r="BM69" i="10"/>
  <c r="BF69" i="10"/>
  <c r="BC69" i="10"/>
  <c r="BM68" i="10"/>
  <c r="BF68" i="10"/>
  <c r="BC68" i="10"/>
  <c r="BM67" i="10"/>
  <c r="BF67" i="10"/>
  <c r="BC67" i="10"/>
  <c r="BM66" i="10"/>
  <c r="BF66" i="10"/>
  <c r="BC66" i="10"/>
  <c r="BM65" i="10"/>
  <c r="BF65" i="10"/>
  <c r="BC65" i="10"/>
  <c r="BM64" i="10"/>
  <c r="BF64" i="10"/>
  <c r="BC64" i="10"/>
  <c r="BM63" i="10"/>
  <c r="BF63" i="10"/>
  <c r="BC63" i="10"/>
  <c r="BM62" i="10"/>
  <c r="BF62" i="10"/>
  <c r="BC62" i="10"/>
  <c r="BM61" i="10"/>
  <c r="BF61" i="10"/>
  <c r="BC61" i="10"/>
  <c r="BM60" i="10"/>
  <c r="BF60" i="10"/>
  <c r="BC60" i="10"/>
  <c r="BM59" i="10"/>
  <c r="BF59" i="10"/>
  <c r="BC59" i="10"/>
  <c r="BM58" i="10"/>
  <c r="BF58" i="10"/>
  <c r="BC58" i="10"/>
  <c r="BM57" i="10"/>
  <c r="BF57" i="10"/>
  <c r="BC57" i="10"/>
  <c r="BM56" i="10"/>
  <c r="BF56" i="10"/>
  <c r="BC56" i="10"/>
  <c r="BM55" i="10"/>
  <c r="BF55" i="10"/>
  <c r="BC55" i="10"/>
  <c r="BM54" i="10"/>
  <c r="BF54" i="10"/>
  <c r="BC54" i="10"/>
  <c r="BM53" i="10"/>
  <c r="BF53" i="10"/>
  <c r="BC53" i="10"/>
  <c r="BM52" i="10"/>
  <c r="BF52" i="10"/>
  <c r="BC52" i="10"/>
  <c r="BM51" i="10"/>
  <c r="BF51" i="10"/>
  <c r="BC51" i="10"/>
  <c r="BM50" i="10"/>
  <c r="BF50" i="10"/>
  <c r="BC50" i="10"/>
  <c r="BM49" i="10"/>
  <c r="BF49" i="10"/>
  <c r="BC49" i="10"/>
  <c r="BM48" i="10"/>
  <c r="BF48" i="10"/>
  <c r="BC48" i="10"/>
  <c r="BM47" i="10"/>
  <c r="BF47" i="10"/>
  <c r="BC47" i="10"/>
  <c r="BM46" i="10"/>
  <c r="BF46" i="10"/>
  <c r="BC46" i="10"/>
  <c r="BM45" i="10"/>
  <c r="BF45" i="10"/>
  <c r="BC45" i="10"/>
  <c r="BM44" i="10"/>
  <c r="BF44" i="10"/>
  <c r="BC44" i="10"/>
  <c r="BM43" i="10"/>
  <c r="BF43" i="10"/>
  <c r="BC43" i="10"/>
  <c r="BM42" i="10"/>
  <c r="BF42" i="10"/>
  <c r="BC42" i="10"/>
  <c r="BM41" i="10"/>
  <c r="BF41" i="10"/>
  <c r="BC41" i="10"/>
  <c r="BM40" i="10"/>
  <c r="BF40" i="10"/>
  <c r="BC40" i="10"/>
  <c r="BM39" i="10"/>
  <c r="BF39" i="10"/>
  <c r="BC39" i="10"/>
  <c r="BM38" i="10"/>
  <c r="BF38" i="10"/>
  <c r="BC38" i="10"/>
  <c r="BM37" i="10"/>
  <c r="BF37" i="10"/>
  <c r="BC37" i="10"/>
  <c r="BM36" i="10"/>
  <c r="BF36" i="10"/>
  <c r="BC36" i="10"/>
  <c r="BM35" i="10"/>
  <c r="BF35" i="10"/>
  <c r="BC35" i="10"/>
  <c r="BM34" i="10"/>
  <c r="BF34" i="10"/>
  <c r="BC34" i="10"/>
  <c r="BM33" i="10"/>
  <c r="BF33" i="10"/>
  <c r="BC33" i="10"/>
  <c r="BM32" i="10"/>
  <c r="BF32" i="10"/>
  <c r="BC32" i="10"/>
  <c r="BM31" i="10"/>
  <c r="BF31" i="10"/>
  <c r="BC31" i="10"/>
  <c r="BM30" i="10"/>
  <c r="BF30" i="10"/>
  <c r="BC30" i="10"/>
  <c r="BM29" i="10"/>
  <c r="BF29" i="10"/>
  <c r="BC29" i="10"/>
  <c r="BM28" i="10"/>
  <c r="BF28" i="10"/>
  <c r="BC28" i="10"/>
  <c r="BM27" i="10"/>
  <c r="BF27" i="10"/>
  <c r="BC27" i="10"/>
  <c r="BM26" i="10"/>
  <c r="BF26" i="10"/>
  <c r="BC26" i="10"/>
  <c r="BM25" i="10"/>
  <c r="BF25" i="10"/>
  <c r="BC25" i="10"/>
  <c r="BM24" i="10"/>
  <c r="BF24" i="10"/>
  <c r="BC24" i="10"/>
  <c r="BM23" i="10"/>
  <c r="BF23" i="10"/>
  <c r="BC23" i="10"/>
  <c r="BM22" i="10"/>
  <c r="BF22" i="10"/>
  <c r="BC22" i="10"/>
  <c r="BM21" i="10"/>
  <c r="BF21" i="10"/>
  <c r="BC21" i="10"/>
  <c r="BM20" i="10"/>
  <c r="BF20" i="10"/>
  <c r="BC20" i="10"/>
  <c r="BF19" i="10"/>
  <c r="BC19" i="10"/>
  <c r="BF18" i="10"/>
  <c r="BC18" i="10"/>
  <c r="BF17" i="10"/>
  <c r="BC17" i="10"/>
  <c r="BF16" i="10"/>
  <c r="BC16" i="10"/>
  <c r="BF15" i="10"/>
  <c r="BC15" i="10"/>
  <c r="BF14" i="10"/>
  <c r="BC14" i="10"/>
  <c r="BF13" i="10"/>
  <c r="BC13" i="10"/>
  <c r="BF12" i="10"/>
  <c r="BC12" i="10"/>
  <c r="BF11" i="10"/>
  <c r="BC11" i="10"/>
  <c r="BF10" i="10"/>
  <c r="BC10" i="10"/>
  <c r="BF9" i="10"/>
  <c r="BC9" i="10"/>
  <c r="AA5" i="10" l="1"/>
  <c r="BF8" i="10" l="1"/>
  <c r="V139" i="27" l="1"/>
  <c r="V138" i="27"/>
  <c r="V137" i="27"/>
  <c r="V136" i="27"/>
  <c r="V135" i="27"/>
  <c r="V134" i="27"/>
  <c r="V133" i="27"/>
  <c r="V132" i="27"/>
  <c r="V131" i="27"/>
  <c r="V130" i="27"/>
  <c r="V129" i="27"/>
  <c r="V128" i="27"/>
  <c r="V127" i="27"/>
  <c r="V126" i="27"/>
  <c r="V125" i="27"/>
  <c r="V124" i="27"/>
  <c r="V123" i="27"/>
  <c r="V122" i="27"/>
  <c r="B139" i="27" l="1"/>
  <c r="B138" i="27"/>
  <c r="B137" i="27"/>
  <c r="B136" i="27"/>
  <c r="B135" i="27"/>
  <c r="B134" i="27"/>
  <c r="B133" i="27"/>
  <c r="B132" i="27"/>
  <c r="B131" i="27"/>
  <c r="B130" i="27"/>
  <c r="B129" i="27"/>
  <c r="B128" i="27"/>
  <c r="B127" i="27"/>
  <c r="B126" i="27"/>
  <c r="B125" i="27"/>
  <c r="B124" i="27"/>
  <c r="B123" i="27"/>
  <c r="B122" i="27"/>
  <c r="B115" i="27"/>
  <c r="B114" i="27"/>
  <c r="B113" i="27"/>
  <c r="B112" i="27"/>
  <c r="B111" i="27"/>
  <c r="B110" i="27"/>
  <c r="B109" i="27"/>
  <c r="B108" i="27"/>
  <c r="B107" i="27"/>
  <c r="B106" i="27"/>
  <c r="B105" i="27"/>
  <c r="B104" i="27"/>
  <c r="B103" i="27"/>
  <c r="B102" i="27"/>
  <c r="B101" i="27"/>
  <c r="B100" i="27"/>
  <c r="B99" i="27"/>
  <c r="B98" i="27"/>
  <c r="B97" i="27"/>
  <c r="B96" i="27"/>
  <c r="B95" i="27"/>
  <c r="AD55" i="27" l="1"/>
  <c r="BC8" i="10" l="1"/>
  <c r="AD4" i="27"/>
  <c r="M5" i="3"/>
  <c r="Y12" i="27"/>
  <c r="N26" i="3" l="1"/>
  <c r="AD23" i="27" s="1"/>
  <c r="X2" i="19" l="1"/>
  <c r="N154" i="27" l="1"/>
  <c r="M139" i="27"/>
  <c r="M138" i="27"/>
  <c r="M137" i="27"/>
  <c r="M136" i="27"/>
  <c r="M135" i="27"/>
  <c r="M134" i="27"/>
  <c r="M133" i="27"/>
  <c r="M132" i="27"/>
  <c r="M131" i="27"/>
  <c r="M130" i="27"/>
  <c r="M129" i="27"/>
  <c r="M128" i="27"/>
  <c r="M127" i="27"/>
  <c r="M126" i="27"/>
  <c r="M125" i="27"/>
  <c r="AD139" i="27"/>
  <c r="AD138" i="27"/>
  <c r="AD137" i="27"/>
  <c r="AD136" i="27"/>
  <c r="AD135" i="27"/>
  <c r="AD134" i="27"/>
  <c r="AD133" i="27"/>
  <c r="AD132" i="27"/>
  <c r="AD131" i="27"/>
  <c r="AD130" i="27"/>
  <c r="AD129" i="27"/>
  <c r="AD128" i="27"/>
  <c r="AD127" i="27"/>
  <c r="AD126" i="27"/>
  <c r="AD125" i="27"/>
  <c r="H139" i="27"/>
  <c r="H138" i="27"/>
  <c r="H137" i="27"/>
  <c r="H136" i="27"/>
  <c r="H135" i="27"/>
  <c r="H134" i="27"/>
  <c r="H133" i="27"/>
  <c r="H132" i="27"/>
  <c r="H131" i="27"/>
  <c r="H130" i="27"/>
  <c r="H129" i="27"/>
  <c r="H128" i="27"/>
  <c r="H127" i="27"/>
  <c r="H126" i="27"/>
  <c r="H125" i="27"/>
  <c r="F139" i="27"/>
  <c r="D139" i="27"/>
  <c r="F138" i="27"/>
  <c r="D138" i="27"/>
  <c r="F137" i="27"/>
  <c r="D137" i="27"/>
  <c r="F136" i="27"/>
  <c r="D136" i="27"/>
  <c r="F135" i="27"/>
  <c r="D135" i="27"/>
  <c r="F134" i="27"/>
  <c r="D134" i="27"/>
  <c r="F133" i="27"/>
  <c r="D133" i="27"/>
  <c r="F132" i="27"/>
  <c r="D132" i="27"/>
  <c r="F131" i="27"/>
  <c r="D131" i="27"/>
  <c r="F130" i="27"/>
  <c r="D130" i="27"/>
  <c r="F129" i="27"/>
  <c r="D129" i="27"/>
  <c r="F128" i="27"/>
  <c r="D128" i="27"/>
  <c r="F127" i="27"/>
  <c r="D127" i="27"/>
  <c r="F126" i="27"/>
  <c r="D126" i="27"/>
  <c r="F125" i="27"/>
  <c r="D125" i="27"/>
  <c r="J138" i="27"/>
  <c r="J137" i="27"/>
  <c r="J136" i="27"/>
  <c r="J135" i="27"/>
  <c r="J134" i="27"/>
  <c r="J133" i="27"/>
  <c r="J132" i="27"/>
  <c r="J131" i="27"/>
  <c r="J130" i="27"/>
  <c r="J129" i="27"/>
  <c r="J128" i="27"/>
  <c r="J127" i="27"/>
  <c r="J126" i="27"/>
  <c r="J125" i="27"/>
  <c r="AD115" i="27"/>
  <c r="AB115" i="27"/>
  <c r="Z115" i="27"/>
  <c r="T115" i="27"/>
  <c r="M115" i="27"/>
  <c r="J115" i="27"/>
  <c r="AD114" i="27"/>
  <c r="AB114" i="27"/>
  <c r="Z114" i="27"/>
  <c r="T114" i="27"/>
  <c r="M114" i="27"/>
  <c r="J114" i="27"/>
  <c r="AD113" i="27"/>
  <c r="AB113" i="27"/>
  <c r="Z113" i="27"/>
  <c r="T113" i="27"/>
  <c r="M113" i="27"/>
  <c r="J113" i="27"/>
  <c r="AD112" i="27"/>
  <c r="AB112" i="27"/>
  <c r="Z112" i="27"/>
  <c r="T112" i="27"/>
  <c r="M112" i="27"/>
  <c r="J112" i="27"/>
  <c r="AD111" i="27"/>
  <c r="AB111" i="27"/>
  <c r="Z111" i="27"/>
  <c r="T111" i="27"/>
  <c r="M111" i="27"/>
  <c r="J111" i="27"/>
  <c r="AD110" i="27"/>
  <c r="AB110" i="27"/>
  <c r="Z110" i="27"/>
  <c r="T110" i="27"/>
  <c r="M110" i="27"/>
  <c r="J110" i="27"/>
  <c r="AD109" i="27"/>
  <c r="AB109" i="27"/>
  <c r="Z109" i="27"/>
  <c r="T109" i="27"/>
  <c r="M109" i="27"/>
  <c r="J109" i="27"/>
  <c r="AD108" i="27"/>
  <c r="AB108" i="27"/>
  <c r="Z108" i="27"/>
  <c r="T108" i="27"/>
  <c r="M108" i="27"/>
  <c r="J108" i="27"/>
  <c r="AD107" i="27"/>
  <c r="AB107" i="27"/>
  <c r="Z107" i="27"/>
  <c r="T107" i="27"/>
  <c r="M107" i="27"/>
  <c r="J107" i="27"/>
  <c r="AD106" i="27"/>
  <c r="AB106" i="27"/>
  <c r="Z106" i="27"/>
  <c r="T106" i="27"/>
  <c r="M106" i="27"/>
  <c r="J106" i="27"/>
  <c r="AD105" i="27"/>
  <c r="AB105" i="27"/>
  <c r="Z105" i="27"/>
  <c r="T105" i="27"/>
  <c r="M105" i="27"/>
  <c r="J105" i="27"/>
  <c r="AD104" i="27"/>
  <c r="AB104" i="27"/>
  <c r="Z104" i="27"/>
  <c r="T104" i="27"/>
  <c r="M104" i="27"/>
  <c r="J104" i="27"/>
  <c r="AD103" i="27"/>
  <c r="AB103" i="27"/>
  <c r="Z103" i="27"/>
  <c r="T103" i="27"/>
  <c r="M103" i="27"/>
  <c r="J103" i="27"/>
  <c r="AD102" i="27"/>
  <c r="AB102" i="27"/>
  <c r="Z102" i="27"/>
  <c r="T102" i="27"/>
  <c r="M102" i="27"/>
  <c r="J102" i="27"/>
  <c r="AD101" i="27"/>
  <c r="AB101" i="27"/>
  <c r="Z101" i="27"/>
  <c r="T101" i="27"/>
  <c r="M101" i="27"/>
  <c r="J101" i="27"/>
  <c r="AD100" i="27"/>
  <c r="AB100" i="27"/>
  <c r="Z100" i="27"/>
  <c r="T100" i="27"/>
  <c r="M100" i="27"/>
  <c r="J100" i="27"/>
  <c r="AD99" i="27"/>
  <c r="AB99" i="27"/>
  <c r="Z99" i="27"/>
  <c r="T99" i="27"/>
  <c r="M99" i="27"/>
  <c r="J99" i="27"/>
  <c r="AD98" i="27"/>
  <c r="AB98" i="27"/>
  <c r="Z98" i="27"/>
  <c r="T98" i="27"/>
  <c r="M98" i="27"/>
  <c r="J98" i="27"/>
  <c r="AD97" i="27"/>
  <c r="AB97" i="27"/>
  <c r="Z97" i="27"/>
  <c r="T97" i="27"/>
  <c r="M97" i="27"/>
  <c r="J97" i="27"/>
  <c r="AD96" i="27"/>
  <c r="AB96" i="27"/>
  <c r="Z96" i="27"/>
  <c r="T96" i="27"/>
  <c r="M96" i="27"/>
  <c r="J96" i="27"/>
  <c r="AD95" i="27"/>
  <c r="AB95" i="27"/>
  <c r="Z95" i="27"/>
  <c r="T95" i="27"/>
  <c r="M95" i="27"/>
  <c r="J95" i="27"/>
  <c r="H115" i="27"/>
  <c r="H114" i="27"/>
  <c r="H113" i="27"/>
  <c r="H112" i="27"/>
  <c r="H111" i="27"/>
  <c r="H110" i="27"/>
  <c r="H109" i="27"/>
  <c r="H108" i="27"/>
  <c r="H107" i="27"/>
  <c r="H106" i="27"/>
  <c r="H105" i="27"/>
  <c r="H104" i="27"/>
  <c r="H103" i="27"/>
  <c r="H102" i="27"/>
  <c r="H101" i="27"/>
  <c r="H100" i="27"/>
  <c r="H99" i="27"/>
  <c r="H98" i="27"/>
  <c r="H97" i="27"/>
  <c r="H96" i="27"/>
  <c r="H95" i="27"/>
  <c r="F115" i="27"/>
  <c r="D115" i="27"/>
  <c r="F114" i="27"/>
  <c r="D114" i="27"/>
  <c r="F113" i="27"/>
  <c r="D113" i="27"/>
  <c r="F112" i="27"/>
  <c r="D112" i="27"/>
  <c r="F111" i="27"/>
  <c r="D111" i="27"/>
  <c r="F110" i="27"/>
  <c r="D110" i="27"/>
  <c r="F109" i="27"/>
  <c r="D109" i="27"/>
  <c r="F108" i="27"/>
  <c r="D108" i="27"/>
  <c r="F107" i="27"/>
  <c r="D107" i="27"/>
  <c r="F106" i="27"/>
  <c r="D106" i="27"/>
  <c r="F105" i="27"/>
  <c r="D105" i="27"/>
  <c r="F104" i="27"/>
  <c r="D104" i="27"/>
  <c r="F103" i="27"/>
  <c r="D103" i="27"/>
  <c r="F102" i="27"/>
  <c r="D102" i="27"/>
  <c r="F101" i="27"/>
  <c r="D101" i="27"/>
  <c r="F100" i="27"/>
  <c r="D100" i="27"/>
  <c r="F99" i="27"/>
  <c r="D99" i="27"/>
  <c r="F98" i="27"/>
  <c r="D98" i="27"/>
  <c r="F97" i="27"/>
  <c r="D97" i="27"/>
  <c r="F96" i="27"/>
  <c r="D96" i="27"/>
  <c r="F95" i="27"/>
  <c r="D95" i="27"/>
  <c r="Z503" i="14"/>
  <c r="Z502" i="14"/>
  <c r="Z501" i="14"/>
  <c r="Z500" i="14"/>
  <c r="Z499" i="14"/>
  <c r="Z498" i="14"/>
  <c r="Z497" i="14"/>
  <c r="Z496" i="14"/>
  <c r="Z495" i="14"/>
  <c r="Z494" i="14"/>
  <c r="Z493" i="14"/>
  <c r="Z492" i="14"/>
  <c r="Z491" i="14"/>
  <c r="Z490" i="14"/>
  <c r="Z489" i="14"/>
  <c r="Z488" i="14"/>
  <c r="Z487" i="14"/>
  <c r="Z486" i="14"/>
  <c r="Z485" i="14"/>
  <c r="Z484" i="14"/>
  <c r="Z483" i="14"/>
  <c r="Z482" i="14"/>
  <c r="Z481" i="14"/>
  <c r="Z480" i="14"/>
  <c r="Z479" i="14"/>
  <c r="Z478" i="14"/>
  <c r="Z477" i="14"/>
  <c r="Z476" i="14"/>
  <c r="Z475" i="14"/>
  <c r="Z474" i="14"/>
  <c r="Z473" i="14"/>
  <c r="Z472" i="14"/>
  <c r="Z471" i="14"/>
  <c r="Z470" i="14"/>
  <c r="Z469" i="14"/>
  <c r="Z468" i="14"/>
  <c r="Z467" i="14"/>
  <c r="Z466" i="14"/>
  <c r="Z465" i="14"/>
  <c r="Z464" i="14"/>
  <c r="Z463" i="14"/>
  <c r="Z462" i="14"/>
  <c r="Z461" i="14"/>
  <c r="Z460" i="14"/>
  <c r="Z459" i="14"/>
  <c r="Z458" i="14"/>
  <c r="Z457" i="14"/>
  <c r="Z456" i="14"/>
  <c r="Z455" i="14"/>
  <c r="Z454" i="14"/>
  <c r="Z453" i="14"/>
  <c r="Z452" i="14"/>
  <c r="Z451" i="14"/>
  <c r="Z450" i="14"/>
  <c r="Z449" i="14"/>
  <c r="Z448" i="14"/>
  <c r="Z447" i="14"/>
  <c r="Z446" i="14"/>
  <c r="Z445" i="14"/>
  <c r="Z444" i="14"/>
  <c r="Z443" i="14"/>
  <c r="Z442" i="14"/>
  <c r="Z441" i="14"/>
  <c r="Z440" i="14"/>
  <c r="Z439" i="14"/>
  <c r="Z438" i="14"/>
  <c r="Z437" i="14"/>
  <c r="Z436" i="14"/>
  <c r="Z435" i="14"/>
  <c r="Z434" i="14"/>
  <c r="Z433" i="14"/>
  <c r="Z432" i="14"/>
  <c r="Z431" i="14"/>
  <c r="Z430" i="14"/>
  <c r="Z429" i="14"/>
  <c r="Z428" i="14"/>
  <c r="Z427" i="14"/>
  <c r="Z426" i="14"/>
  <c r="Z425" i="14"/>
  <c r="Z424" i="14"/>
  <c r="Z423" i="14"/>
  <c r="Z422" i="14"/>
  <c r="Z421" i="14"/>
  <c r="Z420" i="14"/>
  <c r="Z419" i="14"/>
  <c r="Z418" i="14"/>
  <c r="Z417" i="14"/>
  <c r="Z416" i="14"/>
  <c r="Z415" i="14"/>
  <c r="Z414" i="14"/>
  <c r="Z413" i="14"/>
  <c r="Z412" i="14"/>
  <c r="Z411" i="14"/>
  <c r="Z410" i="14"/>
  <c r="Z409" i="14"/>
  <c r="Z408" i="14"/>
  <c r="Z407" i="14"/>
  <c r="Z406" i="14"/>
  <c r="Z405" i="14"/>
  <c r="Z404" i="14"/>
  <c r="Z403" i="14"/>
  <c r="Z402" i="14"/>
  <c r="Z401" i="14"/>
  <c r="Z400" i="14"/>
  <c r="Z399" i="14"/>
  <c r="Z398" i="14"/>
  <c r="Z397" i="14"/>
  <c r="Z396" i="14"/>
  <c r="Z395" i="14"/>
  <c r="Z394" i="14"/>
  <c r="Z393" i="14"/>
  <c r="Z392" i="14"/>
  <c r="Z391" i="14"/>
  <c r="Z390" i="14"/>
  <c r="Z389" i="14"/>
  <c r="Z388" i="14"/>
  <c r="Z387" i="14"/>
  <c r="Z386" i="14"/>
  <c r="Z385" i="14"/>
  <c r="Z384" i="14"/>
  <c r="Z383" i="14"/>
  <c r="Z382" i="14"/>
  <c r="Z381" i="14"/>
  <c r="Z380" i="14"/>
  <c r="Z379" i="14"/>
  <c r="Z378" i="14"/>
  <c r="Z377" i="14"/>
  <c r="Z376" i="14"/>
  <c r="Z375" i="14"/>
  <c r="Z374" i="14"/>
  <c r="Z373" i="14"/>
  <c r="Z372" i="14"/>
  <c r="Z371" i="14"/>
  <c r="Z370" i="14"/>
  <c r="Z369" i="14"/>
  <c r="Z368" i="14"/>
  <c r="Z367" i="14"/>
  <c r="Z366" i="14"/>
  <c r="Z365" i="14"/>
  <c r="Z364" i="14"/>
  <c r="Z363" i="14"/>
  <c r="Z362" i="14"/>
  <c r="Z361" i="14"/>
  <c r="Z360" i="14"/>
  <c r="Z359" i="14"/>
  <c r="Z358" i="14"/>
  <c r="Z357" i="14"/>
  <c r="Z356" i="14"/>
  <c r="Z355" i="14"/>
  <c r="Z354" i="14"/>
  <c r="Z353" i="14"/>
  <c r="Z352" i="14"/>
  <c r="Z351" i="14"/>
  <c r="Z350" i="14"/>
  <c r="Z349" i="14"/>
  <c r="Z348" i="14"/>
  <c r="Z347" i="14"/>
  <c r="Z346" i="14"/>
  <c r="Z345" i="14"/>
  <c r="Z344" i="14"/>
  <c r="Z343" i="14"/>
  <c r="Z342" i="14"/>
  <c r="Z341" i="14"/>
  <c r="Z340" i="14"/>
  <c r="Z339" i="14"/>
  <c r="Z338" i="14"/>
  <c r="Z337" i="14"/>
  <c r="Z336" i="14"/>
  <c r="Z335" i="14"/>
  <c r="Z334" i="14"/>
  <c r="Z333" i="14"/>
  <c r="Z332" i="14"/>
  <c r="Z331" i="14"/>
  <c r="Z330" i="14"/>
  <c r="Z329" i="14"/>
  <c r="Z328" i="14"/>
  <c r="Z327" i="14"/>
  <c r="Z326" i="14"/>
  <c r="Z325" i="14"/>
  <c r="Z324" i="14"/>
  <c r="Z323" i="14"/>
  <c r="Z322" i="14"/>
  <c r="Z321" i="14"/>
  <c r="Z320" i="14"/>
  <c r="Z319" i="14"/>
  <c r="Z318" i="14"/>
  <c r="Z317" i="14"/>
  <c r="Z316" i="14"/>
  <c r="Z315" i="14"/>
  <c r="Z314" i="14"/>
  <c r="Z313" i="14"/>
  <c r="Z312" i="14"/>
  <c r="Z311" i="14"/>
  <c r="Z310" i="14"/>
  <c r="Z309" i="14"/>
  <c r="Z308" i="14"/>
  <c r="Z307" i="14"/>
  <c r="Z306" i="14"/>
  <c r="Z305" i="14"/>
  <c r="Z304" i="14"/>
  <c r="Z303" i="14"/>
  <c r="Z302" i="14"/>
  <c r="Z301" i="14"/>
  <c r="Z300" i="14"/>
  <c r="Z299" i="14"/>
  <c r="Z298" i="14"/>
  <c r="Z297" i="14"/>
  <c r="Z296" i="14"/>
  <c r="Z295" i="14"/>
  <c r="Z294" i="14"/>
  <c r="Z293" i="14"/>
  <c r="Z292" i="14"/>
  <c r="Z291" i="14"/>
  <c r="Z290" i="14"/>
  <c r="Z289" i="14"/>
  <c r="Z288" i="14"/>
  <c r="Z287" i="14"/>
  <c r="Z286" i="14"/>
  <c r="Z285" i="14"/>
  <c r="Z284" i="14"/>
  <c r="Z283" i="14"/>
  <c r="Z282" i="14"/>
  <c r="Z281" i="14"/>
  <c r="Z280" i="14"/>
  <c r="Z279" i="14"/>
  <c r="Z278" i="14"/>
  <c r="Z277" i="14"/>
  <c r="Z276" i="14"/>
  <c r="Z275" i="14"/>
  <c r="Z274" i="14"/>
  <c r="Z273" i="14"/>
  <c r="Z272" i="14"/>
  <c r="Z271" i="14"/>
  <c r="Z270" i="14"/>
  <c r="Z269" i="14"/>
  <c r="Z268" i="14"/>
  <c r="Z267" i="14"/>
  <c r="Z266" i="14"/>
  <c r="Z265" i="14"/>
  <c r="Z264" i="14"/>
  <c r="Z263" i="14"/>
  <c r="Z262" i="14"/>
  <c r="Z261" i="14"/>
  <c r="Z260" i="14"/>
  <c r="Z259" i="14"/>
  <c r="Z258" i="14"/>
  <c r="Z257" i="14"/>
  <c r="Z256" i="14"/>
  <c r="Z255" i="14"/>
  <c r="Z254" i="14"/>
  <c r="Z253" i="14"/>
  <c r="Z252" i="14"/>
  <c r="Z251" i="14"/>
  <c r="Z250" i="14"/>
  <c r="Z249" i="14"/>
  <c r="Z248" i="14"/>
  <c r="Z247" i="14"/>
  <c r="Z246" i="14"/>
  <c r="Z245" i="14"/>
  <c r="Z244" i="14"/>
  <c r="Z243" i="14"/>
  <c r="Z242" i="14"/>
  <c r="Z241" i="14"/>
  <c r="Z240" i="14"/>
  <c r="Z239" i="14"/>
  <c r="Z238" i="14"/>
  <c r="Z237" i="14"/>
  <c r="Z236" i="14"/>
  <c r="Z235" i="14"/>
  <c r="Z234" i="14"/>
  <c r="Z233" i="14"/>
  <c r="Z232" i="14"/>
  <c r="Z231" i="14"/>
  <c r="Z230" i="14"/>
  <c r="Z229" i="14"/>
  <c r="Z228" i="14"/>
  <c r="Z227" i="14"/>
  <c r="Z226" i="14"/>
  <c r="Z225" i="14"/>
  <c r="Z224" i="14"/>
  <c r="Z223" i="14"/>
  <c r="Z222" i="14"/>
  <c r="Z221" i="14"/>
  <c r="Z220" i="14"/>
  <c r="Z219" i="14"/>
  <c r="Z218" i="14"/>
  <c r="Z217" i="14"/>
  <c r="Z216" i="14"/>
  <c r="Z215" i="14"/>
  <c r="Z214" i="14"/>
  <c r="Z213" i="14"/>
  <c r="Z212" i="14"/>
  <c r="Z211" i="14"/>
  <c r="Z210" i="14"/>
  <c r="Z209" i="14"/>
  <c r="Z208" i="14"/>
  <c r="Z207" i="14"/>
  <c r="Z206" i="14"/>
  <c r="Z205" i="14"/>
  <c r="Z204" i="14"/>
  <c r="Z203" i="14"/>
  <c r="Z202" i="14"/>
  <c r="Z201" i="14"/>
  <c r="Z200" i="14"/>
  <c r="Z199" i="14"/>
  <c r="Z198" i="14"/>
  <c r="Z197" i="14"/>
  <c r="Z196" i="14"/>
  <c r="Z195" i="14"/>
  <c r="Z194" i="14"/>
  <c r="Z193" i="14"/>
  <c r="Z192" i="14"/>
  <c r="Z191" i="14"/>
  <c r="Z190" i="14"/>
  <c r="Z189" i="14"/>
  <c r="Z188" i="14"/>
  <c r="Z187" i="14"/>
  <c r="Z186" i="14"/>
  <c r="Z185" i="14"/>
  <c r="Z184" i="14"/>
  <c r="Z183" i="14"/>
  <c r="Z182" i="14"/>
  <c r="Z181" i="14"/>
  <c r="Z180" i="14"/>
  <c r="Z179" i="14"/>
  <c r="Z178" i="14"/>
  <c r="Z177" i="14"/>
  <c r="Z176" i="14"/>
  <c r="Z175" i="14"/>
  <c r="Z174" i="14"/>
  <c r="Z173" i="14"/>
  <c r="Z172" i="14"/>
  <c r="Z171" i="14"/>
  <c r="Z170" i="14"/>
  <c r="Z169" i="14"/>
  <c r="Z168" i="14"/>
  <c r="Z167" i="14"/>
  <c r="Z166" i="14"/>
  <c r="Z165" i="14"/>
  <c r="Z164" i="14"/>
  <c r="Z163" i="14"/>
  <c r="Z162" i="14"/>
  <c r="Z161" i="14"/>
  <c r="Z160" i="14"/>
  <c r="Z159" i="14"/>
  <c r="Z158" i="14"/>
  <c r="Z157" i="14"/>
  <c r="Z156" i="14"/>
  <c r="Z155" i="14"/>
  <c r="Z154" i="14"/>
  <c r="Z153" i="14"/>
  <c r="Z152" i="14"/>
  <c r="Z151" i="14"/>
  <c r="Z150" i="14"/>
  <c r="Z149" i="14"/>
  <c r="Z148" i="14"/>
  <c r="Z147" i="14"/>
  <c r="Z146" i="14"/>
  <c r="Z145" i="14"/>
  <c r="Z144" i="14"/>
  <c r="Z143" i="14"/>
  <c r="Z142" i="14"/>
  <c r="Z141" i="14"/>
  <c r="Z140" i="14"/>
  <c r="Z139" i="14"/>
  <c r="Z138" i="14"/>
  <c r="Z137" i="14"/>
  <c r="Z136" i="14"/>
  <c r="Z135" i="14"/>
  <c r="Z134" i="14"/>
  <c r="Z133" i="14"/>
  <c r="Z132" i="14"/>
  <c r="Z131" i="14"/>
  <c r="Z130" i="14"/>
  <c r="Z129" i="14"/>
  <c r="Z128" i="14"/>
  <c r="Z127" i="14"/>
  <c r="Z126" i="14"/>
  <c r="Z125" i="14"/>
  <c r="Z124" i="14"/>
  <c r="Z123" i="14"/>
  <c r="Z122" i="14"/>
  <c r="Z121" i="14"/>
  <c r="Z120" i="14"/>
  <c r="Z119" i="14"/>
  <c r="Z118" i="14"/>
  <c r="Z117" i="14"/>
  <c r="Z116" i="14"/>
  <c r="Z115" i="14"/>
  <c r="Z114" i="14"/>
  <c r="Z113" i="14"/>
  <c r="Z112" i="14"/>
  <c r="Z111" i="14"/>
  <c r="Z110" i="14"/>
  <c r="Z109" i="14"/>
  <c r="Z108" i="14"/>
  <c r="Z107" i="14"/>
  <c r="Z106" i="14"/>
  <c r="Z105" i="14"/>
  <c r="Z104" i="14"/>
  <c r="Z103" i="14"/>
  <c r="Z102" i="14"/>
  <c r="Z101" i="14"/>
  <c r="Z100" i="14"/>
  <c r="Z99" i="14"/>
  <c r="Z98" i="14"/>
  <c r="Z97" i="14"/>
  <c r="Z96" i="14"/>
  <c r="Z95" i="14"/>
  <c r="Z94" i="14"/>
  <c r="Z93" i="14"/>
  <c r="Z92" i="14"/>
  <c r="Z91" i="14"/>
  <c r="Z90" i="14"/>
  <c r="Z89" i="14"/>
  <c r="Z88" i="14"/>
  <c r="Z87" i="14"/>
  <c r="Z86" i="14"/>
  <c r="Z85" i="14"/>
  <c r="Z84" i="14"/>
  <c r="Z83" i="14"/>
  <c r="Z82" i="14"/>
  <c r="Z81" i="14"/>
  <c r="Z80" i="14"/>
  <c r="Z79" i="14"/>
  <c r="Z78" i="14"/>
  <c r="Z77" i="14"/>
  <c r="Z76" i="14"/>
  <c r="Z75" i="14"/>
  <c r="Z74" i="14"/>
  <c r="Z73" i="14"/>
  <c r="Z72" i="14"/>
  <c r="Z71" i="14"/>
  <c r="Z70" i="14"/>
  <c r="Z69" i="14"/>
  <c r="Z68" i="14"/>
  <c r="Z67" i="14"/>
  <c r="Z66" i="14"/>
  <c r="Z65" i="14"/>
  <c r="Z64" i="14"/>
  <c r="Z63" i="14"/>
  <c r="Z62" i="14"/>
  <c r="Z61" i="14"/>
  <c r="Z60" i="14"/>
  <c r="Z59" i="14"/>
  <c r="Z58" i="14"/>
  <c r="Z57" i="14"/>
  <c r="Z56" i="14"/>
  <c r="Z55" i="14"/>
  <c r="Z54" i="14"/>
  <c r="Z53" i="14"/>
  <c r="Z52" i="14"/>
  <c r="Z51" i="14"/>
  <c r="Z50" i="14"/>
  <c r="Z49" i="14"/>
  <c r="Z48" i="14"/>
  <c r="Z47" i="14"/>
  <c r="Z46" i="14"/>
  <c r="Z45" i="14"/>
  <c r="Z44" i="14"/>
  <c r="Z43" i="14"/>
  <c r="Z42" i="14"/>
  <c r="Z41" i="14"/>
  <c r="Z40" i="14"/>
  <c r="Z39" i="14"/>
  <c r="Z38" i="14"/>
  <c r="Z37" i="14"/>
  <c r="Z36" i="14"/>
  <c r="Z35" i="14"/>
  <c r="Z34" i="14"/>
  <c r="Z33" i="14"/>
  <c r="Z32" i="14"/>
  <c r="Z31" i="14"/>
  <c r="Z30" i="14"/>
  <c r="Z29" i="14"/>
  <c r="Z28" i="14"/>
  <c r="Z27" i="14"/>
  <c r="Z26" i="14"/>
  <c r="Z25" i="14"/>
  <c r="Z24" i="14"/>
  <c r="Z23" i="14"/>
  <c r="Z22" i="14"/>
  <c r="Z21" i="14"/>
  <c r="Z20" i="14"/>
  <c r="Z19" i="14"/>
  <c r="Z18" i="14"/>
  <c r="Z17" i="14"/>
  <c r="Z16" i="14"/>
  <c r="B3" i="28"/>
  <c r="C3" i="28"/>
  <c r="B4" i="28"/>
  <c r="C4" i="28"/>
  <c r="B5" i="28"/>
  <c r="C5" i="28"/>
  <c r="B6" i="28"/>
  <c r="C6" i="28"/>
  <c r="B7" i="28"/>
  <c r="C7" i="28"/>
  <c r="B8" i="28"/>
  <c r="C8" i="28"/>
  <c r="B9" i="28"/>
  <c r="C9" i="28"/>
  <c r="B10" i="28"/>
  <c r="C10" i="28"/>
  <c r="B11" i="28"/>
  <c r="C11" i="28"/>
  <c r="B12" i="28"/>
  <c r="C12" i="28"/>
  <c r="B13" i="28"/>
  <c r="C13" i="28"/>
  <c r="B14" i="28"/>
  <c r="C14" i="28"/>
  <c r="B15" i="28"/>
  <c r="C15" i="28"/>
  <c r="B16" i="28"/>
  <c r="C16" i="28"/>
  <c r="B17" i="28"/>
  <c r="C17" i="28"/>
  <c r="B18" i="28"/>
  <c r="C18" i="28"/>
  <c r="B19" i="28"/>
  <c r="C19" i="28"/>
  <c r="B20" i="28"/>
  <c r="C20" i="28"/>
  <c r="B21" i="28"/>
  <c r="C21" i="28"/>
  <c r="C2" i="28"/>
  <c r="B2" i="28"/>
  <c r="E9" i="27"/>
  <c r="E8" i="27"/>
  <c r="B81" i="27"/>
  <c r="B80" i="27"/>
  <c r="B79" i="27"/>
  <c r="B78" i="27"/>
  <c r="B77" i="27"/>
  <c r="B76" i="27"/>
  <c r="B75" i="27"/>
  <c r="B74" i="27"/>
  <c r="B73" i="27"/>
  <c r="B72" i="27"/>
  <c r="B71" i="27"/>
  <c r="B70" i="27"/>
  <c r="B69" i="27"/>
  <c r="B68" i="27"/>
  <c r="B67" i="27"/>
  <c r="B66" i="27"/>
  <c r="B65" i="27"/>
  <c r="B64" i="27"/>
  <c r="B63" i="27"/>
  <c r="B62" i="27"/>
  <c r="B61" i="27"/>
  <c r="B60" i="27"/>
  <c r="B59" i="27"/>
  <c r="N153" i="27"/>
  <c r="L153" i="27"/>
  <c r="J153" i="27"/>
  <c r="H153" i="27"/>
  <c r="F153" i="27"/>
  <c r="D153" i="27"/>
  <c r="N157" i="27"/>
  <c r="L157" i="27"/>
  <c r="J157" i="27"/>
  <c r="H157" i="27"/>
  <c r="F157" i="27"/>
  <c r="D157" i="27"/>
  <c r="E157" i="27"/>
  <c r="I157" i="27"/>
  <c r="G157" i="27"/>
  <c r="AD64" i="27" l="1"/>
  <c r="AD72" i="27"/>
  <c r="AD76" i="27"/>
  <c r="AD61" i="27"/>
  <c r="AD69" i="27"/>
  <c r="AD77" i="27"/>
  <c r="AD59" i="27"/>
  <c r="AD63" i="27"/>
  <c r="B166" i="27"/>
  <c r="AD67" i="27"/>
  <c r="AD71" i="27"/>
  <c r="AD75" i="27"/>
  <c r="AD79" i="27"/>
  <c r="AD60" i="27"/>
  <c r="AD68" i="27"/>
  <c r="AD80" i="27"/>
  <c r="AD65" i="27"/>
  <c r="AD73" i="27"/>
  <c r="AD81" i="27"/>
  <c r="B161" i="27"/>
  <c r="AD62" i="27"/>
  <c r="B165" i="27"/>
  <c r="AD66" i="27"/>
  <c r="AD70" i="27"/>
  <c r="AD74" i="27"/>
  <c r="AD78" i="27"/>
  <c r="B167" i="27"/>
  <c r="B179" i="27"/>
  <c r="B175" i="27"/>
  <c r="B160" i="27"/>
  <c r="B164" i="27"/>
  <c r="B168" i="27"/>
  <c r="B176" i="27"/>
  <c r="B180" i="27"/>
  <c r="B163" i="27"/>
  <c r="B171" i="27"/>
  <c r="B169" i="27"/>
  <c r="B173" i="27"/>
  <c r="B177" i="27"/>
  <c r="B159" i="27"/>
  <c r="B172" i="27"/>
  <c r="B158" i="27"/>
  <c r="B162" i="27"/>
  <c r="B170" i="27"/>
  <c r="B174" i="27"/>
  <c r="B178" i="27"/>
  <c r="V159" i="27"/>
  <c r="Y503" i="14"/>
  <c r="X503" i="14"/>
  <c r="W503" i="14"/>
  <c r="V503" i="14"/>
  <c r="U503" i="14"/>
  <c r="T503" i="14"/>
  <c r="S503" i="14"/>
  <c r="R503" i="14"/>
  <c r="Q503" i="14"/>
  <c r="P503" i="14"/>
  <c r="O503" i="14"/>
  <c r="N503" i="14"/>
  <c r="M503" i="14"/>
  <c r="L503" i="14"/>
  <c r="K503" i="14"/>
  <c r="I503" i="14"/>
  <c r="H503" i="14"/>
  <c r="G503" i="14"/>
  <c r="F503" i="14"/>
  <c r="E503" i="14"/>
  <c r="D503" i="14"/>
  <c r="C503" i="14"/>
  <c r="Y502" i="14"/>
  <c r="X502" i="14"/>
  <c r="W502" i="14"/>
  <c r="V502" i="14"/>
  <c r="U502" i="14"/>
  <c r="T502" i="14"/>
  <c r="S502" i="14"/>
  <c r="R502" i="14"/>
  <c r="Q502" i="14"/>
  <c r="P502" i="14"/>
  <c r="O502" i="14"/>
  <c r="N502" i="14"/>
  <c r="M502" i="14"/>
  <c r="L502" i="14"/>
  <c r="K502" i="14"/>
  <c r="I502" i="14"/>
  <c r="H502" i="14"/>
  <c r="G502" i="14"/>
  <c r="F502" i="14"/>
  <c r="E502" i="14"/>
  <c r="D502" i="14"/>
  <c r="C502" i="14"/>
  <c r="Y501" i="14"/>
  <c r="X501" i="14"/>
  <c r="W501" i="14"/>
  <c r="V501" i="14"/>
  <c r="U501" i="14"/>
  <c r="T501" i="14"/>
  <c r="S501" i="14"/>
  <c r="R501" i="14"/>
  <c r="Q501" i="14"/>
  <c r="P501" i="14"/>
  <c r="O501" i="14"/>
  <c r="N501" i="14"/>
  <c r="M501" i="14"/>
  <c r="L501" i="14"/>
  <c r="K501" i="14"/>
  <c r="I501" i="14"/>
  <c r="H501" i="14"/>
  <c r="G501" i="14"/>
  <c r="F501" i="14"/>
  <c r="E501" i="14"/>
  <c r="D501" i="14"/>
  <c r="C501" i="14"/>
  <c r="Y500" i="14"/>
  <c r="X500" i="14"/>
  <c r="W500" i="14"/>
  <c r="V500" i="14"/>
  <c r="U500" i="14"/>
  <c r="T500" i="14"/>
  <c r="S500" i="14"/>
  <c r="R500" i="14"/>
  <c r="Q500" i="14"/>
  <c r="P500" i="14"/>
  <c r="O500" i="14"/>
  <c r="N500" i="14"/>
  <c r="M500" i="14"/>
  <c r="L500" i="14"/>
  <c r="K500" i="14"/>
  <c r="I500" i="14"/>
  <c r="H500" i="14"/>
  <c r="G500" i="14"/>
  <c r="F500" i="14"/>
  <c r="E500" i="14"/>
  <c r="D500" i="14"/>
  <c r="C500" i="14"/>
  <c r="Y499" i="14"/>
  <c r="X499" i="14"/>
  <c r="W499" i="14"/>
  <c r="V499" i="14"/>
  <c r="U499" i="14"/>
  <c r="T499" i="14"/>
  <c r="S499" i="14"/>
  <c r="R499" i="14"/>
  <c r="Q499" i="14"/>
  <c r="P499" i="14"/>
  <c r="O499" i="14"/>
  <c r="N499" i="14"/>
  <c r="M499" i="14"/>
  <c r="L499" i="14"/>
  <c r="K499" i="14"/>
  <c r="I499" i="14"/>
  <c r="H499" i="14"/>
  <c r="G499" i="14"/>
  <c r="F499" i="14"/>
  <c r="E499" i="14"/>
  <c r="D499" i="14"/>
  <c r="C499" i="14"/>
  <c r="Y498" i="14"/>
  <c r="X498" i="14"/>
  <c r="W498" i="14"/>
  <c r="V498" i="14"/>
  <c r="U498" i="14"/>
  <c r="T498" i="14"/>
  <c r="S498" i="14"/>
  <c r="R498" i="14"/>
  <c r="Q498" i="14"/>
  <c r="P498" i="14"/>
  <c r="O498" i="14"/>
  <c r="N498" i="14"/>
  <c r="M498" i="14"/>
  <c r="L498" i="14"/>
  <c r="K498" i="14"/>
  <c r="I498" i="14"/>
  <c r="H498" i="14"/>
  <c r="G498" i="14"/>
  <c r="F498" i="14"/>
  <c r="E498" i="14"/>
  <c r="D498" i="14"/>
  <c r="C498" i="14"/>
  <c r="Y497" i="14"/>
  <c r="X497" i="14"/>
  <c r="W497" i="14"/>
  <c r="V497" i="14"/>
  <c r="U497" i="14"/>
  <c r="T497" i="14"/>
  <c r="S497" i="14"/>
  <c r="R497" i="14"/>
  <c r="Q497" i="14"/>
  <c r="P497" i="14"/>
  <c r="O497" i="14"/>
  <c r="N497" i="14"/>
  <c r="M497" i="14"/>
  <c r="L497" i="14"/>
  <c r="K497" i="14"/>
  <c r="I497" i="14"/>
  <c r="H497" i="14"/>
  <c r="G497" i="14"/>
  <c r="F497" i="14"/>
  <c r="E497" i="14"/>
  <c r="D497" i="14"/>
  <c r="C497" i="14"/>
  <c r="Y496" i="14"/>
  <c r="X496" i="14"/>
  <c r="W496" i="14"/>
  <c r="V496" i="14"/>
  <c r="U496" i="14"/>
  <c r="T496" i="14"/>
  <c r="S496" i="14"/>
  <c r="R496" i="14"/>
  <c r="Q496" i="14"/>
  <c r="P496" i="14"/>
  <c r="O496" i="14"/>
  <c r="N496" i="14"/>
  <c r="M496" i="14"/>
  <c r="L496" i="14"/>
  <c r="K496" i="14"/>
  <c r="I496" i="14"/>
  <c r="H496" i="14"/>
  <c r="G496" i="14"/>
  <c r="F496" i="14"/>
  <c r="E496" i="14"/>
  <c r="D496" i="14"/>
  <c r="C496" i="14"/>
  <c r="Y495" i="14"/>
  <c r="X495" i="14"/>
  <c r="W495" i="14"/>
  <c r="V495" i="14"/>
  <c r="U495" i="14"/>
  <c r="T495" i="14"/>
  <c r="S495" i="14"/>
  <c r="R495" i="14"/>
  <c r="Q495" i="14"/>
  <c r="P495" i="14"/>
  <c r="O495" i="14"/>
  <c r="N495" i="14"/>
  <c r="M495" i="14"/>
  <c r="L495" i="14"/>
  <c r="K495" i="14"/>
  <c r="I495" i="14"/>
  <c r="H495" i="14"/>
  <c r="G495" i="14"/>
  <c r="F495" i="14"/>
  <c r="E495" i="14"/>
  <c r="D495" i="14"/>
  <c r="C495" i="14"/>
  <c r="Y494" i="14"/>
  <c r="X494" i="14"/>
  <c r="W494" i="14"/>
  <c r="V494" i="14"/>
  <c r="U494" i="14"/>
  <c r="T494" i="14"/>
  <c r="S494" i="14"/>
  <c r="R494" i="14"/>
  <c r="Q494" i="14"/>
  <c r="P494" i="14"/>
  <c r="O494" i="14"/>
  <c r="N494" i="14"/>
  <c r="M494" i="14"/>
  <c r="L494" i="14"/>
  <c r="K494" i="14"/>
  <c r="I494" i="14"/>
  <c r="H494" i="14"/>
  <c r="G494" i="14"/>
  <c r="F494" i="14"/>
  <c r="E494" i="14"/>
  <c r="D494" i="14"/>
  <c r="C494" i="14"/>
  <c r="Y493" i="14"/>
  <c r="X493" i="14"/>
  <c r="W493" i="14"/>
  <c r="V493" i="14"/>
  <c r="U493" i="14"/>
  <c r="T493" i="14"/>
  <c r="S493" i="14"/>
  <c r="R493" i="14"/>
  <c r="Q493" i="14"/>
  <c r="P493" i="14"/>
  <c r="O493" i="14"/>
  <c r="N493" i="14"/>
  <c r="M493" i="14"/>
  <c r="L493" i="14"/>
  <c r="K493" i="14"/>
  <c r="I493" i="14"/>
  <c r="H493" i="14"/>
  <c r="G493" i="14"/>
  <c r="F493" i="14"/>
  <c r="E493" i="14"/>
  <c r="D493" i="14"/>
  <c r="C493" i="14"/>
  <c r="Y492" i="14"/>
  <c r="X492" i="14"/>
  <c r="W492" i="14"/>
  <c r="V492" i="14"/>
  <c r="U492" i="14"/>
  <c r="T492" i="14"/>
  <c r="S492" i="14"/>
  <c r="R492" i="14"/>
  <c r="Q492" i="14"/>
  <c r="P492" i="14"/>
  <c r="O492" i="14"/>
  <c r="N492" i="14"/>
  <c r="M492" i="14"/>
  <c r="L492" i="14"/>
  <c r="K492" i="14"/>
  <c r="I492" i="14"/>
  <c r="H492" i="14"/>
  <c r="G492" i="14"/>
  <c r="F492" i="14"/>
  <c r="E492" i="14"/>
  <c r="D492" i="14"/>
  <c r="C492" i="14"/>
  <c r="Y491" i="14"/>
  <c r="X491" i="14"/>
  <c r="W491" i="14"/>
  <c r="V491" i="14"/>
  <c r="U491" i="14"/>
  <c r="T491" i="14"/>
  <c r="S491" i="14"/>
  <c r="R491" i="14"/>
  <c r="Q491" i="14"/>
  <c r="P491" i="14"/>
  <c r="O491" i="14"/>
  <c r="N491" i="14"/>
  <c r="M491" i="14"/>
  <c r="L491" i="14"/>
  <c r="K491" i="14"/>
  <c r="I491" i="14"/>
  <c r="H491" i="14"/>
  <c r="G491" i="14"/>
  <c r="F491" i="14"/>
  <c r="E491" i="14"/>
  <c r="D491" i="14"/>
  <c r="C491" i="14"/>
  <c r="Y490" i="14"/>
  <c r="X490" i="14"/>
  <c r="W490" i="14"/>
  <c r="V490" i="14"/>
  <c r="U490" i="14"/>
  <c r="T490" i="14"/>
  <c r="S490" i="14"/>
  <c r="R490" i="14"/>
  <c r="Q490" i="14"/>
  <c r="P490" i="14"/>
  <c r="O490" i="14"/>
  <c r="N490" i="14"/>
  <c r="M490" i="14"/>
  <c r="L490" i="14"/>
  <c r="K490" i="14"/>
  <c r="I490" i="14"/>
  <c r="H490" i="14"/>
  <c r="G490" i="14"/>
  <c r="F490" i="14"/>
  <c r="E490" i="14"/>
  <c r="D490" i="14"/>
  <c r="C490" i="14"/>
  <c r="Y489" i="14"/>
  <c r="X489" i="14"/>
  <c r="W489" i="14"/>
  <c r="V489" i="14"/>
  <c r="U489" i="14"/>
  <c r="T489" i="14"/>
  <c r="S489" i="14"/>
  <c r="R489" i="14"/>
  <c r="Q489" i="14"/>
  <c r="P489" i="14"/>
  <c r="O489" i="14"/>
  <c r="N489" i="14"/>
  <c r="M489" i="14"/>
  <c r="L489" i="14"/>
  <c r="K489" i="14"/>
  <c r="I489" i="14"/>
  <c r="H489" i="14"/>
  <c r="G489" i="14"/>
  <c r="F489" i="14"/>
  <c r="E489" i="14"/>
  <c r="D489" i="14"/>
  <c r="C489" i="14"/>
  <c r="Y488" i="14"/>
  <c r="X488" i="14"/>
  <c r="W488" i="14"/>
  <c r="V488" i="14"/>
  <c r="U488" i="14"/>
  <c r="T488" i="14"/>
  <c r="S488" i="14"/>
  <c r="R488" i="14"/>
  <c r="Q488" i="14"/>
  <c r="P488" i="14"/>
  <c r="O488" i="14"/>
  <c r="N488" i="14"/>
  <c r="M488" i="14"/>
  <c r="L488" i="14"/>
  <c r="K488" i="14"/>
  <c r="I488" i="14"/>
  <c r="H488" i="14"/>
  <c r="G488" i="14"/>
  <c r="F488" i="14"/>
  <c r="E488" i="14"/>
  <c r="D488" i="14"/>
  <c r="C488" i="14"/>
  <c r="Y487" i="14"/>
  <c r="X487" i="14"/>
  <c r="W487" i="14"/>
  <c r="V487" i="14"/>
  <c r="U487" i="14"/>
  <c r="T487" i="14"/>
  <c r="S487" i="14"/>
  <c r="R487" i="14"/>
  <c r="Q487" i="14"/>
  <c r="P487" i="14"/>
  <c r="O487" i="14"/>
  <c r="N487" i="14"/>
  <c r="M487" i="14"/>
  <c r="L487" i="14"/>
  <c r="K487" i="14"/>
  <c r="I487" i="14"/>
  <c r="H487" i="14"/>
  <c r="G487" i="14"/>
  <c r="F487" i="14"/>
  <c r="E487" i="14"/>
  <c r="D487" i="14"/>
  <c r="C487" i="14"/>
  <c r="Y486" i="14"/>
  <c r="X486" i="14"/>
  <c r="W486" i="14"/>
  <c r="V486" i="14"/>
  <c r="U486" i="14"/>
  <c r="T486" i="14"/>
  <c r="S486" i="14"/>
  <c r="R486" i="14"/>
  <c r="Q486" i="14"/>
  <c r="P486" i="14"/>
  <c r="O486" i="14"/>
  <c r="N486" i="14"/>
  <c r="M486" i="14"/>
  <c r="L486" i="14"/>
  <c r="K486" i="14"/>
  <c r="I486" i="14"/>
  <c r="H486" i="14"/>
  <c r="G486" i="14"/>
  <c r="F486" i="14"/>
  <c r="E486" i="14"/>
  <c r="D486" i="14"/>
  <c r="C486" i="14"/>
  <c r="Y485" i="14"/>
  <c r="X485" i="14"/>
  <c r="W485" i="14"/>
  <c r="V485" i="14"/>
  <c r="U485" i="14"/>
  <c r="T485" i="14"/>
  <c r="S485" i="14"/>
  <c r="R485" i="14"/>
  <c r="Q485" i="14"/>
  <c r="P485" i="14"/>
  <c r="O485" i="14"/>
  <c r="N485" i="14"/>
  <c r="M485" i="14"/>
  <c r="L485" i="14"/>
  <c r="K485" i="14"/>
  <c r="I485" i="14"/>
  <c r="H485" i="14"/>
  <c r="G485" i="14"/>
  <c r="F485" i="14"/>
  <c r="E485" i="14"/>
  <c r="D485" i="14"/>
  <c r="C485" i="14"/>
  <c r="Y484" i="14"/>
  <c r="X484" i="14"/>
  <c r="W484" i="14"/>
  <c r="V484" i="14"/>
  <c r="U484" i="14"/>
  <c r="T484" i="14"/>
  <c r="S484" i="14"/>
  <c r="R484" i="14"/>
  <c r="Q484" i="14"/>
  <c r="P484" i="14"/>
  <c r="O484" i="14"/>
  <c r="N484" i="14"/>
  <c r="M484" i="14"/>
  <c r="L484" i="14"/>
  <c r="K484" i="14"/>
  <c r="I484" i="14"/>
  <c r="H484" i="14"/>
  <c r="G484" i="14"/>
  <c r="F484" i="14"/>
  <c r="E484" i="14"/>
  <c r="D484" i="14"/>
  <c r="C484" i="14"/>
  <c r="Y483" i="14"/>
  <c r="X483" i="14"/>
  <c r="W483" i="14"/>
  <c r="V483" i="14"/>
  <c r="U483" i="14"/>
  <c r="T483" i="14"/>
  <c r="S483" i="14"/>
  <c r="R483" i="14"/>
  <c r="Q483" i="14"/>
  <c r="P483" i="14"/>
  <c r="O483" i="14"/>
  <c r="N483" i="14"/>
  <c r="M483" i="14"/>
  <c r="L483" i="14"/>
  <c r="K483" i="14"/>
  <c r="I483" i="14"/>
  <c r="H483" i="14"/>
  <c r="G483" i="14"/>
  <c r="F483" i="14"/>
  <c r="E483" i="14"/>
  <c r="D483" i="14"/>
  <c r="C483" i="14"/>
  <c r="Y482" i="14"/>
  <c r="X482" i="14"/>
  <c r="W482" i="14"/>
  <c r="V482" i="14"/>
  <c r="U482" i="14"/>
  <c r="T482" i="14"/>
  <c r="S482" i="14"/>
  <c r="R482" i="14"/>
  <c r="Q482" i="14"/>
  <c r="P482" i="14"/>
  <c r="O482" i="14"/>
  <c r="N482" i="14"/>
  <c r="M482" i="14"/>
  <c r="L482" i="14"/>
  <c r="K482" i="14"/>
  <c r="I482" i="14"/>
  <c r="H482" i="14"/>
  <c r="G482" i="14"/>
  <c r="F482" i="14"/>
  <c r="E482" i="14"/>
  <c r="D482" i="14"/>
  <c r="C482" i="14"/>
  <c r="Y481" i="14"/>
  <c r="X481" i="14"/>
  <c r="W481" i="14"/>
  <c r="V481" i="14"/>
  <c r="U481" i="14"/>
  <c r="T481" i="14"/>
  <c r="S481" i="14"/>
  <c r="R481" i="14"/>
  <c r="Q481" i="14"/>
  <c r="P481" i="14"/>
  <c r="O481" i="14"/>
  <c r="N481" i="14"/>
  <c r="M481" i="14"/>
  <c r="L481" i="14"/>
  <c r="K481" i="14"/>
  <c r="I481" i="14"/>
  <c r="H481" i="14"/>
  <c r="G481" i="14"/>
  <c r="F481" i="14"/>
  <c r="E481" i="14"/>
  <c r="D481" i="14"/>
  <c r="C481" i="14"/>
  <c r="Y480" i="14"/>
  <c r="X480" i="14"/>
  <c r="W480" i="14"/>
  <c r="V480" i="14"/>
  <c r="U480" i="14"/>
  <c r="T480" i="14"/>
  <c r="S480" i="14"/>
  <c r="R480" i="14"/>
  <c r="Q480" i="14"/>
  <c r="P480" i="14"/>
  <c r="O480" i="14"/>
  <c r="N480" i="14"/>
  <c r="M480" i="14"/>
  <c r="L480" i="14"/>
  <c r="K480" i="14"/>
  <c r="I480" i="14"/>
  <c r="H480" i="14"/>
  <c r="G480" i="14"/>
  <c r="F480" i="14"/>
  <c r="E480" i="14"/>
  <c r="D480" i="14"/>
  <c r="C480" i="14"/>
  <c r="Y479" i="14"/>
  <c r="X479" i="14"/>
  <c r="W479" i="14"/>
  <c r="V479" i="14"/>
  <c r="U479" i="14"/>
  <c r="T479" i="14"/>
  <c r="S479" i="14"/>
  <c r="R479" i="14"/>
  <c r="Q479" i="14"/>
  <c r="P479" i="14"/>
  <c r="O479" i="14"/>
  <c r="N479" i="14"/>
  <c r="M479" i="14"/>
  <c r="L479" i="14"/>
  <c r="K479" i="14"/>
  <c r="I479" i="14"/>
  <c r="H479" i="14"/>
  <c r="G479" i="14"/>
  <c r="F479" i="14"/>
  <c r="E479" i="14"/>
  <c r="D479" i="14"/>
  <c r="C479" i="14"/>
  <c r="Y478" i="14"/>
  <c r="X478" i="14"/>
  <c r="W478" i="14"/>
  <c r="V478" i="14"/>
  <c r="U478" i="14"/>
  <c r="T478" i="14"/>
  <c r="S478" i="14"/>
  <c r="R478" i="14"/>
  <c r="Q478" i="14"/>
  <c r="P478" i="14"/>
  <c r="O478" i="14"/>
  <c r="N478" i="14"/>
  <c r="M478" i="14"/>
  <c r="L478" i="14"/>
  <c r="K478" i="14"/>
  <c r="I478" i="14"/>
  <c r="H478" i="14"/>
  <c r="G478" i="14"/>
  <c r="F478" i="14"/>
  <c r="E478" i="14"/>
  <c r="D478" i="14"/>
  <c r="C478" i="14"/>
  <c r="Y477" i="14"/>
  <c r="X477" i="14"/>
  <c r="W477" i="14"/>
  <c r="V477" i="14"/>
  <c r="U477" i="14"/>
  <c r="T477" i="14"/>
  <c r="S477" i="14"/>
  <c r="R477" i="14"/>
  <c r="Q477" i="14"/>
  <c r="P477" i="14"/>
  <c r="O477" i="14"/>
  <c r="N477" i="14"/>
  <c r="M477" i="14"/>
  <c r="L477" i="14"/>
  <c r="K477" i="14"/>
  <c r="I477" i="14"/>
  <c r="H477" i="14"/>
  <c r="G477" i="14"/>
  <c r="F477" i="14"/>
  <c r="E477" i="14"/>
  <c r="D477" i="14"/>
  <c r="C477" i="14"/>
  <c r="Y476" i="14"/>
  <c r="X476" i="14"/>
  <c r="W476" i="14"/>
  <c r="V476" i="14"/>
  <c r="U476" i="14"/>
  <c r="T476" i="14"/>
  <c r="S476" i="14"/>
  <c r="R476" i="14"/>
  <c r="Q476" i="14"/>
  <c r="P476" i="14"/>
  <c r="O476" i="14"/>
  <c r="N476" i="14"/>
  <c r="M476" i="14"/>
  <c r="L476" i="14"/>
  <c r="K476" i="14"/>
  <c r="I476" i="14"/>
  <c r="H476" i="14"/>
  <c r="G476" i="14"/>
  <c r="F476" i="14"/>
  <c r="E476" i="14"/>
  <c r="D476" i="14"/>
  <c r="C476" i="14"/>
  <c r="Y475" i="14"/>
  <c r="X475" i="14"/>
  <c r="W475" i="14"/>
  <c r="V475" i="14"/>
  <c r="U475" i="14"/>
  <c r="T475" i="14"/>
  <c r="S475" i="14"/>
  <c r="R475" i="14"/>
  <c r="Q475" i="14"/>
  <c r="P475" i="14"/>
  <c r="O475" i="14"/>
  <c r="N475" i="14"/>
  <c r="M475" i="14"/>
  <c r="L475" i="14"/>
  <c r="K475" i="14"/>
  <c r="I475" i="14"/>
  <c r="H475" i="14"/>
  <c r="G475" i="14"/>
  <c r="F475" i="14"/>
  <c r="E475" i="14"/>
  <c r="D475" i="14"/>
  <c r="C475" i="14"/>
  <c r="Y474" i="14"/>
  <c r="X474" i="14"/>
  <c r="W474" i="14"/>
  <c r="V474" i="14"/>
  <c r="U474" i="14"/>
  <c r="T474" i="14"/>
  <c r="S474" i="14"/>
  <c r="R474" i="14"/>
  <c r="Q474" i="14"/>
  <c r="P474" i="14"/>
  <c r="O474" i="14"/>
  <c r="N474" i="14"/>
  <c r="M474" i="14"/>
  <c r="L474" i="14"/>
  <c r="K474" i="14"/>
  <c r="I474" i="14"/>
  <c r="H474" i="14"/>
  <c r="G474" i="14"/>
  <c r="F474" i="14"/>
  <c r="E474" i="14"/>
  <c r="D474" i="14"/>
  <c r="C474" i="14"/>
  <c r="Y473" i="14"/>
  <c r="X473" i="14"/>
  <c r="W473" i="14"/>
  <c r="V473" i="14"/>
  <c r="U473" i="14"/>
  <c r="T473" i="14"/>
  <c r="S473" i="14"/>
  <c r="R473" i="14"/>
  <c r="Q473" i="14"/>
  <c r="P473" i="14"/>
  <c r="O473" i="14"/>
  <c r="N473" i="14"/>
  <c r="M473" i="14"/>
  <c r="L473" i="14"/>
  <c r="K473" i="14"/>
  <c r="I473" i="14"/>
  <c r="H473" i="14"/>
  <c r="G473" i="14"/>
  <c r="F473" i="14"/>
  <c r="E473" i="14"/>
  <c r="D473" i="14"/>
  <c r="C473" i="14"/>
  <c r="Y472" i="14"/>
  <c r="X472" i="14"/>
  <c r="W472" i="14"/>
  <c r="V472" i="14"/>
  <c r="U472" i="14"/>
  <c r="T472" i="14"/>
  <c r="S472" i="14"/>
  <c r="R472" i="14"/>
  <c r="Q472" i="14"/>
  <c r="P472" i="14"/>
  <c r="O472" i="14"/>
  <c r="N472" i="14"/>
  <c r="M472" i="14"/>
  <c r="L472" i="14"/>
  <c r="K472" i="14"/>
  <c r="I472" i="14"/>
  <c r="H472" i="14"/>
  <c r="G472" i="14"/>
  <c r="F472" i="14"/>
  <c r="E472" i="14"/>
  <c r="D472" i="14"/>
  <c r="C472" i="14"/>
  <c r="Y471" i="14"/>
  <c r="X471" i="14"/>
  <c r="W471" i="14"/>
  <c r="V471" i="14"/>
  <c r="U471" i="14"/>
  <c r="T471" i="14"/>
  <c r="S471" i="14"/>
  <c r="R471" i="14"/>
  <c r="Q471" i="14"/>
  <c r="P471" i="14"/>
  <c r="O471" i="14"/>
  <c r="N471" i="14"/>
  <c r="M471" i="14"/>
  <c r="L471" i="14"/>
  <c r="K471" i="14"/>
  <c r="I471" i="14"/>
  <c r="H471" i="14"/>
  <c r="G471" i="14"/>
  <c r="F471" i="14"/>
  <c r="E471" i="14"/>
  <c r="D471" i="14"/>
  <c r="C471" i="14"/>
  <c r="Y470" i="14"/>
  <c r="X470" i="14"/>
  <c r="W470" i="14"/>
  <c r="V470" i="14"/>
  <c r="U470" i="14"/>
  <c r="T470" i="14"/>
  <c r="S470" i="14"/>
  <c r="R470" i="14"/>
  <c r="Q470" i="14"/>
  <c r="P470" i="14"/>
  <c r="O470" i="14"/>
  <c r="N470" i="14"/>
  <c r="M470" i="14"/>
  <c r="L470" i="14"/>
  <c r="K470" i="14"/>
  <c r="I470" i="14"/>
  <c r="H470" i="14"/>
  <c r="G470" i="14"/>
  <c r="F470" i="14"/>
  <c r="E470" i="14"/>
  <c r="D470" i="14"/>
  <c r="C470" i="14"/>
  <c r="Y469" i="14"/>
  <c r="X469" i="14"/>
  <c r="W469" i="14"/>
  <c r="V469" i="14"/>
  <c r="U469" i="14"/>
  <c r="T469" i="14"/>
  <c r="S469" i="14"/>
  <c r="R469" i="14"/>
  <c r="Q469" i="14"/>
  <c r="P469" i="14"/>
  <c r="O469" i="14"/>
  <c r="N469" i="14"/>
  <c r="M469" i="14"/>
  <c r="L469" i="14"/>
  <c r="K469" i="14"/>
  <c r="I469" i="14"/>
  <c r="H469" i="14"/>
  <c r="G469" i="14"/>
  <c r="F469" i="14"/>
  <c r="E469" i="14"/>
  <c r="D469" i="14"/>
  <c r="C469" i="14"/>
  <c r="Y468" i="14"/>
  <c r="X468" i="14"/>
  <c r="W468" i="14"/>
  <c r="V468" i="14"/>
  <c r="U468" i="14"/>
  <c r="T468" i="14"/>
  <c r="S468" i="14"/>
  <c r="R468" i="14"/>
  <c r="Q468" i="14"/>
  <c r="P468" i="14"/>
  <c r="O468" i="14"/>
  <c r="N468" i="14"/>
  <c r="M468" i="14"/>
  <c r="L468" i="14"/>
  <c r="K468" i="14"/>
  <c r="I468" i="14"/>
  <c r="H468" i="14"/>
  <c r="G468" i="14"/>
  <c r="F468" i="14"/>
  <c r="E468" i="14"/>
  <c r="D468" i="14"/>
  <c r="C468" i="14"/>
  <c r="Y467" i="14"/>
  <c r="X467" i="14"/>
  <c r="W467" i="14"/>
  <c r="V467" i="14"/>
  <c r="U467" i="14"/>
  <c r="T467" i="14"/>
  <c r="S467" i="14"/>
  <c r="R467" i="14"/>
  <c r="Q467" i="14"/>
  <c r="P467" i="14"/>
  <c r="O467" i="14"/>
  <c r="N467" i="14"/>
  <c r="M467" i="14"/>
  <c r="L467" i="14"/>
  <c r="K467" i="14"/>
  <c r="I467" i="14"/>
  <c r="H467" i="14"/>
  <c r="G467" i="14"/>
  <c r="F467" i="14"/>
  <c r="E467" i="14"/>
  <c r="D467" i="14"/>
  <c r="C467" i="14"/>
  <c r="Y466" i="14"/>
  <c r="X466" i="14"/>
  <c r="W466" i="14"/>
  <c r="V466" i="14"/>
  <c r="U466" i="14"/>
  <c r="T466" i="14"/>
  <c r="S466" i="14"/>
  <c r="R466" i="14"/>
  <c r="Q466" i="14"/>
  <c r="P466" i="14"/>
  <c r="O466" i="14"/>
  <c r="N466" i="14"/>
  <c r="M466" i="14"/>
  <c r="L466" i="14"/>
  <c r="K466" i="14"/>
  <c r="I466" i="14"/>
  <c r="H466" i="14"/>
  <c r="G466" i="14"/>
  <c r="F466" i="14"/>
  <c r="E466" i="14"/>
  <c r="D466" i="14"/>
  <c r="C466" i="14"/>
  <c r="Y465" i="14"/>
  <c r="X465" i="14"/>
  <c r="W465" i="14"/>
  <c r="V465" i="14"/>
  <c r="U465" i="14"/>
  <c r="T465" i="14"/>
  <c r="S465" i="14"/>
  <c r="R465" i="14"/>
  <c r="Q465" i="14"/>
  <c r="P465" i="14"/>
  <c r="O465" i="14"/>
  <c r="N465" i="14"/>
  <c r="M465" i="14"/>
  <c r="L465" i="14"/>
  <c r="K465" i="14"/>
  <c r="I465" i="14"/>
  <c r="H465" i="14"/>
  <c r="G465" i="14"/>
  <c r="F465" i="14"/>
  <c r="E465" i="14"/>
  <c r="D465" i="14"/>
  <c r="C465" i="14"/>
  <c r="Y464" i="14"/>
  <c r="X464" i="14"/>
  <c r="W464" i="14"/>
  <c r="V464" i="14"/>
  <c r="U464" i="14"/>
  <c r="T464" i="14"/>
  <c r="S464" i="14"/>
  <c r="R464" i="14"/>
  <c r="Q464" i="14"/>
  <c r="P464" i="14"/>
  <c r="O464" i="14"/>
  <c r="N464" i="14"/>
  <c r="M464" i="14"/>
  <c r="L464" i="14"/>
  <c r="K464" i="14"/>
  <c r="I464" i="14"/>
  <c r="H464" i="14"/>
  <c r="G464" i="14"/>
  <c r="F464" i="14"/>
  <c r="E464" i="14"/>
  <c r="D464" i="14"/>
  <c r="C464" i="14"/>
  <c r="Y463" i="14"/>
  <c r="X463" i="14"/>
  <c r="W463" i="14"/>
  <c r="V463" i="14"/>
  <c r="U463" i="14"/>
  <c r="T463" i="14"/>
  <c r="S463" i="14"/>
  <c r="R463" i="14"/>
  <c r="Q463" i="14"/>
  <c r="P463" i="14"/>
  <c r="O463" i="14"/>
  <c r="N463" i="14"/>
  <c r="M463" i="14"/>
  <c r="L463" i="14"/>
  <c r="K463" i="14"/>
  <c r="I463" i="14"/>
  <c r="H463" i="14"/>
  <c r="G463" i="14"/>
  <c r="F463" i="14"/>
  <c r="E463" i="14"/>
  <c r="D463" i="14"/>
  <c r="C463" i="14"/>
  <c r="Y462" i="14"/>
  <c r="X462" i="14"/>
  <c r="W462" i="14"/>
  <c r="V462" i="14"/>
  <c r="U462" i="14"/>
  <c r="T462" i="14"/>
  <c r="S462" i="14"/>
  <c r="R462" i="14"/>
  <c r="Q462" i="14"/>
  <c r="P462" i="14"/>
  <c r="O462" i="14"/>
  <c r="N462" i="14"/>
  <c r="M462" i="14"/>
  <c r="L462" i="14"/>
  <c r="K462" i="14"/>
  <c r="I462" i="14"/>
  <c r="H462" i="14"/>
  <c r="G462" i="14"/>
  <c r="F462" i="14"/>
  <c r="E462" i="14"/>
  <c r="D462" i="14"/>
  <c r="C462" i="14"/>
  <c r="Y461" i="14"/>
  <c r="X461" i="14"/>
  <c r="W461" i="14"/>
  <c r="V461" i="14"/>
  <c r="U461" i="14"/>
  <c r="T461" i="14"/>
  <c r="S461" i="14"/>
  <c r="R461" i="14"/>
  <c r="Q461" i="14"/>
  <c r="P461" i="14"/>
  <c r="O461" i="14"/>
  <c r="N461" i="14"/>
  <c r="M461" i="14"/>
  <c r="L461" i="14"/>
  <c r="K461" i="14"/>
  <c r="I461" i="14"/>
  <c r="H461" i="14"/>
  <c r="G461" i="14"/>
  <c r="F461" i="14"/>
  <c r="E461" i="14"/>
  <c r="D461" i="14"/>
  <c r="C461" i="14"/>
  <c r="Y460" i="14"/>
  <c r="X460" i="14"/>
  <c r="W460" i="14"/>
  <c r="V460" i="14"/>
  <c r="U460" i="14"/>
  <c r="T460" i="14"/>
  <c r="S460" i="14"/>
  <c r="R460" i="14"/>
  <c r="Q460" i="14"/>
  <c r="P460" i="14"/>
  <c r="O460" i="14"/>
  <c r="N460" i="14"/>
  <c r="M460" i="14"/>
  <c r="L460" i="14"/>
  <c r="K460" i="14"/>
  <c r="I460" i="14"/>
  <c r="H460" i="14"/>
  <c r="G460" i="14"/>
  <c r="F460" i="14"/>
  <c r="E460" i="14"/>
  <c r="D460" i="14"/>
  <c r="C460" i="14"/>
  <c r="Y459" i="14"/>
  <c r="X459" i="14"/>
  <c r="W459" i="14"/>
  <c r="V459" i="14"/>
  <c r="U459" i="14"/>
  <c r="T459" i="14"/>
  <c r="S459" i="14"/>
  <c r="R459" i="14"/>
  <c r="Q459" i="14"/>
  <c r="P459" i="14"/>
  <c r="O459" i="14"/>
  <c r="N459" i="14"/>
  <c r="M459" i="14"/>
  <c r="L459" i="14"/>
  <c r="K459" i="14"/>
  <c r="I459" i="14"/>
  <c r="H459" i="14"/>
  <c r="G459" i="14"/>
  <c r="F459" i="14"/>
  <c r="E459" i="14"/>
  <c r="D459" i="14"/>
  <c r="C459" i="14"/>
  <c r="Y458" i="14"/>
  <c r="X458" i="14"/>
  <c r="W458" i="14"/>
  <c r="V458" i="14"/>
  <c r="U458" i="14"/>
  <c r="T458" i="14"/>
  <c r="S458" i="14"/>
  <c r="R458" i="14"/>
  <c r="Q458" i="14"/>
  <c r="P458" i="14"/>
  <c r="O458" i="14"/>
  <c r="N458" i="14"/>
  <c r="M458" i="14"/>
  <c r="L458" i="14"/>
  <c r="K458" i="14"/>
  <c r="I458" i="14"/>
  <c r="H458" i="14"/>
  <c r="G458" i="14"/>
  <c r="F458" i="14"/>
  <c r="E458" i="14"/>
  <c r="D458" i="14"/>
  <c r="C458" i="14"/>
  <c r="Y457" i="14"/>
  <c r="X457" i="14"/>
  <c r="W457" i="14"/>
  <c r="V457" i="14"/>
  <c r="U457" i="14"/>
  <c r="T457" i="14"/>
  <c r="S457" i="14"/>
  <c r="R457" i="14"/>
  <c r="Q457" i="14"/>
  <c r="P457" i="14"/>
  <c r="O457" i="14"/>
  <c r="N457" i="14"/>
  <c r="M457" i="14"/>
  <c r="L457" i="14"/>
  <c r="K457" i="14"/>
  <c r="I457" i="14"/>
  <c r="H457" i="14"/>
  <c r="G457" i="14"/>
  <c r="F457" i="14"/>
  <c r="E457" i="14"/>
  <c r="D457" i="14"/>
  <c r="C457" i="14"/>
  <c r="Y456" i="14"/>
  <c r="X456" i="14"/>
  <c r="W456" i="14"/>
  <c r="V456" i="14"/>
  <c r="U456" i="14"/>
  <c r="T456" i="14"/>
  <c r="S456" i="14"/>
  <c r="R456" i="14"/>
  <c r="Q456" i="14"/>
  <c r="P456" i="14"/>
  <c r="O456" i="14"/>
  <c r="N456" i="14"/>
  <c r="M456" i="14"/>
  <c r="L456" i="14"/>
  <c r="K456" i="14"/>
  <c r="I456" i="14"/>
  <c r="H456" i="14"/>
  <c r="G456" i="14"/>
  <c r="F456" i="14"/>
  <c r="E456" i="14"/>
  <c r="D456" i="14"/>
  <c r="C456" i="14"/>
  <c r="Y455" i="14"/>
  <c r="X455" i="14"/>
  <c r="W455" i="14"/>
  <c r="V455" i="14"/>
  <c r="U455" i="14"/>
  <c r="T455" i="14"/>
  <c r="S455" i="14"/>
  <c r="R455" i="14"/>
  <c r="Q455" i="14"/>
  <c r="P455" i="14"/>
  <c r="O455" i="14"/>
  <c r="N455" i="14"/>
  <c r="M455" i="14"/>
  <c r="L455" i="14"/>
  <c r="K455" i="14"/>
  <c r="I455" i="14"/>
  <c r="H455" i="14"/>
  <c r="G455" i="14"/>
  <c r="F455" i="14"/>
  <c r="E455" i="14"/>
  <c r="D455" i="14"/>
  <c r="C455" i="14"/>
  <c r="Y454" i="14"/>
  <c r="X454" i="14"/>
  <c r="W454" i="14"/>
  <c r="V454" i="14"/>
  <c r="U454" i="14"/>
  <c r="T454" i="14"/>
  <c r="S454" i="14"/>
  <c r="R454" i="14"/>
  <c r="Q454" i="14"/>
  <c r="P454" i="14"/>
  <c r="O454" i="14"/>
  <c r="N454" i="14"/>
  <c r="M454" i="14"/>
  <c r="L454" i="14"/>
  <c r="K454" i="14"/>
  <c r="I454" i="14"/>
  <c r="H454" i="14"/>
  <c r="G454" i="14"/>
  <c r="F454" i="14"/>
  <c r="E454" i="14"/>
  <c r="D454" i="14"/>
  <c r="C454" i="14"/>
  <c r="Y453" i="14"/>
  <c r="X453" i="14"/>
  <c r="W453" i="14"/>
  <c r="V453" i="14"/>
  <c r="U453" i="14"/>
  <c r="T453" i="14"/>
  <c r="S453" i="14"/>
  <c r="R453" i="14"/>
  <c r="Q453" i="14"/>
  <c r="P453" i="14"/>
  <c r="O453" i="14"/>
  <c r="N453" i="14"/>
  <c r="M453" i="14"/>
  <c r="L453" i="14"/>
  <c r="K453" i="14"/>
  <c r="I453" i="14"/>
  <c r="H453" i="14"/>
  <c r="G453" i="14"/>
  <c r="F453" i="14"/>
  <c r="E453" i="14"/>
  <c r="D453" i="14"/>
  <c r="C453" i="14"/>
  <c r="Y452" i="14"/>
  <c r="X452" i="14"/>
  <c r="W452" i="14"/>
  <c r="V452" i="14"/>
  <c r="U452" i="14"/>
  <c r="T452" i="14"/>
  <c r="S452" i="14"/>
  <c r="R452" i="14"/>
  <c r="Q452" i="14"/>
  <c r="P452" i="14"/>
  <c r="O452" i="14"/>
  <c r="N452" i="14"/>
  <c r="M452" i="14"/>
  <c r="L452" i="14"/>
  <c r="K452" i="14"/>
  <c r="I452" i="14"/>
  <c r="H452" i="14"/>
  <c r="G452" i="14"/>
  <c r="F452" i="14"/>
  <c r="E452" i="14"/>
  <c r="D452" i="14"/>
  <c r="C452" i="14"/>
  <c r="Y451" i="14"/>
  <c r="X451" i="14"/>
  <c r="W451" i="14"/>
  <c r="V451" i="14"/>
  <c r="U451" i="14"/>
  <c r="T451" i="14"/>
  <c r="S451" i="14"/>
  <c r="R451" i="14"/>
  <c r="Q451" i="14"/>
  <c r="P451" i="14"/>
  <c r="O451" i="14"/>
  <c r="N451" i="14"/>
  <c r="M451" i="14"/>
  <c r="L451" i="14"/>
  <c r="K451" i="14"/>
  <c r="I451" i="14"/>
  <c r="H451" i="14"/>
  <c r="G451" i="14"/>
  <c r="F451" i="14"/>
  <c r="E451" i="14"/>
  <c r="D451" i="14"/>
  <c r="C451" i="14"/>
  <c r="Y450" i="14"/>
  <c r="X450" i="14"/>
  <c r="W450" i="14"/>
  <c r="V450" i="14"/>
  <c r="U450" i="14"/>
  <c r="T450" i="14"/>
  <c r="S450" i="14"/>
  <c r="R450" i="14"/>
  <c r="Q450" i="14"/>
  <c r="P450" i="14"/>
  <c r="O450" i="14"/>
  <c r="N450" i="14"/>
  <c r="M450" i="14"/>
  <c r="L450" i="14"/>
  <c r="K450" i="14"/>
  <c r="I450" i="14"/>
  <c r="H450" i="14"/>
  <c r="G450" i="14"/>
  <c r="F450" i="14"/>
  <c r="E450" i="14"/>
  <c r="D450" i="14"/>
  <c r="C450" i="14"/>
  <c r="Y449" i="14"/>
  <c r="X449" i="14"/>
  <c r="W449" i="14"/>
  <c r="V449" i="14"/>
  <c r="U449" i="14"/>
  <c r="T449" i="14"/>
  <c r="S449" i="14"/>
  <c r="R449" i="14"/>
  <c r="Q449" i="14"/>
  <c r="P449" i="14"/>
  <c r="O449" i="14"/>
  <c r="N449" i="14"/>
  <c r="M449" i="14"/>
  <c r="L449" i="14"/>
  <c r="K449" i="14"/>
  <c r="I449" i="14"/>
  <c r="H449" i="14"/>
  <c r="G449" i="14"/>
  <c r="F449" i="14"/>
  <c r="E449" i="14"/>
  <c r="D449" i="14"/>
  <c r="C449" i="14"/>
  <c r="Y448" i="14"/>
  <c r="X448" i="14"/>
  <c r="W448" i="14"/>
  <c r="V448" i="14"/>
  <c r="U448" i="14"/>
  <c r="T448" i="14"/>
  <c r="S448" i="14"/>
  <c r="R448" i="14"/>
  <c r="Q448" i="14"/>
  <c r="P448" i="14"/>
  <c r="O448" i="14"/>
  <c r="N448" i="14"/>
  <c r="M448" i="14"/>
  <c r="L448" i="14"/>
  <c r="K448" i="14"/>
  <c r="I448" i="14"/>
  <c r="H448" i="14"/>
  <c r="G448" i="14"/>
  <c r="F448" i="14"/>
  <c r="E448" i="14"/>
  <c r="D448" i="14"/>
  <c r="C448" i="14"/>
  <c r="Y447" i="14"/>
  <c r="X447" i="14"/>
  <c r="W447" i="14"/>
  <c r="V447" i="14"/>
  <c r="U447" i="14"/>
  <c r="T447" i="14"/>
  <c r="S447" i="14"/>
  <c r="R447" i="14"/>
  <c r="Q447" i="14"/>
  <c r="P447" i="14"/>
  <c r="O447" i="14"/>
  <c r="N447" i="14"/>
  <c r="M447" i="14"/>
  <c r="L447" i="14"/>
  <c r="K447" i="14"/>
  <c r="I447" i="14"/>
  <c r="H447" i="14"/>
  <c r="G447" i="14"/>
  <c r="F447" i="14"/>
  <c r="E447" i="14"/>
  <c r="D447" i="14"/>
  <c r="C447" i="14"/>
  <c r="Y446" i="14"/>
  <c r="X446" i="14"/>
  <c r="W446" i="14"/>
  <c r="V446" i="14"/>
  <c r="U446" i="14"/>
  <c r="T446" i="14"/>
  <c r="S446" i="14"/>
  <c r="R446" i="14"/>
  <c r="Q446" i="14"/>
  <c r="P446" i="14"/>
  <c r="O446" i="14"/>
  <c r="N446" i="14"/>
  <c r="M446" i="14"/>
  <c r="L446" i="14"/>
  <c r="K446" i="14"/>
  <c r="I446" i="14"/>
  <c r="H446" i="14"/>
  <c r="G446" i="14"/>
  <c r="F446" i="14"/>
  <c r="E446" i="14"/>
  <c r="D446" i="14"/>
  <c r="C446" i="14"/>
  <c r="Y445" i="14"/>
  <c r="X445" i="14"/>
  <c r="W445" i="14"/>
  <c r="V445" i="14"/>
  <c r="U445" i="14"/>
  <c r="T445" i="14"/>
  <c r="S445" i="14"/>
  <c r="R445" i="14"/>
  <c r="Q445" i="14"/>
  <c r="P445" i="14"/>
  <c r="O445" i="14"/>
  <c r="N445" i="14"/>
  <c r="M445" i="14"/>
  <c r="L445" i="14"/>
  <c r="K445" i="14"/>
  <c r="I445" i="14"/>
  <c r="H445" i="14"/>
  <c r="G445" i="14"/>
  <c r="F445" i="14"/>
  <c r="E445" i="14"/>
  <c r="D445" i="14"/>
  <c r="C445" i="14"/>
  <c r="Y444" i="14"/>
  <c r="X444" i="14"/>
  <c r="W444" i="14"/>
  <c r="V444" i="14"/>
  <c r="U444" i="14"/>
  <c r="T444" i="14"/>
  <c r="S444" i="14"/>
  <c r="R444" i="14"/>
  <c r="Q444" i="14"/>
  <c r="P444" i="14"/>
  <c r="O444" i="14"/>
  <c r="N444" i="14"/>
  <c r="M444" i="14"/>
  <c r="L444" i="14"/>
  <c r="K444" i="14"/>
  <c r="I444" i="14"/>
  <c r="H444" i="14"/>
  <c r="G444" i="14"/>
  <c r="F444" i="14"/>
  <c r="E444" i="14"/>
  <c r="D444" i="14"/>
  <c r="C444" i="14"/>
  <c r="Y443" i="14"/>
  <c r="X443" i="14"/>
  <c r="W443" i="14"/>
  <c r="V443" i="14"/>
  <c r="U443" i="14"/>
  <c r="T443" i="14"/>
  <c r="S443" i="14"/>
  <c r="R443" i="14"/>
  <c r="Q443" i="14"/>
  <c r="P443" i="14"/>
  <c r="O443" i="14"/>
  <c r="N443" i="14"/>
  <c r="M443" i="14"/>
  <c r="L443" i="14"/>
  <c r="K443" i="14"/>
  <c r="I443" i="14"/>
  <c r="H443" i="14"/>
  <c r="G443" i="14"/>
  <c r="F443" i="14"/>
  <c r="E443" i="14"/>
  <c r="D443" i="14"/>
  <c r="C443" i="14"/>
  <c r="Y442" i="14"/>
  <c r="X442" i="14"/>
  <c r="W442" i="14"/>
  <c r="V442" i="14"/>
  <c r="U442" i="14"/>
  <c r="T442" i="14"/>
  <c r="S442" i="14"/>
  <c r="R442" i="14"/>
  <c r="Q442" i="14"/>
  <c r="P442" i="14"/>
  <c r="O442" i="14"/>
  <c r="N442" i="14"/>
  <c r="M442" i="14"/>
  <c r="L442" i="14"/>
  <c r="K442" i="14"/>
  <c r="I442" i="14"/>
  <c r="H442" i="14"/>
  <c r="G442" i="14"/>
  <c r="F442" i="14"/>
  <c r="E442" i="14"/>
  <c r="D442" i="14"/>
  <c r="C442" i="14"/>
  <c r="Y441" i="14"/>
  <c r="X441" i="14"/>
  <c r="W441" i="14"/>
  <c r="V441" i="14"/>
  <c r="U441" i="14"/>
  <c r="T441" i="14"/>
  <c r="S441" i="14"/>
  <c r="R441" i="14"/>
  <c r="Q441" i="14"/>
  <c r="P441" i="14"/>
  <c r="O441" i="14"/>
  <c r="N441" i="14"/>
  <c r="M441" i="14"/>
  <c r="L441" i="14"/>
  <c r="K441" i="14"/>
  <c r="I441" i="14"/>
  <c r="H441" i="14"/>
  <c r="G441" i="14"/>
  <c r="F441" i="14"/>
  <c r="E441" i="14"/>
  <c r="D441" i="14"/>
  <c r="C441" i="14"/>
  <c r="Y440" i="14"/>
  <c r="X440" i="14"/>
  <c r="W440" i="14"/>
  <c r="V440" i="14"/>
  <c r="U440" i="14"/>
  <c r="T440" i="14"/>
  <c r="S440" i="14"/>
  <c r="R440" i="14"/>
  <c r="Q440" i="14"/>
  <c r="P440" i="14"/>
  <c r="O440" i="14"/>
  <c r="N440" i="14"/>
  <c r="M440" i="14"/>
  <c r="L440" i="14"/>
  <c r="K440" i="14"/>
  <c r="I440" i="14"/>
  <c r="H440" i="14"/>
  <c r="G440" i="14"/>
  <c r="F440" i="14"/>
  <c r="E440" i="14"/>
  <c r="D440" i="14"/>
  <c r="C440" i="14"/>
  <c r="Y439" i="14"/>
  <c r="X439" i="14"/>
  <c r="W439" i="14"/>
  <c r="V439" i="14"/>
  <c r="U439" i="14"/>
  <c r="T439" i="14"/>
  <c r="S439" i="14"/>
  <c r="R439" i="14"/>
  <c r="Q439" i="14"/>
  <c r="P439" i="14"/>
  <c r="O439" i="14"/>
  <c r="N439" i="14"/>
  <c r="M439" i="14"/>
  <c r="L439" i="14"/>
  <c r="K439" i="14"/>
  <c r="I439" i="14"/>
  <c r="H439" i="14"/>
  <c r="G439" i="14"/>
  <c r="F439" i="14"/>
  <c r="E439" i="14"/>
  <c r="D439" i="14"/>
  <c r="C439" i="14"/>
  <c r="Y438" i="14"/>
  <c r="X438" i="14"/>
  <c r="W438" i="14"/>
  <c r="V438" i="14"/>
  <c r="U438" i="14"/>
  <c r="T438" i="14"/>
  <c r="S438" i="14"/>
  <c r="R438" i="14"/>
  <c r="Q438" i="14"/>
  <c r="P438" i="14"/>
  <c r="O438" i="14"/>
  <c r="N438" i="14"/>
  <c r="M438" i="14"/>
  <c r="L438" i="14"/>
  <c r="K438" i="14"/>
  <c r="I438" i="14"/>
  <c r="H438" i="14"/>
  <c r="G438" i="14"/>
  <c r="F438" i="14"/>
  <c r="E438" i="14"/>
  <c r="D438" i="14"/>
  <c r="C438" i="14"/>
  <c r="Y437" i="14"/>
  <c r="X437" i="14"/>
  <c r="W437" i="14"/>
  <c r="V437" i="14"/>
  <c r="U437" i="14"/>
  <c r="T437" i="14"/>
  <c r="S437" i="14"/>
  <c r="R437" i="14"/>
  <c r="Q437" i="14"/>
  <c r="P437" i="14"/>
  <c r="O437" i="14"/>
  <c r="N437" i="14"/>
  <c r="M437" i="14"/>
  <c r="L437" i="14"/>
  <c r="K437" i="14"/>
  <c r="I437" i="14"/>
  <c r="H437" i="14"/>
  <c r="G437" i="14"/>
  <c r="F437" i="14"/>
  <c r="E437" i="14"/>
  <c r="D437" i="14"/>
  <c r="C437" i="14"/>
  <c r="Y436" i="14"/>
  <c r="X436" i="14"/>
  <c r="W436" i="14"/>
  <c r="V436" i="14"/>
  <c r="U436" i="14"/>
  <c r="T436" i="14"/>
  <c r="S436" i="14"/>
  <c r="R436" i="14"/>
  <c r="Q436" i="14"/>
  <c r="P436" i="14"/>
  <c r="O436" i="14"/>
  <c r="N436" i="14"/>
  <c r="M436" i="14"/>
  <c r="L436" i="14"/>
  <c r="K436" i="14"/>
  <c r="I436" i="14"/>
  <c r="H436" i="14"/>
  <c r="G436" i="14"/>
  <c r="F436" i="14"/>
  <c r="E436" i="14"/>
  <c r="D436" i="14"/>
  <c r="C436" i="14"/>
  <c r="Y435" i="14"/>
  <c r="X435" i="14"/>
  <c r="W435" i="14"/>
  <c r="V435" i="14"/>
  <c r="U435" i="14"/>
  <c r="T435" i="14"/>
  <c r="S435" i="14"/>
  <c r="R435" i="14"/>
  <c r="Q435" i="14"/>
  <c r="P435" i="14"/>
  <c r="O435" i="14"/>
  <c r="N435" i="14"/>
  <c r="M435" i="14"/>
  <c r="L435" i="14"/>
  <c r="K435" i="14"/>
  <c r="I435" i="14"/>
  <c r="H435" i="14"/>
  <c r="G435" i="14"/>
  <c r="F435" i="14"/>
  <c r="E435" i="14"/>
  <c r="D435" i="14"/>
  <c r="C435" i="14"/>
  <c r="Y434" i="14"/>
  <c r="X434" i="14"/>
  <c r="W434" i="14"/>
  <c r="V434" i="14"/>
  <c r="U434" i="14"/>
  <c r="T434" i="14"/>
  <c r="S434" i="14"/>
  <c r="R434" i="14"/>
  <c r="Q434" i="14"/>
  <c r="P434" i="14"/>
  <c r="O434" i="14"/>
  <c r="N434" i="14"/>
  <c r="M434" i="14"/>
  <c r="L434" i="14"/>
  <c r="K434" i="14"/>
  <c r="I434" i="14"/>
  <c r="H434" i="14"/>
  <c r="G434" i="14"/>
  <c r="F434" i="14"/>
  <c r="E434" i="14"/>
  <c r="D434" i="14"/>
  <c r="C434" i="14"/>
  <c r="Y433" i="14"/>
  <c r="X433" i="14"/>
  <c r="W433" i="14"/>
  <c r="V433" i="14"/>
  <c r="U433" i="14"/>
  <c r="T433" i="14"/>
  <c r="S433" i="14"/>
  <c r="R433" i="14"/>
  <c r="Q433" i="14"/>
  <c r="P433" i="14"/>
  <c r="O433" i="14"/>
  <c r="N433" i="14"/>
  <c r="M433" i="14"/>
  <c r="L433" i="14"/>
  <c r="K433" i="14"/>
  <c r="I433" i="14"/>
  <c r="H433" i="14"/>
  <c r="G433" i="14"/>
  <c r="F433" i="14"/>
  <c r="E433" i="14"/>
  <c r="D433" i="14"/>
  <c r="C433" i="14"/>
  <c r="Y432" i="14"/>
  <c r="X432" i="14"/>
  <c r="W432" i="14"/>
  <c r="V432" i="14"/>
  <c r="U432" i="14"/>
  <c r="T432" i="14"/>
  <c r="S432" i="14"/>
  <c r="R432" i="14"/>
  <c r="Q432" i="14"/>
  <c r="P432" i="14"/>
  <c r="O432" i="14"/>
  <c r="N432" i="14"/>
  <c r="M432" i="14"/>
  <c r="L432" i="14"/>
  <c r="K432" i="14"/>
  <c r="I432" i="14"/>
  <c r="H432" i="14"/>
  <c r="G432" i="14"/>
  <c r="F432" i="14"/>
  <c r="E432" i="14"/>
  <c r="D432" i="14"/>
  <c r="C432" i="14"/>
  <c r="Y431" i="14"/>
  <c r="X431" i="14"/>
  <c r="W431" i="14"/>
  <c r="V431" i="14"/>
  <c r="U431" i="14"/>
  <c r="T431" i="14"/>
  <c r="S431" i="14"/>
  <c r="R431" i="14"/>
  <c r="Q431" i="14"/>
  <c r="P431" i="14"/>
  <c r="O431" i="14"/>
  <c r="N431" i="14"/>
  <c r="M431" i="14"/>
  <c r="L431" i="14"/>
  <c r="K431" i="14"/>
  <c r="I431" i="14"/>
  <c r="H431" i="14"/>
  <c r="G431" i="14"/>
  <c r="F431" i="14"/>
  <c r="E431" i="14"/>
  <c r="D431" i="14"/>
  <c r="C431" i="14"/>
  <c r="Y430" i="14"/>
  <c r="X430" i="14"/>
  <c r="W430" i="14"/>
  <c r="V430" i="14"/>
  <c r="U430" i="14"/>
  <c r="T430" i="14"/>
  <c r="S430" i="14"/>
  <c r="R430" i="14"/>
  <c r="Q430" i="14"/>
  <c r="P430" i="14"/>
  <c r="O430" i="14"/>
  <c r="N430" i="14"/>
  <c r="M430" i="14"/>
  <c r="L430" i="14"/>
  <c r="K430" i="14"/>
  <c r="I430" i="14"/>
  <c r="H430" i="14"/>
  <c r="G430" i="14"/>
  <c r="F430" i="14"/>
  <c r="E430" i="14"/>
  <c r="D430" i="14"/>
  <c r="C430" i="14"/>
  <c r="Y429" i="14"/>
  <c r="X429" i="14"/>
  <c r="W429" i="14"/>
  <c r="V429" i="14"/>
  <c r="U429" i="14"/>
  <c r="T429" i="14"/>
  <c r="S429" i="14"/>
  <c r="R429" i="14"/>
  <c r="Q429" i="14"/>
  <c r="P429" i="14"/>
  <c r="O429" i="14"/>
  <c r="N429" i="14"/>
  <c r="M429" i="14"/>
  <c r="L429" i="14"/>
  <c r="K429" i="14"/>
  <c r="I429" i="14"/>
  <c r="H429" i="14"/>
  <c r="G429" i="14"/>
  <c r="F429" i="14"/>
  <c r="E429" i="14"/>
  <c r="D429" i="14"/>
  <c r="C429" i="14"/>
  <c r="Y428" i="14"/>
  <c r="X428" i="14"/>
  <c r="W428" i="14"/>
  <c r="V428" i="14"/>
  <c r="U428" i="14"/>
  <c r="T428" i="14"/>
  <c r="S428" i="14"/>
  <c r="R428" i="14"/>
  <c r="Q428" i="14"/>
  <c r="P428" i="14"/>
  <c r="O428" i="14"/>
  <c r="N428" i="14"/>
  <c r="M428" i="14"/>
  <c r="L428" i="14"/>
  <c r="K428" i="14"/>
  <c r="I428" i="14"/>
  <c r="H428" i="14"/>
  <c r="G428" i="14"/>
  <c r="F428" i="14"/>
  <c r="E428" i="14"/>
  <c r="D428" i="14"/>
  <c r="C428" i="14"/>
  <c r="Y427" i="14"/>
  <c r="X427" i="14"/>
  <c r="W427" i="14"/>
  <c r="V427" i="14"/>
  <c r="U427" i="14"/>
  <c r="T427" i="14"/>
  <c r="S427" i="14"/>
  <c r="R427" i="14"/>
  <c r="Q427" i="14"/>
  <c r="P427" i="14"/>
  <c r="O427" i="14"/>
  <c r="N427" i="14"/>
  <c r="M427" i="14"/>
  <c r="L427" i="14"/>
  <c r="K427" i="14"/>
  <c r="I427" i="14"/>
  <c r="H427" i="14"/>
  <c r="G427" i="14"/>
  <c r="F427" i="14"/>
  <c r="E427" i="14"/>
  <c r="D427" i="14"/>
  <c r="C427" i="14"/>
  <c r="Y426" i="14"/>
  <c r="X426" i="14"/>
  <c r="W426" i="14"/>
  <c r="V426" i="14"/>
  <c r="U426" i="14"/>
  <c r="T426" i="14"/>
  <c r="S426" i="14"/>
  <c r="R426" i="14"/>
  <c r="Q426" i="14"/>
  <c r="P426" i="14"/>
  <c r="O426" i="14"/>
  <c r="N426" i="14"/>
  <c r="M426" i="14"/>
  <c r="L426" i="14"/>
  <c r="K426" i="14"/>
  <c r="I426" i="14"/>
  <c r="H426" i="14"/>
  <c r="G426" i="14"/>
  <c r="F426" i="14"/>
  <c r="E426" i="14"/>
  <c r="D426" i="14"/>
  <c r="C426" i="14"/>
  <c r="Y425" i="14"/>
  <c r="X425" i="14"/>
  <c r="W425" i="14"/>
  <c r="V425" i="14"/>
  <c r="U425" i="14"/>
  <c r="T425" i="14"/>
  <c r="S425" i="14"/>
  <c r="R425" i="14"/>
  <c r="Q425" i="14"/>
  <c r="P425" i="14"/>
  <c r="O425" i="14"/>
  <c r="N425" i="14"/>
  <c r="M425" i="14"/>
  <c r="L425" i="14"/>
  <c r="K425" i="14"/>
  <c r="I425" i="14"/>
  <c r="H425" i="14"/>
  <c r="G425" i="14"/>
  <c r="F425" i="14"/>
  <c r="E425" i="14"/>
  <c r="D425" i="14"/>
  <c r="C425" i="14"/>
  <c r="Y424" i="14"/>
  <c r="X424" i="14"/>
  <c r="W424" i="14"/>
  <c r="V424" i="14"/>
  <c r="U424" i="14"/>
  <c r="T424" i="14"/>
  <c r="S424" i="14"/>
  <c r="R424" i="14"/>
  <c r="Q424" i="14"/>
  <c r="P424" i="14"/>
  <c r="O424" i="14"/>
  <c r="N424" i="14"/>
  <c r="M424" i="14"/>
  <c r="L424" i="14"/>
  <c r="K424" i="14"/>
  <c r="I424" i="14"/>
  <c r="H424" i="14"/>
  <c r="G424" i="14"/>
  <c r="F424" i="14"/>
  <c r="E424" i="14"/>
  <c r="D424" i="14"/>
  <c r="C424" i="14"/>
  <c r="Y423" i="14"/>
  <c r="X423" i="14"/>
  <c r="W423" i="14"/>
  <c r="V423" i="14"/>
  <c r="U423" i="14"/>
  <c r="T423" i="14"/>
  <c r="S423" i="14"/>
  <c r="R423" i="14"/>
  <c r="Q423" i="14"/>
  <c r="P423" i="14"/>
  <c r="O423" i="14"/>
  <c r="N423" i="14"/>
  <c r="M423" i="14"/>
  <c r="L423" i="14"/>
  <c r="K423" i="14"/>
  <c r="I423" i="14"/>
  <c r="H423" i="14"/>
  <c r="G423" i="14"/>
  <c r="F423" i="14"/>
  <c r="E423" i="14"/>
  <c r="D423" i="14"/>
  <c r="C423" i="14"/>
  <c r="Y422" i="14"/>
  <c r="X422" i="14"/>
  <c r="W422" i="14"/>
  <c r="V422" i="14"/>
  <c r="U422" i="14"/>
  <c r="T422" i="14"/>
  <c r="S422" i="14"/>
  <c r="R422" i="14"/>
  <c r="Q422" i="14"/>
  <c r="P422" i="14"/>
  <c r="O422" i="14"/>
  <c r="N422" i="14"/>
  <c r="M422" i="14"/>
  <c r="L422" i="14"/>
  <c r="K422" i="14"/>
  <c r="I422" i="14"/>
  <c r="H422" i="14"/>
  <c r="G422" i="14"/>
  <c r="F422" i="14"/>
  <c r="E422" i="14"/>
  <c r="D422" i="14"/>
  <c r="C422" i="14"/>
  <c r="Y421" i="14"/>
  <c r="X421" i="14"/>
  <c r="W421" i="14"/>
  <c r="V421" i="14"/>
  <c r="U421" i="14"/>
  <c r="T421" i="14"/>
  <c r="S421" i="14"/>
  <c r="R421" i="14"/>
  <c r="Q421" i="14"/>
  <c r="P421" i="14"/>
  <c r="O421" i="14"/>
  <c r="N421" i="14"/>
  <c r="M421" i="14"/>
  <c r="L421" i="14"/>
  <c r="K421" i="14"/>
  <c r="I421" i="14"/>
  <c r="H421" i="14"/>
  <c r="G421" i="14"/>
  <c r="F421" i="14"/>
  <c r="E421" i="14"/>
  <c r="D421" i="14"/>
  <c r="C421" i="14"/>
  <c r="Y420" i="14"/>
  <c r="X420" i="14"/>
  <c r="W420" i="14"/>
  <c r="V420" i="14"/>
  <c r="U420" i="14"/>
  <c r="T420" i="14"/>
  <c r="S420" i="14"/>
  <c r="R420" i="14"/>
  <c r="Q420" i="14"/>
  <c r="P420" i="14"/>
  <c r="O420" i="14"/>
  <c r="N420" i="14"/>
  <c r="M420" i="14"/>
  <c r="L420" i="14"/>
  <c r="K420" i="14"/>
  <c r="I420" i="14"/>
  <c r="H420" i="14"/>
  <c r="G420" i="14"/>
  <c r="F420" i="14"/>
  <c r="E420" i="14"/>
  <c r="D420" i="14"/>
  <c r="C420" i="14"/>
  <c r="Y419" i="14"/>
  <c r="X419" i="14"/>
  <c r="W419" i="14"/>
  <c r="V419" i="14"/>
  <c r="U419" i="14"/>
  <c r="T419" i="14"/>
  <c r="S419" i="14"/>
  <c r="R419" i="14"/>
  <c r="Q419" i="14"/>
  <c r="P419" i="14"/>
  <c r="O419" i="14"/>
  <c r="N419" i="14"/>
  <c r="M419" i="14"/>
  <c r="L419" i="14"/>
  <c r="K419" i="14"/>
  <c r="I419" i="14"/>
  <c r="H419" i="14"/>
  <c r="G419" i="14"/>
  <c r="F419" i="14"/>
  <c r="E419" i="14"/>
  <c r="D419" i="14"/>
  <c r="C419" i="14"/>
  <c r="Y418" i="14"/>
  <c r="X418" i="14"/>
  <c r="W418" i="14"/>
  <c r="V418" i="14"/>
  <c r="U418" i="14"/>
  <c r="T418" i="14"/>
  <c r="S418" i="14"/>
  <c r="R418" i="14"/>
  <c r="Q418" i="14"/>
  <c r="P418" i="14"/>
  <c r="O418" i="14"/>
  <c r="N418" i="14"/>
  <c r="M418" i="14"/>
  <c r="L418" i="14"/>
  <c r="K418" i="14"/>
  <c r="I418" i="14"/>
  <c r="H418" i="14"/>
  <c r="G418" i="14"/>
  <c r="F418" i="14"/>
  <c r="E418" i="14"/>
  <c r="D418" i="14"/>
  <c r="C418" i="14"/>
  <c r="Y417" i="14"/>
  <c r="X417" i="14"/>
  <c r="W417" i="14"/>
  <c r="V417" i="14"/>
  <c r="U417" i="14"/>
  <c r="T417" i="14"/>
  <c r="S417" i="14"/>
  <c r="R417" i="14"/>
  <c r="Q417" i="14"/>
  <c r="P417" i="14"/>
  <c r="O417" i="14"/>
  <c r="N417" i="14"/>
  <c r="M417" i="14"/>
  <c r="L417" i="14"/>
  <c r="K417" i="14"/>
  <c r="I417" i="14"/>
  <c r="H417" i="14"/>
  <c r="G417" i="14"/>
  <c r="F417" i="14"/>
  <c r="E417" i="14"/>
  <c r="D417" i="14"/>
  <c r="C417" i="14"/>
  <c r="Y416" i="14"/>
  <c r="X416" i="14"/>
  <c r="W416" i="14"/>
  <c r="V416" i="14"/>
  <c r="U416" i="14"/>
  <c r="T416" i="14"/>
  <c r="S416" i="14"/>
  <c r="R416" i="14"/>
  <c r="Q416" i="14"/>
  <c r="P416" i="14"/>
  <c r="O416" i="14"/>
  <c r="N416" i="14"/>
  <c r="M416" i="14"/>
  <c r="L416" i="14"/>
  <c r="K416" i="14"/>
  <c r="I416" i="14"/>
  <c r="H416" i="14"/>
  <c r="G416" i="14"/>
  <c r="F416" i="14"/>
  <c r="E416" i="14"/>
  <c r="D416" i="14"/>
  <c r="C416" i="14"/>
  <c r="Y415" i="14"/>
  <c r="X415" i="14"/>
  <c r="W415" i="14"/>
  <c r="V415" i="14"/>
  <c r="U415" i="14"/>
  <c r="T415" i="14"/>
  <c r="S415" i="14"/>
  <c r="R415" i="14"/>
  <c r="Q415" i="14"/>
  <c r="P415" i="14"/>
  <c r="O415" i="14"/>
  <c r="N415" i="14"/>
  <c r="M415" i="14"/>
  <c r="L415" i="14"/>
  <c r="K415" i="14"/>
  <c r="I415" i="14"/>
  <c r="H415" i="14"/>
  <c r="G415" i="14"/>
  <c r="F415" i="14"/>
  <c r="E415" i="14"/>
  <c r="D415" i="14"/>
  <c r="C415" i="14"/>
  <c r="Y414" i="14"/>
  <c r="X414" i="14"/>
  <c r="W414" i="14"/>
  <c r="V414" i="14"/>
  <c r="U414" i="14"/>
  <c r="T414" i="14"/>
  <c r="S414" i="14"/>
  <c r="R414" i="14"/>
  <c r="Q414" i="14"/>
  <c r="P414" i="14"/>
  <c r="O414" i="14"/>
  <c r="N414" i="14"/>
  <c r="M414" i="14"/>
  <c r="L414" i="14"/>
  <c r="K414" i="14"/>
  <c r="I414" i="14"/>
  <c r="H414" i="14"/>
  <c r="G414" i="14"/>
  <c r="F414" i="14"/>
  <c r="E414" i="14"/>
  <c r="D414" i="14"/>
  <c r="C414" i="14"/>
  <c r="Y413" i="14"/>
  <c r="X413" i="14"/>
  <c r="W413" i="14"/>
  <c r="V413" i="14"/>
  <c r="U413" i="14"/>
  <c r="T413" i="14"/>
  <c r="S413" i="14"/>
  <c r="R413" i="14"/>
  <c r="Q413" i="14"/>
  <c r="P413" i="14"/>
  <c r="O413" i="14"/>
  <c r="N413" i="14"/>
  <c r="M413" i="14"/>
  <c r="L413" i="14"/>
  <c r="K413" i="14"/>
  <c r="I413" i="14"/>
  <c r="H413" i="14"/>
  <c r="G413" i="14"/>
  <c r="F413" i="14"/>
  <c r="E413" i="14"/>
  <c r="D413" i="14"/>
  <c r="C413" i="14"/>
  <c r="Y412" i="14"/>
  <c r="X412" i="14"/>
  <c r="W412" i="14"/>
  <c r="V412" i="14"/>
  <c r="U412" i="14"/>
  <c r="T412" i="14"/>
  <c r="S412" i="14"/>
  <c r="R412" i="14"/>
  <c r="Q412" i="14"/>
  <c r="P412" i="14"/>
  <c r="O412" i="14"/>
  <c r="N412" i="14"/>
  <c r="M412" i="14"/>
  <c r="L412" i="14"/>
  <c r="K412" i="14"/>
  <c r="I412" i="14"/>
  <c r="H412" i="14"/>
  <c r="G412" i="14"/>
  <c r="F412" i="14"/>
  <c r="E412" i="14"/>
  <c r="D412" i="14"/>
  <c r="C412" i="14"/>
  <c r="Y411" i="14"/>
  <c r="X411" i="14"/>
  <c r="W411" i="14"/>
  <c r="V411" i="14"/>
  <c r="U411" i="14"/>
  <c r="T411" i="14"/>
  <c r="S411" i="14"/>
  <c r="R411" i="14"/>
  <c r="Q411" i="14"/>
  <c r="P411" i="14"/>
  <c r="O411" i="14"/>
  <c r="N411" i="14"/>
  <c r="M411" i="14"/>
  <c r="L411" i="14"/>
  <c r="K411" i="14"/>
  <c r="I411" i="14"/>
  <c r="H411" i="14"/>
  <c r="G411" i="14"/>
  <c r="F411" i="14"/>
  <c r="E411" i="14"/>
  <c r="D411" i="14"/>
  <c r="C411" i="14"/>
  <c r="Y410" i="14"/>
  <c r="X410" i="14"/>
  <c r="W410" i="14"/>
  <c r="V410" i="14"/>
  <c r="U410" i="14"/>
  <c r="T410" i="14"/>
  <c r="S410" i="14"/>
  <c r="R410" i="14"/>
  <c r="Q410" i="14"/>
  <c r="P410" i="14"/>
  <c r="O410" i="14"/>
  <c r="N410" i="14"/>
  <c r="M410" i="14"/>
  <c r="L410" i="14"/>
  <c r="K410" i="14"/>
  <c r="I410" i="14"/>
  <c r="H410" i="14"/>
  <c r="G410" i="14"/>
  <c r="F410" i="14"/>
  <c r="E410" i="14"/>
  <c r="D410" i="14"/>
  <c r="C410" i="14"/>
  <c r="Y409" i="14"/>
  <c r="X409" i="14"/>
  <c r="W409" i="14"/>
  <c r="V409" i="14"/>
  <c r="U409" i="14"/>
  <c r="T409" i="14"/>
  <c r="S409" i="14"/>
  <c r="R409" i="14"/>
  <c r="Q409" i="14"/>
  <c r="P409" i="14"/>
  <c r="O409" i="14"/>
  <c r="N409" i="14"/>
  <c r="M409" i="14"/>
  <c r="L409" i="14"/>
  <c r="K409" i="14"/>
  <c r="I409" i="14"/>
  <c r="H409" i="14"/>
  <c r="G409" i="14"/>
  <c r="F409" i="14"/>
  <c r="E409" i="14"/>
  <c r="D409" i="14"/>
  <c r="C409" i="14"/>
  <c r="Y408" i="14"/>
  <c r="X408" i="14"/>
  <c r="W408" i="14"/>
  <c r="V408" i="14"/>
  <c r="U408" i="14"/>
  <c r="T408" i="14"/>
  <c r="S408" i="14"/>
  <c r="R408" i="14"/>
  <c r="Q408" i="14"/>
  <c r="P408" i="14"/>
  <c r="O408" i="14"/>
  <c r="N408" i="14"/>
  <c r="M408" i="14"/>
  <c r="L408" i="14"/>
  <c r="K408" i="14"/>
  <c r="I408" i="14"/>
  <c r="H408" i="14"/>
  <c r="G408" i="14"/>
  <c r="F408" i="14"/>
  <c r="E408" i="14"/>
  <c r="D408" i="14"/>
  <c r="C408" i="14"/>
  <c r="Y407" i="14"/>
  <c r="X407" i="14"/>
  <c r="W407" i="14"/>
  <c r="V407" i="14"/>
  <c r="U407" i="14"/>
  <c r="T407" i="14"/>
  <c r="S407" i="14"/>
  <c r="R407" i="14"/>
  <c r="Q407" i="14"/>
  <c r="P407" i="14"/>
  <c r="O407" i="14"/>
  <c r="N407" i="14"/>
  <c r="M407" i="14"/>
  <c r="L407" i="14"/>
  <c r="K407" i="14"/>
  <c r="I407" i="14"/>
  <c r="H407" i="14"/>
  <c r="G407" i="14"/>
  <c r="F407" i="14"/>
  <c r="E407" i="14"/>
  <c r="D407" i="14"/>
  <c r="C407" i="14"/>
  <c r="Y406" i="14"/>
  <c r="X406" i="14"/>
  <c r="W406" i="14"/>
  <c r="V406" i="14"/>
  <c r="U406" i="14"/>
  <c r="T406" i="14"/>
  <c r="S406" i="14"/>
  <c r="R406" i="14"/>
  <c r="Q406" i="14"/>
  <c r="P406" i="14"/>
  <c r="O406" i="14"/>
  <c r="N406" i="14"/>
  <c r="M406" i="14"/>
  <c r="L406" i="14"/>
  <c r="K406" i="14"/>
  <c r="I406" i="14"/>
  <c r="H406" i="14"/>
  <c r="G406" i="14"/>
  <c r="F406" i="14"/>
  <c r="E406" i="14"/>
  <c r="D406" i="14"/>
  <c r="C406" i="14"/>
  <c r="Y405" i="14"/>
  <c r="X405" i="14"/>
  <c r="W405" i="14"/>
  <c r="V405" i="14"/>
  <c r="U405" i="14"/>
  <c r="T405" i="14"/>
  <c r="S405" i="14"/>
  <c r="R405" i="14"/>
  <c r="Q405" i="14"/>
  <c r="P405" i="14"/>
  <c r="O405" i="14"/>
  <c r="N405" i="14"/>
  <c r="M405" i="14"/>
  <c r="L405" i="14"/>
  <c r="K405" i="14"/>
  <c r="I405" i="14"/>
  <c r="H405" i="14"/>
  <c r="G405" i="14"/>
  <c r="F405" i="14"/>
  <c r="E405" i="14"/>
  <c r="D405" i="14"/>
  <c r="C405" i="14"/>
  <c r="Y404" i="14"/>
  <c r="X404" i="14"/>
  <c r="W404" i="14"/>
  <c r="V404" i="14"/>
  <c r="U404" i="14"/>
  <c r="T404" i="14"/>
  <c r="S404" i="14"/>
  <c r="R404" i="14"/>
  <c r="Q404" i="14"/>
  <c r="P404" i="14"/>
  <c r="O404" i="14"/>
  <c r="N404" i="14"/>
  <c r="M404" i="14"/>
  <c r="L404" i="14"/>
  <c r="K404" i="14"/>
  <c r="I404" i="14"/>
  <c r="H404" i="14"/>
  <c r="G404" i="14"/>
  <c r="F404" i="14"/>
  <c r="E404" i="14"/>
  <c r="D404" i="14"/>
  <c r="C404" i="14"/>
  <c r="Y403" i="14"/>
  <c r="X403" i="14"/>
  <c r="W403" i="14"/>
  <c r="V403" i="14"/>
  <c r="U403" i="14"/>
  <c r="T403" i="14"/>
  <c r="S403" i="14"/>
  <c r="R403" i="14"/>
  <c r="Q403" i="14"/>
  <c r="P403" i="14"/>
  <c r="O403" i="14"/>
  <c r="N403" i="14"/>
  <c r="M403" i="14"/>
  <c r="L403" i="14"/>
  <c r="K403" i="14"/>
  <c r="I403" i="14"/>
  <c r="H403" i="14"/>
  <c r="G403" i="14"/>
  <c r="F403" i="14"/>
  <c r="E403" i="14"/>
  <c r="D403" i="14"/>
  <c r="C403" i="14"/>
  <c r="Y402" i="14"/>
  <c r="X402" i="14"/>
  <c r="W402" i="14"/>
  <c r="V402" i="14"/>
  <c r="U402" i="14"/>
  <c r="T402" i="14"/>
  <c r="S402" i="14"/>
  <c r="R402" i="14"/>
  <c r="Q402" i="14"/>
  <c r="P402" i="14"/>
  <c r="O402" i="14"/>
  <c r="N402" i="14"/>
  <c r="M402" i="14"/>
  <c r="L402" i="14"/>
  <c r="K402" i="14"/>
  <c r="I402" i="14"/>
  <c r="H402" i="14"/>
  <c r="G402" i="14"/>
  <c r="F402" i="14"/>
  <c r="E402" i="14"/>
  <c r="D402" i="14"/>
  <c r="C402" i="14"/>
  <c r="Y401" i="14"/>
  <c r="X401" i="14"/>
  <c r="W401" i="14"/>
  <c r="V401" i="14"/>
  <c r="U401" i="14"/>
  <c r="T401" i="14"/>
  <c r="S401" i="14"/>
  <c r="R401" i="14"/>
  <c r="Q401" i="14"/>
  <c r="P401" i="14"/>
  <c r="O401" i="14"/>
  <c r="N401" i="14"/>
  <c r="M401" i="14"/>
  <c r="L401" i="14"/>
  <c r="K401" i="14"/>
  <c r="I401" i="14"/>
  <c r="H401" i="14"/>
  <c r="G401" i="14"/>
  <c r="F401" i="14"/>
  <c r="E401" i="14"/>
  <c r="D401" i="14"/>
  <c r="C401" i="14"/>
  <c r="Y400" i="14"/>
  <c r="X400" i="14"/>
  <c r="W400" i="14"/>
  <c r="V400" i="14"/>
  <c r="U400" i="14"/>
  <c r="T400" i="14"/>
  <c r="S400" i="14"/>
  <c r="R400" i="14"/>
  <c r="Q400" i="14"/>
  <c r="P400" i="14"/>
  <c r="O400" i="14"/>
  <c r="N400" i="14"/>
  <c r="M400" i="14"/>
  <c r="L400" i="14"/>
  <c r="K400" i="14"/>
  <c r="I400" i="14"/>
  <c r="H400" i="14"/>
  <c r="G400" i="14"/>
  <c r="F400" i="14"/>
  <c r="E400" i="14"/>
  <c r="D400" i="14"/>
  <c r="C400" i="14"/>
  <c r="Y399" i="14"/>
  <c r="X399" i="14"/>
  <c r="W399" i="14"/>
  <c r="V399" i="14"/>
  <c r="U399" i="14"/>
  <c r="T399" i="14"/>
  <c r="S399" i="14"/>
  <c r="R399" i="14"/>
  <c r="Q399" i="14"/>
  <c r="P399" i="14"/>
  <c r="O399" i="14"/>
  <c r="N399" i="14"/>
  <c r="M399" i="14"/>
  <c r="L399" i="14"/>
  <c r="K399" i="14"/>
  <c r="I399" i="14"/>
  <c r="H399" i="14"/>
  <c r="G399" i="14"/>
  <c r="F399" i="14"/>
  <c r="E399" i="14"/>
  <c r="D399" i="14"/>
  <c r="C399" i="14"/>
  <c r="Y398" i="14"/>
  <c r="X398" i="14"/>
  <c r="W398" i="14"/>
  <c r="V398" i="14"/>
  <c r="U398" i="14"/>
  <c r="T398" i="14"/>
  <c r="S398" i="14"/>
  <c r="R398" i="14"/>
  <c r="Q398" i="14"/>
  <c r="P398" i="14"/>
  <c r="O398" i="14"/>
  <c r="N398" i="14"/>
  <c r="M398" i="14"/>
  <c r="L398" i="14"/>
  <c r="K398" i="14"/>
  <c r="I398" i="14"/>
  <c r="H398" i="14"/>
  <c r="G398" i="14"/>
  <c r="F398" i="14"/>
  <c r="E398" i="14"/>
  <c r="D398" i="14"/>
  <c r="C398" i="14"/>
  <c r="Y397" i="14"/>
  <c r="X397" i="14"/>
  <c r="W397" i="14"/>
  <c r="V397" i="14"/>
  <c r="U397" i="14"/>
  <c r="T397" i="14"/>
  <c r="S397" i="14"/>
  <c r="R397" i="14"/>
  <c r="Q397" i="14"/>
  <c r="P397" i="14"/>
  <c r="O397" i="14"/>
  <c r="N397" i="14"/>
  <c r="M397" i="14"/>
  <c r="L397" i="14"/>
  <c r="K397" i="14"/>
  <c r="I397" i="14"/>
  <c r="H397" i="14"/>
  <c r="G397" i="14"/>
  <c r="F397" i="14"/>
  <c r="E397" i="14"/>
  <c r="D397" i="14"/>
  <c r="C397" i="14"/>
  <c r="Y396" i="14"/>
  <c r="X396" i="14"/>
  <c r="W396" i="14"/>
  <c r="V396" i="14"/>
  <c r="U396" i="14"/>
  <c r="T396" i="14"/>
  <c r="S396" i="14"/>
  <c r="R396" i="14"/>
  <c r="Q396" i="14"/>
  <c r="P396" i="14"/>
  <c r="O396" i="14"/>
  <c r="N396" i="14"/>
  <c r="M396" i="14"/>
  <c r="L396" i="14"/>
  <c r="K396" i="14"/>
  <c r="I396" i="14"/>
  <c r="H396" i="14"/>
  <c r="G396" i="14"/>
  <c r="F396" i="14"/>
  <c r="E396" i="14"/>
  <c r="D396" i="14"/>
  <c r="C396" i="14"/>
  <c r="Y395" i="14"/>
  <c r="X395" i="14"/>
  <c r="W395" i="14"/>
  <c r="V395" i="14"/>
  <c r="U395" i="14"/>
  <c r="T395" i="14"/>
  <c r="S395" i="14"/>
  <c r="R395" i="14"/>
  <c r="Q395" i="14"/>
  <c r="P395" i="14"/>
  <c r="O395" i="14"/>
  <c r="N395" i="14"/>
  <c r="M395" i="14"/>
  <c r="L395" i="14"/>
  <c r="K395" i="14"/>
  <c r="I395" i="14"/>
  <c r="H395" i="14"/>
  <c r="G395" i="14"/>
  <c r="F395" i="14"/>
  <c r="E395" i="14"/>
  <c r="D395" i="14"/>
  <c r="C395" i="14"/>
  <c r="Y394" i="14"/>
  <c r="X394" i="14"/>
  <c r="W394" i="14"/>
  <c r="V394" i="14"/>
  <c r="U394" i="14"/>
  <c r="T394" i="14"/>
  <c r="S394" i="14"/>
  <c r="R394" i="14"/>
  <c r="Q394" i="14"/>
  <c r="P394" i="14"/>
  <c r="O394" i="14"/>
  <c r="N394" i="14"/>
  <c r="M394" i="14"/>
  <c r="L394" i="14"/>
  <c r="K394" i="14"/>
  <c r="I394" i="14"/>
  <c r="H394" i="14"/>
  <c r="G394" i="14"/>
  <c r="F394" i="14"/>
  <c r="E394" i="14"/>
  <c r="D394" i="14"/>
  <c r="C394" i="14"/>
  <c r="Y393" i="14"/>
  <c r="X393" i="14"/>
  <c r="W393" i="14"/>
  <c r="V393" i="14"/>
  <c r="U393" i="14"/>
  <c r="T393" i="14"/>
  <c r="S393" i="14"/>
  <c r="R393" i="14"/>
  <c r="Q393" i="14"/>
  <c r="P393" i="14"/>
  <c r="O393" i="14"/>
  <c r="N393" i="14"/>
  <c r="M393" i="14"/>
  <c r="L393" i="14"/>
  <c r="K393" i="14"/>
  <c r="I393" i="14"/>
  <c r="H393" i="14"/>
  <c r="G393" i="14"/>
  <c r="F393" i="14"/>
  <c r="E393" i="14"/>
  <c r="D393" i="14"/>
  <c r="C393" i="14"/>
  <c r="Y392" i="14"/>
  <c r="X392" i="14"/>
  <c r="W392" i="14"/>
  <c r="V392" i="14"/>
  <c r="U392" i="14"/>
  <c r="T392" i="14"/>
  <c r="S392" i="14"/>
  <c r="R392" i="14"/>
  <c r="Q392" i="14"/>
  <c r="P392" i="14"/>
  <c r="O392" i="14"/>
  <c r="N392" i="14"/>
  <c r="M392" i="14"/>
  <c r="L392" i="14"/>
  <c r="K392" i="14"/>
  <c r="I392" i="14"/>
  <c r="H392" i="14"/>
  <c r="G392" i="14"/>
  <c r="F392" i="14"/>
  <c r="E392" i="14"/>
  <c r="D392" i="14"/>
  <c r="C392" i="14"/>
  <c r="Y391" i="14"/>
  <c r="X391" i="14"/>
  <c r="W391" i="14"/>
  <c r="V391" i="14"/>
  <c r="U391" i="14"/>
  <c r="T391" i="14"/>
  <c r="S391" i="14"/>
  <c r="R391" i="14"/>
  <c r="Q391" i="14"/>
  <c r="P391" i="14"/>
  <c r="O391" i="14"/>
  <c r="N391" i="14"/>
  <c r="M391" i="14"/>
  <c r="L391" i="14"/>
  <c r="K391" i="14"/>
  <c r="I391" i="14"/>
  <c r="H391" i="14"/>
  <c r="G391" i="14"/>
  <c r="F391" i="14"/>
  <c r="E391" i="14"/>
  <c r="D391" i="14"/>
  <c r="C391" i="14"/>
  <c r="Y390" i="14"/>
  <c r="X390" i="14"/>
  <c r="W390" i="14"/>
  <c r="V390" i="14"/>
  <c r="U390" i="14"/>
  <c r="T390" i="14"/>
  <c r="S390" i="14"/>
  <c r="R390" i="14"/>
  <c r="Q390" i="14"/>
  <c r="P390" i="14"/>
  <c r="O390" i="14"/>
  <c r="N390" i="14"/>
  <c r="M390" i="14"/>
  <c r="L390" i="14"/>
  <c r="K390" i="14"/>
  <c r="I390" i="14"/>
  <c r="H390" i="14"/>
  <c r="G390" i="14"/>
  <c r="F390" i="14"/>
  <c r="E390" i="14"/>
  <c r="D390" i="14"/>
  <c r="C390" i="14"/>
  <c r="Y389" i="14"/>
  <c r="X389" i="14"/>
  <c r="W389" i="14"/>
  <c r="V389" i="14"/>
  <c r="U389" i="14"/>
  <c r="T389" i="14"/>
  <c r="S389" i="14"/>
  <c r="R389" i="14"/>
  <c r="Q389" i="14"/>
  <c r="P389" i="14"/>
  <c r="O389" i="14"/>
  <c r="N389" i="14"/>
  <c r="M389" i="14"/>
  <c r="L389" i="14"/>
  <c r="K389" i="14"/>
  <c r="I389" i="14"/>
  <c r="H389" i="14"/>
  <c r="G389" i="14"/>
  <c r="F389" i="14"/>
  <c r="E389" i="14"/>
  <c r="D389" i="14"/>
  <c r="C389" i="14"/>
  <c r="Y388" i="14"/>
  <c r="X388" i="14"/>
  <c r="W388" i="14"/>
  <c r="V388" i="14"/>
  <c r="U388" i="14"/>
  <c r="T388" i="14"/>
  <c r="S388" i="14"/>
  <c r="R388" i="14"/>
  <c r="Q388" i="14"/>
  <c r="P388" i="14"/>
  <c r="O388" i="14"/>
  <c r="N388" i="14"/>
  <c r="M388" i="14"/>
  <c r="L388" i="14"/>
  <c r="K388" i="14"/>
  <c r="I388" i="14"/>
  <c r="H388" i="14"/>
  <c r="G388" i="14"/>
  <c r="F388" i="14"/>
  <c r="E388" i="14"/>
  <c r="D388" i="14"/>
  <c r="C388" i="14"/>
  <c r="Y387" i="14"/>
  <c r="X387" i="14"/>
  <c r="W387" i="14"/>
  <c r="V387" i="14"/>
  <c r="U387" i="14"/>
  <c r="T387" i="14"/>
  <c r="S387" i="14"/>
  <c r="R387" i="14"/>
  <c r="Q387" i="14"/>
  <c r="P387" i="14"/>
  <c r="O387" i="14"/>
  <c r="N387" i="14"/>
  <c r="M387" i="14"/>
  <c r="L387" i="14"/>
  <c r="K387" i="14"/>
  <c r="I387" i="14"/>
  <c r="H387" i="14"/>
  <c r="G387" i="14"/>
  <c r="F387" i="14"/>
  <c r="E387" i="14"/>
  <c r="D387" i="14"/>
  <c r="C387" i="14"/>
  <c r="Y386" i="14"/>
  <c r="X386" i="14"/>
  <c r="W386" i="14"/>
  <c r="V386" i="14"/>
  <c r="U386" i="14"/>
  <c r="T386" i="14"/>
  <c r="S386" i="14"/>
  <c r="R386" i="14"/>
  <c r="Q386" i="14"/>
  <c r="P386" i="14"/>
  <c r="O386" i="14"/>
  <c r="N386" i="14"/>
  <c r="M386" i="14"/>
  <c r="L386" i="14"/>
  <c r="K386" i="14"/>
  <c r="I386" i="14"/>
  <c r="H386" i="14"/>
  <c r="G386" i="14"/>
  <c r="F386" i="14"/>
  <c r="E386" i="14"/>
  <c r="D386" i="14"/>
  <c r="C386" i="14"/>
  <c r="Y385" i="14"/>
  <c r="X385" i="14"/>
  <c r="W385" i="14"/>
  <c r="V385" i="14"/>
  <c r="U385" i="14"/>
  <c r="T385" i="14"/>
  <c r="S385" i="14"/>
  <c r="R385" i="14"/>
  <c r="Q385" i="14"/>
  <c r="P385" i="14"/>
  <c r="O385" i="14"/>
  <c r="N385" i="14"/>
  <c r="M385" i="14"/>
  <c r="L385" i="14"/>
  <c r="K385" i="14"/>
  <c r="I385" i="14"/>
  <c r="H385" i="14"/>
  <c r="G385" i="14"/>
  <c r="F385" i="14"/>
  <c r="E385" i="14"/>
  <c r="D385" i="14"/>
  <c r="C385" i="14"/>
  <c r="Y384" i="14"/>
  <c r="X384" i="14"/>
  <c r="W384" i="14"/>
  <c r="V384" i="14"/>
  <c r="U384" i="14"/>
  <c r="T384" i="14"/>
  <c r="S384" i="14"/>
  <c r="R384" i="14"/>
  <c r="Q384" i="14"/>
  <c r="P384" i="14"/>
  <c r="O384" i="14"/>
  <c r="N384" i="14"/>
  <c r="M384" i="14"/>
  <c r="L384" i="14"/>
  <c r="K384" i="14"/>
  <c r="I384" i="14"/>
  <c r="H384" i="14"/>
  <c r="G384" i="14"/>
  <c r="F384" i="14"/>
  <c r="E384" i="14"/>
  <c r="D384" i="14"/>
  <c r="C384" i="14"/>
  <c r="Y383" i="14"/>
  <c r="X383" i="14"/>
  <c r="W383" i="14"/>
  <c r="V383" i="14"/>
  <c r="U383" i="14"/>
  <c r="T383" i="14"/>
  <c r="S383" i="14"/>
  <c r="R383" i="14"/>
  <c r="Q383" i="14"/>
  <c r="P383" i="14"/>
  <c r="O383" i="14"/>
  <c r="N383" i="14"/>
  <c r="M383" i="14"/>
  <c r="L383" i="14"/>
  <c r="K383" i="14"/>
  <c r="I383" i="14"/>
  <c r="H383" i="14"/>
  <c r="G383" i="14"/>
  <c r="F383" i="14"/>
  <c r="E383" i="14"/>
  <c r="D383" i="14"/>
  <c r="C383" i="14"/>
  <c r="Y382" i="14"/>
  <c r="X382" i="14"/>
  <c r="W382" i="14"/>
  <c r="V382" i="14"/>
  <c r="U382" i="14"/>
  <c r="T382" i="14"/>
  <c r="S382" i="14"/>
  <c r="R382" i="14"/>
  <c r="Q382" i="14"/>
  <c r="P382" i="14"/>
  <c r="O382" i="14"/>
  <c r="N382" i="14"/>
  <c r="M382" i="14"/>
  <c r="L382" i="14"/>
  <c r="K382" i="14"/>
  <c r="I382" i="14"/>
  <c r="H382" i="14"/>
  <c r="G382" i="14"/>
  <c r="F382" i="14"/>
  <c r="E382" i="14"/>
  <c r="D382" i="14"/>
  <c r="C382" i="14"/>
  <c r="Y381" i="14"/>
  <c r="X381" i="14"/>
  <c r="W381" i="14"/>
  <c r="V381" i="14"/>
  <c r="U381" i="14"/>
  <c r="T381" i="14"/>
  <c r="S381" i="14"/>
  <c r="R381" i="14"/>
  <c r="Q381" i="14"/>
  <c r="P381" i="14"/>
  <c r="O381" i="14"/>
  <c r="N381" i="14"/>
  <c r="M381" i="14"/>
  <c r="L381" i="14"/>
  <c r="K381" i="14"/>
  <c r="I381" i="14"/>
  <c r="H381" i="14"/>
  <c r="G381" i="14"/>
  <c r="F381" i="14"/>
  <c r="E381" i="14"/>
  <c r="D381" i="14"/>
  <c r="C381" i="14"/>
  <c r="Y380" i="14"/>
  <c r="X380" i="14"/>
  <c r="W380" i="14"/>
  <c r="V380" i="14"/>
  <c r="U380" i="14"/>
  <c r="T380" i="14"/>
  <c r="S380" i="14"/>
  <c r="R380" i="14"/>
  <c r="Q380" i="14"/>
  <c r="P380" i="14"/>
  <c r="O380" i="14"/>
  <c r="N380" i="14"/>
  <c r="M380" i="14"/>
  <c r="L380" i="14"/>
  <c r="K380" i="14"/>
  <c r="I380" i="14"/>
  <c r="H380" i="14"/>
  <c r="G380" i="14"/>
  <c r="F380" i="14"/>
  <c r="E380" i="14"/>
  <c r="D380" i="14"/>
  <c r="C380" i="14"/>
  <c r="Y379" i="14"/>
  <c r="X379" i="14"/>
  <c r="W379" i="14"/>
  <c r="V379" i="14"/>
  <c r="U379" i="14"/>
  <c r="T379" i="14"/>
  <c r="S379" i="14"/>
  <c r="R379" i="14"/>
  <c r="Q379" i="14"/>
  <c r="P379" i="14"/>
  <c r="O379" i="14"/>
  <c r="N379" i="14"/>
  <c r="M379" i="14"/>
  <c r="L379" i="14"/>
  <c r="K379" i="14"/>
  <c r="I379" i="14"/>
  <c r="H379" i="14"/>
  <c r="G379" i="14"/>
  <c r="F379" i="14"/>
  <c r="E379" i="14"/>
  <c r="D379" i="14"/>
  <c r="C379" i="14"/>
  <c r="Y378" i="14"/>
  <c r="X378" i="14"/>
  <c r="W378" i="14"/>
  <c r="V378" i="14"/>
  <c r="U378" i="14"/>
  <c r="T378" i="14"/>
  <c r="S378" i="14"/>
  <c r="R378" i="14"/>
  <c r="Q378" i="14"/>
  <c r="P378" i="14"/>
  <c r="O378" i="14"/>
  <c r="N378" i="14"/>
  <c r="M378" i="14"/>
  <c r="L378" i="14"/>
  <c r="K378" i="14"/>
  <c r="I378" i="14"/>
  <c r="H378" i="14"/>
  <c r="G378" i="14"/>
  <c r="F378" i="14"/>
  <c r="E378" i="14"/>
  <c r="D378" i="14"/>
  <c r="C378" i="14"/>
  <c r="Y377" i="14"/>
  <c r="X377" i="14"/>
  <c r="W377" i="14"/>
  <c r="V377" i="14"/>
  <c r="U377" i="14"/>
  <c r="T377" i="14"/>
  <c r="S377" i="14"/>
  <c r="R377" i="14"/>
  <c r="Q377" i="14"/>
  <c r="P377" i="14"/>
  <c r="O377" i="14"/>
  <c r="N377" i="14"/>
  <c r="M377" i="14"/>
  <c r="L377" i="14"/>
  <c r="K377" i="14"/>
  <c r="I377" i="14"/>
  <c r="H377" i="14"/>
  <c r="G377" i="14"/>
  <c r="F377" i="14"/>
  <c r="E377" i="14"/>
  <c r="D377" i="14"/>
  <c r="C377" i="14"/>
  <c r="Y376" i="14"/>
  <c r="X376" i="14"/>
  <c r="W376" i="14"/>
  <c r="V376" i="14"/>
  <c r="U376" i="14"/>
  <c r="T376" i="14"/>
  <c r="S376" i="14"/>
  <c r="R376" i="14"/>
  <c r="Q376" i="14"/>
  <c r="P376" i="14"/>
  <c r="O376" i="14"/>
  <c r="N376" i="14"/>
  <c r="M376" i="14"/>
  <c r="L376" i="14"/>
  <c r="K376" i="14"/>
  <c r="I376" i="14"/>
  <c r="H376" i="14"/>
  <c r="G376" i="14"/>
  <c r="F376" i="14"/>
  <c r="E376" i="14"/>
  <c r="D376" i="14"/>
  <c r="C376" i="14"/>
  <c r="Y375" i="14"/>
  <c r="X375" i="14"/>
  <c r="W375" i="14"/>
  <c r="V375" i="14"/>
  <c r="U375" i="14"/>
  <c r="T375" i="14"/>
  <c r="S375" i="14"/>
  <c r="R375" i="14"/>
  <c r="Q375" i="14"/>
  <c r="P375" i="14"/>
  <c r="O375" i="14"/>
  <c r="N375" i="14"/>
  <c r="M375" i="14"/>
  <c r="L375" i="14"/>
  <c r="K375" i="14"/>
  <c r="I375" i="14"/>
  <c r="H375" i="14"/>
  <c r="G375" i="14"/>
  <c r="F375" i="14"/>
  <c r="E375" i="14"/>
  <c r="D375" i="14"/>
  <c r="C375" i="14"/>
  <c r="Y374" i="14"/>
  <c r="X374" i="14"/>
  <c r="W374" i="14"/>
  <c r="V374" i="14"/>
  <c r="U374" i="14"/>
  <c r="T374" i="14"/>
  <c r="S374" i="14"/>
  <c r="R374" i="14"/>
  <c r="Q374" i="14"/>
  <c r="P374" i="14"/>
  <c r="O374" i="14"/>
  <c r="N374" i="14"/>
  <c r="M374" i="14"/>
  <c r="L374" i="14"/>
  <c r="K374" i="14"/>
  <c r="I374" i="14"/>
  <c r="H374" i="14"/>
  <c r="G374" i="14"/>
  <c r="F374" i="14"/>
  <c r="E374" i="14"/>
  <c r="D374" i="14"/>
  <c r="C374" i="14"/>
  <c r="Y373" i="14"/>
  <c r="X373" i="14"/>
  <c r="W373" i="14"/>
  <c r="V373" i="14"/>
  <c r="U373" i="14"/>
  <c r="T373" i="14"/>
  <c r="S373" i="14"/>
  <c r="R373" i="14"/>
  <c r="Q373" i="14"/>
  <c r="P373" i="14"/>
  <c r="O373" i="14"/>
  <c r="N373" i="14"/>
  <c r="M373" i="14"/>
  <c r="L373" i="14"/>
  <c r="K373" i="14"/>
  <c r="I373" i="14"/>
  <c r="H373" i="14"/>
  <c r="G373" i="14"/>
  <c r="F373" i="14"/>
  <c r="E373" i="14"/>
  <c r="D373" i="14"/>
  <c r="C373" i="14"/>
  <c r="Y372" i="14"/>
  <c r="X372" i="14"/>
  <c r="W372" i="14"/>
  <c r="V372" i="14"/>
  <c r="U372" i="14"/>
  <c r="T372" i="14"/>
  <c r="S372" i="14"/>
  <c r="R372" i="14"/>
  <c r="Q372" i="14"/>
  <c r="P372" i="14"/>
  <c r="O372" i="14"/>
  <c r="N372" i="14"/>
  <c r="M372" i="14"/>
  <c r="L372" i="14"/>
  <c r="K372" i="14"/>
  <c r="I372" i="14"/>
  <c r="H372" i="14"/>
  <c r="G372" i="14"/>
  <c r="F372" i="14"/>
  <c r="E372" i="14"/>
  <c r="D372" i="14"/>
  <c r="C372" i="14"/>
  <c r="Y371" i="14"/>
  <c r="X371" i="14"/>
  <c r="W371" i="14"/>
  <c r="V371" i="14"/>
  <c r="U371" i="14"/>
  <c r="T371" i="14"/>
  <c r="S371" i="14"/>
  <c r="R371" i="14"/>
  <c r="Q371" i="14"/>
  <c r="P371" i="14"/>
  <c r="O371" i="14"/>
  <c r="N371" i="14"/>
  <c r="M371" i="14"/>
  <c r="L371" i="14"/>
  <c r="K371" i="14"/>
  <c r="I371" i="14"/>
  <c r="H371" i="14"/>
  <c r="G371" i="14"/>
  <c r="F371" i="14"/>
  <c r="E371" i="14"/>
  <c r="D371" i="14"/>
  <c r="C371" i="14"/>
  <c r="Y370" i="14"/>
  <c r="X370" i="14"/>
  <c r="W370" i="14"/>
  <c r="V370" i="14"/>
  <c r="U370" i="14"/>
  <c r="T370" i="14"/>
  <c r="S370" i="14"/>
  <c r="R370" i="14"/>
  <c r="Q370" i="14"/>
  <c r="P370" i="14"/>
  <c r="O370" i="14"/>
  <c r="N370" i="14"/>
  <c r="M370" i="14"/>
  <c r="L370" i="14"/>
  <c r="K370" i="14"/>
  <c r="I370" i="14"/>
  <c r="H370" i="14"/>
  <c r="G370" i="14"/>
  <c r="F370" i="14"/>
  <c r="E370" i="14"/>
  <c r="D370" i="14"/>
  <c r="C370" i="14"/>
  <c r="Y369" i="14"/>
  <c r="X369" i="14"/>
  <c r="W369" i="14"/>
  <c r="V369" i="14"/>
  <c r="U369" i="14"/>
  <c r="T369" i="14"/>
  <c r="S369" i="14"/>
  <c r="R369" i="14"/>
  <c r="Q369" i="14"/>
  <c r="P369" i="14"/>
  <c r="O369" i="14"/>
  <c r="N369" i="14"/>
  <c r="M369" i="14"/>
  <c r="L369" i="14"/>
  <c r="K369" i="14"/>
  <c r="I369" i="14"/>
  <c r="H369" i="14"/>
  <c r="G369" i="14"/>
  <c r="F369" i="14"/>
  <c r="E369" i="14"/>
  <c r="D369" i="14"/>
  <c r="C369" i="14"/>
  <c r="Y368" i="14"/>
  <c r="X368" i="14"/>
  <c r="W368" i="14"/>
  <c r="V368" i="14"/>
  <c r="U368" i="14"/>
  <c r="T368" i="14"/>
  <c r="S368" i="14"/>
  <c r="R368" i="14"/>
  <c r="Q368" i="14"/>
  <c r="P368" i="14"/>
  <c r="O368" i="14"/>
  <c r="N368" i="14"/>
  <c r="M368" i="14"/>
  <c r="L368" i="14"/>
  <c r="K368" i="14"/>
  <c r="I368" i="14"/>
  <c r="H368" i="14"/>
  <c r="G368" i="14"/>
  <c r="F368" i="14"/>
  <c r="E368" i="14"/>
  <c r="D368" i="14"/>
  <c r="C368" i="14"/>
  <c r="Y367" i="14"/>
  <c r="X367" i="14"/>
  <c r="W367" i="14"/>
  <c r="V367" i="14"/>
  <c r="U367" i="14"/>
  <c r="T367" i="14"/>
  <c r="S367" i="14"/>
  <c r="R367" i="14"/>
  <c r="Q367" i="14"/>
  <c r="P367" i="14"/>
  <c r="O367" i="14"/>
  <c r="N367" i="14"/>
  <c r="M367" i="14"/>
  <c r="L367" i="14"/>
  <c r="K367" i="14"/>
  <c r="I367" i="14"/>
  <c r="H367" i="14"/>
  <c r="G367" i="14"/>
  <c r="F367" i="14"/>
  <c r="E367" i="14"/>
  <c r="D367" i="14"/>
  <c r="C367" i="14"/>
  <c r="Y366" i="14"/>
  <c r="X366" i="14"/>
  <c r="W366" i="14"/>
  <c r="V366" i="14"/>
  <c r="U366" i="14"/>
  <c r="T366" i="14"/>
  <c r="S366" i="14"/>
  <c r="R366" i="14"/>
  <c r="Q366" i="14"/>
  <c r="P366" i="14"/>
  <c r="O366" i="14"/>
  <c r="N366" i="14"/>
  <c r="M366" i="14"/>
  <c r="L366" i="14"/>
  <c r="K366" i="14"/>
  <c r="I366" i="14"/>
  <c r="H366" i="14"/>
  <c r="G366" i="14"/>
  <c r="F366" i="14"/>
  <c r="E366" i="14"/>
  <c r="D366" i="14"/>
  <c r="C366" i="14"/>
  <c r="Y365" i="14"/>
  <c r="X365" i="14"/>
  <c r="W365" i="14"/>
  <c r="V365" i="14"/>
  <c r="U365" i="14"/>
  <c r="T365" i="14"/>
  <c r="S365" i="14"/>
  <c r="R365" i="14"/>
  <c r="Q365" i="14"/>
  <c r="P365" i="14"/>
  <c r="O365" i="14"/>
  <c r="N365" i="14"/>
  <c r="M365" i="14"/>
  <c r="L365" i="14"/>
  <c r="K365" i="14"/>
  <c r="I365" i="14"/>
  <c r="H365" i="14"/>
  <c r="G365" i="14"/>
  <c r="F365" i="14"/>
  <c r="E365" i="14"/>
  <c r="D365" i="14"/>
  <c r="C365" i="14"/>
  <c r="Y364" i="14"/>
  <c r="X364" i="14"/>
  <c r="W364" i="14"/>
  <c r="V364" i="14"/>
  <c r="U364" i="14"/>
  <c r="T364" i="14"/>
  <c r="S364" i="14"/>
  <c r="R364" i="14"/>
  <c r="Q364" i="14"/>
  <c r="P364" i="14"/>
  <c r="O364" i="14"/>
  <c r="N364" i="14"/>
  <c r="M364" i="14"/>
  <c r="L364" i="14"/>
  <c r="K364" i="14"/>
  <c r="I364" i="14"/>
  <c r="H364" i="14"/>
  <c r="G364" i="14"/>
  <c r="F364" i="14"/>
  <c r="E364" i="14"/>
  <c r="D364" i="14"/>
  <c r="C364" i="14"/>
  <c r="Y363" i="14"/>
  <c r="X363" i="14"/>
  <c r="W363" i="14"/>
  <c r="V363" i="14"/>
  <c r="U363" i="14"/>
  <c r="T363" i="14"/>
  <c r="S363" i="14"/>
  <c r="R363" i="14"/>
  <c r="Q363" i="14"/>
  <c r="P363" i="14"/>
  <c r="O363" i="14"/>
  <c r="N363" i="14"/>
  <c r="M363" i="14"/>
  <c r="L363" i="14"/>
  <c r="K363" i="14"/>
  <c r="I363" i="14"/>
  <c r="H363" i="14"/>
  <c r="G363" i="14"/>
  <c r="F363" i="14"/>
  <c r="E363" i="14"/>
  <c r="D363" i="14"/>
  <c r="C363" i="14"/>
  <c r="Y362" i="14"/>
  <c r="X362" i="14"/>
  <c r="W362" i="14"/>
  <c r="V362" i="14"/>
  <c r="U362" i="14"/>
  <c r="T362" i="14"/>
  <c r="S362" i="14"/>
  <c r="R362" i="14"/>
  <c r="Q362" i="14"/>
  <c r="P362" i="14"/>
  <c r="O362" i="14"/>
  <c r="N362" i="14"/>
  <c r="M362" i="14"/>
  <c r="L362" i="14"/>
  <c r="K362" i="14"/>
  <c r="I362" i="14"/>
  <c r="H362" i="14"/>
  <c r="G362" i="14"/>
  <c r="F362" i="14"/>
  <c r="E362" i="14"/>
  <c r="D362" i="14"/>
  <c r="C362" i="14"/>
  <c r="Y361" i="14"/>
  <c r="X361" i="14"/>
  <c r="W361" i="14"/>
  <c r="V361" i="14"/>
  <c r="U361" i="14"/>
  <c r="T361" i="14"/>
  <c r="S361" i="14"/>
  <c r="R361" i="14"/>
  <c r="Q361" i="14"/>
  <c r="P361" i="14"/>
  <c r="O361" i="14"/>
  <c r="N361" i="14"/>
  <c r="M361" i="14"/>
  <c r="L361" i="14"/>
  <c r="K361" i="14"/>
  <c r="I361" i="14"/>
  <c r="H361" i="14"/>
  <c r="G361" i="14"/>
  <c r="F361" i="14"/>
  <c r="E361" i="14"/>
  <c r="D361" i="14"/>
  <c r="C361" i="14"/>
  <c r="Y360" i="14"/>
  <c r="X360" i="14"/>
  <c r="W360" i="14"/>
  <c r="V360" i="14"/>
  <c r="U360" i="14"/>
  <c r="T360" i="14"/>
  <c r="S360" i="14"/>
  <c r="R360" i="14"/>
  <c r="Q360" i="14"/>
  <c r="P360" i="14"/>
  <c r="O360" i="14"/>
  <c r="N360" i="14"/>
  <c r="M360" i="14"/>
  <c r="L360" i="14"/>
  <c r="K360" i="14"/>
  <c r="I360" i="14"/>
  <c r="H360" i="14"/>
  <c r="G360" i="14"/>
  <c r="F360" i="14"/>
  <c r="E360" i="14"/>
  <c r="D360" i="14"/>
  <c r="C360" i="14"/>
  <c r="Y359" i="14"/>
  <c r="X359" i="14"/>
  <c r="W359" i="14"/>
  <c r="V359" i="14"/>
  <c r="U359" i="14"/>
  <c r="T359" i="14"/>
  <c r="S359" i="14"/>
  <c r="R359" i="14"/>
  <c r="Q359" i="14"/>
  <c r="P359" i="14"/>
  <c r="O359" i="14"/>
  <c r="N359" i="14"/>
  <c r="M359" i="14"/>
  <c r="L359" i="14"/>
  <c r="K359" i="14"/>
  <c r="I359" i="14"/>
  <c r="H359" i="14"/>
  <c r="G359" i="14"/>
  <c r="F359" i="14"/>
  <c r="E359" i="14"/>
  <c r="D359" i="14"/>
  <c r="C359" i="14"/>
  <c r="Y358" i="14"/>
  <c r="X358" i="14"/>
  <c r="W358" i="14"/>
  <c r="V358" i="14"/>
  <c r="U358" i="14"/>
  <c r="T358" i="14"/>
  <c r="S358" i="14"/>
  <c r="R358" i="14"/>
  <c r="Q358" i="14"/>
  <c r="P358" i="14"/>
  <c r="O358" i="14"/>
  <c r="N358" i="14"/>
  <c r="M358" i="14"/>
  <c r="L358" i="14"/>
  <c r="K358" i="14"/>
  <c r="I358" i="14"/>
  <c r="H358" i="14"/>
  <c r="G358" i="14"/>
  <c r="F358" i="14"/>
  <c r="E358" i="14"/>
  <c r="D358" i="14"/>
  <c r="C358" i="14"/>
  <c r="Y357" i="14"/>
  <c r="X357" i="14"/>
  <c r="W357" i="14"/>
  <c r="V357" i="14"/>
  <c r="U357" i="14"/>
  <c r="T357" i="14"/>
  <c r="S357" i="14"/>
  <c r="R357" i="14"/>
  <c r="Q357" i="14"/>
  <c r="P357" i="14"/>
  <c r="O357" i="14"/>
  <c r="N357" i="14"/>
  <c r="M357" i="14"/>
  <c r="L357" i="14"/>
  <c r="K357" i="14"/>
  <c r="I357" i="14"/>
  <c r="H357" i="14"/>
  <c r="G357" i="14"/>
  <c r="F357" i="14"/>
  <c r="E357" i="14"/>
  <c r="D357" i="14"/>
  <c r="C357" i="14"/>
  <c r="Y356" i="14"/>
  <c r="X356" i="14"/>
  <c r="W356" i="14"/>
  <c r="V356" i="14"/>
  <c r="U356" i="14"/>
  <c r="T356" i="14"/>
  <c r="S356" i="14"/>
  <c r="R356" i="14"/>
  <c r="Q356" i="14"/>
  <c r="P356" i="14"/>
  <c r="O356" i="14"/>
  <c r="N356" i="14"/>
  <c r="M356" i="14"/>
  <c r="L356" i="14"/>
  <c r="K356" i="14"/>
  <c r="I356" i="14"/>
  <c r="H356" i="14"/>
  <c r="G356" i="14"/>
  <c r="F356" i="14"/>
  <c r="E356" i="14"/>
  <c r="D356" i="14"/>
  <c r="C356" i="14"/>
  <c r="Y355" i="14"/>
  <c r="X355" i="14"/>
  <c r="W355" i="14"/>
  <c r="V355" i="14"/>
  <c r="U355" i="14"/>
  <c r="T355" i="14"/>
  <c r="S355" i="14"/>
  <c r="R355" i="14"/>
  <c r="Q355" i="14"/>
  <c r="P355" i="14"/>
  <c r="O355" i="14"/>
  <c r="N355" i="14"/>
  <c r="M355" i="14"/>
  <c r="L355" i="14"/>
  <c r="K355" i="14"/>
  <c r="I355" i="14"/>
  <c r="H355" i="14"/>
  <c r="G355" i="14"/>
  <c r="F355" i="14"/>
  <c r="E355" i="14"/>
  <c r="D355" i="14"/>
  <c r="C355" i="14"/>
  <c r="Y354" i="14"/>
  <c r="X354" i="14"/>
  <c r="W354" i="14"/>
  <c r="V354" i="14"/>
  <c r="U354" i="14"/>
  <c r="T354" i="14"/>
  <c r="S354" i="14"/>
  <c r="R354" i="14"/>
  <c r="Q354" i="14"/>
  <c r="P354" i="14"/>
  <c r="O354" i="14"/>
  <c r="N354" i="14"/>
  <c r="M354" i="14"/>
  <c r="L354" i="14"/>
  <c r="K354" i="14"/>
  <c r="I354" i="14"/>
  <c r="H354" i="14"/>
  <c r="G354" i="14"/>
  <c r="F354" i="14"/>
  <c r="E354" i="14"/>
  <c r="D354" i="14"/>
  <c r="C354" i="14"/>
  <c r="Y353" i="14"/>
  <c r="X353" i="14"/>
  <c r="W353" i="14"/>
  <c r="V353" i="14"/>
  <c r="U353" i="14"/>
  <c r="T353" i="14"/>
  <c r="S353" i="14"/>
  <c r="R353" i="14"/>
  <c r="Q353" i="14"/>
  <c r="P353" i="14"/>
  <c r="O353" i="14"/>
  <c r="N353" i="14"/>
  <c r="M353" i="14"/>
  <c r="L353" i="14"/>
  <c r="K353" i="14"/>
  <c r="I353" i="14"/>
  <c r="H353" i="14"/>
  <c r="G353" i="14"/>
  <c r="F353" i="14"/>
  <c r="E353" i="14"/>
  <c r="D353" i="14"/>
  <c r="C353" i="14"/>
  <c r="Y352" i="14"/>
  <c r="X352" i="14"/>
  <c r="W352" i="14"/>
  <c r="V352" i="14"/>
  <c r="U352" i="14"/>
  <c r="T352" i="14"/>
  <c r="S352" i="14"/>
  <c r="R352" i="14"/>
  <c r="Q352" i="14"/>
  <c r="P352" i="14"/>
  <c r="O352" i="14"/>
  <c r="N352" i="14"/>
  <c r="M352" i="14"/>
  <c r="L352" i="14"/>
  <c r="K352" i="14"/>
  <c r="I352" i="14"/>
  <c r="H352" i="14"/>
  <c r="G352" i="14"/>
  <c r="F352" i="14"/>
  <c r="E352" i="14"/>
  <c r="D352" i="14"/>
  <c r="C352" i="14"/>
  <c r="Y351" i="14"/>
  <c r="X351" i="14"/>
  <c r="W351" i="14"/>
  <c r="V351" i="14"/>
  <c r="U351" i="14"/>
  <c r="T351" i="14"/>
  <c r="S351" i="14"/>
  <c r="R351" i="14"/>
  <c r="Q351" i="14"/>
  <c r="P351" i="14"/>
  <c r="O351" i="14"/>
  <c r="N351" i="14"/>
  <c r="M351" i="14"/>
  <c r="L351" i="14"/>
  <c r="K351" i="14"/>
  <c r="I351" i="14"/>
  <c r="H351" i="14"/>
  <c r="G351" i="14"/>
  <c r="F351" i="14"/>
  <c r="E351" i="14"/>
  <c r="D351" i="14"/>
  <c r="C351" i="14"/>
  <c r="Y350" i="14"/>
  <c r="X350" i="14"/>
  <c r="W350" i="14"/>
  <c r="V350" i="14"/>
  <c r="U350" i="14"/>
  <c r="T350" i="14"/>
  <c r="S350" i="14"/>
  <c r="R350" i="14"/>
  <c r="Q350" i="14"/>
  <c r="P350" i="14"/>
  <c r="O350" i="14"/>
  <c r="N350" i="14"/>
  <c r="M350" i="14"/>
  <c r="L350" i="14"/>
  <c r="K350" i="14"/>
  <c r="I350" i="14"/>
  <c r="H350" i="14"/>
  <c r="G350" i="14"/>
  <c r="F350" i="14"/>
  <c r="E350" i="14"/>
  <c r="D350" i="14"/>
  <c r="C350" i="14"/>
  <c r="Y349" i="14"/>
  <c r="X349" i="14"/>
  <c r="W349" i="14"/>
  <c r="V349" i="14"/>
  <c r="U349" i="14"/>
  <c r="T349" i="14"/>
  <c r="S349" i="14"/>
  <c r="R349" i="14"/>
  <c r="Q349" i="14"/>
  <c r="P349" i="14"/>
  <c r="O349" i="14"/>
  <c r="N349" i="14"/>
  <c r="M349" i="14"/>
  <c r="L349" i="14"/>
  <c r="K349" i="14"/>
  <c r="I349" i="14"/>
  <c r="H349" i="14"/>
  <c r="G349" i="14"/>
  <c r="F349" i="14"/>
  <c r="E349" i="14"/>
  <c r="D349" i="14"/>
  <c r="C349" i="14"/>
  <c r="Y348" i="14"/>
  <c r="X348" i="14"/>
  <c r="W348" i="14"/>
  <c r="V348" i="14"/>
  <c r="U348" i="14"/>
  <c r="T348" i="14"/>
  <c r="S348" i="14"/>
  <c r="R348" i="14"/>
  <c r="Q348" i="14"/>
  <c r="P348" i="14"/>
  <c r="O348" i="14"/>
  <c r="N348" i="14"/>
  <c r="M348" i="14"/>
  <c r="L348" i="14"/>
  <c r="K348" i="14"/>
  <c r="I348" i="14"/>
  <c r="H348" i="14"/>
  <c r="G348" i="14"/>
  <c r="F348" i="14"/>
  <c r="E348" i="14"/>
  <c r="D348" i="14"/>
  <c r="C348" i="14"/>
  <c r="Y347" i="14"/>
  <c r="X347" i="14"/>
  <c r="W347" i="14"/>
  <c r="V347" i="14"/>
  <c r="U347" i="14"/>
  <c r="T347" i="14"/>
  <c r="S347" i="14"/>
  <c r="R347" i="14"/>
  <c r="Q347" i="14"/>
  <c r="P347" i="14"/>
  <c r="O347" i="14"/>
  <c r="N347" i="14"/>
  <c r="M347" i="14"/>
  <c r="L347" i="14"/>
  <c r="K347" i="14"/>
  <c r="I347" i="14"/>
  <c r="H347" i="14"/>
  <c r="G347" i="14"/>
  <c r="F347" i="14"/>
  <c r="E347" i="14"/>
  <c r="D347" i="14"/>
  <c r="C347" i="14"/>
  <c r="Y346" i="14"/>
  <c r="X346" i="14"/>
  <c r="W346" i="14"/>
  <c r="V346" i="14"/>
  <c r="U346" i="14"/>
  <c r="T346" i="14"/>
  <c r="S346" i="14"/>
  <c r="R346" i="14"/>
  <c r="Q346" i="14"/>
  <c r="P346" i="14"/>
  <c r="O346" i="14"/>
  <c r="N346" i="14"/>
  <c r="M346" i="14"/>
  <c r="L346" i="14"/>
  <c r="K346" i="14"/>
  <c r="I346" i="14"/>
  <c r="H346" i="14"/>
  <c r="G346" i="14"/>
  <c r="F346" i="14"/>
  <c r="E346" i="14"/>
  <c r="D346" i="14"/>
  <c r="C346" i="14"/>
  <c r="Y345" i="14"/>
  <c r="X345" i="14"/>
  <c r="W345" i="14"/>
  <c r="V345" i="14"/>
  <c r="U345" i="14"/>
  <c r="T345" i="14"/>
  <c r="S345" i="14"/>
  <c r="R345" i="14"/>
  <c r="Q345" i="14"/>
  <c r="P345" i="14"/>
  <c r="O345" i="14"/>
  <c r="N345" i="14"/>
  <c r="M345" i="14"/>
  <c r="L345" i="14"/>
  <c r="K345" i="14"/>
  <c r="I345" i="14"/>
  <c r="H345" i="14"/>
  <c r="G345" i="14"/>
  <c r="F345" i="14"/>
  <c r="E345" i="14"/>
  <c r="D345" i="14"/>
  <c r="C345" i="14"/>
  <c r="Y344" i="14"/>
  <c r="X344" i="14"/>
  <c r="W344" i="14"/>
  <c r="V344" i="14"/>
  <c r="U344" i="14"/>
  <c r="T344" i="14"/>
  <c r="S344" i="14"/>
  <c r="R344" i="14"/>
  <c r="Q344" i="14"/>
  <c r="P344" i="14"/>
  <c r="O344" i="14"/>
  <c r="N344" i="14"/>
  <c r="M344" i="14"/>
  <c r="L344" i="14"/>
  <c r="K344" i="14"/>
  <c r="I344" i="14"/>
  <c r="H344" i="14"/>
  <c r="G344" i="14"/>
  <c r="F344" i="14"/>
  <c r="E344" i="14"/>
  <c r="D344" i="14"/>
  <c r="C344" i="14"/>
  <c r="Y343" i="14"/>
  <c r="X343" i="14"/>
  <c r="W343" i="14"/>
  <c r="V343" i="14"/>
  <c r="U343" i="14"/>
  <c r="T343" i="14"/>
  <c r="S343" i="14"/>
  <c r="R343" i="14"/>
  <c r="Q343" i="14"/>
  <c r="P343" i="14"/>
  <c r="O343" i="14"/>
  <c r="N343" i="14"/>
  <c r="M343" i="14"/>
  <c r="L343" i="14"/>
  <c r="K343" i="14"/>
  <c r="I343" i="14"/>
  <c r="H343" i="14"/>
  <c r="G343" i="14"/>
  <c r="F343" i="14"/>
  <c r="E343" i="14"/>
  <c r="D343" i="14"/>
  <c r="C343" i="14"/>
  <c r="Y342" i="14"/>
  <c r="X342" i="14"/>
  <c r="W342" i="14"/>
  <c r="V342" i="14"/>
  <c r="U342" i="14"/>
  <c r="T342" i="14"/>
  <c r="S342" i="14"/>
  <c r="R342" i="14"/>
  <c r="Q342" i="14"/>
  <c r="P342" i="14"/>
  <c r="O342" i="14"/>
  <c r="N342" i="14"/>
  <c r="M342" i="14"/>
  <c r="L342" i="14"/>
  <c r="K342" i="14"/>
  <c r="I342" i="14"/>
  <c r="H342" i="14"/>
  <c r="G342" i="14"/>
  <c r="F342" i="14"/>
  <c r="E342" i="14"/>
  <c r="D342" i="14"/>
  <c r="C342" i="14"/>
  <c r="Y341" i="14"/>
  <c r="X341" i="14"/>
  <c r="W341" i="14"/>
  <c r="V341" i="14"/>
  <c r="U341" i="14"/>
  <c r="T341" i="14"/>
  <c r="S341" i="14"/>
  <c r="R341" i="14"/>
  <c r="Q341" i="14"/>
  <c r="P341" i="14"/>
  <c r="O341" i="14"/>
  <c r="N341" i="14"/>
  <c r="M341" i="14"/>
  <c r="L341" i="14"/>
  <c r="K341" i="14"/>
  <c r="I341" i="14"/>
  <c r="H341" i="14"/>
  <c r="G341" i="14"/>
  <c r="F341" i="14"/>
  <c r="E341" i="14"/>
  <c r="D341" i="14"/>
  <c r="C341" i="14"/>
  <c r="Y340" i="14"/>
  <c r="X340" i="14"/>
  <c r="W340" i="14"/>
  <c r="V340" i="14"/>
  <c r="U340" i="14"/>
  <c r="T340" i="14"/>
  <c r="S340" i="14"/>
  <c r="R340" i="14"/>
  <c r="Q340" i="14"/>
  <c r="P340" i="14"/>
  <c r="O340" i="14"/>
  <c r="N340" i="14"/>
  <c r="M340" i="14"/>
  <c r="L340" i="14"/>
  <c r="K340" i="14"/>
  <c r="I340" i="14"/>
  <c r="H340" i="14"/>
  <c r="G340" i="14"/>
  <c r="F340" i="14"/>
  <c r="E340" i="14"/>
  <c r="D340" i="14"/>
  <c r="C340" i="14"/>
  <c r="Y339" i="14"/>
  <c r="X339" i="14"/>
  <c r="W339" i="14"/>
  <c r="V339" i="14"/>
  <c r="U339" i="14"/>
  <c r="T339" i="14"/>
  <c r="S339" i="14"/>
  <c r="R339" i="14"/>
  <c r="Q339" i="14"/>
  <c r="P339" i="14"/>
  <c r="O339" i="14"/>
  <c r="N339" i="14"/>
  <c r="M339" i="14"/>
  <c r="L339" i="14"/>
  <c r="K339" i="14"/>
  <c r="I339" i="14"/>
  <c r="H339" i="14"/>
  <c r="G339" i="14"/>
  <c r="F339" i="14"/>
  <c r="E339" i="14"/>
  <c r="D339" i="14"/>
  <c r="C339" i="14"/>
  <c r="Y338" i="14"/>
  <c r="X338" i="14"/>
  <c r="W338" i="14"/>
  <c r="V338" i="14"/>
  <c r="U338" i="14"/>
  <c r="T338" i="14"/>
  <c r="S338" i="14"/>
  <c r="R338" i="14"/>
  <c r="Q338" i="14"/>
  <c r="P338" i="14"/>
  <c r="O338" i="14"/>
  <c r="N338" i="14"/>
  <c r="M338" i="14"/>
  <c r="L338" i="14"/>
  <c r="K338" i="14"/>
  <c r="I338" i="14"/>
  <c r="H338" i="14"/>
  <c r="G338" i="14"/>
  <c r="F338" i="14"/>
  <c r="E338" i="14"/>
  <c r="D338" i="14"/>
  <c r="C338" i="14"/>
  <c r="Y337" i="14"/>
  <c r="X337" i="14"/>
  <c r="W337" i="14"/>
  <c r="V337" i="14"/>
  <c r="U337" i="14"/>
  <c r="T337" i="14"/>
  <c r="S337" i="14"/>
  <c r="R337" i="14"/>
  <c r="Q337" i="14"/>
  <c r="P337" i="14"/>
  <c r="O337" i="14"/>
  <c r="N337" i="14"/>
  <c r="M337" i="14"/>
  <c r="L337" i="14"/>
  <c r="K337" i="14"/>
  <c r="I337" i="14"/>
  <c r="H337" i="14"/>
  <c r="G337" i="14"/>
  <c r="F337" i="14"/>
  <c r="E337" i="14"/>
  <c r="D337" i="14"/>
  <c r="C337" i="14"/>
  <c r="Y336" i="14"/>
  <c r="X336" i="14"/>
  <c r="W336" i="14"/>
  <c r="V336" i="14"/>
  <c r="U336" i="14"/>
  <c r="T336" i="14"/>
  <c r="S336" i="14"/>
  <c r="R336" i="14"/>
  <c r="Q336" i="14"/>
  <c r="P336" i="14"/>
  <c r="O336" i="14"/>
  <c r="N336" i="14"/>
  <c r="M336" i="14"/>
  <c r="L336" i="14"/>
  <c r="K336" i="14"/>
  <c r="I336" i="14"/>
  <c r="H336" i="14"/>
  <c r="G336" i="14"/>
  <c r="F336" i="14"/>
  <c r="E336" i="14"/>
  <c r="D336" i="14"/>
  <c r="C336" i="14"/>
  <c r="Y335" i="14"/>
  <c r="X335" i="14"/>
  <c r="W335" i="14"/>
  <c r="V335" i="14"/>
  <c r="U335" i="14"/>
  <c r="T335" i="14"/>
  <c r="S335" i="14"/>
  <c r="R335" i="14"/>
  <c r="Q335" i="14"/>
  <c r="P335" i="14"/>
  <c r="O335" i="14"/>
  <c r="N335" i="14"/>
  <c r="M335" i="14"/>
  <c r="L335" i="14"/>
  <c r="K335" i="14"/>
  <c r="I335" i="14"/>
  <c r="H335" i="14"/>
  <c r="G335" i="14"/>
  <c r="F335" i="14"/>
  <c r="E335" i="14"/>
  <c r="D335" i="14"/>
  <c r="C335" i="14"/>
  <c r="Y334" i="14"/>
  <c r="X334" i="14"/>
  <c r="W334" i="14"/>
  <c r="V334" i="14"/>
  <c r="U334" i="14"/>
  <c r="T334" i="14"/>
  <c r="S334" i="14"/>
  <c r="R334" i="14"/>
  <c r="Q334" i="14"/>
  <c r="P334" i="14"/>
  <c r="O334" i="14"/>
  <c r="N334" i="14"/>
  <c r="M334" i="14"/>
  <c r="L334" i="14"/>
  <c r="K334" i="14"/>
  <c r="I334" i="14"/>
  <c r="H334" i="14"/>
  <c r="G334" i="14"/>
  <c r="F334" i="14"/>
  <c r="E334" i="14"/>
  <c r="D334" i="14"/>
  <c r="C334" i="14"/>
  <c r="Y333" i="14"/>
  <c r="X333" i="14"/>
  <c r="W333" i="14"/>
  <c r="V333" i="14"/>
  <c r="U333" i="14"/>
  <c r="T333" i="14"/>
  <c r="S333" i="14"/>
  <c r="R333" i="14"/>
  <c r="Q333" i="14"/>
  <c r="P333" i="14"/>
  <c r="O333" i="14"/>
  <c r="N333" i="14"/>
  <c r="M333" i="14"/>
  <c r="L333" i="14"/>
  <c r="K333" i="14"/>
  <c r="I333" i="14"/>
  <c r="H333" i="14"/>
  <c r="G333" i="14"/>
  <c r="F333" i="14"/>
  <c r="E333" i="14"/>
  <c r="D333" i="14"/>
  <c r="C333" i="14"/>
  <c r="Y332" i="14"/>
  <c r="X332" i="14"/>
  <c r="W332" i="14"/>
  <c r="V332" i="14"/>
  <c r="U332" i="14"/>
  <c r="T332" i="14"/>
  <c r="S332" i="14"/>
  <c r="R332" i="14"/>
  <c r="Q332" i="14"/>
  <c r="P332" i="14"/>
  <c r="O332" i="14"/>
  <c r="N332" i="14"/>
  <c r="M332" i="14"/>
  <c r="L332" i="14"/>
  <c r="K332" i="14"/>
  <c r="I332" i="14"/>
  <c r="H332" i="14"/>
  <c r="G332" i="14"/>
  <c r="F332" i="14"/>
  <c r="E332" i="14"/>
  <c r="D332" i="14"/>
  <c r="C332" i="14"/>
  <c r="Y331" i="14"/>
  <c r="X331" i="14"/>
  <c r="W331" i="14"/>
  <c r="V331" i="14"/>
  <c r="U331" i="14"/>
  <c r="T331" i="14"/>
  <c r="S331" i="14"/>
  <c r="R331" i="14"/>
  <c r="Q331" i="14"/>
  <c r="P331" i="14"/>
  <c r="O331" i="14"/>
  <c r="N331" i="14"/>
  <c r="M331" i="14"/>
  <c r="L331" i="14"/>
  <c r="K331" i="14"/>
  <c r="I331" i="14"/>
  <c r="H331" i="14"/>
  <c r="G331" i="14"/>
  <c r="F331" i="14"/>
  <c r="E331" i="14"/>
  <c r="D331" i="14"/>
  <c r="C331" i="14"/>
  <c r="Y330" i="14"/>
  <c r="X330" i="14"/>
  <c r="W330" i="14"/>
  <c r="V330" i="14"/>
  <c r="U330" i="14"/>
  <c r="T330" i="14"/>
  <c r="S330" i="14"/>
  <c r="R330" i="14"/>
  <c r="Q330" i="14"/>
  <c r="P330" i="14"/>
  <c r="O330" i="14"/>
  <c r="N330" i="14"/>
  <c r="M330" i="14"/>
  <c r="L330" i="14"/>
  <c r="K330" i="14"/>
  <c r="I330" i="14"/>
  <c r="H330" i="14"/>
  <c r="G330" i="14"/>
  <c r="F330" i="14"/>
  <c r="E330" i="14"/>
  <c r="D330" i="14"/>
  <c r="C330" i="14"/>
  <c r="Y329" i="14"/>
  <c r="X329" i="14"/>
  <c r="W329" i="14"/>
  <c r="V329" i="14"/>
  <c r="U329" i="14"/>
  <c r="T329" i="14"/>
  <c r="S329" i="14"/>
  <c r="R329" i="14"/>
  <c r="Q329" i="14"/>
  <c r="P329" i="14"/>
  <c r="O329" i="14"/>
  <c r="N329" i="14"/>
  <c r="M329" i="14"/>
  <c r="L329" i="14"/>
  <c r="K329" i="14"/>
  <c r="I329" i="14"/>
  <c r="H329" i="14"/>
  <c r="G329" i="14"/>
  <c r="F329" i="14"/>
  <c r="E329" i="14"/>
  <c r="D329" i="14"/>
  <c r="C329" i="14"/>
  <c r="Y328" i="14"/>
  <c r="X328" i="14"/>
  <c r="W328" i="14"/>
  <c r="V328" i="14"/>
  <c r="U328" i="14"/>
  <c r="T328" i="14"/>
  <c r="S328" i="14"/>
  <c r="R328" i="14"/>
  <c r="Q328" i="14"/>
  <c r="P328" i="14"/>
  <c r="O328" i="14"/>
  <c r="N328" i="14"/>
  <c r="M328" i="14"/>
  <c r="L328" i="14"/>
  <c r="K328" i="14"/>
  <c r="I328" i="14"/>
  <c r="H328" i="14"/>
  <c r="G328" i="14"/>
  <c r="F328" i="14"/>
  <c r="E328" i="14"/>
  <c r="D328" i="14"/>
  <c r="C328" i="14"/>
  <c r="Y327" i="14"/>
  <c r="X327" i="14"/>
  <c r="W327" i="14"/>
  <c r="V327" i="14"/>
  <c r="U327" i="14"/>
  <c r="T327" i="14"/>
  <c r="S327" i="14"/>
  <c r="R327" i="14"/>
  <c r="Q327" i="14"/>
  <c r="P327" i="14"/>
  <c r="O327" i="14"/>
  <c r="N327" i="14"/>
  <c r="M327" i="14"/>
  <c r="L327" i="14"/>
  <c r="K327" i="14"/>
  <c r="I327" i="14"/>
  <c r="H327" i="14"/>
  <c r="G327" i="14"/>
  <c r="F327" i="14"/>
  <c r="E327" i="14"/>
  <c r="D327" i="14"/>
  <c r="C327" i="14"/>
  <c r="Y326" i="14"/>
  <c r="X326" i="14"/>
  <c r="W326" i="14"/>
  <c r="V326" i="14"/>
  <c r="U326" i="14"/>
  <c r="T326" i="14"/>
  <c r="S326" i="14"/>
  <c r="R326" i="14"/>
  <c r="Q326" i="14"/>
  <c r="P326" i="14"/>
  <c r="O326" i="14"/>
  <c r="N326" i="14"/>
  <c r="M326" i="14"/>
  <c r="L326" i="14"/>
  <c r="K326" i="14"/>
  <c r="I326" i="14"/>
  <c r="H326" i="14"/>
  <c r="G326" i="14"/>
  <c r="F326" i="14"/>
  <c r="E326" i="14"/>
  <c r="D326" i="14"/>
  <c r="C326" i="14"/>
  <c r="Y325" i="14"/>
  <c r="X325" i="14"/>
  <c r="W325" i="14"/>
  <c r="V325" i="14"/>
  <c r="U325" i="14"/>
  <c r="T325" i="14"/>
  <c r="S325" i="14"/>
  <c r="R325" i="14"/>
  <c r="Q325" i="14"/>
  <c r="P325" i="14"/>
  <c r="O325" i="14"/>
  <c r="N325" i="14"/>
  <c r="M325" i="14"/>
  <c r="L325" i="14"/>
  <c r="K325" i="14"/>
  <c r="I325" i="14"/>
  <c r="H325" i="14"/>
  <c r="G325" i="14"/>
  <c r="F325" i="14"/>
  <c r="E325" i="14"/>
  <c r="D325" i="14"/>
  <c r="C325" i="14"/>
  <c r="Y324" i="14"/>
  <c r="X324" i="14"/>
  <c r="W324" i="14"/>
  <c r="V324" i="14"/>
  <c r="U324" i="14"/>
  <c r="T324" i="14"/>
  <c r="S324" i="14"/>
  <c r="R324" i="14"/>
  <c r="Q324" i="14"/>
  <c r="P324" i="14"/>
  <c r="O324" i="14"/>
  <c r="N324" i="14"/>
  <c r="M324" i="14"/>
  <c r="L324" i="14"/>
  <c r="K324" i="14"/>
  <c r="I324" i="14"/>
  <c r="H324" i="14"/>
  <c r="G324" i="14"/>
  <c r="F324" i="14"/>
  <c r="E324" i="14"/>
  <c r="D324" i="14"/>
  <c r="C324" i="14"/>
  <c r="Y323" i="14"/>
  <c r="X323" i="14"/>
  <c r="W323" i="14"/>
  <c r="V323" i="14"/>
  <c r="U323" i="14"/>
  <c r="T323" i="14"/>
  <c r="S323" i="14"/>
  <c r="R323" i="14"/>
  <c r="Q323" i="14"/>
  <c r="P323" i="14"/>
  <c r="O323" i="14"/>
  <c r="N323" i="14"/>
  <c r="M323" i="14"/>
  <c r="L323" i="14"/>
  <c r="K323" i="14"/>
  <c r="I323" i="14"/>
  <c r="H323" i="14"/>
  <c r="G323" i="14"/>
  <c r="F323" i="14"/>
  <c r="E323" i="14"/>
  <c r="D323" i="14"/>
  <c r="C323" i="14"/>
  <c r="Y322" i="14"/>
  <c r="X322" i="14"/>
  <c r="W322" i="14"/>
  <c r="V322" i="14"/>
  <c r="U322" i="14"/>
  <c r="T322" i="14"/>
  <c r="S322" i="14"/>
  <c r="R322" i="14"/>
  <c r="Q322" i="14"/>
  <c r="P322" i="14"/>
  <c r="O322" i="14"/>
  <c r="N322" i="14"/>
  <c r="M322" i="14"/>
  <c r="L322" i="14"/>
  <c r="K322" i="14"/>
  <c r="I322" i="14"/>
  <c r="H322" i="14"/>
  <c r="G322" i="14"/>
  <c r="F322" i="14"/>
  <c r="E322" i="14"/>
  <c r="D322" i="14"/>
  <c r="C322" i="14"/>
  <c r="Y321" i="14"/>
  <c r="X321" i="14"/>
  <c r="W321" i="14"/>
  <c r="V321" i="14"/>
  <c r="U321" i="14"/>
  <c r="T321" i="14"/>
  <c r="S321" i="14"/>
  <c r="R321" i="14"/>
  <c r="Q321" i="14"/>
  <c r="P321" i="14"/>
  <c r="O321" i="14"/>
  <c r="N321" i="14"/>
  <c r="M321" i="14"/>
  <c r="L321" i="14"/>
  <c r="K321" i="14"/>
  <c r="I321" i="14"/>
  <c r="H321" i="14"/>
  <c r="G321" i="14"/>
  <c r="F321" i="14"/>
  <c r="E321" i="14"/>
  <c r="D321" i="14"/>
  <c r="C321" i="14"/>
  <c r="Y320" i="14"/>
  <c r="X320" i="14"/>
  <c r="W320" i="14"/>
  <c r="V320" i="14"/>
  <c r="U320" i="14"/>
  <c r="T320" i="14"/>
  <c r="S320" i="14"/>
  <c r="R320" i="14"/>
  <c r="Q320" i="14"/>
  <c r="P320" i="14"/>
  <c r="O320" i="14"/>
  <c r="N320" i="14"/>
  <c r="M320" i="14"/>
  <c r="L320" i="14"/>
  <c r="K320" i="14"/>
  <c r="I320" i="14"/>
  <c r="H320" i="14"/>
  <c r="G320" i="14"/>
  <c r="F320" i="14"/>
  <c r="E320" i="14"/>
  <c r="D320" i="14"/>
  <c r="C320" i="14"/>
  <c r="Y319" i="14"/>
  <c r="X319" i="14"/>
  <c r="W319" i="14"/>
  <c r="V319" i="14"/>
  <c r="U319" i="14"/>
  <c r="T319" i="14"/>
  <c r="S319" i="14"/>
  <c r="R319" i="14"/>
  <c r="Q319" i="14"/>
  <c r="P319" i="14"/>
  <c r="O319" i="14"/>
  <c r="N319" i="14"/>
  <c r="M319" i="14"/>
  <c r="L319" i="14"/>
  <c r="K319" i="14"/>
  <c r="I319" i="14"/>
  <c r="H319" i="14"/>
  <c r="G319" i="14"/>
  <c r="F319" i="14"/>
  <c r="E319" i="14"/>
  <c r="D319" i="14"/>
  <c r="C319" i="14"/>
  <c r="Y318" i="14"/>
  <c r="X318" i="14"/>
  <c r="W318" i="14"/>
  <c r="V318" i="14"/>
  <c r="U318" i="14"/>
  <c r="T318" i="14"/>
  <c r="S318" i="14"/>
  <c r="R318" i="14"/>
  <c r="Q318" i="14"/>
  <c r="P318" i="14"/>
  <c r="O318" i="14"/>
  <c r="N318" i="14"/>
  <c r="M318" i="14"/>
  <c r="L318" i="14"/>
  <c r="K318" i="14"/>
  <c r="I318" i="14"/>
  <c r="H318" i="14"/>
  <c r="G318" i="14"/>
  <c r="F318" i="14"/>
  <c r="E318" i="14"/>
  <c r="D318" i="14"/>
  <c r="C318" i="14"/>
  <c r="Y317" i="14"/>
  <c r="X317" i="14"/>
  <c r="W317" i="14"/>
  <c r="V317" i="14"/>
  <c r="U317" i="14"/>
  <c r="T317" i="14"/>
  <c r="S317" i="14"/>
  <c r="R317" i="14"/>
  <c r="Q317" i="14"/>
  <c r="P317" i="14"/>
  <c r="O317" i="14"/>
  <c r="N317" i="14"/>
  <c r="M317" i="14"/>
  <c r="L317" i="14"/>
  <c r="K317" i="14"/>
  <c r="I317" i="14"/>
  <c r="H317" i="14"/>
  <c r="G317" i="14"/>
  <c r="F317" i="14"/>
  <c r="E317" i="14"/>
  <c r="D317" i="14"/>
  <c r="C317" i="14"/>
  <c r="Y316" i="14"/>
  <c r="X316" i="14"/>
  <c r="W316" i="14"/>
  <c r="V316" i="14"/>
  <c r="U316" i="14"/>
  <c r="T316" i="14"/>
  <c r="S316" i="14"/>
  <c r="R316" i="14"/>
  <c r="Q316" i="14"/>
  <c r="P316" i="14"/>
  <c r="O316" i="14"/>
  <c r="N316" i="14"/>
  <c r="M316" i="14"/>
  <c r="L316" i="14"/>
  <c r="K316" i="14"/>
  <c r="I316" i="14"/>
  <c r="H316" i="14"/>
  <c r="G316" i="14"/>
  <c r="F316" i="14"/>
  <c r="E316" i="14"/>
  <c r="D316" i="14"/>
  <c r="C316" i="14"/>
  <c r="Y315" i="14"/>
  <c r="X315" i="14"/>
  <c r="W315" i="14"/>
  <c r="V315" i="14"/>
  <c r="U315" i="14"/>
  <c r="T315" i="14"/>
  <c r="S315" i="14"/>
  <c r="R315" i="14"/>
  <c r="Q315" i="14"/>
  <c r="P315" i="14"/>
  <c r="O315" i="14"/>
  <c r="N315" i="14"/>
  <c r="M315" i="14"/>
  <c r="L315" i="14"/>
  <c r="K315" i="14"/>
  <c r="I315" i="14"/>
  <c r="H315" i="14"/>
  <c r="G315" i="14"/>
  <c r="F315" i="14"/>
  <c r="E315" i="14"/>
  <c r="D315" i="14"/>
  <c r="C315" i="14"/>
  <c r="Y314" i="14"/>
  <c r="X314" i="14"/>
  <c r="W314" i="14"/>
  <c r="V314" i="14"/>
  <c r="U314" i="14"/>
  <c r="T314" i="14"/>
  <c r="S314" i="14"/>
  <c r="R314" i="14"/>
  <c r="Q314" i="14"/>
  <c r="P314" i="14"/>
  <c r="O314" i="14"/>
  <c r="N314" i="14"/>
  <c r="M314" i="14"/>
  <c r="L314" i="14"/>
  <c r="K314" i="14"/>
  <c r="I314" i="14"/>
  <c r="H314" i="14"/>
  <c r="G314" i="14"/>
  <c r="F314" i="14"/>
  <c r="E314" i="14"/>
  <c r="D314" i="14"/>
  <c r="C314" i="14"/>
  <c r="Y313" i="14"/>
  <c r="X313" i="14"/>
  <c r="W313" i="14"/>
  <c r="V313" i="14"/>
  <c r="U313" i="14"/>
  <c r="T313" i="14"/>
  <c r="S313" i="14"/>
  <c r="R313" i="14"/>
  <c r="Q313" i="14"/>
  <c r="P313" i="14"/>
  <c r="O313" i="14"/>
  <c r="N313" i="14"/>
  <c r="M313" i="14"/>
  <c r="L313" i="14"/>
  <c r="K313" i="14"/>
  <c r="I313" i="14"/>
  <c r="H313" i="14"/>
  <c r="G313" i="14"/>
  <c r="F313" i="14"/>
  <c r="E313" i="14"/>
  <c r="D313" i="14"/>
  <c r="C313" i="14"/>
  <c r="Y312" i="14"/>
  <c r="X312" i="14"/>
  <c r="W312" i="14"/>
  <c r="V312" i="14"/>
  <c r="U312" i="14"/>
  <c r="T312" i="14"/>
  <c r="S312" i="14"/>
  <c r="R312" i="14"/>
  <c r="Q312" i="14"/>
  <c r="P312" i="14"/>
  <c r="O312" i="14"/>
  <c r="N312" i="14"/>
  <c r="M312" i="14"/>
  <c r="L312" i="14"/>
  <c r="K312" i="14"/>
  <c r="I312" i="14"/>
  <c r="H312" i="14"/>
  <c r="G312" i="14"/>
  <c r="F312" i="14"/>
  <c r="E312" i="14"/>
  <c r="D312" i="14"/>
  <c r="C312" i="14"/>
  <c r="Y311" i="14"/>
  <c r="X311" i="14"/>
  <c r="W311" i="14"/>
  <c r="V311" i="14"/>
  <c r="U311" i="14"/>
  <c r="T311" i="14"/>
  <c r="S311" i="14"/>
  <c r="R311" i="14"/>
  <c r="Q311" i="14"/>
  <c r="P311" i="14"/>
  <c r="O311" i="14"/>
  <c r="N311" i="14"/>
  <c r="M311" i="14"/>
  <c r="L311" i="14"/>
  <c r="K311" i="14"/>
  <c r="I311" i="14"/>
  <c r="H311" i="14"/>
  <c r="G311" i="14"/>
  <c r="F311" i="14"/>
  <c r="E311" i="14"/>
  <c r="D311" i="14"/>
  <c r="C311" i="14"/>
  <c r="Y310" i="14"/>
  <c r="X310" i="14"/>
  <c r="W310" i="14"/>
  <c r="V310" i="14"/>
  <c r="U310" i="14"/>
  <c r="T310" i="14"/>
  <c r="S310" i="14"/>
  <c r="R310" i="14"/>
  <c r="Q310" i="14"/>
  <c r="P310" i="14"/>
  <c r="O310" i="14"/>
  <c r="N310" i="14"/>
  <c r="M310" i="14"/>
  <c r="L310" i="14"/>
  <c r="K310" i="14"/>
  <c r="I310" i="14"/>
  <c r="H310" i="14"/>
  <c r="G310" i="14"/>
  <c r="F310" i="14"/>
  <c r="E310" i="14"/>
  <c r="D310" i="14"/>
  <c r="C310" i="14"/>
  <c r="Y309" i="14"/>
  <c r="X309" i="14"/>
  <c r="W309" i="14"/>
  <c r="V309" i="14"/>
  <c r="U309" i="14"/>
  <c r="T309" i="14"/>
  <c r="S309" i="14"/>
  <c r="R309" i="14"/>
  <c r="Q309" i="14"/>
  <c r="P309" i="14"/>
  <c r="O309" i="14"/>
  <c r="N309" i="14"/>
  <c r="M309" i="14"/>
  <c r="L309" i="14"/>
  <c r="K309" i="14"/>
  <c r="I309" i="14"/>
  <c r="H309" i="14"/>
  <c r="G309" i="14"/>
  <c r="F309" i="14"/>
  <c r="E309" i="14"/>
  <c r="D309" i="14"/>
  <c r="C309" i="14"/>
  <c r="Y308" i="14"/>
  <c r="X308" i="14"/>
  <c r="W308" i="14"/>
  <c r="V308" i="14"/>
  <c r="U308" i="14"/>
  <c r="T308" i="14"/>
  <c r="S308" i="14"/>
  <c r="R308" i="14"/>
  <c r="Q308" i="14"/>
  <c r="P308" i="14"/>
  <c r="O308" i="14"/>
  <c r="N308" i="14"/>
  <c r="M308" i="14"/>
  <c r="L308" i="14"/>
  <c r="K308" i="14"/>
  <c r="I308" i="14"/>
  <c r="H308" i="14"/>
  <c r="G308" i="14"/>
  <c r="F308" i="14"/>
  <c r="E308" i="14"/>
  <c r="D308" i="14"/>
  <c r="C308" i="14"/>
  <c r="Y307" i="14"/>
  <c r="X307" i="14"/>
  <c r="W307" i="14"/>
  <c r="V307" i="14"/>
  <c r="U307" i="14"/>
  <c r="T307" i="14"/>
  <c r="S307" i="14"/>
  <c r="R307" i="14"/>
  <c r="Q307" i="14"/>
  <c r="P307" i="14"/>
  <c r="O307" i="14"/>
  <c r="N307" i="14"/>
  <c r="M307" i="14"/>
  <c r="L307" i="14"/>
  <c r="K307" i="14"/>
  <c r="I307" i="14"/>
  <c r="H307" i="14"/>
  <c r="G307" i="14"/>
  <c r="F307" i="14"/>
  <c r="E307" i="14"/>
  <c r="D307" i="14"/>
  <c r="C307" i="14"/>
  <c r="Y306" i="14"/>
  <c r="X306" i="14"/>
  <c r="W306" i="14"/>
  <c r="V306" i="14"/>
  <c r="U306" i="14"/>
  <c r="T306" i="14"/>
  <c r="S306" i="14"/>
  <c r="R306" i="14"/>
  <c r="Q306" i="14"/>
  <c r="P306" i="14"/>
  <c r="O306" i="14"/>
  <c r="N306" i="14"/>
  <c r="M306" i="14"/>
  <c r="L306" i="14"/>
  <c r="K306" i="14"/>
  <c r="I306" i="14"/>
  <c r="H306" i="14"/>
  <c r="G306" i="14"/>
  <c r="F306" i="14"/>
  <c r="E306" i="14"/>
  <c r="D306" i="14"/>
  <c r="C306" i="14"/>
  <c r="Y305" i="14"/>
  <c r="X305" i="14"/>
  <c r="W305" i="14"/>
  <c r="V305" i="14"/>
  <c r="U305" i="14"/>
  <c r="T305" i="14"/>
  <c r="S305" i="14"/>
  <c r="R305" i="14"/>
  <c r="Q305" i="14"/>
  <c r="P305" i="14"/>
  <c r="O305" i="14"/>
  <c r="N305" i="14"/>
  <c r="M305" i="14"/>
  <c r="L305" i="14"/>
  <c r="K305" i="14"/>
  <c r="I305" i="14"/>
  <c r="H305" i="14"/>
  <c r="G305" i="14"/>
  <c r="F305" i="14"/>
  <c r="E305" i="14"/>
  <c r="D305" i="14"/>
  <c r="C305" i="14"/>
  <c r="Y304" i="14"/>
  <c r="X304" i="14"/>
  <c r="W304" i="14"/>
  <c r="V304" i="14"/>
  <c r="U304" i="14"/>
  <c r="T304" i="14"/>
  <c r="S304" i="14"/>
  <c r="R304" i="14"/>
  <c r="Q304" i="14"/>
  <c r="P304" i="14"/>
  <c r="O304" i="14"/>
  <c r="N304" i="14"/>
  <c r="M304" i="14"/>
  <c r="L304" i="14"/>
  <c r="K304" i="14"/>
  <c r="I304" i="14"/>
  <c r="H304" i="14"/>
  <c r="G304" i="14"/>
  <c r="F304" i="14"/>
  <c r="E304" i="14"/>
  <c r="D304" i="14"/>
  <c r="C304" i="14"/>
  <c r="Y303" i="14"/>
  <c r="X303" i="14"/>
  <c r="W303" i="14"/>
  <c r="V303" i="14"/>
  <c r="U303" i="14"/>
  <c r="T303" i="14"/>
  <c r="S303" i="14"/>
  <c r="R303" i="14"/>
  <c r="Q303" i="14"/>
  <c r="P303" i="14"/>
  <c r="O303" i="14"/>
  <c r="N303" i="14"/>
  <c r="M303" i="14"/>
  <c r="L303" i="14"/>
  <c r="K303" i="14"/>
  <c r="I303" i="14"/>
  <c r="H303" i="14"/>
  <c r="G303" i="14"/>
  <c r="F303" i="14"/>
  <c r="E303" i="14"/>
  <c r="D303" i="14"/>
  <c r="C303" i="14"/>
  <c r="Y302" i="14"/>
  <c r="X302" i="14"/>
  <c r="W302" i="14"/>
  <c r="V302" i="14"/>
  <c r="U302" i="14"/>
  <c r="T302" i="14"/>
  <c r="S302" i="14"/>
  <c r="R302" i="14"/>
  <c r="Q302" i="14"/>
  <c r="P302" i="14"/>
  <c r="O302" i="14"/>
  <c r="N302" i="14"/>
  <c r="M302" i="14"/>
  <c r="L302" i="14"/>
  <c r="K302" i="14"/>
  <c r="I302" i="14"/>
  <c r="H302" i="14"/>
  <c r="G302" i="14"/>
  <c r="F302" i="14"/>
  <c r="E302" i="14"/>
  <c r="D302" i="14"/>
  <c r="C302" i="14"/>
  <c r="Y301" i="14"/>
  <c r="X301" i="14"/>
  <c r="W301" i="14"/>
  <c r="V301" i="14"/>
  <c r="U301" i="14"/>
  <c r="T301" i="14"/>
  <c r="S301" i="14"/>
  <c r="R301" i="14"/>
  <c r="Q301" i="14"/>
  <c r="P301" i="14"/>
  <c r="O301" i="14"/>
  <c r="N301" i="14"/>
  <c r="M301" i="14"/>
  <c r="L301" i="14"/>
  <c r="K301" i="14"/>
  <c r="I301" i="14"/>
  <c r="H301" i="14"/>
  <c r="G301" i="14"/>
  <c r="F301" i="14"/>
  <c r="E301" i="14"/>
  <c r="D301" i="14"/>
  <c r="C301" i="14"/>
  <c r="Y300" i="14"/>
  <c r="X300" i="14"/>
  <c r="W300" i="14"/>
  <c r="V300" i="14"/>
  <c r="U300" i="14"/>
  <c r="T300" i="14"/>
  <c r="S300" i="14"/>
  <c r="R300" i="14"/>
  <c r="Q300" i="14"/>
  <c r="P300" i="14"/>
  <c r="O300" i="14"/>
  <c r="N300" i="14"/>
  <c r="M300" i="14"/>
  <c r="L300" i="14"/>
  <c r="K300" i="14"/>
  <c r="I300" i="14"/>
  <c r="H300" i="14"/>
  <c r="G300" i="14"/>
  <c r="F300" i="14"/>
  <c r="E300" i="14"/>
  <c r="D300" i="14"/>
  <c r="C300" i="14"/>
  <c r="Y299" i="14"/>
  <c r="X299" i="14"/>
  <c r="W299" i="14"/>
  <c r="V299" i="14"/>
  <c r="U299" i="14"/>
  <c r="T299" i="14"/>
  <c r="S299" i="14"/>
  <c r="R299" i="14"/>
  <c r="Q299" i="14"/>
  <c r="P299" i="14"/>
  <c r="O299" i="14"/>
  <c r="N299" i="14"/>
  <c r="M299" i="14"/>
  <c r="L299" i="14"/>
  <c r="K299" i="14"/>
  <c r="I299" i="14"/>
  <c r="H299" i="14"/>
  <c r="G299" i="14"/>
  <c r="F299" i="14"/>
  <c r="E299" i="14"/>
  <c r="D299" i="14"/>
  <c r="C299" i="14"/>
  <c r="Y298" i="14"/>
  <c r="X298" i="14"/>
  <c r="W298" i="14"/>
  <c r="V298" i="14"/>
  <c r="U298" i="14"/>
  <c r="T298" i="14"/>
  <c r="S298" i="14"/>
  <c r="R298" i="14"/>
  <c r="Q298" i="14"/>
  <c r="P298" i="14"/>
  <c r="O298" i="14"/>
  <c r="N298" i="14"/>
  <c r="M298" i="14"/>
  <c r="L298" i="14"/>
  <c r="K298" i="14"/>
  <c r="I298" i="14"/>
  <c r="H298" i="14"/>
  <c r="G298" i="14"/>
  <c r="F298" i="14"/>
  <c r="E298" i="14"/>
  <c r="D298" i="14"/>
  <c r="C298" i="14"/>
  <c r="Y297" i="14"/>
  <c r="X297" i="14"/>
  <c r="W297" i="14"/>
  <c r="V297" i="14"/>
  <c r="U297" i="14"/>
  <c r="T297" i="14"/>
  <c r="S297" i="14"/>
  <c r="R297" i="14"/>
  <c r="Q297" i="14"/>
  <c r="P297" i="14"/>
  <c r="O297" i="14"/>
  <c r="N297" i="14"/>
  <c r="M297" i="14"/>
  <c r="L297" i="14"/>
  <c r="K297" i="14"/>
  <c r="I297" i="14"/>
  <c r="H297" i="14"/>
  <c r="G297" i="14"/>
  <c r="F297" i="14"/>
  <c r="E297" i="14"/>
  <c r="D297" i="14"/>
  <c r="C297" i="14"/>
  <c r="Y296" i="14"/>
  <c r="X296" i="14"/>
  <c r="W296" i="14"/>
  <c r="V296" i="14"/>
  <c r="U296" i="14"/>
  <c r="T296" i="14"/>
  <c r="S296" i="14"/>
  <c r="R296" i="14"/>
  <c r="Q296" i="14"/>
  <c r="P296" i="14"/>
  <c r="O296" i="14"/>
  <c r="N296" i="14"/>
  <c r="M296" i="14"/>
  <c r="L296" i="14"/>
  <c r="K296" i="14"/>
  <c r="I296" i="14"/>
  <c r="H296" i="14"/>
  <c r="G296" i="14"/>
  <c r="F296" i="14"/>
  <c r="E296" i="14"/>
  <c r="D296" i="14"/>
  <c r="C296" i="14"/>
  <c r="Y295" i="14"/>
  <c r="X295" i="14"/>
  <c r="W295" i="14"/>
  <c r="V295" i="14"/>
  <c r="U295" i="14"/>
  <c r="T295" i="14"/>
  <c r="S295" i="14"/>
  <c r="R295" i="14"/>
  <c r="Q295" i="14"/>
  <c r="P295" i="14"/>
  <c r="O295" i="14"/>
  <c r="N295" i="14"/>
  <c r="M295" i="14"/>
  <c r="L295" i="14"/>
  <c r="K295" i="14"/>
  <c r="I295" i="14"/>
  <c r="H295" i="14"/>
  <c r="G295" i="14"/>
  <c r="F295" i="14"/>
  <c r="E295" i="14"/>
  <c r="D295" i="14"/>
  <c r="C295" i="14"/>
  <c r="Y294" i="14"/>
  <c r="X294" i="14"/>
  <c r="W294" i="14"/>
  <c r="V294" i="14"/>
  <c r="U294" i="14"/>
  <c r="T294" i="14"/>
  <c r="S294" i="14"/>
  <c r="R294" i="14"/>
  <c r="Q294" i="14"/>
  <c r="P294" i="14"/>
  <c r="O294" i="14"/>
  <c r="N294" i="14"/>
  <c r="M294" i="14"/>
  <c r="L294" i="14"/>
  <c r="K294" i="14"/>
  <c r="I294" i="14"/>
  <c r="H294" i="14"/>
  <c r="G294" i="14"/>
  <c r="F294" i="14"/>
  <c r="E294" i="14"/>
  <c r="D294" i="14"/>
  <c r="C294" i="14"/>
  <c r="Y293" i="14"/>
  <c r="X293" i="14"/>
  <c r="W293" i="14"/>
  <c r="V293" i="14"/>
  <c r="U293" i="14"/>
  <c r="T293" i="14"/>
  <c r="S293" i="14"/>
  <c r="R293" i="14"/>
  <c r="Q293" i="14"/>
  <c r="P293" i="14"/>
  <c r="O293" i="14"/>
  <c r="N293" i="14"/>
  <c r="M293" i="14"/>
  <c r="L293" i="14"/>
  <c r="K293" i="14"/>
  <c r="I293" i="14"/>
  <c r="H293" i="14"/>
  <c r="G293" i="14"/>
  <c r="F293" i="14"/>
  <c r="E293" i="14"/>
  <c r="D293" i="14"/>
  <c r="C293" i="14"/>
  <c r="Y292" i="14"/>
  <c r="X292" i="14"/>
  <c r="W292" i="14"/>
  <c r="V292" i="14"/>
  <c r="U292" i="14"/>
  <c r="T292" i="14"/>
  <c r="S292" i="14"/>
  <c r="R292" i="14"/>
  <c r="Q292" i="14"/>
  <c r="P292" i="14"/>
  <c r="O292" i="14"/>
  <c r="N292" i="14"/>
  <c r="M292" i="14"/>
  <c r="L292" i="14"/>
  <c r="K292" i="14"/>
  <c r="I292" i="14"/>
  <c r="H292" i="14"/>
  <c r="G292" i="14"/>
  <c r="F292" i="14"/>
  <c r="E292" i="14"/>
  <c r="D292" i="14"/>
  <c r="C292" i="14"/>
  <c r="Y291" i="14"/>
  <c r="X291" i="14"/>
  <c r="W291" i="14"/>
  <c r="V291" i="14"/>
  <c r="U291" i="14"/>
  <c r="T291" i="14"/>
  <c r="S291" i="14"/>
  <c r="R291" i="14"/>
  <c r="Q291" i="14"/>
  <c r="P291" i="14"/>
  <c r="O291" i="14"/>
  <c r="N291" i="14"/>
  <c r="M291" i="14"/>
  <c r="L291" i="14"/>
  <c r="K291" i="14"/>
  <c r="I291" i="14"/>
  <c r="H291" i="14"/>
  <c r="G291" i="14"/>
  <c r="F291" i="14"/>
  <c r="E291" i="14"/>
  <c r="D291" i="14"/>
  <c r="C291" i="14"/>
  <c r="Y290" i="14"/>
  <c r="X290" i="14"/>
  <c r="W290" i="14"/>
  <c r="V290" i="14"/>
  <c r="U290" i="14"/>
  <c r="T290" i="14"/>
  <c r="S290" i="14"/>
  <c r="R290" i="14"/>
  <c r="Q290" i="14"/>
  <c r="P290" i="14"/>
  <c r="O290" i="14"/>
  <c r="N290" i="14"/>
  <c r="M290" i="14"/>
  <c r="L290" i="14"/>
  <c r="K290" i="14"/>
  <c r="I290" i="14"/>
  <c r="H290" i="14"/>
  <c r="G290" i="14"/>
  <c r="F290" i="14"/>
  <c r="E290" i="14"/>
  <c r="D290" i="14"/>
  <c r="C290" i="14"/>
  <c r="Y289" i="14"/>
  <c r="X289" i="14"/>
  <c r="W289" i="14"/>
  <c r="V289" i="14"/>
  <c r="U289" i="14"/>
  <c r="T289" i="14"/>
  <c r="S289" i="14"/>
  <c r="R289" i="14"/>
  <c r="Q289" i="14"/>
  <c r="P289" i="14"/>
  <c r="O289" i="14"/>
  <c r="N289" i="14"/>
  <c r="M289" i="14"/>
  <c r="L289" i="14"/>
  <c r="K289" i="14"/>
  <c r="I289" i="14"/>
  <c r="H289" i="14"/>
  <c r="G289" i="14"/>
  <c r="F289" i="14"/>
  <c r="E289" i="14"/>
  <c r="D289" i="14"/>
  <c r="C289" i="14"/>
  <c r="Y288" i="14"/>
  <c r="X288" i="14"/>
  <c r="W288" i="14"/>
  <c r="V288" i="14"/>
  <c r="U288" i="14"/>
  <c r="T288" i="14"/>
  <c r="S288" i="14"/>
  <c r="R288" i="14"/>
  <c r="Q288" i="14"/>
  <c r="P288" i="14"/>
  <c r="O288" i="14"/>
  <c r="N288" i="14"/>
  <c r="M288" i="14"/>
  <c r="L288" i="14"/>
  <c r="K288" i="14"/>
  <c r="I288" i="14"/>
  <c r="H288" i="14"/>
  <c r="G288" i="14"/>
  <c r="F288" i="14"/>
  <c r="E288" i="14"/>
  <c r="D288" i="14"/>
  <c r="C288" i="14"/>
  <c r="Y287" i="14"/>
  <c r="X287" i="14"/>
  <c r="W287" i="14"/>
  <c r="V287" i="14"/>
  <c r="U287" i="14"/>
  <c r="T287" i="14"/>
  <c r="S287" i="14"/>
  <c r="R287" i="14"/>
  <c r="Q287" i="14"/>
  <c r="P287" i="14"/>
  <c r="O287" i="14"/>
  <c r="N287" i="14"/>
  <c r="M287" i="14"/>
  <c r="L287" i="14"/>
  <c r="K287" i="14"/>
  <c r="I287" i="14"/>
  <c r="H287" i="14"/>
  <c r="G287" i="14"/>
  <c r="F287" i="14"/>
  <c r="E287" i="14"/>
  <c r="D287" i="14"/>
  <c r="C287" i="14"/>
  <c r="Y286" i="14"/>
  <c r="X286" i="14"/>
  <c r="W286" i="14"/>
  <c r="V286" i="14"/>
  <c r="U286" i="14"/>
  <c r="T286" i="14"/>
  <c r="S286" i="14"/>
  <c r="R286" i="14"/>
  <c r="Q286" i="14"/>
  <c r="P286" i="14"/>
  <c r="O286" i="14"/>
  <c r="N286" i="14"/>
  <c r="M286" i="14"/>
  <c r="L286" i="14"/>
  <c r="K286" i="14"/>
  <c r="I286" i="14"/>
  <c r="H286" i="14"/>
  <c r="G286" i="14"/>
  <c r="F286" i="14"/>
  <c r="E286" i="14"/>
  <c r="D286" i="14"/>
  <c r="C286" i="14"/>
  <c r="Y285" i="14"/>
  <c r="X285" i="14"/>
  <c r="W285" i="14"/>
  <c r="V285" i="14"/>
  <c r="U285" i="14"/>
  <c r="T285" i="14"/>
  <c r="S285" i="14"/>
  <c r="R285" i="14"/>
  <c r="Q285" i="14"/>
  <c r="P285" i="14"/>
  <c r="O285" i="14"/>
  <c r="N285" i="14"/>
  <c r="M285" i="14"/>
  <c r="L285" i="14"/>
  <c r="K285" i="14"/>
  <c r="I285" i="14"/>
  <c r="H285" i="14"/>
  <c r="G285" i="14"/>
  <c r="F285" i="14"/>
  <c r="E285" i="14"/>
  <c r="D285" i="14"/>
  <c r="C285" i="14"/>
  <c r="Y284" i="14"/>
  <c r="X284" i="14"/>
  <c r="W284" i="14"/>
  <c r="V284" i="14"/>
  <c r="U284" i="14"/>
  <c r="T284" i="14"/>
  <c r="S284" i="14"/>
  <c r="R284" i="14"/>
  <c r="Q284" i="14"/>
  <c r="P284" i="14"/>
  <c r="O284" i="14"/>
  <c r="N284" i="14"/>
  <c r="M284" i="14"/>
  <c r="L284" i="14"/>
  <c r="K284" i="14"/>
  <c r="I284" i="14"/>
  <c r="H284" i="14"/>
  <c r="G284" i="14"/>
  <c r="F284" i="14"/>
  <c r="E284" i="14"/>
  <c r="D284" i="14"/>
  <c r="C284" i="14"/>
  <c r="Y283" i="14"/>
  <c r="X283" i="14"/>
  <c r="W283" i="14"/>
  <c r="V283" i="14"/>
  <c r="U283" i="14"/>
  <c r="T283" i="14"/>
  <c r="S283" i="14"/>
  <c r="R283" i="14"/>
  <c r="Q283" i="14"/>
  <c r="P283" i="14"/>
  <c r="O283" i="14"/>
  <c r="N283" i="14"/>
  <c r="M283" i="14"/>
  <c r="L283" i="14"/>
  <c r="K283" i="14"/>
  <c r="I283" i="14"/>
  <c r="H283" i="14"/>
  <c r="G283" i="14"/>
  <c r="F283" i="14"/>
  <c r="E283" i="14"/>
  <c r="D283" i="14"/>
  <c r="C283" i="14"/>
  <c r="Y282" i="14"/>
  <c r="X282" i="14"/>
  <c r="W282" i="14"/>
  <c r="V282" i="14"/>
  <c r="U282" i="14"/>
  <c r="T282" i="14"/>
  <c r="S282" i="14"/>
  <c r="R282" i="14"/>
  <c r="Q282" i="14"/>
  <c r="P282" i="14"/>
  <c r="O282" i="14"/>
  <c r="N282" i="14"/>
  <c r="M282" i="14"/>
  <c r="L282" i="14"/>
  <c r="K282" i="14"/>
  <c r="I282" i="14"/>
  <c r="H282" i="14"/>
  <c r="G282" i="14"/>
  <c r="F282" i="14"/>
  <c r="E282" i="14"/>
  <c r="D282" i="14"/>
  <c r="C282" i="14"/>
  <c r="Y281" i="14"/>
  <c r="X281" i="14"/>
  <c r="W281" i="14"/>
  <c r="V281" i="14"/>
  <c r="U281" i="14"/>
  <c r="T281" i="14"/>
  <c r="S281" i="14"/>
  <c r="R281" i="14"/>
  <c r="Q281" i="14"/>
  <c r="P281" i="14"/>
  <c r="O281" i="14"/>
  <c r="N281" i="14"/>
  <c r="M281" i="14"/>
  <c r="L281" i="14"/>
  <c r="K281" i="14"/>
  <c r="I281" i="14"/>
  <c r="H281" i="14"/>
  <c r="G281" i="14"/>
  <c r="F281" i="14"/>
  <c r="E281" i="14"/>
  <c r="D281" i="14"/>
  <c r="C281" i="14"/>
  <c r="Y280" i="14"/>
  <c r="X280" i="14"/>
  <c r="W280" i="14"/>
  <c r="V280" i="14"/>
  <c r="U280" i="14"/>
  <c r="T280" i="14"/>
  <c r="S280" i="14"/>
  <c r="R280" i="14"/>
  <c r="Q280" i="14"/>
  <c r="P280" i="14"/>
  <c r="O280" i="14"/>
  <c r="N280" i="14"/>
  <c r="M280" i="14"/>
  <c r="L280" i="14"/>
  <c r="K280" i="14"/>
  <c r="I280" i="14"/>
  <c r="H280" i="14"/>
  <c r="G280" i="14"/>
  <c r="F280" i="14"/>
  <c r="E280" i="14"/>
  <c r="D280" i="14"/>
  <c r="C280" i="14"/>
  <c r="Y279" i="14"/>
  <c r="X279" i="14"/>
  <c r="W279" i="14"/>
  <c r="V279" i="14"/>
  <c r="U279" i="14"/>
  <c r="T279" i="14"/>
  <c r="S279" i="14"/>
  <c r="R279" i="14"/>
  <c r="Q279" i="14"/>
  <c r="P279" i="14"/>
  <c r="O279" i="14"/>
  <c r="N279" i="14"/>
  <c r="M279" i="14"/>
  <c r="L279" i="14"/>
  <c r="K279" i="14"/>
  <c r="I279" i="14"/>
  <c r="H279" i="14"/>
  <c r="G279" i="14"/>
  <c r="F279" i="14"/>
  <c r="E279" i="14"/>
  <c r="D279" i="14"/>
  <c r="C279" i="14"/>
  <c r="Y278" i="14"/>
  <c r="X278" i="14"/>
  <c r="W278" i="14"/>
  <c r="V278" i="14"/>
  <c r="U278" i="14"/>
  <c r="T278" i="14"/>
  <c r="S278" i="14"/>
  <c r="R278" i="14"/>
  <c r="Q278" i="14"/>
  <c r="P278" i="14"/>
  <c r="O278" i="14"/>
  <c r="N278" i="14"/>
  <c r="M278" i="14"/>
  <c r="L278" i="14"/>
  <c r="K278" i="14"/>
  <c r="I278" i="14"/>
  <c r="H278" i="14"/>
  <c r="G278" i="14"/>
  <c r="F278" i="14"/>
  <c r="E278" i="14"/>
  <c r="D278" i="14"/>
  <c r="C278" i="14"/>
  <c r="Y277" i="14"/>
  <c r="X277" i="14"/>
  <c r="W277" i="14"/>
  <c r="V277" i="14"/>
  <c r="U277" i="14"/>
  <c r="T277" i="14"/>
  <c r="S277" i="14"/>
  <c r="R277" i="14"/>
  <c r="Q277" i="14"/>
  <c r="P277" i="14"/>
  <c r="O277" i="14"/>
  <c r="N277" i="14"/>
  <c r="M277" i="14"/>
  <c r="L277" i="14"/>
  <c r="K277" i="14"/>
  <c r="I277" i="14"/>
  <c r="H277" i="14"/>
  <c r="G277" i="14"/>
  <c r="F277" i="14"/>
  <c r="E277" i="14"/>
  <c r="D277" i="14"/>
  <c r="C277" i="14"/>
  <c r="Y276" i="14"/>
  <c r="X276" i="14"/>
  <c r="W276" i="14"/>
  <c r="V276" i="14"/>
  <c r="U276" i="14"/>
  <c r="T276" i="14"/>
  <c r="S276" i="14"/>
  <c r="R276" i="14"/>
  <c r="Q276" i="14"/>
  <c r="P276" i="14"/>
  <c r="O276" i="14"/>
  <c r="N276" i="14"/>
  <c r="M276" i="14"/>
  <c r="L276" i="14"/>
  <c r="K276" i="14"/>
  <c r="I276" i="14"/>
  <c r="H276" i="14"/>
  <c r="G276" i="14"/>
  <c r="F276" i="14"/>
  <c r="E276" i="14"/>
  <c r="D276" i="14"/>
  <c r="C276" i="14"/>
  <c r="Y275" i="14"/>
  <c r="X275" i="14"/>
  <c r="W275" i="14"/>
  <c r="V275" i="14"/>
  <c r="U275" i="14"/>
  <c r="T275" i="14"/>
  <c r="S275" i="14"/>
  <c r="R275" i="14"/>
  <c r="Q275" i="14"/>
  <c r="P275" i="14"/>
  <c r="O275" i="14"/>
  <c r="N275" i="14"/>
  <c r="M275" i="14"/>
  <c r="L275" i="14"/>
  <c r="K275" i="14"/>
  <c r="I275" i="14"/>
  <c r="H275" i="14"/>
  <c r="G275" i="14"/>
  <c r="F275" i="14"/>
  <c r="E275" i="14"/>
  <c r="D275" i="14"/>
  <c r="C275" i="14"/>
  <c r="Y274" i="14"/>
  <c r="X274" i="14"/>
  <c r="W274" i="14"/>
  <c r="V274" i="14"/>
  <c r="U274" i="14"/>
  <c r="T274" i="14"/>
  <c r="S274" i="14"/>
  <c r="R274" i="14"/>
  <c r="Q274" i="14"/>
  <c r="P274" i="14"/>
  <c r="O274" i="14"/>
  <c r="N274" i="14"/>
  <c r="M274" i="14"/>
  <c r="L274" i="14"/>
  <c r="K274" i="14"/>
  <c r="I274" i="14"/>
  <c r="H274" i="14"/>
  <c r="G274" i="14"/>
  <c r="F274" i="14"/>
  <c r="E274" i="14"/>
  <c r="D274" i="14"/>
  <c r="C274" i="14"/>
  <c r="Y273" i="14"/>
  <c r="X273" i="14"/>
  <c r="W273" i="14"/>
  <c r="V273" i="14"/>
  <c r="U273" i="14"/>
  <c r="T273" i="14"/>
  <c r="S273" i="14"/>
  <c r="R273" i="14"/>
  <c r="Q273" i="14"/>
  <c r="P273" i="14"/>
  <c r="O273" i="14"/>
  <c r="N273" i="14"/>
  <c r="M273" i="14"/>
  <c r="L273" i="14"/>
  <c r="K273" i="14"/>
  <c r="I273" i="14"/>
  <c r="H273" i="14"/>
  <c r="G273" i="14"/>
  <c r="F273" i="14"/>
  <c r="E273" i="14"/>
  <c r="D273" i="14"/>
  <c r="C273" i="14"/>
  <c r="Y272" i="14"/>
  <c r="X272" i="14"/>
  <c r="W272" i="14"/>
  <c r="V272" i="14"/>
  <c r="U272" i="14"/>
  <c r="T272" i="14"/>
  <c r="S272" i="14"/>
  <c r="R272" i="14"/>
  <c r="Q272" i="14"/>
  <c r="P272" i="14"/>
  <c r="O272" i="14"/>
  <c r="N272" i="14"/>
  <c r="M272" i="14"/>
  <c r="L272" i="14"/>
  <c r="K272" i="14"/>
  <c r="I272" i="14"/>
  <c r="H272" i="14"/>
  <c r="G272" i="14"/>
  <c r="F272" i="14"/>
  <c r="E272" i="14"/>
  <c r="D272" i="14"/>
  <c r="C272" i="14"/>
  <c r="Y271" i="14"/>
  <c r="X271" i="14"/>
  <c r="W271" i="14"/>
  <c r="V271" i="14"/>
  <c r="U271" i="14"/>
  <c r="T271" i="14"/>
  <c r="S271" i="14"/>
  <c r="R271" i="14"/>
  <c r="Q271" i="14"/>
  <c r="P271" i="14"/>
  <c r="O271" i="14"/>
  <c r="N271" i="14"/>
  <c r="M271" i="14"/>
  <c r="L271" i="14"/>
  <c r="K271" i="14"/>
  <c r="I271" i="14"/>
  <c r="H271" i="14"/>
  <c r="G271" i="14"/>
  <c r="F271" i="14"/>
  <c r="E271" i="14"/>
  <c r="D271" i="14"/>
  <c r="C271" i="14"/>
  <c r="Y270" i="14"/>
  <c r="X270" i="14"/>
  <c r="W270" i="14"/>
  <c r="V270" i="14"/>
  <c r="U270" i="14"/>
  <c r="T270" i="14"/>
  <c r="S270" i="14"/>
  <c r="R270" i="14"/>
  <c r="Q270" i="14"/>
  <c r="P270" i="14"/>
  <c r="O270" i="14"/>
  <c r="N270" i="14"/>
  <c r="M270" i="14"/>
  <c r="L270" i="14"/>
  <c r="K270" i="14"/>
  <c r="I270" i="14"/>
  <c r="H270" i="14"/>
  <c r="G270" i="14"/>
  <c r="F270" i="14"/>
  <c r="E270" i="14"/>
  <c r="D270" i="14"/>
  <c r="C270" i="14"/>
  <c r="Y269" i="14"/>
  <c r="X269" i="14"/>
  <c r="W269" i="14"/>
  <c r="V269" i="14"/>
  <c r="U269" i="14"/>
  <c r="T269" i="14"/>
  <c r="S269" i="14"/>
  <c r="R269" i="14"/>
  <c r="Q269" i="14"/>
  <c r="P269" i="14"/>
  <c r="O269" i="14"/>
  <c r="N269" i="14"/>
  <c r="M269" i="14"/>
  <c r="L269" i="14"/>
  <c r="K269" i="14"/>
  <c r="I269" i="14"/>
  <c r="H269" i="14"/>
  <c r="G269" i="14"/>
  <c r="F269" i="14"/>
  <c r="E269" i="14"/>
  <c r="D269" i="14"/>
  <c r="C269" i="14"/>
  <c r="Y268" i="14"/>
  <c r="X268" i="14"/>
  <c r="W268" i="14"/>
  <c r="V268" i="14"/>
  <c r="U268" i="14"/>
  <c r="T268" i="14"/>
  <c r="S268" i="14"/>
  <c r="R268" i="14"/>
  <c r="Q268" i="14"/>
  <c r="P268" i="14"/>
  <c r="O268" i="14"/>
  <c r="N268" i="14"/>
  <c r="M268" i="14"/>
  <c r="L268" i="14"/>
  <c r="K268" i="14"/>
  <c r="I268" i="14"/>
  <c r="H268" i="14"/>
  <c r="G268" i="14"/>
  <c r="F268" i="14"/>
  <c r="E268" i="14"/>
  <c r="D268" i="14"/>
  <c r="C268" i="14"/>
  <c r="Y267" i="14"/>
  <c r="X267" i="14"/>
  <c r="W267" i="14"/>
  <c r="V267" i="14"/>
  <c r="U267" i="14"/>
  <c r="T267" i="14"/>
  <c r="S267" i="14"/>
  <c r="R267" i="14"/>
  <c r="Q267" i="14"/>
  <c r="P267" i="14"/>
  <c r="O267" i="14"/>
  <c r="N267" i="14"/>
  <c r="M267" i="14"/>
  <c r="L267" i="14"/>
  <c r="K267" i="14"/>
  <c r="I267" i="14"/>
  <c r="H267" i="14"/>
  <c r="G267" i="14"/>
  <c r="F267" i="14"/>
  <c r="E267" i="14"/>
  <c r="D267" i="14"/>
  <c r="C267" i="14"/>
  <c r="Y266" i="14"/>
  <c r="X266" i="14"/>
  <c r="W266" i="14"/>
  <c r="V266" i="14"/>
  <c r="U266" i="14"/>
  <c r="T266" i="14"/>
  <c r="S266" i="14"/>
  <c r="R266" i="14"/>
  <c r="Q266" i="14"/>
  <c r="P266" i="14"/>
  <c r="O266" i="14"/>
  <c r="N266" i="14"/>
  <c r="M266" i="14"/>
  <c r="L266" i="14"/>
  <c r="K266" i="14"/>
  <c r="I266" i="14"/>
  <c r="H266" i="14"/>
  <c r="G266" i="14"/>
  <c r="F266" i="14"/>
  <c r="E266" i="14"/>
  <c r="D266" i="14"/>
  <c r="C266" i="14"/>
  <c r="Y265" i="14"/>
  <c r="X265" i="14"/>
  <c r="W265" i="14"/>
  <c r="V265" i="14"/>
  <c r="U265" i="14"/>
  <c r="T265" i="14"/>
  <c r="S265" i="14"/>
  <c r="R265" i="14"/>
  <c r="Q265" i="14"/>
  <c r="P265" i="14"/>
  <c r="O265" i="14"/>
  <c r="N265" i="14"/>
  <c r="M265" i="14"/>
  <c r="L265" i="14"/>
  <c r="K265" i="14"/>
  <c r="I265" i="14"/>
  <c r="H265" i="14"/>
  <c r="G265" i="14"/>
  <c r="F265" i="14"/>
  <c r="E265" i="14"/>
  <c r="D265" i="14"/>
  <c r="C265" i="14"/>
  <c r="Y264" i="14"/>
  <c r="X264" i="14"/>
  <c r="W264" i="14"/>
  <c r="V264" i="14"/>
  <c r="U264" i="14"/>
  <c r="T264" i="14"/>
  <c r="S264" i="14"/>
  <c r="R264" i="14"/>
  <c r="Q264" i="14"/>
  <c r="P264" i="14"/>
  <c r="O264" i="14"/>
  <c r="N264" i="14"/>
  <c r="M264" i="14"/>
  <c r="L264" i="14"/>
  <c r="K264" i="14"/>
  <c r="I264" i="14"/>
  <c r="H264" i="14"/>
  <c r="G264" i="14"/>
  <c r="F264" i="14"/>
  <c r="E264" i="14"/>
  <c r="D264" i="14"/>
  <c r="C264" i="14"/>
  <c r="Y263" i="14"/>
  <c r="X263" i="14"/>
  <c r="W263" i="14"/>
  <c r="V263" i="14"/>
  <c r="U263" i="14"/>
  <c r="T263" i="14"/>
  <c r="S263" i="14"/>
  <c r="R263" i="14"/>
  <c r="Q263" i="14"/>
  <c r="P263" i="14"/>
  <c r="O263" i="14"/>
  <c r="N263" i="14"/>
  <c r="M263" i="14"/>
  <c r="L263" i="14"/>
  <c r="K263" i="14"/>
  <c r="I263" i="14"/>
  <c r="H263" i="14"/>
  <c r="G263" i="14"/>
  <c r="F263" i="14"/>
  <c r="E263" i="14"/>
  <c r="D263" i="14"/>
  <c r="C263" i="14"/>
  <c r="Y262" i="14"/>
  <c r="X262" i="14"/>
  <c r="W262" i="14"/>
  <c r="V262" i="14"/>
  <c r="U262" i="14"/>
  <c r="T262" i="14"/>
  <c r="S262" i="14"/>
  <c r="R262" i="14"/>
  <c r="Q262" i="14"/>
  <c r="P262" i="14"/>
  <c r="O262" i="14"/>
  <c r="N262" i="14"/>
  <c r="M262" i="14"/>
  <c r="L262" i="14"/>
  <c r="K262" i="14"/>
  <c r="I262" i="14"/>
  <c r="H262" i="14"/>
  <c r="G262" i="14"/>
  <c r="F262" i="14"/>
  <c r="E262" i="14"/>
  <c r="D262" i="14"/>
  <c r="C262" i="14"/>
  <c r="Y261" i="14"/>
  <c r="X261" i="14"/>
  <c r="W261" i="14"/>
  <c r="V261" i="14"/>
  <c r="U261" i="14"/>
  <c r="T261" i="14"/>
  <c r="S261" i="14"/>
  <c r="R261" i="14"/>
  <c r="Q261" i="14"/>
  <c r="P261" i="14"/>
  <c r="O261" i="14"/>
  <c r="N261" i="14"/>
  <c r="M261" i="14"/>
  <c r="L261" i="14"/>
  <c r="K261" i="14"/>
  <c r="I261" i="14"/>
  <c r="H261" i="14"/>
  <c r="G261" i="14"/>
  <c r="F261" i="14"/>
  <c r="E261" i="14"/>
  <c r="D261" i="14"/>
  <c r="C261" i="14"/>
  <c r="Y260" i="14"/>
  <c r="X260" i="14"/>
  <c r="W260" i="14"/>
  <c r="V260" i="14"/>
  <c r="U260" i="14"/>
  <c r="T260" i="14"/>
  <c r="S260" i="14"/>
  <c r="R260" i="14"/>
  <c r="Q260" i="14"/>
  <c r="P260" i="14"/>
  <c r="O260" i="14"/>
  <c r="N260" i="14"/>
  <c r="M260" i="14"/>
  <c r="L260" i="14"/>
  <c r="K260" i="14"/>
  <c r="I260" i="14"/>
  <c r="H260" i="14"/>
  <c r="G260" i="14"/>
  <c r="F260" i="14"/>
  <c r="E260" i="14"/>
  <c r="D260" i="14"/>
  <c r="C260" i="14"/>
  <c r="Y259" i="14"/>
  <c r="X259" i="14"/>
  <c r="W259" i="14"/>
  <c r="V259" i="14"/>
  <c r="U259" i="14"/>
  <c r="T259" i="14"/>
  <c r="S259" i="14"/>
  <c r="R259" i="14"/>
  <c r="Q259" i="14"/>
  <c r="P259" i="14"/>
  <c r="O259" i="14"/>
  <c r="N259" i="14"/>
  <c r="M259" i="14"/>
  <c r="L259" i="14"/>
  <c r="K259" i="14"/>
  <c r="I259" i="14"/>
  <c r="H259" i="14"/>
  <c r="G259" i="14"/>
  <c r="F259" i="14"/>
  <c r="E259" i="14"/>
  <c r="D259" i="14"/>
  <c r="C259" i="14"/>
  <c r="Y258" i="14"/>
  <c r="X258" i="14"/>
  <c r="W258" i="14"/>
  <c r="V258" i="14"/>
  <c r="U258" i="14"/>
  <c r="T258" i="14"/>
  <c r="S258" i="14"/>
  <c r="R258" i="14"/>
  <c r="Q258" i="14"/>
  <c r="P258" i="14"/>
  <c r="O258" i="14"/>
  <c r="N258" i="14"/>
  <c r="M258" i="14"/>
  <c r="L258" i="14"/>
  <c r="K258" i="14"/>
  <c r="I258" i="14"/>
  <c r="H258" i="14"/>
  <c r="G258" i="14"/>
  <c r="F258" i="14"/>
  <c r="E258" i="14"/>
  <c r="D258" i="14"/>
  <c r="C258" i="14"/>
  <c r="Y257" i="14"/>
  <c r="X257" i="14"/>
  <c r="W257" i="14"/>
  <c r="V257" i="14"/>
  <c r="U257" i="14"/>
  <c r="T257" i="14"/>
  <c r="S257" i="14"/>
  <c r="R257" i="14"/>
  <c r="Q257" i="14"/>
  <c r="P257" i="14"/>
  <c r="O257" i="14"/>
  <c r="N257" i="14"/>
  <c r="M257" i="14"/>
  <c r="L257" i="14"/>
  <c r="K257" i="14"/>
  <c r="I257" i="14"/>
  <c r="H257" i="14"/>
  <c r="G257" i="14"/>
  <c r="F257" i="14"/>
  <c r="E257" i="14"/>
  <c r="D257" i="14"/>
  <c r="C257" i="14"/>
  <c r="Y256" i="14"/>
  <c r="X256" i="14"/>
  <c r="W256" i="14"/>
  <c r="V256" i="14"/>
  <c r="U256" i="14"/>
  <c r="T256" i="14"/>
  <c r="S256" i="14"/>
  <c r="R256" i="14"/>
  <c r="Q256" i="14"/>
  <c r="P256" i="14"/>
  <c r="O256" i="14"/>
  <c r="N256" i="14"/>
  <c r="M256" i="14"/>
  <c r="L256" i="14"/>
  <c r="K256" i="14"/>
  <c r="I256" i="14"/>
  <c r="H256" i="14"/>
  <c r="G256" i="14"/>
  <c r="F256" i="14"/>
  <c r="E256" i="14"/>
  <c r="D256" i="14"/>
  <c r="C256" i="14"/>
  <c r="Y255" i="14"/>
  <c r="X255" i="14"/>
  <c r="W255" i="14"/>
  <c r="V255" i="14"/>
  <c r="U255" i="14"/>
  <c r="T255" i="14"/>
  <c r="S255" i="14"/>
  <c r="R255" i="14"/>
  <c r="Q255" i="14"/>
  <c r="P255" i="14"/>
  <c r="O255" i="14"/>
  <c r="N255" i="14"/>
  <c r="M255" i="14"/>
  <c r="L255" i="14"/>
  <c r="K255" i="14"/>
  <c r="I255" i="14"/>
  <c r="H255" i="14"/>
  <c r="G255" i="14"/>
  <c r="F255" i="14"/>
  <c r="E255" i="14"/>
  <c r="D255" i="14"/>
  <c r="C255" i="14"/>
  <c r="Y254" i="14"/>
  <c r="X254" i="14"/>
  <c r="W254" i="14"/>
  <c r="V254" i="14"/>
  <c r="U254" i="14"/>
  <c r="T254" i="14"/>
  <c r="S254" i="14"/>
  <c r="R254" i="14"/>
  <c r="Q254" i="14"/>
  <c r="P254" i="14"/>
  <c r="O254" i="14"/>
  <c r="N254" i="14"/>
  <c r="M254" i="14"/>
  <c r="L254" i="14"/>
  <c r="K254" i="14"/>
  <c r="I254" i="14"/>
  <c r="H254" i="14"/>
  <c r="G254" i="14"/>
  <c r="F254" i="14"/>
  <c r="E254" i="14"/>
  <c r="D254" i="14"/>
  <c r="C254" i="14"/>
  <c r="Y253" i="14"/>
  <c r="X253" i="14"/>
  <c r="W253" i="14"/>
  <c r="V253" i="14"/>
  <c r="U253" i="14"/>
  <c r="T253" i="14"/>
  <c r="S253" i="14"/>
  <c r="R253" i="14"/>
  <c r="Q253" i="14"/>
  <c r="P253" i="14"/>
  <c r="O253" i="14"/>
  <c r="N253" i="14"/>
  <c r="M253" i="14"/>
  <c r="L253" i="14"/>
  <c r="K253" i="14"/>
  <c r="I253" i="14"/>
  <c r="H253" i="14"/>
  <c r="G253" i="14"/>
  <c r="F253" i="14"/>
  <c r="E253" i="14"/>
  <c r="D253" i="14"/>
  <c r="C253" i="14"/>
  <c r="Y252" i="14"/>
  <c r="X252" i="14"/>
  <c r="W252" i="14"/>
  <c r="V252" i="14"/>
  <c r="U252" i="14"/>
  <c r="T252" i="14"/>
  <c r="S252" i="14"/>
  <c r="R252" i="14"/>
  <c r="Q252" i="14"/>
  <c r="P252" i="14"/>
  <c r="O252" i="14"/>
  <c r="N252" i="14"/>
  <c r="M252" i="14"/>
  <c r="L252" i="14"/>
  <c r="K252" i="14"/>
  <c r="I252" i="14"/>
  <c r="H252" i="14"/>
  <c r="G252" i="14"/>
  <c r="F252" i="14"/>
  <c r="E252" i="14"/>
  <c r="D252" i="14"/>
  <c r="C252" i="14"/>
  <c r="Y251" i="14"/>
  <c r="X251" i="14"/>
  <c r="W251" i="14"/>
  <c r="V251" i="14"/>
  <c r="U251" i="14"/>
  <c r="T251" i="14"/>
  <c r="S251" i="14"/>
  <c r="R251" i="14"/>
  <c r="Q251" i="14"/>
  <c r="P251" i="14"/>
  <c r="O251" i="14"/>
  <c r="N251" i="14"/>
  <c r="M251" i="14"/>
  <c r="L251" i="14"/>
  <c r="K251" i="14"/>
  <c r="I251" i="14"/>
  <c r="H251" i="14"/>
  <c r="G251" i="14"/>
  <c r="F251" i="14"/>
  <c r="E251" i="14"/>
  <c r="D251" i="14"/>
  <c r="C251" i="14"/>
  <c r="Y250" i="14"/>
  <c r="X250" i="14"/>
  <c r="W250" i="14"/>
  <c r="V250" i="14"/>
  <c r="U250" i="14"/>
  <c r="T250" i="14"/>
  <c r="S250" i="14"/>
  <c r="R250" i="14"/>
  <c r="Q250" i="14"/>
  <c r="P250" i="14"/>
  <c r="O250" i="14"/>
  <c r="N250" i="14"/>
  <c r="M250" i="14"/>
  <c r="L250" i="14"/>
  <c r="K250" i="14"/>
  <c r="I250" i="14"/>
  <c r="H250" i="14"/>
  <c r="G250" i="14"/>
  <c r="F250" i="14"/>
  <c r="E250" i="14"/>
  <c r="D250" i="14"/>
  <c r="C250" i="14"/>
  <c r="Y249" i="14"/>
  <c r="X249" i="14"/>
  <c r="W249" i="14"/>
  <c r="V249" i="14"/>
  <c r="U249" i="14"/>
  <c r="T249" i="14"/>
  <c r="S249" i="14"/>
  <c r="R249" i="14"/>
  <c r="Q249" i="14"/>
  <c r="P249" i="14"/>
  <c r="O249" i="14"/>
  <c r="N249" i="14"/>
  <c r="M249" i="14"/>
  <c r="L249" i="14"/>
  <c r="K249" i="14"/>
  <c r="I249" i="14"/>
  <c r="H249" i="14"/>
  <c r="G249" i="14"/>
  <c r="F249" i="14"/>
  <c r="E249" i="14"/>
  <c r="D249" i="14"/>
  <c r="C249" i="14"/>
  <c r="Y248" i="14"/>
  <c r="X248" i="14"/>
  <c r="W248" i="14"/>
  <c r="V248" i="14"/>
  <c r="U248" i="14"/>
  <c r="T248" i="14"/>
  <c r="S248" i="14"/>
  <c r="R248" i="14"/>
  <c r="Q248" i="14"/>
  <c r="P248" i="14"/>
  <c r="O248" i="14"/>
  <c r="N248" i="14"/>
  <c r="M248" i="14"/>
  <c r="L248" i="14"/>
  <c r="K248" i="14"/>
  <c r="I248" i="14"/>
  <c r="H248" i="14"/>
  <c r="G248" i="14"/>
  <c r="F248" i="14"/>
  <c r="E248" i="14"/>
  <c r="D248" i="14"/>
  <c r="C248" i="14"/>
  <c r="Y247" i="14"/>
  <c r="X247" i="14"/>
  <c r="W247" i="14"/>
  <c r="V247" i="14"/>
  <c r="U247" i="14"/>
  <c r="T247" i="14"/>
  <c r="S247" i="14"/>
  <c r="R247" i="14"/>
  <c r="Q247" i="14"/>
  <c r="P247" i="14"/>
  <c r="O247" i="14"/>
  <c r="N247" i="14"/>
  <c r="M247" i="14"/>
  <c r="L247" i="14"/>
  <c r="K247" i="14"/>
  <c r="I247" i="14"/>
  <c r="H247" i="14"/>
  <c r="G247" i="14"/>
  <c r="F247" i="14"/>
  <c r="E247" i="14"/>
  <c r="D247" i="14"/>
  <c r="C247" i="14"/>
  <c r="Y246" i="14"/>
  <c r="X246" i="14"/>
  <c r="W246" i="14"/>
  <c r="V246" i="14"/>
  <c r="U246" i="14"/>
  <c r="T246" i="14"/>
  <c r="S246" i="14"/>
  <c r="R246" i="14"/>
  <c r="Q246" i="14"/>
  <c r="P246" i="14"/>
  <c r="O246" i="14"/>
  <c r="N246" i="14"/>
  <c r="M246" i="14"/>
  <c r="L246" i="14"/>
  <c r="K246" i="14"/>
  <c r="I246" i="14"/>
  <c r="H246" i="14"/>
  <c r="G246" i="14"/>
  <c r="F246" i="14"/>
  <c r="E246" i="14"/>
  <c r="D246" i="14"/>
  <c r="C246" i="14"/>
  <c r="Y245" i="14"/>
  <c r="X245" i="14"/>
  <c r="W245" i="14"/>
  <c r="V245" i="14"/>
  <c r="U245" i="14"/>
  <c r="T245" i="14"/>
  <c r="S245" i="14"/>
  <c r="R245" i="14"/>
  <c r="Q245" i="14"/>
  <c r="P245" i="14"/>
  <c r="O245" i="14"/>
  <c r="N245" i="14"/>
  <c r="M245" i="14"/>
  <c r="L245" i="14"/>
  <c r="K245" i="14"/>
  <c r="I245" i="14"/>
  <c r="H245" i="14"/>
  <c r="G245" i="14"/>
  <c r="F245" i="14"/>
  <c r="E245" i="14"/>
  <c r="D245" i="14"/>
  <c r="C245" i="14"/>
  <c r="Y244" i="14"/>
  <c r="X244" i="14"/>
  <c r="W244" i="14"/>
  <c r="V244" i="14"/>
  <c r="U244" i="14"/>
  <c r="T244" i="14"/>
  <c r="S244" i="14"/>
  <c r="R244" i="14"/>
  <c r="Q244" i="14"/>
  <c r="P244" i="14"/>
  <c r="O244" i="14"/>
  <c r="N244" i="14"/>
  <c r="M244" i="14"/>
  <c r="L244" i="14"/>
  <c r="K244" i="14"/>
  <c r="I244" i="14"/>
  <c r="H244" i="14"/>
  <c r="G244" i="14"/>
  <c r="F244" i="14"/>
  <c r="E244" i="14"/>
  <c r="D244" i="14"/>
  <c r="C244" i="14"/>
  <c r="Y243" i="14"/>
  <c r="X243" i="14"/>
  <c r="W243" i="14"/>
  <c r="V243" i="14"/>
  <c r="U243" i="14"/>
  <c r="T243" i="14"/>
  <c r="S243" i="14"/>
  <c r="R243" i="14"/>
  <c r="Q243" i="14"/>
  <c r="P243" i="14"/>
  <c r="O243" i="14"/>
  <c r="N243" i="14"/>
  <c r="M243" i="14"/>
  <c r="L243" i="14"/>
  <c r="K243" i="14"/>
  <c r="I243" i="14"/>
  <c r="H243" i="14"/>
  <c r="G243" i="14"/>
  <c r="F243" i="14"/>
  <c r="E243" i="14"/>
  <c r="D243" i="14"/>
  <c r="C243" i="14"/>
  <c r="Y242" i="14"/>
  <c r="X242" i="14"/>
  <c r="W242" i="14"/>
  <c r="V242" i="14"/>
  <c r="U242" i="14"/>
  <c r="T242" i="14"/>
  <c r="S242" i="14"/>
  <c r="R242" i="14"/>
  <c r="Q242" i="14"/>
  <c r="P242" i="14"/>
  <c r="O242" i="14"/>
  <c r="N242" i="14"/>
  <c r="M242" i="14"/>
  <c r="L242" i="14"/>
  <c r="K242" i="14"/>
  <c r="I242" i="14"/>
  <c r="H242" i="14"/>
  <c r="G242" i="14"/>
  <c r="F242" i="14"/>
  <c r="E242" i="14"/>
  <c r="D242" i="14"/>
  <c r="C242" i="14"/>
  <c r="Y241" i="14"/>
  <c r="X241" i="14"/>
  <c r="W241" i="14"/>
  <c r="V241" i="14"/>
  <c r="U241" i="14"/>
  <c r="T241" i="14"/>
  <c r="S241" i="14"/>
  <c r="R241" i="14"/>
  <c r="Q241" i="14"/>
  <c r="P241" i="14"/>
  <c r="O241" i="14"/>
  <c r="N241" i="14"/>
  <c r="M241" i="14"/>
  <c r="L241" i="14"/>
  <c r="K241" i="14"/>
  <c r="I241" i="14"/>
  <c r="H241" i="14"/>
  <c r="G241" i="14"/>
  <c r="F241" i="14"/>
  <c r="E241" i="14"/>
  <c r="D241" i="14"/>
  <c r="C241" i="14"/>
  <c r="Y240" i="14"/>
  <c r="X240" i="14"/>
  <c r="W240" i="14"/>
  <c r="V240" i="14"/>
  <c r="U240" i="14"/>
  <c r="T240" i="14"/>
  <c r="S240" i="14"/>
  <c r="R240" i="14"/>
  <c r="Q240" i="14"/>
  <c r="P240" i="14"/>
  <c r="O240" i="14"/>
  <c r="N240" i="14"/>
  <c r="M240" i="14"/>
  <c r="L240" i="14"/>
  <c r="K240" i="14"/>
  <c r="I240" i="14"/>
  <c r="H240" i="14"/>
  <c r="G240" i="14"/>
  <c r="F240" i="14"/>
  <c r="E240" i="14"/>
  <c r="D240" i="14"/>
  <c r="C240" i="14"/>
  <c r="Y239" i="14"/>
  <c r="X239" i="14"/>
  <c r="W239" i="14"/>
  <c r="V239" i="14"/>
  <c r="U239" i="14"/>
  <c r="T239" i="14"/>
  <c r="S239" i="14"/>
  <c r="R239" i="14"/>
  <c r="Q239" i="14"/>
  <c r="P239" i="14"/>
  <c r="O239" i="14"/>
  <c r="N239" i="14"/>
  <c r="M239" i="14"/>
  <c r="L239" i="14"/>
  <c r="K239" i="14"/>
  <c r="I239" i="14"/>
  <c r="H239" i="14"/>
  <c r="G239" i="14"/>
  <c r="F239" i="14"/>
  <c r="E239" i="14"/>
  <c r="D239" i="14"/>
  <c r="C239" i="14"/>
  <c r="Y238" i="14"/>
  <c r="X238" i="14"/>
  <c r="W238" i="14"/>
  <c r="V238" i="14"/>
  <c r="U238" i="14"/>
  <c r="T238" i="14"/>
  <c r="S238" i="14"/>
  <c r="R238" i="14"/>
  <c r="Q238" i="14"/>
  <c r="P238" i="14"/>
  <c r="O238" i="14"/>
  <c r="N238" i="14"/>
  <c r="M238" i="14"/>
  <c r="L238" i="14"/>
  <c r="K238" i="14"/>
  <c r="I238" i="14"/>
  <c r="H238" i="14"/>
  <c r="G238" i="14"/>
  <c r="F238" i="14"/>
  <c r="E238" i="14"/>
  <c r="D238" i="14"/>
  <c r="C238" i="14"/>
  <c r="Y237" i="14"/>
  <c r="X237" i="14"/>
  <c r="W237" i="14"/>
  <c r="V237" i="14"/>
  <c r="U237" i="14"/>
  <c r="T237" i="14"/>
  <c r="S237" i="14"/>
  <c r="R237" i="14"/>
  <c r="Q237" i="14"/>
  <c r="P237" i="14"/>
  <c r="O237" i="14"/>
  <c r="N237" i="14"/>
  <c r="M237" i="14"/>
  <c r="L237" i="14"/>
  <c r="K237" i="14"/>
  <c r="I237" i="14"/>
  <c r="H237" i="14"/>
  <c r="G237" i="14"/>
  <c r="F237" i="14"/>
  <c r="E237" i="14"/>
  <c r="D237" i="14"/>
  <c r="C237" i="14"/>
  <c r="Y236" i="14"/>
  <c r="X236" i="14"/>
  <c r="W236" i="14"/>
  <c r="V236" i="14"/>
  <c r="U236" i="14"/>
  <c r="T236" i="14"/>
  <c r="S236" i="14"/>
  <c r="R236" i="14"/>
  <c r="Q236" i="14"/>
  <c r="P236" i="14"/>
  <c r="O236" i="14"/>
  <c r="N236" i="14"/>
  <c r="M236" i="14"/>
  <c r="L236" i="14"/>
  <c r="K236" i="14"/>
  <c r="I236" i="14"/>
  <c r="H236" i="14"/>
  <c r="G236" i="14"/>
  <c r="F236" i="14"/>
  <c r="E236" i="14"/>
  <c r="D236" i="14"/>
  <c r="C236" i="14"/>
  <c r="Y235" i="14"/>
  <c r="X235" i="14"/>
  <c r="W235" i="14"/>
  <c r="V235" i="14"/>
  <c r="U235" i="14"/>
  <c r="T235" i="14"/>
  <c r="S235" i="14"/>
  <c r="R235" i="14"/>
  <c r="Q235" i="14"/>
  <c r="P235" i="14"/>
  <c r="O235" i="14"/>
  <c r="N235" i="14"/>
  <c r="M235" i="14"/>
  <c r="L235" i="14"/>
  <c r="K235" i="14"/>
  <c r="I235" i="14"/>
  <c r="H235" i="14"/>
  <c r="G235" i="14"/>
  <c r="F235" i="14"/>
  <c r="E235" i="14"/>
  <c r="D235" i="14"/>
  <c r="C235" i="14"/>
  <c r="Y234" i="14"/>
  <c r="X234" i="14"/>
  <c r="W234" i="14"/>
  <c r="V234" i="14"/>
  <c r="U234" i="14"/>
  <c r="T234" i="14"/>
  <c r="S234" i="14"/>
  <c r="R234" i="14"/>
  <c r="Q234" i="14"/>
  <c r="P234" i="14"/>
  <c r="O234" i="14"/>
  <c r="N234" i="14"/>
  <c r="M234" i="14"/>
  <c r="L234" i="14"/>
  <c r="K234" i="14"/>
  <c r="I234" i="14"/>
  <c r="H234" i="14"/>
  <c r="G234" i="14"/>
  <c r="F234" i="14"/>
  <c r="E234" i="14"/>
  <c r="D234" i="14"/>
  <c r="C234" i="14"/>
  <c r="Y233" i="14"/>
  <c r="X233" i="14"/>
  <c r="W233" i="14"/>
  <c r="V233" i="14"/>
  <c r="U233" i="14"/>
  <c r="T233" i="14"/>
  <c r="S233" i="14"/>
  <c r="R233" i="14"/>
  <c r="Q233" i="14"/>
  <c r="P233" i="14"/>
  <c r="O233" i="14"/>
  <c r="N233" i="14"/>
  <c r="M233" i="14"/>
  <c r="L233" i="14"/>
  <c r="K233" i="14"/>
  <c r="I233" i="14"/>
  <c r="H233" i="14"/>
  <c r="G233" i="14"/>
  <c r="F233" i="14"/>
  <c r="E233" i="14"/>
  <c r="D233" i="14"/>
  <c r="C233" i="14"/>
  <c r="Y232" i="14"/>
  <c r="X232" i="14"/>
  <c r="W232" i="14"/>
  <c r="V232" i="14"/>
  <c r="U232" i="14"/>
  <c r="T232" i="14"/>
  <c r="S232" i="14"/>
  <c r="R232" i="14"/>
  <c r="Q232" i="14"/>
  <c r="P232" i="14"/>
  <c r="O232" i="14"/>
  <c r="N232" i="14"/>
  <c r="M232" i="14"/>
  <c r="L232" i="14"/>
  <c r="K232" i="14"/>
  <c r="I232" i="14"/>
  <c r="H232" i="14"/>
  <c r="G232" i="14"/>
  <c r="F232" i="14"/>
  <c r="E232" i="14"/>
  <c r="D232" i="14"/>
  <c r="C232" i="14"/>
  <c r="Y231" i="14"/>
  <c r="X231" i="14"/>
  <c r="W231" i="14"/>
  <c r="V231" i="14"/>
  <c r="U231" i="14"/>
  <c r="T231" i="14"/>
  <c r="S231" i="14"/>
  <c r="R231" i="14"/>
  <c r="Q231" i="14"/>
  <c r="P231" i="14"/>
  <c r="O231" i="14"/>
  <c r="N231" i="14"/>
  <c r="M231" i="14"/>
  <c r="L231" i="14"/>
  <c r="K231" i="14"/>
  <c r="I231" i="14"/>
  <c r="H231" i="14"/>
  <c r="G231" i="14"/>
  <c r="F231" i="14"/>
  <c r="E231" i="14"/>
  <c r="D231" i="14"/>
  <c r="C231" i="14"/>
  <c r="Y230" i="14"/>
  <c r="X230" i="14"/>
  <c r="W230" i="14"/>
  <c r="V230" i="14"/>
  <c r="U230" i="14"/>
  <c r="T230" i="14"/>
  <c r="S230" i="14"/>
  <c r="R230" i="14"/>
  <c r="Q230" i="14"/>
  <c r="P230" i="14"/>
  <c r="O230" i="14"/>
  <c r="N230" i="14"/>
  <c r="M230" i="14"/>
  <c r="L230" i="14"/>
  <c r="K230" i="14"/>
  <c r="I230" i="14"/>
  <c r="H230" i="14"/>
  <c r="G230" i="14"/>
  <c r="F230" i="14"/>
  <c r="E230" i="14"/>
  <c r="D230" i="14"/>
  <c r="C230" i="14"/>
  <c r="Y229" i="14"/>
  <c r="X229" i="14"/>
  <c r="W229" i="14"/>
  <c r="V229" i="14"/>
  <c r="U229" i="14"/>
  <c r="T229" i="14"/>
  <c r="S229" i="14"/>
  <c r="R229" i="14"/>
  <c r="Q229" i="14"/>
  <c r="P229" i="14"/>
  <c r="O229" i="14"/>
  <c r="N229" i="14"/>
  <c r="M229" i="14"/>
  <c r="L229" i="14"/>
  <c r="K229" i="14"/>
  <c r="I229" i="14"/>
  <c r="H229" i="14"/>
  <c r="G229" i="14"/>
  <c r="F229" i="14"/>
  <c r="E229" i="14"/>
  <c r="D229" i="14"/>
  <c r="C229" i="14"/>
  <c r="Y228" i="14"/>
  <c r="X228" i="14"/>
  <c r="W228" i="14"/>
  <c r="V228" i="14"/>
  <c r="U228" i="14"/>
  <c r="T228" i="14"/>
  <c r="S228" i="14"/>
  <c r="R228" i="14"/>
  <c r="Q228" i="14"/>
  <c r="P228" i="14"/>
  <c r="O228" i="14"/>
  <c r="N228" i="14"/>
  <c r="M228" i="14"/>
  <c r="L228" i="14"/>
  <c r="K228" i="14"/>
  <c r="I228" i="14"/>
  <c r="H228" i="14"/>
  <c r="G228" i="14"/>
  <c r="F228" i="14"/>
  <c r="E228" i="14"/>
  <c r="D228" i="14"/>
  <c r="C228" i="14"/>
  <c r="Y227" i="14"/>
  <c r="X227" i="14"/>
  <c r="W227" i="14"/>
  <c r="V227" i="14"/>
  <c r="U227" i="14"/>
  <c r="T227" i="14"/>
  <c r="S227" i="14"/>
  <c r="R227" i="14"/>
  <c r="Q227" i="14"/>
  <c r="P227" i="14"/>
  <c r="O227" i="14"/>
  <c r="N227" i="14"/>
  <c r="M227" i="14"/>
  <c r="L227" i="14"/>
  <c r="K227" i="14"/>
  <c r="I227" i="14"/>
  <c r="H227" i="14"/>
  <c r="G227" i="14"/>
  <c r="F227" i="14"/>
  <c r="E227" i="14"/>
  <c r="D227" i="14"/>
  <c r="C227" i="14"/>
  <c r="Y226" i="14"/>
  <c r="X226" i="14"/>
  <c r="W226" i="14"/>
  <c r="V226" i="14"/>
  <c r="U226" i="14"/>
  <c r="T226" i="14"/>
  <c r="S226" i="14"/>
  <c r="R226" i="14"/>
  <c r="Q226" i="14"/>
  <c r="P226" i="14"/>
  <c r="O226" i="14"/>
  <c r="N226" i="14"/>
  <c r="M226" i="14"/>
  <c r="L226" i="14"/>
  <c r="K226" i="14"/>
  <c r="I226" i="14"/>
  <c r="H226" i="14"/>
  <c r="G226" i="14"/>
  <c r="F226" i="14"/>
  <c r="E226" i="14"/>
  <c r="D226" i="14"/>
  <c r="C226" i="14"/>
  <c r="Y225" i="14"/>
  <c r="X225" i="14"/>
  <c r="W225" i="14"/>
  <c r="V225" i="14"/>
  <c r="U225" i="14"/>
  <c r="T225" i="14"/>
  <c r="S225" i="14"/>
  <c r="R225" i="14"/>
  <c r="Q225" i="14"/>
  <c r="P225" i="14"/>
  <c r="O225" i="14"/>
  <c r="N225" i="14"/>
  <c r="M225" i="14"/>
  <c r="L225" i="14"/>
  <c r="K225" i="14"/>
  <c r="I225" i="14"/>
  <c r="H225" i="14"/>
  <c r="G225" i="14"/>
  <c r="F225" i="14"/>
  <c r="E225" i="14"/>
  <c r="D225" i="14"/>
  <c r="C225" i="14"/>
  <c r="Y224" i="14"/>
  <c r="X224" i="14"/>
  <c r="W224" i="14"/>
  <c r="V224" i="14"/>
  <c r="U224" i="14"/>
  <c r="T224" i="14"/>
  <c r="S224" i="14"/>
  <c r="R224" i="14"/>
  <c r="Q224" i="14"/>
  <c r="P224" i="14"/>
  <c r="O224" i="14"/>
  <c r="N224" i="14"/>
  <c r="M224" i="14"/>
  <c r="L224" i="14"/>
  <c r="K224" i="14"/>
  <c r="I224" i="14"/>
  <c r="H224" i="14"/>
  <c r="G224" i="14"/>
  <c r="F224" i="14"/>
  <c r="E224" i="14"/>
  <c r="D224" i="14"/>
  <c r="C224" i="14"/>
  <c r="Y223" i="14"/>
  <c r="X223" i="14"/>
  <c r="W223" i="14"/>
  <c r="V223" i="14"/>
  <c r="U223" i="14"/>
  <c r="T223" i="14"/>
  <c r="S223" i="14"/>
  <c r="R223" i="14"/>
  <c r="Q223" i="14"/>
  <c r="P223" i="14"/>
  <c r="O223" i="14"/>
  <c r="N223" i="14"/>
  <c r="M223" i="14"/>
  <c r="L223" i="14"/>
  <c r="K223" i="14"/>
  <c r="I223" i="14"/>
  <c r="H223" i="14"/>
  <c r="G223" i="14"/>
  <c r="F223" i="14"/>
  <c r="E223" i="14"/>
  <c r="D223" i="14"/>
  <c r="C223" i="14"/>
  <c r="Y222" i="14"/>
  <c r="X222" i="14"/>
  <c r="W222" i="14"/>
  <c r="V222" i="14"/>
  <c r="U222" i="14"/>
  <c r="T222" i="14"/>
  <c r="S222" i="14"/>
  <c r="R222" i="14"/>
  <c r="Q222" i="14"/>
  <c r="P222" i="14"/>
  <c r="O222" i="14"/>
  <c r="N222" i="14"/>
  <c r="M222" i="14"/>
  <c r="L222" i="14"/>
  <c r="K222" i="14"/>
  <c r="I222" i="14"/>
  <c r="H222" i="14"/>
  <c r="G222" i="14"/>
  <c r="F222" i="14"/>
  <c r="E222" i="14"/>
  <c r="D222" i="14"/>
  <c r="C222" i="14"/>
  <c r="Y221" i="14"/>
  <c r="X221" i="14"/>
  <c r="W221" i="14"/>
  <c r="V221" i="14"/>
  <c r="U221" i="14"/>
  <c r="T221" i="14"/>
  <c r="S221" i="14"/>
  <c r="R221" i="14"/>
  <c r="Q221" i="14"/>
  <c r="P221" i="14"/>
  <c r="O221" i="14"/>
  <c r="N221" i="14"/>
  <c r="M221" i="14"/>
  <c r="L221" i="14"/>
  <c r="K221" i="14"/>
  <c r="I221" i="14"/>
  <c r="H221" i="14"/>
  <c r="G221" i="14"/>
  <c r="F221" i="14"/>
  <c r="E221" i="14"/>
  <c r="D221" i="14"/>
  <c r="C221" i="14"/>
  <c r="Y220" i="14"/>
  <c r="X220" i="14"/>
  <c r="W220" i="14"/>
  <c r="V220" i="14"/>
  <c r="U220" i="14"/>
  <c r="T220" i="14"/>
  <c r="S220" i="14"/>
  <c r="R220" i="14"/>
  <c r="Q220" i="14"/>
  <c r="P220" i="14"/>
  <c r="O220" i="14"/>
  <c r="N220" i="14"/>
  <c r="M220" i="14"/>
  <c r="L220" i="14"/>
  <c r="K220" i="14"/>
  <c r="I220" i="14"/>
  <c r="H220" i="14"/>
  <c r="G220" i="14"/>
  <c r="F220" i="14"/>
  <c r="E220" i="14"/>
  <c r="D220" i="14"/>
  <c r="C220" i="14"/>
  <c r="Y219" i="14"/>
  <c r="X219" i="14"/>
  <c r="W219" i="14"/>
  <c r="V219" i="14"/>
  <c r="U219" i="14"/>
  <c r="T219" i="14"/>
  <c r="S219" i="14"/>
  <c r="R219" i="14"/>
  <c r="Q219" i="14"/>
  <c r="P219" i="14"/>
  <c r="O219" i="14"/>
  <c r="N219" i="14"/>
  <c r="M219" i="14"/>
  <c r="L219" i="14"/>
  <c r="K219" i="14"/>
  <c r="I219" i="14"/>
  <c r="H219" i="14"/>
  <c r="G219" i="14"/>
  <c r="F219" i="14"/>
  <c r="E219" i="14"/>
  <c r="D219" i="14"/>
  <c r="C219" i="14"/>
  <c r="Y218" i="14"/>
  <c r="X218" i="14"/>
  <c r="W218" i="14"/>
  <c r="V218" i="14"/>
  <c r="U218" i="14"/>
  <c r="T218" i="14"/>
  <c r="S218" i="14"/>
  <c r="R218" i="14"/>
  <c r="Q218" i="14"/>
  <c r="P218" i="14"/>
  <c r="O218" i="14"/>
  <c r="N218" i="14"/>
  <c r="M218" i="14"/>
  <c r="L218" i="14"/>
  <c r="K218" i="14"/>
  <c r="I218" i="14"/>
  <c r="H218" i="14"/>
  <c r="G218" i="14"/>
  <c r="F218" i="14"/>
  <c r="E218" i="14"/>
  <c r="D218" i="14"/>
  <c r="C218" i="14"/>
  <c r="Y217" i="14"/>
  <c r="X217" i="14"/>
  <c r="W217" i="14"/>
  <c r="V217" i="14"/>
  <c r="U217" i="14"/>
  <c r="T217" i="14"/>
  <c r="S217" i="14"/>
  <c r="R217" i="14"/>
  <c r="Q217" i="14"/>
  <c r="P217" i="14"/>
  <c r="O217" i="14"/>
  <c r="N217" i="14"/>
  <c r="M217" i="14"/>
  <c r="L217" i="14"/>
  <c r="K217" i="14"/>
  <c r="I217" i="14"/>
  <c r="H217" i="14"/>
  <c r="G217" i="14"/>
  <c r="F217" i="14"/>
  <c r="E217" i="14"/>
  <c r="D217" i="14"/>
  <c r="C217" i="14"/>
  <c r="Y216" i="14"/>
  <c r="X216" i="14"/>
  <c r="W216" i="14"/>
  <c r="V216" i="14"/>
  <c r="U216" i="14"/>
  <c r="T216" i="14"/>
  <c r="S216" i="14"/>
  <c r="R216" i="14"/>
  <c r="Q216" i="14"/>
  <c r="P216" i="14"/>
  <c r="O216" i="14"/>
  <c r="N216" i="14"/>
  <c r="M216" i="14"/>
  <c r="L216" i="14"/>
  <c r="K216" i="14"/>
  <c r="I216" i="14"/>
  <c r="H216" i="14"/>
  <c r="G216" i="14"/>
  <c r="F216" i="14"/>
  <c r="E216" i="14"/>
  <c r="D216" i="14"/>
  <c r="C216" i="14"/>
  <c r="Y215" i="14"/>
  <c r="X215" i="14"/>
  <c r="W215" i="14"/>
  <c r="V215" i="14"/>
  <c r="U215" i="14"/>
  <c r="T215" i="14"/>
  <c r="S215" i="14"/>
  <c r="R215" i="14"/>
  <c r="Q215" i="14"/>
  <c r="P215" i="14"/>
  <c r="O215" i="14"/>
  <c r="N215" i="14"/>
  <c r="M215" i="14"/>
  <c r="L215" i="14"/>
  <c r="K215" i="14"/>
  <c r="I215" i="14"/>
  <c r="H215" i="14"/>
  <c r="G215" i="14"/>
  <c r="F215" i="14"/>
  <c r="E215" i="14"/>
  <c r="D215" i="14"/>
  <c r="C215" i="14"/>
  <c r="Y214" i="14"/>
  <c r="X214" i="14"/>
  <c r="W214" i="14"/>
  <c r="V214" i="14"/>
  <c r="U214" i="14"/>
  <c r="T214" i="14"/>
  <c r="S214" i="14"/>
  <c r="R214" i="14"/>
  <c r="Q214" i="14"/>
  <c r="P214" i="14"/>
  <c r="O214" i="14"/>
  <c r="N214" i="14"/>
  <c r="M214" i="14"/>
  <c r="L214" i="14"/>
  <c r="K214" i="14"/>
  <c r="I214" i="14"/>
  <c r="H214" i="14"/>
  <c r="G214" i="14"/>
  <c r="F214" i="14"/>
  <c r="E214" i="14"/>
  <c r="D214" i="14"/>
  <c r="C214" i="14"/>
  <c r="Y213" i="14"/>
  <c r="X213" i="14"/>
  <c r="W213" i="14"/>
  <c r="V213" i="14"/>
  <c r="U213" i="14"/>
  <c r="T213" i="14"/>
  <c r="S213" i="14"/>
  <c r="R213" i="14"/>
  <c r="Q213" i="14"/>
  <c r="P213" i="14"/>
  <c r="O213" i="14"/>
  <c r="N213" i="14"/>
  <c r="M213" i="14"/>
  <c r="L213" i="14"/>
  <c r="K213" i="14"/>
  <c r="I213" i="14"/>
  <c r="H213" i="14"/>
  <c r="G213" i="14"/>
  <c r="F213" i="14"/>
  <c r="E213" i="14"/>
  <c r="D213" i="14"/>
  <c r="C213" i="14"/>
  <c r="Y212" i="14"/>
  <c r="X212" i="14"/>
  <c r="W212" i="14"/>
  <c r="V212" i="14"/>
  <c r="U212" i="14"/>
  <c r="T212" i="14"/>
  <c r="S212" i="14"/>
  <c r="R212" i="14"/>
  <c r="Q212" i="14"/>
  <c r="P212" i="14"/>
  <c r="O212" i="14"/>
  <c r="N212" i="14"/>
  <c r="M212" i="14"/>
  <c r="L212" i="14"/>
  <c r="K212" i="14"/>
  <c r="I212" i="14"/>
  <c r="H212" i="14"/>
  <c r="G212" i="14"/>
  <c r="F212" i="14"/>
  <c r="E212" i="14"/>
  <c r="D212" i="14"/>
  <c r="C212" i="14"/>
  <c r="Y211" i="14"/>
  <c r="X211" i="14"/>
  <c r="W211" i="14"/>
  <c r="V211" i="14"/>
  <c r="U211" i="14"/>
  <c r="T211" i="14"/>
  <c r="S211" i="14"/>
  <c r="R211" i="14"/>
  <c r="Q211" i="14"/>
  <c r="P211" i="14"/>
  <c r="O211" i="14"/>
  <c r="N211" i="14"/>
  <c r="M211" i="14"/>
  <c r="L211" i="14"/>
  <c r="K211" i="14"/>
  <c r="I211" i="14"/>
  <c r="H211" i="14"/>
  <c r="G211" i="14"/>
  <c r="F211" i="14"/>
  <c r="E211" i="14"/>
  <c r="D211" i="14"/>
  <c r="C211" i="14"/>
  <c r="Y210" i="14"/>
  <c r="X210" i="14"/>
  <c r="W210" i="14"/>
  <c r="V210" i="14"/>
  <c r="U210" i="14"/>
  <c r="T210" i="14"/>
  <c r="S210" i="14"/>
  <c r="R210" i="14"/>
  <c r="Q210" i="14"/>
  <c r="P210" i="14"/>
  <c r="O210" i="14"/>
  <c r="N210" i="14"/>
  <c r="M210" i="14"/>
  <c r="L210" i="14"/>
  <c r="K210" i="14"/>
  <c r="I210" i="14"/>
  <c r="H210" i="14"/>
  <c r="G210" i="14"/>
  <c r="F210" i="14"/>
  <c r="E210" i="14"/>
  <c r="D210" i="14"/>
  <c r="C210" i="14"/>
  <c r="Y209" i="14"/>
  <c r="X209" i="14"/>
  <c r="W209" i="14"/>
  <c r="V209" i="14"/>
  <c r="U209" i="14"/>
  <c r="T209" i="14"/>
  <c r="S209" i="14"/>
  <c r="R209" i="14"/>
  <c r="Q209" i="14"/>
  <c r="P209" i="14"/>
  <c r="O209" i="14"/>
  <c r="N209" i="14"/>
  <c r="M209" i="14"/>
  <c r="L209" i="14"/>
  <c r="K209" i="14"/>
  <c r="I209" i="14"/>
  <c r="H209" i="14"/>
  <c r="G209" i="14"/>
  <c r="F209" i="14"/>
  <c r="E209" i="14"/>
  <c r="D209" i="14"/>
  <c r="C209" i="14"/>
  <c r="Y208" i="14"/>
  <c r="X208" i="14"/>
  <c r="W208" i="14"/>
  <c r="V208" i="14"/>
  <c r="U208" i="14"/>
  <c r="T208" i="14"/>
  <c r="S208" i="14"/>
  <c r="R208" i="14"/>
  <c r="Q208" i="14"/>
  <c r="P208" i="14"/>
  <c r="O208" i="14"/>
  <c r="N208" i="14"/>
  <c r="M208" i="14"/>
  <c r="L208" i="14"/>
  <c r="K208" i="14"/>
  <c r="I208" i="14"/>
  <c r="H208" i="14"/>
  <c r="G208" i="14"/>
  <c r="F208" i="14"/>
  <c r="E208" i="14"/>
  <c r="D208" i="14"/>
  <c r="C208" i="14"/>
  <c r="Y207" i="14"/>
  <c r="X207" i="14"/>
  <c r="W207" i="14"/>
  <c r="V207" i="14"/>
  <c r="U207" i="14"/>
  <c r="T207" i="14"/>
  <c r="S207" i="14"/>
  <c r="R207" i="14"/>
  <c r="Q207" i="14"/>
  <c r="P207" i="14"/>
  <c r="O207" i="14"/>
  <c r="N207" i="14"/>
  <c r="M207" i="14"/>
  <c r="L207" i="14"/>
  <c r="K207" i="14"/>
  <c r="I207" i="14"/>
  <c r="H207" i="14"/>
  <c r="G207" i="14"/>
  <c r="F207" i="14"/>
  <c r="E207" i="14"/>
  <c r="D207" i="14"/>
  <c r="C207" i="14"/>
  <c r="Y206" i="14"/>
  <c r="X206" i="14"/>
  <c r="W206" i="14"/>
  <c r="V206" i="14"/>
  <c r="U206" i="14"/>
  <c r="T206" i="14"/>
  <c r="S206" i="14"/>
  <c r="R206" i="14"/>
  <c r="Q206" i="14"/>
  <c r="P206" i="14"/>
  <c r="O206" i="14"/>
  <c r="N206" i="14"/>
  <c r="M206" i="14"/>
  <c r="L206" i="14"/>
  <c r="K206" i="14"/>
  <c r="I206" i="14"/>
  <c r="H206" i="14"/>
  <c r="G206" i="14"/>
  <c r="F206" i="14"/>
  <c r="E206" i="14"/>
  <c r="D206" i="14"/>
  <c r="C206" i="14"/>
  <c r="Y205" i="14"/>
  <c r="X205" i="14"/>
  <c r="W205" i="14"/>
  <c r="V205" i="14"/>
  <c r="U205" i="14"/>
  <c r="T205" i="14"/>
  <c r="S205" i="14"/>
  <c r="R205" i="14"/>
  <c r="Q205" i="14"/>
  <c r="P205" i="14"/>
  <c r="O205" i="14"/>
  <c r="N205" i="14"/>
  <c r="M205" i="14"/>
  <c r="L205" i="14"/>
  <c r="K205" i="14"/>
  <c r="I205" i="14"/>
  <c r="H205" i="14"/>
  <c r="G205" i="14"/>
  <c r="F205" i="14"/>
  <c r="E205" i="14"/>
  <c r="D205" i="14"/>
  <c r="C205" i="14"/>
  <c r="Y204" i="14"/>
  <c r="X204" i="14"/>
  <c r="W204" i="14"/>
  <c r="V204" i="14"/>
  <c r="U204" i="14"/>
  <c r="T204" i="14"/>
  <c r="S204" i="14"/>
  <c r="R204" i="14"/>
  <c r="Q204" i="14"/>
  <c r="P204" i="14"/>
  <c r="O204" i="14"/>
  <c r="N204" i="14"/>
  <c r="M204" i="14"/>
  <c r="L204" i="14"/>
  <c r="K204" i="14"/>
  <c r="I204" i="14"/>
  <c r="H204" i="14"/>
  <c r="G204" i="14"/>
  <c r="F204" i="14"/>
  <c r="E204" i="14"/>
  <c r="D204" i="14"/>
  <c r="C204" i="14"/>
  <c r="Y203" i="14"/>
  <c r="X203" i="14"/>
  <c r="W203" i="14"/>
  <c r="V203" i="14"/>
  <c r="U203" i="14"/>
  <c r="T203" i="14"/>
  <c r="S203" i="14"/>
  <c r="R203" i="14"/>
  <c r="Q203" i="14"/>
  <c r="P203" i="14"/>
  <c r="O203" i="14"/>
  <c r="N203" i="14"/>
  <c r="M203" i="14"/>
  <c r="L203" i="14"/>
  <c r="K203" i="14"/>
  <c r="I203" i="14"/>
  <c r="H203" i="14"/>
  <c r="G203" i="14"/>
  <c r="F203" i="14"/>
  <c r="E203" i="14"/>
  <c r="D203" i="14"/>
  <c r="C203" i="14"/>
  <c r="Y202" i="14"/>
  <c r="X202" i="14"/>
  <c r="W202" i="14"/>
  <c r="V202" i="14"/>
  <c r="U202" i="14"/>
  <c r="T202" i="14"/>
  <c r="S202" i="14"/>
  <c r="R202" i="14"/>
  <c r="Q202" i="14"/>
  <c r="P202" i="14"/>
  <c r="O202" i="14"/>
  <c r="N202" i="14"/>
  <c r="M202" i="14"/>
  <c r="L202" i="14"/>
  <c r="K202" i="14"/>
  <c r="I202" i="14"/>
  <c r="H202" i="14"/>
  <c r="G202" i="14"/>
  <c r="F202" i="14"/>
  <c r="E202" i="14"/>
  <c r="D202" i="14"/>
  <c r="C202" i="14"/>
  <c r="Y201" i="14"/>
  <c r="X201" i="14"/>
  <c r="W201" i="14"/>
  <c r="V201" i="14"/>
  <c r="U201" i="14"/>
  <c r="T201" i="14"/>
  <c r="S201" i="14"/>
  <c r="R201" i="14"/>
  <c r="Q201" i="14"/>
  <c r="P201" i="14"/>
  <c r="O201" i="14"/>
  <c r="N201" i="14"/>
  <c r="M201" i="14"/>
  <c r="L201" i="14"/>
  <c r="K201" i="14"/>
  <c r="I201" i="14"/>
  <c r="H201" i="14"/>
  <c r="G201" i="14"/>
  <c r="F201" i="14"/>
  <c r="E201" i="14"/>
  <c r="D201" i="14"/>
  <c r="C201" i="14"/>
  <c r="Y200" i="14"/>
  <c r="X200" i="14"/>
  <c r="W200" i="14"/>
  <c r="V200" i="14"/>
  <c r="U200" i="14"/>
  <c r="T200" i="14"/>
  <c r="S200" i="14"/>
  <c r="R200" i="14"/>
  <c r="Q200" i="14"/>
  <c r="P200" i="14"/>
  <c r="O200" i="14"/>
  <c r="N200" i="14"/>
  <c r="M200" i="14"/>
  <c r="L200" i="14"/>
  <c r="K200" i="14"/>
  <c r="I200" i="14"/>
  <c r="H200" i="14"/>
  <c r="G200" i="14"/>
  <c r="F200" i="14"/>
  <c r="E200" i="14"/>
  <c r="D200" i="14"/>
  <c r="C200" i="14"/>
  <c r="Y199" i="14"/>
  <c r="X199" i="14"/>
  <c r="W199" i="14"/>
  <c r="V199" i="14"/>
  <c r="U199" i="14"/>
  <c r="T199" i="14"/>
  <c r="S199" i="14"/>
  <c r="R199" i="14"/>
  <c r="Q199" i="14"/>
  <c r="P199" i="14"/>
  <c r="O199" i="14"/>
  <c r="N199" i="14"/>
  <c r="M199" i="14"/>
  <c r="L199" i="14"/>
  <c r="K199" i="14"/>
  <c r="I199" i="14"/>
  <c r="H199" i="14"/>
  <c r="G199" i="14"/>
  <c r="F199" i="14"/>
  <c r="E199" i="14"/>
  <c r="D199" i="14"/>
  <c r="C199" i="14"/>
  <c r="Y198" i="14"/>
  <c r="X198" i="14"/>
  <c r="W198" i="14"/>
  <c r="V198" i="14"/>
  <c r="U198" i="14"/>
  <c r="T198" i="14"/>
  <c r="S198" i="14"/>
  <c r="R198" i="14"/>
  <c r="Q198" i="14"/>
  <c r="P198" i="14"/>
  <c r="O198" i="14"/>
  <c r="N198" i="14"/>
  <c r="M198" i="14"/>
  <c r="L198" i="14"/>
  <c r="K198" i="14"/>
  <c r="I198" i="14"/>
  <c r="H198" i="14"/>
  <c r="G198" i="14"/>
  <c r="F198" i="14"/>
  <c r="E198" i="14"/>
  <c r="D198" i="14"/>
  <c r="C198" i="14"/>
  <c r="Y197" i="14"/>
  <c r="X197" i="14"/>
  <c r="W197" i="14"/>
  <c r="V197" i="14"/>
  <c r="U197" i="14"/>
  <c r="T197" i="14"/>
  <c r="S197" i="14"/>
  <c r="R197" i="14"/>
  <c r="Q197" i="14"/>
  <c r="P197" i="14"/>
  <c r="O197" i="14"/>
  <c r="N197" i="14"/>
  <c r="M197" i="14"/>
  <c r="L197" i="14"/>
  <c r="K197" i="14"/>
  <c r="I197" i="14"/>
  <c r="H197" i="14"/>
  <c r="G197" i="14"/>
  <c r="F197" i="14"/>
  <c r="E197" i="14"/>
  <c r="D197" i="14"/>
  <c r="C197" i="14"/>
  <c r="Y196" i="14"/>
  <c r="X196" i="14"/>
  <c r="W196" i="14"/>
  <c r="V196" i="14"/>
  <c r="U196" i="14"/>
  <c r="T196" i="14"/>
  <c r="S196" i="14"/>
  <c r="R196" i="14"/>
  <c r="Q196" i="14"/>
  <c r="P196" i="14"/>
  <c r="O196" i="14"/>
  <c r="N196" i="14"/>
  <c r="M196" i="14"/>
  <c r="L196" i="14"/>
  <c r="K196" i="14"/>
  <c r="I196" i="14"/>
  <c r="H196" i="14"/>
  <c r="G196" i="14"/>
  <c r="F196" i="14"/>
  <c r="E196" i="14"/>
  <c r="D196" i="14"/>
  <c r="C196" i="14"/>
  <c r="Y195" i="14"/>
  <c r="X195" i="14"/>
  <c r="W195" i="14"/>
  <c r="V195" i="14"/>
  <c r="U195" i="14"/>
  <c r="T195" i="14"/>
  <c r="S195" i="14"/>
  <c r="R195" i="14"/>
  <c r="Q195" i="14"/>
  <c r="P195" i="14"/>
  <c r="O195" i="14"/>
  <c r="N195" i="14"/>
  <c r="M195" i="14"/>
  <c r="L195" i="14"/>
  <c r="K195" i="14"/>
  <c r="I195" i="14"/>
  <c r="H195" i="14"/>
  <c r="G195" i="14"/>
  <c r="F195" i="14"/>
  <c r="E195" i="14"/>
  <c r="D195" i="14"/>
  <c r="C195" i="14"/>
  <c r="Y194" i="14"/>
  <c r="X194" i="14"/>
  <c r="W194" i="14"/>
  <c r="V194" i="14"/>
  <c r="U194" i="14"/>
  <c r="T194" i="14"/>
  <c r="S194" i="14"/>
  <c r="R194" i="14"/>
  <c r="Q194" i="14"/>
  <c r="P194" i="14"/>
  <c r="O194" i="14"/>
  <c r="N194" i="14"/>
  <c r="M194" i="14"/>
  <c r="L194" i="14"/>
  <c r="K194" i="14"/>
  <c r="I194" i="14"/>
  <c r="H194" i="14"/>
  <c r="G194" i="14"/>
  <c r="F194" i="14"/>
  <c r="E194" i="14"/>
  <c r="D194" i="14"/>
  <c r="C194" i="14"/>
  <c r="Y193" i="14"/>
  <c r="X193" i="14"/>
  <c r="W193" i="14"/>
  <c r="V193" i="14"/>
  <c r="U193" i="14"/>
  <c r="T193" i="14"/>
  <c r="S193" i="14"/>
  <c r="R193" i="14"/>
  <c r="Q193" i="14"/>
  <c r="P193" i="14"/>
  <c r="O193" i="14"/>
  <c r="N193" i="14"/>
  <c r="M193" i="14"/>
  <c r="L193" i="14"/>
  <c r="K193" i="14"/>
  <c r="I193" i="14"/>
  <c r="H193" i="14"/>
  <c r="G193" i="14"/>
  <c r="F193" i="14"/>
  <c r="E193" i="14"/>
  <c r="D193" i="14"/>
  <c r="C193" i="14"/>
  <c r="Y192" i="14"/>
  <c r="X192" i="14"/>
  <c r="W192" i="14"/>
  <c r="V192" i="14"/>
  <c r="U192" i="14"/>
  <c r="T192" i="14"/>
  <c r="S192" i="14"/>
  <c r="R192" i="14"/>
  <c r="Q192" i="14"/>
  <c r="P192" i="14"/>
  <c r="O192" i="14"/>
  <c r="N192" i="14"/>
  <c r="M192" i="14"/>
  <c r="L192" i="14"/>
  <c r="K192" i="14"/>
  <c r="I192" i="14"/>
  <c r="H192" i="14"/>
  <c r="G192" i="14"/>
  <c r="F192" i="14"/>
  <c r="E192" i="14"/>
  <c r="D192" i="14"/>
  <c r="C192" i="14"/>
  <c r="Y191" i="14"/>
  <c r="X191" i="14"/>
  <c r="W191" i="14"/>
  <c r="V191" i="14"/>
  <c r="U191" i="14"/>
  <c r="T191" i="14"/>
  <c r="S191" i="14"/>
  <c r="R191" i="14"/>
  <c r="Q191" i="14"/>
  <c r="P191" i="14"/>
  <c r="O191" i="14"/>
  <c r="N191" i="14"/>
  <c r="M191" i="14"/>
  <c r="L191" i="14"/>
  <c r="K191" i="14"/>
  <c r="I191" i="14"/>
  <c r="H191" i="14"/>
  <c r="G191" i="14"/>
  <c r="F191" i="14"/>
  <c r="E191" i="14"/>
  <c r="D191" i="14"/>
  <c r="C191" i="14"/>
  <c r="Y190" i="14"/>
  <c r="X190" i="14"/>
  <c r="W190" i="14"/>
  <c r="V190" i="14"/>
  <c r="U190" i="14"/>
  <c r="T190" i="14"/>
  <c r="S190" i="14"/>
  <c r="R190" i="14"/>
  <c r="Q190" i="14"/>
  <c r="P190" i="14"/>
  <c r="O190" i="14"/>
  <c r="N190" i="14"/>
  <c r="M190" i="14"/>
  <c r="L190" i="14"/>
  <c r="K190" i="14"/>
  <c r="I190" i="14"/>
  <c r="H190" i="14"/>
  <c r="G190" i="14"/>
  <c r="F190" i="14"/>
  <c r="E190" i="14"/>
  <c r="D190" i="14"/>
  <c r="C190" i="14"/>
  <c r="Y189" i="14"/>
  <c r="X189" i="14"/>
  <c r="W189" i="14"/>
  <c r="V189" i="14"/>
  <c r="U189" i="14"/>
  <c r="T189" i="14"/>
  <c r="S189" i="14"/>
  <c r="R189" i="14"/>
  <c r="Q189" i="14"/>
  <c r="P189" i="14"/>
  <c r="O189" i="14"/>
  <c r="N189" i="14"/>
  <c r="M189" i="14"/>
  <c r="L189" i="14"/>
  <c r="K189" i="14"/>
  <c r="I189" i="14"/>
  <c r="H189" i="14"/>
  <c r="G189" i="14"/>
  <c r="F189" i="14"/>
  <c r="E189" i="14"/>
  <c r="D189" i="14"/>
  <c r="C189" i="14"/>
  <c r="Y188" i="14"/>
  <c r="X188" i="14"/>
  <c r="W188" i="14"/>
  <c r="V188" i="14"/>
  <c r="U188" i="14"/>
  <c r="T188" i="14"/>
  <c r="S188" i="14"/>
  <c r="R188" i="14"/>
  <c r="Q188" i="14"/>
  <c r="P188" i="14"/>
  <c r="O188" i="14"/>
  <c r="N188" i="14"/>
  <c r="M188" i="14"/>
  <c r="L188" i="14"/>
  <c r="K188" i="14"/>
  <c r="I188" i="14"/>
  <c r="H188" i="14"/>
  <c r="G188" i="14"/>
  <c r="F188" i="14"/>
  <c r="E188" i="14"/>
  <c r="D188" i="14"/>
  <c r="C188" i="14"/>
  <c r="Y187" i="14"/>
  <c r="X187" i="14"/>
  <c r="W187" i="14"/>
  <c r="V187" i="14"/>
  <c r="U187" i="14"/>
  <c r="T187" i="14"/>
  <c r="S187" i="14"/>
  <c r="R187" i="14"/>
  <c r="Q187" i="14"/>
  <c r="P187" i="14"/>
  <c r="O187" i="14"/>
  <c r="N187" i="14"/>
  <c r="M187" i="14"/>
  <c r="L187" i="14"/>
  <c r="K187" i="14"/>
  <c r="I187" i="14"/>
  <c r="H187" i="14"/>
  <c r="G187" i="14"/>
  <c r="F187" i="14"/>
  <c r="E187" i="14"/>
  <c r="D187" i="14"/>
  <c r="C187" i="14"/>
  <c r="Y186" i="14"/>
  <c r="X186" i="14"/>
  <c r="W186" i="14"/>
  <c r="V186" i="14"/>
  <c r="U186" i="14"/>
  <c r="T186" i="14"/>
  <c r="S186" i="14"/>
  <c r="R186" i="14"/>
  <c r="Q186" i="14"/>
  <c r="P186" i="14"/>
  <c r="O186" i="14"/>
  <c r="N186" i="14"/>
  <c r="M186" i="14"/>
  <c r="L186" i="14"/>
  <c r="K186" i="14"/>
  <c r="I186" i="14"/>
  <c r="H186" i="14"/>
  <c r="G186" i="14"/>
  <c r="F186" i="14"/>
  <c r="E186" i="14"/>
  <c r="D186" i="14"/>
  <c r="C186" i="14"/>
  <c r="Y185" i="14"/>
  <c r="X185" i="14"/>
  <c r="W185" i="14"/>
  <c r="V185" i="14"/>
  <c r="U185" i="14"/>
  <c r="T185" i="14"/>
  <c r="S185" i="14"/>
  <c r="R185" i="14"/>
  <c r="Q185" i="14"/>
  <c r="P185" i="14"/>
  <c r="O185" i="14"/>
  <c r="N185" i="14"/>
  <c r="M185" i="14"/>
  <c r="L185" i="14"/>
  <c r="K185" i="14"/>
  <c r="I185" i="14"/>
  <c r="H185" i="14"/>
  <c r="G185" i="14"/>
  <c r="F185" i="14"/>
  <c r="E185" i="14"/>
  <c r="D185" i="14"/>
  <c r="C185" i="14"/>
  <c r="Y184" i="14"/>
  <c r="X184" i="14"/>
  <c r="W184" i="14"/>
  <c r="V184" i="14"/>
  <c r="U184" i="14"/>
  <c r="T184" i="14"/>
  <c r="S184" i="14"/>
  <c r="R184" i="14"/>
  <c r="Q184" i="14"/>
  <c r="P184" i="14"/>
  <c r="O184" i="14"/>
  <c r="N184" i="14"/>
  <c r="M184" i="14"/>
  <c r="L184" i="14"/>
  <c r="K184" i="14"/>
  <c r="I184" i="14"/>
  <c r="H184" i="14"/>
  <c r="G184" i="14"/>
  <c r="F184" i="14"/>
  <c r="E184" i="14"/>
  <c r="D184" i="14"/>
  <c r="C184" i="14"/>
  <c r="Y183" i="14"/>
  <c r="X183" i="14"/>
  <c r="W183" i="14"/>
  <c r="V183" i="14"/>
  <c r="U183" i="14"/>
  <c r="T183" i="14"/>
  <c r="S183" i="14"/>
  <c r="R183" i="14"/>
  <c r="Q183" i="14"/>
  <c r="P183" i="14"/>
  <c r="O183" i="14"/>
  <c r="N183" i="14"/>
  <c r="M183" i="14"/>
  <c r="L183" i="14"/>
  <c r="K183" i="14"/>
  <c r="I183" i="14"/>
  <c r="H183" i="14"/>
  <c r="G183" i="14"/>
  <c r="F183" i="14"/>
  <c r="E183" i="14"/>
  <c r="D183" i="14"/>
  <c r="C183" i="14"/>
  <c r="Y182" i="14"/>
  <c r="X182" i="14"/>
  <c r="W182" i="14"/>
  <c r="V182" i="14"/>
  <c r="U182" i="14"/>
  <c r="T182" i="14"/>
  <c r="S182" i="14"/>
  <c r="R182" i="14"/>
  <c r="Q182" i="14"/>
  <c r="P182" i="14"/>
  <c r="O182" i="14"/>
  <c r="N182" i="14"/>
  <c r="M182" i="14"/>
  <c r="L182" i="14"/>
  <c r="K182" i="14"/>
  <c r="I182" i="14"/>
  <c r="H182" i="14"/>
  <c r="G182" i="14"/>
  <c r="F182" i="14"/>
  <c r="E182" i="14"/>
  <c r="D182" i="14"/>
  <c r="C182" i="14"/>
  <c r="Y181" i="14"/>
  <c r="X181" i="14"/>
  <c r="W181" i="14"/>
  <c r="V181" i="14"/>
  <c r="U181" i="14"/>
  <c r="T181" i="14"/>
  <c r="S181" i="14"/>
  <c r="R181" i="14"/>
  <c r="Q181" i="14"/>
  <c r="P181" i="14"/>
  <c r="O181" i="14"/>
  <c r="N181" i="14"/>
  <c r="M181" i="14"/>
  <c r="L181" i="14"/>
  <c r="K181" i="14"/>
  <c r="I181" i="14"/>
  <c r="H181" i="14"/>
  <c r="G181" i="14"/>
  <c r="F181" i="14"/>
  <c r="E181" i="14"/>
  <c r="D181" i="14"/>
  <c r="C181" i="14"/>
  <c r="Y180" i="14"/>
  <c r="X180" i="14"/>
  <c r="W180" i="14"/>
  <c r="V180" i="14"/>
  <c r="U180" i="14"/>
  <c r="T180" i="14"/>
  <c r="S180" i="14"/>
  <c r="R180" i="14"/>
  <c r="Q180" i="14"/>
  <c r="P180" i="14"/>
  <c r="O180" i="14"/>
  <c r="N180" i="14"/>
  <c r="M180" i="14"/>
  <c r="L180" i="14"/>
  <c r="K180" i="14"/>
  <c r="I180" i="14"/>
  <c r="H180" i="14"/>
  <c r="G180" i="14"/>
  <c r="F180" i="14"/>
  <c r="E180" i="14"/>
  <c r="D180" i="14"/>
  <c r="C180" i="14"/>
  <c r="Y179" i="14"/>
  <c r="X179" i="14"/>
  <c r="W179" i="14"/>
  <c r="V179" i="14"/>
  <c r="U179" i="14"/>
  <c r="T179" i="14"/>
  <c r="S179" i="14"/>
  <c r="R179" i="14"/>
  <c r="Q179" i="14"/>
  <c r="P179" i="14"/>
  <c r="O179" i="14"/>
  <c r="N179" i="14"/>
  <c r="M179" i="14"/>
  <c r="L179" i="14"/>
  <c r="K179" i="14"/>
  <c r="I179" i="14"/>
  <c r="H179" i="14"/>
  <c r="G179" i="14"/>
  <c r="F179" i="14"/>
  <c r="E179" i="14"/>
  <c r="D179" i="14"/>
  <c r="C179" i="14"/>
  <c r="Y178" i="14"/>
  <c r="X178" i="14"/>
  <c r="W178" i="14"/>
  <c r="V178" i="14"/>
  <c r="U178" i="14"/>
  <c r="T178" i="14"/>
  <c r="S178" i="14"/>
  <c r="R178" i="14"/>
  <c r="Q178" i="14"/>
  <c r="P178" i="14"/>
  <c r="O178" i="14"/>
  <c r="N178" i="14"/>
  <c r="M178" i="14"/>
  <c r="L178" i="14"/>
  <c r="K178" i="14"/>
  <c r="I178" i="14"/>
  <c r="H178" i="14"/>
  <c r="G178" i="14"/>
  <c r="F178" i="14"/>
  <c r="E178" i="14"/>
  <c r="D178" i="14"/>
  <c r="C178" i="14"/>
  <c r="Y177" i="14"/>
  <c r="X177" i="14"/>
  <c r="W177" i="14"/>
  <c r="V177" i="14"/>
  <c r="U177" i="14"/>
  <c r="T177" i="14"/>
  <c r="S177" i="14"/>
  <c r="R177" i="14"/>
  <c r="Q177" i="14"/>
  <c r="P177" i="14"/>
  <c r="O177" i="14"/>
  <c r="N177" i="14"/>
  <c r="M177" i="14"/>
  <c r="L177" i="14"/>
  <c r="K177" i="14"/>
  <c r="I177" i="14"/>
  <c r="H177" i="14"/>
  <c r="G177" i="14"/>
  <c r="F177" i="14"/>
  <c r="E177" i="14"/>
  <c r="D177" i="14"/>
  <c r="C177" i="14"/>
  <c r="Y176" i="14"/>
  <c r="X176" i="14"/>
  <c r="W176" i="14"/>
  <c r="V176" i="14"/>
  <c r="U176" i="14"/>
  <c r="T176" i="14"/>
  <c r="S176" i="14"/>
  <c r="R176" i="14"/>
  <c r="Q176" i="14"/>
  <c r="P176" i="14"/>
  <c r="O176" i="14"/>
  <c r="N176" i="14"/>
  <c r="M176" i="14"/>
  <c r="L176" i="14"/>
  <c r="K176" i="14"/>
  <c r="I176" i="14"/>
  <c r="H176" i="14"/>
  <c r="G176" i="14"/>
  <c r="F176" i="14"/>
  <c r="E176" i="14"/>
  <c r="D176" i="14"/>
  <c r="C176" i="14"/>
  <c r="Y175" i="14"/>
  <c r="X175" i="14"/>
  <c r="W175" i="14"/>
  <c r="V175" i="14"/>
  <c r="U175" i="14"/>
  <c r="T175" i="14"/>
  <c r="S175" i="14"/>
  <c r="R175" i="14"/>
  <c r="Q175" i="14"/>
  <c r="P175" i="14"/>
  <c r="O175" i="14"/>
  <c r="N175" i="14"/>
  <c r="M175" i="14"/>
  <c r="L175" i="14"/>
  <c r="K175" i="14"/>
  <c r="I175" i="14"/>
  <c r="H175" i="14"/>
  <c r="G175" i="14"/>
  <c r="F175" i="14"/>
  <c r="E175" i="14"/>
  <c r="D175" i="14"/>
  <c r="C175" i="14"/>
  <c r="Y174" i="14"/>
  <c r="X174" i="14"/>
  <c r="W174" i="14"/>
  <c r="V174" i="14"/>
  <c r="U174" i="14"/>
  <c r="T174" i="14"/>
  <c r="S174" i="14"/>
  <c r="R174" i="14"/>
  <c r="Q174" i="14"/>
  <c r="P174" i="14"/>
  <c r="O174" i="14"/>
  <c r="N174" i="14"/>
  <c r="M174" i="14"/>
  <c r="L174" i="14"/>
  <c r="K174" i="14"/>
  <c r="I174" i="14"/>
  <c r="H174" i="14"/>
  <c r="G174" i="14"/>
  <c r="F174" i="14"/>
  <c r="E174" i="14"/>
  <c r="D174" i="14"/>
  <c r="C174" i="14"/>
  <c r="Y173" i="14"/>
  <c r="X173" i="14"/>
  <c r="W173" i="14"/>
  <c r="V173" i="14"/>
  <c r="U173" i="14"/>
  <c r="T173" i="14"/>
  <c r="S173" i="14"/>
  <c r="R173" i="14"/>
  <c r="Q173" i="14"/>
  <c r="P173" i="14"/>
  <c r="O173" i="14"/>
  <c r="N173" i="14"/>
  <c r="M173" i="14"/>
  <c r="L173" i="14"/>
  <c r="K173" i="14"/>
  <c r="I173" i="14"/>
  <c r="H173" i="14"/>
  <c r="G173" i="14"/>
  <c r="F173" i="14"/>
  <c r="E173" i="14"/>
  <c r="D173" i="14"/>
  <c r="C173" i="14"/>
  <c r="Y172" i="14"/>
  <c r="X172" i="14"/>
  <c r="W172" i="14"/>
  <c r="V172" i="14"/>
  <c r="U172" i="14"/>
  <c r="T172" i="14"/>
  <c r="S172" i="14"/>
  <c r="R172" i="14"/>
  <c r="Q172" i="14"/>
  <c r="P172" i="14"/>
  <c r="O172" i="14"/>
  <c r="N172" i="14"/>
  <c r="M172" i="14"/>
  <c r="L172" i="14"/>
  <c r="K172" i="14"/>
  <c r="I172" i="14"/>
  <c r="H172" i="14"/>
  <c r="G172" i="14"/>
  <c r="F172" i="14"/>
  <c r="E172" i="14"/>
  <c r="D172" i="14"/>
  <c r="C172" i="14"/>
  <c r="Y171" i="14"/>
  <c r="X171" i="14"/>
  <c r="W171" i="14"/>
  <c r="V171" i="14"/>
  <c r="U171" i="14"/>
  <c r="T171" i="14"/>
  <c r="S171" i="14"/>
  <c r="R171" i="14"/>
  <c r="Q171" i="14"/>
  <c r="P171" i="14"/>
  <c r="O171" i="14"/>
  <c r="N171" i="14"/>
  <c r="M171" i="14"/>
  <c r="L171" i="14"/>
  <c r="K171" i="14"/>
  <c r="I171" i="14"/>
  <c r="H171" i="14"/>
  <c r="G171" i="14"/>
  <c r="F171" i="14"/>
  <c r="E171" i="14"/>
  <c r="D171" i="14"/>
  <c r="C171" i="14"/>
  <c r="Y170" i="14"/>
  <c r="X170" i="14"/>
  <c r="W170" i="14"/>
  <c r="V170" i="14"/>
  <c r="U170" i="14"/>
  <c r="T170" i="14"/>
  <c r="S170" i="14"/>
  <c r="R170" i="14"/>
  <c r="Q170" i="14"/>
  <c r="P170" i="14"/>
  <c r="O170" i="14"/>
  <c r="N170" i="14"/>
  <c r="M170" i="14"/>
  <c r="L170" i="14"/>
  <c r="K170" i="14"/>
  <c r="I170" i="14"/>
  <c r="H170" i="14"/>
  <c r="G170" i="14"/>
  <c r="F170" i="14"/>
  <c r="E170" i="14"/>
  <c r="D170" i="14"/>
  <c r="C170" i="14"/>
  <c r="Y169" i="14"/>
  <c r="X169" i="14"/>
  <c r="W169" i="14"/>
  <c r="V169" i="14"/>
  <c r="U169" i="14"/>
  <c r="T169" i="14"/>
  <c r="S169" i="14"/>
  <c r="R169" i="14"/>
  <c r="Q169" i="14"/>
  <c r="P169" i="14"/>
  <c r="O169" i="14"/>
  <c r="N169" i="14"/>
  <c r="M169" i="14"/>
  <c r="L169" i="14"/>
  <c r="K169" i="14"/>
  <c r="I169" i="14"/>
  <c r="H169" i="14"/>
  <c r="G169" i="14"/>
  <c r="F169" i="14"/>
  <c r="E169" i="14"/>
  <c r="D169" i="14"/>
  <c r="C169" i="14"/>
  <c r="Y168" i="14"/>
  <c r="X168" i="14"/>
  <c r="W168" i="14"/>
  <c r="V168" i="14"/>
  <c r="U168" i="14"/>
  <c r="T168" i="14"/>
  <c r="S168" i="14"/>
  <c r="R168" i="14"/>
  <c r="Q168" i="14"/>
  <c r="P168" i="14"/>
  <c r="O168" i="14"/>
  <c r="N168" i="14"/>
  <c r="M168" i="14"/>
  <c r="L168" i="14"/>
  <c r="K168" i="14"/>
  <c r="I168" i="14"/>
  <c r="H168" i="14"/>
  <c r="G168" i="14"/>
  <c r="F168" i="14"/>
  <c r="E168" i="14"/>
  <c r="D168" i="14"/>
  <c r="C168" i="14"/>
  <c r="Y167" i="14"/>
  <c r="X167" i="14"/>
  <c r="W167" i="14"/>
  <c r="V167" i="14"/>
  <c r="U167" i="14"/>
  <c r="T167" i="14"/>
  <c r="S167" i="14"/>
  <c r="R167" i="14"/>
  <c r="Q167" i="14"/>
  <c r="P167" i="14"/>
  <c r="O167" i="14"/>
  <c r="N167" i="14"/>
  <c r="M167" i="14"/>
  <c r="L167" i="14"/>
  <c r="K167" i="14"/>
  <c r="I167" i="14"/>
  <c r="H167" i="14"/>
  <c r="G167" i="14"/>
  <c r="F167" i="14"/>
  <c r="E167" i="14"/>
  <c r="D167" i="14"/>
  <c r="C167" i="14"/>
  <c r="Y166" i="14"/>
  <c r="X166" i="14"/>
  <c r="W166" i="14"/>
  <c r="V166" i="14"/>
  <c r="U166" i="14"/>
  <c r="T166" i="14"/>
  <c r="S166" i="14"/>
  <c r="R166" i="14"/>
  <c r="Q166" i="14"/>
  <c r="P166" i="14"/>
  <c r="O166" i="14"/>
  <c r="N166" i="14"/>
  <c r="M166" i="14"/>
  <c r="L166" i="14"/>
  <c r="K166" i="14"/>
  <c r="I166" i="14"/>
  <c r="H166" i="14"/>
  <c r="G166" i="14"/>
  <c r="F166" i="14"/>
  <c r="E166" i="14"/>
  <c r="D166" i="14"/>
  <c r="C166" i="14"/>
  <c r="Y165" i="14"/>
  <c r="X165" i="14"/>
  <c r="W165" i="14"/>
  <c r="V165" i="14"/>
  <c r="U165" i="14"/>
  <c r="T165" i="14"/>
  <c r="S165" i="14"/>
  <c r="R165" i="14"/>
  <c r="Q165" i="14"/>
  <c r="P165" i="14"/>
  <c r="O165" i="14"/>
  <c r="N165" i="14"/>
  <c r="M165" i="14"/>
  <c r="L165" i="14"/>
  <c r="K165" i="14"/>
  <c r="I165" i="14"/>
  <c r="H165" i="14"/>
  <c r="G165" i="14"/>
  <c r="F165" i="14"/>
  <c r="E165" i="14"/>
  <c r="D165" i="14"/>
  <c r="C165" i="14"/>
  <c r="Y164" i="14"/>
  <c r="X164" i="14"/>
  <c r="W164" i="14"/>
  <c r="V164" i="14"/>
  <c r="U164" i="14"/>
  <c r="T164" i="14"/>
  <c r="S164" i="14"/>
  <c r="R164" i="14"/>
  <c r="Q164" i="14"/>
  <c r="P164" i="14"/>
  <c r="O164" i="14"/>
  <c r="N164" i="14"/>
  <c r="M164" i="14"/>
  <c r="L164" i="14"/>
  <c r="K164" i="14"/>
  <c r="I164" i="14"/>
  <c r="H164" i="14"/>
  <c r="G164" i="14"/>
  <c r="F164" i="14"/>
  <c r="E164" i="14"/>
  <c r="D164" i="14"/>
  <c r="C164" i="14"/>
  <c r="Y163" i="14"/>
  <c r="X163" i="14"/>
  <c r="W163" i="14"/>
  <c r="V163" i="14"/>
  <c r="U163" i="14"/>
  <c r="T163" i="14"/>
  <c r="S163" i="14"/>
  <c r="R163" i="14"/>
  <c r="Q163" i="14"/>
  <c r="P163" i="14"/>
  <c r="O163" i="14"/>
  <c r="N163" i="14"/>
  <c r="M163" i="14"/>
  <c r="L163" i="14"/>
  <c r="K163" i="14"/>
  <c r="I163" i="14"/>
  <c r="H163" i="14"/>
  <c r="G163" i="14"/>
  <c r="F163" i="14"/>
  <c r="E163" i="14"/>
  <c r="D163" i="14"/>
  <c r="C163" i="14"/>
  <c r="Y162" i="14"/>
  <c r="X162" i="14"/>
  <c r="W162" i="14"/>
  <c r="V162" i="14"/>
  <c r="U162" i="14"/>
  <c r="T162" i="14"/>
  <c r="S162" i="14"/>
  <c r="R162" i="14"/>
  <c r="Q162" i="14"/>
  <c r="P162" i="14"/>
  <c r="O162" i="14"/>
  <c r="N162" i="14"/>
  <c r="M162" i="14"/>
  <c r="L162" i="14"/>
  <c r="K162" i="14"/>
  <c r="I162" i="14"/>
  <c r="H162" i="14"/>
  <c r="G162" i="14"/>
  <c r="F162" i="14"/>
  <c r="E162" i="14"/>
  <c r="D162" i="14"/>
  <c r="C162" i="14"/>
  <c r="Y161" i="14"/>
  <c r="X161" i="14"/>
  <c r="W161" i="14"/>
  <c r="V161" i="14"/>
  <c r="U161" i="14"/>
  <c r="T161" i="14"/>
  <c r="S161" i="14"/>
  <c r="R161" i="14"/>
  <c r="Q161" i="14"/>
  <c r="P161" i="14"/>
  <c r="O161" i="14"/>
  <c r="N161" i="14"/>
  <c r="M161" i="14"/>
  <c r="L161" i="14"/>
  <c r="K161" i="14"/>
  <c r="I161" i="14"/>
  <c r="H161" i="14"/>
  <c r="G161" i="14"/>
  <c r="F161" i="14"/>
  <c r="E161" i="14"/>
  <c r="D161" i="14"/>
  <c r="C161" i="14"/>
  <c r="Y160" i="14"/>
  <c r="X160" i="14"/>
  <c r="W160" i="14"/>
  <c r="V160" i="14"/>
  <c r="U160" i="14"/>
  <c r="T160" i="14"/>
  <c r="S160" i="14"/>
  <c r="R160" i="14"/>
  <c r="Q160" i="14"/>
  <c r="P160" i="14"/>
  <c r="O160" i="14"/>
  <c r="N160" i="14"/>
  <c r="M160" i="14"/>
  <c r="L160" i="14"/>
  <c r="K160" i="14"/>
  <c r="I160" i="14"/>
  <c r="H160" i="14"/>
  <c r="G160" i="14"/>
  <c r="F160" i="14"/>
  <c r="E160" i="14"/>
  <c r="D160" i="14"/>
  <c r="C160" i="14"/>
  <c r="Y159" i="14"/>
  <c r="X159" i="14"/>
  <c r="W159" i="14"/>
  <c r="V159" i="14"/>
  <c r="U159" i="14"/>
  <c r="T159" i="14"/>
  <c r="S159" i="14"/>
  <c r="R159" i="14"/>
  <c r="Q159" i="14"/>
  <c r="P159" i="14"/>
  <c r="O159" i="14"/>
  <c r="N159" i="14"/>
  <c r="M159" i="14"/>
  <c r="L159" i="14"/>
  <c r="K159" i="14"/>
  <c r="I159" i="14"/>
  <c r="H159" i="14"/>
  <c r="G159" i="14"/>
  <c r="F159" i="14"/>
  <c r="E159" i="14"/>
  <c r="D159" i="14"/>
  <c r="C159" i="14"/>
  <c r="Y158" i="14"/>
  <c r="X158" i="14"/>
  <c r="W158" i="14"/>
  <c r="V158" i="14"/>
  <c r="U158" i="14"/>
  <c r="T158" i="14"/>
  <c r="S158" i="14"/>
  <c r="R158" i="14"/>
  <c r="Q158" i="14"/>
  <c r="P158" i="14"/>
  <c r="O158" i="14"/>
  <c r="N158" i="14"/>
  <c r="M158" i="14"/>
  <c r="L158" i="14"/>
  <c r="K158" i="14"/>
  <c r="I158" i="14"/>
  <c r="H158" i="14"/>
  <c r="G158" i="14"/>
  <c r="F158" i="14"/>
  <c r="E158" i="14"/>
  <c r="D158" i="14"/>
  <c r="C158" i="14"/>
  <c r="Y157" i="14"/>
  <c r="X157" i="14"/>
  <c r="W157" i="14"/>
  <c r="V157" i="14"/>
  <c r="U157" i="14"/>
  <c r="T157" i="14"/>
  <c r="S157" i="14"/>
  <c r="R157" i="14"/>
  <c r="Q157" i="14"/>
  <c r="P157" i="14"/>
  <c r="O157" i="14"/>
  <c r="N157" i="14"/>
  <c r="M157" i="14"/>
  <c r="L157" i="14"/>
  <c r="K157" i="14"/>
  <c r="I157" i="14"/>
  <c r="H157" i="14"/>
  <c r="G157" i="14"/>
  <c r="F157" i="14"/>
  <c r="E157" i="14"/>
  <c r="D157" i="14"/>
  <c r="C157" i="14"/>
  <c r="Y156" i="14"/>
  <c r="X156" i="14"/>
  <c r="W156" i="14"/>
  <c r="V156" i="14"/>
  <c r="U156" i="14"/>
  <c r="T156" i="14"/>
  <c r="S156" i="14"/>
  <c r="R156" i="14"/>
  <c r="Q156" i="14"/>
  <c r="P156" i="14"/>
  <c r="O156" i="14"/>
  <c r="N156" i="14"/>
  <c r="M156" i="14"/>
  <c r="L156" i="14"/>
  <c r="K156" i="14"/>
  <c r="I156" i="14"/>
  <c r="H156" i="14"/>
  <c r="G156" i="14"/>
  <c r="F156" i="14"/>
  <c r="E156" i="14"/>
  <c r="D156" i="14"/>
  <c r="C156" i="14"/>
  <c r="Y155" i="14"/>
  <c r="X155" i="14"/>
  <c r="W155" i="14"/>
  <c r="V155" i="14"/>
  <c r="U155" i="14"/>
  <c r="T155" i="14"/>
  <c r="S155" i="14"/>
  <c r="R155" i="14"/>
  <c r="Q155" i="14"/>
  <c r="P155" i="14"/>
  <c r="O155" i="14"/>
  <c r="N155" i="14"/>
  <c r="M155" i="14"/>
  <c r="L155" i="14"/>
  <c r="K155" i="14"/>
  <c r="I155" i="14"/>
  <c r="H155" i="14"/>
  <c r="G155" i="14"/>
  <c r="F155" i="14"/>
  <c r="E155" i="14"/>
  <c r="D155" i="14"/>
  <c r="C155" i="14"/>
  <c r="Y154" i="14"/>
  <c r="X154" i="14"/>
  <c r="W154" i="14"/>
  <c r="V154" i="14"/>
  <c r="U154" i="14"/>
  <c r="T154" i="14"/>
  <c r="S154" i="14"/>
  <c r="R154" i="14"/>
  <c r="Q154" i="14"/>
  <c r="P154" i="14"/>
  <c r="O154" i="14"/>
  <c r="N154" i="14"/>
  <c r="M154" i="14"/>
  <c r="L154" i="14"/>
  <c r="K154" i="14"/>
  <c r="I154" i="14"/>
  <c r="H154" i="14"/>
  <c r="G154" i="14"/>
  <c r="F154" i="14"/>
  <c r="E154" i="14"/>
  <c r="D154" i="14"/>
  <c r="C154" i="14"/>
  <c r="Y153" i="14"/>
  <c r="X153" i="14"/>
  <c r="W153" i="14"/>
  <c r="V153" i="14"/>
  <c r="U153" i="14"/>
  <c r="T153" i="14"/>
  <c r="S153" i="14"/>
  <c r="R153" i="14"/>
  <c r="Q153" i="14"/>
  <c r="P153" i="14"/>
  <c r="O153" i="14"/>
  <c r="N153" i="14"/>
  <c r="M153" i="14"/>
  <c r="L153" i="14"/>
  <c r="K153" i="14"/>
  <c r="I153" i="14"/>
  <c r="H153" i="14"/>
  <c r="G153" i="14"/>
  <c r="F153" i="14"/>
  <c r="E153" i="14"/>
  <c r="D153" i="14"/>
  <c r="C153" i="14"/>
  <c r="Y152" i="14"/>
  <c r="X152" i="14"/>
  <c r="W152" i="14"/>
  <c r="V152" i="14"/>
  <c r="U152" i="14"/>
  <c r="T152" i="14"/>
  <c r="S152" i="14"/>
  <c r="R152" i="14"/>
  <c r="Q152" i="14"/>
  <c r="P152" i="14"/>
  <c r="O152" i="14"/>
  <c r="N152" i="14"/>
  <c r="M152" i="14"/>
  <c r="L152" i="14"/>
  <c r="K152" i="14"/>
  <c r="I152" i="14"/>
  <c r="H152" i="14"/>
  <c r="G152" i="14"/>
  <c r="F152" i="14"/>
  <c r="E152" i="14"/>
  <c r="D152" i="14"/>
  <c r="C152" i="14"/>
  <c r="Y151" i="14"/>
  <c r="X151" i="14"/>
  <c r="W151" i="14"/>
  <c r="V151" i="14"/>
  <c r="U151" i="14"/>
  <c r="T151" i="14"/>
  <c r="S151" i="14"/>
  <c r="R151" i="14"/>
  <c r="Q151" i="14"/>
  <c r="P151" i="14"/>
  <c r="O151" i="14"/>
  <c r="N151" i="14"/>
  <c r="M151" i="14"/>
  <c r="L151" i="14"/>
  <c r="K151" i="14"/>
  <c r="I151" i="14"/>
  <c r="H151" i="14"/>
  <c r="G151" i="14"/>
  <c r="F151" i="14"/>
  <c r="E151" i="14"/>
  <c r="D151" i="14"/>
  <c r="C151" i="14"/>
  <c r="Y150" i="14"/>
  <c r="X150" i="14"/>
  <c r="W150" i="14"/>
  <c r="V150" i="14"/>
  <c r="U150" i="14"/>
  <c r="T150" i="14"/>
  <c r="S150" i="14"/>
  <c r="R150" i="14"/>
  <c r="Q150" i="14"/>
  <c r="P150" i="14"/>
  <c r="O150" i="14"/>
  <c r="N150" i="14"/>
  <c r="M150" i="14"/>
  <c r="L150" i="14"/>
  <c r="K150" i="14"/>
  <c r="I150" i="14"/>
  <c r="H150" i="14"/>
  <c r="G150" i="14"/>
  <c r="F150" i="14"/>
  <c r="E150" i="14"/>
  <c r="D150" i="14"/>
  <c r="C150" i="14"/>
  <c r="Y149" i="14"/>
  <c r="X149" i="14"/>
  <c r="W149" i="14"/>
  <c r="V149" i="14"/>
  <c r="U149" i="14"/>
  <c r="T149" i="14"/>
  <c r="S149" i="14"/>
  <c r="R149" i="14"/>
  <c r="Q149" i="14"/>
  <c r="P149" i="14"/>
  <c r="O149" i="14"/>
  <c r="N149" i="14"/>
  <c r="M149" i="14"/>
  <c r="L149" i="14"/>
  <c r="K149" i="14"/>
  <c r="I149" i="14"/>
  <c r="H149" i="14"/>
  <c r="G149" i="14"/>
  <c r="F149" i="14"/>
  <c r="E149" i="14"/>
  <c r="D149" i="14"/>
  <c r="C149" i="14"/>
  <c r="Y148" i="14"/>
  <c r="X148" i="14"/>
  <c r="W148" i="14"/>
  <c r="V148" i="14"/>
  <c r="U148" i="14"/>
  <c r="T148" i="14"/>
  <c r="S148" i="14"/>
  <c r="R148" i="14"/>
  <c r="Q148" i="14"/>
  <c r="P148" i="14"/>
  <c r="O148" i="14"/>
  <c r="N148" i="14"/>
  <c r="M148" i="14"/>
  <c r="L148" i="14"/>
  <c r="K148" i="14"/>
  <c r="I148" i="14"/>
  <c r="H148" i="14"/>
  <c r="G148" i="14"/>
  <c r="F148" i="14"/>
  <c r="E148" i="14"/>
  <c r="D148" i="14"/>
  <c r="C148" i="14"/>
  <c r="Y147" i="14"/>
  <c r="X147" i="14"/>
  <c r="W147" i="14"/>
  <c r="V147" i="14"/>
  <c r="U147" i="14"/>
  <c r="T147" i="14"/>
  <c r="S147" i="14"/>
  <c r="R147" i="14"/>
  <c r="Q147" i="14"/>
  <c r="P147" i="14"/>
  <c r="O147" i="14"/>
  <c r="N147" i="14"/>
  <c r="M147" i="14"/>
  <c r="L147" i="14"/>
  <c r="K147" i="14"/>
  <c r="I147" i="14"/>
  <c r="H147" i="14"/>
  <c r="G147" i="14"/>
  <c r="F147" i="14"/>
  <c r="E147" i="14"/>
  <c r="D147" i="14"/>
  <c r="C147" i="14"/>
  <c r="Y146" i="14"/>
  <c r="X146" i="14"/>
  <c r="W146" i="14"/>
  <c r="V146" i="14"/>
  <c r="U146" i="14"/>
  <c r="T146" i="14"/>
  <c r="S146" i="14"/>
  <c r="R146" i="14"/>
  <c r="Q146" i="14"/>
  <c r="P146" i="14"/>
  <c r="O146" i="14"/>
  <c r="N146" i="14"/>
  <c r="M146" i="14"/>
  <c r="L146" i="14"/>
  <c r="K146" i="14"/>
  <c r="I146" i="14"/>
  <c r="H146" i="14"/>
  <c r="G146" i="14"/>
  <c r="F146" i="14"/>
  <c r="E146" i="14"/>
  <c r="D146" i="14"/>
  <c r="C146" i="14"/>
  <c r="Y145" i="14"/>
  <c r="X145" i="14"/>
  <c r="W145" i="14"/>
  <c r="V145" i="14"/>
  <c r="U145" i="14"/>
  <c r="T145" i="14"/>
  <c r="S145" i="14"/>
  <c r="R145" i="14"/>
  <c r="Q145" i="14"/>
  <c r="P145" i="14"/>
  <c r="O145" i="14"/>
  <c r="N145" i="14"/>
  <c r="M145" i="14"/>
  <c r="L145" i="14"/>
  <c r="K145" i="14"/>
  <c r="I145" i="14"/>
  <c r="H145" i="14"/>
  <c r="G145" i="14"/>
  <c r="F145" i="14"/>
  <c r="E145" i="14"/>
  <c r="D145" i="14"/>
  <c r="C145" i="14"/>
  <c r="Y144" i="14"/>
  <c r="X144" i="14"/>
  <c r="W144" i="14"/>
  <c r="V144" i="14"/>
  <c r="U144" i="14"/>
  <c r="T144" i="14"/>
  <c r="S144" i="14"/>
  <c r="R144" i="14"/>
  <c r="Q144" i="14"/>
  <c r="P144" i="14"/>
  <c r="O144" i="14"/>
  <c r="N144" i="14"/>
  <c r="M144" i="14"/>
  <c r="L144" i="14"/>
  <c r="K144" i="14"/>
  <c r="I144" i="14"/>
  <c r="H144" i="14"/>
  <c r="G144" i="14"/>
  <c r="F144" i="14"/>
  <c r="E144" i="14"/>
  <c r="D144" i="14"/>
  <c r="C144" i="14"/>
  <c r="Y143" i="14"/>
  <c r="X143" i="14"/>
  <c r="W143" i="14"/>
  <c r="V143" i="14"/>
  <c r="U143" i="14"/>
  <c r="T143" i="14"/>
  <c r="S143" i="14"/>
  <c r="R143" i="14"/>
  <c r="Q143" i="14"/>
  <c r="P143" i="14"/>
  <c r="O143" i="14"/>
  <c r="N143" i="14"/>
  <c r="M143" i="14"/>
  <c r="L143" i="14"/>
  <c r="K143" i="14"/>
  <c r="I143" i="14"/>
  <c r="H143" i="14"/>
  <c r="G143" i="14"/>
  <c r="F143" i="14"/>
  <c r="E143" i="14"/>
  <c r="D143" i="14"/>
  <c r="C143" i="14"/>
  <c r="Y142" i="14"/>
  <c r="X142" i="14"/>
  <c r="W142" i="14"/>
  <c r="V142" i="14"/>
  <c r="U142" i="14"/>
  <c r="T142" i="14"/>
  <c r="S142" i="14"/>
  <c r="R142" i="14"/>
  <c r="Q142" i="14"/>
  <c r="P142" i="14"/>
  <c r="O142" i="14"/>
  <c r="N142" i="14"/>
  <c r="M142" i="14"/>
  <c r="L142" i="14"/>
  <c r="K142" i="14"/>
  <c r="I142" i="14"/>
  <c r="H142" i="14"/>
  <c r="G142" i="14"/>
  <c r="F142" i="14"/>
  <c r="E142" i="14"/>
  <c r="D142" i="14"/>
  <c r="C142" i="14"/>
  <c r="Y141" i="14"/>
  <c r="X141" i="14"/>
  <c r="W141" i="14"/>
  <c r="V141" i="14"/>
  <c r="U141" i="14"/>
  <c r="T141" i="14"/>
  <c r="S141" i="14"/>
  <c r="R141" i="14"/>
  <c r="Q141" i="14"/>
  <c r="P141" i="14"/>
  <c r="O141" i="14"/>
  <c r="N141" i="14"/>
  <c r="M141" i="14"/>
  <c r="L141" i="14"/>
  <c r="K141" i="14"/>
  <c r="I141" i="14"/>
  <c r="H141" i="14"/>
  <c r="G141" i="14"/>
  <c r="F141" i="14"/>
  <c r="E141" i="14"/>
  <c r="D141" i="14"/>
  <c r="C141" i="14"/>
  <c r="Y140" i="14"/>
  <c r="X140" i="14"/>
  <c r="W140" i="14"/>
  <c r="V140" i="14"/>
  <c r="U140" i="14"/>
  <c r="T140" i="14"/>
  <c r="S140" i="14"/>
  <c r="R140" i="14"/>
  <c r="Q140" i="14"/>
  <c r="P140" i="14"/>
  <c r="O140" i="14"/>
  <c r="N140" i="14"/>
  <c r="M140" i="14"/>
  <c r="L140" i="14"/>
  <c r="K140" i="14"/>
  <c r="I140" i="14"/>
  <c r="H140" i="14"/>
  <c r="G140" i="14"/>
  <c r="F140" i="14"/>
  <c r="E140" i="14"/>
  <c r="D140" i="14"/>
  <c r="C140" i="14"/>
  <c r="Y139" i="14"/>
  <c r="X139" i="14"/>
  <c r="W139" i="14"/>
  <c r="V139" i="14"/>
  <c r="U139" i="14"/>
  <c r="T139" i="14"/>
  <c r="S139" i="14"/>
  <c r="R139" i="14"/>
  <c r="Q139" i="14"/>
  <c r="P139" i="14"/>
  <c r="O139" i="14"/>
  <c r="N139" i="14"/>
  <c r="M139" i="14"/>
  <c r="L139" i="14"/>
  <c r="K139" i="14"/>
  <c r="I139" i="14"/>
  <c r="H139" i="14"/>
  <c r="G139" i="14"/>
  <c r="F139" i="14"/>
  <c r="E139" i="14"/>
  <c r="D139" i="14"/>
  <c r="C139" i="14"/>
  <c r="Y138" i="14"/>
  <c r="X138" i="14"/>
  <c r="W138" i="14"/>
  <c r="V138" i="14"/>
  <c r="U138" i="14"/>
  <c r="T138" i="14"/>
  <c r="S138" i="14"/>
  <c r="R138" i="14"/>
  <c r="Q138" i="14"/>
  <c r="P138" i="14"/>
  <c r="O138" i="14"/>
  <c r="N138" i="14"/>
  <c r="M138" i="14"/>
  <c r="L138" i="14"/>
  <c r="K138" i="14"/>
  <c r="I138" i="14"/>
  <c r="H138" i="14"/>
  <c r="G138" i="14"/>
  <c r="F138" i="14"/>
  <c r="E138" i="14"/>
  <c r="D138" i="14"/>
  <c r="C138" i="14"/>
  <c r="Y137" i="14"/>
  <c r="X137" i="14"/>
  <c r="W137" i="14"/>
  <c r="V137" i="14"/>
  <c r="U137" i="14"/>
  <c r="T137" i="14"/>
  <c r="S137" i="14"/>
  <c r="R137" i="14"/>
  <c r="Q137" i="14"/>
  <c r="P137" i="14"/>
  <c r="O137" i="14"/>
  <c r="N137" i="14"/>
  <c r="M137" i="14"/>
  <c r="L137" i="14"/>
  <c r="K137" i="14"/>
  <c r="I137" i="14"/>
  <c r="H137" i="14"/>
  <c r="G137" i="14"/>
  <c r="F137" i="14"/>
  <c r="E137" i="14"/>
  <c r="D137" i="14"/>
  <c r="C137" i="14"/>
  <c r="Y136" i="14"/>
  <c r="X136" i="14"/>
  <c r="W136" i="14"/>
  <c r="V136" i="14"/>
  <c r="U136" i="14"/>
  <c r="T136" i="14"/>
  <c r="S136" i="14"/>
  <c r="R136" i="14"/>
  <c r="Q136" i="14"/>
  <c r="P136" i="14"/>
  <c r="O136" i="14"/>
  <c r="N136" i="14"/>
  <c r="M136" i="14"/>
  <c r="L136" i="14"/>
  <c r="K136" i="14"/>
  <c r="I136" i="14"/>
  <c r="H136" i="14"/>
  <c r="G136" i="14"/>
  <c r="F136" i="14"/>
  <c r="E136" i="14"/>
  <c r="D136" i="14"/>
  <c r="C136" i="14"/>
  <c r="Y135" i="14"/>
  <c r="X135" i="14"/>
  <c r="W135" i="14"/>
  <c r="V135" i="14"/>
  <c r="U135" i="14"/>
  <c r="T135" i="14"/>
  <c r="S135" i="14"/>
  <c r="R135" i="14"/>
  <c r="Q135" i="14"/>
  <c r="P135" i="14"/>
  <c r="O135" i="14"/>
  <c r="N135" i="14"/>
  <c r="M135" i="14"/>
  <c r="L135" i="14"/>
  <c r="K135" i="14"/>
  <c r="I135" i="14"/>
  <c r="H135" i="14"/>
  <c r="G135" i="14"/>
  <c r="F135" i="14"/>
  <c r="E135" i="14"/>
  <c r="D135" i="14"/>
  <c r="C135" i="14"/>
  <c r="Y134" i="14"/>
  <c r="X134" i="14"/>
  <c r="W134" i="14"/>
  <c r="V134" i="14"/>
  <c r="U134" i="14"/>
  <c r="T134" i="14"/>
  <c r="S134" i="14"/>
  <c r="R134" i="14"/>
  <c r="Q134" i="14"/>
  <c r="P134" i="14"/>
  <c r="O134" i="14"/>
  <c r="N134" i="14"/>
  <c r="M134" i="14"/>
  <c r="L134" i="14"/>
  <c r="K134" i="14"/>
  <c r="I134" i="14"/>
  <c r="H134" i="14"/>
  <c r="G134" i="14"/>
  <c r="F134" i="14"/>
  <c r="E134" i="14"/>
  <c r="D134" i="14"/>
  <c r="C134" i="14"/>
  <c r="Y133" i="14"/>
  <c r="X133" i="14"/>
  <c r="W133" i="14"/>
  <c r="V133" i="14"/>
  <c r="U133" i="14"/>
  <c r="T133" i="14"/>
  <c r="S133" i="14"/>
  <c r="R133" i="14"/>
  <c r="Q133" i="14"/>
  <c r="P133" i="14"/>
  <c r="O133" i="14"/>
  <c r="N133" i="14"/>
  <c r="M133" i="14"/>
  <c r="L133" i="14"/>
  <c r="K133" i="14"/>
  <c r="I133" i="14"/>
  <c r="H133" i="14"/>
  <c r="G133" i="14"/>
  <c r="F133" i="14"/>
  <c r="E133" i="14"/>
  <c r="D133" i="14"/>
  <c r="C133" i="14"/>
  <c r="Y132" i="14"/>
  <c r="X132" i="14"/>
  <c r="W132" i="14"/>
  <c r="V132" i="14"/>
  <c r="U132" i="14"/>
  <c r="T132" i="14"/>
  <c r="S132" i="14"/>
  <c r="R132" i="14"/>
  <c r="Q132" i="14"/>
  <c r="P132" i="14"/>
  <c r="O132" i="14"/>
  <c r="N132" i="14"/>
  <c r="M132" i="14"/>
  <c r="L132" i="14"/>
  <c r="K132" i="14"/>
  <c r="I132" i="14"/>
  <c r="H132" i="14"/>
  <c r="G132" i="14"/>
  <c r="F132" i="14"/>
  <c r="E132" i="14"/>
  <c r="D132" i="14"/>
  <c r="C132" i="14"/>
  <c r="Y131" i="14"/>
  <c r="X131" i="14"/>
  <c r="W131" i="14"/>
  <c r="V131" i="14"/>
  <c r="U131" i="14"/>
  <c r="T131" i="14"/>
  <c r="S131" i="14"/>
  <c r="R131" i="14"/>
  <c r="Q131" i="14"/>
  <c r="P131" i="14"/>
  <c r="O131" i="14"/>
  <c r="N131" i="14"/>
  <c r="M131" i="14"/>
  <c r="L131" i="14"/>
  <c r="K131" i="14"/>
  <c r="I131" i="14"/>
  <c r="H131" i="14"/>
  <c r="G131" i="14"/>
  <c r="F131" i="14"/>
  <c r="E131" i="14"/>
  <c r="D131" i="14"/>
  <c r="C131" i="14"/>
  <c r="Y130" i="14"/>
  <c r="X130" i="14"/>
  <c r="W130" i="14"/>
  <c r="V130" i="14"/>
  <c r="U130" i="14"/>
  <c r="T130" i="14"/>
  <c r="S130" i="14"/>
  <c r="R130" i="14"/>
  <c r="Q130" i="14"/>
  <c r="P130" i="14"/>
  <c r="O130" i="14"/>
  <c r="N130" i="14"/>
  <c r="M130" i="14"/>
  <c r="L130" i="14"/>
  <c r="K130" i="14"/>
  <c r="I130" i="14"/>
  <c r="H130" i="14"/>
  <c r="G130" i="14"/>
  <c r="F130" i="14"/>
  <c r="E130" i="14"/>
  <c r="D130" i="14"/>
  <c r="C130" i="14"/>
  <c r="Y129" i="14"/>
  <c r="X129" i="14"/>
  <c r="W129" i="14"/>
  <c r="V129" i="14"/>
  <c r="U129" i="14"/>
  <c r="T129" i="14"/>
  <c r="S129" i="14"/>
  <c r="R129" i="14"/>
  <c r="Q129" i="14"/>
  <c r="P129" i="14"/>
  <c r="O129" i="14"/>
  <c r="N129" i="14"/>
  <c r="M129" i="14"/>
  <c r="L129" i="14"/>
  <c r="K129" i="14"/>
  <c r="I129" i="14"/>
  <c r="H129" i="14"/>
  <c r="G129" i="14"/>
  <c r="F129" i="14"/>
  <c r="E129" i="14"/>
  <c r="D129" i="14"/>
  <c r="C129" i="14"/>
  <c r="Y128" i="14"/>
  <c r="X128" i="14"/>
  <c r="W128" i="14"/>
  <c r="V128" i="14"/>
  <c r="U128" i="14"/>
  <c r="T128" i="14"/>
  <c r="S128" i="14"/>
  <c r="R128" i="14"/>
  <c r="Q128" i="14"/>
  <c r="P128" i="14"/>
  <c r="O128" i="14"/>
  <c r="N128" i="14"/>
  <c r="M128" i="14"/>
  <c r="L128" i="14"/>
  <c r="K128" i="14"/>
  <c r="I128" i="14"/>
  <c r="H128" i="14"/>
  <c r="G128" i="14"/>
  <c r="F128" i="14"/>
  <c r="E128" i="14"/>
  <c r="D128" i="14"/>
  <c r="C128" i="14"/>
  <c r="Y127" i="14"/>
  <c r="X127" i="14"/>
  <c r="W127" i="14"/>
  <c r="V127" i="14"/>
  <c r="U127" i="14"/>
  <c r="T127" i="14"/>
  <c r="S127" i="14"/>
  <c r="R127" i="14"/>
  <c r="Q127" i="14"/>
  <c r="P127" i="14"/>
  <c r="O127" i="14"/>
  <c r="N127" i="14"/>
  <c r="M127" i="14"/>
  <c r="L127" i="14"/>
  <c r="K127" i="14"/>
  <c r="I127" i="14"/>
  <c r="H127" i="14"/>
  <c r="G127" i="14"/>
  <c r="F127" i="14"/>
  <c r="E127" i="14"/>
  <c r="D127" i="14"/>
  <c r="C127" i="14"/>
  <c r="Y126" i="14"/>
  <c r="X126" i="14"/>
  <c r="W126" i="14"/>
  <c r="V126" i="14"/>
  <c r="U126" i="14"/>
  <c r="T126" i="14"/>
  <c r="S126" i="14"/>
  <c r="R126" i="14"/>
  <c r="Q126" i="14"/>
  <c r="P126" i="14"/>
  <c r="O126" i="14"/>
  <c r="N126" i="14"/>
  <c r="M126" i="14"/>
  <c r="L126" i="14"/>
  <c r="K126" i="14"/>
  <c r="I126" i="14"/>
  <c r="H126" i="14"/>
  <c r="G126" i="14"/>
  <c r="F126" i="14"/>
  <c r="E126" i="14"/>
  <c r="D126" i="14"/>
  <c r="C126" i="14"/>
  <c r="Y125" i="14"/>
  <c r="X125" i="14"/>
  <c r="W125" i="14"/>
  <c r="V125" i="14"/>
  <c r="U125" i="14"/>
  <c r="T125" i="14"/>
  <c r="S125" i="14"/>
  <c r="R125" i="14"/>
  <c r="Q125" i="14"/>
  <c r="P125" i="14"/>
  <c r="O125" i="14"/>
  <c r="N125" i="14"/>
  <c r="M125" i="14"/>
  <c r="L125" i="14"/>
  <c r="K125" i="14"/>
  <c r="I125" i="14"/>
  <c r="H125" i="14"/>
  <c r="G125" i="14"/>
  <c r="F125" i="14"/>
  <c r="E125" i="14"/>
  <c r="D125" i="14"/>
  <c r="C125" i="14"/>
  <c r="Y124" i="14"/>
  <c r="X124" i="14"/>
  <c r="W124" i="14"/>
  <c r="V124" i="14"/>
  <c r="U124" i="14"/>
  <c r="T124" i="14"/>
  <c r="S124" i="14"/>
  <c r="R124" i="14"/>
  <c r="Q124" i="14"/>
  <c r="P124" i="14"/>
  <c r="O124" i="14"/>
  <c r="N124" i="14"/>
  <c r="M124" i="14"/>
  <c r="L124" i="14"/>
  <c r="K124" i="14"/>
  <c r="I124" i="14"/>
  <c r="H124" i="14"/>
  <c r="G124" i="14"/>
  <c r="F124" i="14"/>
  <c r="E124" i="14"/>
  <c r="D124" i="14"/>
  <c r="C124" i="14"/>
  <c r="Y123" i="14"/>
  <c r="X123" i="14"/>
  <c r="W123" i="14"/>
  <c r="V123" i="14"/>
  <c r="U123" i="14"/>
  <c r="T123" i="14"/>
  <c r="S123" i="14"/>
  <c r="R123" i="14"/>
  <c r="Q123" i="14"/>
  <c r="P123" i="14"/>
  <c r="O123" i="14"/>
  <c r="N123" i="14"/>
  <c r="M123" i="14"/>
  <c r="L123" i="14"/>
  <c r="K123" i="14"/>
  <c r="I123" i="14"/>
  <c r="H123" i="14"/>
  <c r="G123" i="14"/>
  <c r="F123" i="14"/>
  <c r="E123" i="14"/>
  <c r="D123" i="14"/>
  <c r="C123" i="14"/>
  <c r="Y122" i="14"/>
  <c r="X122" i="14"/>
  <c r="W122" i="14"/>
  <c r="V122" i="14"/>
  <c r="U122" i="14"/>
  <c r="T122" i="14"/>
  <c r="S122" i="14"/>
  <c r="R122" i="14"/>
  <c r="Q122" i="14"/>
  <c r="P122" i="14"/>
  <c r="O122" i="14"/>
  <c r="N122" i="14"/>
  <c r="M122" i="14"/>
  <c r="L122" i="14"/>
  <c r="K122" i="14"/>
  <c r="I122" i="14"/>
  <c r="H122" i="14"/>
  <c r="G122" i="14"/>
  <c r="F122" i="14"/>
  <c r="E122" i="14"/>
  <c r="D122" i="14"/>
  <c r="C122" i="14"/>
  <c r="Y121" i="14"/>
  <c r="X121" i="14"/>
  <c r="W121" i="14"/>
  <c r="V121" i="14"/>
  <c r="U121" i="14"/>
  <c r="T121" i="14"/>
  <c r="S121" i="14"/>
  <c r="R121" i="14"/>
  <c r="Q121" i="14"/>
  <c r="P121" i="14"/>
  <c r="O121" i="14"/>
  <c r="N121" i="14"/>
  <c r="M121" i="14"/>
  <c r="L121" i="14"/>
  <c r="K121" i="14"/>
  <c r="I121" i="14"/>
  <c r="H121" i="14"/>
  <c r="G121" i="14"/>
  <c r="F121" i="14"/>
  <c r="E121" i="14"/>
  <c r="D121" i="14"/>
  <c r="C121" i="14"/>
  <c r="Y120" i="14"/>
  <c r="X120" i="14"/>
  <c r="W120" i="14"/>
  <c r="V120" i="14"/>
  <c r="U120" i="14"/>
  <c r="T120" i="14"/>
  <c r="S120" i="14"/>
  <c r="R120" i="14"/>
  <c r="Q120" i="14"/>
  <c r="P120" i="14"/>
  <c r="O120" i="14"/>
  <c r="N120" i="14"/>
  <c r="M120" i="14"/>
  <c r="L120" i="14"/>
  <c r="K120" i="14"/>
  <c r="I120" i="14"/>
  <c r="H120" i="14"/>
  <c r="G120" i="14"/>
  <c r="F120" i="14"/>
  <c r="E120" i="14"/>
  <c r="D120" i="14"/>
  <c r="C120" i="14"/>
  <c r="Y119" i="14"/>
  <c r="X119" i="14"/>
  <c r="W119" i="14"/>
  <c r="V119" i="14"/>
  <c r="U119" i="14"/>
  <c r="T119" i="14"/>
  <c r="S119" i="14"/>
  <c r="R119" i="14"/>
  <c r="Q119" i="14"/>
  <c r="P119" i="14"/>
  <c r="O119" i="14"/>
  <c r="N119" i="14"/>
  <c r="M119" i="14"/>
  <c r="L119" i="14"/>
  <c r="K119" i="14"/>
  <c r="I119" i="14"/>
  <c r="H119" i="14"/>
  <c r="G119" i="14"/>
  <c r="F119" i="14"/>
  <c r="E119" i="14"/>
  <c r="D119" i="14"/>
  <c r="C119" i="14"/>
  <c r="Y118" i="14"/>
  <c r="X118" i="14"/>
  <c r="W118" i="14"/>
  <c r="V118" i="14"/>
  <c r="U118" i="14"/>
  <c r="T118" i="14"/>
  <c r="S118" i="14"/>
  <c r="R118" i="14"/>
  <c r="Q118" i="14"/>
  <c r="P118" i="14"/>
  <c r="O118" i="14"/>
  <c r="N118" i="14"/>
  <c r="M118" i="14"/>
  <c r="L118" i="14"/>
  <c r="K118" i="14"/>
  <c r="I118" i="14"/>
  <c r="H118" i="14"/>
  <c r="G118" i="14"/>
  <c r="F118" i="14"/>
  <c r="E118" i="14"/>
  <c r="D118" i="14"/>
  <c r="C118" i="14"/>
  <c r="Y117" i="14"/>
  <c r="X117" i="14"/>
  <c r="W117" i="14"/>
  <c r="V117" i="14"/>
  <c r="U117" i="14"/>
  <c r="T117" i="14"/>
  <c r="S117" i="14"/>
  <c r="R117" i="14"/>
  <c r="Q117" i="14"/>
  <c r="P117" i="14"/>
  <c r="O117" i="14"/>
  <c r="N117" i="14"/>
  <c r="M117" i="14"/>
  <c r="L117" i="14"/>
  <c r="K117" i="14"/>
  <c r="I117" i="14"/>
  <c r="H117" i="14"/>
  <c r="G117" i="14"/>
  <c r="F117" i="14"/>
  <c r="E117" i="14"/>
  <c r="D117" i="14"/>
  <c r="C117" i="14"/>
  <c r="Y116" i="14"/>
  <c r="X116" i="14"/>
  <c r="W116" i="14"/>
  <c r="V116" i="14"/>
  <c r="U116" i="14"/>
  <c r="T116" i="14"/>
  <c r="S116" i="14"/>
  <c r="R116" i="14"/>
  <c r="Q116" i="14"/>
  <c r="P116" i="14"/>
  <c r="O116" i="14"/>
  <c r="N116" i="14"/>
  <c r="M116" i="14"/>
  <c r="L116" i="14"/>
  <c r="K116" i="14"/>
  <c r="I116" i="14"/>
  <c r="H116" i="14"/>
  <c r="G116" i="14"/>
  <c r="F116" i="14"/>
  <c r="E116" i="14"/>
  <c r="D116" i="14"/>
  <c r="C116" i="14"/>
  <c r="Y115" i="14"/>
  <c r="X115" i="14"/>
  <c r="W115" i="14"/>
  <c r="V115" i="14"/>
  <c r="U115" i="14"/>
  <c r="T115" i="14"/>
  <c r="S115" i="14"/>
  <c r="R115" i="14"/>
  <c r="Q115" i="14"/>
  <c r="P115" i="14"/>
  <c r="O115" i="14"/>
  <c r="N115" i="14"/>
  <c r="M115" i="14"/>
  <c r="L115" i="14"/>
  <c r="K115" i="14"/>
  <c r="I115" i="14"/>
  <c r="H115" i="14"/>
  <c r="G115" i="14"/>
  <c r="F115" i="14"/>
  <c r="E115" i="14"/>
  <c r="D115" i="14"/>
  <c r="C115" i="14"/>
  <c r="Y114" i="14"/>
  <c r="X114" i="14"/>
  <c r="W114" i="14"/>
  <c r="V114" i="14"/>
  <c r="U114" i="14"/>
  <c r="T114" i="14"/>
  <c r="S114" i="14"/>
  <c r="R114" i="14"/>
  <c r="Q114" i="14"/>
  <c r="P114" i="14"/>
  <c r="O114" i="14"/>
  <c r="N114" i="14"/>
  <c r="M114" i="14"/>
  <c r="L114" i="14"/>
  <c r="K114" i="14"/>
  <c r="I114" i="14"/>
  <c r="H114" i="14"/>
  <c r="G114" i="14"/>
  <c r="F114" i="14"/>
  <c r="E114" i="14"/>
  <c r="D114" i="14"/>
  <c r="C114" i="14"/>
  <c r="Y113" i="14"/>
  <c r="X113" i="14"/>
  <c r="W113" i="14"/>
  <c r="V113" i="14"/>
  <c r="U113" i="14"/>
  <c r="T113" i="14"/>
  <c r="S113" i="14"/>
  <c r="R113" i="14"/>
  <c r="Q113" i="14"/>
  <c r="P113" i="14"/>
  <c r="O113" i="14"/>
  <c r="N113" i="14"/>
  <c r="M113" i="14"/>
  <c r="L113" i="14"/>
  <c r="K113" i="14"/>
  <c r="I113" i="14"/>
  <c r="H113" i="14"/>
  <c r="G113" i="14"/>
  <c r="F113" i="14"/>
  <c r="E113" i="14"/>
  <c r="D113" i="14"/>
  <c r="C113" i="14"/>
  <c r="Y112" i="14"/>
  <c r="X112" i="14"/>
  <c r="W112" i="14"/>
  <c r="V112" i="14"/>
  <c r="U112" i="14"/>
  <c r="T112" i="14"/>
  <c r="S112" i="14"/>
  <c r="R112" i="14"/>
  <c r="Q112" i="14"/>
  <c r="P112" i="14"/>
  <c r="O112" i="14"/>
  <c r="N112" i="14"/>
  <c r="M112" i="14"/>
  <c r="L112" i="14"/>
  <c r="K112" i="14"/>
  <c r="I112" i="14"/>
  <c r="H112" i="14"/>
  <c r="G112" i="14"/>
  <c r="F112" i="14"/>
  <c r="E112" i="14"/>
  <c r="D112" i="14"/>
  <c r="C112" i="14"/>
  <c r="Y111" i="14"/>
  <c r="X111" i="14"/>
  <c r="W111" i="14"/>
  <c r="V111" i="14"/>
  <c r="U111" i="14"/>
  <c r="T111" i="14"/>
  <c r="S111" i="14"/>
  <c r="R111" i="14"/>
  <c r="Q111" i="14"/>
  <c r="P111" i="14"/>
  <c r="O111" i="14"/>
  <c r="N111" i="14"/>
  <c r="M111" i="14"/>
  <c r="L111" i="14"/>
  <c r="K111" i="14"/>
  <c r="I111" i="14"/>
  <c r="H111" i="14"/>
  <c r="G111" i="14"/>
  <c r="F111" i="14"/>
  <c r="E111" i="14"/>
  <c r="D111" i="14"/>
  <c r="C111" i="14"/>
  <c r="Y110" i="14"/>
  <c r="X110" i="14"/>
  <c r="W110" i="14"/>
  <c r="V110" i="14"/>
  <c r="U110" i="14"/>
  <c r="T110" i="14"/>
  <c r="S110" i="14"/>
  <c r="R110" i="14"/>
  <c r="Q110" i="14"/>
  <c r="P110" i="14"/>
  <c r="O110" i="14"/>
  <c r="N110" i="14"/>
  <c r="M110" i="14"/>
  <c r="L110" i="14"/>
  <c r="K110" i="14"/>
  <c r="I110" i="14"/>
  <c r="H110" i="14"/>
  <c r="G110" i="14"/>
  <c r="F110" i="14"/>
  <c r="E110" i="14"/>
  <c r="D110" i="14"/>
  <c r="C110" i="14"/>
  <c r="Y109" i="14"/>
  <c r="X109" i="14"/>
  <c r="W109" i="14"/>
  <c r="V109" i="14"/>
  <c r="U109" i="14"/>
  <c r="T109" i="14"/>
  <c r="S109" i="14"/>
  <c r="R109" i="14"/>
  <c r="Q109" i="14"/>
  <c r="P109" i="14"/>
  <c r="O109" i="14"/>
  <c r="N109" i="14"/>
  <c r="M109" i="14"/>
  <c r="L109" i="14"/>
  <c r="K109" i="14"/>
  <c r="I109" i="14"/>
  <c r="H109" i="14"/>
  <c r="G109" i="14"/>
  <c r="F109" i="14"/>
  <c r="E109" i="14"/>
  <c r="D109" i="14"/>
  <c r="C109" i="14"/>
  <c r="Y108" i="14"/>
  <c r="X108" i="14"/>
  <c r="W108" i="14"/>
  <c r="V108" i="14"/>
  <c r="U108" i="14"/>
  <c r="T108" i="14"/>
  <c r="S108" i="14"/>
  <c r="R108" i="14"/>
  <c r="Q108" i="14"/>
  <c r="P108" i="14"/>
  <c r="O108" i="14"/>
  <c r="N108" i="14"/>
  <c r="M108" i="14"/>
  <c r="L108" i="14"/>
  <c r="K108" i="14"/>
  <c r="I108" i="14"/>
  <c r="H108" i="14"/>
  <c r="G108" i="14"/>
  <c r="F108" i="14"/>
  <c r="E108" i="14"/>
  <c r="D108" i="14"/>
  <c r="C108" i="14"/>
  <c r="Y107" i="14"/>
  <c r="X107" i="14"/>
  <c r="W107" i="14"/>
  <c r="V107" i="14"/>
  <c r="U107" i="14"/>
  <c r="T107" i="14"/>
  <c r="S107" i="14"/>
  <c r="R107" i="14"/>
  <c r="Q107" i="14"/>
  <c r="P107" i="14"/>
  <c r="O107" i="14"/>
  <c r="N107" i="14"/>
  <c r="M107" i="14"/>
  <c r="L107" i="14"/>
  <c r="K107" i="14"/>
  <c r="I107" i="14"/>
  <c r="H107" i="14"/>
  <c r="G107" i="14"/>
  <c r="F107" i="14"/>
  <c r="E107" i="14"/>
  <c r="D107" i="14"/>
  <c r="C107" i="14"/>
  <c r="Y106" i="14"/>
  <c r="X106" i="14"/>
  <c r="W106" i="14"/>
  <c r="V106" i="14"/>
  <c r="U106" i="14"/>
  <c r="T106" i="14"/>
  <c r="S106" i="14"/>
  <c r="R106" i="14"/>
  <c r="Q106" i="14"/>
  <c r="P106" i="14"/>
  <c r="O106" i="14"/>
  <c r="N106" i="14"/>
  <c r="M106" i="14"/>
  <c r="L106" i="14"/>
  <c r="K106" i="14"/>
  <c r="I106" i="14"/>
  <c r="H106" i="14"/>
  <c r="G106" i="14"/>
  <c r="F106" i="14"/>
  <c r="E106" i="14"/>
  <c r="D106" i="14"/>
  <c r="C106" i="14"/>
  <c r="Y105" i="14"/>
  <c r="X105" i="14"/>
  <c r="W105" i="14"/>
  <c r="V105" i="14"/>
  <c r="U105" i="14"/>
  <c r="T105" i="14"/>
  <c r="S105" i="14"/>
  <c r="R105" i="14"/>
  <c r="Q105" i="14"/>
  <c r="P105" i="14"/>
  <c r="O105" i="14"/>
  <c r="N105" i="14"/>
  <c r="M105" i="14"/>
  <c r="L105" i="14"/>
  <c r="K105" i="14"/>
  <c r="I105" i="14"/>
  <c r="H105" i="14"/>
  <c r="G105" i="14"/>
  <c r="F105" i="14"/>
  <c r="E105" i="14"/>
  <c r="D105" i="14"/>
  <c r="C105" i="14"/>
  <c r="Y104" i="14"/>
  <c r="X104" i="14"/>
  <c r="W104" i="14"/>
  <c r="V104" i="14"/>
  <c r="U104" i="14"/>
  <c r="T104" i="14"/>
  <c r="S104" i="14"/>
  <c r="R104" i="14"/>
  <c r="Q104" i="14"/>
  <c r="P104" i="14"/>
  <c r="O104" i="14"/>
  <c r="N104" i="14"/>
  <c r="M104" i="14"/>
  <c r="L104" i="14"/>
  <c r="K104" i="14"/>
  <c r="I104" i="14"/>
  <c r="H104" i="14"/>
  <c r="G104" i="14"/>
  <c r="F104" i="14"/>
  <c r="E104" i="14"/>
  <c r="D104" i="14"/>
  <c r="C104" i="14"/>
  <c r="Y103" i="14"/>
  <c r="X103" i="14"/>
  <c r="W103" i="14"/>
  <c r="V103" i="14"/>
  <c r="U103" i="14"/>
  <c r="T103" i="14"/>
  <c r="S103" i="14"/>
  <c r="R103" i="14"/>
  <c r="Q103" i="14"/>
  <c r="P103" i="14"/>
  <c r="O103" i="14"/>
  <c r="N103" i="14"/>
  <c r="M103" i="14"/>
  <c r="L103" i="14"/>
  <c r="K103" i="14"/>
  <c r="I103" i="14"/>
  <c r="H103" i="14"/>
  <c r="G103" i="14"/>
  <c r="F103" i="14"/>
  <c r="E103" i="14"/>
  <c r="D103" i="14"/>
  <c r="C103" i="14"/>
  <c r="Y102" i="14"/>
  <c r="X102" i="14"/>
  <c r="W102" i="14"/>
  <c r="V102" i="14"/>
  <c r="U102" i="14"/>
  <c r="T102" i="14"/>
  <c r="S102" i="14"/>
  <c r="R102" i="14"/>
  <c r="Q102" i="14"/>
  <c r="P102" i="14"/>
  <c r="O102" i="14"/>
  <c r="N102" i="14"/>
  <c r="M102" i="14"/>
  <c r="L102" i="14"/>
  <c r="K102" i="14"/>
  <c r="I102" i="14"/>
  <c r="H102" i="14"/>
  <c r="G102" i="14"/>
  <c r="F102" i="14"/>
  <c r="E102" i="14"/>
  <c r="D102" i="14"/>
  <c r="C102" i="14"/>
  <c r="Y101" i="14"/>
  <c r="X101" i="14"/>
  <c r="W101" i="14"/>
  <c r="V101" i="14"/>
  <c r="U101" i="14"/>
  <c r="T101" i="14"/>
  <c r="S101" i="14"/>
  <c r="R101" i="14"/>
  <c r="Q101" i="14"/>
  <c r="P101" i="14"/>
  <c r="O101" i="14"/>
  <c r="N101" i="14"/>
  <c r="M101" i="14"/>
  <c r="L101" i="14"/>
  <c r="K101" i="14"/>
  <c r="I101" i="14"/>
  <c r="H101" i="14"/>
  <c r="G101" i="14"/>
  <c r="F101" i="14"/>
  <c r="E101" i="14"/>
  <c r="D101" i="14"/>
  <c r="C101" i="14"/>
  <c r="Y100" i="14"/>
  <c r="X100" i="14"/>
  <c r="W100" i="14"/>
  <c r="V100" i="14"/>
  <c r="U100" i="14"/>
  <c r="T100" i="14"/>
  <c r="S100" i="14"/>
  <c r="R100" i="14"/>
  <c r="Q100" i="14"/>
  <c r="P100" i="14"/>
  <c r="O100" i="14"/>
  <c r="N100" i="14"/>
  <c r="M100" i="14"/>
  <c r="L100" i="14"/>
  <c r="K100" i="14"/>
  <c r="I100" i="14"/>
  <c r="H100" i="14"/>
  <c r="G100" i="14"/>
  <c r="F100" i="14"/>
  <c r="E100" i="14"/>
  <c r="D100" i="14"/>
  <c r="C100" i="14"/>
  <c r="Y99" i="14"/>
  <c r="X99" i="14"/>
  <c r="W99" i="14"/>
  <c r="V99" i="14"/>
  <c r="U99" i="14"/>
  <c r="T99" i="14"/>
  <c r="S99" i="14"/>
  <c r="R99" i="14"/>
  <c r="Q99" i="14"/>
  <c r="P99" i="14"/>
  <c r="O99" i="14"/>
  <c r="N99" i="14"/>
  <c r="M99" i="14"/>
  <c r="L99" i="14"/>
  <c r="K99" i="14"/>
  <c r="I99" i="14"/>
  <c r="H99" i="14"/>
  <c r="G99" i="14"/>
  <c r="F99" i="14"/>
  <c r="E99" i="14"/>
  <c r="D99" i="14"/>
  <c r="C99" i="14"/>
  <c r="Y98" i="14"/>
  <c r="X98" i="14"/>
  <c r="W98" i="14"/>
  <c r="V98" i="14"/>
  <c r="U98" i="14"/>
  <c r="T98" i="14"/>
  <c r="S98" i="14"/>
  <c r="R98" i="14"/>
  <c r="Q98" i="14"/>
  <c r="P98" i="14"/>
  <c r="O98" i="14"/>
  <c r="N98" i="14"/>
  <c r="M98" i="14"/>
  <c r="L98" i="14"/>
  <c r="K98" i="14"/>
  <c r="I98" i="14"/>
  <c r="H98" i="14"/>
  <c r="G98" i="14"/>
  <c r="F98" i="14"/>
  <c r="E98" i="14"/>
  <c r="D98" i="14"/>
  <c r="C98" i="14"/>
  <c r="Y97" i="14"/>
  <c r="X97" i="14"/>
  <c r="W97" i="14"/>
  <c r="V97" i="14"/>
  <c r="U97" i="14"/>
  <c r="T97" i="14"/>
  <c r="S97" i="14"/>
  <c r="R97" i="14"/>
  <c r="Q97" i="14"/>
  <c r="P97" i="14"/>
  <c r="O97" i="14"/>
  <c r="N97" i="14"/>
  <c r="M97" i="14"/>
  <c r="L97" i="14"/>
  <c r="K97" i="14"/>
  <c r="I97" i="14"/>
  <c r="H97" i="14"/>
  <c r="G97" i="14"/>
  <c r="F97" i="14"/>
  <c r="E97" i="14"/>
  <c r="D97" i="14"/>
  <c r="C97" i="14"/>
  <c r="Y96" i="14"/>
  <c r="X96" i="14"/>
  <c r="W96" i="14"/>
  <c r="V96" i="14"/>
  <c r="U96" i="14"/>
  <c r="T96" i="14"/>
  <c r="S96" i="14"/>
  <c r="R96" i="14"/>
  <c r="Q96" i="14"/>
  <c r="P96" i="14"/>
  <c r="O96" i="14"/>
  <c r="N96" i="14"/>
  <c r="M96" i="14"/>
  <c r="L96" i="14"/>
  <c r="K96" i="14"/>
  <c r="I96" i="14"/>
  <c r="H96" i="14"/>
  <c r="G96" i="14"/>
  <c r="F96" i="14"/>
  <c r="E96" i="14"/>
  <c r="D96" i="14"/>
  <c r="C96" i="14"/>
  <c r="Y95" i="14"/>
  <c r="X95" i="14"/>
  <c r="W95" i="14"/>
  <c r="V95" i="14"/>
  <c r="U95" i="14"/>
  <c r="T95" i="14"/>
  <c r="S95" i="14"/>
  <c r="R95" i="14"/>
  <c r="Q95" i="14"/>
  <c r="P95" i="14"/>
  <c r="O95" i="14"/>
  <c r="N95" i="14"/>
  <c r="M95" i="14"/>
  <c r="L95" i="14"/>
  <c r="K95" i="14"/>
  <c r="I95" i="14"/>
  <c r="H95" i="14"/>
  <c r="G95" i="14"/>
  <c r="F95" i="14"/>
  <c r="E95" i="14"/>
  <c r="D95" i="14"/>
  <c r="C95" i="14"/>
  <c r="Y94" i="14"/>
  <c r="X94" i="14"/>
  <c r="W94" i="14"/>
  <c r="V94" i="14"/>
  <c r="U94" i="14"/>
  <c r="T94" i="14"/>
  <c r="S94" i="14"/>
  <c r="R94" i="14"/>
  <c r="Q94" i="14"/>
  <c r="P94" i="14"/>
  <c r="O94" i="14"/>
  <c r="N94" i="14"/>
  <c r="M94" i="14"/>
  <c r="L94" i="14"/>
  <c r="K94" i="14"/>
  <c r="I94" i="14"/>
  <c r="H94" i="14"/>
  <c r="G94" i="14"/>
  <c r="F94" i="14"/>
  <c r="E94" i="14"/>
  <c r="D94" i="14"/>
  <c r="C94" i="14"/>
  <c r="Y93" i="14"/>
  <c r="X93" i="14"/>
  <c r="W93" i="14"/>
  <c r="V93" i="14"/>
  <c r="U93" i="14"/>
  <c r="T93" i="14"/>
  <c r="S93" i="14"/>
  <c r="R93" i="14"/>
  <c r="Q93" i="14"/>
  <c r="P93" i="14"/>
  <c r="O93" i="14"/>
  <c r="N93" i="14"/>
  <c r="M93" i="14"/>
  <c r="L93" i="14"/>
  <c r="K93" i="14"/>
  <c r="I93" i="14"/>
  <c r="H93" i="14"/>
  <c r="G93" i="14"/>
  <c r="F93" i="14"/>
  <c r="E93" i="14"/>
  <c r="D93" i="14"/>
  <c r="C93" i="14"/>
  <c r="Y92" i="14"/>
  <c r="X92" i="14"/>
  <c r="W92" i="14"/>
  <c r="V92" i="14"/>
  <c r="U92" i="14"/>
  <c r="T92" i="14"/>
  <c r="S92" i="14"/>
  <c r="R92" i="14"/>
  <c r="Q92" i="14"/>
  <c r="P92" i="14"/>
  <c r="O92" i="14"/>
  <c r="N92" i="14"/>
  <c r="M92" i="14"/>
  <c r="L92" i="14"/>
  <c r="K92" i="14"/>
  <c r="I92" i="14"/>
  <c r="H92" i="14"/>
  <c r="G92" i="14"/>
  <c r="F92" i="14"/>
  <c r="E92" i="14"/>
  <c r="D92" i="14"/>
  <c r="C92" i="14"/>
  <c r="Y91" i="14"/>
  <c r="X91" i="14"/>
  <c r="W91" i="14"/>
  <c r="V91" i="14"/>
  <c r="U91" i="14"/>
  <c r="T91" i="14"/>
  <c r="S91" i="14"/>
  <c r="R91" i="14"/>
  <c r="Q91" i="14"/>
  <c r="P91" i="14"/>
  <c r="O91" i="14"/>
  <c r="N91" i="14"/>
  <c r="M91" i="14"/>
  <c r="L91" i="14"/>
  <c r="K91" i="14"/>
  <c r="I91" i="14"/>
  <c r="H91" i="14"/>
  <c r="G91" i="14"/>
  <c r="F91" i="14"/>
  <c r="E91" i="14"/>
  <c r="D91" i="14"/>
  <c r="C91" i="14"/>
  <c r="Y90" i="14"/>
  <c r="X90" i="14"/>
  <c r="W90" i="14"/>
  <c r="V90" i="14"/>
  <c r="U90" i="14"/>
  <c r="T90" i="14"/>
  <c r="S90" i="14"/>
  <c r="R90" i="14"/>
  <c r="Q90" i="14"/>
  <c r="P90" i="14"/>
  <c r="O90" i="14"/>
  <c r="N90" i="14"/>
  <c r="M90" i="14"/>
  <c r="L90" i="14"/>
  <c r="K90" i="14"/>
  <c r="I90" i="14"/>
  <c r="H90" i="14"/>
  <c r="G90" i="14"/>
  <c r="F90" i="14"/>
  <c r="E90" i="14"/>
  <c r="D90" i="14"/>
  <c r="C90" i="14"/>
  <c r="Y89" i="14"/>
  <c r="X89" i="14"/>
  <c r="W89" i="14"/>
  <c r="V89" i="14"/>
  <c r="U89" i="14"/>
  <c r="T89" i="14"/>
  <c r="S89" i="14"/>
  <c r="R89" i="14"/>
  <c r="Q89" i="14"/>
  <c r="P89" i="14"/>
  <c r="O89" i="14"/>
  <c r="N89" i="14"/>
  <c r="M89" i="14"/>
  <c r="L89" i="14"/>
  <c r="K89" i="14"/>
  <c r="I89" i="14"/>
  <c r="H89" i="14"/>
  <c r="G89" i="14"/>
  <c r="F89" i="14"/>
  <c r="E89" i="14"/>
  <c r="D89" i="14"/>
  <c r="C89" i="14"/>
  <c r="Y88" i="14"/>
  <c r="X88" i="14"/>
  <c r="W88" i="14"/>
  <c r="V88" i="14"/>
  <c r="U88" i="14"/>
  <c r="T88" i="14"/>
  <c r="S88" i="14"/>
  <c r="R88" i="14"/>
  <c r="Q88" i="14"/>
  <c r="P88" i="14"/>
  <c r="O88" i="14"/>
  <c r="N88" i="14"/>
  <c r="M88" i="14"/>
  <c r="L88" i="14"/>
  <c r="K88" i="14"/>
  <c r="I88" i="14"/>
  <c r="H88" i="14"/>
  <c r="G88" i="14"/>
  <c r="F88" i="14"/>
  <c r="E88" i="14"/>
  <c r="D88" i="14"/>
  <c r="C88" i="14"/>
  <c r="Y87" i="14"/>
  <c r="X87" i="14"/>
  <c r="W87" i="14"/>
  <c r="V87" i="14"/>
  <c r="U87" i="14"/>
  <c r="T87" i="14"/>
  <c r="S87" i="14"/>
  <c r="R87" i="14"/>
  <c r="Q87" i="14"/>
  <c r="P87" i="14"/>
  <c r="O87" i="14"/>
  <c r="N87" i="14"/>
  <c r="M87" i="14"/>
  <c r="L87" i="14"/>
  <c r="K87" i="14"/>
  <c r="I87" i="14"/>
  <c r="H87" i="14"/>
  <c r="G87" i="14"/>
  <c r="F87" i="14"/>
  <c r="E87" i="14"/>
  <c r="D87" i="14"/>
  <c r="C87" i="14"/>
  <c r="Y86" i="14"/>
  <c r="X86" i="14"/>
  <c r="W86" i="14"/>
  <c r="V86" i="14"/>
  <c r="U86" i="14"/>
  <c r="T86" i="14"/>
  <c r="S86" i="14"/>
  <c r="R86" i="14"/>
  <c r="Q86" i="14"/>
  <c r="P86" i="14"/>
  <c r="O86" i="14"/>
  <c r="N86" i="14"/>
  <c r="M86" i="14"/>
  <c r="L86" i="14"/>
  <c r="K86" i="14"/>
  <c r="I86" i="14"/>
  <c r="H86" i="14"/>
  <c r="G86" i="14"/>
  <c r="F86" i="14"/>
  <c r="E86" i="14"/>
  <c r="D86" i="14"/>
  <c r="C86" i="14"/>
  <c r="Y85" i="14"/>
  <c r="X85" i="14"/>
  <c r="W85" i="14"/>
  <c r="V85" i="14"/>
  <c r="U85" i="14"/>
  <c r="T85" i="14"/>
  <c r="S85" i="14"/>
  <c r="R85" i="14"/>
  <c r="Q85" i="14"/>
  <c r="P85" i="14"/>
  <c r="O85" i="14"/>
  <c r="N85" i="14"/>
  <c r="M85" i="14"/>
  <c r="L85" i="14"/>
  <c r="K85" i="14"/>
  <c r="I85" i="14"/>
  <c r="H85" i="14"/>
  <c r="G85" i="14"/>
  <c r="F85" i="14"/>
  <c r="E85" i="14"/>
  <c r="D85" i="14"/>
  <c r="C85" i="14"/>
  <c r="Y84" i="14"/>
  <c r="X84" i="14"/>
  <c r="W84" i="14"/>
  <c r="V84" i="14"/>
  <c r="U84" i="14"/>
  <c r="T84" i="14"/>
  <c r="S84" i="14"/>
  <c r="R84" i="14"/>
  <c r="Q84" i="14"/>
  <c r="P84" i="14"/>
  <c r="O84" i="14"/>
  <c r="N84" i="14"/>
  <c r="M84" i="14"/>
  <c r="L84" i="14"/>
  <c r="K84" i="14"/>
  <c r="I84" i="14"/>
  <c r="H84" i="14"/>
  <c r="G84" i="14"/>
  <c r="F84" i="14"/>
  <c r="E84" i="14"/>
  <c r="D84" i="14"/>
  <c r="C84" i="14"/>
  <c r="Y83" i="14"/>
  <c r="X83" i="14"/>
  <c r="W83" i="14"/>
  <c r="V83" i="14"/>
  <c r="U83" i="14"/>
  <c r="T83" i="14"/>
  <c r="S83" i="14"/>
  <c r="R83" i="14"/>
  <c r="Q83" i="14"/>
  <c r="P83" i="14"/>
  <c r="O83" i="14"/>
  <c r="N83" i="14"/>
  <c r="M83" i="14"/>
  <c r="L83" i="14"/>
  <c r="K83" i="14"/>
  <c r="I83" i="14"/>
  <c r="H83" i="14"/>
  <c r="G83" i="14"/>
  <c r="F83" i="14"/>
  <c r="E83" i="14"/>
  <c r="D83" i="14"/>
  <c r="C83" i="14"/>
  <c r="Y82" i="14"/>
  <c r="X82" i="14"/>
  <c r="W82" i="14"/>
  <c r="V82" i="14"/>
  <c r="U82" i="14"/>
  <c r="T82" i="14"/>
  <c r="S82" i="14"/>
  <c r="R82" i="14"/>
  <c r="Q82" i="14"/>
  <c r="P82" i="14"/>
  <c r="O82" i="14"/>
  <c r="N82" i="14"/>
  <c r="M82" i="14"/>
  <c r="L82" i="14"/>
  <c r="K82" i="14"/>
  <c r="I82" i="14"/>
  <c r="H82" i="14"/>
  <c r="G82" i="14"/>
  <c r="F82" i="14"/>
  <c r="E82" i="14"/>
  <c r="D82" i="14"/>
  <c r="C82" i="14"/>
  <c r="Y81" i="14"/>
  <c r="X81" i="14"/>
  <c r="W81" i="14"/>
  <c r="V81" i="14"/>
  <c r="U81" i="14"/>
  <c r="T81" i="14"/>
  <c r="S81" i="14"/>
  <c r="R81" i="14"/>
  <c r="Q81" i="14"/>
  <c r="P81" i="14"/>
  <c r="O81" i="14"/>
  <c r="N81" i="14"/>
  <c r="M81" i="14"/>
  <c r="L81" i="14"/>
  <c r="K81" i="14"/>
  <c r="I81" i="14"/>
  <c r="H81" i="14"/>
  <c r="G81" i="14"/>
  <c r="F81" i="14"/>
  <c r="E81" i="14"/>
  <c r="D81" i="14"/>
  <c r="C81" i="14"/>
  <c r="Y80" i="14"/>
  <c r="X80" i="14"/>
  <c r="W80" i="14"/>
  <c r="V80" i="14"/>
  <c r="U80" i="14"/>
  <c r="T80" i="14"/>
  <c r="S80" i="14"/>
  <c r="R80" i="14"/>
  <c r="Q80" i="14"/>
  <c r="P80" i="14"/>
  <c r="O80" i="14"/>
  <c r="N80" i="14"/>
  <c r="M80" i="14"/>
  <c r="L80" i="14"/>
  <c r="K80" i="14"/>
  <c r="I80" i="14"/>
  <c r="H80" i="14"/>
  <c r="G80" i="14"/>
  <c r="F80" i="14"/>
  <c r="E80" i="14"/>
  <c r="D80" i="14"/>
  <c r="C80" i="14"/>
  <c r="Y79" i="14"/>
  <c r="X79" i="14"/>
  <c r="W79" i="14"/>
  <c r="V79" i="14"/>
  <c r="U79" i="14"/>
  <c r="T79" i="14"/>
  <c r="S79" i="14"/>
  <c r="R79" i="14"/>
  <c r="Q79" i="14"/>
  <c r="P79" i="14"/>
  <c r="O79" i="14"/>
  <c r="N79" i="14"/>
  <c r="M79" i="14"/>
  <c r="L79" i="14"/>
  <c r="K79" i="14"/>
  <c r="I79" i="14"/>
  <c r="H79" i="14"/>
  <c r="G79" i="14"/>
  <c r="F79" i="14"/>
  <c r="E79" i="14"/>
  <c r="D79" i="14"/>
  <c r="C79" i="14"/>
  <c r="Y78" i="14"/>
  <c r="X78" i="14"/>
  <c r="W78" i="14"/>
  <c r="V78" i="14"/>
  <c r="U78" i="14"/>
  <c r="T78" i="14"/>
  <c r="S78" i="14"/>
  <c r="R78" i="14"/>
  <c r="Q78" i="14"/>
  <c r="P78" i="14"/>
  <c r="O78" i="14"/>
  <c r="N78" i="14"/>
  <c r="M78" i="14"/>
  <c r="L78" i="14"/>
  <c r="K78" i="14"/>
  <c r="I78" i="14"/>
  <c r="H78" i="14"/>
  <c r="G78" i="14"/>
  <c r="F78" i="14"/>
  <c r="E78" i="14"/>
  <c r="D78" i="14"/>
  <c r="C78" i="14"/>
  <c r="Y77" i="14"/>
  <c r="X77" i="14"/>
  <c r="W77" i="14"/>
  <c r="V77" i="14"/>
  <c r="U77" i="14"/>
  <c r="T77" i="14"/>
  <c r="S77" i="14"/>
  <c r="R77" i="14"/>
  <c r="Q77" i="14"/>
  <c r="P77" i="14"/>
  <c r="O77" i="14"/>
  <c r="N77" i="14"/>
  <c r="M77" i="14"/>
  <c r="L77" i="14"/>
  <c r="K77" i="14"/>
  <c r="I77" i="14"/>
  <c r="H77" i="14"/>
  <c r="G77" i="14"/>
  <c r="F77" i="14"/>
  <c r="E77" i="14"/>
  <c r="D77" i="14"/>
  <c r="C77" i="14"/>
  <c r="Y76" i="14"/>
  <c r="X76" i="14"/>
  <c r="W76" i="14"/>
  <c r="V76" i="14"/>
  <c r="U76" i="14"/>
  <c r="T76" i="14"/>
  <c r="S76" i="14"/>
  <c r="R76" i="14"/>
  <c r="Q76" i="14"/>
  <c r="P76" i="14"/>
  <c r="O76" i="14"/>
  <c r="N76" i="14"/>
  <c r="M76" i="14"/>
  <c r="L76" i="14"/>
  <c r="K76" i="14"/>
  <c r="I76" i="14"/>
  <c r="H76" i="14"/>
  <c r="G76" i="14"/>
  <c r="F76" i="14"/>
  <c r="E76" i="14"/>
  <c r="D76" i="14"/>
  <c r="C76" i="14"/>
  <c r="Y75" i="14"/>
  <c r="X75" i="14"/>
  <c r="W75" i="14"/>
  <c r="V75" i="14"/>
  <c r="U75" i="14"/>
  <c r="T75" i="14"/>
  <c r="S75" i="14"/>
  <c r="R75" i="14"/>
  <c r="Q75" i="14"/>
  <c r="P75" i="14"/>
  <c r="O75" i="14"/>
  <c r="N75" i="14"/>
  <c r="M75" i="14"/>
  <c r="L75" i="14"/>
  <c r="K75" i="14"/>
  <c r="I75" i="14"/>
  <c r="H75" i="14"/>
  <c r="G75" i="14"/>
  <c r="F75" i="14"/>
  <c r="E75" i="14"/>
  <c r="D75" i="14"/>
  <c r="C75" i="14"/>
  <c r="Y74" i="14"/>
  <c r="X74" i="14"/>
  <c r="W74" i="14"/>
  <c r="V74" i="14"/>
  <c r="U74" i="14"/>
  <c r="T74" i="14"/>
  <c r="S74" i="14"/>
  <c r="R74" i="14"/>
  <c r="Q74" i="14"/>
  <c r="P74" i="14"/>
  <c r="O74" i="14"/>
  <c r="N74" i="14"/>
  <c r="M74" i="14"/>
  <c r="L74" i="14"/>
  <c r="K74" i="14"/>
  <c r="I74" i="14"/>
  <c r="H74" i="14"/>
  <c r="G74" i="14"/>
  <c r="F74" i="14"/>
  <c r="E74" i="14"/>
  <c r="D74" i="14"/>
  <c r="C74" i="14"/>
  <c r="Y73" i="14"/>
  <c r="X73" i="14"/>
  <c r="W73" i="14"/>
  <c r="V73" i="14"/>
  <c r="U73" i="14"/>
  <c r="T73" i="14"/>
  <c r="S73" i="14"/>
  <c r="R73" i="14"/>
  <c r="Q73" i="14"/>
  <c r="P73" i="14"/>
  <c r="O73" i="14"/>
  <c r="N73" i="14"/>
  <c r="M73" i="14"/>
  <c r="L73" i="14"/>
  <c r="K73" i="14"/>
  <c r="I73" i="14"/>
  <c r="H73" i="14"/>
  <c r="G73" i="14"/>
  <c r="F73" i="14"/>
  <c r="E73" i="14"/>
  <c r="D73" i="14"/>
  <c r="C73" i="14"/>
  <c r="Y72" i="14"/>
  <c r="X72" i="14"/>
  <c r="W72" i="14"/>
  <c r="V72" i="14"/>
  <c r="U72" i="14"/>
  <c r="T72" i="14"/>
  <c r="S72" i="14"/>
  <c r="R72" i="14"/>
  <c r="Q72" i="14"/>
  <c r="P72" i="14"/>
  <c r="O72" i="14"/>
  <c r="N72" i="14"/>
  <c r="M72" i="14"/>
  <c r="L72" i="14"/>
  <c r="K72" i="14"/>
  <c r="I72" i="14"/>
  <c r="H72" i="14"/>
  <c r="G72" i="14"/>
  <c r="F72" i="14"/>
  <c r="E72" i="14"/>
  <c r="D72" i="14"/>
  <c r="C72" i="14"/>
  <c r="Y71" i="14"/>
  <c r="X71" i="14"/>
  <c r="W71" i="14"/>
  <c r="V71" i="14"/>
  <c r="U71" i="14"/>
  <c r="T71" i="14"/>
  <c r="S71" i="14"/>
  <c r="R71" i="14"/>
  <c r="Q71" i="14"/>
  <c r="P71" i="14"/>
  <c r="O71" i="14"/>
  <c r="N71" i="14"/>
  <c r="M71" i="14"/>
  <c r="L71" i="14"/>
  <c r="K71" i="14"/>
  <c r="I71" i="14"/>
  <c r="H71" i="14"/>
  <c r="G71" i="14"/>
  <c r="F71" i="14"/>
  <c r="E71" i="14"/>
  <c r="D71" i="14"/>
  <c r="C71" i="14"/>
  <c r="Y70" i="14"/>
  <c r="X70" i="14"/>
  <c r="W70" i="14"/>
  <c r="V70" i="14"/>
  <c r="U70" i="14"/>
  <c r="T70" i="14"/>
  <c r="S70" i="14"/>
  <c r="R70" i="14"/>
  <c r="Q70" i="14"/>
  <c r="P70" i="14"/>
  <c r="O70" i="14"/>
  <c r="N70" i="14"/>
  <c r="M70" i="14"/>
  <c r="L70" i="14"/>
  <c r="K70" i="14"/>
  <c r="I70" i="14"/>
  <c r="H70" i="14"/>
  <c r="G70" i="14"/>
  <c r="F70" i="14"/>
  <c r="E70" i="14"/>
  <c r="D70" i="14"/>
  <c r="C70" i="14"/>
  <c r="Y69" i="14"/>
  <c r="X69" i="14"/>
  <c r="W69" i="14"/>
  <c r="V69" i="14"/>
  <c r="U69" i="14"/>
  <c r="T69" i="14"/>
  <c r="S69" i="14"/>
  <c r="R69" i="14"/>
  <c r="Q69" i="14"/>
  <c r="P69" i="14"/>
  <c r="O69" i="14"/>
  <c r="N69" i="14"/>
  <c r="M69" i="14"/>
  <c r="L69" i="14"/>
  <c r="K69" i="14"/>
  <c r="I69" i="14"/>
  <c r="H69" i="14"/>
  <c r="G69" i="14"/>
  <c r="F69" i="14"/>
  <c r="E69" i="14"/>
  <c r="D69" i="14"/>
  <c r="C69" i="14"/>
  <c r="Y68" i="14"/>
  <c r="X68" i="14"/>
  <c r="W68" i="14"/>
  <c r="V68" i="14"/>
  <c r="U68" i="14"/>
  <c r="T68" i="14"/>
  <c r="S68" i="14"/>
  <c r="R68" i="14"/>
  <c r="Q68" i="14"/>
  <c r="P68" i="14"/>
  <c r="O68" i="14"/>
  <c r="N68" i="14"/>
  <c r="M68" i="14"/>
  <c r="L68" i="14"/>
  <c r="K68" i="14"/>
  <c r="I68" i="14"/>
  <c r="H68" i="14"/>
  <c r="G68" i="14"/>
  <c r="F68" i="14"/>
  <c r="E68" i="14"/>
  <c r="D68" i="14"/>
  <c r="C68" i="14"/>
  <c r="Y67" i="14"/>
  <c r="X67" i="14"/>
  <c r="W67" i="14"/>
  <c r="V67" i="14"/>
  <c r="U67" i="14"/>
  <c r="T67" i="14"/>
  <c r="S67" i="14"/>
  <c r="R67" i="14"/>
  <c r="Q67" i="14"/>
  <c r="P67" i="14"/>
  <c r="O67" i="14"/>
  <c r="N67" i="14"/>
  <c r="M67" i="14"/>
  <c r="L67" i="14"/>
  <c r="K67" i="14"/>
  <c r="I67" i="14"/>
  <c r="H67" i="14"/>
  <c r="G67" i="14"/>
  <c r="F67" i="14"/>
  <c r="E67" i="14"/>
  <c r="D67" i="14"/>
  <c r="C67" i="14"/>
  <c r="Y66" i="14"/>
  <c r="X66" i="14"/>
  <c r="W66" i="14"/>
  <c r="V66" i="14"/>
  <c r="U66" i="14"/>
  <c r="T66" i="14"/>
  <c r="S66" i="14"/>
  <c r="R66" i="14"/>
  <c r="Q66" i="14"/>
  <c r="P66" i="14"/>
  <c r="O66" i="14"/>
  <c r="N66" i="14"/>
  <c r="M66" i="14"/>
  <c r="L66" i="14"/>
  <c r="K66" i="14"/>
  <c r="I66" i="14"/>
  <c r="H66" i="14"/>
  <c r="G66" i="14"/>
  <c r="F66" i="14"/>
  <c r="E66" i="14"/>
  <c r="D66" i="14"/>
  <c r="C66" i="14"/>
  <c r="Y65" i="14"/>
  <c r="X65" i="14"/>
  <c r="W65" i="14"/>
  <c r="V65" i="14"/>
  <c r="U65" i="14"/>
  <c r="T65" i="14"/>
  <c r="S65" i="14"/>
  <c r="R65" i="14"/>
  <c r="Q65" i="14"/>
  <c r="P65" i="14"/>
  <c r="O65" i="14"/>
  <c r="N65" i="14"/>
  <c r="M65" i="14"/>
  <c r="L65" i="14"/>
  <c r="K65" i="14"/>
  <c r="I65" i="14"/>
  <c r="H65" i="14"/>
  <c r="G65" i="14"/>
  <c r="F65" i="14"/>
  <c r="E65" i="14"/>
  <c r="D65" i="14"/>
  <c r="C65" i="14"/>
  <c r="Y64" i="14"/>
  <c r="X64" i="14"/>
  <c r="W64" i="14"/>
  <c r="V64" i="14"/>
  <c r="U64" i="14"/>
  <c r="T64" i="14"/>
  <c r="S64" i="14"/>
  <c r="R64" i="14"/>
  <c r="Q64" i="14"/>
  <c r="P64" i="14"/>
  <c r="O64" i="14"/>
  <c r="N64" i="14"/>
  <c r="M64" i="14"/>
  <c r="L64" i="14"/>
  <c r="K64" i="14"/>
  <c r="I64" i="14"/>
  <c r="H64" i="14"/>
  <c r="G64" i="14"/>
  <c r="F64" i="14"/>
  <c r="E64" i="14"/>
  <c r="D64" i="14"/>
  <c r="C64" i="14"/>
  <c r="Y63" i="14"/>
  <c r="X63" i="14"/>
  <c r="W63" i="14"/>
  <c r="V63" i="14"/>
  <c r="U63" i="14"/>
  <c r="T63" i="14"/>
  <c r="S63" i="14"/>
  <c r="R63" i="14"/>
  <c r="Q63" i="14"/>
  <c r="P63" i="14"/>
  <c r="O63" i="14"/>
  <c r="N63" i="14"/>
  <c r="M63" i="14"/>
  <c r="L63" i="14"/>
  <c r="K63" i="14"/>
  <c r="I63" i="14"/>
  <c r="H63" i="14"/>
  <c r="G63" i="14"/>
  <c r="F63" i="14"/>
  <c r="E63" i="14"/>
  <c r="D63" i="14"/>
  <c r="C63" i="14"/>
  <c r="Y62" i="14"/>
  <c r="X62" i="14"/>
  <c r="W62" i="14"/>
  <c r="V62" i="14"/>
  <c r="U62" i="14"/>
  <c r="T62" i="14"/>
  <c r="S62" i="14"/>
  <c r="R62" i="14"/>
  <c r="Q62" i="14"/>
  <c r="P62" i="14"/>
  <c r="O62" i="14"/>
  <c r="N62" i="14"/>
  <c r="M62" i="14"/>
  <c r="L62" i="14"/>
  <c r="K62" i="14"/>
  <c r="I62" i="14"/>
  <c r="H62" i="14"/>
  <c r="G62" i="14"/>
  <c r="F62" i="14"/>
  <c r="E62" i="14"/>
  <c r="D62" i="14"/>
  <c r="C62" i="14"/>
  <c r="Y61" i="14"/>
  <c r="X61" i="14"/>
  <c r="W61" i="14"/>
  <c r="V61" i="14"/>
  <c r="U61" i="14"/>
  <c r="T61" i="14"/>
  <c r="S61" i="14"/>
  <c r="R61" i="14"/>
  <c r="Q61" i="14"/>
  <c r="P61" i="14"/>
  <c r="O61" i="14"/>
  <c r="N61" i="14"/>
  <c r="M61" i="14"/>
  <c r="L61" i="14"/>
  <c r="K61" i="14"/>
  <c r="I61" i="14"/>
  <c r="H61" i="14"/>
  <c r="G61" i="14"/>
  <c r="F61" i="14"/>
  <c r="E61" i="14"/>
  <c r="D61" i="14"/>
  <c r="C61" i="14"/>
  <c r="Y60" i="14"/>
  <c r="X60" i="14"/>
  <c r="W60" i="14"/>
  <c r="V60" i="14"/>
  <c r="U60" i="14"/>
  <c r="T60" i="14"/>
  <c r="S60" i="14"/>
  <c r="R60" i="14"/>
  <c r="Q60" i="14"/>
  <c r="P60" i="14"/>
  <c r="O60" i="14"/>
  <c r="N60" i="14"/>
  <c r="M60" i="14"/>
  <c r="L60" i="14"/>
  <c r="K60" i="14"/>
  <c r="I60" i="14"/>
  <c r="H60" i="14"/>
  <c r="G60" i="14"/>
  <c r="F60" i="14"/>
  <c r="E60" i="14"/>
  <c r="D60" i="14"/>
  <c r="C60" i="14"/>
  <c r="Y59" i="14"/>
  <c r="X59" i="14"/>
  <c r="W59" i="14"/>
  <c r="V59" i="14"/>
  <c r="U59" i="14"/>
  <c r="T59" i="14"/>
  <c r="S59" i="14"/>
  <c r="R59" i="14"/>
  <c r="Q59" i="14"/>
  <c r="P59" i="14"/>
  <c r="O59" i="14"/>
  <c r="N59" i="14"/>
  <c r="M59" i="14"/>
  <c r="L59" i="14"/>
  <c r="K59" i="14"/>
  <c r="I59" i="14"/>
  <c r="H59" i="14"/>
  <c r="G59" i="14"/>
  <c r="F59" i="14"/>
  <c r="E59" i="14"/>
  <c r="D59" i="14"/>
  <c r="C59" i="14"/>
  <c r="Y58" i="14"/>
  <c r="X58" i="14"/>
  <c r="W58" i="14"/>
  <c r="V58" i="14"/>
  <c r="U58" i="14"/>
  <c r="T58" i="14"/>
  <c r="S58" i="14"/>
  <c r="R58" i="14"/>
  <c r="Q58" i="14"/>
  <c r="P58" i="14"/>
  <c r="O58" i="14"/>
  <c r="N58" i="14"/>
  <c r="M58" i="14"/>
  <c r="L58" i="14"/>
  <c r="K58" i="14"/>
  <c r="I58" i="14"/>
  <c r="H58" i="14"/>
  <c r="G58" i="14"/>
  <c r="F58" i="14"/>
  <c r="E58" i="14"/>
  <c r="D58" i="14"/>
  <c r="C58" i="14"/>
  <c r="Y57" i="14"/>
  <c r="X57" i="14"/>
  <c r="W57" i="14"/>
  <c r="V57" i="14"/>
  <c r="U57" i="14"/>
  <c r="T57" i="14"/>
  <c r="S57" i="14"/>
  <c r="R57" i="14"/>
  <c r="Q57" i="14"/>
  <c r="P57" i="14"/>
  <c r="O57" i="14"/>
  <c r="N57" i="14"/>
  <c r="M57" i="14"/>
  <c r="L57" i="14"/>
  <c r="K57" i="14"/>
  <c r="I57" i="14"/>
  <c r="H57" i="14"/>
  <c r="G57" i="14"/>
  <c r="F57" i="14"/>
  <c r="E57" i="14"/>
  <c r="D57" i="14"/>
  <c r="C57" i="14"/>
  <c r="Y56" i="14"/>
  <c r="X56" i="14"/>
  <c r="W56" i="14"/>
  <c r="V56" i="14"/>
  <c r="U56" i="14"/>
  <c r="T56" i="14"/>
  <c r="S56" i="14"/>
  <c r="R56" i="14"/>
  <c r="Q56" i="14"/>
  <c r="P56" i="14"/>
  <c r="O56" i="14"/>
  <c r="N56" i="14"/>
  <c r="M56" i="14"/>
  <c r="L56" i="14"/>
  <c r="K56" i="14"/>
  <c r="I56" i="14"/>
  <c r="H56" i="14"/>
  <c r="G56" i="14"/>
  <c r="F56" i="14"/>
  <c r="E56" i="14"/>
  <c r="D56" i="14"/>
  <c r="C56" i="14"/>
  <c r="Y55" i="14"/>
  <c r="X55" i="14"/>
  <c r="W55" i="14"/>
  <c r="V55" i="14"/>
  <c r="U55" i="14"/>
  <c r="T55" i="14"/>
  <c r="S55" i="14"/>
  <c r="R55" i="14"/>
  <c r="Q55" i="14"/>
  <c r="P55" i="14"/>
  <c r="O55" i="14"/>
  <c r="N55" i="14"/>
  <c r="M55" i="14"/>
  <c r="L55" i="14"/>
  <c r="K55" i="14"/>
  <c r="I55" i="14"/>
  <c r="H55" i="14"/>
  <c r="G55" i="14"/>
  <c r="F55" i="14"/>
  <c r="E55" i="14"/>
  <c r="D55" i="14"/>
  <c r="C55" i="14"/>
  <c r="Y54" i="14"/>
  <c r="X54" i="14"/>
  <c r="W54" i="14"/>
  <c r="V54" i="14"/>
  <c r="U54" i="14"/>
  <c r="T54" i="14"/>
  <c r="S54" i="14"/>
  <c r="R54" i="14"/>
  <c r="Q54" i="14"/>
  <c r="P54" i="14"/>
  <c r="O54" i="14"/>
  <c r="N54" i="14"/>
  <c r="M54" i="14"/>
  <c r="L54" i="14"/>
  <c r="K54" i="14"/>
  <c r="I54" i="14"/>
  <c r="H54" i="14"/>
  <c r="G54" i="14"/>
  <c r="F54" i="14"/>
  <c r="E54" i="14"/>
  <c r="D54" i="14"/>
  <c r="C54" i="14"/>
  <c r="Y53" i="14"/>
  <c r="X53" i="14"/>
  <c r="W53" i="14"/>
  <c r="V53" i="14"/>
  <c r="U53" i="14"/>
  <c r="T53" i="14"/>
  <c r="S53" i="14"/>
  <c r="R53" i="14"/>
  <c r="Q53" i="14"/>
  <c r="P53" i="14"/>
  <c r="O53" i="14"/>
  <c r="N53" i="14"/>
  <c r="M53" i="14"/>
  <c r="L53" i="14"/>
  <c r="K53" i="14"/>
  <c r="I53" i="14"/>
  <c r="H53" i="14"/>
  <c r="G53" i="14"/>
  <c r="F53" i="14"/>
  <c r="E53" i="14"/>
  <c r="D53" i="14"/>
  <c r="C53" i="14"/>
  <c r="Y52" i="14"/>
  <c r="X52" i="14"/>
  <c r="W52" i="14"/>
  <c r="V52" i="14"/>
  <c r="U52" i="14"/>
  <c r="T52" i="14"/>
  <c r="S52" i="14"/>
  <c r="R52" i="14"/>
  <c r="Q52" i="14"/>
  <c r="P52" i="14"/>
  <c r="O52" i="14"/>
  <c r="N52" i="14"/>
  <c r="M52" i="14"/>
  <c r="L52" i="14"/>
  <c r="K52" i="14"/>
  <c r="I52" i="14"/>
  <c r="H52" i="14"/>
  <c r="G52" i="14"/>
  <c r="F52" i="14"/>
  <c r="E52" i="14"/>
  <c r="D52" i="14"/>
  <c r="C52" i="14"/>
  <c r="Y51" i="14"/>
  <c r="X51" i="14"/>
  <c r="W51" i="14"/>
  <c r="V51" i="14"/>
  <c r="U51" i="14"/>
  <c r="T51" i="14"/>
  <c r="S51" i="14"/>
  <c r="R51" i="14"/>
  <c r="Q51" i="14"/>
  <c r="P51" i="14"/>
  <c r="O51" i="14"/>
  <c r="N51" i="14"/>
  <c r="M51" i="14"/>
  <c r="L51" i="14"/>
  <c r="K51" i="14"/>
  <c r="I51" i="14"/>
  <c r="H51" i="14"/>
  <c r="G51" i="14"/>
  <c r="F51" i="14"/>
  <c r="E51" i="14"/>
  <c r="D51" i="14"/>
  <c r="C51" i="14"/>
  <c r="Y50" i="14"/>
  <c r="X50" i="14"/>
  <c r="W50" i="14"/>
  <c r="V50" i="14"/>
  <c r="U50" i="14"/>
  <c r="T50" i="14"/>
  <c r="S50" i="14"/>
  <c r="R50" i="14"/>
  <c r="Q50" i="14"/>
  <c r="P50" i="14"/>
  <c r="O50" i="14"/>
  <c r="N50" i="14"/>
  <c r="M50" i="14"/>
  <c r="L50" i="14"/>
  <c r="K50" i="14"/>
  <c r="I50" i="14"/>
  <c r="H50" i="14"/>
  <c r="G50" i="14"/>
  <c r="F50" i="14"/>
  <c r="E50" i="14"/>
  <c r="D50" i="14"/>
  <c r="C50" i="14"/>
  <c r="Y49" i="14"/>
  <c r="X49" i="14"/>
  <c r="W49" i="14"/>
  <c r="V49" i="14"/>
  <c r="U49" i="14"/>
  <c r="T49" i="14"/>
  <c r="S49" i="14"/>
  <c r="R49" i="14"/>
  <c r="Q49" i="14"/>
  <c r="P49" i="14"/>
  <c r="O49" i="14"/>
  <c r="N49" i="14"/>
  <c r="M49" i="14"/>
  <c r="L49" i="14"/>
  <c r="K49" i="14"/>
  <c r="I49" i="14"/>
  <c r="H49" i="14"/>
  <c r="G49" i="14"/>
  <c r="F49" i="14"/>
  <c r="E49" i="14"/>
  <c r="D49" i="14"/>
  <c r="C49" i="14"/>
  <c r="Y48" i="14"/>
  <c r="X48" i="14"/>
  <c r="W48" i="14"/>
  <c r="V48" i="14"/>
  <c r="U48" i="14"/>
  <c r="T48" i="14"/>
  <c r="S48" i="14"/>
  <c r="R48" i="14"/>
  <c r="Q48" i="14"/>
  <c r="P48" i="14"/>
  <c r="O48" i="14"/>
  <c r="N48" i="14"/>
  <c r="M48" i="14"/>
  <c r="L48" i="14"/>
  <c r="K48" i="14"/>
  <c r="I48" i="14"/>
  <c r="H48" i="14"/>
  <c r="G48" i="14"/>
  <c r="F48" i="14"/>
  <c r="E48" i="14"/>
  <c r="D48" i="14"/>
  <c r="C48" i="14"/>
  <c r="Y47" i="14"/>
  <c r="X47" i="14"/>
  <c r="W47" i="14"/>
  <c r="V47" i="14"/>
  <c r="U47" i="14"/>
  <c r="T47" i="14"/>
  <c r="S47" i="14"/>
  <c r="R47" i="14"/>
  <c r="Q47" i="14"/>
  <c r="P47" i="14"/>
  <c r="O47" i="14"/>
  <c r="N47" i="14"/>
  <c r="M47" i="14"/>
  <c r="L47" i="14"/>
  <c r="K47" i="14"/>
  <c r="I47" i="14"/>
  <c r="H47" i="14"/>
  <c r="G47" i="14"/>
  <c r="F47" i="14"/>
  <c r="E47" i="14"/>
  <c r="D47" i="14"/>
  <c r="C47" i="14"/>
  <c r="Y46" i="14"/>
  <c r="X46" i="14"/>
  <c r="W46" i="14"/>
  <c r="V46" i="14"/>
  <c r="U46" i="14"/>
  <c r="T46" i="14"/>
  <c r="S46" i="14"/>
  <c r="R46" i="14"/>
  <c r="Q46" i="14"/>
  <c r="P46" i="14"/>
  <c r="O46" i="14"/>
  <c r="N46" i="14"/>
  <c r="M46" i="14"/>
  <c r="L46" i="14"/>
  <c r="K46" i="14"/>
  <c r="I46" i="14"/>
  <c r="H46" i="14"/>
  <c r="G46" i="14"/>
  <c r="F46" i="14"/>
  <c r="E46" i="14"/>
  <c r="D46" i="14"/>
  <c r="C46" i="14"/>
  <c r="Y45" i="14"/>
  <c r="X45" i="14"/>
  <c r="W45" i="14"/>
  <c r="V45" i="14"/>
  <c r="U45" i="14"/>
  <c r="T45" i="14"/>
  <c r="S45" i="14"/>
  <c r="R45" i="14"/>
  <c r="Q45" i="14"/>
  <c r="P45" i="14"/>
  <c r="O45" i="14"/>
  <c r="N45" i="14"/>
  <c r="M45" i="14"/>
  <c r="L45" i="14"/>
  <c r="K45" i="14"/>
  <c r="I45" i="14"/>
  <c r="H45" i="14"/>
  <c r="G45" i="14"/>
  <c r="F45" i="14"/>
  <c r="E45" i="14"/>
  <c r="D45" i="14"/>
  <c r="C45" i="14"/>
  <c r="Y44" i="14"/>
  <c r="X44" i="14"/>
  <c r="W44" i="14"/>
  <c r="V44" i="14"/>
  <c r="U44" i="14"/>
  <c r="T44" i="14"/>
  <c r="S44" i="14"/>
  <c r="R44" i="14"/>
  <c r="Q44" i="14"/>
  <c r="P44" i="14"/>
  <c r="O44" i="14"/>
  <c r="N44" i="14"/>
  <c r="M44" i="14"/>
  <c r="L44" i="14"/>
  <c r="K44" i="14"/>
  <c r="I44" i="14"/>
  <c r="H44" i="14"/>
  <c r="G44" i="14"/>
  <c r="F44" i="14"/>
  <c r="E44" i="14"/>
  <c r="D44" i="14"/>
  <c r="C44" i="14"/>
  <c r="Y43" i="14"/>
  <c r="X43" i="14"/>
  <c r="W43" i="14"/>
  <c r="V43" i="14"/>
  <c r="U43" i="14"/>
  <c r="T43" i="14"/>
  <c r="S43" i="14"/>
  <c r="R43" i="14"/>
  <c r="Q43" i="14"/>
  <c r="P43" i="14"/>
  <c r="O43" i="14"/>
  <c r="N43" i="14"/>
  <c r="M43" i="14"/>
  <c r="L43" i="14"/>
  <c r="K43" i="14"/>
  <c r="I43" i="14"/>
  <c r="H43" i="14"/>
  <c r="G43" i="14"/>
  <c r="F43" i="14"/>
  <c r="E43" i="14"/>
  <c r="D43" i="14"/>
  <c r="C43" i="14"/>
  <c r="Y42" i="14"/>
  <c r="X42" i="14"/>
  <c r="W42" i="14"/>
  <c r="V42" i="14"/>
  <c r="U42" i="14"/>
  <c r="T42" i="14"/>
  <c r="S42" i="14"/>
  <c r="R42" i="14"/>
  <c r="Q42" i="14"/>
  <c r="P42" i="14"/>
  <c r="O42" i="14"/>
  <c r="N42" i="14"/>
  <c r="M42" i="14"/>
  <c r="L42" i="14"/>
  <c r="K42" i="14"/>
  <c r="I42" i="14"/>
  <c r="H42" i="14"/>
  <c r="G42" i="14"/>
  <c r="F42" i="14"/>
  <c r="E42" i="14"/>
  <c r="D42" i="14"/>
  <c r="C42" i="14"/>
  <c r="Y41" i="14"/>
  <c r="X41" i="14"/>
  <c r="W41" i="14"/>
  <c r="V41" i="14"/>
  <c r="U41" i="14"/>
  <c r="T41" i="14"/>
  <c r="S41" i="14"/>
  <c r="R41" i="14"/>
  <c r="Q41" i="14"/>
  <c r="P41" i="14"/>
  <c r="O41" i="14"/>
  <c r="N41" i="14"/>
  <c r="M41" i="14"/>
  <c r="L41" i="14"/>
  <c r="K41" i="14"/>
  <c r="I41" i="14"/>
  <c r="H41" i="14"/>
  <c r="G41" i="14"/>
  <c r="F41" i="14"/>
  <c r="E41" i="14"/>
  <c r="D41" i="14"/>
  <c r="C41" i="14"/>
  <c r="Y40" i="14"/>
  <c r="X40" i="14"/>
  <c r="W40" i="14"/>
  <c r="V40" i="14"/>
  <c r="U40" i="14"/>
  <c r="T40" i="14"/>
  <c r="S40" i="14"/>
  <c r="R40" i="14"/>
  <c r="Q40" i="14"/>
  <c r="P40" i="14"/>
  <c r="O40" i="14"/>
  <c r="N40" i="14"/>
  <c r="M40" i="14"/>
  <c r="L40" i="14"/>
  <c r="K40" i="14"/>
  <c r="I40" i="14"/>
  <c r="H40" i="14"/>
  <c r="G40" i="14"/>
  <c r="F40" i="14"/>
  <c r="E40" i="14"/>
  <c r="D40" i="14"/>
  <c r="C40" i="14"/>
  <c r="Y39" i="14"/>
  <c r="X39" i="14"/>
  <c r="W39" i="14"/>
  <c r="V39" i="14"/>
  <c r="U39" i="14"/>
  <c r="T39" i="14"/>
  <c r="S39" i="14"/>
  <c r="R39" i="14"/>
  <c r="Q39" i="14"/>
  <c r="P39" i="14"/>
  <c r="O39" i="14"/>
  <c r="N39" i="14"/>
  <c r="M39" i="14"/>
  <c r="L39" i="14"/>
  <c r="K39" i="14"/>
  <c r="I39" i="14"/>
  <c r="H39" i="14"/>
  <c r="G39" i="14"/>
  <c r="F39" i="14"/>
  <c r="E39" i="14"/>
  <c r="D39" i="14"/>
  <c r="C39" i="14"/>
  <c r="Y38" i="14"/>
  <c r="X38" i="14"/>
  <c r="W38" i="14"/>
  <c r="V38" i="14"/>
  <c r="U38" i="14"/>
  <c r="T38" i="14"/>
  <c r="S38" i="14"/>
  <c r="R38" i="14"/>
  <c r="Q38" i="14"/>
  <c r="P38" i="14"/>
  <c r="O38" i="14"/>
  <c r="N38" i="14"/>
  <c r="M38" i="14"/>
  <c r="L38" i="14"/>
  <c r="K38" i="14"/>
  <c r="I38" i="14"/>
  <c r="H38" i="14"/>
  <c r="G38" i="14"/>
  <c r="F38" i="14"/>
  <c r="E38" i="14"/>
  <c r="D38" i="14"/>
  <c r="C38" i="14"/>
  <c r="Y37" i="14"/>
  <c r="X37" i="14"/>
  <c r="W37" i="14"/>
  <c r="V37" i="14"/>
  <c r="U37" i="14"/>
  <c r="T37" i="14"/>
  <c r="S37" i="14"/>
  <c r="R37" i="14"/>
  <c r="Q37" i="14"/>
  <c r="P37" i="14"/>
  <c r="O37" i="14"/>
  <c r="N37" i="14"/>
  <c r="M37" i="14"/>
  <c r="L37" i="14"/>
  <c r="K37" i="14"/>
  <c r="I37" i="14"/>
  <c r="H37" i="14"/>
  <c r="G37" i="14"/>
  <c r="F37" i="14"/>
  <c r="E37" i="14"/>
  <c r="D37" i="14"/>
  <c r="C37" i="14"/>
  <c r="Y36" i="14"/>
  <c r="X36" i="14"/>
  <c r="W36" i="14"/>
  <c r="V36" i="14"/>
  <c r="U36" i="14"/>
  <c r="T36" i="14"/>
  <c r="S36" i="14"/>
  <c r="R36" i="14"/>
  <c r="Q36" i="14"/>
  <c r="P36" i="14"/>
  <c r="O36" i="14"/>
  <c r="N36" i="14"/>
  <c r="M36" i="14"/>
  <c r="L36" i="14"/>
  <c r="K36" i="14"/>
  <c r="I36" i="14"/>
  <c r="H36" i="14"/>
  <c r="G36" i="14"/>
  <c r="F36" i="14"/>
  <c r="E36" i="14"/>
  <c r="D36" i="14"/>
  <c r="C36" i="14"/>
  <c r="Y35" i="14"/>
  <c r="X35" i="14"/>
  <c r="W35" i="14"/>
  <c r="V35" i="14"/>
  <c r="U35" i="14"/>
  <c r="T35" i="14"/>
  <c r="S35" i="14"/>
  <c r="R35" i="14"/>
  <c r="Q35" i="14"/>
  <c r="P35" i="14"/>
  <c r="O35" i="14"/>
  <c r="N35" i="14"/>
  <c r="M35" i="14"/>
  <c r="L35" i="14"/>
  <c r="K35" i="14"/>
  <c r="I35" i="14"/>
  <c r="H35" i="14"/>
  <c r="G35" i="14"/>
  <c r="F35" i="14"/>
  <c r="E35" i="14"/>
  <c r="D35" i="14"/>
  <c r="C35" i="14"/>
  <c r="Y34" i="14"/>
  <c r="X34" i="14"/>
  <c r="W34" i="14"/>
  <c r="V34" i="14"/>
  <c r="U34" i="14"/>
  <c r="T34" i="14"/>
  <c r="S34" i="14"/>
  <c r="R34" i="14"/>
  <c r="Q34" i="14"/>
  <c r="P34" i="14"/>
  <c r="O34" i="14"/>
  <c r="N34" i="14"/>
  <c r="M34" i="14"/>
  <c r="L34" i="14"/>
  <c r="K34" i="14"/>
  <c r="I34" i="14"/>
  <c r="H34" i="14"/>
  <c r="G34" i="14"/>
  <c r="F34" i="14"/>
  <c r="E34" i="14"/>
  <c r="D34" i="14"/>
  <c r="C34" i="14"/>
  <c r="Y33" i="14"/>
  <c r="X33" i="14"/>
  <c r="W33" i="14"/>
  <c r="V33" i="14"/>
  <c r="U33" i="14"/>
  <c r="T33" i="14"/>
  <c r="S33" i="14"/>
  <c r="R33" i="14"/>
  <c r="Q33" i="14"/>
  <c r="P33" i="14"/>
  <c r="O33" i="14"/>
  <c r="N33" i="14"/>
  <c r="M33" i="14"/>
  <c r="L33" i="14"/>
  <c r="K33" i="14"/>
  <c r="I33" i="14"/>
  <c r="H33" i="14"/>
  <c r="G33" i="14"/>
  <c r="F33" i="14"/>
  <c r="E33" i="14"/>
  <c r="D33" i="14"/>
  <c r="C33" i="14"/>
  <c r="Y32" i="14"/>
  <c r="X32" i="14"/>
  <c r="W32" i="14"/>
  <c r="V32" i="14"/>
  <c r="U32" i="14"/>
  <c r="T32" i="14"/>
  <c r="S32" i="14"/>
  <c r="R32" i="14"/>
  <c r="Q32" i="14"/>
  <c r="P32" i="14"/>
  <c r="O32" i="14"/>
  <c r="N32" i="14"/>
  <c r="M32" i="14"/>
  <c r="L32" i="14"/>
  <c r="K32" i="14"/>
  <c r="I32" i="14"/>
  <c r="H32" i="14"/>
  <c r="G32" i="14"/>
  <c r="F32" i="14"/>
  <c r="E32" i="14"/>
  <c r="D32" i="14"/>
  <c r="C32" i="14"/>
  <c r="Y31" i="14"/>
  <c r="X31" i="14"/>
  <c r="W31" i="14"/>
  <c r="V31" i="14"/>
  <c r="U31" i="14"/>
  <c r="T31" i="14"/>
  <c r="S31" i="14"/>
  <c r="R31" i="14"/>
  <c r="Q31" i="14"/>
  <c r="P31" i="14"/>
  <c r="O31" i="14"/>
  <c r="N31" i="14"/>
  <c r="M31" i="14"/>
  <c r="L31" i="14"/>
  <c r="K31" i="14"/>
  <c r="I31" i="14"/>
  <c r="H31" i="14"/>
  <c r="G31" i="14"/>
  <c r="F31" i="14"/>
  <c r="E31" i="14"/>
  <c r="D31" i="14"/>
  <c r="C31" i="14"/>
  <c r="Y30" i="14"/>
  <c r="X30" i="14"/>
  <c r="W30" i="14"/>
  <c r="V30" i="14"/>
  <c r="U30" i="14"/>
  <c r="T30" i="14"/>
  <c r="S30" i="14"/>
  <c r="R30" i="14"/>
  <c r="Q30" i="14"/>
  <c r="P30" i="14"/>
  <c r="O30" i="14"/>
  <c r="N30" i="14"/>
  <c r="M30" i="14"/>
  <c r="L30" i="14"/>
  <c r="K30" i="14"/>
  <c r="I30" i="14"/>
  <c r="H30" i="14"/>
  <c r="G30" i="14"/>
  <c r="F30" i="14"/>
  <c r="E30" i="14"/>
  <c r="D30" i="14"/>
  <c r="C30" i="14"/>
  <c r="Y29" i="14"/>
  <c r="X29" i="14"/>
  <c r="W29" i="14"/>
  <c r="V29" i="14"/>
  <c r="U29" i="14"/>
  <c r="T29" i="14"/>
  <c r="S29" i="14"/>
  <c r="R29" i="14"/>
  <c r="Q29" i="14"/>
  <c r="P29" i="14"/>
  <c r="O29" i="14"/>
  <c r="N29" i="14"/>
  <c r="M29" i="14"/>
  <c r="L29" i="14"/>
  <c r="K29" i="14"/>
  <c r="I29" i="14"/>
  <c r="H29" i="14"/>
  <c r="G29" i="14"/>
  <c r="F29" i="14"/>
  <c r="E29" i="14"/>
  <c r="D29" i="14"/>
  <c r="C29" i="14"/>
  <c r="Y28" i="14"/>
  <c r="X28" i="14"/>
  <c r="W28" i="14"/>
  <c r="V28" i="14"/>
  <c r="U28" i="14"/>
  <c r="T28" i="14"/>
  <c r="S28" i="14"/>
  <c r="R28" i="14"/>
  <c r="Q28" i="14"/>
  <c r="P28" i="14"/>
  <c r="O28" i="14"/>
  <c r="N28" i="14"/>
  <c r="M28" i="14"/>
  <c r="L28" i="14"/>
  <c r="K28" i="14"/>
  <c r="I28" i="14"/>
  <c r="H28" i="14"/>
  <c r="G28" i="14"/>
  <c r="F28" i="14"/>
  <c r="E28" i="14"/>
  <c r="D28" i="14"/>
  <c r="C28" i="14"/>
  <c r="Y27" i="14"/>
  <c r="X27" i="14"/>
  <c r="W27" i="14"/>
  <c r="V27" i="14"/>
  <c r="U27" i="14"/>
  <c r="T27" i="14"/>
  <c r="S27" i="14"/>
  <c r="R27" i="14"/>
  <c r="Q27" i="14"/>
  <c r="P27" i="14"/>
  <c r="O27" i="14"/>
  <c r="N27" i="14"/>
  <c r="M27" i="14"/>
  <c r="L27" i="14"/>
  <c r="K27" i="14"/>
  <c r="I27" i="14"/>
  <c r="H27" i="14"/>
  <c r="G27" i="14"/>
  <c r="F27" i="14"/>
  <c r="E27" i="14"/>
  <c r="D27" i="14"/>
  <c r="C27" i="14"/>
  <c r="Y26" i="14"/>
  <c r="X26" i="14"/>
  <c r="W26" i="14"/>
  <c r="V26" i="14"/>
  <c r="U26" i="14"/>
  <c r="T26" i="14"/>
  <c r="S26" i="14"/>
  <c r="R26" i="14"/>
  <c r="Q26" i="14"/>
  <c r="P26" i="14"/>
  <c r="O26" i="14"/>
  <c r="N26" i="14"/>
  <c r="M26" i="14"/>
  <c r="L26" i="14"/>
  <c r="K26" i="14"/>
  <c r="I26" i="14"/>
  <c r="H26" i="14"/>
  <c r="G26" i="14"/>
  <c r="F26" i="14"/>
  <c r="E26" i="14"/>
  <c r="D26" i="14"/>
  <c r="C26" i="14"/>
  <c r="Y25" i="14"/>
  <c r="X25" i="14"/>
  <c r="W25" i="14"/>
  <c r="V25" i="14"/>
  <c r="U25" i="14"/>
  <c r="T25" i="14"/>
  <c r="S25" i="14"/>
  <c r="R25" i="14"/>
  <c r="Q25" i="14"/>
  <c r="P25" i="14"/>
  <c r="O25" i="14"/>
  <c r="N25" i="14"/>
  <c r="M25" i="14"/>
  <c r="L25" i="14"/>
  <c r="K25" i="14"/>
  <c r="I25" i="14"/>
  <c r="H25" i="14"/>
  <c r="G25" i="14"/>
  <c r="F25" i="14"/>
  <c r="E25" i="14"/>
  <c r="D25" i="14"/>
  <c r="C25" i="14"/>
  <c r="Y24" i="14"/>
  <c r="X24" i="14"/>
  <c r="W24" i="14"/>
  <c r="V24" i="14"/>
  <c r="U24" i="14"/>
  <c r="T24" i="14"/>
  <c r="S24" i="14"/>
  <c r="R24" i="14"/>
  <c r="Q24" i="14"/>
  <c r="P24" i="14"/>
  <c r="O24" i="14"/>
  <c r="N24" i="14"/>
  <c r="M24" i="14"/>
  <c r="L24" i="14"/>
  <c r="K24" i="14"/>
  <c r="I24" i="14"/>
  <c r="H24" i="14"/>
  <c r="G24" i="14"/>
  <c r="F24" i="14"/>
  <c r="E24" i="14"/>
  <c r="D24" i="14"/>
  <c r="C24" i="14"/>
  <c r="Y23" i="14"/>
  <c r="X23" i="14"/>
  <c r="W23" i="14"/>
  <c r="V23" i="14"/>
  <c r="U23" i="14"/>
  <c r="T23" i="14"/>
  <c r="S23" i="14"/>
  <c r="R23" i="14"/>
  <c r="Q23" i="14"/>
  <c r="P23" i="14"/>
  <c r="O23" i="14"/>
  <c r="N23" i="14"/>
  <c r="M23" i="14"/>
  <c r="L23" i="14"/>
  <c r="K23" i="14"/>
  <c r="I23" i="14"/>
  <c r="H23" i="14"/>
  <c r="G23" i="14"/>
  <c r="F23" i="14"/>
  <c r="E23" i="14"/>
  <c r="D23" i="14"/>
  <c r="C23" i="14"/>
  <c r="Y22" i="14"/>
  <c r="X22" i="14"/>
  <c r="W22" i="14"/>
  <c r="V22" i="14"/>
  <c r="U22" i="14"/>
  <c r="T22" i="14"/>
  <c r="S22" i="14"/>
  <c r="R22" i="14"/>
  <c r="Q22" i="14"/>
  <c r="P22" i="14"/>
  <c r="O22" i="14"/>
  <c r="N22" i="14"/>
  <c r="M22" i="14"/>
  <c r="L22" i="14"/>
  <c r="K22" i="14"/>
  <c r="I22" i="14"/>
  <c r="H22" i="14"/>
  <c r="G22" i="14"/>
  <c r="F22" i="14"/>
  <c r="E22" i="14"/>
  <c r="D22" i="14"/>
  <c r="C22" i="14"/>
  <c r="Y21" i="14"/>
  <c r="X21" i="14"/>
  <c r="W21" i="14"/>
  <c r="V21" i="14"/>
  <c r="U21" i="14"/>
  <c r="T21" i="14"/>
  <c r="S21" i="14"/>
  <c r="R21" i="14"/>
  <c r="Q21" i="14"/>
  <c r="P21" i="14"/>
  <c r="O21" i="14"/>
  <c r="N21" i="14"/>
  <c r="M21" i="14"/>
  <c r="L21" i="14"/>
  <c r="K21" i="14"/>
  <c r="I21" i="14"/>
  <c r="H21" i="14"/>
  <c r="G21" i="14"/>
  <c r="F21" i="14"/>
  <c r="E21" i="14"/>
  <c r="D21" i="14"/>
  <c r="C21" i="14"/>
  <c r="Y20" i="14"/>
  <c r="X20" i="14"/>
  <c r="W20" i="14"/>
  <c r="V20" i="14"/>
  <c r="U20" i="14"/>
  <c r="T20" i="14"/>
  <c r="S20" i="14"/>
  <c r="R20" i="14"/>
  <c r="Q20" i="14"/>
  <c r="P20" i="14"/>
  <c r="O20" i="14"/>
  <c r="N20" i="14"/>
  <c r="M20" i="14"/>
  <c r="L20" i="14"/>
  <c r="K20" i="14"/>
  <c r="I20" i="14"/>
  <c r="H20" i="14"/>
  <c r="G20" i="14"/>
  <c r="F20" i="14"/>
  <c r="E20" i="14"/>
  <c r="D20" i="14"/>
  <c r="C20" i="14"/>
  <c r="Y19" i="14"/>
  <c r="X19" i="14"/>
  <c r="W19" i="14"/>
  <c r="V19" i="14"/>
  <c r="U19" i="14"/>
  <c r="T19" i="14"/>
  <c r="S19" i="14"/>
  <c r="R19" i="14"/>
  <c r="Q19" i="14"/>
  <c r="P19" i="14"/>
  <c r="O19" i="14"/>
  <c r="N19" i="14"/>
  <c r="M19" i="14"/>
  <c r="L19" i="14"/>
  <c r="K19" i="14"/>
  <c r="I19" i="14"/>
  <c r="H19" i="14"/>
  <c r="G19" i="14"/>
  <c r="F19" i="14"/>
  <c r="E19" i="14"/>
  <c r="D19" i="14"/>
  <c r="C19" i="14"/>
  <c r="Y18" i="14"/>
  <c r="X18" i="14"/>
  <c r="W18" i="14"/>
  <c r="V18" i="14"/>
  <c r="U18" i="14"/>
  <c r="T18" i="14"/>
  <c r="S18" i="14"/>
  <c r="R18" i="14"/>
  <c r="Q18" i="14"/>
  <c r="P18" i="14"/>
  <c r="O18" i="14"/>
  <c r="N18" i="14"/>
  <c r="M18" i="14"/>
  <c r="L18" i="14"/>
  <c r="K18" i="14"/>
  <c r="I18" i="14"/>
  <c r="H18" i="14"/>
  <c r="G18" i="14"/>
  <c r="F18" i="14"/>
  <c r="E18" i="14"/>
  <c r="D18" i="14"/>
  <c r="C18" i="14"/>
  <c r="Y17" i="14"/>
  <c r="X17" i="14"/>
  <c r="W17" i="14"/>
  <c r="V17" i="14"/>
  <c r="U17" i="14"/>
  <c r="T17" i="14"/>
  <c r="S17" i="14"/>
  <c r="R17" i="14"/>
  <c r="Q17" i="14"/>
  <c r="P17" i="14"/>
  <c r="O17" i="14"/>
  <c r="N17" i="14"/>
  <c r="M17" i="14"/>
  <c r="L17" i="14"/>
  <c r="K17" i="14"/>
  <c r="I17" i="14"/>
  <c r="H17" i="14"/>
  <c r="G17" i="14"/>
  <c r="F17" i="14"/>
  <c r="E17" i="14"/>
  <c r="D17" i="14"/>
  <c r="C17" i="14"/>
  <c r="Y16" i="14"/>
  <c r="X16" i="14"/>
  <c r="W16" i="14"/>
  <c r="V16" i="14"/>
  <c r="U16" i="14"/>
  <c r="T16" i="14"/>
  <c r="S16" i="14"/>
  <c r="R16" i="14"/>
  <c r="Q16" i="14"/>
  <c r="P16" i="14"/>
  <c r="O16" i="14"/>
  <c r="N16" i="14"/>
  <c r="M16" i="14"/>
  <c r="L16" i="14"/>
  <c r="K16" i="14"/>
  <c r="I16" i="14"/>
  <c r="H16" i="14"/>
  <c r="G16" i="14"/>
  <c r="F16" i="14"/>
  <c r="E16" i="14"/>
  <c r="D16" i="14"/>
  <c r="C16" i="14"/>
  <c r="D2" i="27" l="1"/>
  <c r="C507" i="10" l="1"/>
  <c r="E507" i="10" s="1"/>
  <c r="C506" i="10"/>
  <c r="E506" i="10" s="1"/>
  <c r="C505" i="10"/>
  <c r="E505" i="10" s="1"/>
  <c r="C504" i="10"/>
  <c r="E504" i="10" s="1"/>
  <c r="C503" i="10"/>
  <c r="E503" i="10" s="1"/>
  <c r="C502" i="10"/>
  <c r="E502" i="10" s="1"/>
  <c r="C501" i="10"/>
  <c r="E501" i="10" s="1"/>
  <c r="C500" i="10"/>
  <c r="E500" i="10" s="1"/>
  <c r="C499" i="10"/>
  <c r="E499" i="10" s="1"/>
  <c r="C498" i="10"/>
  <c r="E498" i="10" s="1"/>
  <c r="C497" i="10"/>
  <c r="E497" i="10" s="1"/>
  <c r="C496" i="10"/>
  <c r="E496" i="10" s="1"/>
  <c r="C495" i="10"/>
  <c r="E495" i="10" s="1"/>
  <c r="C494" i="10"/>
  <c r="E494" i="10" s="1"/>
  <c r="C493" i="10"/>
  <c r="E493" i="10" s="1"/>
  <c r="C492" i="10"/>
  <c r="E492" i="10" s="1"/>
  <c r="C491" i="10"/>
  <c r="E491" i="10" s="1"/>
  <c r="C490" i="10"/>
  <c r="E490" i="10" s="1"/>
  <c r="C489" i="10"/>
  <c r="E489" i="10" s="1"/>
  <c r="C488" i="10"/>
  <c r="E488" i="10" s="1"/>
  <c r="C487" i="10"/>
  <c r="E487" i="10" s="1"/>
  <c r="C486" i="10"/>
  <c r="E486" i="10" s="1"/>
  <c r="C485" i="10"/>
  <c r="E485" i="10" s="1"/>
  <c r="C484" i="10"/>
  <c r="E484" i="10" s="1"/>
  <c r="C483" i="10"/>
  <c r="E483" i="10" s="1"/>
  <c r="C482" i="10"/>
  <c r="E482" i="10" s="1"/>
  <c r="C481" i="10"/>
  <c r="E481" i="10" s="1"/>
  <c r="C480" i="10"/>
  <c r="E480" i="10" s="1"/>
  <c r="C479" i="10"/>
  <c r="E479" i="10" s="1"/>
  <c r="C478" i="10"/>
  <c r="E478" i="10" s="1"/>
  <c r="C477" i="10"/>
  <c r="E477" i="10" s="1"/>
  <c r="C476" i="10"/>
  <c r="E476" i="10" s="1"/>
  <c r="C475" i="10"/>
  <c r="E475" i="10" s="1"/>
  <c r="C474" i="10"/>
  <c r="E474" i="10" s="1"/>
  <c r="C473" i="10"/>
  <c r="E473" i="10" s="1"/>
  <c r="C472" i="10"/>
  <c r="E472" i="10" s="1"/>
  <c r="C471" i="10"/>
  <c r="E471" i="10" s="1"/>
  <c r="C470" i="10"/>
  <c r="E470" i="10" s="1"/>
  <c r="C469" i="10"/>
  <c r="E469" i="10" s="1"/>
  <c r="C468" i="10"/>
  <c r="E468" i="10" s="1"/>
  <c r="C467" i="10"/>
  <c r="E467" i="10" s="1"/>
  <c r="C466" i="10"/>
  <c r="E466" i="10" s="1"/>
  <c r="C465" i="10"/>
  <c r="E465" i="10" s="1"/>
  <c r="C464" i="10"/>
  <c r="E464" i="10" s="1"/>
  <c r="C463" i="10"/>
  <c r="E463" i="10" s="1"/>
  <c r="C462" i="10"/>
  <c r="E462" i="10" s="1"/>
  <c r="C461" i="10"/>
  <c r="E461" i="10" s="1"/>
  <c r="C460" i="10"/>
  <c r="E460" i="10" s="1"/>
  <c r="C459" i="10"/>
  <c r="E459" i="10" s="1"/>
  <c r="C458" i="10"/>
  <c r="E458" i="10" s="1"/>
  <c r="C457" i="10"/>
  <c r="E457" i="10" s="1"/>
  <c r="C456" i="10"/>
  <c r="E456" i="10" s="1"/>
  <c r="C455" i="10"/>
  <c r="E455" i="10" s="1"/>
  <c r="C454" i="10"/>
  <c r="E454" i="10" s="1"/>
  <c r="C453" i="10"/>
  <c r="E453" i="10" s="1"/>
  <c r="C452" i="10"/>
  <c r="E452" i="10" s="1"/>
  <c r="C451" i="10"/>
  <c r="E451" i="10" s="1"/>
  <c r="C450" i="10"/>
  <c r="E450" i="10" s="1"/>
  <c r="C449" i="10"/>
  <c r="E449" i="10" s="1"/>
  <c r="C448" i="10"/>
  <c r="E448" i="10" s="1"/>
  <c r="C447" i="10"/>
  <c r="E447" i="10" s="1"/>
  <c r="C446" i="10"/>
  <c r="E446" i="10" s="1"/>
  <c r="C445" i="10"/>
  <c r="E445" i="10" s="1"/>
  <c r="C444" i="10"/>
  <c r="E444" i="10" s="1"/>
  <c r="C443" i="10"/>
  <c r="E443" i="10" s="1"/>
  <c r="C442" i="10"/>
  <c r="E442" i="10" s="1"/>
  <c r="C441" i="10"/>
  <c r="E441" i="10" s="1"/>
  <c r="C440" i="10"/>
  <c r="E440" i="10" s="1"/>
  <c r="C439" i="10"/>
  <c r="E439" i="10" s="1"/>
  <c r="C438" i="10"/>
  <c r="E438" i="10" s="1"/>
  <c r="C437" i="10"/>
  <c r="E437" i="10" s="1"/>
  <c r="C436" i="10"/>
  <c r="E436" i="10" s="1"/>
  <c r="C435" i="10"/>
  <c r="E435" i="10" s="1"/>
  <c r="C434" i="10"/>
  <c r="E434" i="10" s="1"/>
  <c r="C433" i="10"/>
  <c r="E433" i="10" s="1"/>
  <c r="C432" i="10"/>
  <c r="E432" i="10" s="1"/>
  <c r="C431" i="10"/>
  <c r="E431" i="10" s="1"/>
  <c r="C430" i="10"/>
  <c r="E430" i="10" s="1"/>
  <c r="C429" i="10"/>
  <c r="E429" i="10" s="1"/>
  <c r="C428" i="10"/>
  <c r="E428" i="10" s="1"/>
  <c r="C427" i="10"/>
  <c r="E427" i="10" s="1"/>
  <c r="C426" i="10"/>
  <c r="E426" i="10" s="1"/>
  <c r="C425" i="10"/>
  <c r="E425" i="10" s="1"/>
  <c r="C424" i="10"/>
  <c r="E424" i="10" s="1"/>
  <c r="C423" i="10"/>
  <c r="E423" i="10" s="1"/>
  <c r="C422" i="10"/>
  <c r="E422" i="10" s="1"/>
  <c r="C421" i="10"/>
  <c r="E421" i="10" s="1"/>
  <c r="C420" i="10"/>
  <c r="E420" i="10" s="1"/>
  <c r="C419" i="10"/>
  <c r="E419" i="10" s="1"/>
  <c r="C418" i="10"/>
  <c r="E418" i="10" s="1"/>
  <c r="C417" i="10"/>
  <c r="E417" i="10" s="1"/>
  <c r="C416" i="10"/>
  <c r="E416" i="10" s="1"/>
  <c r="C415" i="10"/>
  <c r="E415" i="10" s="1"/>
  <c r="C414" i="10"/>
  <c r="E414" i="10" s="1"/>
  <c r="C413" i="10"/>
  <c r="E413" i="10" s="1"/>
  <c r="C412" i="10"/>
  <c r="E412" i="10" s="1"/>
  <c r="C411" i="10"/>
  <c r="E411" i="10" s="1"/>
  <c r="C410" i="10"/>
  <c r="E410" i="10" s="1"/>
  <c r="C409" i="10"/>
  <c r="E409" i="10" s="1"/>
  <c r="C408" i="10"/>
  <c r="E408" i="10" s="1"/>
  <c r="C407" i="10"/>
  <c r="E407" i="10" s="1"/>
  <c r="C406" i="10"/>
  <c r="E406" i="10" s="1"/>
  <c r="C405" i="10"/>
  <c r="E405" i="10" s="1"/>
  <c r="C404" i="10"/>
  <c r="E404" i="10" s="1"/>
  <c r="C403" i="10"/>
  <c r="E403" i="10" s="1"/>
  <c r="C402" i="10"/>
  <c r="E402" i="10" s="1"/>
  <c r="C401" i="10"/>
  <c r="E401" i="10" s="1"/>
  <c r="C400" i="10"/>
  <c r="E400" i="10" s="1"/>
  <c r="C399" i="10"/>
  <c r="E399" i="10" s="1"/>
  <c r="C398" i="10"/>
  <c r="E398" i="10" s="1"/>
  <c r="C397" i="10"/>
  <c r="E397" i="10" s="1"/>
  <c r="C396" i="10"/>
  <c r="E396" i="10" s="1"/>
  <c r="C395" i="10"/>
  <c r="E395" i="10" s="1"/>
  <c r="C394" i="10"/>
  <c r="E394" i="10" s="1"/>
  <c r="C393" i="10"/>
  <c r="E393" i="10" s="1"/>
  <c r="C392" i="10"/>
  <c r="E392" i="10" s="1"/>
  <c r="C391" i="10"/>
  <c r="E391" i="10" s="1"/>
  <c r="C390" i="10"/>
  <c r="E390" i="10" s="1"/>
  <c r="C389" i="10"/>
  <c r="E389" i="10" s="1"/>
  <c r="C388" i="10"/>
  <c r="E388" i="10" s="1"/>
  <c r="C387" i="10"/>
  <c r="E387" i="10" s="1"/>
  <c r="C386" i="10"/>
  <c r="E386" i="10" s="1"/>
  <c r="C385" i="10"/>
  <c r="E385" i="10" s="1"/>
  <c r="C384" i="10"/>
  <c r="E384" i="10" s="1"/>
  <c r="C383" i="10"/>
  <c r="E383" i="10" s="1"/>
  <c r="C382" i="10"/>
  <c r="E382" i="10" s="1"/>
  <c r="C381" i="10"/>
  <c r="E381" i="10" s="1"/>
  <c r="C380" i="10"/>
  <c r="E380" i="10" s="1"/>
  <c r="C379" i="10"/>
  <c r="E379" i="10" s="1"/>
  <c r="C378" i="10"/>
  <c r="E378" i="10" s="1"/>
  <c r="C377" i="10"/>
  <c r="E377" i="10" s="1"/>
  <c r="C376" i="10"/>
  <c r="E376" i="10" s="1"/>
  <c r="C375" i="10"/>
  <c r="E375" i="10" s="1"/>
  <c r="C374" i="10"/>
  <c r="E374" i="10" s="1"/>
  <c r="C373" i="10"/>
  <c r="E373" i="10" s="1"/>
  <c r="C372" i="10"/>
  <c r="E372" i="10" s="1"/>
  <c r="C371" i="10"/>
  <c r="E371" i="10" s="1"/>
  <c r="C370" i="10"/>
  <c r="E370" i="10" s="1"/>
  <c r="C369" i="10"/>
  <c r="E369" i="10" s="1"/>
  <c r="C368" i="10"/>
  <c r="E368" i="10" s="1"/>
  <c r="C367" i="10"/>
  <c r="E367" i="10" s="1"/>
  <c r="C366" i="10"/>
  <c r="E366" i="10" s="1"/>
  <c r="C365" i="10"/>
  <c r="E365" i="10" s="1"/>
  <c r="C364" i="10"/>
  <c r="E364" i="10" s="1"/>
  <c r="C363" i="10"/>
  <c r="E363" i="10" s="1"/>
  <c r="C362" i="10"/>
  <c r="E362" i="10" s="1"/>
  <c r="C361" i="10"/>
  <c r="E361" i="10" s="1"/>
  <c r="C360" i="10"/>
  <c r="E360" i="10" s="1"/>
  <c r="C359" i="10"/>
  <c r="E359" i="10" s="1"/>
  <c r="C358" i="10"/>
  <c r="E358" i="10" s="1"/>
  <c r="C357" i="10"/>
  <c r="E357" i="10" s="1"/>
  <c r="C356" i="10"/>
  <c r="E356" i="10" s="1"/>
  <c r="C355" i="10"/>
  <c r="E355" i="10" s="1"/>
  <c r="C354" i="10"/>
  <c r="E354" i="10" s="1"/>
  <c r="C353" i="10"/>
  <c r="E353" i="10" s="1"/>
  <c r="C352" i="10"/>
  <c r="E352" i="10" s="1"/>
  <c r="C351" i="10"/>
  <c r="E351" i="10" s="1"/>
  <c r="C350" i="10"/>
  <c r="E350" i="10" s="1"/>
  <c r="C349" i="10"/>
  <c r="E349" i="10" s="1"/>
  <c r="C348" i="10"/>
  <c r="E348" i="10" s="1"/>
  <c r="C347" i="10"/>
  <c r="E347" i="10" s="1"/>
  <c r="C346" i="10"/>
  <c r="E346" i="10" s="1"/>
  <c r="C345" i="10"/>
  <c r="E345" i="10" s="1"/>
  <c r="C344" i="10"/>
  <c r="E344" i="10" s="1"/>
  <c r="C343" i="10"/>
  <c r="E343" i="10" s="1"/>
  <c r="C342" i="10"/>
  <c r="E342" i="10" s="1"/>
  <c r="C341" i="10"/>
  <c r="E341" i="10" s="1"/>
  <c r="C340" i="10"/>
  <c r="E340" i="10" s="1"/>
  <c r="C339" i="10"/>
  <c r="E339" i="10" s="1"/>
  <c r="C338" i="10"/>
  <c r="E338" i="10" s="1"/>
  <c r="C337" i="10"/>
  <c r="E337" i="10" s="1"/>
  <c r="C336" i="10"/>
  <c r="E336" i="10" s="1"/>
  <c r="C335" i="10"/>
  <c r="E335" i="10" s="1"/>
  <c r="C334" i="10"/>
  <c r="E334" i="10" s="1"/>
  <c r="C333" i="10"/>
  <c r="E333" i="10" s="1"/>
  <c r="C332" i="10"/>
  <c r="E332" i="10" s="1"/>
  <c r="C331" i="10"/>
  <c r="E331" i="10" s="1"/>
  <c r="C330" i="10"/>
  <c r="E330" i="10" s="1"/>
  <c r="C329" i="10"/>
  <c r="E329" i="10" s="1"/>
  <c r="C328" i="10"/>
  <c r="E328" i="10" s="1"/>
  <c r="C327" i="10"/>
  <c r="E327" i="10" s="1"/>
  <c r="C326" i="10"/>
  <c r="E326" i="10" s="1"/>
  <c r="C325" i="10"/>
  <c r="E325" i="10" s="1"/>
  <c r="C324" i="10"/>
  <c r="E324" i="10" s="1"/>
  <c r="C323" i="10"/>
  <c r="E323" i="10" s="1"/>
  <c r="C322" i="10"/>
  <c r="E322" i="10" s="1"/>
  <c r="C321" i="10"/>
  <c r="E321" i="10" s="1"/>
  <c r="C320" i="10"/>
  <c r="E320" i="10" s="1"/>
  <c r="C319" i="10"/>
  <c r="E319" i="10" s="1"/>
  <c r="C318" i="10"/>
  <c r="E318" i="10" s="1"/>
  <c r="C317" i="10"/>
  <c r="E317" i="10" s="1"/>
  <c r="C316" i="10"/>
  <c r="E316" i="10" s="1"/>
  <c r="C315" i="10"/>
  <c r="E315" i="10" s="1"/>
  <c r="C314" i="10"/>
  <c r="E314" i="10" s="1"/>
  <c r="C313" i="10"/>
  <c r="E313" i="10" s="1"/>
  <c r="C312" i="10"/>
  <c r="E312" i="10" s="1"/>
  <c r="C311" i="10"/>
  <c r="E311" i="10" s="1"/>
  <c r="C310" i="10"/>
  <c r="E310" i="10" s="1"/>
  <c r="C309" i="10"/>
  <c r="E309" i="10" s="1"/>
  <c r="C308" i="10"/>
  <c r="E308" i="10" s="1"/>
  <c r="C307" i="10"/>
  <c r="E307" i="10" s="1"/>
  <c r="C306" i="10"/>
  <c r="E306" i="10" s="1"/>
  <c r="C305" i="10"/>
  <c r="E305" i="10" s="1"/>
  <c r="C304" i="10"/>
  <c r="E304" i="10" s="1"/>
  <c r="C303" i="10"/>
  <c r="E303" i="10" s="1"/>
  <c r="C302" i="10"/>
  <c r="E302" i="10" s="1"/>
  <c r="C301" i="10"/>
  <c r="E301" i="10" s="1"/>
  <c r="C300" i="10"/>
  <c r="E300" i="10" s="1"/>
  <c r="C299" i="10"/>
  <c r="E299" i="10" s="1"/>
  <c r="C298" i="10"/>
  <c r="E298" i="10" s="1"/>
  <c r="C297" i="10"/>
  <c r="E297" i="10" s="1"/>
  <c r="C296" i="10"/>
  <c r="E296" i="10" s="1"/>
  <c r="C295" i="10"/>
  <c r="E295" i="10" s="1"/>
  <c r="C294" i="10"/>
  <c r="E294" i="10" s="1"/>
  <c r="C293" i="10"/>
  <c r="E293" i="10" s="1"/>
  <c r="C292" i="10"/>
  <c r="E292" i="10" s="1"/>
  <c r="C291" i="10"/>
  <c r="E291" i="10" s="1"/>
  <c r="C290" i="10"/>
  <c r="E290" i="10" s="1"/>
  <c r="C289" i="10"/>
  <c r="E289" i="10" s="1"/>
  <c r="C288" i="10"/>
  <c r="E288" i="10" s="1"/>
  <c r="C287" i="10"/>
  <c r="E287" i="10" s="1"/>
  <c r="C286" i="10"/>
  <c r="E286" i="10" s="1"/>
  <c r="C285" i="10"/>
  <c r="E285" i="10" s="1"/>
  <c r="C284" i="10"/>
  <c r="E284" i="10" s="1"/>
  <c r="C283" i="10"/>
  <c r="E283" i="10" s="1"/>
  <c r="C282" i="10"/>
  <c r="E282" i="10" s="1"/>
  <c r="C281" i="10"/>
  <c r="E281" i="10" s="1"/>
  <c r="C280" i="10"/>
  <c r="E280" i="10" s="1"/>
  <c r="C279" i="10"/>
  <c r="E279" i="10" s="1"/>
  <c r="C278" i="10"/>
  <c r="E278" i="10" s="1"/>
  <c r="C277" i="10"/>
  <c r="E277" i="10" s="1"/>
  <c r="C276" i="10"/>
  <c r="E276" i="10" s="1"/>
  <c r="C275" i="10"/>
  <c r="E275" i="10" s="1"/>
  <c r="C274" i="10"/>
  <c r="E274" i="10" s="1"/>
  <c r="C273" i="10"/>
  <c r="E273" i="10" s="1"/>
  <c r="C272" i="10"/>
  <c r="E272" i="10" s="1"/>
  <c r="C271" i="10"/>
  <c r="E271" i="10" s="1"/>
  <c r="C270" i="10"/>
  <c r="E270" i="10" s="1"/>
  <c r="C269" i="10"/>
  <c r="E269" i="10" s="1"/>
  <c r="C268" i="10"/>
  <c r="E268" i="10" s="1"/>
  <c r="C267" i="10"/>
  <c r="E267" i="10" s="1"/>
  <c r="C266" i="10"/>
  <c r="E266" i="10" s="1"/>
  <c r="C265" i="10"/>
  <c r="E265" i="10" s="1"/>
  <c r="C264" i="10"/>
  <c r="E264" i="10" s="1"/>
  <c r="C263" i="10"/>
  <c r="E263" i="10" s="1"/>
  <c r="C262" i="10"/>
  <c r="E262" i="10" s="1"/>
  <c r="C261" i="10"/>
  <c r="E261" i="10" s="1"/>
  <c r="C260" i="10"/>
  <c r="E260" i="10" s="1"/>
  <c r="C259" i="10"/>
  <c r="E259" i="10" s="1"/>
  <c r="C258" i="10"/>
  <c r="E258" i="10" s="1"/>
  <c r="C257" i="10"/>
  <c r="E257" i="10" s="1"/>
  <c r="C256" i="10"/>
  <c r="E256" i="10" s="1"/>
  <c r="C255" i="10"/>
  <c r="E255" i="10" s="1"/>
  <c r="C254" i="10"/>
  <c r="E254" i="10" s="1"/>
  <c r="C253" i="10"/>
  <c r="E253" i="10" s="1"/>
  <c r="C252" i="10"/>
  <c r="E252" i="10" s="1"/>
  <c r="C251" i="10"/>
  <c r="E251" i="10" s="1"/>
  <c r="C250" i="10"/>
  <c r="E250" i="10" s="1"/>
  <c r="C249" i="10"/>
  <c r="E249" i="10" s="1"/>
  <c r="C248" i="10"/>
  <c r="E248" i="10" s="1"/>
  <c r="C247" i="10"/>
  <c r="E247" i="10" s="1"/>
  <c r="C246" i="10"/>
  <c r="E246" i="10" s="1"/>
  <c r="C245" i="10"/>
  <c r="E245" i="10" s="1"/>
  <c r="C244" i="10"/>
  <c r="E244" i="10" s="1"/>
  <c r="C243" i="10"/>
  <c r="E243" i="10" s="1"/>
  <c r="C242" i="10"/>
  <c r="E242" i="10" s="1"/>
  <c r="C241" i="10"/>
  <c r="E241" i="10" s="1"/>
  <c r="C240" i="10"/>
  <c r="E240" i="10" s="1"/>
  <c r="C239" i="10"/>
  <c r="E239" i="10" s="1"/>
  <c r="C238" i="10"/>
  <c r="E238" i="10" s="1"/>
  <c r="C237" i="10"/>
  <c r="E237" i="10" s="1"/>
  <c r="C236" i="10"/>
  <c r="E236" i="10" s="1"/>
  <c r="C235" i="10"/>
  <c r="E235" i="10" s="1"/>
  <c r="C234" i="10"/>
  <c r="E234" i="10" s="1"/>
  <c r="C233" i="10"/>
  <c r="E233" i="10" s="1"/>
  <c r="C232" i="10"/>
  <c r="E232" i="10" s="1"/>
  <c r="C231" i="10"/>
  <c r="E231" i="10" s="1"/>
  <c r="C230" i="10"/>
  <c r="E230" i="10" s="1"/>
  <c r="C229" i="10"/>
  <c r="E229" i="10" s="1"/>
  <c r="C228" i="10"/>
  <c r="E228" i="10" s="1"/>
  <c r="C227" i="10"/>
  <c r="E227" i="10" s="1"/>
  <c r="C226" i="10"/>
  <c r="E226" i="10" s="1"/>
  <c r="C225" i="10"/>
  <c r="E225" i="10" s="1"/>
  <c r="C224" i="10"/>
  <c r="E224" i="10" s="1"/>
  <c r="C223" i="10"/>
  <c r="E223" i="10" s="1"/>
  <c r="C222" i="10"/>
  <c r="E222" i="10" s="1"/>
  <c r="C221" i="10"/>
  <c r="E221" i="10" s="1"/>
  <c r="C220" i="10"/>
  <c r="E220" i="10" s="1"/>
  <c r="C219" i="10"/>
  <c r="E219" i="10" s="1"/>
  <c r="C218" i="10"/>
  <c r="E218" i="10" s="1"/>
  <c r="C217" i="10"/>
  <c r="E217" i="10" s="1"/>
  <c r="C216" i="10"/>
  <c r="E216" i="10" s="1"/>
  <c r="C215" i="10"/>
  <c r="E215" i="10" s="1"/>
  <c r="C214" i="10"/>
  <c r="E214" i="10" s="1"/>
  <c r="C213" i="10"/>
  <c r="E213" i="10" s="1"/>
  <c r="C212" i="10"/>
  <c r="E212" i="10" s="1"/>
  <c r="C211" i="10"/>
  <c r="E211" i="10" s="1"/>
  <c r="C210" i="10"/>
  <c r="E210" i="10" s="1"/>
  <c r="C209" i="10"/>
  <c r="E209" i="10" s="1"/>
  <c r="C208" i="10"/>
  <c r="E208" i="10" s="1"/>
  <c r="C207" i="10"/>
  <c r="E207" i="10" s="1"/>
  <c r="C206" i="10"/>
  <c r="E206" i="10" s="1"/>
  <c r="C205" i="10"/>
  <c r="E205" i="10" s="1"/>
  <c r="C204" i="10"/>
  <c r="E204" i="10" s="1"/>
  <c r="C203" i="10"/>
  <c r="E203" i="10" s="1"/>
  <c r="C202" i="10"/>
  <c r="E202" i="10" s="1"/>
  <c r="C201" i="10"/>
  <c r="E201" i="10" s="1"/>
  <c r="C200" i="10"/>
  <c r="E200" i="10" s="1"/>
  <c r="C199" i="10"/>
  <c r="E199" i="10" s="1"/>
  <c r="C198" i="10"/>
  <c r="E198" i="10" s="1"/>
  <c r="C197" i="10"/>
  <c r="E197" i="10" s="1"/>
  <c r="C196" i="10"/>
  <c r="E196" i="10" s="1"/>
  <c r="C195" i="10"/>
  <c r="E195" i="10" s="1"/>
  <c r="C194" i="10"/>
  <c r="E194" i="10" s="1"/>
  <c r="C193" i="10"/>
  <c r="E193" i="10" s="1"/>
  <c r="C192" i="10"/>
  <c r="E192" i="10" s="1"/>
  <c r="C191" i="10"/>
  <c r="E191" i="10" s="1"/>
  <c r="C190" i="10"/>
  <c r="E190" i="10" s="1"/>
  <c r="C189" i="10"/>
  <c r="E189" i="10" s="1"/>
  <c r="C188" i="10"/>
  <c r="E188" i="10" s="1"/>
  <c r="C187" i="10"/>
  <c r="E187" i="10" s="1"/>
  <c r="C186" i="10"/>
  <c r="E186" i="10" s="1"/>
  <c r="C185" i="10"/>
  <c r="E185" i="10" s="1"/>
  <c r="C184" i="10"/>
  <c r="E184" i="10" s="1"/>
  <c r="C183" i="10"/>
  <c r="E183" i="10" s="1"/>
  <c r="C182" i="10"/>
  <c r="E182" i="10" s="1"/>
  <c r="C181" i="10"/>
  <c r="E181" i="10" s="1"/>
  <c r="C180" i="10"/>
  <c r="E180" i="10" s="1"/>
  <c r="C179" i="10"/>
  <c r="E179" i="10" s="1"/>
  <c r="C178" i="10"/>
  <c r="E178" i="10" s="1"/>
  <c r="C177" i="10"/>
  <c r="E177" i="10" s="1"/>
  <c r="C176" i="10"/>
  <c r="E176" i="10" s="1"/>
  <c r="C175" i="10"/>
  <c r="E175" i="10" s="1"/>
  <c r="C174" i="10"/>
  <c r="E174" i="10" s="1"/>
  <c r="C173" i="10"/>
  <c r="E173" i="10" s="1"/>
  <c r="C172" i="10"/>
  <c r="E172" i="10" s="1"/>
  <c r="C171" i="10"/>
  <c r="E171" i="10" s="1"/>
  <c r="C170" i="10"/>
  <c r="E170" i="10" s="1"/>
  <c r="C169" i="10"/>
  <c r="E169" i="10" s="1"/>
  <c r="C168" i="10"/>
  <c r="E168" i="10" s="1"/>
  <c r="C167" i="10"/>
  <c r="E167" i="10" s="1"/>
  <c r="C166" i="10"/>
  <c r="E166" i="10" s="1"/>
  <c r="C165" i="10"/>
  <c r="E165" i="10" s="1"/>
  <c r="C164" i="10"/>
  <c r="E164" i="10" s="1"/>
  <c r="C163" i="10"/>
  <c r="E163" i="10" s="1"/>
  <c r="C162" i="10"/>
  <c r="E162" i="10" s="1"/>
  <c r="C161" i="10"/>
  <c r="E161" i="10" s="1"/>
  <c r="C160" i="10"/>
  <c r="E160" i="10" s="1"/>
  <c r="C159" i="10"/>
  <c r="E159" i="10" s="1"/>
  <c r="C158" i="10"/>
  <c r="E158" i="10" s="1"/>
  <c r="C157" i="10"/>
  <c r="E157" i="10" s="1"/>
  <c r="C156" i="10"/>
  <c r="E156" i="10" s="1"/>
  <c r="C155" i="10"/>
  <c r="E155" i="10" s="1"/>
  <c r="C154" i="10"/>
  <c r="E154" i="10" s="1"/>
  <c r="C153" i="10"/>
  <c r="E153" i="10" s="1"/>
  <c r="C152" i="10"/>
  <c r="E152" i="10" s="1"/>
  <c r="C151" i="10"/>
  <c r="E151" i="10" s="1"/>
  <c r="C150" i="10"/>
  <c r="E150" i="10" s="1"/>
  <c r="C149" i="10"/>
  <c r="E149" i="10" s="1"/>
  <c r="C148" i="10"/>
  <c r="E148" i="10" s="1"/>
  <c r="C147" i="10"/>
  <c r="E147" i="10" s="1"/>
  <c r="C146" i="10"/>
  <c r="E146" i="10" s="1"/>
  <c r="C145" i="10"/>
  <c r="E145" i="10" s="1"/>
  <c r="C144" i="10"/>
  <c r="E144" i="10" s="1"/>
  <c r="C143" i="10"/>
  <c r="E143" i="10" s="1"/>
  <c r="C142" i="10"/>
  <c r="E142" i="10" s="1"/>
  <c r="C141" i="10"/>
  <c r="E141" i="10" s="1"/>
  <c r="C140" i="10"/>
  <c r="E140" i="10" s="1"/>
  <c r="C139" i="10"/>
  <c r="E139" i="10" s="1"/>
  <c r="C138" i="10"/>
  <c r="E138" i="10" s="1"/>
  <c r="C137" i="10"/>
  <c r="E137" i="10" s="1"/>
  <c r="C136" i="10"/>
  <c r="E136" i="10" s="1"/>
  <c r="C135" i="10"/>
  <c r="E135" i="10" s="1"/>
  <c r="C134" i="10"/>
  <c r="E134" i="10" s="1"/>
  <c r="C133" i="10"/>
  <c r="E133" i="10" s="1"/>
  <c r="C132" i="10"/>
  <c r="E132" i="10" s="1"/>
  <c r="C131" i="10"/>
  <c r="E131" i="10" s="1"/>
  <c r="C130" i="10"/>
  <c r="E130" i="10" s="1"/>
  <c r="C129" i="10"/>
  <c r="E129" i="10" s="1"/>
  <c r="C128" i="10"/>
  <c r="E128" i="10" s="1"/>
  <c r="C127" i="10"/>
  <c r="E127" i="10" s="1"/>
  <c r="C126" i="10"/>
  <c r="E126" i="10" s="1"/>
  <c r="C125" i="10"/>
  <c r="E125" i="10" s="1"/>
  <c r="C124" i="10"/>
  <c r="E124" i="10" s="1"/>
  <c r="C123" i="10"/>
  <c r="E123" i="10" s="1"/>
  <c r="C122" i="10"/>
  <c r="E122" i="10" s="1"/>
  <c r="C121" i="10"/>
  <c r="E121" i="10" s="1"/>
  <c r="C120" i="10"/>
  <c r="E120" i="10" s="1"/>
  <c r="C119" i="10"/>
  <c r="E119" i="10" s="1"/>
  <c r="C118" i="10"/>
  <c r="E118" i="10" s="1"/>
  <c r="C117" i="10"/>
  <c r="E117" i="10" s="1"/>
  <c r="C116" i="10"/>
  <c r="E116" i="10" s="1"/>
  <c r="C115" i="10"/>
  <c r="E115" i="10" s="1"/>
  <c r="C114" i="10"/>
  <c r="E114" i="10" s="1"/>
  <c r="C113" i="10"/>
  <c r="E113" i="10" s="1"/>
  <c r="C112" i="10"/>
  <c r="E112" i="10" s="1"/>
  <c r="C111" i="10"/>
  <c r="E111" i="10" s="1"/>
  <c r="C110" i="10"/>
  <c r="E110" i="10" s="1"/>
  <c r="C109" i="10"/>
  <c r="E109" i="10" s="1"/>
  <c r="C108" i="10"/>
  <c r="E108" i="10" s="1"/>
  <c r="C107" i="10"/>
  <c r="E107" i="10" s="1"/>
  <c r="C106" i="10"/>
  <c r="E106" i="10" s="1"/>
  <c r="C105" i="10"/>
  <c r="E105" i="10" s="1"/>
  <c r="C104" i="10"/>
  <c r="E104" i="10" s="1"/>
  <c r="C103" i="10"/>
  <c r="E103" i="10" s="1"/>
  <c r="C102" i="10"/>
  <c r="E102" i="10" s="1"/>
  <c r="C101" i="10"/>
  <c r="E101" i="10" s="1"/>
  <c r="C100" i="10"/>
  <c r="E100" i="10" s="1"/>
  <c r="C99" i="10"/>
  <c r="E99" i="10" s="1"/>
  <c r="C98" i="10"/>
  <c r="E98" i="10" s="1"/>
  <c r="C97" i="10"/>
  <c r="E97" i="10" s="1"/>
  <c r="C96" i="10"/>
  <c r="E96" i="10" s="1"/>
  <c r="C95" i="10"/>
  <c r="E95" i="10" s="1"/>
  <c r="C94" i="10"/>
  <c r="E94" i="10" s="1"/>
  <c r="C93" i="10"/>
  <c r="E93" i="10" s="1"/>
  <c r="C92" i="10"/>
  <c r="E92" i="10" s="1"/>
  <c r="C91" i="10"/>
  <c r="E91" i="10" s="1"/>
  <c r="C90" i="10"/>
  <c r="E90" i="10" s="1"/>
  <c r="C89" i="10"/>
  <c r="E89" i="10" s="1"/>
  <c r="C88" i="10"/>
  <c r="E88" i="10" s="1"/>
  <c r="C87" i="10"/>
  <c r="E87" i="10" s="1"/>
  <c r="C86" i="10"/>
  <c r="E86" i="10" s="1"/>
  <c r="C85" i="10"/>
  <c r="E85" i="10" s="1"/>
  <c r="C84" i="10"/>
  <c r="E84" i="10" s="1"/>
  <c r="C83" i="10"/>
  <c r="E83" i="10" s="1"/>
  <c r="C82" i="10"/>
  <c r="E82" i="10" s="1"/>
  <c r="C81" i="10"/>
  <c r="E81" i="10" s="1"/>
  <c r="C80" i="10"/>
  <c r="E80" i="10" s="1"/>
  <c r="C79" i="10"/>
  <c r="E79" i="10" s="1"/>
  <c r="C78" i="10"/>
  <c r="E78" i="10" s="1"/>
  <c r="C77" i="10"/>
  <c r="E77" i="10" s="1"/>
  <c r="C76" i="10"/>
  <c r="E76" i="10" s="1"/>
  <c r="C75" i="10"/>
  <c r="E75" i="10" s="1"/>
  <c r="C74" i="10"/>
  <c r="E74" i="10" s="1"/>
  <c r="C73" i="10"/>
  <c r="E73" i="10" s="1"/>
  <c r="C72" i="10"/>
  <c r="E72" i="10" s="1"/>
  <c r="C71" i="10"/>
  <c r="E71" i="10" s="1"/>
  <c r="C70" i="10"/>
  <c r="E70" i="10" s="1"/>
  <c r="C69" i="10"/>
  <c r="E69" i="10" s="1"/>
  <c r="C68" i="10"/>
  <c r="E68" i="10" s="1"/>
  <c r="C67" i="10"/>
  <c r="E67" i="10" s="1"/>
  <c r="C66" i="10"/>
  <c r="E66" i="10" s="1"/>
  <c r="C65" i="10"/>
  <c r="E65" i="10" s="1"/>
  <c r="C64" i="10"/>
  <c r="E64" i="10" s="1"/>
  <c r="C63" i="10"/>
  <c r="E63" i="10" s="1"/>
  <c r="C62" i="10"/>
  <c r="E62" i="10" s="1"/>
  <c r="C61" i="10"/>
  <c r="E61" i="10" s="1"/>
  <c r="C60" i="10"/>
  <c r="E60" i="10" s="1"/>
  <c r="C59" i="10"/>
  <c r="E59" i="10" s="1"/>
  <c r="C58" i="10"/>
  <c r="E58" i="10" s="1"/>
  <c r="C57" i="10"/>
  <c r="E57" i="10" s="1"/>
  <c r="C56" i="10"/>
  <c r="E56" i="10" s="1"/>
  <c r="C55" i="10"/>
  <c r="E55" i="10" s="1"/>
  <c r="C54" i="10"/>
  <c r="E54" i="10" s="1"/>
  <c r="C53" i="10"/>
  <c r="E53" i="10" s="1"/>
  <c r="C52" i="10"/>
  <c r="E52" i="10" s="1"/>
  <c r="C50" i="10"/>
  <c r="E50" i="10" s="1"/>
  <c r="C8" i="10"/>
  <c r="D8" i="10" l="1"/>
  <c r="E8" i="10" s="1"/>
  <c r="D58" i="10"/>
  <c r="D66" i="10"/>
  <c r="D74" i="10"/>
  <c r="D82" i="10"/>
  <c r="D90" i="10"/>
  <c r="D98" i="10"/>
  <c r="D106" i="10"/>
  <c r="D114" i="10"/>
  <c r="D122" i="10"/>
  <c r="D134" i="10"/>
  <c r="D142" i="10"/>
  <c r="D150" i="10"/>
  <c r="D158" i="10"/>
  <c r="D166" i="10"/>
  <c r="D174" i="10"/>
  <c r="D182" i="10"/>
  <c r="D190" i="10"/>
  <c r="D198" i="10"/>
  <c r="D206" i="10"/>
  <c r="D214" i="10"/>
  <c r="D222" i="10"/>
  <c r="D230" i="10"/>
  <c r="D238" i="10"/>
  <c r="D246" i="10"/>
  <c r="D254" i="10"/>
  <c r="D262" i="10"/>
  <c r="D274" i="10"/>
  <c r="D282" i="10"/>
  <c r="D290" i="10"/>
  <c r="D298" i="10"/>
  <c r="D306" i="10"/>
  <c r="D318" i="10"/>
  <c r="D322" i="10"/>
  <c r="D330" i="10"/>
  <c r="D338" i="10"/>
  <c r="D346" i="10"/>
  <c r="D354" i="10"/>
  <c r="D362" i="10"/>
  <c r="D370" i="10"/>
  <c r="D378" i="10"/>
  <c r="D386" i="10"/>
  <c r="D394" i="10"/>
  <c r="D402" i="10"/>
  <c r="D410" i="10"/>
  <c r="D418" i="10"/>
  <c r="D426" i="10"/>
  <c r="D434" i="10"/>
  <c r="D442" i="10"/>
  <c r="D454" i="10"/>
  <c r="D462" i="10"/>
  <c r="D470" i="10"/>
  <c r="D478" i="10"/>
  <c r="D486" i="10"/>
  <c r="D494" i="10"/>
  <c r="D498" i="10"/>
  <c r="D506" i="10"/>
  <c r="D55" i="10"/>
  <c r="D63" i="10"/>
  <c r="D71" i="10"/>
  <c r="D79" i="10"/>
  <c r="D87" i="10"/>
  <c r="D95" i="10"/>
  <c r="D103" i="10"/>
  <c r="D107" i="10"/>
  <c r="D115" i="10"/>
  <c r="D123" i="10"/>
  <c r="D131" i="10"/>
  <c r="D139" i="10"/>
  <c r="D147" i="10"/>
  <c r="D155" i="10"/>
  <c r="D163" i="10"/>
  <c r="D175" i="10"/>
  <c r="D179" i="10"/>
  <c r="D191" i="10"/>
  <c r="D195" i="10"/>
  <c r="D203" i="10"/>
  <c r="D211" i="10"/>
  <c r="D219" i="10"/>
  <c r="D227" i="10"/>
  <c r="D231" i="10"/>
  <c r="D239" i="10"/>
  <c r="D251" i="10"/>
  <c r="D259" i="10"/>
  <c r="D267" i="10"/>
  <c r="D275" i="10"/>
  <c r="D283" i="10"/>
  <c r="D291" i="10"/>
  <c r="D299" i="10"/>
  <c r="D307" i="10"/>
  <c r="D315" i="10"/>
  <c r="D323" i="10"/>
  <c r="D327" i="10"/>
  <c r="D335" i="10"/>
  <c r="D343" i="10"/>
  <c r="D351" i="10"/>
  <c r="D359" i="10"/>
  <c r="D367" i="10"/>
  <c r="D375" i="10"/>
  <c r="D383" i="10"/>
  <c r="D391" i="10"/>
  <c r="D399" i="10"/>
  <c r="D407" i="10"/>
  <c r="D415" i="10"/>
  <c r="D423" i="10"/>
  <c r="D431" i="10"/>
  <c r="D439" i="10"/>
  <c r="D447" i="10"/>
  <c r="D455" i="10"/>
  <c r="D463" i="10"/>
  <c r="D471" i="10"/>
  <c r="D479" i="10"/>
  <c r="D487" i="10"/>
  <c r="D495" i="10"/>
  <c r="D507" i="10"/>
  <c r="D52" i="10"/>
  <c r="D56" i="10"/>
  <c r="D60" i="10"/>
  <c r="D64" i="10"/>
  <c r="D68" i="10"/>
  <c r="D72" i="10"/>
  <c r="D76" i="10"/>
  <c r="D80" i="10"/>
  <c r="D84" i="10"/>
  <c r="D88" i="10"/>
  <c r="D92" i="10"/>
  <c r="D96" i="10"/>
  <c r="D100" i="10"/>
  <c r="D104" i="10"/>
  <c r="D108" i="10"/>
  <c r="D112" i="10"/>
  <c r="D116" i="10"/>
  <c r="D120" i="10"/>
  <c r="D124" i="10"/>
  <c r="D128" i="10"/>
  <c r="D132" i="10"/>
  <c r="D136" i="10"/>
  <c r="D140" i="10"/>
  <c r="D144" i="10"/>
  <c r="D148" i="10"/>
  <c r="D152" i="10"/>
  <c r="D156" i="10"/>
  <c r="D160" i="10"/>
  <c r="D164" i="10"/>
  <c r="D168" i="10"/>
  <c r="D172" i="10"/>
  <c r="D176" i="10"/>
  <c r="D180" i="10"/>
  <c r="D184" i="10"/>
  <c r="D188" i="10"/>
  <c r="D192" i="10"/>
  <c r="D196" i="10"/>
  <c r="D200" i="10"/>
  <c r="D204" i="10"/>
  <c r="D208" i="10"/>
  <c r="D212" i="10"/>
  <c r="D216" i="10"/>
  <c r="D220" i="10"/>
  <c r="D224" i="10"/>
  <c r="D228" i="10"/>
  <c r="D232" i="10"/>
  <c r="D236" i="10"/>
  <c r="D240" i="10"/>
  <c r="D244" i="10"/>
  <c r="D248" i="10"/>
  <c r="D252" i="10"/>
  <c r="D256" i="10"/>
  <c r="D260" i="10"/>
  <c r="D264" i="10"/>
  <c r="D268" i="10"/>
  <c r="D272" i="10"/>
  <c r="D276" i="10"/>
  <c r="D280" i="10"/>
  <c r="D284" i="10"/>
  <c r="D288" i="10"/>
  <c r="D292" i="10"/>
  <c r="D296" i="10"/>
  <c r="D300" i="10"/>
  <c r="D304" i="10"/>
  <c r="D308" i="10"/>
  <c r="D312" i="10"/>
  <c r="D316" i="10"/>
  <c r="D320" i="10"/>
  <c r="D324" i="10"/>
  <c r="D328" i="10"/>
  <c r="D332" i="10"/>
  <c r="D336" i="10"/>
  <c r="D340" i="10"/>
  <c r="D344" i="10"/>
  <c r="D348" i="10"/>
  <c r="D352" i="10"/>
  <c r="D356" i="10"/>
  <c r="D360" i="10"/>
  <c r="D364" i="10"/>
  <c r="D368" i="10"/>
  <c r="D372" i="10"/>
  <c r="D376" i="10"/>
  <c r="D380" i="10"/>
  <c r="D384" i="10"/>
  <c r="D388" i="10"/>
  <c r="D392" i="10"/>
  <c r="D396" i="10"/>
  <c r="D400" i="10"/>
  <c r="D404" i="10"/>
  <c r="D408" i="10"/>
  <c r="D412" i="10"/>
  <c r="D416" i="10"/>
  <c r="D420" i="10"/>
  <c r="D424" i="10"/>
  <c r="D428" i="10"/>
  <c r="D432" i="10"/>
  <c r="D436" i="10"/>
  <c r="D440" i="10"/>
  <c r="D444" i="10"/>
  <c r="D448" i="10"/>
  <c r="D452" i="10"/>
  <c r="D456" i="10"/>
  <c r="D460" i="10"/>
  <c r="D464" i="10"/>
  <c r="D468" i="10"/>
  <c r="D472" i="10"/>
  <c r="D476" i="10"/>
  <c r="D480" i="10"/>
  <c r="D484" i="10"/>
  <c r="D488" i="10"/>
  <c r="D492" i="10"/>
  <c r="D496" i="10"/>
  <c r="D500" i="10"/>
  <c r="D504" i="10"/>
  <c r="D54" i="10"/>
  <c r="D62" i="10"/>
  <c r="D70" i="10"/>
  <c r="D78" i="10"/>
  <c r="D86" i="10"/>
  <c r="D94" i="10"/>
  <c r="D102" i="10"/>
  <c r="D110" i="10"/>
  <c r="D118" i="10"/>
  <c r="D126" i="10"/>
  <c r="D130" i="10"/>
  <c r="D138" i="10"/>
  <c r="D146" i="10"/>
  <c r="D154" i="10"/>
  <c r="D162" i="10"/>
  <c r="D170" i="10"/>
  <c r="D178" i="10"/>
  <c r="D186" i="10"/>
  <c r="D194" i="10"/>
  <c r="D202" i="10"/>
  <c r="D210" i="10"/>
  <c r="D218" i="10"/>
  <c r="D226" i="10"/>
  <c r="D234" i="10"/>
  <c r="D242" i="10"/>
  <c r="D250" i="10"/>
  <c r="D258" i="10"/>
  <c r="D266" i="10"/>
  <c r="D270" i="10"/>
  <c r="D278" i="10"/>
  <c r="D286" i="10"/>
  <c r="D294" i="10"/>
  <c r="D302" i="10"/>
  <c r="D310" i="10"/>
  <c r="D314" i="10"/>
  <c r="D326" i="10"/>
  <c r="D334" i="10"/>
  <c r="D342" i="10"/>
  <c r="D350" i="10"/>
  <c r="D358" i="10"/>
  <c r="D366" i="10"/>
  <c r="D374" i="10"/>
  <c r="D382" i="10"/>
  <c r="D390" i="10"/>
  <c r="D398" i="10"/>
  <c r="D406" i="10"/>
  <c r="D414" i="10"/>
  <c r="D422" i="10"/>
  <c r="D430" i="10"/>
  <c r="D438" i="10"/>
  <c r="D446" i="10"/>
  <c r="D450" i="10"/>
  <c r="D458" i="10"/>
  <c r="D466" i="10"/>
  <c r="D474" i="10"/>
  <c r="D482" i="10"/>
  <c r="D490" i="10"/>
  <c r="D502" i="10"/>
  <c r="D59" i="10"/>
  <c r="D67" i="10"/>
  <c r="D75" i="10"/>
  <c r="D83" i="10"/>
  <c r="D91" i="10"/>
  <c r="D99" i="10"/>
  <c r="D111" i="10"/>
  <c r="D119" i="10"/>
  <c r="D127" i="10"/>
  <c r="D135" i="10"/>
  <c r="D143" i="10"/>
  <c r="D151" i="10"/>
  <c r="D159" i="10"/>
  <c r="D167" i="10"/>
  <c r="D171" i="10"/>
  <c r="D183" i="10"/>
  <c r="D187" i="10"/>
  <c r="D199" i="10"/>
  <c r="D207" i="10"/>
  <c r="D215" i="10"/>
  <c r="D223" i="10"/>
  <c r="D235" i="10"/>
  <c r="D243" i="10"/>
  <c r="D247" i="10"/>
  <c r="D255" i="10"/>
  <c r="D263" i="10"/>
  <c r="D271" i="10"/>
  <c r="D279" i="10"/>
  <c r="D287" i="10"/>
  <c r="D295" i="10"/>
  <c r="D303" i="10"/>
  <c r="D311" i="10"/>
  <c r="D319" i="10"/>
  <c r="D331" i="10"/>
  <c r="D339" i="10"/>
  <c r="D347" i="10"/>
  <c r="D355" i="10"/>
  <c r="D363" i="10"/>
  <c r="D371" i="10"/>
  <c r="D379" i="10"/>
  <c r="D387" i="10"/>
  <c r="D395" i="10"/>
  <c r="D403" i="10"/>
  <c r="D411" i="10"/>
  <c r="D419" i="10"/>
  <c r="D427" i="10"/>
  <c r="D435" i="10"/>
  <c r="D443" i="10"/>
  <c r="D451" i="10"/>
  <c r="D459" i="10"/>
  <c r="D467" i="10"/>
  <c r="D475" i="10"/>
  <c r="D483" i="10"/>
  <c r="D491" i="10"/>
  <c r="D499" i="10"/>
  <c r="D503" i="10"/>
  <c r="D53" i="10"/>
  <c r="D57" i="10"/>
  <c r="D61" i="10"/>
  <c r="D65" i="10"/>
  <c r="D69" i="10"/>
  <c r="D73" i="10"/>
  <c r="D77" i="10"/>
  <c r="D81" i="10"/>
  <c r="D85" i="10"/>
  <c r="D89" i="10"/>
  <c r="D93" i="10"/>
  <c r="D97" i="10"/>
  <c r="D101" i="10"/>
  <c r="D105" i="10"/>
  <c r="D109" i="10"/>
  <c r="D113" i="10"/>
  <c r="D117" i="10"/>
  <c r="D121" i="10"/>
  <c r="D125" i="10"/>
  <c r="D129" i="10"/>
  <c r="D133" i="10"/>
  <c r="D137" i="10"/>
  <c r="D141" i="10"/>
  <c r="D145" i="10"/>
  <c r="D149" i="10"/>
  <c r="D153" i="10"/>
  <c r="D157" i="10"/>
  <c r="D161" i="10"/>
  <c r="D165" i="10"/>
  <c r="D169" i="10"/>
  <c r="D173" i="10"/>
  <c r="D177" i="10"/>
  <c r="D181" i="10"/>
  <c r="D185" i="10"/>
  <c r="D189" i="10"/>
  <c r="D193" i="10"/>
  <c r="D197" i="10"/>
  <c r="D201" i="10"/>
  <c r="D205" i="10"/>
  <c r="D209" i="10"/>
  <c r="D213" i="10"/>
  <c r="D217" i="10"/>
  <c r="D221" i="10"/>
  <c r="D225" i="10"/>
  <c r="D229" i="10"/>
  <c r="D233" i="10"/>
  <c r="D237" i="10"/>
  <c r="D241" i="10"/>
  <c r="D245" i="10"/>
  <c r="D249" i="10"/>
  <c r="D253" i="10"/>
  <c r="D257" i="10"/>
  <c r="D261" i="10"/>
  <c r="D265" i="10"/>
  <c r="D269" i="10"/>
  <c r="D273" i="10"/>
  <c r="D277" i="10"/>
  <c r="D281" i="10"/>
  <c r="D285" i="10"/>
  <c r="D289" i="10"/>
  <c r="D293" i="10"/>
  <c r="D297" i="10"/>
  <c r="D301" i="10"/>
  <c r="D305" i="10"/>
  <c r="D309" i="10"/>
  <c r="D313" i="10"/>
  <c r="D317" i="10"/>
  <c r="D321" i="10"/>
  <c r="D325" i="10"/>
  <c r="D329" i="10"/>
  <c r="D333" i="10"/>
  <c r="D337" i="10"/>
  <c r="D341" i="10"/>
  <c r="D345" i="10"/>
  <c r="D349" i="10"/>
  <c r="D353" i="10"/>
  <c r="D357" i="10"/>
  <c r="D361" i="10"/>
  <c r="D365" i="10"/>
  <c r="D369" i="10"/>
  <c r="D373" i="10"/>
  <c r="D377" i="10"/>
  <c r="D381" i="10"/>
  <c r="D385" i="10"/>
  <c r="D389" i="10"/>
  <c r="D393" i="10"/>
  <c r="D397" i="10"/>
  <c r="D401" i="10"/>
  <c r="D405" i="10"/>
  <c r="D409" i="10"/>
  <c r="D413" i="10"/>
  <c r="D417" i="10"/>
  <c r="D421" i="10"/>
  <c r="D425" i="10"/>
  <c r="D429" i="10"/>
  <c r="D433" i="10"/>
  <c r="D437" i="10"/>
  <c r="D441" i="10"/>
  <c r="D445" i="10"/>
  <c r="D449" i="10"/>
  <c r="D453" i="10"/>
  <c r="D457" i="10"/>
  <c r="D461" i="10"/>
  <c r="D465" i="10"/>
  <c r="D469" i="10"/>
  <c r="D473" i="10"/>
  <c r="D477" i="10"/>
  <c r="D481" i="10"/>
  <c r="D485" i="10"/>
  <c r="D489" i="10"/>
  <c r="D493" i="10"/>
  <c r="D497" i="10"/>
  <c r="D501" i="10"/>
  <c r="D505" i="10"/>
  <c r="C51" i="10"/>
  <c r="E51" i="10" s="1"/>
  <c r="D50" i="10"/>
  <c r="C9" i="10"/>
  <c r="C40" i="10"/>
  <c r="E40" i="10" s="1"/>
  <c r="C20" i="10"/>
  <c r="E20" i="10" s="1"/>
  <c r="D20" i="10" l="1"/>
  <c r="D40" i="10"/>
  <c r="D51" i="10"/>
  <c r="C10" i="10"/>
  <c r="C11" i="10" s="1"/>
  <c r="D9" i="10"/>
  <c r="E9" i="10" s="1"/>
  <c r="C21" i="10"/>
  <c r="E21" i="10" s="1"/>
  <c r="C41" i="10"/>
  <c r="E41" i="10" s="1"/>
  <c r="D21" i="10" l="1"/>
  <c r="D41" i="10"/>
  <c r="D10" i="10"/>
  <c r="E10" i="10" s="1"/>
  <c r="C12" i="10"/>
  <c r="C42" i="10"/>
  <c r="E42" i="10" s="1"/>
  <c r="C22" i="10"/>
  <c r="E22" i="10" s="1"/>
  <c r="D11" i="10" l="1"/>
  <c r="E11" i="10" s="1"/>
  <c r="D42" i="10"/>
  <c r="C23" i="10"/>
  <c r="E23" i="10" s="1"/>
  <c r="D22" i="10"/>
  <c r="C13" i="10"/>
  <c r="C24" i="10"/>
  <c r="C43" i="10"/>
  <c r="E43" i="10" s="1"/>
  <c r="Y23" i="27"/>
  <c r="M46" i="27" s="1"/>
  <c r="Y22" i="27"/>
  <c r="M45" i="27" s="1"/>
  <c r="Y18" i="27"/>
  <c r="M41" i="27" s="1"/>
  <c r="Y19" i="27"/>
  <c r="M42" i="27" s="1"/>
  <c r="Y20" i="27"/>
  <c r="M43" i="27" s="1"/>
  <c r="Y21" i="27"/>
  <c r="M44" i="27" s="1"/>
  <c r="Y17" i="27"/>
  <c r="M40" i="27" s="1"/>
  <c r="Y16" i="27"/>
  <c r="M39" i="27" s="1"/>
  <c r="Y15" i="27"/>
  <c r="M38" i="27" s="1"/>
  <c r="Y14" i="27"/>
  <c r="M37" i="27" s="1"/>
  <c r="Y13" i="27"/>
  <c r="M36" i="27" s="1"/>
  <c r="M35" i="27"/>
  <c r="C2" i="27"/>
  <c r="Z1" i="27"/>
  <c r="D12" i="10" l="1"/>
  <c r="E12" i="10" s="1"/>
  <c r="D43" i="10"/>
  <c r="D23" i="10"/>
  <c r="C14" i="10"/>
  <c r="D13" i="10"/>
  <c r="E13" i="10" s="1"/>
  <c r="C25" i="10"/>
  <c r="E25" i="10" s="1"/>
  <c r="D24" i="10"/>
  <c r="E24" i="10" s="1"/>
  <c r="C26" i="10"/>
  <c r="E26" i="10" s="1"/>
  <c r="C44" i="10"/>
  <c r="E44" i="10" s="1"/>
  <c r="A1" i="26"/>
  <c r="C45" i="10" l="1"/>
  <c r="E45" i="10" s="1"/>
  <c r="D44" i="10"/>
  <c r="D25" i="10"/>
  <c r="C27" i="10"/>
  <c r="E27" i="10" s="1"/>
  <c r="D26" i="10"/>
  <c r="C15" i="10"/>
  <c r="D14" i="10"/>
  <c r="E14" i="10" s="1"/>
  <c r="C31" i="10"/>
  <c r="E31" i="10" s="1"/>
  <c r="C46" i="10"/>
  <c r="E46" i="10" s="1"/>
  <c r="D45" i="10" l="1"/>
  <c r="C16" i="10"/>
  <c r="D15" i="10"/>
  <c r="E15" i="10" s="1"/>
  <c r="C47" i="10"/>
  <c r="E47" i="10" s="1"/>
  <c r="D46" i="10"/>
  <c r="D31" i="10"/>
  <c r="C28" i="10"/>
  <c r="E28" i="10" s="1"/>
  <c r="D27" i="10"/>
  <c r="C32" i="10"/>
  <c r="E32" i="10" s="1"/>
  <c r="C34" i="10"/>
  <c r="E34" i="10" s="1"/>
  <c r="C48" i="10"/>
  <c r="E48" i="10" s="1"/>
  <c r="Y26" i="5"/>
  <c r="Y25" i="5"/>
  <c r="Y24" i="5"/>
  <c r="Y23" i="5"/>
  <c r="Y22" i="5"/>
  <c r="Y21" i="5"/>
  <c r="Y20" i="5"/>
  <c r="Y19" i="5"/>
  <c r="Y18" i="5"/>
  <c r="Y17" i="5"/>
  <c r="Y16" i="5"/>
  <c r="Y15" i="5"/>
  <c r="Y14" i="5"/>
  <c r="Y13" i="5"/>
  <c r="Y12" i="5"/>
  <c r="Y11" i="5"/>
  <c r="Y10" i="5"/>
  <c r="Y9" i="5"/>
  <c r="Y8" i="5"/>
  <c r="Y7" i="5"/>
  <c r="Y6" i="5"/>
  <c r="Y5" i="5"/>
  <c r="Y4" i="5"/>
  <c r="Y3" i="5"/>
  <c r="Y2" i="5"/>
  <c r="C17" i="10" l="1"/>
  <c r="C18" i="10" s="1"/>
  <c r="D34" i="10"/>
  <c r="D47" i="10"/>
  <c r="C33" i="10"/>
  <c r="E33" i="10" s="1"/>
  <c r="D32" i="10"/>
  <c r="C29" i="10"/>
  <c r="E29" i="10" s="1"/>
  <c r="D28" i="10"/>
  <c r="D48" i="10"/>
  <c r="D16" i="10"/>
  <c r="E16" i="10" s="1"/>
  <c r="C35" i="10"/>
  <c r="E35" i="10" s="1"/>
  <c r="C49" i="10"/>
  <c r="AA27" i="5"/>
  <c r="AA26" i="5"/>
  <c r="AA25" i="5"/>
  <c r="AA24" i="5"/>
  <c r="AA23" i="5"/>
  <c r="AA22" i="5"/>
  <c r="AA21" i="5"/>
  <c r="AA20" i="5"/>
  <c r="AA19" i="5"/>
  <c r="AA18" i="5"/>
  <c r="AA17" i="5"/>
  <c r="AA16" i="5"/>
  <c r="AA15" i="5"/>
  <c r="AA14" i="5"/>
  <c r="AA13" i="5"/>
  <c r="AA12" i="5"/>
  <c r="AA11" i="5"/>
  <c r="AA10" i="5"/>
  <c r="AA9" i="5"/>
  <c r="AA8" i="5"/>
  <c r="AA7" i="5"/>
  <c r="AA6" i="5"/>
  <c r="AA5" i="5"/>
  <c r="AA4" i="5"/>
  <c r="C19" i="10" l="1"/>
  <c r="E49" i="10"/>
  <c r="D17" i="10"/>
  <c r="E17" i="10" s="1"/>
  <c r="C30" i="10"/>
  <c r="E30" i="10" s="1"/>
  <c r="D29" i="10"/>
  <c r="D49" i="10"/>
  <c r="C36" i="10"/>
  <c r="E36" i="10" s="1"/>
  <c r="D35" i="10"/>
  <c r="D33" i="10"/>
  <c r="E5" i="3"/>
  <c r="D18" i="10" l="1"/>
  <c r="E18" i="10" s="1"/>
  <c r="D30" i="10"/>
  <c r="C37" i="10"/>
  <c r="E37" i="10" s="1"/>
  <c r="D36" i="10"/>
  <c r="B31" i="3"/>
  <c r="D19" i="10" l="1"/>
  <c r="E19" i="10" s="1"/>
  <c r="C38" i="10"/>
  <c r="E38" i="10" s="1"/>
  <c r="D37" i="10"/>
  <c r="C31" i="3"/>
  <c r="A1" i="28"/>
  <c r="AJ2" i="19"/>
  <c r="E4" i="27" s="1"/>
  <c r="C39" i="10" l="1"/>
  <c r="E39" i="10" s="1"/>
  <c r="D38" i="10"/>
  <c r="D39" i="10" l="1"/>
  <c r="A1" i="15"/>
  <c r="A1" i="22" l="1"/>
  <c r="E2" i="19" l="1"/>
  <c r="Q3" i="27" s="1"/>
  <c r="A1" i="21" l="1"/>
  <c r="AF2" i="19" l="1"/>
  <c r="AG2" i="19"/>
  <c r="E5" i="27" s="1"/>
  <c r="A7" i="14" l="1"/>
  <c r="A1" i="14"/>
  <c r="AD2" i="19" l="1"/>
  <c r="AC2" i="19"/>
  <c r="AB2" i="19"/>
  <c r="AD8" i="27" s="1"/>
  <c r="AA2" i="19"/>
  <c r="Y148" i="27" s="1"/>
  <c r="Z2" i="19"/>
  <c r="Y147" i="27" s="1"/>
  <c r="W2" i="19"/>
  <c r="V2" i="19"/>
  <c r="U2" i="19"/>
  <c r="Q20" i="27" s="1"/>
  <c r="T2" i="19"/>
  <c r="Q19" i="27" s="1"/>
  <c r="S2" i="19"/>
  <c r="Q18" i="27" s="1"/>
  <c r="Q2" i="19"/>
  <c r="P2" i="19"/>
  <c r="E149" i="27" s="1"/>
  <c r="O2" i="19"/>
  <c r="P27" i="27" s="1"/>
  <c r="J150" i="27" s="1"/>
  <c r="N2" i="19"/>
  <c r="U26" i="27" s="1"/>
  <c r="M2" i="19"/>
  <c r="P26" i="27" s="1"/>
  <c r="AD9" i="27" l="1"/>
  <c r="AD10" i="27"/>
  <c r="E147" i="27"/>
  <c r="W20" i="27"/>
  <c r="Q6" i="27"/>
  <c r="E148" i="27" s="1"/>
  <c r="L2" i="19"/>
  <c r="V153" i="27" s="1"/>
  <c r="K2" i="19"/>
  <c r="B19" i="27" s="1"/>
  <c r="J2" i="19"/>
  <c r="B12" i="27" s="1"/>
  <c r="I2" i="19"/>
  <c r="Q16" i="27" s="1"/>
  <c r="O151" i="27" s="1"/>
  <c r="H2" i="19"/>
  <c r="Q12" i="27" s="1"/>
  <c r="O147" i="27" s="1"/>
  <c r="G2" i="19"/>
  <c r="S11" i="27" s="1"/>
  <c r="Q146" i="27" s="1"/>
  <c r="F2" i="19"/>
  <c r="Q11" i="27" s="1"/>
  <c r="O146" i="27" s="1"/>
  <c r="D2" i="19"/>
  <c r="F154" i="27" l="1"/>
  <c r="L154" i="27"/>
  <c r="D154" i="27"/>
  <c r="J154" i="27"/>
  <c r="H154" i="27"/>
  <c r="E3" i="27"/>
  <c r="E146" i="27" s="1"/>
  <c r="C2" i="19"/>
  <c r="V507" i="10" l="1"/>
  <c r="V505" i="10"/>
  <c r="V503" i="10"/>
  <c r="V501" i="10"/>
  <c r="V499" i="10"/>
  <c r="V497" i="10"/>
  <c r="V495" i="10"/>
  <c r="V493" i="10"/>
  <c r="V491" i="10"/>
  <c r="V489" i="10"/>
  <c r="V487" i="10"/>
  <c r="V485" i="10"/>
  <c r="V483" i="10"/>
  <c r="V481" i="10"/>
  <c r="V479" i="10"/>
  <c r="V477" i="10"/>
  <c r="V475" i="10"/>
  <c r="V473" i="10"/>
  <c r="V471" i="10"/>
  <c r="V469" i="10"/>
  <c r="V467" i="10"/>
  <c r="V465" i="10"/>
  <c r="V463" i="10"/>
  <c r="V461" i="10"/>
  <c r="V459" i="10"/>
  <c r="V457" i="10"/>
  <c r="V455" i="10"/>
  <c r="V453" i="10"/>
  <c r="V451" i="10"/>
  <c r="V449" i="10"/>
  <c r="V447" i="10"/>
  <c r="V445" i="10"/>
  <c r="V443" i="10"/>
  <c r="V441" i="10"/>
  <c r="V439" i="10"/>
  <c r="V437" i="10"/>
  <c r="V435" i="10"/>
  <c r="V433" i="10"/>
  <c r="V431" i="10"/>
  <c r="V429" i="10"/>
  <c r="V427" i="10"/>
  <c r="V425" i="10"/>
  <c r="V423" i="10"/>
  <c r="V421" i="10"/>
  <c r="V419" i="10"/>
  <c r="V417" i="10"/>
  <c r="V415" i="10"/>
  <c r="V413" i="10"/>
  <c r="V411" i="10"/>
  <c r="V409" i="10"/>
  <c r="V407" i="10"/>
  <c r="V405" i="10"/>
  <c r="V403" i="10"/>
  <c r="V401" i="10"/>
  <c r="V399" i="10"/>
  <c r="V397" i="10"/>
  <c r="V395" i="10"/>
  <c r="V393" i="10"/>
  <c r="V391" i="10"/>
  <c r="V389" i="10"/>
  <c r="V387" i="10"/>
  <c r="V385" i="10"/>
  <c r="V383" i="10"/>
  <c r="V381" i="10"/>
  <c r="V379" i="10"/>
  <c r="V377" i="10"/>
  <c r="V375" i="10"/>
  <c r="V373" i="10"/>
  <c r="V371" i="10"/>
  <c r="V369" i="10"/>
  <c r="V367" i="10"/>
  <c r="V365" i="10"/>
  <c r="V363" i="10"/>
  <c r="V361" i="10"/>
  <c r="V359" i="10"/>
  <c r="V357" i="10"/>
  <c r="V355" i="10"/>
  <c r="V353" i="10"/>
  <c r="V351" i="10"/>
  <c r="V349" i="10"/>
  <c r="V347" i="10"/>
  <c r="V345" i="10"/>
  <c r="V343" i="10"/>
  <c r="V341" i="10"/>
  <c r="V339" i="10"/>
  <c r="V476" i="10"/>
  <c r="V456" i="10"/>
  <c r="V450" i="10"/>
  <c r="V446" i="10"/>
  <c r="V444" i="10"/>
  <c r="V440" i="10"/>
  <c r="V436" i="10"/>
  <c r="V434" i="10"/>
  <c r="V430" i="10"/>
  <c r="V426" i="10"/>
  <c r="V424" i="10"/>
  <c r="V420" i="10"/>
  <c r="V418" i="10"/>
  <c r="V414" i="10"/>
  <c r="V410" i="10"/>
  <c r="V406" i="10"/>
  <c r="V402" i="10"/>
  <c r="V398" i="10"/>
  <c r="V396" i="10"/>
  <c r="V392" i="10"/>
  <c r="V388" i="10"/>
  <c r="V386" i="10"/>
  <c r="V382" i="10"/>
  <c r="V378" i="10"/>
  <c r="V376" i="10"/>
  <c r="V372" i="10"/>
  <c r="V368" i="10"/>
  <c r="V364" i="10"/>
  <c r="V360" i="10"/>
  <c r="V358" i="10"/>
  <c r="V354" i="10"/>
  <c r="V350" i="10"/>
  <c r="V344" i="10"/>
  <c r="V340" i="10"/>
  <c r="V338" i="10"/>
  <c r="V334" i="10"/>
  <c r="V330" i="10"/>
  <c r="V326" i="10"/>
  <c r="V324" i="10"/>
  <c r="V320" i="10"/>
  <c r="V316" i="10"/>
  <c r="V314" i="10"/>
  <c r="V310" i="10"/>
  <c r="V306" i="10"/>
  <c r="V302" i="10"/>
  <c r="V298" i="10"/>
  <c r="V296" i="10"/>
  <c r="V292" i="10"/>
  <c r="V290" i="10"/>
  <c r="V286" i="10"/>
  <c r="V282" i="10"/>
  <c r="V280" i="10"/>
  <c r="V276" i="10"/>
  <c r="V506" i="10"/>
  <c r="V504" i="10"/>
  <c r="V502" i="10"/>
  <c r="V500" i="10"/>
  <c r="V498" i="10"/>
  <c r="V496" i="10"/>
  <c r="V494" i="10"/>
  <c r="V492" i="10"/>
  <c r="V490" i="10"/>
  <c r="V488" i="10"/>
  <c r="V486" i="10"/>
  <c r="V484" i="10"/>
  <c r="V482" i="10"/>
  <c r="V480" i="10"/>
  <c r="V478" i="10"/>
  <c r="V474" i="10"/>
  <c r="V472" i="10"/>
  <c r="V470" i="10"/>
  <c r="V468" i="10"/>
  <c r="V466" i="10"/>
  <c r="V464" i="10"/>
  <c r="V462" i="10"/>
  <c r="V460" i="10"/>
  <c r="V458" i="10"/>
  <c r="V454" i="10"/>
  <c r="V452" i="10"/>
  <c r="V448" i="10"/>
  <c r="V442" i="10"/>
  <c r="V438" i="10"/>
  <c r="V432" i="10"/>
  <c r="V428" i="10"/>
  <c r="V422" i="10"/>
  <c r="V416" i="10"/>
  <c r="V412" i="10"/>
  <c r="V408" i="10"/>
  <c r="V404" i="10"/>
  <c r="V400" i="10"/>
  <c r="V394" i="10"/>
  <c r="V390" i="10"/>
  <c r="V384" i="10"/>
  <c r="V380" i="10"/>
  <c r="V374" i="10"/>
  <c r="V370" i="10"/>
  <c r="V366" i="10"/>
  <c r="V362" i="10"/>
  <c r="V356" i="10"/>
  <c r="V352" i="10"/>
  <c r="V348" i="10"/>
  <c r="V346" i="10"/>
  <c r="V342" i="10"/>
  <c r="V336" i="10"/>
  <c r="V332" i="10"/>
  <c r="V328" i="10"/>
  <c r="V322" i="10"/>
  <c r="V318" i="10"/>
  <c r="V312" i="10"/>
  <c r="V308" i="10"/>
  <c r="V304" i="10"/>
  <c r="V300" i="10"/>
  <c r="V294" i="10"/>
  <c r="V288" i="10"/>
  <c r="V284" i="10"/>
  <c r="V278" i="10"/>
  <c r="V333" i="10"/>
  <c r="V325" i="10"/>
  <c r="V317" i="10"/>
  <c r="V309" i="10"/>
  <c r="V301" i="10"/>
  <c r="V293" i="10"/>
  <c r="V285" i="10"/>
  <c r="V277" i="10"/>
  <c r="V262" i="10"/>
  <c r="V256" i="10"/>
  <c r="V252" i="10"/>
  <c r="V248" i="10"/>
  <c r="V244" i="10"/>
  <c r="V242" i="10"/>
  <c r="V238" i="10"/>
  <c r="V234" i="10"/>
  <c r="V230" i="10"/>
  <c r="V226" i="10"/>
  <c r="V222" i="10"/>
  <c r="V220" i="10"/>
  <c r="V216" i="10"/>
  <c r="V212" i="10"/>
  <c r="V210" i="10"/>
  <c r="V206" i="10"/>
  <c r="V204" i="10"/>
  <c r="V200" i="10"/>
  <c r="V196" i="10"/>
  <c r="V194" i="10"/>
  <c r="V190" i="10"/>
  <c r="V188" i="10"/>
  <c r="V184" i="10"/>
  <c r="V180" i="10"/>
  <c r="V176" i="10"/>
  <c r="V172" i="10"/>
  <c r="V170" i="10"/>
  <c r="V166" i="10"/>
  <c r="V162" i="10"/>
  <c r="V160" i="10"/>
  <c r="V156" i="10"/>
  <c r="V152" i="10"/>
  <c r="V148" i="10"/>
  <c r="V144" i="10"/>
  <c r="V140" i="10"/>
  <c r="V138" i="10"/>
  <c r="V134" i="10"/>
  <c r="V130" i="10"/>
  <c r="V126" i="10"/>
  <c r="V122" i="10"/>
  <c r="V118" i="10"/>
  <c r="V114" i="10"/>
  <c r="V110" i="10"/>
  <c r="V104" i="10"/>
  <c r="V102" i="10"/>
  <c r="V98" i="10"/>
  <c r="V94" i="10"/>
  <c r="V92" i="10"/>
  <c r="V86" i="10"/>
  <c r="V82" i="10"/>
  <c r="V78" i="10"/>
  <c r="V74" i="10"/>
  <c r="V70" i="10"/>
  <c r="V66" i="10"/>
  <c r="V62" i="10"/>
  <c r="V54" i="10"/>
  <c r="V50" i="10"/>
  <c r="V46" i="10"/>
  <c r="V42" i="10"/>
  <c r="V335" i="10"/>
  <c r="V327" i="10"/>
  <c r="V319" i="10"/>
  <c r="V311" i="10"/>
  <c r="V303" i="10"/>
  <c r="V295" i="10"/>
  <c r="V287" i="10"/>
  <c r="V279" i="10"/>
  <c r="V274" i="10"/>
  <c r="V272" i="10"/>
  <c r="V270" i="10"/>
  <c r="V268" i="10"/>
  <c r="V266" i="10"/>
  <c r="V264" i="10"/>
  <c r="V260" i="10"/>
  <c r="V258" i="10"/>
  <c r="V254" i="10"/>
  <c r="V250" i="10"/>
  <c r="V246" i="10"/>
  <c r="V240" i="10"/>
  <c r="V236" i="10"/>
  <c r="V232" i="10"/>
  <c r="V228" i="10"/>
  <c r="V224" i="10"/>
  <c r="V218" i="10"/>
  <c r="V214" i="10"/>
  <c r="V208" i="10"/>
  <c r="V202" i="10"/>
  <c r="V198" i="10"/>
  <c r="V192" i="10"/>
  <c r="V186" i="10"/>
  <c r="V182" i="10"/>
  <c r="V178" i="10"/>
  <c r="V174" i="10"/>
  <c r="V168" i="10"/>
  <c r="V164" i="10"/>
  <c r="V158" i="10"/>
  <c r="V154" i="10"/>
  <c r="V150" i="10"/>
  <c r="V146" i="10"/>
  <c r="V142" i="10"/>
  <c r="V136" i="10"/>
  <c r="V132" i="10"/>
  <c r="V128" i="10"/>
  <c r="V124" i="10"/>
  <c r="V120" i="10"/>
  <c r="V116" i="10"/>
  <c r="V112" i="10"/>
  <c r="V108" i="10"/>
  <c r="V106" i="10"/>
  <c r="V100" i="10"/>
  <c r="V96" i="10"/>
  <c r="V90" i="10"/>
  <c r="V88" i="10"/>
  <c r="V84" i="10"/>
  <c r="V80" i="10"/>
  <c r="V76" i="10"/>
  <c r="V72" i="10"/>
  <c r="V68" i="10"/>
  <c r="V64" i="10"/>
  <c r="V60" i="10"/>
  <c r="V58" i="10"/>
  <c r="V56" i="10"/>
  <c r="V52" i="10"/>
  <c r="V48" i="10"/>
  <c r="V44" i="10"/>
  <c r="V331" i="10"/>
  <c r="V323" i="10"/>
  <c r="V315" i="10"/>
  <c r="V307" i="10"/>
  <c r="V299" i="10"/>
  <c r="V291" i="10"/>
  <c r="V283" i="10"/>
  <c r="V275" i="10"/>
  <c r="V273" i="10"/>
  <c r="V271" i="10"/>
  <c r="V269" i="10"/>
  <c r="V267" i="10"/>
  <c r="V265" i="10"/>
  <c r="V263" i="10"/>
  <c r="V261" i="10"/>
  <c r="V259" i="10"/>
  <c r="V257" i="10"/>
  <c r="V255" i="10"/>
  <c r="V253" i="10"/>
  <c r="V251" i="10"/>
  <c r="V249" i="10"/>
  <c r="V247" i="10"/>
  <c r="V245" i="10"/>
  <c r="V243" i="10"/>
  <c r="V241" i="10"/>
  <c r="V239" i="10"/>
  <c r="V237" i="10"/>
  <c r="V235" i="10"/>
  <c r="V233" i="10"/>
  <c r="V231" i="10"/>
  <c r="V229" i="10"/>
  <c r="V227" i="10"/>
  <c r="V225" i="10"/>
  <c r="V223" i="10"/>
  <c r="V221" i="10"/>
  <c r="V219" i="10"/>
  <c r="V217" i="10"/>
  <c r="V215" i="10"/>
  <c r="V213" i="10"/>
  <c r="V211" i="10"/>
  <c r="V209" i="10"/>
  <c r="V207" i="10"/>
  <c r="V205" i="10"/>
  <c r="V203" i="10"/>
  <c r="V201" i="10"/>
  <c r="V199" i="10"/>
  <c r="V197" i="10"/>
  <c r="V195" i="10"/>
  <c r="V193" i="10"/>
  <c r="V191" i="10"/>
  <c r="V189" i="10"/>
  <c r="V187" i="10"/>
  <c r="V185" i="10"/>
  <c r="V183" i="10"/>
  <c r="V181" i="10"/>
  <c r="V179" i="10"/>
  <c r="V177" i="10"/>
  <c r="V175" i="10"/>
  <c r="V173" i="10"/>
  <c r="V171" i="10"/>
  <c r="V169" i="10"/>
  <c r="V167" i="10"/>
  <c r="V165" i="10"/>
  <c r="V163" i="10"/>
  <c r="V161" i="10"/>
  <c r="V159" i="10"/>
  <c r="V157" i="10"/>
  <c r="V155" i="10"/>
  <c r="V153" i="10"/>
  <c r="V151" i="10"/>
  <c r="V149" i="10"/>
  <c r="V147" i="10"/>
  <c r="V145" i="10"/>
  <c r="V143" i="10"/>
  <c r="V141" i="10"/>
  <c r="V139" i="10"/>
  <c r="V137" i="10"/>
  <c r="V135" i="10"/>
  <c r="V133" i="10"/>
  <c r="V131" i="10"/>
  <c r="V129" i="10"/>
  <c r="V127" i="10"/>
  <c r="V125" i="10"/>
  <c r="V123" i="10"/>
  <c r="V121" i="10"/>
  <c r="V321" i="10"/>
  <c r="V289" i="10"/>
  <c r="V119" i="10"/>
  <c r="V111" i="10"/>
  <c r="V103" i="10"/>
  <c r="V95" i="10"/>
  <c r="V87" i="10"/>
  <c r="V79" i="10"/>
  <c r="V71" i="10"/>
  <c r="V63" i="10"/>
  <c r="V55" i="10"/>
  <c r="V47" i="10"/>
  <c r="V313" i="10"/>
  <c r="V281" i="10"/>
  <c r="V113" i="10"/>
  <c r="V105" i="10"/>
  <c r="V97" i="10"/>
  <c r="V89" i="10"/>
  <c r="V81" i="10"/>
  <c r="V73" i="10"/>
  <c r="V65" i="10"/>
  <c r="V57" i="10"/>
  <c r="V49" i="10"/>
  <c r="V41" i="10"/>
  <c r="V39" i="10"/>
  <c r="V37" i="10"/>
  <c r="V35" i="10"/>
  <c r="V33" i="10"/>
  <c r="V31" i="10"/>
  <c r="V29" i="10"/>
  <c r="V27" i="10"/>
  <c r="V25" i="10"/>
  <c r="V23" i="10"/>
  <c r="V21" i="10"/>
  <c r="V19" i="10"/>
  <c r="V17" i="10"/>
  <c r="V15" i="10"/>
  <c r="V13" i="10"/>
  <c r="V11" i="10"/>
  <c r="V9" i="10"/>
  <c r="V337" i="10"/>
  <c r="V305" i="10"/>
  <c r="V115" i="10"/>
  <c r="V107" i="10"/>
  <c r="V99" i="10"/>
  <c r="V91" i="10"/>
  <c r="V83" i="10"/>
  <c r="V75" i="10"/>
  <c r="V67" i="10"/>
  <c r="V59" i="10"/>
  <c r="V51" i="10"/>
  <c r="V43" i="10"/>
  <c r="V329" i="10"/>
  <c r="V297" i="10"/>
  <c r="V117" i="10"/>
  <c r="V109" i="10"/>
  <c r="V101" i="10"/>
  <c r="V93" i="10"/>
  <c r="V85" i="10"/>
  <c r="V77" i="10"/>
  <c r="V69" i="10"/>
  <c r="V61" i="10"/>
  <c r="V53" i="10"/>
  <c r="V45" i="10"/>
  <c r="V40" i="10"/>
  <c r="V38" i="10"/>
  <c r="V36" i="10"/>
  <c r="V34" i="10"/>
  <c r="V32" i="10"/>
  <c r="V30" i="10"/>
  <c r="V28" i="10"/>
  <c r="V26" i="10"/>
  <c r="V24" i="10"/>
  <c r="V22" i="10"/>
  <c r="V20" i="10"/>
  <c r="V18" i="10"/>
  <c r="V16" i="10"/>
  <c r="V14" i="10"/>
  <c r="V12" i="10"/>
  <c r="V10" i="10"/>
  <c r="V8" i="10"/>
  <c r="E6" i="27"/>
  <c r="E150" i="27" s="1"/>
  <c r="A1" i="19"/>
  <c r="AA3" i="10" l="1"/>
  <c r="M6" i="3"/>
  <c r="AD5" i="27"/>
  <c r="M7" i="3"/>
  <c r="AA4" i="10"/>
  <c r="BF6" i="10" l="1"/>
  <c r="BF5" i="10" l="1"/>
  <c r="B8" i="10"/>
  <c r="AJ8" i="10" l="1"/>
  <c r="BB8" i="10"/>
  <c r="BD8" i="10"/>
  <c r="AO8" i="10"/>
  <c r="AK8" i="10"/>
  <c r="AQ8" i="10"/>
  <c r="AP8" i="10"/>
  <c r="CD8" i="10" s="1"/>
  <c r="AM8" i="10"/>
  <c r="AL8" i="10"/>
  <c r="BJ8" i="10" s="1"/>
  <c r="AH8" i="10"/>
  <c r="AN8" i="10"/>
  <c r="BV8" i="10" s="1"/>
  <c r="BS8" i="10"/>
  <c r="BH8" i="10"/>
  <c r="BO8" i="10"/>
  <c r="BL8" i="10"/>
  <c r="BI8" i="10"/>
  <c r="AZ8" i="10"/>
  <c r="AT8" i="10"/>
  <c r="AW8" i="10" s="1"/>
  <c r="AY8" i="10"/>
  <c r="BA8" i="10"/>
  <c r="AX8" i="10"/>
  <c r="BZ8" i="10" s="1"/>
  <c r="AS8" i="10"/>
  <c r="AI8" i="10"/>
  <c r="BQ8" i="10" s="1"/>
  <c r="AR8" i="10"/>
  <c r="CC8" i="10" l="1"/>
  <c r="AU8" i="10"/>
  <c r="BG8" i="10" s="1"/>
  <c r="AV8" i="10"/>
  <c r="BY8" i="10"/>
  <c r="BU8" i="10"/>
  <c r="CB8" i="10"/>
  <c r="CA8" i="10"/>
  <c r="BX8" i="10"/>
  <c r="BT8" i="10"/>
  <c r="BW8" i="10"/>
  <c r="BR8" i="10"/>
  <c r="BP8" i="10"/>
  <c r="AE8" i="10"/>
  <c r="M26" i="3"/>
  <c r="AB23" i="27" s="1"/>
  <c r="R46" i="27" s="1"/>
  <c r="X46" i="27" s="1"/>
  <c r="B9" i="10"/>
  <c r="Q8" i="5"/>
  <c r="P55" i="27" s="1"/>
  <c r="Q7" i="5"/>
  <c r="N55" i="27" s="1"/>
  <c r="Q14" i="5"/>
  <c r="AB55" i="27" s="1"/>
  <c r="Q12" i="5"/>
  <c r="X55" i="27" s="1"/>
  <c r="Q4" i="5"/>
  <c r="H55" i="27" s="1"/>
  <c r="Q11" i="5"/>
  <c r="V55" i="27" s="1"/>
  <c r="Q3" i="5"/>
  <c r="F55" i="27" s="1"/>
  <c r="Q2" i="5"/>
  <c r="Q5" i="5"/>
  <c r="J55" i="27" s="1"/>
  <c r="Q9" i="5"/>
  <c r="R55" i="27" s="1"/>
  <c r="Q13" i="5"/>
  <c r="Z55" i="27" s="1"/>
  <c r="Q6" i="5"/>
  <c r="L55" i="27" s="1"/>
  <c r="Q10" i="5"/>
  <c r="T55" i="27" s="1"/>
  <c r="D55" i="27" l="1"/>
  <c r="BM19" i="10"/>
  <c r="BM15" i="10"/>
  <c r="BM11" i="10"/>
  <c r="BM16" i="10"/>
  <c r="BM12" i="10"/>
  <c r="BM18" i="10"/>
  <c r="BM14" i="10"/>
  <c r="BM10" i="10"/>
  <c r="BM17" i="10"/>
  <c r="BM13" i="10"/>
  <c r="BM9" i="10"/>
  <c r="BM8" i="10"/>
  <c r="BI9" i="10"/>
  <c r="AY9" i="10"/>
  <c r="AT9" i="10"/>
  <c r="AW9" i="10" s="1"/>
  <c r="AP9" i="10"/>
  <c r="AV9" i="10" s="1"/>
  <c r="AL9" i="10"/>
  <c r="BJ9" i="10" s="1"/>
  <c r="BO9" i="10"/>
  <c r="BH9" i="10"/>
  <c r="BB9" i="10"/>
  <c r="AX9" i="10"/>
  <c r="BZ9" i="10" s="1"/>
  <c r="AS9" i="10"/>
  <c r="AO9" i="10"/>
  <c r="AK9" i="10"/>
  <c r="BS9" i="10"/>
  <c r="BD9" i="10"/>
  <c r="AM9" i="10"/>
  <c r="CA9" i="10" s="1"/>
  <c r="BA9" i="10"/>
  <c r="AR9" i="10"/>
  <c r="AN9" i="10"/>
  <c r="BV9" i="10" s="1"/>
  <c r="AI9" i="10"/>
  <c r="BY9" i="10" s="1"/>
  <c r="AZ9" i="10"/>
  <c r="AQ9" i="10"/>
  <c r="AH9" i="10"/>
  <c r="BL9" i="10"/>
  <c r="AJ9" i="10"/>
  <c r="T69" i="27"/>
  <c r="T62" i="27"/>
  <c r="T74" i="27"/>
  <c r="T64" i="27"/>
  <c r="T72" i="27"/>
  <c r="T59" i="27"/>
  <c r="T67" i="27"/>
  <c r="T75" i="27"/>
  <c r="T60" i="27"/>
  <c r="T80" i="27"/>
  <c r="T77" i="27"/>
  <c r="T70" i="27"/>
  <c r="T78" i="27"/>
  <c r="T76" i="27"/>
  <c r="T61" i="27"/>
  <c r="T63" i="27"/>
  <c r="T71" i="27"/>
  <c r="T68" i="27"/>
  <c r="T73" i="27"/>
  <c r="T66" i="27"/>
  <c r="T79" i="27"/>
  <c r="T81" i="27"/>
  <c r="T65" i="27"/>
  <c r="J72" i="27"/>
  <c r="J61" i="27"/>
  <c r="J77" i="27"/>
  <c r="J71" i="27"/>
  <c r="J75" i="27"/>
  <c r="J62" i="27"/>
  <c r="J59" i="27"/>
  <c r="J68" i="27"/>
  <c r="J76" i="27"/>
  <c r="J69" i="27"/>
  <c r="J67" i="27"/>
  <c r="J79" i="27"/>
  <c r="J60" i="27"/>
  <c r="J81" i="27"/>
  <c r="J64" i="27"/>
  <c r="J63" i="27"/>
  <c r="J65" i="27"/>
  <c r="J66" i="27"/>
  <c r="J74" i="27"/>
  <c r="J73" i="27"/>
  <c r="J80" i="27"/>
  <c r="J70" i="27"/>
  <c r="J78" i="27"/>
  <c r="H64" i="27"/>
  <c r="H62" i="27"/>
  <c r="H59" i="27"/>
  <c r="H80" i="27"/>
  <c r="H77" i="27"/>
  <c r="H60" i="27"/>
  <c r="H61" i="27"/>
  <c r="H70" i="27"/>
  <c r="H75" i="27"/>
  <c r="H66" i="27"/>
  <c r="H67" i="27"/>
  <c r="H65" i="27"/>
  <c r="H63" i="27"/>
  <c r="H78" i="27"/>
  <c r="H73" i="27"/>
  <c r="H74" i="27"/>
  <c r="H71" i="27"/>
  <c r="H81" i="27"/>
  <c r="H68" i="27"/>
  <c r="H76" i="27"/>
  <c r="H69" i="27"/>
  <c r="H72" i="27"/>
  <c r="H79" i="27"/>
  <c r="P76" i="27"/>
  <c r="P69" i="27"/>
  <c r="P59" i="27"/>
  <c r="P67" i="27"/>
  <c r="P73" i="27"/>
  <c r="P81" i="27"/>
  <c r="P63" i="27"/>
  <c r="P71" i="27"/>
  <c r="P79" i="27"/>
  <c r="P80" i="27"/>
  <c r="P72" i="27"/>
  <c r="P61" i="27"/>
  <c r="P60" i="27"/>
  <c r="P64" i="27"/>
  <c r="P77" i="27"/>
  <c r="P75" i="27"/>
  <c r="P65" i="27"/>
  <c r="P62" i="27"/>
  <c r="P66" i="27"/>
  <c r="P74" i="27"/>
  <c r="P68" i="27"/>
  <c r="P70" i="27"/>
  <c r="P78" i="27"/>
  <c r="L81" i="27"/>
  <c r="L78" i="27"/>
  <c r="L73" i="27"/>
  <c r="L62" i="27"/>
  <c r="L65" i="27"/>
  <c r="L74" i="27"/>
  <c r="L76" i="27"/>
  <c r="L79" i="27"/>
  <c r="L80" i="27"/>
  <c r="L75" i="27"/>
  <c r="L66" i="27"/>
  <c r="L70" i="27"/>
  <c r="L69" i="27"/>
  <c r="L68" i="27"/>
  <c r="L59" i="27"/>
  <c r="L72" i="27"/>
  <c r="L60" i="27"/>
  <c r="L64" i="27"/>
  <c r="L77" i="27"/>
  <c r="L63" i="27"/>
  <c r="L71" i="27"/>
  <c r="L61" i="27"/>
  <c r="L67" i="27"/>
  <c r="D77" i="27"/>
  <c r="D80" i="27"/>
  <c r="D76" i="27"/>
  <c r="D65" i="27"/>
  <c r="D69" i="27"/>
  <c r="D78" i="27"/>
  <c r="D59" i="27"/>
  <c r="D61" i="27"/>
  <c r="D70" i="27"/>
  <c r="D71" i="27"/>
  <c r="D73" i="27"/>
  <c r="D75" i="27"/>
  <c r="D67" i="27"/>
  <c r="D63" i="27"/>
  <c r="D64" i="27"/>
  <c r="D81" i="27"/>
  <c r="D79" i="27"/>
  <c r="D60" i="27"/>
  <c r="D74" i="27"/>
  <c r="D68" i="27"/>
  <c r="D72" i="27"/>
  <c r="D66" i="27"/>
  <c r="D62" i="27"/>
  <c r="X80" i="27"/>
  <c r="X66" i="27"/>
  <c r="X74" i="27"/>
  <c r="X72" i="27"/>
  <c r="X69" i="27"/>
  <c r="X77" i="27"/>
  <c r="X75" i="27"/>
  <c r="X60" i="27"/>
  <c r="X64" i="27"/>
  <c r="X63" i="27"/>
  <c r="X68" i="27"/>
  <c r="X65" i="27"/>
  <c r="X62" i="27"/>
  <c r="X70" i="27"/>
  <c r="X78" i="27"/>
  <c r="X76" i="27"/>
  <c r="X61" i="27"/>
  <c r="X59" i="27"/>
  <c r="X67" i="27"/>
  <c r="X71" i="27"/>
  <c r="X79" i="27"/>
  <c r="X73" i="27"/>
  <c r="X81" i="27"/>
  <c r="Z64" i="27"/>
  <c r="Z76" i="27"/>
  <c r="Z63" i="27"/>
  <c r="Z79" i="27"/>
  <c r="Z65" i="27"/>
  <c r="Z81" i="27"/>
  <c r="Z61" i="27"/>
  <c r="Z69" i="27"/>
  <c r="Z67" i="27"/>
  <c r="Z80" i="27"/>
  <c r="Z72" i="27"/>
  <c r="Z71" i="27"/>
  <c r="Z75" i="27"/>
  <c r="Z73" i="27"/>
  <c r="Z77" i="27"/>
  <c r="Z59" i="27"/>
  <c r="Z70" i="27"/>
  <c r="Z78" i="27"/>
  <c r="Z68" i="27"/>
  <c r="Z62" i="27"/>
  <c r="Z60" i="27"/>
  <c r="Z66" i="27"/>
  <c r="Z74" i="27"/>
  <c r="F64" i="27"/>
  <c r="F72" i="27"/>
  <c r="F77" i="27"/>
  <c r="F80" i="27"/>
  <c r="F70" i="27"/>
  <c r="F59" i="27"/>
  <c r="F63" i="27"/>
  <c r="F71" i="27"/>
  <c r="F79" i="27"/>
  <c r="F68" i="27"/>
  <c r="F76" i="27"/>
  <c r="F61" i="27"/>
  <c r="F69" i="27"/>
  <c r="F60" i="27"/>
  <c r="F66" i="27"/>
  <c r="F67" i="27"/>
  <c r="F75" i="27"/>
  <c r="F81" i="27"/>
  <c r="F62" i="27"/>
  <c r="F78" i="27"/>
  <c r="F65" i="27"/>
  <c r="F73" i="27"/>
  <c r="F74" i="27"/>
  <c r="AB76" i="27"/>
  <c r="AB59" i="27"/>
  <c r="AB67" i="27"/>
  <c r="AB75" i="27"/>
  <c r="AB60" i="27"/>
  <c r="AB73" i="27"/>
  <c r="AB77" i="27"/>
  <c r="AB64" i="27"/>
  <c r="AB61" i="27"/>
  <c r="AB63" i="27"/>
  <c r="AB71" i="27"/>
  <c r="AB79" i="27"/>
  <c r="AB68" i="27"/>
  <c r="AB80" i="27"/>
  <c r="AB65" i="27"/>
  <c r="AB81" i="27"/>
  <c r="AB62" i="27"/>
  <c r="AB72" i="27"/>
  <c r="AB69" i="27"/>
  <c r="AB74" i="27"/>
  <c r="AB70" i="27"/>
  <c r="AB78" i="27"/>
  <c r="AB66" i="27"/>
  <c r="R61" i="27"/>
  <c r="R63" i="27"/>
  <c r="R71" i="27"/>
  <c r="R79" i="27"/>
  <c r="R68" i="27"/>
  <c r="R65" i="27"/>
  <c r="R70" i="27"/>
  <c r="R78" i="27"/>
  <c r="R64" i="27"/>
  <c r="R76" i="27"/>
  <c r="R60" i="27"/>
  <c r="R77" i="27"/>
  <c r="R59" i="27"/>
  <c r="R67" i="27"/>
  <c r="R75" i="27"/>
  <c r="R80" i="27"/>
  <c r="R73" i="27"/>
  <c r="R66" i="27"/>
  <c r="R74" i="27"/>
  <c r="R72" i="27"/>
  <c r="R69" i="27"/>
  <c r="R62" i="27"/>
  <c r="R81" i="27"/>
  <c r="V64" i="27"/>
  <c r="V59" i="27"/>
  <c r="V71" i="27"/>
  <c r="V79" i="27"/>
  <c r="V68" i="27"/>
  <c r="V65" i="27"/>
  <c r="V81" i="27"/>
  <c r="V66" i="27"/>
  <c r="V78" i="27"/>
  <c r="V76" i="27"/>
  <c r="V69" i="27"/>
  <c r="V63" i="27"/>
  <c r="V67" i="27"/>
  <c r="V75" i="27"/>
  <c r="V73" i="27"/>
  <c r="V62" i="27"/>
  <c r="V74" i="27"/>
  <c r="V72" i="27"/>
  <c r="V61" i="27"/>
  <c r="V77" i="27"/>
  <c r="V60" i="27"/>
  <c r="V80" i="27"/>
  <c r="V70" i="27"/>
  <c r="N59" i="27"/>
  <c r="N66" i="27"/>
  <c r="N70" i="27"/>
  <c r="N69" i="27"/>
  <c r="N65" i="27"/>
  <c r="N80" i="27"/>
  <c r="N71" i="27"/>
  <c r="N72" i="27"/>
  <c r="N64" i="27"/>
  <c r="N63" i="27"/>
  <c r="N74" i="27"/>
  <c r="N73" i="27"/>
  <c r="N60" i="27"/>
  <c r="N75" i="27"/>
  <c r="N76" i="27"/>
  <c r="N79" i="27"/>
  <c r="N77" i="27"/>
  <c r="N78" i="27"/>
  <c r="N81" i="27"/>
  <c r="N62" i="27"/>
  <c r="N61" i="27"/>
  <c r="N68" i="27"/>
  <c r="N67" i="27"/>
  <c r="B10" i="10"/>
  <c r="CD9" i="10" l="1"/>
  <c r="BT9" i="10"/>
  <c r="BP9" i="10"/>
  <c r="BQ9" i="10"/>
  <c r="CC9" i="10"/>
  <c r="BW9" i="10"/>
  <c r="BR9" i="10"/>
  <c r="CB9" i="10"/>
  <c r="AJ10" i="10"/>
  <c r="AU9" i="10"/>
  <c r="BG9" i="10" s="1"/>
  <c r="BU9" i="10"/>
  <c r="BI10" i="10"/>
  <c r="AY10" i="10"/>
  <c r="AS10" i="10"/>
  <c r="AO10" i="10"/>
  <c r="AK10" i="10"/>
  <c r="BS10" i="10"/>
  <c r="AT10" i="10"/>
  <c r="BH10" i="10"/>
  <c r="BB10" i="10"/>
  <c r="AX10" i="10"/>
  <c r="BZ10" i="10" s="1"/>
  <c r="AR10" i="10"/>
  <c r="AN10" i="10"/>
  <c r="BV10" i="10" s="1"/>
  <c r="AI10" i="10"/>
  <c r="BY10" i="10" s="1"/>
  <c r="BD10" i="10"/>
  <c r="AL10" i="10"/>
  <c r="BJ10" i="10" s="1"/>
  <c r="BA10" i="10"/>
  <c r="AW10" i="10"/>
  <c r="BN10" i="10" s="1"/>
  <c r="AQ10" i="10"/>
  <c r="AM10" i="10"/>
  <c r="CA10" i="10" s="1"/>
  <c r="AH10" i="10"/>
  <c r="BO10" i="10"/>
  <c r="AZ10" i="10"/>
  <c r="AP10" i="10"/>
  <c r="CD10" i="10" s="1"/>
  <c r="BL10" i="10"/>
  <c r="BX9" i="10"/>
  <c r="AE9" i="10"/>
  <c r="BN9" i="10" l="1"/>
  <c r="CC10" i="10"/>
  <c r="BX10" i="10"/>
  <c r="BR10" i="10"/>
  <c r="BW10" i="10"/>
  <c r="BU10" i="10"/>
  <c r="CB10" i="10"/>
  <c r="BP10" i="10"/>
  <c r="BQ10" i="10"/>
  <c r="AU10" i="10"/>
  <c r="BG10" i="10" s="1"/>
  <c r="AV10" i="10"/>
  <c r="BT10" i="10"/>
  <c r="AE10" i="10"/>
  <c r="B13" i="10" l="1"/>
  <c r="BS13" i="10" l="1"/>
  <c r="BO13" i="10"/>
  <c r="BI13" i="10"/>
  <c r="BH13" i="10"/>
  <c r="BB13" i="10"/>
  <c r="BL13" i="10"/>
  <c r="B14" i="10"/>
  <c r="BM6" i="10"/>
  <c r="BM5" i="10" s="1"/>
  <c r="BH14" i="10" l="1"/>
  <c r="BB14" i="10"/>
  <c r="AX14" i="10"/>
  <c r="BZ14" i="10" s="1"/>
  <c r="AR14" i="10"/>
  <c r="AN14" i="10"/>
  <c r="BW14" i="10" s="1"/>
  <c r="AI14" i="10"/>
  <c r="BQ14" i="10" s="1"/>
  <c r="AS14" i="10"/>
  <c r="BA14" i="10"/>
  <c r="AQ14" i="10"/>
  <c r="AM14" i="10"/>
  <c r="CA14" i="10" s="1"/>
  <c r="AH14" i="10"/>
  <c r="BY14" i="10"/>
  <c r="BI14" i="10"/>
  <c r="AO14" i="10"/>
  <c r="BS14" i="10"/>
  <c r="BO14" i="10"/>
  <c r="BD14" i="10"/>
  <c r="AZ14" i="10"/>
  <c r="AT14" i="10"/>
  <c r="AW14" i="10" s="1"/>
  <c r="AP14" i="10"/>
  <c r="AL14" i="10"/>
  <c r="BJ14" i="10" s="1"/>
  <c r="AY14" i="10"/>
  <c r="AK14" i="10"/>
  <c r="BL14" i="10"/>
  <c r="B15" i="10"/>
  <c r="BU14" i="10" l="1"/>
  <c r="BV14" i="10"/>
  <c r="BX14" i="10"/>
  <c r="CB14" i="10"/>
  <c r="CC14" i="10"/>
  <c r="BP14" i="10"/>
  <c r="BT14" i="10"/>
  <c r="AU14" i="10"/>
  <c r="BG14" i="10" s="1"/>
  <c r="AV14" i="10"/>
  <c r="BQ15" i="10"/>
  <c r="BH15" i="10"/>
  <c r="BB15" i="10"/>
  <c r="AX15" i="10"/>
  <c r="BZ15" i="10" s="1"/>
  <c r="AS15" i="10"/>
  <c r="AO15" i="10"/>
  <c r="AK15" i="10"/>
  <c r="AY15" i="10"/>
  <c r="AL15" i="10"/>
  <c r="BJ15" i="10" s="1"/>
  <c r="BA15" i="10"/>
  <c r="AR15" i="10"/>
  <c r="AN15" i="10"/>
  <c r="BW15" i="10" s="1"/>
  <c r="AI15" i="10"/>
  <c r="CC15" i="10" s="1"/>
  <c r="AP15" i="10"/>
  <c r="CB15" i="10"/>
  <c r="BS15" i="10"/>
  <c r="BO15" i="10"/>
  <c r="BD15" i="10"/>
  <c r="AZ15" i="10"/>
  <c r="AQ15" i="10"/>
  <c r="AM15" i="10"/>
  <c r="AH15" i="10"/>
  <c r="CA15" i="10"/>
  <c r="BI15" i="10"/>
  <c r="AT15" i="10"/>
  <c r="AW15" i="10" s="1"/>
  <c r="BL15" i="10"/>
  <c r="B16" i="10"/>
  <c r="BX15" i="10" l="1"/>
  <c r="BY15" i="10"/>
  <c r="BU15" i="10"/>
  <c r="BP15" i="10"/>
  <c r="BV15" i="10"/>
  <c r="CD15" i="10"/>
  <c r="AV15" i="10"/>
  <c r="AU15" i="10"/>
  <c r="BG15" i="10" s="1"/>
  <c r="BI16" i="10"/>
  <c r="AY16" i="10"/>
  <c r="AQ16" i="10"/>
  <c r="AM16" i="10"/>
  <c r="CA16" i="10" s="1"/>
  <c r="AH16" i="10"/>
  <c r="CB16" i="10" s="1"/>
  <c r="BO16" i="10"/>
  <c r="AZ16" i="10"/>
  <c r="AI16" i="10"/>
  <c r="BY16" i="10" s="1"/>
  <c r="CC16" i="10"/>
  <c r="BH16" i="10"/>
  <c r="BB16" i="10"/>
  <c r="AX16" i="10"/>
  <c r="BZ16" i="10" s="1"/>
  <c r="AT16" i="10"/>
  <c r="AW16" i="10" s="1"/>
  <c r="BN15" i="10" s="1"/>
  <c r="AP16" i="10"/>
  <c r="AL16" i="10"/>
  <c r="BJ16" i="10" s="1"/>
  <c r="BP16" i="10"/>
  <c r="BA16" i="10"/>
  <c r="AS16" i="10"/>
  <c r="AO16" i="10"/>
  <c r="AK16" i="10"/>
  <c r="BS16" i="10"/>
  <c r="BD16" i="10"/>
  <c r="AR16" i="10"/>
  <c r="AN16" i="10"/>
  <c r="BV16" i="10" s="1"/>
  <c r="BL16" i="10"/>
  <c r="BT15" i="10"/>
  <c r="B17" i="10"/>
  <c r="BQ16" i="10" l="1"/>
  <c r="BN16" i="10"/>
  <c r="BN14" i="10"/>
  <c r="BW16" i="10"/>
  <c r="BU16" i="10"/>
  <c r="BX16" i="10"/>
  <c r="CD16" i="10"/>
  <c r="AV16" i="10"/>
  <c r="BT16" i="10"/>
  <c r="AU16" i="10"/>
  <c r="BG16" i="10" s="1"/>
  <c r="BI17" i="10"/>
  <c r="AY17" i="10"/>
  <c r="AQ17" i="10"/>
  <c r="AM17" i="10"/>
  <c r="CA17" i="10" s="1"/>
  <c r="AH17" i="10"/>
  <c r="BH17" i="10"/>
  <c r="BB17" i="10"/>
  <c r="AX17" i="10"/>
  <c r="BZ17" i="10" s="1"/>
  <c r="AT17" i="10"/>
  <c r="AW17" i="10" s="1"/>
  <c r="AP17" i="10"/>
  <c r="AL17" i="10"/>
  <c r="BJ17" i="10" s="1"/>
  <c r="BS17" i="10"/>
  <c r="BD17" i="10"/>
  <c r="AN17" i="10"/>
  <c r="BV17" i="10" s="1"/>
  <c r="BA17" i="10"/>
  <c r="AS17" i="10"/>
  <c r="AO17" i="10"/>
  <c r="AK17" i="10"/>
  <c r="BO17" i="10"/>
  <c r="AZ17" i="10"/>
  <c r="AR17" i="10"/>
  <c r="AI17" i="10"/>
  <c r="CC17" i="10" s="1"/>
  <c r="BL17" i="10"/>
  <c r="B18" i="10"/>
  <c r="BU17" i="10" l="1"/>
  <c r="BY17" i="10"/>
  <c r="BP17" i="10"/>
  <c r="CB17" i="10"/>
  <c r="BQ17" i="10"/>
  <c r="BW17" i="10"/>
  <c r="CD17" i="10"/>
  <c r="AV17" i="10"/>
  <c r="BT17" i="10"/>
  <c r="BA18" i="10"/>
  <c r="AQ18" i="10"/>
  <c r="AM18" i="10"/>
  <c r="CA18" i="10" s="1"/>
  <c r="AH18" i="10"/>
  <c r="CB18" i="10" s="1"/>
  <c r="BB18" i="10"/>
  <c r="AN18" i="10"/>
  <c r="BV18" i="10" s="1"/>
  <c r="BS18" i="10"/>
  <c r="BO18" i="10"/>
  <c r="BD18" i="10"/>
  <c r="AZ18" i="10"/>
  <c r="AT18" i="10"/>
  <c r="AE18" i="10" s="1"/>
  <c r="AP18" i="10"/>
  <c r="AL18" i="10"/>
  <c r="BJ18" i="10" s="1"/>
  <c r="BW18" i="10"/>
  <c r="AX18" i="10"/>
  <c r="BZ18" i="10" s="1"/>
  <c r="AI18" i="10"/>
  <c r="BQ18" i="10" s="1"/>
  <c r="CC18" i="10"/>
  <c r="BY18" i="10"/>
  <c r="BI18" i="10"/>
  <c r="AY18" i="10"/>
  <c r="AS18" i="10"/>
  <c r="AO18" i="10"/>
  <c r="AK18" i="10"/>
  <c r="BH18" i="10"/>
  <c r="AR18" i="10"/>
  <c r="BL18" i="10"/>
  <c r="BX17" i="10"/>
  <c r="AU17" i="10"/>
  <c r="BG17" i="10" s="1"/>
  <c r="AE17" i="10"/>
  <c r="B19" i="10"/>
  <c r="BP18" i="10" l="1"/>
  <c r="AW18" i="10"/>
  <c r="BK10" i="10"/>
  <c r="AF10" i="10" s="1"/>
  <c r="BK16" i="10"/>
  <c r="BK13" i="10"/>
  <c r="BU18" i="10"/>
  <c r="BX18" i="10"/>
  <c r="CD18" i="10"/>
  <c r="AV18" i="10"/>
  <c r="AU18" i="10"/>
  <c r="BG18" i="10" s="1"/>
  <c r="BK19" i="10"/>
  <c r="BA19" i="10"/>
  <c r="AR19" i="10"/>
  <c r="AN19" i="10"/>
  <c r="AI19" i="10"/>
  <c r="BY19" i="10" s="1"/>
  <c r="BH19" i="10"/>
  <c r="AK19" i="10"/>
  <c r="BS19" i="10"/>
  <c r="BO19" i="10"/>
  <c r="BD19" i="10"/>
  <c r="AZ19" i="10"/>
  <c r="AQ19" i="10"/>
  <c r="AM19" i="10"/>
  <c r="AH19" i="10"/>
  <c r="CB19" i="10" s="1"/>
  <c r="BV19" i="10"/>
  <c r="AX19" i="10"/>
  <c r="BZ19" i="10" s="1"/>
  <c r="AO19" i="10"/>
  <c r="CA19" i="10"/>
  <c r="BW19" i="10"/>
  <c r="BI19" i="10"/>
  <c r="AY19" i="10"/>
  <c r="AT19" i="10"/>
  <c r="AE19" i="10" s="1"/>
  <c r="AP19" i="10"/>
  <c r="AL19" i="10"/>
  <c r="BJ19" i="10" s="1"/>
  <c r="BB19" i="10"/>
  <c r="AS19" i="10"/>
  <c r="BL19" i="10"/>
  <c r="BT18" i="10"/>
  <c r="AE2" i="19"/>
  <c r="CC19" i="10" l="1"/>
  <c r="BU19" i="10"/>
  <c r="BP19" i="10"/>
  <c r="BQ19" i="10"/>
  <c r="AW19" i="10"/>
  <c r="CD19" i="10"/>
  <c r="AV19" i="10"/>
  <c r="BX19" i="10"/>
  <c r="BT19" i="10"/>
  <c r="AU19" i="10"/>
  <c r="BG19" i="10" s="1"/>
  <c r="B25" i="10"/>
  <c r="CD25" i="10" s="1"/>
  <c r="BN18" i="10" l="1"/>
  <c r="BN17" i="10"/>
  <c r="BN19" i="10"/>
  <c r="BJ25" i="10"/>
  <c r="BZ25" i="10"/>
  <c r="BP25" i="10"/>
  <c r="BK25" i="10"/>
  <c r="BA25" i="10"/>
  <c r="AW25" i="10"/>
  <c r="AR25" i="10"/>
  <c r="AN25" i="10"/>
  <c r="AI25" i="10"/>
  <c r="CC25" i="10"/>
  <c r="BW25" i="10"/>
  <c r="BQ25" i="10"/>
  <c r="BD25" i="10"/>
  <c r="AY25" i="10"/>
  <c r="AS25" i="10"/>
  <c r="AM25" i="10"/>
  <c r="AT25" i="10"/>
  <c r="CB25" i="10"/>
  <c r="BV25" i="10"/>
  <c r="BO25" i="10"/>
  <c r="BI25" i="10"/>
  <c r="AX25" i="10"/>
  <c r="AQ25" i="10"/>
  <c r="AL25" i="10"/>
  <c r="BY25" i="10"/>
  <c r="AZ25" i="10"/>
  <c r="AH25" i="10"/>
  <c r="BT25" i="10" s="1"/>
  <c r="CA25" i="10"/>
  <c r="BS25" i="10"/>
  <c r="BN25" i="10"/>
  <c r="BH25" i="10"/>
  <c r="BB25" i="10"/>
  <c r="AP25" i="10"/>
  <c r="AK25" i="10"/>
  <c r="BR25" i="10"/>
  <c r="AO25" i="10"/>
  <c r="BL25" i="10"/>
  <c r="AF25" i="10"/>
  <c r="B26" i="10"/>
  <c r="CD26" i="10" s="1"/>
  <c r="BJ26" i="10" l="1"/>
  <c r="BX25" i="10"/>
  <c r="AU25" i="10"/>
  <c r="BG25" i="10" s="1"/>
  <c r="BU25" i="10"/>
  <c r="CA26" i="10"/>
  <c r="BV26" i="10"/>
  <c r="BP26" i="10"/>
  <c r="BK26" i="10"/>
  <c r="BA26" i="10"/>
  <c r="AW26" i="10"/>
  <c r="AQ26" i="10"/>
  <c r="AM26" i="10"/>
  <c r="AH26" i="10"/>
  <c r="BX26" i="10" s="1"/>
  <c r="BZ26" i="10"/>
  <c r="BR26" i="10"/>
  <c r="AZ26" i="10"/>
  <c r="AS26" i="10"/>
  <c r="AN26" i="10"/>
  <c r="BS26" i="10"/>
  <c r="BB26" i="10"/>
  <c r="AI26" i="10"/>
  <c r="BY26" i="10"/>
  <c r="BQ26" i="10"/>
  <c r="BD26" i="10"/>
  <c r="AY26" i="10"/>
  <c r="AR26" i="10"/>
  <c r="AL26" i="10"/>
  <c r="BN26" i="10"/>
  <c r="AT26" i="10"/>
  <c r="CC26" i="10"/>
  <c r="BW26" i="10"/>
  <c r="BO26" i="10"/>
  <c r="BI26" i="10"/>
  <c r="AX26" i="10"/>
  <c r="AP26" i="10"/>
  <c r="BU26" i="10" s="1"/>
  <c r="AK26" i="10"/>
  <c r="CB26" i="10"/>
  <c r="BH26" i="10"/>
  <c r="AO26" i="10"/>
  <c r="BL26" i="10"/>
  <c r="AV25" i="10"/>
  <c r="AF26" i="10"/>
  <c r="B28" i="10"/>
  <c r="CD28" i="10" s="1"/>
  <c r="B27" i="10"/>
  <c r="CD27" i="10" s="1"/>
  <c r="BJ28" i="10" l="1"/>
  <c r="BJ27" i="10"/>
  <c r="BT26" i="10"/>
  <c r="CC28" i="10"/>
  <c r="BY28" i="10"/>
  <c r="BQ28" i="10"/>
  <c r="BH28" i="10"/>
  <c r="BB28" i="10"/>
  <c r="AX28" i="10"/>
  <c r="AT28" i="10"/>
  <c r="AP28" i="10"/>
  <c r="BU28" i="10" s="1"/>
  <c r="AL28" i="10"/>
  <c r="CB28" i="10"/>
  <c r="BW28" i="10"/>
  <c r="BR28" i="10"/>
  <c r="AZ28" i="10"/>
  <c r="AO28" i="10"/>
  <c r="AI28" i="10"/>
  <c r="BS28" i="10"/>
  <c r="BI28" i="10"/>
  <c r="AQ28" i="10"/>
  <c r="CA28" i="10"/>
  <c r="BV28" i="10"/>
  <c r="BP28" i="10"/>
  <c r="BK28" i="10"/>
  <c r="BD28" i="10"/>
  <c r="AY28" i="10"/>
  <c r="AS28" i="10"/>
  <c r="AN28" i="10"/>
  <c r="AH28" i="10"/>
  <c r="AK28" i="10"/>
  <c r="BZ28" i="10"/>
  <c r="BO28" i="10"/>
  <c r="AW28" i="10"/>
  <c r="AR28" i="10"/>
  <c r="AM28" i="10"/>
  <c r="BN28" i="10"/>
  <c r="BA28" i="10"/>
  <c r="BL28" i="10"/>
  <c r="AU26" i="10"/>
  <c r="BG26" i="10" s="1"/>
  <c r="CC27" i="10"/>
  <c r="BY27" i="10"/>
  <c r="BP27" i="10"/>
  <c r="BK27" i="10"/>
  <c r="BA27" i="10"/>
  <c r="AW27" i="10"/>
  <c r="AR27" i="10"/>
  <c r="AN27" i="10"/>
  <c r="AI27" i="10"/>
  <c r="BZ27" i="10"/>
  <c r="BS27" i="10"/>
  <c r="BN27" i="10"/>
  <c r="BH27" i="10"/>
  <c r="BB27" i="10"/>
  <c r="AP27" i="10"/>
  <c r="BU27" i="10" s="1"/>
  <c r="AK27" i="10"/>
  <c r="BV27" i="10"/>
  <c r="AX27" i="10"/>
  <c r="BR27" i="10"/>
  <c r="AZ27" i="10"/>
  <c r="AT27" i="10"/>
  <c r="AO27" i="10"/>
  <c r="AH27" i="10"/>
  <c r="BI27" i="10"/>
  <c r="AL27" i="10"/>
  <c r="CB27" i="10"/>
  <c r="BW27" i="10"/>
  <c r="BQ27" i="10"/>
  <c r="BD27" i="10"/>
  <c r="AY27" i="10"/>
  <c r="AS27" i="10"/>
  <c r="AM27" i="10"/>
  <c r="CA27" i="10"/>
  <c r="BO27" i="10"/>
  <c r="AQ27" i="10"/>
  <c r="BL27" i="10"/>
  <c r="AV26" i="10"/>
  <c r="AF27" i="10"/>
  <c r="AF28" i="10"/>
  <c r="B29" i="10"/>
  <c r="CD29" i="10" s="1"/>
  <c r="BJ29" i="10" l="1"/>
  <c r="AU27" i="10"/>
  <c r="BG27" i="10" s="1"/>
  <c r="AV27" i="10"/>
  <c r="AV28" i="10"/>
  <c r="CB29" i="10"/>
  <c r="BW29" i="10"/>
  <c r="BR29" i="10"/>
  <c r="BN29" i="10"/>
  <c r="BI29" i="10"/>
  <c r="AY29" i="10"/>
  <c r="AT29" i="10"/>
  <c r="AP29" i="10"/>
  <c r="AV29" i="10" s="1"/>
  <c r="AL29" i="10"/>
  <c r="CC29" i="10"/>
  <c r="BV29" i="10"/>
  <c r="BP29" i="10"/>
  <c r="AX29" i="10"/>
  <c r="AR29" i="10"/>
  <c r="AM29" i="10"/>
  <c r="BQ29" i="10"/>
  <c r="AZ29" i="10"/>
  <c r="AH29" i="10"/>
  <c r="CA29" i="10"/>
  <c r="BO29" i="10"/>
  <c r="BH29" i="10"/>
  <c r="BB29" i="10"/>
  <c r="AW29" i="10"/>
  <c r="AQ29" i="10"/>
  <c r="AK29" i="10"/>
  <c r="BZ29" i="10"/>
  <c r="BS29" i="10"/>
  <c r="BA29" i="10"/>
  <c r="AO29" i="10"/>
  <c r="AI29" i="10"/>
  <c r="BY29" i="10"/>
  <c r="BK29" i="10"/>
  <c r="BD29" i="10"/>
  <c r="AS29" i="10"/>
  <c r="AN29" i="10"/>
  <c r="BL29" i="10"/>
  <c r="BX27" i="10"/>
  <c r="BT28" i="10"/>
  <c r="AU28" i="10"/>
  <c r="BG28" i="10" s="1"/>
  <c r="BT27" i="10"/>
  <c r="BX28" i="10"/>
  <c r="AF29" i="10"/>
  <c r="B30" i="10"/>
  <c r="CD30" i="10" s="1"/>
  <c r="BJ30" i="10" l="1"/>
  <c r="BX29" i="10"/>
  <c r="CC30" i="10"/>
  <c r="BY30" i="10"/>
  <c r="BR30" i="10"/>
  <c r="BN30" i="10"/>
  <c r="BI30" i="10"/>
  <c r="AY30" i="10"/>
  <c r="AS30" i="10"/>
  <c r="AO30" i="10"/>
  <c r="AK30" i="10"/>
  <c r="BZ30" i="10"/>
  <c r="BQ30" i="10"/>
  <c r="BK30" i="10"/>
  <c r="BD30" i="10"/>
  <c r="AZ30" i="10"/>
  <c r="AR30" i="10"/>
  <c r="AM30" i="10"/>
  <c r="BA30" i="10"/>
  <c r="AN30" i="10"/>
  <c r="BW30" i="10"/>
  <c r="BP30" i="10"/>
  <c r="AX30" i="10"/>
  <c r="AQ30" i="10"/>
  <c r="AL30" i="10"/>
  <c r="CA30" i="10"/>
  <c r="CB30" i="10"/>
  <c r="BV30" i="10"/>
  <c r="BO30" i="10"/>
  <c r="BH30" i="10"/>
  <c r="BB30" i="10"/>
  <c r="AW30" i="10"/>
  <c r="AP30" i="10"/>
  <c r="BU30" i="10" s="1"/>
  <c r="AI30" i="10"/>
  <c r="BS30" i="10"/>
  <c r="AT30" i="10"/>
  <c r="AH30" i="10"/>
  <c r="BX30" i="10" s="1"/>
  <c r="BL30" i="10"/>
  <c r="BT29" i="10"/>
  <c r="AU29" i="10"/>
  <c r="BG29" i="10" s="1"/>
  <c r="BU29" i="10"/>
  <c r="AF30" i="10"/>
  <c r="AE28" i="10"/>
  <c r="AE29" i="10"/>
  <c r="B31" i="10"/>
  <c r="CD31" i="10" s="1"/>
  <c r="BJ31" i="10" l="1"/>
  <c r="AU30" i="10"/>
  <c r="BG30" i="10" s="1"/>
  <c r="AV30" i="10"/>
  <c r="CA31" i="10"/>
  <c r="BW31" i="10"/>
  <c r="BR31" i="10"/>
  <c r="BN31" i="10"/>
  <c r="BI31" i="10"/>
  <c r="AY31" i="10"/>
  <c r="AT31" i="10"/>
  <c r="AP31" i="10"/>
  <c r="BU31" i="10" s="1"/>
  <c r="AL31" i="10"/>
  <c r="BY31" i="10"/>
  <c r="BS31" i="10"/>
  <c r="BA31" i="10"/>
  <c r="AO31" i="10"/>
  <c r="AI31" i="10"/>
  <c r="BZ31" i="10"/>
  <c r="BB31" i="10"/>
  <c r="AK31" i="10"/>
  <c r="CC31" i="10"/>
  <c r="BQ31" i="10"/>
  <c r="BK31" i="10"/>
  <c r="BD31" i="10"/>
  <c r="AZ31" i="10"/>
  <c r="AS31" i="10"/>
  <c r="AN31" i="10"/>
  <c r="AH31" i="10"/>
  <c r="BX31" i="10" s="1"/>
  <c r="AW31" i="10"/>
  <c r="CB31" i="10"/>
  <c r="BV31" i="10"/>
  <c r="BP31" i="10"/>
  <c r="AX31" i="10"/>
  <c r="AR31" i="10"/>
  <c r="AM31" i="10"/>
  <c r="BO31" i="10"/>
  <c r="BH31" i="10"/>
  <c r="AQ31" i="10"/>
  <c r="BL31" i="10"/>
  <c r="BT30" i="10"/>
  <c r="AF31" i="10"/>
  <c r="AE30" i="10"/>
  <c r="B32" i="10"/>
  <c r="CD32" i="10" s="1"/>
  <c r="BJ32" i="10" l="1"/>
  <c r="AV31" i="10"/>
  <c r="BT31" i="10"/>
  <c r="CA32" i="10"/>
  <c r="BW32" i="10"/>
  <c r="BS32" i="10"/>
  <c r="BO32" i="10"/>
  <c r="BD32" i="10"/>
  <c r="AZ32" i="10"/>
  <c r="AR32" i="10"/>
  <c r="AN32" i="10"/>
  <c r="AI32" i="10"/>
  <c r="CC32" i="10"/>
  <c r="BR32" i="10"/>
  <c r="AY32" i="10"/>
  <c r="AT32" i="10"/>
  <c r="AO32" i="10"/>
  <c r="AH32" i="10"/>
  <c r="BT32" i="10" s="1"/>
  <c r="BY32" i="10"/>
  <c r="BA32" i="10"/>
  <c r="CB32" i="10"/>
  <c r="BV32" i="10"/>
  <c r="BQ32" i="10"/>
  <c r="BK32" i="10"/>
  <c r="AX32" i="10"/>
  <c r="AS32" i="10"/>
  <c r="AM32" i="10"/>
  <c r="BN32" i="10"/>
  <c r="AP32" i="10"/>
  <c r="BU32" i="10" s="1"/>
  <c r="BZ32" i="10"/>
  <c r="BP32" i="10"/>
  <c r="BI32" i="10"/>
  <c r="BB32" i="10"/>
  <c r="AW32" i="10"/>
  <c r="AQ32" i="10"/>
  <c r="AL32" i="10"/>
  <c r="BH32" i="10"/>
  <c r="AK32" i="10"/>
  <c r="BL32" i="10"/>
  <c r="AU31" i="10"/>
  <c r="BG31" i="10" s="1"/>
  <c r="AF32" i="10"/>
  <c r="B33" i="10"/>
  <c r="CD33" i="10" s="1"/>
  <c r="AE31" i="10"/>
  <c r="BJ33" i="10" l="1"/>
  <c r="AU32" i="10"/>
  <c r="BG32" i="10" s="1"/>
  <c r="BX32" i="10"/>
  <c r="CC33" i="10"/>
  <c r="BY33" i="10"/>
  <c r="BS33" i="10"/>
  <c r="BO33" i="10"/>
  <c r="BD33" i="10"/>
  <c r="AZ33" i="10"/>
  <c r="AR33" i="10"/>
  <c r="AN33" i="10"/>
  <c r="AI33" i="10"/>
  <c r="BW33" i="10"/>
  <c r="BQ33" i="10"/>
  <c r="BK33" i="10"/>
  <c r="AX33" i="10"/>
  <c r="AS33" i="10"/>
  <c r="AM33" i="10"/>
  <c r="BR33" i="10"/>
  <c r="AY33" i="10"/>
  <c r="AT33" i="10"/>
  <c r="AO33" i="10"/>
  <c r="AH33" i="10"/>
  <c r="CB33" i="10"/>
  <c r="BV33" i="10"/>
  <c r="BP33" i="10"/>
  <c r="BI33" i="10"/>
  <c r="BB33" i="10"/>
  <c r="AW33" i="10"/>
  <c r="AQ33" i="10"/>
  <c r="AL33" i="10"/>
  <c r="CA33" i="10"/>
  <c r="BN33" i="10"/>
  <c r="BH33" i="10"/>
  <c r="BA33" i="10"/>
  <c r="AP33" i="10"/>
  <c r="BU33" i="10" s="1"/>
  <c r="AK33" i="10"/>
  <c r="BZ33" i="10"/>
  <c r="BT33" i="10"/>
  <c r="BL33" i="10"/>
  <c r="AV32" i="10"/>
  <c r="AF33" i="10"/>
  <c r="B34" i="10"/>
  <c r="CD34" i="10" s="1"/>
  <c r="AE32" i="10"/>
  <c r="BJ34" i="10" l="1"/>
  <c r="AV33" i="10"/>
  <c r="BZ34" i="10"/>
  <c r="BS34" i="10"/>
  <c r="BO34" i="10"/>
  <c r="BD34" i="10"/>
  <c r="AZ34" i="10"/>
  <c r="AT34" i="10"/>
  <c r="AP34" i="10"/>
  <c r="BU34" i="10" s="1"/>
  <c r="AL34" i="10"/>
  <c r="CB34" i="10"/>
  <c r="BV34" i="10"/>
  <c r="BN34" i="10"/>
  <c r="BH34" i="10"/>
  <c r="BA34" i="10"/>
  <c r="AS34" i="10"/>
  <c r="AN34" i="10"/>
  <c r="AH34" i="10"/>
  <c r="BX34" i="10" s="1"/>
  <c r="BW34" i="10"/>
  <c r="BB34" i="10"/>
  <c r="AO34" i="10"/>
  <c r="CA34" i="10"/>
  <c r="BR34" i="10"/>
  <c r="AY34" i="10"/>
  <c r="AR34" i="10"/>
  <c r="AM34" i="10"/>
  <c r="BY34" i="10"/>
  <c r="BQ34" i="10"/>
  <c r="BK34" i="10"/>
  <c r="AX34" i="10"/>
  <c r="AQ34" i="10"/>
  <c r="AK34" i="10"/>
  <c r="CC34" i="10"/>
  <c r="BP34" i="10"/>
  <c r="BI34" i="10"/>
  <c r="AW34" i="10"/>
  <c r="AI34" i="10"/>
  <c r="BT34" i="10"/>
  <c r="BL34" i="10"/>
  <c r="AU33" i="10"/>
  <c r="BG33" i="10" s="1"/>
  <c r="BX33" i="10"/>
  <c r="AF34" i="10"/>
  <c r="B35" i="10"/>
  <c r="CD35" i="10" s="1"/>
  <c r="AE33" i="10"/>
  <c r="BJ35" i="10" l="1"/>
  <c r="AU34" i="10"/>
  <c r="BG34" i="10" s="1"/>
  <c r="AV34" i="10"/>
  <c r="CB35" i="10"/>
  <c r="BS35" i="10"/>
  <c r="BO35" i="10"/>
  <c r="BD35" i="10"/>
  <c r="AZ35" i="10"/>
  <c r="AQ35" i="10"/>
  <c r="AM35" i="10"/>
  <c r="AH35" i="10"/>
  <c r="BT35" i="10" s="1"/>
  <c r="CC35" i="10"/>
  <c r="BW35" i="10"/>
  <c r="BQ35" i="10"/>
  <c r="BK35" i="10"/>
  <c r="AX35" i="10"/>
  <c r="AR35" i="10"/>
  <c r="AL35" i="10"/>
  <c r="BY35" i="10"/>
  <c r="AS35" i="10"/>
  <c r="CA35" i="10"/>
  <c r="BV35" i="10"/>
  <c r="BP35" i="10"/>
  <c r="BI35" i="10"/>
  <c r="BB35" i="10"/>
  <c r="AW35" i="10"/>
  <c r="AP35" i="10"/>
  <c r="BU35" i="10" s="1"/>
  <c r="AK35" i="10"/>
  <c r="BZ35" i="10"/>
  <c r="BN35" i="10"/>
  <c r="BH35" i="10"/>
  <c r="BA35" i="10"/>
  <c r="AT35" i="10"/>
  <c r="AO35" i="10"/>
  <c r="AI35" i="10"/>
  <c r="BR35" i="10"/>
  <c r="AY35" i="10"/>
  <c r="AN35" i="10"/>
  <c r="BL35" i="10"/>
  <c r="AF35" i="10"/>
  <c r="AE34" i="10"/>
  <c r="B36" i="10"/>
  <c r="CD36" i="10" s="1"/>
  <c r="BJ36" i="10" l="1"/>
  <c r="AV35" i="10"/>
  <c r="AU35" i="10"/>
  <c r="BG35" i="10" s="1"/>
  <c r="CB36" i="10"/>
  <c r="BP36" i="10"/>
  <c r="BK36" i="10"/>
  <c r="BA36" i="10"/>
  <c r="AW36" i="10"/>
  <c r="AS36" i="10"/>
  <c r="AO36" i="10"/>
  <c r="AK36" i="10"/>
  <c r="BZ36" i="10"/>
  <c r="BO36" i="10"/>
  <c r="BI36" i="10"/>
  <c r="AX36" i="10"/>
  <c r="AR36" i="10"/>
  <c r="AM36" i="10"/>
  <c r="CA36" i="10"/>
  <c r="AT36" i="10"/>
  <c r="BY36" i="10"/>
  <c r="BS36" i="10"/>
  <c r="BN36" i="10"/>
  <c r="BH36" i="10"/>
  <c r="BB36" i="10"/>
  <c r="AQ36" i="10"/>
  <c r="AL36" i="10"/>
  <c r="BV36" i="10"/>
  <c r="AN36" i="10"/>
  <c r="CC36" i="10"/>
  <c r="BW36" i="10"/>
  <c r="BR36" i="10"/>
  <c r="AZ36" i="10"/>
  <c r="AP36" i="10"/>
  <c r="BU36" i="10" s="1"/>
  <c r="AI36" i="10"/>
  <c r="BQ36" i="10"/>
  <c r="BD36" i="10"/>
  <c r="AY36" i="10"/>
  <c r="AH36" i="10"/>
  <c r="BL36" i="10"/>
  <c r="BX35" i="10"/>
  <c r="AF36" i="10"/>
  <c r="AE35" i="10"/>
  <c r="B37" i="10"/>
  <c r="CD37" i="10" s="1"/>
  <c r="BJ37" i="10" l="1"/>
  <c r="AU36" i="10"/>
  <c r="BG36" i="10" s="1"/>
  <c r="BT36" i="10"/>
  <c r="BX36" i="10"/>
  <c r="BZ37" i="10"/>
  <c r="BP37" i="10"/>
  <c r="BK37" i="10"/>
  <c r="BA37" i="10"/>
  <c r="AW37" i="10"/>
  <c r="AS37" i="10"/>
  <c r="AO37" i="10"/>
  <c r="AK37" i="10"/>
  <c r="BY37" i="10"/>
  <c r="BR37" i="10"/>
  <c r="AZ37" i="10"/>
  <c r="AP37" i="10"/>
  <c r="BU37" i="10" s="1"/>
  <c r="AI37" i="10"/>
  <c r="CA37" i="10"/>
  <c r="BB37" i="10"/>
  <c r="CC37" i="10"/>
  <c r="BW37" i="10"/>
  <c r="BQ37" i="10"/>
  <c r="BD37" i="10"/>
  <c r="AY37" i="10"/>
  <c r="AT37" i="10"/>
  <c r="AN37" i="10"/>
  <c r="AH37" i="10"/>
  <c r="BS37" i="10"/>
  <c r="BH37" i="10"/>
  <c r="CB37" i="10"/>
  <c r="BV37" i="10"/>
  <c r="BO37" i="10"/>
  <c r="BI37" i="10"/>
  <c r="AX37" i="10"/>
  <c r="AR37" i="10"/>
  <c r="AM37" i="10"/>
  <c r="BN37" i="10"/>
  <c r="AQ37" i="10"/>
  <c r="AL37" i="10"/>
  <c r="BL37" i="10"/>
  <c r="AV36" i="10"/>
  <c r="AF37" i="10"/>
  <c r="AE36" i="10"/>
  <c r="B38" i="10"/>
  <c r="CD38" i="10" s="1"/>
  <c r="BJ38" i="10" l="1"/>
  <c r="AV37" i="10"/>
  <c r="BX37" i="10"/>
  <c r="AU37" i="10"/>
  <c r="BG37" i="10" s="1"/>
  <c r="CA38" i="10"/>
  <c r="BV38" i="10"/>
  <c r="BP38" i="10"/>
  <c r="BK38" i="10"/>
  <c r="BA38" i="10"/>
  <c r="AW38" i="10"/>
  <c r="AQ38" i="10"/>
  <c r="AM38" i="10"/>
  <c r="AH38" i="10"/>
  <c r="BX38" i="10" s="1"/>
  <c r="CB38" i="10"/>
  <c r="BS38" i="10"/>
  <c r="BN38" i="10"/>
  <c r="BH38" i="10"/>
  <c r="BB38" i="10"/>
  <c r="AT38" i="10"/>
  <c r="AO38" i="10"/>
  <c r="AI38" i="10"/>
  <c r="CC38" i="10"/>
  <c r="BI38" i="10"/>
  <c r="BZ38" i="10"/>
  <c r="BR38" i="10"/>
  <c r="AZ38" i="10"/>
  <c r="AS38" i="10"/>
  <c r="AN38" i="10"/>
  <c r="BW38" i="10"/>
  <c r="AP38" i="10"/>
  <c r="BU38" i="10" s="1"/>
  <c r="BY38" i="10"/>
  <c r="BQ38" i="10"/>
  <c r="BD38" i="10"/>
  <c r="AY38" i="10"/>
  <c r="AR38" i="10"/>
  <c r="AL38" i="10"/>
  <c r="BO38" i="10"/>
  <c r="AX38" i="10"/>
  <c r="AK38" i="10"/>
  <c r="BL38" i="10"/>
  <c r="BT37" i="10"/>
  <c r="AF38" i="10"/>
  <c r="AE37" i="10"/>
  <c r="B39" i="10"/>
  <c r="CD39" i="10" s="1"/>
  <c r="BJ39" i="10" l="1"/>
  <c r="BT38" i="10"/>
  <c r="AV38" i="10"/>
  <c r="AU38" i="10"/>
  <c r="BG38" i="10" s="1"/>
  <c r="CC39" i="10"/>
  <c r="BY39" i="10"/>
  <c r="BP39" i="10"/>
  <c r="BK39" i="10"/>
  <c r="BA39" i="10"/>
  <c r="AW39" i="10"/>
  <c r="AR39" i="10"/>
  <c r="AN39" i="10"/>
  <c r="AI39" i="10"/>
  <c r="CA39" i="10"/>
  <c r="BV39" i="10"/>
  <c r="BO39" i="10"/>
  <c r="BI39" i="10"/>
  <c r="AX39" i="10"/>
  <c r="AQ39" i="10"/>
  <c r="AL39" i="10"/>
  <c r="BQ39" i="10"/>
  <c r="AY39" i="10"/>
  <c r="BZ39" i="10"/>
  <c r="BS39" i="10"/>
  <c r="BN39" i="10"/>
  <c r="BH39" i="10"/>
  <c r="BB39" i="10"/>
  <c r="AP39" i="10"/>
  <c r="BU39" i="10" s="1"/>
  <c r="AK39" i="10"/>
  <c r="BW39" i="10"/>
  <c r="AS39" i="10"/>
  <c r="BR39" i="10"/>
  <c r="AZ39" i="10"/>
  <c r="AT39" i="10"/>
  <c r="AO39" i="10"/>
  <c r="AH39" i="10"/>
  <c r="BT39" i="10" s="1"/>
  <c r="CB39" i="10"/>
  <c r="BD39" i="10"/>
  <c r="AM39" i="10"/>
  <c r="BL39" i="10"/>
  <c r="AF39" i="10"/>
  <c r="AE38" i="10"/>
  <c r="B40" i="10"/>
  <c r="CD40" i="10" s="1"/>
  <c r="BJ40" i="10" l="1"/>
  <c r="AV39" i="10"/>
  <c r="CC40" i="10"/>
  <c r="BY40" i="10"/>
  <c r="BQ40" i="10"/>
  <c r="BH40" i="10"/>
  <c r="BB40" i="10"/>
  <c r="AX40" i="10"/>
  <c r="AT40" i="10"/>
  <c r="AP40" i="10"/>
  <c r="BU40" i="10" s="1"/>
  <c r="AL40" i="10"/>
  <c r="BS40" i="10"/>
  <c r="BN40" i="10"/>
  <c r="BI40" i="10"/>
  <c r="BA40" i="10"/>
  <c r="AQ40" i="10"/>
  <c r="AK40" i="10"/>
  <c r="AW40" i="10"/>
  <c r="AM40" i="10"/>
  <c r="CB40" i="10"/>
  <c r="BW40" i="10"/>
  <c r="BR40" i="10"/>
  <c r="AZ40" i="10"/>
  <c r="AO40" i="10"/>
  <c r="AI40" i="10"/>
  <c r="BZ40" i="10"/>
  <c r="BO40" i="10"/>
  <c r="AR40" i="10"/>
  <c r="CA40" i="10"/>
  <c r="BV40" i="10"/>
  <c r="BP40" i="10"/>
  <c r="BK40" i="10"/>
  <c r="BD40" i="10"/>
  <c r="AY40" i="10"/>
  <c r="AS40" i="10"/>
  <c r="AN40" i="10"/>
  <c r="AH40" i="10"/>
  <c r="BL40" i="10"/>
  <c r="BX39" i="10"/>
  <c r="AU39" i="10"/>
  <c r="BG39" i="10" s="1"/>
  <c r="AF40" i="10"/>
  <c r="B41" i="10"/>
  <c r="CD41" i="10" s="1"/>
  <c r="AE39" i="10"/>
  <c r="BJ41" i="10" l="1"/>
  <c r="AV40" i="10"/>
  <c r="CA41" i="10"/>
  <c r="BV41" i="10"/>
  <c r="BQ41" i="10"/>
  <c r="BH41" i="10"/>
  <c r="BB41" i="10"/>
  <c r="AX41" i="10"/>
  <c r="AT41" i="10"/>
  <c r="AP41" i="10"/>
  <c r="BU41" i="10" s="1"/>
  <c r="AL41" i="10"/>
  <c r="CC41" i="10"/>
  <c r="BW41" i="10"/>
  <c r="BP41" i="10"/>
  <c r="BK41" i="10"/>
  <c r="BD41" i="10"/>
  <c r="AY41" i="10"/>
  <c r="AS41" i="10"/>
  <c r="AN41" i="10"/>
  <c r="AH41" i="10"/>
  <c r="BY41" i="10"/>
  <c r="AZ41" i="10"/>
  <c r="AO41" i="10"/>
  <c r="AI41" i="10"/>
  <c r="CB41" i="10"/>
  <c r="BO41" i="10"/>
  <c r="AW41" i="10"/>
  <c r="AR41" i="10"/>
  <c r="AM41" i="10"/>
  <c r="BR41" i="10"/>
  <c r="BZ41" i="10"/>
  <c r="BS41" i="10"/>
  <c r="BN41" i="10"/>
  <c r="BI41" i="10"/>
  <c r="BA41" i="10"/>
  <c r="AQ41" i="10"/>
  <c r="AK41" i="10"/>
  <c r="BL41" i="10"/>
  <c r="BT40" i="10"/>
  <c r="BX40" i="10"/>
  <c r="AU40" i="10"/>
  <c r="BG40" i="10" s="1"/>
  <c r="AF41" i="10"/>
  <c r="AE40" i="10"/>
  <c r="B42" i="10"/>
  <c r="CD42" i="10" s="1"/>
  <c r="BJ42" i="10" l="1"/>
  <c r="AV41" i="10"/>
  <c r="AU41" i="10"/>
  <c r="BG41" i="10" s="1"/>
  <c r="BX41" i="10"/>
  <c r="CB42" i="10"/>
  <c r="BW42" i="10"/>
  <c r="BQ42" i="10"/>
  <c r="BH42" i="10"/>
  <c r="BB42" i="10"/>
  <c r="AX42" i="10"/>
  <c r="AR42" i="10"/>
  <c r="AN42" i="10"/>
  <c r="AI42" i="10"/>
  <c r="BZ42" i="10"/>
  <c r="BR42" i="10"/>
  <c r="AZ42" i="10"/>
  <c r="AS42" i="10"/>
  <c r="AM42" i="10"/>
  <c r="BS42" i="10"/>
  <c r="BI42" i="10"/>
  <c r="AO42" i="10"/>
  <c r="BY42" i="10"/>
  <c r="BP42" i="10"/>
  <c r="BK42" i="10"/>
  <c r="BD42" i="10"/>
  <c r="AY42" i="10"/>
  <c r="AQ42" i="10"/>
  <c r="AL42" i="10"/>
  <c r="CC42" i="10"/>
  <c r="BV42" i="10"/>
  <c r="BO42" i="10"/>
  <c r="AW42" i="10"/>
  <c r="AP42" i="10"/>
  <c r="BU42" i="10" s="1"/>
  <c r="AK42" i="10"/>
  <c r="CA42" i="10"/>
  <c r="BN42" i="10"/>
  <c r="BA42" i="10"/>
  <c r="AT42" i="10"/>
  <c r="AH42" i="10"/>
  <c r="BX42" i="10" s="1"/>
  <c r="BL42" i="10"/>
  <c r="BT41" i="10"/>
  <c r="AF42" i="10"/>
  <c r="AE41" i="10"/>
  <c r="B43" i="10"/>
  <c r="CD43" i="10" s="1"/>
  <c r="BJ43" i="10" l="1"/>
  <c r="AV42" i="10"/>
  <c r="BT42" i="10"/>
  <c r="BZ43" i="10"/>
  <c r="BV43" i="10"/>
  <c r="BQ43" i="10"/>
  <c r="BH43" i="10"/>
  <c r="BB43" i="10"/>
  <c r="AX43" i="10"/>
  <c r="AS43" i="10"/>
  <c r="AO43" i="10"/>
  <c r="AK43" i="10"/>
  <c r="BY43" i="10"/>
  <c r="BS43" i="10"/>
  <c r="BN43" i="10"/>
  <c r="BI43" i="10"/>
  <c r="BA43" i="10"/>
  <c r="AP43" i="10"/>
  <c r="BU43" i="10" s="1"/>
  <c r="AI43" i="10"/>
  <c r="CA43" i="10"/>
  <c r="BO43" i="10"/>
  <c r="AQ43" i="10"/>
  <c r="CC43" i="10"/>
  <c r="BR43" i="10"/>
  <c r="AZ43" i="10"/>
  <c r="AT43" i="10"/>
  <c r="AN43" i="10"/>
  <c r="AH43" i="10"/>
  <c r="CB43" i="10"/>
  <c r="BW43" i="10"/>
  <c r="BP43" i="10"/>
  <c r="BK43" i="10"/>
  <c r="BD43" i="10"/>
  <c r="AY43" i="10"/>
  <c r="AR43" i="10"/>
  <c r="AM43" i="10"/>
  <c r="AW43" i="10"/>
  <c r="AL43" i="10"/>
  <c r="BL43" i="10"/>
  <c r="AU42" i="10"/>
  <c r="BG42" i="10" s="1"/>
  <c r="AF43" i="10"/>
  <c r="AE42" i="10"/>
  <c r="B44" i="10"/>
  <c r="CD44" i="10" s="1"/>
  <c r="BJ44" i="10" l="1"/>
  <c r="AU43" i="10"/>
  <c r="BG43" i="10" s="1"/>
  <c r="AV43" i="10"/>
  <c r="BX43" i="10"/>
  <c r="BZ44" i="10"/>
  <c r="BV44" i="10"/>
  <c r="BR44" i="10"/>
  <c r="BN44" i="10"/>
  <c r="BI44" i="10"/>
  <c r="AY44" i="10"/>
  <c r="AQ44" i="10"/>
  <c r="AM44" i="10"/>
  <c r="AH44" i="10"/>
  <c r="BX44" i="10" s="1"/>
  <c r="CB44" i="10"/>
  <c r="BW44" i="10"/>
  <c r="BQ44" i="10"/>
  <c r="BK44" i="10"/>
  <c r="BD44" i="10"/>
  <c r="AZ44" i="10"/>
  <c r="AT44" i="10"/>
  <c r="AO44" i="10"/>
  <c r="AI44" i="10"/>
  <c r="BS44" i="10"/>
  <c r="CA44" i="10"/>
  <c r="BP44" i="10"/>
  <c r="AX44" i="10"/>
  <c r="AS44" i="10"/>
  <c r="AN44" i="10"/>
  <c r="CC44" i="10"/>
  <c r="BY44" i="10"/>
  <c r="BO44" i="10"/>
  <c r="BH44" i="10"/>
  <c r="BB44" i="10"/>
  <c r="AW44" i="10"/>
  <c r="AR44" i="10"/>
  <c r="AL44" i="10"/>
  <c r="BA44" i="10"/>
  <c r="AP44" i="10"/>
  <c r="BU44" i="10" s="1"/>
  <c r="AK44" i="10"/>
  <c r="BL44" i="10"/>
  <c r="BT43" i="10"/>
  <c r="AF44" i="10"/>
  <c r="B45" i="10"/>
  <c r="CD45" i="10" s="1"/>
  <c r="AE43" i="10"/>
  <c r="BJ45" i="10" l="1"/>
  <c r="BT44" i="10"/>
  <c r="AU44" i="10"/>
  <c r="BG44" i="10" s="1"/>
  <c r="AV44" i="10"/>
  <c r="CC45" i="10"/>
  <c r="BY45" i="10"/>
  <c r="BS45" i="10"/>
  <c r="BO45" i="10"/>
  <c r="BD45" i="10"/>
  <c r="AZ45" i="10"/>
  <c r="AQ45" i="10"/>
  <c r="AM45" i="10"/>
  <c r="AH45" i="10"/>
  <c r="BW45" i="10"/>
  <c r="BQ45" i="10"/>
  <c r="BK45" i="10"/>
  <c r="AX45" i="10"/>
  <c r="AR45" i="10"/>
  <c r="AL45" i="10"/>
  <c r="CB45" i="10"/>
  <c r="BV45" i="10"/>
  <c r="BP45" i="10"/>
  <c r="BI45" i="10"/>
  <c r="BB45" i="10"/>
  <c r="AW45" i="10"/>
  <c r="AP45" i="10"/>
  <c r="AK45" i="10"/>
  <c r="BR45" i="10"/>
  <c r="AY45" i="10"/>
  <c r="AS45" i="10"/>
  <c r="AN45" i="10"/>
  <c r="CA45" i="10"/>
  <c r="BN45" i="10"/>
  <c r="BH45" i="10"/>
  <c r="BA45" i="10"/>
  <c r="AT45" i="10"/>
  <c r="AO45" i="10"/>
  <c r="AI45" i="10"/>
  <c r="BZ45" i="10"/>
  <c r="BL45" i="10"/>
  <c r="AF45" i="10"/>
  <c r="AE44" i="10"/>
  <c r="B46" i="10"/>
  <c r="CD46" i="10" s="1"/>
  <c r="BJ46" i="10" l="1"/>
  <c r="AU45" i="10"/>
  <c r="BG45" i="10" s="1"/>
  <c r="BU45" i="10"/>
  <c r="AV45" i="10"/>
  <c r="BX45" i="10"/>
  <c r="BZ46" i="10"/>
  <c r="BS46" i="10"/>
  <c r="BO46" i="10"/>
  <c r="BD46" i="10"/>
  <c r="AZ46" i="10"/>
  <c r="AT46" i="10"/>
  <c r="AP46" i="10"/>
  <c r="BU46" i="10" s="1"/>
  <c r="AL46" i="10"/>
  <c r="CB46" i="10"/>
  <c r="BV46" i="10"/>
  <c r="BN46" i="10"/>
  <c r="BH46" i="10"/>
  <c r="BA46" i="10"/>
  <c r="AS46" i="10"/>
  <c r="AN46" i="10"/>
  <c r="AH46" i="10"/>
  <c r="BX46" i="10" s="1"/>
  <c r="CA46" i="10"/>
  <c r="BR46" i="10"/>
  <c r="AY46" i="10"/>
  <c r="AR46" i="10"/>
  <c r="AM46" i="10"/>
  <c r="CC46" i="10"/>
  <c r="BI46" i="10"/>
  <c r="AO46" i="10"/>
  <c r="BY46" i="10"/>
  <c r="BQ46" i="10"/>
  <c r="BK46" i="10"/>
  <c r="AX46" i="10"/>
  <c r="AQ46" i="10"/>
  <c r="AK46" i="10"/>
  <c r="BW46" i="10"/>
  <c r="BP46" i="10"/>
  <c r="BB46" i="10"/>
  <c r="AW46" i="10"/>
  <c r="AI46" i="10"/>
  <c r="BT46" i="10"/>
  <c r="BL46" i="10"/>
  <c r="BT45" i="10"/>
  <c r="AF46" i="10"/>
  <c r="B47" i="10"/>
  <c r="CD47" i="10" s="1"/>
  <c r="AE45" i="10"/>
  <c r="BJ47" i="10" l="1"/>
  <c r="AU46" i="10"/>
  <c r="BG46" i="10" s="1"/>
  <c r="AV46" i="10"/>
  <c r="CB47" i="10"/>
  <c r="BS47" i="10"/>
  <c r="BO47" i="10"/>
  <c r="BD47" i="10"/>
  <c r="AZ47" i="10"/>
  <c r="AQ47" i="10"/>
  <c r="AM47" i="10"/>
  <c r="AH47" i="10"/>
  <c r="BT47" i="10" s="1"/>
  <c r="CC47" i="10"/>
  <c r="BW47" i="10"/>
  <c r="BQ47" i="10"/>
  <c r="BK47" i="10"/>
  <c r="AX47" i="10"/>
  <c r="AR47" i="10"/>
  <c r="AL47" i="10"/>
  <c r="CA47" i="10"/>
  <c r="BV47" i="10"/>
  <c r="BP47" i="10"/>
  <c r="BI47" i="10"/>
  <c r="BB47" i="10"/>
  <c r="AW47" i="10"/>
  <c r="AP47" i="10"/>
  <c r="BU47" i="10" s="1"/>
  <c r="AK47" i="10"/>
  <c r="BY47" i="10"/>
  <c r="AS47" i="10"/>
  <c r="BZ47" i="10"/>
  <c r="BN47" i="10"/>
  <c r="BH47" i="10"/>
  <c r="BA47" i="10"/>
  <c r="AT47" i="10"/>
  <c r="AO47" i="10"/>
  <c r="AI47" i="10"/>
  <c r="BR47" i="10"/>
  <c r="AY47" i="10"/>
  <c r="AN47" i="10"/>
  <c r="BL47" i="10"/>
  <c r="AF47" i="10"/>
  <c r="AE46" i="10"/>
  <c r="B48" i="10"/>
  <c r="CD48" i="10" s="1"/>
  <c r="BJ48" i="10" l="1"/>
  <c r="AV47" i="10"/>
  <c r="AU47" i="10"/>
  <c r="BG47" i="10" s="1"/>
  <c r="CB48" i="10"/>
  <c r="BP48" i="10"/>
  <c r="BK48" i="10"/>
  <c r="BA48" i="10"/>
  <c r="AW48" i="10"/>
  <c r="AS48" i="10"/>
  <c r="AO48" i="10"/>
  <c r="AK48" i="10"/>
  <c r="BZ48" i="10"/>
  <c r="BO48" i="10"/>
  <c r="BI48" i="10"/>
  <c r="AX48" i="10"/>
  <c r="AR48" i="10"/>
  <c r="AM48" i="10"/>
  <c r="BQ48" i="10"/>
  <c r="BD48" i="10"/>
  <c r="AT48" i="10"/>
  <c r="AH48" i="10"/>
  <c r="BY48" i="10"/>
  <c r="BS48" i="10"/>
  <c r="BN48" i="10"/>
  <c r="BH48" i="10"/>
  <c r="BB48" i="10"/>
  <c r="AQ48" i="10"/>
  <c r="AL48" i="10"/>
  <c r="CA48" i="10"/>
  <c r="AY48" i="10"/>
  <c r="CC48" i="10"/>
  <c r="BW48" i="10"/>
  <c r="BR48" i="10"/>
  <c r="AZ48" i="10"/>
  <c r="AP48" i="10"/>
  <c r="BU48" i="10" s="1"/>
  <c r="AI48" i="10"/>
  <c r="BV48" i="10"/>
  <c r="AN48" i="10"/>
  <c r="BL48" i="10"/>
  <c r="BX47" i="10"/>
  <c r="AF48" i="10"/>
  <c r="B49" i="10"/>
  <c r="CD49" i="10" s="1"/>
  <c r="AE47" i="10"/>
  <c r="BJ49" i="10" l="1"/>
  <c r="AU48" i="10"/>
  <c r="BG48" i="10" s="1"/>
  <c r="BT48" i="10"/>
  <c r="AV48" i="10"/>
  <c r="BX48" i="10"/>
  <c r="CA49" i="10"/>
  <c r="BV49" i="10"/>
  <c r="BQ49" i="10"/>
  <c r="BH49" i="10"/>
  <c r="BB49" i="10"/>
  <c r="AX49" i="10"/>
  <c r="AS49" i="10"/>
  <c r="AO49" i="10"/>
  <c r="AK49" i="10"/>
  <c r="BZ49" i="10"/>
  <c r="BS49" i="10"/>
  <c r="BN49" i="10"/>
  <c r="BI49" i="10"/>
  <c r="BA49" i="10"/>
  <c r="AP49" i="10"/>
  <c r="AI49" i="10"/>
  <c r="CB49" i="10"/>
  <c r="BO49" i="10"/>
  <c r="AW49" i="10"/>
  <c r="AL49" i="10"/>
  <c r="BY49" i="10"/>
  <c r="BR49" i="10"/>
  <c r="AZ49" i="10"/>
  <c r="AT49" i="10"/>
  <c r="AN49" i="10"/>
  <c r="AH49" i="10"/>
  <c r="BT49" i="10" s="1"/>
  <c r="AQ49" i="10"/>
  <c r="CC49" i="10"/>
  <c r="BW49" i="10"/>
  <c r="BP49" i="10"/>
  <c r="BK49" i="10"/>
  <c r="BD49" i="10"/>
  <c r="AY49" i="10"/>
  <c r="AR49" i="10"/>
  <c r="AM49" i="10"/>
  <c r="BL49" i="10"/>
  <c r="AF49" i="10"/>
  <c r="B50" i="10"/>
  <c r="CD50" i="10" s="1"/>
  <c r="AE48" i="10"/>
  <c r="BJ50" i="10" l="1"/>
  <c r="AU49" i="10"/>
  <c r="BG49" i="10" s="1"/>
  <c r="BU49" i="10"/>
  <c r="BX49" i="10"/>
  <c r="AV49" i="10"/>
  <c r="CB50" i="10"/>
  <c r="BW50" i="10"/>
  <c r="BQ50" i="10"/>
  <c r="BH50" i="10"/>
  <c r="BB50" i="10"/>
  <c r="AX50" i="10"/>
  <c r="AR50" i="10"/>
  <c r="AN50" i="10"/>
  <c r="AI50" i="10"/>
  <c r="BZ50" i="10"/>
  <c r="BS50" i="10"/>
  <c r="BO50" i="10"/>
  <c r="BD50" i="10"/>
  <c r="AZ50" i="10"/>
  <c r="AT50" i="10"/>
  <c r="AP50" i="10"/>
  <c r="BU50" i="10" s="1"/>
  <c r="AL50" i="10"/>
  <c r="BV50" i="10"/>
  <c r="AS50" i="10"/>
  <c r="AK50" i="10"/>
  <c r="BN50" i="10"/>
  <c r="AW50" i="10"/>
  <c r="CC50" i="10"/>
  <c r="BR50" i="10"/>
  <c r="BK50" i="10"/>
  <c r="BA50" i="10"/>
  <c r="AQ50" i="10"/>
  <c r="AH50" i="10"/>
  <c r="BX50" i="10" s="1"/>
  <c r="BY50" i="10"/>
  <c r="AM50" i="10"/>
  <c r="CA50" i="10"/>
  <c r="BP50" i="10"/>
  <c r="BI50" i="10"/>
  <c r="AY50" i="10"/>
  <c r="AO50" i="10"/>
  <c r="BL50" i="10"/>
  <c r="AF50" i="10"/>
  <c r="AE49" i="10"/>
  <c r="B51" i="10"/>
  <c r="CD51" i="10" s="1"/>
  <c r="BJ51" i="10" l="1"/>
  <c r="BT50" i="10"/>
  <c r="AU50" i="10"/>
  <c r="BG50" i="10" s="1"/>
  <c r="AV50" i="10"/>
  <c r="BZ51" i="10"/>
  <c r="BV51" i="10"/>
  <c r="BQ51" i="10"/>
  <c r="BH51" i="10"/>
  <c r="BB51" i="10"/>
  <c r="AX51" i="10"/>
  <c r="AS51" i="10"/>
  <c r="AO51" i="10"/>
  <c r="AK51" i="10"/>
  <c r="CC51" i="10"/>
  <c r="BY51" i="10"/>
  <c r="BP51" i="10"/>
  <c r="BK51" i="10"/>
  <c r="BA51" i="10"/>
  <c r="AW51" i="10"/>
  <c r="AR51" i="10"/>
  <c r="AN51" i="10"/>
  <c r="CB51" i="10"/>
  <c r="BS51" i="10"/>
  <c r="BO51" i="10"/>
  <c r="BD51" i="10"/>
  <c r="AZ51" i="10"/>
  <c r="AQ51" i="10"/>
  <c r="AM51" i="10"/>
  <c r="AH51" i="10"/>
  <c r="BT51" i="10" s="1"/>
  <c r="CA51" i="10"/>
  <c r="AY51" i="10"/>
  <c r="AI51" i="10"/>
  <c r="BW51" i="10"/>
  <c r="BI51" i="10"/>
  <c r="AT51" i="10"/>
  <c r="BR51" i="10"/>
  <c r="AP51" i="10"/>
  <c r="BU51" i="10" s="1"/>
  <c r="BN51" i="10"/>
  <c r="AL51" i="10"/>
  <c r="BL51" i="10"/>
  <c r="AF51" i="10"/>
  <c r="AE50" i="10"/>
  <c r="B52" i="10"/>
  <c r="CD52" i="10" s="1"/>
  <c r="BJ52" i="10" l="1"/>
  <c r="BX51" i="10"/>
  <c r="AV51" i="10"/>
  <c r="BZ52" i="10"/>
  <c r="BV52" i="10"/>
  <c r="BR52" i="10"/>
  <c r="BN52" i="10"/>
  <c r="BI52" i="10"/>
  <c r="AY52" i="10"/>
  <c r="AQ52" i="10"/>
  <c r="AM52" i="10"/>
  <c r="AH52" i="10"/>
  <c r="BX52" i="10" s="1"/>
  <c r="CC52" i="10"/>
  <c r="BY52" i="10"/>
  <c r="BQ52" i="10"/>
  <c r="BH52" i="10"/>
  <c r="BB52" i="10"/>
  <c r="AX52" i="10"/>
  <c r="AT52" i="10"/>
  <c r="AP52" i="10"/>
  <c r="BU52" i="10" s="1"/>
  <c r="AL52" i="10"/>
  <c r="CB52" i="10"/>
  <c r="BP52" i="10"/>
  <c r="BK52" i="10"/>
  <c r="BA52" i="10"/>
  <c r="AW52" i="10"/>
  <c r="AS52" i="10"/>
  <c r="AO52" i="10"/>
  <c r="AK52" i="10"/>
  <c r="BS52" i="10"/>
  <c r="BW52" i="10"/>
  <c r="BO52" i="10"/>
  <c r="BD52" i="10"/>
  <c r="AR52" i="10"/>
  <c r="CA52" i="10"/>
  <c r="AN52" i="10"/>
  <c r="AZ52" i="10"/>
  <c r="AI52" i="10"/>
  <c r="BL52" i="10"/>
  <c r="AU51" i="10"/>
  <c r="BG51" i="10" s="1"/>
  <c r="AF52" i="10"/>
  <c r="AE51" i="10"/>
  <c r="B53" i="10"/>
  <c r="CD53" i="10" s="1"/>
  <c r="BJ53" i="10" l="1"/>
  <c r="AV52" i="10"/>
  <c r="BT52" i="10"/>
  <c r="AU52" i="10"/>
  <c r="BG52" i="10" s="1"/>
  <c r="CC53" i="10"/>
  <c r="BY53" i="10"/>
  <c r="BS53" i="10"/>
  <c r="BO53" i="10"/>
  <c r="BD53" i="10"/>
  <c r="AZ53" i="10"/>
  <c r="AQ53" i="10"/>
  <c r="AM53" i="10"/>
  <c r="AH53" i="10"/>
  <c r="CB53" i="10"/>
  <c r="BW53" i="10"/>
  <c r="BR53" i="10"/>
  <c r="BN53" i="10"/>
  <c r="BI53" i="10"/>
  <c r="AY53" i="10"/>
  <c r="AT53" i="10"/>
  <c r="AP53" i="10"/>
  <c r="AL53" i="10"/>
  <c r="CA53" i="10"/>
  <c r="BV53" i="10"/>
  <c r="BQ53" i="10"/>
  <c r="BH53" i="10"/>
  <c r="BB53" i="10"/>
  <c r="AX53" i="10"/>
  <c r="AS53" i="10"/>
  <c r="AO53" i="10"/>
  <c r="AK53" i="10"/>
  <c r="BP53" i="10"/>
  <c r="AN53" i="10"/>
  <c r="BA53" i="10"/>
  <c r="AI53" i="10"/>
  <c r="BZ53" i="10"/>
  <c r="BK53" i="10"/>
  <c r="AW53" i="10"/>
  <c r="AR53" i="10"/>
  <c r="BL53" i="10"/>
  <c r="AF53" i="10"/>
  <c r="AE52" i="10"/>
  <c r="B54" i="10"/>
  <c r="CD54" i="10" s="1"/>
  <c r="BJ54" i="10" l="1"/>
  <c r="BZ54" i="10"/>
  <c r="BS54" i="10"/>
  <c r="BO54" i="10"/>
  <c r="BD54" i="10"/>
  <c r="AZ54" i="10"/>
  <c r="AT54" i="10"/>
  <c r="AP54" i="10"/>
  <c r="BU54" i="10" s="1"/>
  <c r="AL54" i="10"/>
  <c r="CC54" i="10"/>
  <c r="BY54" i="10"/>
  <c r="BR54" i="10"/>
  <c r="BN54" i="10"/>
  <c r="BI54" i="10"/>
  <c r="AY54" i="10"/>
  <c r="AS54" i="10"/>
  <c r="AO54" i="10"/>
  <c r="AK54" i="10"/>
  <c r="CB54" i="10"/>
  <c r="BW54" i="10"/>
  <c r="BQ54" i="10"/>
  <c r="BH54" i="10"/>
  <c r="BB54" i="10"/>
  <c r="AX54" i="10"/>
  <c r="AR54" i="10"/>
  <c r="AN54" i="10"/>
  <c r="AI54" i="10"/>
  <c r="BP54" i="10"/>
  <c r="AM54" i="10"/>
  <c r="BA54" i="10"/>
  <c r="AH54" i="10"/>
  <c r="BX54" i="10" s="1"/>
  <c r="CA54" i="10"/>
  <c r="BK54" i="10"/>
  <c r="AW54" i="10"/>
  <c r="BV54" i="10"/>
  <c r="AQ54" i="10"/>
  <c r="BL54" i="10"/>
  <c r="AU53" i="10"/>
  <c r="BG53" i="10" s="1"/>
  <c r="BU53" i="10"/>
  <c r="BX53" i="10"/>
  <c r="BT53" i="10"/>
  <c r="AV53" i="10"/>
  <c r="AF54" i="10"/>
  <c r="B55" i="10"/>
  <c r="CD55" i="10" s="1"/>
  <c r="AE53" i="10"/>
  <c r="BJ55" i="10" l="1"/>
  <c r="CB55" i="10"/>
  <c r="BS55" i="10"/>
  <c r="BO55" i="10"/>
  <c r="BD55" i="10"/>
  <c r="AZ55" i="10"/>
  <c r="AQ55" i="10"/>
  <c r="AM55" i="10"/>
  <c r="AH55" i="10"/>
  <c r="CA55" i="10"/>
  <c r="BW55" i="10"/>
  <c r="BR55" i="10"/>
  <c r="BN55" i="10"/>
  <c r="BI55" i="10"/>
  <c r="AY55" i="10"/>
  <c r="AT55" i="10"/>
  <c r="AP55" i="10"/>
  <c r="BU55" i="10" s="1"/>
  <c r="AL55" i="10"/>
  <c r="BZ55" i="10"/>
  <c r="BV55" i="10"/>
  <c r="BQ55" i="10"/>
  <c r="BH55" i="10"/>
  <c r="BB55" i="10"/>
  <c r="AX55" i="10"/>
  <c r="AS55" i="10"/>
  <c r="AO55" i="10"/>
  <c r="AK55" i="10"/>
  <c r="BP55" i="10"/>
  <c r="AN55" i="10"/>
  <c r="CC55" i="10"/>
  <c r="BA55" i="10"/>
  <c r="AI55" i="10"/>
  <c r="BT55" i="10"/>
  <c r="BY55" i="10"/>
  <c r="BK55" i="10"/>
  <c r="AW55" i="10"/>
  <c r="AR55" i="10"/>
  <c r="BL55" i="10"/>
  <c r="AU54" i="10"/>
  <c r="BG54" i="10" s="1"/>
  <c r="AV54" i="10"/>
  <c r="BT54" i="10"/>
  <c r="AF55" i="10"/>
  <c r="B56" i="10"/>
  <c r="CD56" i="10" s="1"/>
  <c r="AE54" i="10"/>
  <c r="BJ56" i="10" l="1"/>
  <c r="AV55" i="10"/>
  <c r="AU55" i="10"/>
  <c r="BG55" i="10" s="1"/>
  <c r="CB56" i="10"/>
  <c r="BP56" i="10"/>
  <c r="BK56" i="10"/>
  <c r="BA56" i="10"/>
  <c r="AW56" i="10"/>
  <c r="AS56" i="10"/>
  <c r="AO56" i="10"/>
  <c r="AK56" i="10"/>
  <c r="CA56" i="10"/>
  <c r="BW56" i="10"/>
  <c r="BS56" i="10"/>
  <c r="BO56" i="10"/>
  <c r="BD56" i="10"/>
  <c r="AZ56" i="10"/>
  <c r="AR56" i="10"/>
  <c r="AN56" i="10"/>
  <c r="AI56" i="10"/>
  <c r="BZ56" i="10"/>
  <c r="BV56" i="10"/>
  <c r="BR56" i="10"/>
  <c r="BN56" i="10"/>
  <c r="BI56" i="10"/>
  <c r="AY56" i="10"/>
  <c r="AQ56" i="10"/>
  <c r="AM56" i="10"/>
  <c r="AH56" i="10"/>
  <c r="BX56" i="10" s="1"/>
  <c r="CC56" i="10"/>
  <c r="BB56" i="10"/>
  <c r="AL56" i="10"/>
  <c r="BQ56" i="10"/>
  <c r="BY56" i="10"/>
  <c r="BH56" i="10"/>
  <c r="AX56" i="10"/>
  <c r="AT56" i="10"/>
  <c r="AP56" i="10"/>
  <c r="BU56" i="10" s="1"/>
  <c r="BL56" i="10"/>
  <c r="BX55" i="10"/>
  <c r="AF56" i="10"/>
  <c r="AE55" i="10"/>
  <c r="B57" i="10"/>
  <c r="CD57" i="10" s="1"/>
  <c r="BJ57" i="10" l="1"/>
  <c r="BT56" i="10"/>
  <c r="AV56" i="10"/>
  <c r="CA57" i="10"/>
  <c r="BV57" i="10"/>
  <c r="BQ57" i="10"/>
  <c r="BH57" i="10"/>
  <c r="BB57" i="10"/>
  <c r="AX57" i="10"/>
  <c r="AS57" i="10"/>
  <c r="AO57" i="10"/>
  <c r="AK57" i="10"/>
  <c r="BZ57" i="10"/>
  <c r="BP57" i="10"/>
  <c r="BK57" i="10"/>
  <c r="BA57" i="10"/>
  <c r="AW57" i="10"/>
  <c r="AR57" i="10"/>
  <c r="AN57" i="10"/>
  <c r="AI57" i="10"/>
  <c r="CC57" i="10"/>
  <c r="BY57" i="10"/>
  <c r="BS57" i="10"/>
  <c r="BO57" i="10"/>
  <c r="BD57" i="10"/>
  <c r="AZ57" i="10"/>
  <c r="AQ57" i="10"/>
  <c r="AM57" i="10"/>
  <c r="AH57" i="10"/>
  <c r="BT57" i="10" s="1"/>
  <c r="CB57" i="10"/>
  <c r="AY57" i="10"/>
  <c r="BW57" i="10"/>
  <c r="BI57" i="10"/>
  <c r="AT57" i="10"/>
  <c r="BR57" i="10"/>
  <c r="AP57" i="10"/>
  <c r="AV57" i="10" s="1"/>
  <c r="BN57" i="10"/>
  <c r="AL57" i="10"/>
  <c r="BL57" i="10"/>
  <c r="AU56" i="10"/>
  <c r="BG56" i="10" s="1"/>
  <c r="AF57" i="10"/>
  <c r="B58" i="10"/>
  <c r="CD58" i="10" s="1"/>
  <c r="AE56" i="10"/>
  <c r="BJ58" i="10" l="1"/>
  <c r="BX57" i="10"/>
  <c r="CB58" i="10"/>
  <c r="BW58" i="10"/>
  <c r="BQ58" i="10"/>
  <c r="BH58" i="10"/>
  <c r="BB58" i="10"/>
  <c r="AX58" i="10"/>
  <c r="AR58" i="10"/>
  <c r="AN58" i="10"/>
  <c r="AI58" i="10"/>
  <c r="CA58" i="10"/>
  <c r="BV58" i="10"/>
  <c r="BP58" i="10"/>
  <c r="BK58" i="10"/>
  <c r="BA58" i="10"/>
  <c r="AW58" i="10"/>
  <c r="AQ58" i="10"/>
  <c r="AM58" i="10"/>
  <c r="AH58" i="10"/>
  <c r="BX58" i="10" s="1"/>
  <c r="BZ58" i="10"/>
  <c r="BS58" i="10"/>
  <c r="BO58" i="10"/>
  <c r="BD58" i="10"/>
  <c r="AZ58" i="10"/>
  <c r="AT58" i="10"/>
  <c r="AP58" i="10"/>
  <c r="BU58" i="10" s="1"/>
  <c r="AL58" i="10"/>
  <c r="CC58" i="10"/>
  <c r="AY58" i="10"/>
  <c r="AK58" i="10"/>
  <c r="BY58" i="10"/>
  <c r="BI58" i="10"/>
  <c r="AS58" i="10"/>
  <c r="BN58" i="10"/>
  <c r="BR58" i="10"/>
  <c r="AO58" i="10"/>
  <c r="BL58" i="10"/>
  <c r="AU57" i="10"/>
  <c r="BG57" i="10" s="1"/>
  <c r="BU57" i="10"/>
  <c r="AF58" i="10"/>
  <c r="B59" i="10"/>
  <c r="CD59" i="10" s="1"/>
  <c r="AE57" i="10"/>
  <c r="BJ59" i="10" l="1"/>
  <c r="AV58" i="10"/>
  <c r="BT58" i="10"/>
  <c r="BZ59" i="10"/>
  <c r="BV59" i="10"/>
  <c r="BQ59" i="10"/>
  <c r="BH59" i="10"/>
  <c r="BB59" i="10"/>
  <c r="AX59" i="10"/>
  <c r="AS59" i="10"/>
  <c r="AO59" i="10"/>
  <c r="AK59" i="10"/>
  <c r="CC59" i="10"/>
  <c r="BY59" i="10"/>
  <c r="BP59" i="10"/>
  <c r="BK59" i="10"/>
  <c r="BA59" i="10"/>
  <c r="AW59" i="10"/>
  <c r="AR59" i="10"/>
  <c r="AN59" i="10"/>
  <c r="AI59" i="10"/>
  <c r="CB59" i="10"/>
  <c r="BS59" i="10"/>
  <c r="BO59" i="10"/>
  <c r="BD59" i="10"/>
  <c r="AZ59" i="10"/>
  <c r="AQ59" i="10"/>
  <c r="AM59" i="10"/>
  <c r="AH59" i="10"/>
  <c r="CA59" i="10"/>
  <c r="AY59" i="10"/>
  <c r="BW59" i="10"/>
  <c r="BI59" i="10"/>
  <c r="AT59" i="10"/>
  <c r="BR59" i="10"/>
  <c r="AP59" i="10"/>
  <c r="BU59" i="10" s="1"/>
  <c r="BN59" i="10"/>
  <c r="AL59" i="10"/>
  <c r="BL59" i="10"/>
  <c r="AU58" i="10"/>
  <c r="BG58" i="10" s="1"/>
  <c r="AF59" i="10"/>
  <c r="AE58" i="10"/>
  <c r="B60" i="10"/>
  <c r="CD60" i="10" s="1"/>
  <c r="BJ60" i="10" l="1"/>
  <c r="AV59" i="10"/>
  <c r="AU59" i="10"/>
  <c r="BG59" i="10" s="1"/>
  <c r="BZ60" i="10"/>
  <c r="BV60" i="10"/>
  <c r="BR60" i="10"/>
  <c r="BN60" i="10"/>
  <c r="BI60" i="10"/>
  <c r="AY60" i="10"/>
  <c r="AQ60" i="10"/>
  <c r="AM60" i="10"/>
  <c r="AH60" i="10"/>
  <c r="BX60" i="10" s="1"/>
  <c r="CC60" i="10"/>
  <c r="BY60" i="10"/>
  <c r="BQ60" i="10"/>
  <c r="BH60" i="10"/>
  <c r="BB60" i="10"/>
  <c r="AX60" i="10"/>
  <c r="AT60" i="10"/>
  <c r="AP60" i="10"/>
  <c r="BU60" i="10" s="1"/>
  <c r="AL60" i="10"/>
  <c r="CB60" i="10"/>
  <c r="BP60" i="10"/>
  <c r="BK60" i="10"/>
  <c r="BA60" i="10"/>
  <c r="AW60" i="10"/>
  <c r="AS60" i="10"/>
  <c r="AO60" i="10"/>
  <c r="AK60" i="10"/>
  <c r="BS60" i="10"/>
  <c r="BO60" i="10"/>
  <c r="BD60" i="10"/>
  <c r="AR60" i="10"/>
  <c r="BW60" i="10"/>
  <c r="AI60" i="10"/>
  <c r="CA60" i="10"/>
  <c r="AN60" i="10"/>
  <c r="AZ60" i="10"/>
  <c r="BL60" i="10"/>
  <c r="BX59" i="10"/>
  <c r="BT59" i="10"/>
  <c r="AF60" i="10"/>
  <c r="AE59" i="10"/>
  <c r="B61" i="10"/>
  <c r="CD61" i="10" s="1"/>
  <c r="BJ61" i="10" l="1"/>
  <c r="BT60" i="10"/>
  <c r="AV60" i="10"/>
  <c r="AU60" i="10"/>
  <c r="BG60" i="10" s="1"/>
  <c r="CC61" i="10"/>
  <c r="BY61" i="10"/>
  <c r="BS61" i="10"/>
  <c r="BO61" i="10"/>
  <c r="BD61" i="10"/>
  <c r="AZ61" i="10"/>
  <c r="AQ61" i="10"/>
  <c r="AM61" i="10"/>
  <c r="AH61" i="10"/>
  <c r="BT61" i="10" s="1"/>
  <c r="CB61" i="10"/>
  <c r="BW61" i="10"/>
  <c r="BR61" i="10"/>
  <c r="BN61" i="10"/>
  <c r="BI61" i="10"/>
  <c r="AY61" i="10"/>
  <c r="AT61" i="10"/>
  <c r="AP61" i="10"/>
  <c r="AL61" i="10"/>
  <c r="CA61" i="10"/>
  <c r="BV61" i="10"/>
  <c r="BQ61" i="10"/>
  <c r="BH61" i="10"/>
  <c r="BB61" i="10"/>
  <c r="AX61" i="10"/>
  <c r="AS61" i="10"/>
  <c r="AO61" i="10"/>
  <c r="AK61" i="10"/>
  <c r="BP61" i="10"/>
  <c r="AN61" i="10"/>
  <c r="BA61" i="10"/>
  <c r="AI61" i="10"/>
  <c r="BZ61" i="10"/>
  <c r="BK61" i="10"/>
  <c r="AW61" i="10"/>
  <c r="AR61" i="10"/>
  <c r="BL61" i="10"/>
  <c r="AF61" i="10"/>
  <c r="AE60" i="10"/>
  <c r="B62" i="10"/>
  <c r="CD62" i="10" s="1"/>
  <c r="BJ62" i="10" l="1"/>
  <c r="AU61" i="10"/>
  <c r="BG61" i="10" s="1"/>
  <c r="BU61" i="10"/>
  <c r="BZ62" i="10"/>
  <c r="BS62" i="10"/>
  <c r="BO62" i="10"/>
  <c r="BD62" i="10"/>
  <c r="AZ62" i="10"/>
  <c r="AT62" i="10"/>
  <c r="AP62" i="10"/>
  <c r="BU62" i="10" s="1"/>
  <c r="AL62" i="10"/>
  <c r="CC62" i="10"/>
  <c r="BY62" i="10"/>
  <c r="BR62" i="10"/>
  <c r="BN62" i="10"/>
  <c r="BI62" i="10"/>
  <c r="AY62" i="10"/>
  <c r="AS62" i="10"/>
  <c r="AO62" i="10"/>
  <c r="AK62" i="10"/>
  <c r="CB62" i="10"/>
  <c r="BW62" i="10"/>
  <c r="BQ62" i="10"/>
  <c r="BH62" i="10"/>
  <c r="BB62" i="10"/>
  <c r="AX62" i="10"/>
  <c r="AR62" i="10"/>
  <c r="AN62" i="10"/>
  <c r="AI62" i="10"/>
  <c r="BP62" i="10"/>
  <c r="AM62" i="10"/>
  <c r="BA62" i="10"/>
  <c r="AH62" i="10"/>
  <c r="BX62" i="10" s="1"/>
  <c r="CA62" i="10"/>
  <c r="BK62" i="10"/>
  <c r="AW62" i="10"/>
  <c r="BV62" i="10"/>
  <c r="AQ62" i="10"/>
  <c r="BL62" i="10"/>
  <c r="BX61" i="10"/>
  <c r="AV61" i="10"/>
  <c r="AF62" i="10"/>
  <c r="B63" i="10"/>
  <c r="CD63" i="10" s="1"/>
  <c r="AE61" i="10"/>
  <c r="BJ63" i="10" l="1"/>
  <c r="AU62" i="10"/>
  <c r="BG62" i="10" s="1"/>
  <c r="AV62" i="10"/>
  <c r="CB63" i="10"/>
  <c r="BS63" i="10"/>
  <c r="BO63" i="10"/>
  <c r="BD63" i="10"/>
  <c r="AZ63" i="10"/>
  <c r="AQ63" i="10"/>
  <c r="AM63" i="10"/>
  <c r="AH63" i="10"/>
  <c r="BT63" i="10" s="1"/>
  <c r="CA63" i="10"/>
  <c r="BW63" i="10"/>
  <c r="BR63" i="10"/>
  <c r="BN63" i="10"/>
  <c r="BI63" i="10"/>
  <c r="AY63" i="10"/>
  <c r="AT63" i="10"/>
  <c r="AP63" i="10"/>
  <c r="BU63" i="10" s="1"/>
  <c r="AL63" i="10"/>
  <c r="BZ63" i="10"/>
  <c r="BV63" i="10"/>
  <c r="BQ63" i="10"/>
  <c r="BH63" i="10"/>
  <c r="BB63" i="10"/>
  <c r="AX63" i="10"/>
  <c r="AS63" i="10"/>
  <c r="AO63" i="10"/>
  <c r="AK63" i="10"/>
  <c r="BP63" i="10"/>
  <c r="AN63" i="10"/>
  <c r="CC63" i="10"/>
  <c r="BA63" i="10"/>
  <c r="AI63" i="10"/>
  <c r="BY63" i="10"/>
  <c r="BK63" i="10"/>
  <c r="AW63" i="10"/>
  <c r="AR63" i="10"/>
  <c r="BL63" i="10"/>
  <c r="BT62" i="10"/>
  <c r="AF63" i="10"/>
  <c r="AE62" i="10"/>
  <c r="B64" i="10"/>
  <c r="CD64" i="10" s="1"/>
  <c r="BJ64" i="10" l="1"/>
  <c r="AV63" i="10"/>
  <c r="AU63" i="10"/>
  <c r="BG63" i="10" s="1"/>
  <c r="BX63" i="10"/>
  <c r="CB64" i="10"/>
  <c r="BP64" i="10"/>
  <c r="BK64" i="10"/>
  <c r="BA64" i="10"/>
  <c r="AW64" i="10"/>
  <c r="AS64" i="10"/>
  <c r="AO64" i="10"/>
  <c r="AK64" i="10"/>
  <c r="CA64" i="10"/>
  <c r="BW64" i="10"/>
  <c r="BS64" i="10"/>
  <c r="BO64" i="10"/>
  <c r="BD64" i="10"/>
  <c r="AZ64" i="10"/>
  <c r="AR64" i="10"/>
  <c r="AN64" i="10"/>
  <c r="AI64" i="10"/>
  <c r="BZ64" i="10"/>
  <c r="BV64" i="10"/>
  <c r="BR64" i="10"/>
  <c r="BN64" i="10"/>
  <c r="BI64" i="10"/>
  <c r="AY64" i="10"/>
  <c r="AQ64" i="10"/>
  <c r="AM64" i="10"/>
  <c r="AH64" i="10"/>
  <c r="BX64" i="10" s="1"/>
  <c r="CC64" i="10"/>
  <c r="BB64" i="10"/>
  <c r="AL64" i="10"/>
  <c r="BY64" i="10"/>
  <c r="BH64" i="10"/>
  <c r="AX64" i="10"/>
  <c r="BQ64" i="10"/>
  <c r="AT64" i="10"/>
  <c r="AP64" i="10"/>
  <c r="BU64" i="10" s="1"/>
  <c r="BL64" i="10"/>
  <c r="AF64" i="10"/>
  <c r="AE63" i="10"/>
  <c r="B65" i="10"/>
  <c r="CD65" i="10" s="1"/>
  <c r="BJ65" i="10" l="1"/>
  <c r="AV64" i="10"/>
  <c r="CA65" i="10"/>
  <c r="BV65" i="10"/>
  <c r="BQ65" i="10"/>
  <c r="BH65" i="10"/>
  <c r="BB65" i="10"/>
  <c r="AX65" i="10"/>
  <c r="AS65" i="10"/>
  <c r="AO65" i="10"/>
  <c r="AK65" i="10"/>
  <c r="BZ65" i="10"/>
  <c r="BP65" i="10"/>
  <c r="BK65" i="10"/>
  <c r="BA65" i="10"/>
  <c r="AW65" i="10"/>
  <c r="AR65" i="10"/>
  <c r="AN65" i="10"/>
  <c r="AI65" i="10"/>
  <c r="CC65" i="10"/>
  <c r="BY65" i="10"/>
  <c r="BS65" i="10"/>
  <c r="BO65" i="10"/>
  <c r="BD65" i="10"/>
  <c r="AZ65" i="10"/>
  <c r="AQ65" i="10"/>
  <c r="AM65" i="10"/>
  <c r="AH65" i="10"/>
  <c r="BT65" i="10" s="1"/>
  <c r="CB65" i="10"/>
  <c r="AY65" i="10"/>
  <c r="BW65" i="10"/>
  <c r="BI65" i="10"/>
  <c r="AT65" i="10"/>
  <c r="BR65" i="10"/>
  <c r="AP65" i="10"/>
  <c r="BN65" i="10"/>
  <c r="AL65" i="10"/>
  <c r="BL65" i="10"/>
  <c r="AU64" i="10"/>
  <c r="BG64" i="10" s="1"/>
  <c r="BT64" i="10"/>
  <c r="AF65" i="10"/>
  <c r="B66" i="10"/>
  <c r="CD66" i="10" s="1"/>
  <c r="AE64" i="10"/>
  <c r="BJ66" i="10" l="1"/>
  <c r="AU65" i="10"/>
  <c r="BG65" i="10" s="1"/>
  <c r="BU65" i="10"/>
  <c r="AV65" i="10"/>
  <c r="CB66" i="10"/>
  <c r="BW66" i="10"/>
  <c r="BQ66" i="10"/>
  <c r="BH66" i="10"/>
  <c r="BB66" i="10"/>
  <c r="AX66" i="10"/>
  <c r="AR66" i="10"/>
  <c r="AN66" i="10"/>
  <c r="AI66" i="10"/>
  <c r="CA66" i="10"/>
  <c r="BV66" i="10"/>
  <c r="BP66" i="10"/>
  <c r="BK66" i="10"/>
  <c r="BA66" i="10"/>
  <c r="AW66" i="10"/>
  <c r="AQ66" i="10"/>
  <c r="AM66" i="10"/>
  <c r="AH66" i="10"/>
  <c r="BX66" i="10" s="1"/>
  <c r="BZ66" i="10"/>
  <c r="BS66" i="10"/>
  <c r="BO66" i="10"/>
  <c r="BD66" i="10"/>
  <c r="AZ66" i="10"/>
  <c r="AT66" i="10"/>
  <c r="AP66" i="10"/>
  <c r="BU66" i="10" s="1"/>
  <c r="AL66" i="10"/>
  <c r="CC66" i="10"/>
  <c r="AY66" i="10"/>
  <c r="BY66" i="10"/>
  <c r="BI66" i="10"/>
  <c r="AS66" i="10"/>
  <c r="BN66" i="10"/>
  <c r="BR66" i="10"/>
  <c r="AO66" i="10"/>
  <c r="AK66" i="10"/>
  <c r="BL66" i="10"/>
  <c r="BX65" i="10"/>
  <c r="AF66" i="10"/>
  <c r="AE65" i="10"/>
  <c r="B67" i="10"/>
  <c r="CD67" i="10" s="1"/>
  <c r="BJ67" i="10" l="1"/>
  <c r="AV66" i="10"/>
  <c r="BT66" i="10"/>
  <c r="AU66" i="10"/>
  <c r="BG66" i="10" s="1"/>
  <c r="BZ67" i="10"/>
  <c r="BV67" i="10"/>
  <c r="BQ67" i="10"/>
  <c r="BH67" i="10"/>
  <c r="BB67" i="10"/>
  <c r="AX67" i="10"/>
  <c r="AS67" i="10"/>
  <c r="AO67" i="10"/>
  <c r="AK67" i="10"/>
  <c r="CC67" i="10"/>
  <c r="BY67" i="10"/>
  <c r="BP67" i="10"/>
  <c r="BK67" i="10"/>
  <c r="BA67" i="10"/>
  <c r="AW67" i="10"/>
  <c r="AR67" i="10"/>
  <c r="AN67" i="10"/>
  <c r="AI67" i="10"/>
  <c r="CB67" i="10"/>
  <c r="BS67" i="10"/>
  <c r="BO67" i="10"/>
  <c r="BD67" i="10"/>
  <c r="AZ67" i="10"/>
  <c r="AQ67" i="10"/>
  <c r="AM67" i="10"/>
  <c r="AH67" i="10"/>
  <c r="CA67" i="10"/>
  <c r="AY67" i="10"/>
  <c r="BW67" i="10"/>
  <c r="BI67" i="10"/>
  <c r="AT67" i="10"/>
  <c r="BR67" i="10"/>
  <c r="AP67" i="10"/>
  <c r="BU67" i="10" s="1"/>
  <c r="BN67" i="10"/>
  <c r="AL67" i="10"/>
  <c r="BL67" i="10"/>
  <c r="AF67" i="10"/>
  <c r="B68" i="10"/>
  <c r="CD68" i="10" s="1"/>
  <c r="AE66" i="10"/>
  <c r="BJ68" i="10" l="1"/>
  <c r="AV67" i="10"/>
  <c r="AU67" i="10"/>
  <c r="BG67" i="10" s="1"/>
  <c r="BZ68" i="10"/>
  <c r="BV68" i="10"/>
  <c r="BR68" i="10"/>
  <c r="BN68" i="10"/>
  <c r="BI68" i="10"/>
  <c r="AY68" i="10"/>
  <c r="AQ68" i="10"/>
  <c r="AM68" i="10"/>
  <c r="AH68" i="10"/>
  <c r="BX68" i="10" s="1"/>
  <c r="CC68" i="10"/>
  <c r="BY68" i="10"/>
  <c r="BQ68" i="10"/>
  <c r="BH68" i="10"/>
  <c r="BB68" i="10"/>
  <c r="AX68" i="10"/>
  <c r="AT68" i="10"/>
  <c r="AP68" i="10"/>
  <c r="BU68" i="10" s="1"/>
  <c r="AL68" i="10"/>
  <c r="CB68" i="10"/>
  <c r="BP68" i="10"/>
  <c r="BK68" i="10"/>
  <c r="BA68" i="10"/>
  <c r="AW68" i="10"/>
  <c r="AS68" i="10"/>
  <c r="AO68" i="10"/>
  <c r="AK68" i="10"/>
  <c r="BS68" i="10"/>
  <c r="BO68" i="10"/>
  <c r="BD68" i="10"/>
  <c r="AR68" i="10"/>
  <c r="CA68" i="10"/>
  <c r="AN68" i="10"/>
  <c r="BW68" i="10"/>
  <c r="AZ68" i="10"/>
  <c r="AI68" i="10"/>
  <c r="BL68" i="10"/>
  <c r="BX67" i="10"/>
  <c r="BT67" i="10"/>
  <c r="AF68" i="10"/>
  <c r="AE67" i="10"/>
  <c r="B69" i="10"/>
  <c r="CD69" i="10" s="1"/>
  <c r="BJ69" i="10" l="1"/>
  <c r="BT68" i="10"/>
  <c r="AV68" i="10"/>
  <c r="AU68" i="10"/>
  <c r="BG68" i="10" s="1"/>
  <c r="CC69" i="10"/>
  <c r="BY69" i="10"/>
  <c r="BS69" i="10"/>
  <c r="BO69" i="10"/>
  <c r="BD69" i="10"/>
  <c r="AZ69" i="10"/>
  <c r="AQ69" i="10"/>
  <c r="AM69" i="10"/>
  <c r="AH69" i="10"/>
  <c r="BT69" i="10" s="1"/>
  <c r="CB69" i="10"/>
  <c r="BW69" i="10"/>
  <c r="BR69" i="10"/>
  <c r="BN69" i="10"/>
  <c r="BI69" i="10"/>
  <c r="AY69" i="10"/>
  <c r="AT69" i="10"/>
  <c r="AP69" i="10"/>
  <c r="AV69" i="10" s="1"/>
  <c r="AL69" i="10"/>
  <c r="CA69" i="10"/>
  <c r="BV69" i="10"/>
  <c r="BQ69" i="10"/>
  <c r="BH69" i="10"/>
  <c r="BB69" i="10"/>
  <c r="AX69" i="10"/>
  <c r="AS69" i="10"/>
  <c r="AO69" i="10"/>
  <c r="AK69" i="10"/>
  <c r="BP69" i="10"/>
  <c r="AN69" i="10"/>
  <c r="BA69" i="10"/>
  <c r="AI69" i="10"/>
  <c r="BZ69" i="10"/>
  <c r="BK69" i="10"/>
  <c r="AW69" i="10"/>
  <c r="AR69" i="10"/>
  <c r="BL69" i="10"/>
  <c r="AF69" i="10"/>
  <c r="AE68" i="10"/>
  <c r="B70" i="10"/>
  <c r="CD70" i="10" s="1"/>
  <c r="BJ70" i="10" l="1"/>
  <c r="BZ70" i="10"/>
  <c r="BS70" i="10"/>
  <c r="BO70" i="10"/>
  <c r="BD70" i="10"/>
  <c r="AZ70" i="10"/>
  <c r="AT70" i="10"/>
  <c r="AP70" i="10"/>
  <c r="BU70" i="10" s="1"/>
  <c r="AL70" i="10"/>
  <c r="CC70" i="10"/>
  <c r="BY70" i="10"/>
  <c r="BR70" i="10"/>
  <c r="BN70" i="10"/>
  <c r="BI70" i="10"/>
  <c r="AY70" i="10"/>
  <c r="AS70" i="10"/>
  <c r="AO70" i="10"/>
  <c r="AK70" i="10"/>
  <c r="CB70" i="10"/>
  <c r="BW70" i="10"/>
  <c r="BQ70" i="10"/>
  <c r="BH70" i="10"/>
  <c r="BB70" i="10"/>
  <c r="AX70" i="10"/>
  <c r="AR70" i="10"/>
  <c r="AN70" i="10"/>
  <c r="AI70" i="10"/>
  <c r="BP70" i="10"/>
  <c r="AM70" i="10"/>
  <c r="BV70" i="10"/>
  <c r="AQ70" i="10"/>
  <c r="BA70" i="10"/>
  <c r="AH70" i="10"/>
  <c r="BX70" i="10" s="1"/>
  <c r="CA70" i="10"/>
  <c r="BK70" i="10"/>
  <c r="AW70" i="10"/>
  <c r="BL70" i="10"/>
  <c r="AU69" i="10"/>
  <c r="BG69" i="10" s="1"/>
  <c r="BU69" i="10"/>
  <c r="BX69" i="10"/>
  <c r="AF70" i="10"/>
  <c r="AE69" i="10"/>
  <c r="B71" i="10"/>
  <c r="CD71" i="10" s="1"/>
  <c r="BJ71" i="10" l="1"/>
  <c r="BT70" i="10"/>
  <c r="AV70" i="10"/>
  <c r="CB71" i="10"/>
  <c r="BS71" i="10"/>
  <c r="BO71" i="10"/>
  <c r="BD71" i="10"/>
  <c r="AZ71" i="10"/>
  <c r="AQ71" i="10"/>
  <c r="AM71" i="10"/>
  <c r="AH71" i="10"/>
  <c r="BT71" i="10" s="1"/>
  <c r="CA71" i="10"/>
  <c r="BW71" i="10"/>
  <c r="BR71" i="10"/>
  <c r="BN71" i="10"/>
  <c r="BI71" i="10"/>
  <c r="AY71" i="10"/>
  <c r="AT71" i="10"/>
  <c r="AP71" i="10"/>
  <c r="BU71" i="10" s="1"/>
  <c r="AL71" i="10"/>
  <c r="BZ71" i="10"/>
  <c r="BV71" i="10"/>
  <c r="BQ71" i="10"/>
  <c r="BH71" i="10"/>
  <c r="BB71" i="10"/>
  <c r="AX71" i="10"/>
  <c r="AS71" i="10"/>
  <c r="AO71" i="10"/>
  <c r="AK71" i="10"/>
  <c r="BP71" i="10"/>
  <c r="AN71" i="10"/>
  <c r="CC71" i="10"/>
  <c r="BA71" i="10"/>
  <c r="AI71" i="10"/>
  <c r="BY71" i="10"/>
  <c r="BK71" i="10"/>
  <c r="AW71" i="10"/>
  <c r="AR71" i="10"/>
  <c r="BL71" i="10"/>
  <c r="AU70" i="10"/>
  <c r="BG70" i="10" s="1"/>
  <c r="AF71" i="10"/>
  <c r="AE70" i="10"/>
  <c r="B72" i="10"/>
  <c r="CD72" i="10" s="1"/>
  <c r="BJ72" i="10" l="1"/>
  <c r="AV71" i="10"/>
  <c r="AU71" i="10"/>
  <c r="BG71" i="10" s="1"/>
  <c r="BX71" i="10"/>
  <c r="CB72" i="10"/>
  <c r="BP72" i="10"/>
  <c r="BK72" i="10"/>
  <c r="BA72" i="10"/>
  <c r="AW72" i="10"/>
  <c r="AS72" i="10"/>
  <c r="AO72" i="10"/>
  <c r="AK72" i="10"/>
  <c r="CA72" i="10"/>
  <c r="BW72" i="10"/>
  <c r="BS72" i="10"/>
  <c r="BO72" i="10"/>
  <c r="BD72" i="10"/>
  <c r="AZ72" i="10"/>
  <c r="AR72" i="10"/>
  <c r="AN72" i="10"/>
  <c r="AI72" i="10"/>
  <c r="BZ72" i="10"/>
  <c r="BV72" i="10"/>
  <c r="BR72" i="10"/>
  <c r="BN72" i="10"/>
  <c r="BI72" i="10"/>
  <c r="AY72" i="10"/>
  <c r="AQ72" i="10"/>
  <c r="AM72" i="10"/>
  <c r="AH72" i="10"/>
  <c r="BX72" i="10" s="1"/>
  <c r="CC72" i="10"/>
  <c r="BB72" i="10"/>
  <c r="AL72" i="10"/>
  <c r="AP72" i="10"/>
  <c r="BU72" i="10" s="1"/>
  <c r="BY72" i="10"/>
  <c r="BH72" i="10"/>
  <c r="AX72" i="10"/>
  <c r="AT72" i="10"/>
  <c r="BQ72" i="10"/>
  <c r="BL72" i="10"/>
  <c r="AF72" i="10"/>
  <c r="AE71" i="10"/>
  <c r="B73" i="10"/>
  <c r="CD73" i="10" s="1"/>
  <c r="BJ73" i="10" l="1"/>
  <c r="AV72" i="10"/>
  <c r="CA73" i="10"/>
  <c r="BV73" i="10"/>
  <c r="BQ73" i="10"/>
  <c r="BH73" i="10"/>
  <c r="BB73" i="10"/>
  <c r="AX73" i="10"/>
  <c r="AS73" i="10"/>
  <c r="AO73" i="10"/>
  <c r="AK73" i="10"/>
  <c r="BZ73" i="10"/>
  <c r="BP73" i="10"/>
  <c r="BK73" i="10"/>
  <c r="BA73" i="10"/>
  <c r="AW73" i="10"/>
  <c r="AR73" i="10"/>
  <c r="AN73" i="10"/>
  <c r="AI73" i="10"/>
  <c r="CC73" i="10"/>
  <c r="BY73" i="10"/>
  <c r="BS73" i="10"/>
  <c r="BO73" i="10"/>
  <c r="BD73" i="10"/>
  <c r="AZ73" i="10"/>
  <c r="AQ73" i="10"/>
  <c r="AM73" i="10"/>
  <c r="AH73" i="10"/>
  <c r="BT73" i="10" s="1"/>
  <c r="CB73" i="10"/>
  <c r="AY73" i="10"/>
  <c r="BW73" i="10"/>
  <c r="BI73" i="10"/>
  <c r="AT73" i="10"/>
  <c r="BR73" i="10"/>
  <c r="AP73" i="10"/>
  <c r="BN73" i="10"/>
  <c r="AL73" i="10"/>
  <c r="BL73" i="10"/>
  <c r="AU72" i="10"/>
  <c r="BG72" i="10" s="1"/>
  <c r="BT72" i="10"/>
  <c r="AF73" i="10"/>
  <c r="AE72" i="10"/>
  <c r="B74" i="10"/>
  <c r="CD74" i="10" s="1"/>
  <c r="BJ74" i="10" l="1"/>
  <c r="AU73" i="10"/>
  <c r="BG73" i="10" s="1"/>
  <c r="BU73" i="10"/>
  <c r="BX73" i="10"/>
  <c r="CB74" i="10"/>
  <c r="BW74" i="10"/>
  <c r="BQ74" i="10"/>
  <c r="BH74" i="10"/>
  <c r="BB74" i="10"/>
  <c r="AX74" i="10"/>
  <c r="AR74" i="10"/>
  <c r="AN74" i="10"/>
  <c r="AI74" i="10"/>
  <c r="CA74" i="10"/>
  <c r="BV74" i="10"/>
  <c r="BP74" i="10"/>
  <c r="BK74" i="10"/>
  <c r="BA74" i="10"/>
  <c r="AW74" i="10"/>
  <c r="AQ74" i="10"/>
  <c r="AM74" i="10"/>
  <c r="AH74" i="10"/>
  <c r="BX74" i="10" s="1"/>
  <c r="BZ74" i="10"/>
  <c r="BS74" i="10"/>
  <c r="BO74" i="10"/>
  <c r="BD74" i="10"/>
  <c r="AZ74" i="10"/>
  <c r="AT74" i="10"/>
  <c r="AP74" i="10"/>
  <c r="BU74" i="10" s="1"/>
  <c r="AL74" i="10"/>
  <c r="CC74" i="10"/>
  <c r="AY74" i="10"/>
  <c r="BY74" i="10"/>
  <c r="BI74" i="10"/>
  <c r="AS74" i="10"/>
  <c r="BR74" i="10"/>
  <c r="AO74" i="10"/>
  <c r="BN74" i="10"/>
  <c r="AK74" i="10"/>
  <c r="BL74" i="10"/>
  <c r="AV73" i="10"/>
  <c r="AF74" i="10"/>
  <c r="AE73" i="10"/>
  <c r="B75" i="10"/>
  <c r="CD75" i="10" s="1"/>
  <c r="BJ75" i="10" l="1"/>
  <c r="BT74" i="10"/>
  <c r="AU74" i="10"/>
  <c r="BG74" i="10" s="1"/>
  <c r="BZ75" i="10"/>
  <c r="BV75" i="10"/>
  <c r="BQ75" i="10"/>
  <c r="BH75" i="10"/>
  <c r="BB75" i="10"/>
  <c r="AX75" i="10"/>
  <c r="AS75" i="10"/>
  <c r="AO75" i="10"/>
  <c r="AK75" i="10"/>
  <c r="CC75" i="10"/>
  <c r="BY75" i="10"/>
  <c r="BP75" i="10"/>
  <c r="BK75" i="10"/>
  <c r="BA75" i="10"/>
  <c r="AW75" i="10"/>
  <c r="AR75" i="10"/>
  <c r="AN75" i="10"/>
  <c r="AI75" i="10"/>
  <c r="CB75" i="10"/>
  <c r="BS75" i="10"/>
  <c r="BO75" i="10"/>
  <c r="BD75" i="10"/>
  <c r="AZ75" i="10"/>
  <c r="AQ75" i="10"/>
  <c r="AM75" i="10"/>
  <c r="AH75" i="10"/>
  <c r="BT75" i="10" s="1"/>
  <c r="CA75" i="10"/>
  <c r="AY75" i="10"/>
  <c r="BW75" i="10"/>
  <c r="BI75" i="10"/>
  <c r="AT75" i="10"/>
  <c r="BR75" i="10"/>
  <c r="AP75" i="10"/>
  <c r="BU75" i="10" s="1"/>
  <c r="BN75" i="10"/>
  <c r="AL75" i="10"/>
  <c r="BL75" i="10"/>
  <c r="AV74" i="10"/>
  <c r="AF75" i="10"/>
  <c r="AE74" i="10"/>
  <c r="B76" i="10"/>
  <c r="CD76" i="10" s="1"/>
  <c r="BJ76" i="10" l="1"/>
  <c r="AV75" i="10"/>
  <c r="AU75" i="10"/>
  <c r="BG75" i="10" s="1"/>
  <c r="BZ76" i="10"/>
  <c r="BV76" i="10"/>
  <c r="BR76" i="10"/>
  <c r="BN76" i="10"/>
  <c r="BI76" i="10"/>
  <c r="AY76" i="10"/>
  <c r="AQ76" i="10"/>
  <c r="AM76" i="10"/>
  <c r="AH76" i="10"/>
  <c r="BX76" i="10" s="1"/>
  <c r="CC76" i="10"/>
  <c r="BY76" i="10"/>
  <c r="BQ76" i="10"/>
  <c r="BH76" i="10"/>
  <c r="BB76" i="10"/>
  <c r="AX76" i="10"/>
  <c r="AT76" i="10"/>
  <c r="AP76" i="10"/>
  <c r="BU76" i="10" s="1"/>
  <c r="AL76" i="10"/>
  <c r="CB76" i="10"/>
  <c r="BP76" i="10"/>
  <c r="BK76" i="10"/>
  <c r="BA76" i="10"/>
  <c r="AW76" i="10"/>
  <c r="AS76" i="10"/>
  <c r="AO76" i="10"/>
  <c r="AK76" i="10"/>
  <c r="BS76" i="10"/>
  <c r="BO76" i="10"/>
  <c r="BD76" i="10"/>
  <c r="AR76" i="10"/>
  <c r="CA76" i="10"/>
  <c r="AN76" i="10"/>
  <c r="BW76" i="10"/>
  <c r="AZ76" i="10"/>
  <c r="AI76" i="10"/>
  <c r="BL76" i="10"/>
  <c r="BX75" i="10"/>
  <c r="AF76" i="10"/>
  <c r="AE75" i="10"/>
  <c r="B77" i="10"/>
  <c r="CD77" i="10" s="1"/>
  <c r="BJ77" i="10" l="1"/>
  <c r="BT76" i="10"/>
  <c r="CC77" i="10"/>
  <c r="BY77" i="10"/>
  <c r="BS77" i="10"/>
  <c r="BO77" i="10"/>
  <c r="BD77" i="10"/>
  <c r="AZ77" i="10"/>
  <c r="AQ77" i="10"/>
  <c r="AM77" i="10"/>
  <c r="AH77" i="10"/>
  <c r="CB77" i="10"/>
  <c r="BW77" i="10"/>
  <c r="BR77" i="10"/>
  <c r="BN77" i="10"/>
  <c r="BI77" i="10"/>
  <c r="AY77" i="10"/>
  <c r="AT77" i="10"/>
  <c r="AP77" i="10"/>
  <c r="AL77" i="10"/>
  <c r="CA77" i="10"/>
  <c r="BV77" i="10"/>
  <c r="BQ77" i="10"/>
  <c r="BH77" i="10"/>
  <c r="BB77" i="10"/>
  <c r="AX77" i="10"/>
  <c r="AS77" i="10"/>
  <c r="AO77" i="10"/>
  <c r="AK77" i="10"/>
  <c r="BP77" i="10"/>
  <c r="AN77" i="10"/>
  <c r="BA77" i="10"/>
  <c r="AI77" i="10"/>
  <c r="BZ77" i="10"/>
  <c r="BK77" i="10"/>
  <c r="AW77" i="10"/>
  <c r="AR77" i="10"/>
  <c r="BL77" i="10"/>
  <c r="AV76" i="10"/>
  <c r="AU76" i="10"/>
  <c r="BG76" i="10" s="1"/>
  <c r="AF77" i="10"/>
  <c r="AE76" i="10"/>
  <c r="B78" i="10"/>
  <c r="CD78" i="10" s="1"/>
  <c r="BJ78" i="10" l="1"/>
  <c r="BX77" i="10"/>
  <c r="BT77" i="10"/>
  <c r="AU77" i="10"/>
  <c r="BG77" i="10" s="1"/>
  <c r="BU77" i="10"/>
  <c r="BZ78" i="10"/>
  <c r="BS78" i="10"/>
  <c r="BO78" i="10"/>
  <c r="BD78" i="10"/>
  <c r="AZ78" i="10"/>
  <c r="AT78" i="10"/>
  <c r="AP78" i="10"/>
  <c r="BU78" i="10" s="1"/>
  <c r="AL78" i="10"/>
  <c r="CC78" i="10"/>
  <c r="BY78" i="10"/>
  <c r="BR78" i="10"/>
  <c r="BN78" i="10"/>
  <c r="BI78" i="10"/>
  <c r="AY78" i="10"/>
  <c r="AS78" i="10"/>
  <c r="AO78" i="10"/>
  <c r="AK78" i="10"/>
  <c r="CB78" i="10"/>
  <c r="BW78" i="10"/>
  <c r="BQ78" i="10"/>
  <c r="BH78" i="10"/>
  <c r="BB78" i="10"/>
  <c r="AX78" i="10"/>
  <c r="AR78" i="10"/>
  <c r="AN78" i="10"/>
  <c r="AI78" i="10"/>
  <c r="BP78" i="10"/>
  <c r="AM78" i="10"/>
  <c r="BV78" i="10"/>
  <c r="AQ78" i="10"/>
  <c r="BA78" i="10"/>
  <c r="AH78" i="10"/>
  <c r="BX78" i="10" s="1"/>
  <c r="CA78" i="10"/>
  <c r="BK78" i="10"/>
  <c r="AW78" i="10"/>
  <c r="BL78" i="10"/>
  <c r="AV77" i="10"/>
  <c r="AF78" i="10"/>
  <c r="AE77" i="10"/>
  <c r="B79" i="10"/>
  <c r="CD79" i="10" s="1"/>
  <c r="BJ79" i="10" l="1"/>
  <c r="AU78" i="10"/>
  <c r="BG78" i="10" s="1"/>
  <c r="AV78" i="10"/>
  <c r="BT78" i="10"/>
  <c r="CB79" i="10"/>
  <c r="BS79" i="10"/>
  <c r="BO79" i="10"/>
  <c r="BD79" i="10"/>
  <c r="AZ79" i="10"/>
  <c r="AQ79" i="10"/>
  <c r="AM79" i="10"/>
  <c r="AH79" i="10"/>
  <c r="CA79" i="10"/>
  <c r="BW79" i="10"/>
  <c r="BR79" i="10"/>
  <c r="BN79" i="10"/>
  <c r="BI79" i="10"/>
  <c r="AY79" i="10"/>
  <c r="AT79" i="10"/>
  <c r="AP79" i="10"/>
  <c r="BU79" i="10" s="1"/>
  <c r="AL79" i="10"/>
  <c r="BZ79" i="10"/>
  <c r="BV79" i="10"/>
  <c r="BQ79" i="10"/>
  <c r="BH79" i="10"/>
  <c r="BB79" i="10"/>
  <c r="AX79" i="10"/>
  <c r="AS79" i="10"/>
  <c r="AO79" i="10"/>
  <c r="AK79" i="10"/>
  <c r="BP79" i="10"/>
  <c r="AN79" i="10"/>
  <c r="CC79" i="10"/>
  <c r="BA79" i="10"/>
  <c r="AI79" i="10"/>
  <c r="AR79" i="10"/>
  <c r="BY79" i="10"/>
  <c r="BK79" i="10"/>
  <c r="AW79" i="10"/>
  <c r="BT79" i="10"/>
  <c r="BL79" i="10"/>
  <c r="AF79" i="10"/>
  <c r="AE78" i="10"/>
  <c r="B80" i="10"/>
  <c r="CD80" i="10" s="1"/>
  <c r="BJ80" i="10" l="1"/>
  <c r="AV79" i="10"/>
  <c r="AU79" i="10"/>
  <c r="BG79" i="10" s="1"/>
  <c r="CB80" i="10"/>
  <c r="BP80" i="10"/>
  <c r="BK80" i="10"/>
  <c r="BA80" i="10"/>
  <c r="AW80" i="10"/>
  <c r="AS80" i="10"/>
  <c r="AO80" i="10"/>
  <c r="AK80" i="10"/>
  <c r="CA80" i="10"/>
  <c r="BW80" i="10"/>
  <c r="BS80" i="10"/>
  <c r="BO80" i="10"/>
  <c r="BD80" i="10"/>
  <c r="AZ80" i="10"/>
  <c r="AR80" i="10"/>
  <c r="AN80" i="10"/>
  <c r="AI80" i="10"/>
  <c r="BZ80" i="10"/>
  <c r="BV80" i="10"/>
  <c r="BR80" i="10"/>
  <c r="BN80" i="10"/>
  <c r="BI80" i="10"/>
  <c r="AY80" i="10"/>
  <c r="AQ80" i="10"/>
  <c r="AM80" i="10"/>
  <c r="AH80" i="10"/>
  <c r="CC80" i="10"/>
  <c r="BB80" i="10"/>
  <c r="AL80" i="10"/>
  <c r="BQ80" i="10"/>
  <c r="BY80" i="10"/>
  <c r="BH80" i="10"/>
  <c r="AX80" i="10"/>
  <c r="AP80" i="10"/>
  <c r="BU80" i="10" s="1"/>
  <c r="AT80" i="10"/>
  <c r="BL80" i="10"/>
  <c r="BX79" i="10"/>
  <c r="AF80" i="10"/>
  <c r="AE79" i="10"/>
  <c r="B81" i="10"/>
  <c r="CD81" i="10" s="1"/>
  <c r="BJ81" i="10" l="1"/>
  <c r="BT80" i="10"/>
  <c r="AV80" i="10"/>
  <c r="BX80" i="10"/>
  <c r="CA81" i="10"/>
  <c r="BV81" i="10"/>
  <c r="BQ81" i="10"/>
  <c r="BH81" i="10"/>
  <c r="BB81" i="10"/>
  <c r="AX81" i="10"/>
  <c r="AS81" i="10"/>
  <c r="AO81" i="10"/>
  <c r="AK81" i="10"/>
  <c r="BZ81" i="10"/>
  <c r="BP81" i="10"/>
  <c r="BK81" i="10"/>
  <c r="BA81" i="10"/>
  <c r="AW81" i="10"/>
  <c r="AR81" i="10"/>
  <c r="AN81" i="10"/>
  <c r="AI81" i="10"/>
  <c r="CC81" i="10"/>
  <c r="BY81" i="10"/>
  <c r="BS81" i="10"/>
  <c r="BO81" i="10"/>
  <c r="BD81" i="10"/>
  <c r="AZ81" i="10"/>
  <c r="AQ81" i="10"/>
  <c r="AM81" i="10"/>
  <c r="AH81" i="10"/>
  <c r="CB81" i="10"/>
  <c r="AY81" i="10"/>
  <c r="BW81" i="10"/>
  <c r="BI81" i="10"/>
  <c r="AT81" i="10"/>
  <c r="BN81" i="10"/>
  <c r="BR81" i="10"/>
  <c r="AP81" i="10"/>
  <c r="AL81" i="10"/>
  <c r="BL81" i="10"/>
  <c r="AU80" i="10"/>
  <c r="BG80" i="10" s="1"/>
  <c r="AF81" i="10"/>
  <c r="AE80" i="10"/>
  <c r="B82" i="10"/>
  <c r="CD82" i="10" s="1"/>
  <c r="BJ82" i="10" l="1"/>
  <c r="BX81" i="10"/>
  <c r="CB82" i="10"/>
  <c r="BW82" i="10"/>
  <c r="BQ82" i="10"/>
  <c r="BH82" i="10"/>
  <c r="BB82" i="10"/>
  <c r="AX82" i="10"/>
  <c r="AR82" i="10"/>
  <c r="AN82" i="10"/>
  <c r="AI82" i="10"/>
  <c r="CA82" i="10"/>
  <c r="BV82" i="10"/>
  <c r="BP82" i="10"/>
  <c r="BK82" i="10"/>
  <c r="BA82" i="10"/>
  <c r="AW82" i="10"/>
  <c r="AQ82" i="10"/>
  <c r="AM82" i="10"/>
  <c r="AH82" i="10"/>
  <c r="BZ82" i="10"/>
  <c r="BS82" i="10"/>
  <c r="BO82" i="10"/>
  <c r="BD82" i="10"/>
  <c r="AZ82" i="10"/>
  <c r="AT82" i="10"/>
  <c r="AP82" i="10"/>
  <c r="BU82" i="10" s="1"/>
  <c r="AL82" i="10"/>
  <c r="CC82" i="10"/>
  <c r="AY82" i="10"/>
  <c r="BY82" i="10"/>
  <c r="BI82" i="10"/>
  <c r="AS82" i="10"/>
  <c r="BN82" i="10"/>
  <c r="BR82" i="10"/>
  <c r="AO82" i="10"/>
  <c r="AK82" i="10"/>
  <c r="BL82" i="10"/>
  <c r="AU81" i="10"/>
  <c r="BG81" i="10" s="1"/>
  <c r="BU81" i="10"/>
  <c r="BT81" i="10"/>
  <c r="AV81" i="10"/>
  <c r="AF82" i="10"/>
  <c r="AE81" i="10"/>
  <c r="B83" i="10"/>
  <c r="CD83" i="10" s="1"/>
  <c r="BJ83" i="10" l="1"/>
  <c r="AU82" i="10"/>
  <c r="BG82" i="10" s="1"/>
  <c r="AV82" i="10"/>
  <c r="BX82" i="10"/>
  <c r="BZ83" i="10"/>
  <c r="BV83" i="10"/>
  <c r="BQ83" i="10"/>
  <c r="BH83" i="10"/>
  <c r="BB83" i="10"/>
  <c r="AX83" i="10"/>
  <c r="AS83" i="10"/>
  <c r="AO83" i="10"/>
  <c r="AK83" i="10"/>
  <c r="CC83" i="10"/>
  <c r="BY83" i="10"/>
  <c r="BP83" i="10"/>
  <c r="BK83" i="10"/>
  <c r="BA83" i="10"/>
  <c r="AW83" i="10"/>
  <c r="AR83" i="10"/>
  <c r="AN83" i="10"/>
  <c r="AI83" i="10"/>
  <c r="CB83" i="10"/>
  <c r="BS83" i="10"/>
  <c r="BO83" i="10"/>
  <c r="BD83" i="10"/>
  <c r="AZ83" i="10"/>
  <c r="AQ83" i="10"/>
  <c r="AM83" i="10"/>
  <c r="AH83" i="10"/>
  <c r="BT83" i="10" s="1"/>
  <c r="CA83" i="10"/>
  <c r="AY83" i="10"/>
  <c r="BW83" i="10"/>
  <c r="BI83" i="10"/>
  <c r="AT83" i="10"/>
  <c r="BN83" i="10"/>
  <c r="BR83" i="10"/>
  <c r="AP83" i="10"/>
  <c r="BU83" i="10" s="1"/>
  <c r="AL83" i="10"/>
  <c r="BL83" i="10"/>
  <c r="BT82" i="10"/>
  <c r="AF83" i="10"/>
  <c r="AE82" i="10"/>
  <c r="B84" i="10"/>
  <c r="CD84" i="10" s="1"/>
  <c r="BJ84" i="10" l="1"/>
  <c r="AV83" i="10"/>
  <c r="BX83" i="10"/>
  <c r="AU83" i="10"/>
  <c r="BG83" i="10" s="1"/>
  <c r="BZ84" i="10"/>
  <c r="BV84" i="10"/>
  <c r="BR84" i="10"/>
  <c r="BN84" i="10"/>
  <c r="BI84" i="10"/>
  <c r="AY84" i="10"/>
  <c r="AQ84" i="10"/>
  <c r="AM84" i="10"/>
  <c r="AH84" i="10"/>
  <c r="BT84" i="10" s="1"/>
  <c r="CC84" i="10"/>
  <c r="BY84" i="10"/>
  <c r="BQ84" i="10"/>
  <c r="BH84" i="10"/>
  <c r="BB84" i="10"/>
  <c r="AX84" i="10"/>
  <c r="AT84" i="10"/>
  <c r="AP84" i="10"/>
  <c r="BU84" i="10" s="1"/>
  <c r="AL84" i="10"/>
  <c r="CB84" i="10"/>
  <c r="BP84" i="10"/>
  <c r="BK84" i="10"/>
  <c r="BA84" i="10"/>
  <c r="AW84" i="10"/>
  <c r="AS84" i="10"/>
  <c r="AO84" i="10"/>
  <c r="AK84" i="10"/>
  <c r="BS84" i="10"/>
  <c r="BO84" i="10"/>
  <c r="BD84" i="10"/>
  <c r="AR84" i="10"/>
  <c r="BW84" i="10"/>
  <c r="CA84" i="10"/>
  <c r="AN84" i="10"/>
  <c r="AZ84" i="10"/>
  <c r="AI84" i="10"/>
  <c r="BL84" i="10"/>
  <c r="AF84" i="10"/>
  <c r="AE83" i="10"/>
  <c r="B85" i="10"/>
  <c r="CD85" i="10" s="1"/>
  <c r="BJ85" i="10" l="1"/>
  <c r="AV84" i="10"/>
  <c r="AU84" i="10"/>
  <c r="BG84" i="10" s="1"/>
  <c r="CB85" i="10"/>
  <c r="BW85" i="10"/>
  <c r="BR85" i="10"/>
  <c r="BN85" i="10"/>
  <c r="BI85" i="10"/>
  <c r="AY85" i="10"/>
  <c r="AQ85" i="10"/>
  <c r="AM85" i="10"/>
  <c r="AH85" i="10"/>
  <c r="BT85" i="10" s="1"/>
  <c r="CA85" i="10"/>
  <c r="BV85" i="10"/>
  <c r="BQ85" i="10"/>
  <c r="BH85" i="10"/>
  <c r="BB85" i="10"/>
  <c r="AX85" i="10"/>
  <c r="AT85" i="10"/>
  <c r="AP85" i="10"/>
  <c r="BU85" i="10" s="1"/>
  <c r="AL85" i="10"/>
  <c r="BZ85" i="10"/>
  <c r="BP85" i="10"/>
  <c r="BK85" i="10"/>
  <c r="BA85" i="10"/>
  <c r="AW85" i="10"/>
  <c r="AS85" i="10"/>
  <c r="AO85" i="10"/>
  <c r="AK85" i="10"/>
  <c r="CC85" i="10"/>
  <c r="AN85" i="10"/>
  <c r="BY85" i="10"/>
  <c r="AZ85" i="10"/>
  <c r="AI85" i="10"/>
  <c r="BO85" i="10"/>
  <c r="BS85" i="10"/>
  <c r="BD85" i="10"/>
  <c r="AR85" i="10"/>
  <c r="BL85" i="10"/>
  <c r="BX84" i="10"/>
  <c r="AF85" i="10"/>
  <c r="AE84" i="10"/>
  <c r="B86" i="10"/>
  <c r="CD86" i="10" s="1"/>
  <c r="BJ86" i="10" l="1"/>
  <c r="AV85" i="10"/>
  <c r="AU85" i="10"/>
  <c r="BG85" i="10" s="1"/>
  <c r="CC86" i="10"/>
  <c r="BY86" i="10"/>
  <c r="BR86" i="10"/>
  <c r="BN86" i="10"/>
  <c r="BI86" i="10"/>
  <c r="AY86" i="10"/>
  <c r="AS86" i="10"/>
  <c r="AO86" i="10"/>
  <c r="AK86" i="10"/>
  <c r="CB86" i="10"/>
  <c r="BW86" i="10"/>
  <c r="BQ86" i="10"/>
  <c r="BH86" i="10"/>
  <c r="BB86" i="10"/>
  <c r="AX86" i="10"/>
  <c r="AR86" i="10"/>
  <c r="AN86" i="10"/>
  <c r="AI86" i="10"/>
  <c r="CA86" i="10"/>
  <c r="BV86" i="10"/>
  <c r="BP86" i="10"/>
  <c r="BK86" i="10"/>
  <c r="BA86" i="10"/>
  <c r="AW86" i="10"/>
  <c r="AQ86" i="10"/>
  <c r="AM86" i="10"/>
  <c r="AH86" i="10"/>
  <c r="BX86" i="10" s="1"/>
  <c r="BZ86" i="10"/>
  <c r="AZ86" i="10"/>
  <c r="BS86" i="10"/>
  <c r="AT86" i="10"/>
  <c r="BO86" i="10"/>
  <c r="BD86" i="10"/>
  <c r="AP86" i="10"/>
  <c r="BU86" i="10" s="1"/>
  <c r="AL86" i="10"/>
  <c r="BL86" i="10"/>
  <c r="BX85" i="10"/>
  <c r="AF86" i="10"/>
  <c r="AE85" i="10"/>
  <c r="B87" i="10"/>
  <c r="CD87" i="10" s="1"/>
  <c r="BJ87" i="10" l="1"/>
  <c r="AV86" i="10"/>
  <c r="BT86" i="10"/>
  <c r="CA87" i="10"/>
  <c r="BW87" i="10"/>
  <c r="BR87" i="10"/>
  <c r="BN87" i="10"/>
  <c r="BI87" i="10"/>
  <c r="AY87" i="10"/>
  <c r="AT87" i="10"/>
  <c r="AP87" i="10"/>
  <c r="BU87" i="10" s="1"/>
  <c r="AL87" i="10"/>
  <c r="BZ87" i="10"/>
  <c r="BV87" i="10"/>
  <c r="BQ87" i="10"/>
  <c r="BH87" i="10"/>
  <c r="BB87" i="10"/>
  <c r="AX87" i="10"/>
  <c r="AS87" i="10"/>
  <c r="AO87" i="10"/>
  <c r="AK87" i="10"/>
  <c r="CC87" i="10"/>
  <c r="BY87" i="10"/>
  <c r="BP87" i="10"/>
  <c r="BK87" i="10"/>
  <c r="BA87" i="10"/>
  <c r="AW87" i="10"/>
  <c r="AR87" i="10"/>
  <c r="AN87" i="10"/>
  <c r="AI87" i="10"/>
  <c r="BS87" i="10"/>
  <c r="BO87" i="10"/>
  <c r="BD87" i="10"/>
  <c r="AQ87" i="10"/>
  <c r="AH87" i="10"/>
  <c r="CB87" i="10"/>
  <c r="AM87" i="10"/>
  <c r="AZ87" i="10"/>
  <c r="BL87" i="10"/>
  <c r="AU86" i="10"/>
  <c r="BG86" i="10" s="1"/>
  <c r="AF87" i="10"/>
  <c r="AE86" i="10"/>
  <c r="B88" i="10"/>
  <c r="CD88" i="10" s="1"/>
  <c r="BJ88" i="10" l="1"/>
  <c r="AV87" i="10"/>
  <c r="AU87" i="10"/>
  <c r="BG87" i="10" s="1"/>
  <c r="CA88" i="10"/>
  <c r="BW88" i="10"/>
  <c r="BS88" i="10"/>
  <c r="BO88" i="10"/>
  <c r="BD88" i="10"/>
  <c r="AZ88" i="10"/>
  <c r="AR88" i="10"/>
  <c r="AN88" i="10"/>
  <c r="AI88" i="10"/>
  <c r="BZ88" i="10"/>
  <c r="BV88" i="10"/>
  <c r="BR88" i="10"/>
  <c r="BN88" i="10"/>
  <c r="BI88" i="10"/>
  <c r="AY88" i="10"/>
  <c r="AQ88" i="10"/>
  <c r="AM88" i="10"/>
  <c r="AH88" i="10"/>
  <c r="BT88" i="10" s="1"/>
  <c r="CC88" i="10"/>
  <c r="BY88" i="10"/>
  <c r="BQ88" i="10"/>
  <c r="BH88" i="10"/>
  <c r="BB88" i="10"/>
  <c r="AX88" i="10"/>
  <c r="AT88" i="10"/>
  <c r="AP88" i="10"/>
  <c r="BU88" i="10" s="1"/>
  <c r="AL88" i="10"/>
  <c r="BP88" i="10"/>
  <c r="AO88" i="10"/>
  <c r="CB88" i="10"/>
  <c r="BA88" i="10"/>
  <c r="AK88" i="10"/>
  <c r="BK88" i="10"/>
  <c r="AW88" i="10"/>
  <c r="AS88" i="10"/>
  <c r="BL88" i="10"/>
  <c r="BT87" i="10"/>
  <c r="BX87" i="10"/>
  <c r="AF88" i="10"/>
  <c r="AE87" i="10"/>
  <c r="B89" i="10"/>
  <c r="CD89" i="10" s="1"/>
  <c r="BJ89" i="10" l="1"/>
  <c r="BX88" i="10"/>
  <c r="AV88" i="10"/>
  <c r="CC89" i="10"/>
  <c r="BY89" i="10"/>
  <c r="BS89" i="10"/>
  <c r="BO89" i="10"/>
  <c r="BD89" i="10"/>
  <c r="AZ89" i="10"/>
  <c r="AR89" i="10"/>
  <c r="AN89" i="10"/>
  <c r="AI89" i="10"/>
  <c r="CB89" i="10"/>
  <c r="BW89" i="10"/>
  <c r="BR89" i="10"/>
  <c r="BN89" i="10"/>
  <c r="BI89" i="10"/>
  <c r="AY89" i="10"/>
  <c r="AQ89" i="10"/>
  <c r="AM89" i="10"/>
  <c r="AH89" i="10"/>
  <c r="BT89" i="10" s="1"/>
  <c r="CA89" i="10"/>
  <c r="BV89" i="10"/>
  <c r="BQ89" i="10"/>
  <c r="BH89" i="10"/>
  <c r="BB89" i="10"/>
  <c r="AX89" i="10"/>
  <c r="AT89" i="10"/>
  <c r="AP89" i="10"/>
  <c r="BU89" i="10" s="1"/>
  <c r="AL89" i="10"/>
  <c r="BA89" i="10"/>
  <c r="AK89" i="10"/>
  <c r="BZ89" i="10"/>
  <c r="BK89" i="10"/>
  <c r="AW89" i="10"/>
  <c r="AS89" i="10"/>
  <c r="BP89" i="10"/>
  <c r="AO89" i="10"/>
  <c r="BL89" i="10"/>
  <c r="AU88" i="10"/>
  <c r="BG88" i="10" s="1"/>
  <c r="AF89" i="10"/>
  <c r="AE88" i="10"/>
  <c r="B90" i="10"/>
  <c r="CD90" i="10" s="1"/>
  <c r="BJ90" i="10" l="1"/>
  <c r="AU89" i="10"/>
  <c r="BG89" i="10" s="1"/>
  <c r="BX89" i="10"/>
  <c r="BZ90" i="10"/>
  <c r="BS90" i="10"/>
  <c r="BO90" i="10"/>
  <c r="BD90" i="10"/>
  <c r="AZ90" i="10"/>
  <c r="AT90" i="10"/>
  <c r="AP90" i="10"/>
  <c r="BU90" i="10" s="1"/>
  <c r="AL90" i="10"/>
  <c r="CC90" i="10"/>
  <c r="BY90" i="10"/>
  <c r="BR90" i="10"/>
  <c r="BN90" i="10"/>
  <c r="BI90" i="10"/>
  <c r="AY90" i="10"/>
  <c r="AS90" i="10"/>
  <c r="AO90" i="10"/>
  <c r="AK90" i="10"/>
  <c r="CB90" i="10"/>
  <c r="BW90" i="10"/>
  <c r="BQ90" i="10"/>
  <c r="BH90" i="10"/>
  <c r="BB90" i="10"/>
  <c r="AX90" i="10"/>
  <c r="AR90" i="10"/>
  <c r="AN90" i="10"/>
  <c r="AI90" i="10"/>
  <c r="BA90" i="10"/>
  <c r="AH90" i="10"/>
  <c r="BT90" i="10" s="1"/>
  <c r="AM90" i="10"/>
  <c r="CA90" i="10"/>
  <c r="BK90" i="10"/>
  <c r="AW90" i="10"/>
  <c r="BP90" i="10"/>
  <c r="BV90" i="10"/>
  <c r="AQ90" i="10"/>
  <c r="BL90" i="10"/>
  <c r="AV89" i="10"/>
  <c r="AF90" i="10"/>
  <c r="AE89" i="10"/>
  <c r="B91" i="10"/>
  <c r="CD91" i="10" s="1"/>
  <c r="BJ91" i="10" l="1"/>
  <c r="AV90" i="10"/>
  <c r="AU90" i="10"/>
  <c r="BG90" i="10" s="1"/>
  <c r="BX90" i="10"/>
  <c r="CB91" i="10"/>
  <c r="BS91" i="10"/>
  <c r="BO91" i="10"/>
  <c r="BD91" i="10"/>
  <c r="AZ91" i="10"/>
  <c r="AQ91" i="10"/>
  <c r="AM91" i="10"/>
  <c r="AH91" i="10"/>
  <c r="BX91" i="10" s="1"/>
  <c r="CA91" i="10"/>
  <c r="BW91" i="10"/>
  <c r="BR91" i="10"/>
  <c r="BN91" i="10"/>
  <c r="BI91" i="10"/>
  <c r="AY91" i="10"/>
  <c r="AT91" i="10"/>
  <c r="AP91" i="10"/>
  <c r="BU91" i="10" s="1"/>
  <c r="AL91" i="10"/>
  <c r="BZ91" i="10"/>
  <c r="BV91" i="10"/>
  <c r="BQ91" i="10"/>
  <c r="BH91" i="10"/>
  <c r="BB91" i="10"/>
  <c r="AX91" i="10"/>
  <c r="AS91" i="10"/>
  <c r="AO91" i="10"/>
  <c r="AK91" i="10"/>
  <c r="CC91" i="10"/>
  <c r="BA91" i="10"/>
  <c r="AI91" i="10"/>
  <c r="BP91" i="10"/>
  <c r="BY91" i="10"/>
  <c r="BK91" i="10"/>
  <c r="AW91" i="10"/>
  <c r="AR91" i="10"/>
  <c r="AN91" i="10"/>
  <c r="BL91" i="10"/>
  <c r="AF91" i="10"/>
  <c r="AE90" i="10"/>
  <c r="B92" i="10"/>
  <c r="CD92" i="10" s="1"/>
  <c r="BJ92" i="10" l="1"/>
  <c r="CB92" i="10"/>
  <c r="BP92" i="10"/>
  <c r="BK92" i="10"/>
  <c r="BA92" i="10"/>
  <c r="AW92" i="10"/>
  <c r="AS92" i="10"/>
  <c r="AO92" i="10"/>
  <c r="AK92" i="10"/>
  <c r="CA92" i="10"/>
  <c r="BW92" i="10"/>
  <c r="BS92" i="10"/>
  <c r="BO92" i="10"/>
  <c r="BD92" i="10"/>
  <c r="AZ92" i="10"/>
  <c r="AR92" i="10"/>
  <c r="AN92" i="10"/>
  <c r="AI92" i="10"/>
  <c r="BZ92" i="10"/>
  <c r="BV92" i="10"/>
  <c r="BR92" i="10"/>
  <c r="BN92" i="10"/>
  <c r="BI92" i="10"/>
  <c r="AY92" i="10"/>
  <c r="AQ92" i="10"/>
  <c r="AM92" i="10"/>
  <c r="AH92" i="10"/>
  <c r="BY92" i="10"/>
  <c r="BH92" i="10"/>
  <c r="AX92" i="10"/>
  <c r="AT92" i="10"/>
  <c r="AL92" i="10"/>
  <c r="BQ92" i="10"/>
  <c r="AP92" i="10"/>
  <c r="BU92" i="10" s="1"/>
  <c r="CC92" i="10"/>
  <c r="BB92" i="10"/>
  <c r="BL92" i="10"/>
  <c r="BT91" i="10"/>
  <c r="AV91" i="10"/>
  <c r="AU91" i="10"/>
  <c r="BG91" i="10" s="1"/>
  <c r="AF92" i="10"/>
  <c r="AE91" i="10"/>
  <c r="B93" i="10"/>
  <c r="CD93" i="10" s="1"/>
  <c r="BJ93" i="10" l="1"/>
  <c r="AU92" i="10"/>
  <c r="BG92" i="10" s="1"/>
  <c r="BZ93" i="10"/>
  <c r="BP93" i="10"/>
  <c r="BK93" i="10"/>
  <c r="BA93" i="10"/>
  <c r="AW93" i="10"/>
  <c r="AS93" i="10"/>
  <c r="AO93" i="10"/>
  <c r="AK93" i="10"/>
  <c r="CC93" i="10"/>
  <c r="BY93" i="10"/>
  <c r="BS93" i="10"/>
  <c r="BO93" i="10"/>
  <c r="BD93" i="10"/>
  <c r="AZ93" i="10"/>
  <c r="AR93" i="10"/>
  <c r="AN93" i="10"/>
  <c r="AI93" i="10"/>
  <c r="CB93" i="10"/>
  <c r="BW93" i="10"/>
  <c r="BR93" i="10"/>
  <c r="BN93" i="10"/>
  <c r="BI93" i="10"/>
  <c r="AY93" i="10"/>
  <c r="AQ93" i="10"/>
  <c r="AM93" i="10"/>
  <c r="AH93" i="10"/>
  <c r="BT93" i="10" s="1"/>
  <c r="BV93" i="10"/>
  <c r="AT93" i="10"/>
  <c r="AX93" i="10"/>
  <c r="BQ93" i="10"/>
  <c r="AP93" i="10"/>
  <c r="BU93" i="10" s="1"/>
  <c r="BB93" i="10"/>
  <c r="AL93" i="10"/>
  <c r="CA93" i="10"/>
  <c r="BH93" i="10"/>
  <c r="BL93" i="10"/>
  <c r="BT92" i="10"/>
  <c r="AV92" i="10"/>
  <c r="BX92" i="10"/>
  <c r="AF93" i="10"/>
  <c r="AE92" i="10"/>
  <c r="B94" i="10"/>
  <c r="CD94" i="10" s="1"/>
  <c r="BJ94" i="10" l="1"/>
  <c r="AV93" i="10"/>
  <c r="CA94" i="10"/>
  <c r="BV94" i="10"/>
  <c r="BP94" i="10"/>
  <c r="BK94" i="10"/>
  <c r="BA94" i="10"/>
  <c r="AW94" i="10"/>
  <c r="AQ94" i="10"/>
  <c r="AM94" i="10"/>
  <c r="AH94" i="10"/>
  <c r="BT94" i="10" s="1"/>
  <c r="BZ94" i="10"/>
  <c r="BS94" i="10"/>
  <c r="BO94" i="10"/>
  <c r="BD94" i="10"/>
  <c r="AZ94" i="10"/>
  <c r="AT94" i="10"/>
  <c r="AP94" i="10"/>
  <c r="BU94" i="10" s="1"/>
  <c r="AL94" i="10"/>
  <c r="CC94" i="10"/>
  <c r="BY94" i="10"/>
  <c r="BR94" i="10"/>
  <c r="BN94" i="10"/>
  <c r="BI94" i="10"/>
  <c r="AY94" i="10"/>
  <c r="AS94" i="10"/>
  <c r="AO94" i="10"/>
  <c r="AK94" i="10"/>
  <c r="BW94" i="10"/>
  <c r="AR94" i="10"/>
  <c r="BH94" i="10"/>
  <c r="BQ94" i="10"/>
  <c r="AN94" i="10"/>
  <c r="AX94" i="10"/>
  <c r="BB94" i="10"/>
  <c r="AI94" i="10"/>
  <c r="CB94" i="10"/>
  <c r="BL94" i="10"/>
  <c r="AU93" i="10"/>
  <c r="BG93" i="10" s="1"/>
  <c r="BX93" i="10"/>
  <c r="AF94" i="10"/>
  <c r="AE93" i="10"/>
  <c r="B95" i="10"/>
  <c r="CD95" i="10" s="1"/>
  <c r="BJ95" i="10" l="1"/>
  <c r="BX94" i="10"/>
  <c r="AV94" i="10"/>
  <c r="AU94" i="10"/>
  <c r="BG94" i="10" s="1"/>
  <c r="CC95" i="10"/>
  <c r="BY95" i="10"/>
  <c r="BP95" i="10"/>
  <c r="BK95" i="10"/>
  <c r="BA95" i="10"/>
  <c r="AW95" i="10"/>
  <c r="AR95" i="10"/>
  <c r="AN95" i="10"/>
  <c r="AI95" i="10"/>
  <c r="CB95" i="10"/>
  <c r="BS95" i="10"/>
  <c r="BO95" i="10"/>
  <c r="BD95" i="10"/>
  <c r="AZ95" i="10"/>
  <c r="AQ95" i="10"/>
  <c r="AM95" i="10"/>
  <c r="AH95" i="10"/>
  <c r="BT95" i="10" s="1"/>
  <c r="CA95" i="10"/>
  <c r="BW95" i="10"/>
  <c r="BR95" i="10"/>
  <c r="BN95" i="10"/>
  <c r="BI95" i="10"/>
  <c r="AY95" i="10"/>
  <c r="AT95" i="10"/>
  <c r="AP95" i="10"/>
  <c r="BU95" i="10" s="1"/>
  <c r="AL95" i="10"/>
  <c r="BV95" i="10"/>
  <c r="AS95" i="10"/>
  <c r="BZ95" i="10"/>
  <c r="AX95" i="10"/>
  <c r="BQ95" i="10"/>
  <c r="AO95" i="10"/>
  <c r="BB95" i="10"/>
  <c r="AK95" i="10"/>
  <c r="BH95" i="10"/>
  <c r="BL95" i="10"/>
  <c r="AF95" i="10"/>
  <c r="AE94" i="10"/>
  <c r="B96" i="10"/>
  <c r="CD96" i="10" s="1"/>
  <c r="BJ96" i="10" l="1"/>
  <c r="BX95" i="10"/>
  <c r="AV95" i="10"/>
  <c r="CC96" i="10"/>
  <c r="BY96" i="10"/>
  <c r="BQ96" i="10"/>
  <c r="BH96" i="10"/>
  <c r="BB96" i="10"/>
  <c r="AX96" i="10"/>
  <c r="AT96" i="10"/>
  <c r="AP96" i="10"/>
  <c r="BU96" i="10" s="1"/>
  <c r="AL96" i="10"/>
  <c r="CB96" i="10"/>
  <c r="BP96" i="10"/>
  <c r="BK96" i="10"/>
  <c r="BA96" i="10"/>
  <c r="AW96" i="10"/>
  <c r="AS96" i="10"/>
  <c r="AO96" i="10"/>
  <c r="AK96" i="10"/>
  <c r="CA96" i="10"/>
  <c r="BW96" i="10"/>
  <c r="BS96" i="10"/>
  <c r="BO96" i="10"/>
  <c r="BD96" i="10"/>
  <c r="AZ96" i="10"/>
  <c r="AR96" i="10"/>
  <c r="AN96" i="10"/>
  <c r="AI96" i="10"/>
  <c r="BR96" i="10"/>
  <c r="AQ96" i="10"/>
  <c r="BV96" i="10"/>
  <c r="BN96" i="10"/>
  <c r="AM96" i="10"/>
  <c r="BZ96" i="10"/>
  <c r="AY96" i="10"/>
  <c r="AH96" i="10"/>
  <c r="BX96" i="10" s="1"/>
  <c r="BI96" i="10"/>
  <c r="BL96" i="10"/>
  <c r="AU95" i="10"/>
  <c r="BG95" i="10" s="1"/>
  <c r="AF96" i="10"/>
  <c r="AE95" i="10"/>
  <c r="B97" i="10"/>
  <c r="CD97" i="10" s="1"/>
  <c r="BJ97" i="10" l="1"/>
  <c r="BT96" i="10"/>
  <c r="AU96" i="10"/>
  <c r="BG96" i="10" s="1"/>
  <c r="AV96" i="10"/>
  <c r="CB97" i="10"/>
  <c r="BW97" i="10"/>
  <c r="BR97" i="10"/>
  <c r="BN97" i="10"/>
  <c r="BI97" i="10"/>
  <c r="AY97" i="10"/>
  <c r="AT97" i="10"/>
  <c r="AP97" i="10"/>
  <c r="AL97" i="10"/>
  <c r="CA97" i="10"/>
  <c r="BV97" i="10"/>
  <c r="BQ97" i="10"/>
  <c r="BH97" i="10"/>
  <c r="BB97" i="10"/>
  <c r="AX97" i="10"/>
  <c r="AS97" i="10"/>
  <c r="AO97" i="10"/>
  <c r="AK97" i="10"/>
  <c r="BZ97" i="10"/>
  <c r="BP97" i="10"/>
  <c r="BK97" i="10"/>
  <c r="BA97" i="10"/>
  <c r="AW97" i="10"/>
  <c r="AR97" i="10"/>
  <c r="AN97" i="10"/>
  <c r="AI97" i="10"/>
  <c r="CC97" i="10"/>
  <c r="AM97" i="10"/>
  <c r="BO97" i="10"/>
  <c r="BY97" i="10"/>
  <c r="AZ97" i="10"/>
  <c r="AH97" i="10"/>
  <c r="BT97" i="10" s="1"/>
  <c r="BS97" i="10"/>
  <c r="BD97" i="10"/>
  <c r="AQ97" i="10"/>
  <c r="BL97" i="10"/>
  <c r="AF97" i="10"/>
  <c r="AE96" i="10"/>
  <c r="B98" i="10"/>
  <c r="CD98" i="10" s="1"/>
  <c r="BJ98" i="10" l="1"/>
  <c r="BX97" i="10"/>
  <c r="AU97" i="10"/>
  <c r="BG97" i="10" s="1"/>
  <c r="BU97" i="10"/>
  <c r="CC98" i="10"/>
  <c r="BY98" i="10"/>
  <c r="BR98" i="10"/>
  <c r="BN98" i="10"/>
  <c r="BI98" i="10"/>
  <c r="AY98" i="10"/>
  <c r="AS98" i="10"/>
  <c r="AO98" i="10"/>
  <c r="AK98" i="10"/>
  <c r="CB98" i="10"/>
  <c r="BW98" i="10"/>
  <c r="BQ98" i="10"/>
  <c r="BH98" i="10"/>
  <c r="BB98" i="10"/>
  <c r="AX98" i="10"/>
  <c r="AR98" i="10"/>
  <c r="AN98" i="10"/>
  <c r="AI98" i="10"/>
  <c r="CA98" i="10"/>
  <c r="BV98" i="10"/>
  <c r="BP98" i="10"/>
  <c r="BK98" i="10"/>
  <c r="BA98" i="10"/>
  <c r="AW98" i="10"/>
  <c r="AQ98" i="10"/>
  <c r="AM98" i="10"/>
  <c r="AH98" i="10"/>
  <c r="BX98" i="10" s="1"/>
  <c r="BZ98" i="10"/>
  <c r="AZ98" i="10"/>
  <c r="BS98" i="10"/>
  <c r="AT98" i="10"/>
  <c r="BO98" i="10"/>
  <c r="BD98" i="10"/>
  <c r="AP98" i="10"/>
  <c r="BU98" i="10" s="1"/>
  <c r="AL98" i="10"/>
  <c r="BL98" i="10"/>
  <c r="AV97" i="10"/>
  <c r="AF98" i="10"/>
  <c r="AE97" i="10"/>
  <c r="B99" i="10"/>
  <c r="CD99" i="10" s="1"/>
  <c r="BJ99" i="10" l="1"/>
  <c r="BT98" i="10"/>
  <c r="AU98" i="10"/>
  <c r="BG98" i="10" s="1"/>
  <c r="AV98" i="10"/>
  <c r="CA99" i="10"/>
  <c r="BW99" i="10"/>
  <c r="BR99" i="10"/>
  <c r="BN99" i="10"/>
  <c r="BI99" i="10"/>
  <c r="AY99" i="10"/>
  <c r="AT99" i="10"/>
  <c r="AP99" i="10"/>
  <c r="BU99" i="10" s="1"/>
  <c r="AL99" i="10"/>
  <c r="BZ99" i="10"/>
  <c r="BV99" i="10"/>
  <c r="BQ99" i="10"/>
  <c r="BH99" i="10"/>
  <c r="BB99" i="10"/>
  <c r="AX99" i="10"/>
  <c r="AS99" i="10"/>
  <c r="AO99" i="10"/>
  <c r="AK99" i="10"/>
  <c r="CC99" i="10"/>
  <c r="BY99" i="10"/>
  <c r="BP99" i="10"/>
  <c r="BK99" i="10"/>
  <c r="BA99" i="10"/>
  <c r="AW99" i="10"/>
  <c r="AR99" i="10"/>
  <c r="AN99" i="10"/>
  <c r="AI99" i="10"/>
  <c r="BS99" i="10"/>
  <c r="BO99" i="10"/>
  <c r="BD99" i="10"/>
  <c r="AQ99" i="10"/>
  <c r="CB99" i="10"/>
  <c r="AM99" i="10"/>
  <c r="AZ99" i="10"/>
  <c r="AH99" i="10"/>
  <c r="BL99" i="10"/>
  <c r="AF99" i="10"/>
  <c r="AE98" i="10"/>
  <c r="B100" i="10"/>
  <c r="CD100" i="10" s="1"/>
  <c r="BJ100" i="10" l="1"/>
  <c r="AV99" i="10"/>
  <c r="BX99" i="10"/>
  <c r="AU99" i="10"/>
  <c r="BG99" i="10" s="1"/>
  <c r="CA100" i="10"/>
  <c r="BW100" i="10"/>
  <c r="BS100" i="10"/>
  <c r="BO100" i="10"/>
  <c r="BD100" i="10"/>
  <c r="AZ100" i="10"/>
  <c r="AR100" i="10"/>
  <c r="AN100" i="10"/>
  <c r="AI100" i="10"/>
  <c r="BZ100" i="10"/>
  <c r="BV100" i="10"/>
  <c r="BR100" i="10"/>
  <c r="BN100" i="10"/>
  <c r="BI100" i="10"/>
  <c r="AY100" i="10"/>
  <c r="AQ100" i="10"/>
  <c r="AM100" i="10"/>
  <c r="AH100" i="10"/>
  <c r="BT100" i="10" s="1"/>
  <c r="CC100" i="10"/>
  <c r="BY100" i="10"/>
  <c r="BQ100" i="10"/>
  <c r="BH100" i="10"/>
  <c r="BB100" i="10"/>
  <c r="AX100" i="10"/>
  <c r="AT100" i="10"/>
  <c r="AP100" i="10"/>
  <c r="BU100" i="10" s="1"/>
  <c r="AL100" i="10"/>
  <c r="BP100" i="10"/>
  <c r="AO100" i="10"/>
  <c r="CB100" i="10"/>
  <c r="BA100" i="10"/>
  <c r="AK100" i="10"/>
  <c r="BK100" i="10"/>
  <c r="AW100" i="10"/>
  <c r="AS100" i="10"/>
  <c r="BL100" i="10"/>
  <c r="BT99" i="10"/>
  <c r="AF100" i="10"/>
  <c r="AE99" i="10"/>
  <c r="B101" i="10"/>
  <c r="CD101" i="10" s="1"/>
  <c r="BX100" i="10" l="1"/>
  <c r="BJ101" i="10"/>
  <c r="AV100" i="10"/>
  <c r="BZ101" i="10"/>
  <c r="BP101" i="10"/>
  <c r="BK101" i="10"/>
  <c r="BA101" i="10"/>
  <c r="AW101" i="10"/>
  <c r="AR101" i="10"/>
  <c r="AN101" i="10"/>
  <c r="AI101" i="10"/>
  <c r="CC101" i="10"/>
  <c r="BY101" i="10"/>
  <c r="BS101" i="10"/>
  <c r="BO101" i="10"/>
  <c r="BD101" i="10"/>
  <c r="AZ101" i="10"/>
  <c r="AQ101" i="10"/>
  <c r="AM101" i="10"/>
  <c r="AH101" i="10"/>
  <c r="BT101" i="10" s="1"/>
  <c r="CB101" i="10"/>
  <c r="BW101" i="10"/>
  <c r="BR101" i="10"/>
  <c r="BN101" i="10"/>
  <c r="BI101" i="10"/>
  <c r="AY101" i="10"/>
  <c r="AT101" i="10"/>
  <c r="AP101" i="10"/>
  <c r="AV101" i="10" s="1"/>
  <c r="AL101" i="10"/>
  <c r="BB101" i="10"/>
  <c r="AK101" i="10"/>
  <c r="BQ101" i="10"/>
  <c r="CA101" i="10"/>
  <c r="BH101" i="10"/>
  <c r="AX101" i="10"/>
  <c r="BV101" i="10"/>
  <c r="AS101" i="10"/>
  <c r="AO101" i="10"/>
  <c r="BL101" i="10"/>
  <c r="AU100" i="10"/>
  <c r="BG100" i="10" s="1"/>
  <c r="AF101" i="10"/>
  <c r="AE100" i="10"/>
  <c r="B102" i="10"/>
  <c r="CD102" i="10" s="1"/>
  <c r="BJ102" i="10" l="1"/>
  <c r="CA102" i="10"/>
  <c r="BV102" i="10"/>
  <c r="BP102" i="10"/>
  <c r="BK102" i="10"/>
  <c r="BA102" i="10"/>
  <c r="AW102" i="10"/>
  <c r="AQ102" i="10"/>
  <c r="AM102" i="10"/>
  <c r="AH102" i="10"/>
  <c r="BX102" i="10" s="1"/>
  <c r="BZ102" i="10"/>
  <c r="BS102" i="10"/>
  <c r="BO102" i="10"/>
  <c r="BD102" i="10"/>
  <c r="AZ102" i="10"/>
  <c r="AT102" i="10"/>
  <c r="AP102" i="10"/>
  <c r="BU102" i="10" s="1"/>
  <c r="AL102" i="10"/>
  <c r="CC102" i="10"/>
  <c r="BY102" i="10"/>
  <c r="BR102" i="10"/>
  <c r="BN102" i="10"/>
  <c r="BI102" i="10"/>
  <c r="AY102" i="10"/>
  <c r="AS102" i="10"/>
  <c r="AO102" i="10"/>
  <c r="AK102" i="10"/>
  <c r="BB102" i="10"/>
  <c r="AI102" i="10"/>
  <c r="CB102" i="10"/>
  <c r="BH102" i="10"/>
  <c r="AX102" i="10"/>
  <c r="BQ102" i="10"/>
  <c r="BW102" i="10"/>
  <c r="AR102" i="10"/>
  <c r="AN102" i="10"/>
  <c r="BL102" i="10"/>
  <c r="AU101" i="10"/>
  <c r="BG101" i="10" s="1"/>
  <c r="BU101" i="10"/>
  <c r="BX101" i="10"/>
  <c r="AF102" i="10"/>
  <c r="AE101" i="10"/>
  <c r="B103" i="10"/>
  <c r="CD103" i="10" s="1"/>
  <c r="BJ103" i="10" l="1"/>
  <c r="BT102" i="10"/>
  <c r="AV102" i="10"/>
  <c r="AU102" i="10"/>
  <c r="BG102" i="10" s="1"/>
  <c r="CC103" i="10"/>
  <c r="BY103" i="10"/>
  <c r="BP103" i="10"/>
  <c r="BK103" i="10"/>
  <c r="BA103" i="10"/>
  <c r="AW103" i="10"/>
  <c r="AR103" i="10"/>
  <c r="AN103" i="10"/>
  <c r="AI103" i="10"/>
  <c r="CB103" i="10"/>
  <c r="BS103" i="10"/>
  <c r="BO103" i="10"/>
  <c r="BD103" i="10"/>
  <c r="AZ103" i="10"/>
  <c r="AQ103" i="10"/>
  <c r="AM103" i="10"/>
  <c r="AH103" i="10"/>
  <c r="BT103" i="10" s="1"/>
  <c r="CA103" i="10"/>
  <c r="BW103" i="10"/>
  <c r="BR103" i="10"/>
  <c r="BN103" i="10"/>
  <c r="BI103" i="10"/>
  <c r="AY103" i="10"/>
  <c r="AT103" i="10"/>
  <c r="AP103" i="10"/>
  <c r="BU103" i="10" s="1"/>
  <c r="AL103" i="10"/>
  <c r="BB103" i="10"/>
  <c r="AK103" i="10"/>
  <c r="BZ103" i="10"/>
  <c r="BH103" i="10"/>
  <c r="AX103" i="10"/>
  <c r="BV103" i="10"/>
  <c r="AS103" i="10"/>
  <c r="BQ103" i="10"/>
  <c r="AO103" i="10"/>
  <c r="BL103" i="10"/>
  <c r="AF103" i="10"/>
  <c r="AE102" i="10"/>
  <c r="B104" i="10"/>
  <c r="CD104" i="10" s="1"/>
  <c r="BJ104" i="10" l="1"/>
  <c r="BX103" i="10"/>
  <c r="AV103" i="10"/>
  <c r="CC104" i="10"/>
  <c r="BY104" i="10"/>
  <c r="BQ104" i="10"/>
  <c r="BH104" i="10"/>
  <c r="BB104" i="10"/>
  <c r="AX104" i="10"/>
  <c r="AT104" i="10"/>
  <c r="AP104" i="10"/>
  <c r="BU104" i="10" s="1"/>
  <c r="AL104" i="10"/>
  <c r="CB104" i="10"/>
  <c r="BP104" i="10"/>
  <c r="BK104" i="10"/>
  <c r="BA104" i="10"/>
  <c r="AW104" i="10"/>
  <c r="AS104" i="10"/>
  <c r="AO104" i="10"/>
  <c r="AK104" i="10"/>
  <c r="CA104" i="10"/>
  <c r="BW104" i="10"/>
  <c r="BS104" i="10"/>
  <c r="BO104" i="10"/>
  <c r="BD104" i="10"/>
  <c r="AZ104" i="10"/>
  <c r="AR104" i="10"/>
  <c r="AN104" i="10"/>
  <c r="AI104" i="10"/>
  <c r="BZ104" i="10"/>
  <c r="AY104" i="10"/>
  <c r="AH104" i="10"/>
  <c r="BX104" i="10" s="1"/>
  <c r="AM104" i="10"/>
  <c r="BV104" i="10"/>
  <c r="BI104" i="10"/>
  <c r="BN104" i="10"/>
  <c r="BR104" i="10"/>
  <c r="AQ104" i="10"/>
  <c r="BL104" i="10"/>
  <c r="AU103" i="10"/>
  <c r="BG103" i="10" s="1"/>
  <c r="AF104" i="10"/>
  <c r="AE103" i="10"/>
  <c r="B105" i="10"/>
  <c r="CD105" i="10" s="1"/>
  <c r="BJ105" i="10" l="1"/>
  <c r="BT104" i="10"/>
  <c r="AV104" i="10"/>
  <c r="CB105" i="10"/>
  <c r="BW105" i="10"/>
  <c r="BR105" i="10"/>
  <c r="BN105" i="10"/>
  <c r="BI105" i="10"/>
  <c r="AY105" i="10"/>
  <c r="AT105" i="10"/>
  <c r="AP105" i="10"/>
  <c r="AV105" i="10" s="1"/>
  <c r="AL105" i="10"/>
  <c r="CA105" i="10"/>
  <c r="BV105" i="10"/>
  <c r="BQ105" i="10"/>
  <c r="BH105" i="10"/>
  <c r="BB105" i="10"/>
  <c r="AX105" i="10"/>
  <c r="AS105" i="10"/>
  <c r="AO105" i="10"/>
  <c r="AK105" i="10"/>
  <c r="BZ105" i="10"/>
  <c r="BP105" i="10"/>
  <c r="BK105" i="10"/>
  <c r="BA105" i="10"/>
  <c r="AW105" i="10"/>
  <c r="AR105" i="10"/>
  <c r="AN105" i="10"/>
  <c r="AI105" i="10"/>
  <c r="BS105" i="10"/>
  <c r="AZ105" i="10"/>
  <c r="BO105" i="10"/>
  <c r="BD105" i="10"/>
  <c r="AQ105" i="10"/>
  <c r="CC105" i="10"/>
  <c r="AM105" i="10"/>
  <c r="BY105" i="10"/>
  <c r="AH105" i="10"/>
  <c r="BT105" i="10" s="1"/>
  <c r="BL105" i="10"/>
  <c r="AU104" i="10"/>
  <c r="BG104" i="10" s="1"/>
  <c r="AF105" i="10"/>
  <c r="AE104" i="10"/>
  <c r="B106" i="10"/>
  <c r="CD106" i="10" s="1"/>
  <c r="BJ106" i="10" l="1"/>
  <c r="BX105" i="10"/>
  <c r="CC106" i="10"/>
  <c r="BY106" i="10"/>
  <c r="BR106" i="10"/>
  <c r="BN106" i="10"/>
  <c r="BI106" i="10"/>
  <c r="AY106" i="10"/>
  <c r="AS106" i="10"/>
  <c r="AO106" i="10"/>
  <c r="AK106" i="10"/>
  <c r="CB106" i="10"/>
  <c r="BW106" i="10"/>
  <c r="BQ106" i="10"/>
  <c r="BH106" i="10"/>
  <c r="BB106" i="10"/>
  <c r="AX106" i="10"/>
  <c r="AR106" i="10"/>
  <c r="AN106" i="10"/>
  <c r="AI106" i="10"/>
  <c r="CA106" i="10"/>
  <c r="BV106" i="10"/>
  <c r="BP106" i="10"/>
  <c r="BK106" i="10"/>
  <c r="BA106" i="10"/>
  <c r="AW106" i="10"/>
  <c r="AQ106" i="10"/>
  <c r="AM106" i="10"/>
  <c r="AH106" i="10"/>
  <c r="BT106" i="10" s="1"/>
  <c r="BO106" i="10"/>
  <c r="BD106" i="10"/>
  <c r="AP106" i="10"/>
  <c r="BU106" i="10" s="1"/>
  <c r="AT106" i="10"/>
  <c r="AL106" i="10"/>
  <c r="BZ106" i="10"/>
  <c r="AZ106" i="10"/>
  <c r="BS106" i="10"/>
  <c r="BL106" i="10"/>
  <c r="AU105" i="10"/>
  <c r="BG105" i="10" s="1"/>
  <c r="BU105" i="10"/>
  <c r="AF106" i="10"/>
  <c r="AE105" i="10"/>
  <c r="B107" i="10"/>
  <c r="CD107" i="10" s="1"/>
  <c r="BJ107" i="10" l="1"/>
  <c r="BX106" i="10"/>
  <c r="AV106" i="10"/>
  <c r="AU106" i="10"/>
  <c r="BG106" i="10" s="1"/>
  <c r="CA107" i="10"/>
  <c r="BW107" i="10"/>
  <c r="BR107" i="10"/>
  <c r="BN107" i="10"/>
  <c r="BI107" i="10"/>
  <c r="AY107" i="10"/>
  <c r="AT107" i="10"/>
  <c r="AP107" i="10"/>
  <c r="BU107" i="10" s="1"/>
  <c r="AL107" i="10"/>
  <c r="BZ107" i="10"/>
  <c r="BV107" i="10"/>
  <c r="BQ107" i="10"/>
  <c r="BH107" i="10"/>
  <c r="BB107" i="10"/>
  <c r="AX107" i="10"/>
  <c r="AS107" i="10"/>
  <c r="AO107" i="10"/>
  <c r="AK107" i="10"/>
  <c r="CC107" i="10"/>
  <c r="BY107" i="10"/>
  <c r="BP107" i="10"/>
  <c r="BK107" i="10"/>
  <c r="BA107" i="10"/>
  <c r="AW107" i="10"/>
  <c r="AR107" i="10"/>
  <c r="AN107" i="10"/>
  <c r="AI107" i="10"/>
  <c r="CB107" i="10"/>
  <c r="AM107" i="10"/>
  <c r="AQ107" i="10"/>
  <c r="AZ107" i="10"/>
  <c r="AH107" i="10"/>
  <c r="BO107" i="10"/>
  <c r="BS107" i="10"/>
  <c r="BD107" i="10"/>
  <c r="BL107" i="10"/>
  <c r="AF107" i="10"/>
  <c r="AE106" i="10"/>
  <c r="B108" i="10"/>
  <c r="CD108" i="10" s="1"/>
  <c r="BJ108" i="10" l="1"/>
  <c r="AU107" i="10"/>
  <c r="BG107" i="10" s="1"/>
  <c r="AV107" i="10"/>
  <c r="BT107" i="10"/>
  <c r="CA108" i="10"/>
  <c r="BW108" i="10"/>
  <c r="BS108" i="10"/>
  <c r="BO108" i="10"/>
  <c r="BD108" i="10"/>
  <c r="AZ108" i="10"/>
  <c r="AR108" i="10"/>
  <c r="AN108" i="10"/>
  <c r="AI108" i="10"/>
  <c r="BZ108" i="10"/>
  <c r="BV108" i="10"/>
  <c r="BR108" i="10"/>
  <c r="BN108" i="10"/>
  <c r="BI108" i="10"/>
  <c r="AY108" i="10"/>
  <c r="AQ108" i="10"/>
  <c r="AM108" i="10"/>
  <c r="AH108" i="10"/>
  <c r="BX108" i="10" s="1"/>
  <c r="CC108" i="10"/>
  <c r="BY108" i="10"/>
  <c r="BQ108" i="10"/>
  <c r="BH108" i="10"/>
  <c r="BB108" i="10"/>
  <c r="AX108" i="10"/>
  <c r="AT108" i="10"/>
  <c r="AP108" i="10"/>
  <c r="BU108" i="10" s="1"/>
  <c r="AL108" i="10"/>
  <c r="BK108" i="10"/>
  <c r="AW108" i="10"/>
  <c r="BA108" i="10"/>
  <c r="AS108" i="10"/>
  <c r="BP108" i="10"/>
  <c r="AO108" i="10"/>
  <c r="CB108" i="10"/>
  <c r="AK108" i="10"/>
  <c r="BL108" i="10"/>
  <c r="BX107" i="10"/>
  <c r="AF108" i="10"/>
  <c r="AE107" i="10"/>
  <c r="B109" i="10"/>
  <c r="CD109" i="10" s="1"/>
  <c r="BJ109" i="10" l="1"/>
  <c r="BT108" i="10"/>
  <c r="AU108" i="10"/>
  <c r="BG108" i="10" s="1"/>
  <c r="BZ109" i="10"/>
  <c r="BP109" i="10"/>
  <c r="BK109" i="10"/>
  <c r="BA109" i="10"/>
  <c r="AW109" i="10"/>
  <c r="AR109" i="10"/>
  <c r="AN109" i="10"/>
  <c r="AI109" i="10"/>
  <c r="CC109" i="10"/>
  <c r="BY109" i="10"/>
  <c r="BS109" i="10"/>
  <c r="BO109" i="10"/>
  <c r="BD109" i="10"/>
  <c r="AZ109" i="10"/>
  <c r="AQ109" i="10"/>
  <c r="AM109" i="10"/>
  <c r="AH109" i="10"/>
  <c r="BT109" i="10" s="1"/>
  <c r="CB109" i="10"/>
  <c r="BW109" i="10"/>
  <c r="BR109" i="10"/>
  <c r="BN109" i="10"/>
  <c r="BI109" i="10"/>
  <c r="AY109" i="10"/>
  <c r="AT109" i="10"/>
  <c r="AP109" i="10"/>
  <c r="AL109" i="10"/>
  <c r="BV109" i="10"/>
  <c r="AS109" i="10"/>
  <c r="AX109" i="10"/>
  <c r="BQ109" i="10"/>
  <c r="AO109" i="10"/>
  <c r="CA109" i="10"/>
  <c r="BB109" i="10"/>
  <c r="AK109" i="10"/>
  <c r="BH109" i="10"/>
  <c r="BL109" i="10"/>
  <c r="AV108" i="10"/>
  <c r="AF109" i="10"/>
  <c r="AE108" i="10"/>
  <c r="B110" i="10"/>
  <c r="CD110" i="10" s="1"/>
  <c r="BJ110" i="10" l="1"/>
  <c r="AU109" i="10"/>
  <c r="BG109" i="10" s="1"/>
  <c r="BU109" i="10"/>
  <c r="BX109" i="10"/>
  <c r="CA110" i="10"/>
  <c r="BV110" i="10"/>
  <c r="BP110" i="10"/>
  <c r="BK110" i="10"/>
  <c r="BA110" i="10"/>
  <c r="AW110" i="10"/>
  <c r="AQ110" i="10"/>
  <c r="AM110" i="10"/>
  <c r="AH110" i="10"/>
  <c r="BX110" i="10" s="1"/>
  <c r="BZ110" i="10"/>
  <c r="BS110" i="10"/>
  <c r="BO110" i="10"/>
  <c r="BD110" i="10"/>
  <c r="AZ110" i="10"/>
  <c r="AT110" i="10"/>
  <c r="AP110" i="10"/>
  <c r="BU110" i="10" s="1"/>
  <c r="AL110" i="10"/>
  <c r="CC110" i="10"/>
  <c r="BY110" i="10"/>
  <c r="BR110" i="10"/>
  <c r="BN110" i="10"/>
  <c r="BI110" i="10"/>
  <c r="AY110" i="10"/>
  <c r="AS110" i="10"/>
  <c r="AO110" i="10"/>
  <c r="AK110" i="10"/>
  <c r="BW110" i="10"/>
  <c r="AR110" i="10"/>
  <c r="BH110" i="10"/>
  <c r="BQ110" i="10"/>
  <c r="AN110" i="10"/>
  <c r="BB110" i="10"/>
  <c r="AI110" i="10"/>
  <c r="CB110" i="10"/>
  <c r="AX110" i="10"/>
  <c r="AU110" i="10"/>
  <c r="BL110" i="10"/>
  <c r="AV109" i="10"/>
  <c r="AF110" i="10"/>
  <c r="AE109" i="10"/>
  <c r="B111" i="10"/>
  <c r="CD111" i="10" s="1"/>
  <c r="BJ111" i="10" l="1"/>
  <c r="BT110" i="10"/>
  <c r="AV110" i="10"/>
  <c r="CC111" i="10"/>
  <c r="BY111" i="10"/>
  <c r="BP111" i="10"/>
  <c r="BK111" i="10"/>
  <c r="BA111" i="10"/>
  <c r="AW111" i="10"/>
  <c r="AR111" i="10"/>
  <c r="AN111" i="10"/>
  <c r="AI111" i="10"/>
  <c r="CB111" i="10"/>
  <c r="BS111" i="10"/>
  <c r="BO111" i="10"/>
  <c r="BD111" i="10"/>
  <c r="AZ111" i="10"/>
  <c r="AQ111" i="10"/>
  <c r="AM111" i="10"/>
  <c r="AH111" i="10"/>
  <c r="BT111" i="10" s="1"/>
  <c r="CA111" i="10"/>
  <c r="BW111" i="10"/>
  <c r="BR111" i="10"/>
  <c r="BN111" i="10"/>
  <c r="BI111" i="10"/>
  <c r="AY111" i="10"/>
  <c r="AT111" i="10"/>
  <c r="AP111" i="10"/>
  <c r="BU111" i="10" s="1"/>
  <c r="AL111" i="10"/>
  <c r="BV111" i="10"/>
  <c r="AS111" i="10"/>
  <c r="BZ111" i="10"/>
  <c r="AX111" i="10"/>
  <c r="BQ111" i="10"/>
  <c r="AO111" i="10"/>
  <c r="BB111" i="10"/>
  <c r="AK111" i="10"/>
  <c r="BH111" i="10"/>
  <c r="BL111" i="10"/>
  <c r="BG110" i="10"/>
  <c r="AF111" i="10"/>
  <c r="AE110" i="10"/>
  <c r="B112" i="10"/>
  <c r="CD112" i="10" s="1"/>
  <c r="BJ112" i="10" l="1"/>
  <c r="BX111" i="10"/>
  <c r="AV111" i="10"/>
  <c r="AU111" i="10"/>
  <c r="BG111" i="10" s="1"/>
  <c r="CC112" i="10"/>
  <c r="BY112" i="10"/>
  <c r="BQ112" i="10"/>
  <c r="BH112" i="10"/>
  <c r="BB112" i="10"/>
  <c r="AX112" i="10"/>
  <c r="AT112" i="10"/>
  <c r="AP112" i="10"/>
  <c r="BU112" i="10" s="1"/>
  <c r="AL112" i="10"/>
  <c r="CB112" i="10"/>
  <c r="BP112" i="10"/>
  <c r="BK112" i="10"/>
  <c r="BA112" i="10"/>
  <c r="AW112" i="10"/>
  <c r="AS112" i="10"/>
  <c r="AO112" i="10"/>
  <c r="AK112" i="10"/>
  <c r="CA112" i="10"/>
  <c r="BW112" i="10"/>
  <c r="BS112" i="10"/>
  <c r="BO112" i="10"/>
  <c r="BD112" i="10"/>
  <c r="AZ112" i="10"/>
  <c r="AR112" i="10"/>
  <c r="AN112" i="10"/>
  <c r="AI112" i="10"/>
  <c r="BR112" i="10"/>
  <c r="AQ112" i="10"/>
  <c r="BI112" i="10"/>
  <c r="BN112" i="10"/>
  <c r="AM112" i="10"/>
  <c r="BZ112" i="10"/>
  <c r="AY112" i="10"/>
  <c r="AH112" i="10"/>
  <c r="BX112" i="10" s="1"/>
  <c r="BV112" i="10"/>
  <c r="BL112" i="10"/>
  <c r="AF112" i="10"/>
  <c r="AE111" i="10"/>
  <c r="B113" i="10"/>
  <c r="CD113" i="10" s="1"/>
  <c r="BJ113" i="10" l="1"/>
  <c r="AV112" i="10"/>
  <c r="AU112" i="10"/>
  <c r="BG112" i="10" s="1"/>
  <c r="CB113" i="10"/>
  <c r="BW113" i="10"/>
  <c r="BR113" i="10"/>
  <c r="BN113" i="10"/>
  <c r="BI113" i="10"/>
  <c r="AY113" i="10"/>
  <c r="AT113" i="10"/>
  <c r="AP113" i="10"/>
  <c r="AV113" i="10" s="1"/>
  <c r="AL113" i="10"/>
  <c r="CA113" i="10"/>
  <c r="BV113" i="10"/>
  <c r="BQ113" i="10"/>
  <c r="BH113" i="10"/>
  <c r="BB113" i="10"/>
  <c r="AX113" i="10"/>
  <c r="AS113" i="10"/>
  <c r="AO113" i="10"/>
  <c r="AK113" i="10"/>
  <c r="BZ113" i="10"/>
  <c r="BP113" i="10"/>
  <c r="BK113" i="10"/>
  <c r="BA113" i="10"/>
  <c r="AW113" i="10"/>
  <c r="AR113" i="10"/>
  <c r="AN113" i="10"/>
  <c r="AI113" i="10"/>
  <c r="CC113" i="10"/>
  <c r="AM113" i="10"/>
  <c r="AQ113" i="10"/>
  <c r="BY113" i="10"/>
  <c r="AZ113" i="10"/>
  <c r="AH113" i="10"/>
  <c r="BT113" i="10" s="1"/>
  <c r="BS113" i="10"/>
  <c r="BO113" i="10"/>
  <c r="BD113" i="10"/>
  <c r="BL113" i="10"/>
  <c r="BT112" i="10"/>
  <c r="AF113" i="10"/>
  <c r="AE112" i="10"/>
  <c r="B114" i="10"/>
  <c r="CD114" i="10" s="1"/>
  <c r="BJ114" i="10" l="1"/>
  <c r="CC114" i="10"/>
  <c r="BY114" i="10"/>
  <c r="BR114" i="10"/>
  <c r="BN114" i="10"/>
  <c r="BI114" i="10"/>
  <c r="AY114" i="10"/>
  <c r="AS114" i="10"/>
  <c r="AO114" i="10"/>
  <c r="AK114" i="10"/>
  <c r="CB114" i="10"/>
  <c r="BW114" i="10"/>
  <c r="BQ114" i="10"/>
  <c r="BH114" i="10"/>
  <c r="BB114" i="10"/>
  <c r="AX114" i="10"/>
  <c r="AR114" i="10"/>
  <c r="AN114" i="10"/>
  <c r="AI114" i="10"/>
  <c r="CA114" i="10"/>
  <c r="BV114" i="10"/>
  <c r="BP114" i="10"/>
  <c r="BK114" i="10"/>
  <c r="BA114" i="10"/>
  <c r="AW114" i="10"/>
  <c r="AQ114" i="10"/>
  <c r="AM114" i="10"/>
  <c r="AH114" i="10"/>
  <c r="BT114" i="10" s="1"/>
  <c r="BZ114" i="10"/>
  <c r="AZ114" i="10"/>
  <c r="AL114" i="10"/>
  <c r="BS114" i="10"/>
  <c r="AT114" i="10"/>
  <c r="BO114" i="10"/>
  <c r="BD114" i="10"/>
  <c r="AP114" i="10"/>
  <c r="BU114" i="10" s="1"/>
  <c r="BL114" i="10"/>
  <c r="BX113" i="10"/>
  <c r="AU113" i="10"/>
  <c r="BG113" i="10" s="1"/>
  <c r="BU113" i="10"/>
  <c r="AF114" i="10"/>
  <c r="AE113" i="10"/>
  <c r="B115" i="10"/>
  <c r="CD115" i="10" s="1"/>
  <c r="BJ115" i="10" l="1"/>
  <c r="BX114" i="10"/>
  <c r="CA115" i="10"/>
  <c r="BW115" i="10"/>
  <c r="BR115" i="10"/>
  <c r="BN115" i="10"/>
  <c r="BI115" i="10"/>
  <c r="AY115" i="10"/>
  <c r="AT115" i="10"/>
  <c r="AP115" i="10"/>
  <c r="BU115" i="10" s="1"/>
  <c r="AL115" i="10"/>
  <c r="BZ115" i="10"/>
  <c r="BV115" i="10"/>
  <c r="BQ115" i="10"/>
  <c r="BH115" i="10"/>
  <c r="BB115" i="10"/>
  <c r="AX115" i="10"/>
  <c r="AS115" i="10"/>
  <c r="AO115" i="10"/>
  <c r="AK115" i="10"/>
  <c r="CC115" i="10"/>
  <c r="BY115" i="10"/>
  <c r="BP115" i="10"/>
  <c r="BK115" i="10"/>
  <c r="BA115" i="10"/>
  <c r="AW115" i="10"/>
  <c r="AR115" i="10"/>
  <c r="AN115" i="10"/>
  <c r="AI115" i="10"/>
  <c r="BS115" i="10"/>
  <c r="AZ115" i="10"/>
  <c r="BO115" i="10"/>
  <c r="BD115" i="10"/>
  <c r="AQ115" i="10"/>
  <c r="CB115" i="10"/>
  <c r="AM115" i="10"/>
  <c r="AH115" i="10"/>
  <c r="BX115" i="10" s="1"/>
  <c r="BL115" i="10"/>
  <c r="AU114" i="10"/>
  <c r="BG114" i="10" s="1"/>
  <c r="AV114" i="10"/>
  <c r="AF115" i="10"/>
  <c r="AE114" i="10"/>
  <c r="B116" i="10"/>
  <c r="CD116" i="10" s="1"/>
  <c r="BJ116" i="10" l="1"/>
  <c r="AV115" i="10"/>
  <c r="AU115" i="10"/>
  <c r="BG115" i="10" s="1"/>
  <c r="CA116" i="10"/>
  <c r="BW116" i="10"/>
  <c r="BS116" i="10"/>
  <c r="BO116" i="10"/>
  <c r="BD116" i="10"/>
  <c r="AZ116" i="10"/>
  <c r="AR116" i="10"/>
  <c r="AN116" i="10"/>
  <c r="AI116" i="10"/>
  <c r="BZ116" i="10"/>
  <c r="BV116" i="10"/>
  <c r="BR116" i="10"/>
  <c r="BN116" i="10"/>
  <c r="BI116" i="10"/>
  <c r="AY116" i="10"/>
  <c r="AQ116" i="10"/>
  <c r="AM116" i="10"/>
  <c r="AH116" i="10"/>
  <c r="BT116" i="10" s="1"/>
  <c r="CC116" i="10"/>
  <c r="BY116" i="10"/>
  <c r="BQ116" i="10"/>
  <c r="BH116" i="10"/>
  <c r="BB116" i="10"/>
  <c r="AX116" i="10"/>
  <c r="AT116" i="10"/>
  <c r="AP116" i="10"/>
  <c r="BU116" i="10" s="1"/>
  <c r="AL116" i="10"/>
  <c r="BP116" i="10"/>
  <c r="AO116" i="10"/>
  <c r="AS116" i="10"/>
  <c r="CB116" i="10"/>
  <c r="BA116" i="10"/>
  <c r="AK116" i="10"/>
  <c r="BX116" i="10"/>
  <c r="BK116" i="10"/>
  <c r="AW116" i="10"/>
  <c r="BL116" i="10"/>
  <c r="BT115" i="10"/>
  <c r="AF116" i="10"/>
  <c r="AE115" i="10"/>
  <c r="B117" i="10"/>
  <c r="CD117" i="10" s="1"/>
  <c r="BJ117" i="10" l="1"/>
  <c r="AU116" i="10"/>
  <c r="BG116" i="10" s="1"/>
  <c r="BZ117" i="10"/>
  <c r="BP117" i="10"/>
  <c r="BK117" i="10"/>
  <c r="BA117" i="10"/>
  <c r="AW117" i="10"/>
  <c r="AR117" i="10"/>
  <c r="AN117" i="10"/>
  <c r="AI117" i="10"/>
  <c r="CC117" i="10"/>
  <c r="BY117" i="10"/>
  <c r="BS117" i="10"/>
  <c r="BO117" i="10"/>
  <c r="BD117" i="10"/>
  <c r="AZ117" i="10"/>
  <c r="AQ117" i="10"/>
  <c r="AM117" i="10"/>
  <c r="AH117" i="10"/>
  <c r="CB117" i="10"/>
  <c r="BW117" i="10"/>
  <c r="BR117" i="10"/>
  <c r="BN117" i="10"/>
  <c r="BI117" i="10"/>
  <c r="AY117" i="10"/>
  <c r="AT117" i="10"/>
  <c r="AP117" i="10"/>
  <c r="AL117" i="10"/>
  <c r="BB117" i="10"/>
  <c r="AK117" i="10"/>
  <c r="AO117" i="10"/>
  <c r="CA117" i="10"/>
  <c r="BH117" i="10"/>
  <c r="AX117" i="10"/>
  <c r="BQ117" i="10"/>
  <c r="BV117" i="10"/>
  <c r="AS117" i="10"/>
  <c r="BL117" i="10"/>
  <c r="AV116" i="10"/>
  <c r="AF117" i="10"/>
  <c r="AE116" i="10"/>
  <c r="B118" i="10"/>
  <c r="CD118" i="10" s="1"/>
  <c r="BJ118" i="10" l="1"/>
  <c r="AU117" i="10"/>
  <c r="BG117" i="10" s="1"/>
  <c r="BU117" i="10"/>
  <c r="BX117" i="10"/>
  <c r="BT117" i="10"/>
  <c r="CA118" i="10"/>
  <c r="BV118" i="10"/>
  <c r="BP118" i="10"/>
  <c r="BK118" i="10"/>
  <c r="BA118" i="10"/>
  <c r="AW118" i="10"/>
  <c r="AQ118" i="10"/>
  <c r="AM118" i="10"/>
  <c r="AH118" i="10"/>
  <c r="BX118" i="10" s="1"/>
  <c r="BZ118" i="10"/>
  <c r="BS118" i="10"/>
  <c r="BO118" i="10"/>
  <c r="BD118" i="10"/>
  <c r="AZ118" i="10"/>
  <c r="AT118" i="10"/>
  <c r="AP118" i="10"/>
  <c r="BU118" i="10" s="1"/>
  <c r="AL118" i="10"/>
  <c r="CC118" i="10"/>
  <c r="BY118" i="10"/>
  <c r="BR118" i="10"/>
  <c r="BN118" i="10"/>
  <c r="BI118" i="10"/>
  <c r="AY118" i="10"/>
  <c r="AS118" i="10"/>
  <c r="AO118" i="10"/>
  <c r="AK118" i="10"/>
  <c r="BB118" i="10"/>
  <c r="AI118" i="10"/>
  <c r="CB118" i="10"/>
  <c r="BH118" i="10"/>
  <c r="AX118" i="10"/>
  <c r="BQ118" i="10"/>
  <c r="BW118" i="10"/>
  <c r="AR118" i="10"/>
  <c r="AN118" i="10"/>
  <c r="AU118" i="10"/>
  <c r="BL118" i="10"/>
  <c r="AV117" i="10"/>
  <c r="AF118" i="10"/>
  <c r="AE117" i="10"/>
  <c r="B119" i="10"/>
  <c r="CD119" i="10" s="1"/>
  <c r="BJ119" i="10" l="1"/>
  <c r="BG118" i="10"/>
  <c r="BT118" i="10"/>
  <c r="AV118" i="10"/>
  <c r="CC119" i="10"/>
  <c r="BY119" i="10"/>
  <c r="BP119" i="10"/>
  <c r="BK119" i="10"/>
  <c r="BA119" i="10"/>
  <c r="AW119" i="10"/>
  <c r="AR119" i="10"/>
  <c r="AN119" i="10"/>
  <c r="AI119" i="10"/>
  <c r="CB119" i="10"/>
  <c r="BS119" i="10"/>
  <c r="BO119" i="10"/>
  <c r="BD119" i="10"/>
  <c r="AZ119" i="10"/>
  <c r="AQ119" i="10"/>
  <c r="AM119" i="10"/>
  <c r="AH119" i="10"/>
  <c r="BT119" i="10" s="1"/>
  <c r="CA119" i="10"/>
  <c r="BW119" i="10"/>
  <c r="BR119" i="10"/>
  <c r="BN119" i="10"/>
  <c r="BI119" i="10"/>
  <c r="AY119" i="10"/>
  <c r="AT119" i="10"/>
  <c r="AP119" i="10"/>
  <c r="BU119" i="10" s="1"/>
  <c r="AL119" i="10"/>
  <c r="BB119" i="10"/>
  <c r="AK119" i="10"/>
  <c r="BQ119" i="10"/>
  <c r="BZ119" i="10"/>
  <c r="BH119" i="10"/>
  <c r="AX119" i="10"/>
  <c r="BV119" i="10"/>
  <c r="AS119" i="10"/>
  <c r="AO119" i="10"/>
  <c r="BL119" i="10"/>
  <c r="AF119" i="10"/>
  <c r="AE118" i="10"/>
  <c r="B120" i="10"/>
  <c r="CD120" i="10" s="1"/>
  <c r="BJ120" i="10" l="1"/>
  <c r="AV119" i="10"/>
  <c r="BX119" i="10"/>
  <c r="AU119" i="10"/>
  <c r="BG119" i="10" s="1"/>
  <c r="CC120" i="10"/>
  <c r="BY120" i="10"/>
  <c r="BQ120" i="10"/>
  <c r="BH120" i="10"/>
  <c r="BB120" i="10"/>
  <c r="AX120" i="10"/>
  <c r="AT120" i="10"/>
  <c r="AP120" i="10"/>
  <c r="BU120" i="10" s="1"/>
  <c r="AL120" i="10"/>
  <c r="CB120" i="10"/>
  <c r="BP120" i="10"/>
  <c r="BK120" i="10"/>
  <c r="BA120" i="10"/>
  <c r="AW120" i="10"/>
  <c r="AS120" i="10"/>
  <c r="AO120" i="10"/>
  <c r="AK120" i="10"/>
  <c r="CA120" i="10"/>
  <c r="BW120" i="10"/>
  <c r="BS120" i="10"/>
  <c r="BO120" i="10"/>
  <c r="BD120" i="10"/>
  <c r="AZ120" i="10"/>
  <c r="AR120" i="10"/>
  <c r="AN120" i="10"/>
  <c r="AI120" i="10"/>
  <c r="BZ120" i="10"/>
  <c r="AY120" i="10"/>
  <c r="AH120" i="10"/>
  <c r="BT120" i="10" s="1"/>
  <c r="BV120" i="10"/>
  <c r="BI120" i="10"/>
  <c r="BR120" i="10"/>
  <c r="AQ120" i="10"/>
  <c r="BN120" i="10"/>
  <c r="AM120" i="10"/>
  <c r="BL120" i="10"/>
  <c r="AF120" i="10"/>
  <c r="AE119" i="10"/>
  <c r="B121" i="10"/>
  <c r="CD121" i="10" s="1"/>
  <c r="BJ121" i="10" l="1"/>
  <c r="AU120" i="10"/>
  <c r="BG120" i="10" s="1"/>
  <c r="BX120" i="10"/>
  <c r="AV120" i="10"/>
  <c r="CB121" i="10"/>
  <c r="BW121" i="10"/>
  <c r="BR121" i="10"/>
  <c r="BN121" i="10"/>
  <c r="BI121" i="10"/>
  <c r="AY121" i="10"/>
  <c r="AT121" i="10"/>
  <c r="AP121" i="10"/>
  <c r="AV121" i="10" s="1"/>
  <c r="AL121" i="10"/>
  <c r="CA121" i="10"/>
  <c r="BV121" i="10"/>
  <c r="BQ121" i="10"/>
  <c r="BH121" i="10"/>
  <c r="BB121" i="10"/>
  <c r="AX121" i="10"/>
  <c r="AS121" i="10"/>
  <c r="AO121" i="10"/>
  <c r="AK121" i="10"/>
  <c r="BZ121" i="10"/>
  <c r="BP121" i="10"/>
  <c r="BK121" i="10"/>
  <c r="BA121" i="10"/>
  <c r="AW121" i="10"/>
  <c r="AR121" i="10"/>
  <c r="AN121" i="10"/>
  <c r="AI121" i="10"/>
  <c r="BS121" i="10"/>
  <c r="AH121" i="10"/>
  <c r="BT121" i="10" s="1"/>
  <c r="BO121" i="10"/>
  <c r="BD121" i="10"/>
  <c r="AQ121" i="10"/>
  <c r="CC121" i="10"/>
  <c r="AM121" i="10"/>
  <c r="BY121" i="10"/>
  <c r="AZ121" i="10"/>
  <c r="BL121" i="10"/>
  <c r="AF121" i="10"/>
  <c r="AE120" i="10"/>
  <c r="B122" i="10"/>
  <c r="CD122" i="10" s="1"/>
  <c r="BJ122" i="10" l="1"/>
  <c r="CC122" i="10"/>
  <c r="BY122" i="10"/>
  <c r="BR122" i="10"/>
  <c r="BN122" i="10"/>
  <c r="BI122" i="10"/>
  <c r="AY122" i="10"/>
  <c r="AS122" i="10"/>
  <c r="AO122" i="10"/>
  <c r="AK122" i="10"/>
  <c r="CB122" i="10"/>
  <c r="BW122" i="10"/>
  <c r="BQ122" i="10"/>
  <c r="BH122" i="10"/>
  <c r="BB122" i="10"/>
  <c r="AX122" i="10"/>
  <c r="AR122" i="10"/>
  <c r="AN122" i="10"/>
  <c r="AI122" i="10"/>
  <c r="CA122" i="10"/>
  <c r="BV122" i="10"/>
  <c r="BP122" i="10"/>
  <c r="BK122" i="10"/>
  <c r="BA122" i="10"/>
  <c r="AW122" i="10"/>
  <c r="AQ122" i="10"/>
  <c r="AM122" i="10"/>
  <c r="AH122" i="10"/>
  <c r="BX122" i="10" s="1"/>
  <c r="BO122" i="10"/>
  <c r="BD122" i="10"/>
  <c r="AP122" i="10"/>
  <c r="BU122" i="10" s="1"/>
  <c r="AT122" i="10"/>
  <c r="AL122" i="10"/>
  <c r="BS122" i="10"/>
  <c r="BZ122" i="10"/>
  <c r="AZ122" i="10"/>
  <c r="BL122" i="10"/>
  <c r="BX121" i="10"/>
  <c r="AU121" i="10"/>
  <c r="BG121" i="10" s="1"/>
  <c r="BU121" i="10"/>
  <c r="AF122" i="10"/>
  <c r="AE121" i="10"/>
  <c r="B123" i="10"/>
  <c r="CD123" i="10" s="1"/>
  <c r="BJ123" i="10" l="1"/>
  <c r="AU122" i="10"/>
  <c r="BG122" i="10" s="1"/>
  <c r="BT122" i="10"/>
  <c r="AV122" i="10"/>
  <c r="CA123" i="10"/>
  <c r="BW123" i="10"/>
  <c r="BR123" i="10"/>
  <c r="BN123" i="10"/>
  <c r="BI123" i="10"/>
  <c r="AY123" i="10"/>
  <c r="AT123" i="10"/>
  <c r="AP123" i="10"/>
  <c r="BU123" i="10" s="1"/>
  <c r="AL123" i="10"/>
  <c r="BZ123" i="10"/>
  <c r="BV123" i="10"/>
  <c r="BQ123" i="10"/>
  <c r="BH123" i="10"/>
  <c r="BB123" i="10"/>
  <c r="AX123" i="10"/>
  <c r="AS123" i="10"/>
  <c r="AO123" i="10"/>
  <c r="AK123" i="10"/>
  <c r="CC123" i="10"/>
  <c r="BY123" i="10"/>
  <c r="BP123" i="10"/>
  <c r="BK123" i="10"/>
  <c r="BA123" i="10"/>
  <c r="AW123" i="10"/>
  <c r="AR123" i="10"/>
  <c r="AN123" i="10"/>
  <c r="AI123" i="10"/>
  <c r="CB123" i="10"/>
  <c r="AM123" i="10"/>
  <c r="BD123" i="10"/>
  <c r="AZ123" i="10"/>
  <c r="AH123" i="10"/>
  <c r="BX123" i="10" s="1"/>
  <c r="BS123" i="10"/>
  <c r="BO123" i="10"/>
  <c r="AQ123" i="10"/>
  <c r="BL123" i="10"/>
  <c r="AF123" i="10"/>
  <c r="AE122" i="10"/>
  <c r="B124" i="10"/>
  <c r="CD124" i="10" s="1"/>
  <c r="BJ124" i="10" l="1"/>
  <c r="AV123" i="10"/>
  <c r="CA124" i="10"/>
  <c r="BW124" i="10"/>
  <c r="BS124" i="10"/>
  <c r="BO124" i="10"/>
  <c r="BD124" i="10"/>
  <c r="AZ124" i="10"/>
  <c r="AR124" i="10"/>
  <c r="AN124" i="10"/>
  <c r="AI124" i="10"/>
  <c r="BZ124" i="10"/>
  <c r="BV124" i="10"/>
  <c r="BR124" i="10"/>
  <c r="BN124" i="10"/>
  <c r="BI124" i="10"/>
  <c r="AY124" i="10"/>
  <c r="AQ124" i="10"/>
  <c r="AM124" i="10"/>
  <c r="AH124" i="10"/>
  <c r="BT124" i="10" s="1"/>
  <c r="CC124" i="10"/>
  <c r="BY124" i="10"/>
  <c r="BQ124" i="10"/>
  <c r="BH124" i="10"/>
  <c r="BB124" i="10"/>
  <c r="AX124" i="10"/>
  <c r="AT124" i="10"/>
  <c r="AP124" i="10"/>
  <c r="BU124" i="10" s="1"/>
  <c r="AL124" i="10"/>
  <c r="BK124" i="10"/>
  <c r="AW124" i="10"/>
  <c r="AS124" i="10"/>
  <c r="AK124" i="10"/>
  <c r="BP124" i="10"/>
  <c r="AO124" i="10"/>
  <c r="CB124" i="10"/>
  <c r="BA124" i="10"/>
  <c r="BL124" i="10"/>
  <c r="AU123" i="10"/>
  <c r="BG123" i="10" s="1"/>
  <c r="BT123" i="10"/>
  <c r="AF124" i="10"/>
  <c r="AE123" i="10"/>
  <c r="B125" i="10"/>
  <c r="CD125" i="10" s="1"/>
  <c r="BJ125" i="10" l="1"/>
  <c r="BX124" i="10"/>
  <c r="AU124" i="10"/>
  <c r="BG124" i="10" s="1"/>
  <c r="AV124" i="10"/>
  <c r="BZ125" i="10"/>
  <c r="BP125" i="10"/>
  <c r="BK125" i="10"/>
  <c r="BA125" i="10"/>
  <c r="AW125" i="10"/>
  <c r="AR125" i="10"/>
  <c r="AN125" i="10"/>
  <c r="AI125" i="10"/>
  <c r="CC125" i="10"/>
  <c r="BY125" i="10"/>
  <c r="BS125" i="10"/>
  <c r="BO125" i="10"/>
  <c r="BD125" i="10"/>
  <c r="AZ125" i="10"/>
  <c r="AQ125" i="10"/>
  <c r="AM125" i="10"/>
  <c r="AH125" i="10"/>
  <c r="BT125" i="10" s="1"/>
  <c r="CB125" i="10"/>
  <c r="BW125" i="10"/>
  <c r="BR125" i="10"/>
  <c r="BN125" i="10"/>
  <c r="BI125" i="10"/>
  <c r="AY125" i="10"/>
  <c r="AT125" i="10"/>
  <c r="AP125" i="10"/>
  <c r="AV125" i="10" s="1"/>
  <c r="AL125" i="10"/>
  <c r="BV125" i="10"/>
  <c r="AS125" i="10"/>
  <c r="BH125" i="10"/>
  <c r="BQ125" i="10"/>
  <c r="AO125" i="10"/>
  <c r="AX125" i="10"/>
  <c r="BB125" i="10"/>
  <c r="AK125" i="10"/>
  <c r="CA125" i="10"/>
  <c r="BL125" i="10"/>
  <c r="AF125" i="10"/>
  <c r="AE124" i="10"/>
  <c r="B126" i="10"/>
  <c r="CD126" i="10" s="1"/>
  <c r="BJ126" i="10" l="1"/>
  <c r="CA126" i="10"/>
  <c r="BV126" i="10"/>
  <c r="BP126" i="10"/>
  <c r="BK126" i="10"/>
  <c r="BA126" i="10"/>
  <c r="AW126" i="10"/>
  <c r="AQ126" i="10"/>
  <c r="AM126" i="10"/>
  <c r="AH126" i="10"/>
  <c r="BT126" i="10" s="1"/>
  <c r="BZ126" i="10"/>
  <c r="BS126" i="10"/>
  <c r="BO126" i="10"/>
  <c r="BD126" i="10"/>
  <c r="AZ126" i="10"/>
  <c r="AT126" i="10"/>
  <c r="AP126" i="10"/>
  <c r="BU126" i="10" s="1"/>
  <c r="AL126" i="10"/>
  <c r="CC126" i="10"/>
  <c r="BY126" i="10"/>
  <c r="BR126" i="10"/>
  <c r="BN126" i="10"/>
  <c r="BI126" i="10"/>
  <c r="AY126" i="10"/>
  <c r="AS126" i="10"/>
  <c r="AO126" i="10"/>
  <c r="AK126" i="10"/>
  <c r="BW126" i="10"/>
  <c r="AR126" i="10"/>
  <c r="BQ126" i="10"/>
  <c r="AN126" i="10"/>
  <c r="AX126" i="10"/>
  <c r="BB126" i="10"/>
  <c r="AI126" i="10"/>
  <c r="CB126" i="10"/>
  <c r="BH126" i="10"/>
  <c r="BL126" i="10"/>
  <c r="AU125" i="10"/>
  <c r="BG125" i="10" s="1"/>
  <c r="BU125" i="10"/>
  <c r="BX125" i="10"/>
  <c r="AF126" i="10"/>
  <c r="AE125" i="10"/>
  <c r="B127" i="10"/>
  <c r="CD127" i="10" s="1"/>
  <c r="BJ127" i="10" l="1"/>
  <c r="AV126" i="10"/>
  <c r="AU126" i="10"/>
  <c r="BG126" i="10" s="1"/>
  <c r="CC127" i="10"/>
  <c r="BY127" i="10"/>
  <c r="BP127" i="10"/>
  <c r="BK127" i="10"/>
  <c r="BA127" i="10"/>
  <c r="AW127" i="10"/>
  <c r="AR127" i="10"/>
  <c r="AN127" i="10"/>
  <c r="AI127" i="10"/>
  <c r="CB127" i="10"/>
  <c r="BS127" i="10"/>
  <c r="BO127" i="10"/>
  <c r="BD127" i="10"/>
  <c r="AZ127" i="10"/>
  <c r="AQ127" i="10"/>
  <c r="AM127" i="10"/>
  <c r="AH127" i="10"/>
  <c r="BT127" i="10" s="1"/>
  <c r="CA127" i="10"/>
  <c r="BW127" i="10"/>
  <c r="BR127" i="10"/>
  <c r="BN127" i="10"/>
  <c r="BI127" i="10"/>
  <c r="AY127" i="10"/>
  <c r="AT127" i="10"/>
  <c r="AP127" i="10"/>
  <c r="BU127" i="10" s="1"/>
  <c r="AL127" i="10"/>
  <c r="BV127" i="10"/>
  <c r="AS127" i="10"/>
  <c r="BQ127" i="10"/>
  <c r="AO127" i="10"/>
  <c r="BZ127" i="10"/>
  <c r="AX127" i="10"/>
  <c r="BB127" i="10"/>
  <c r="AK127" i="10"/>
  <c r="BH127" i="10"/>
  <c r="BL127" i="10"/>
  <c r="BX126" i="10"/>
  <c r="AF127" i="10"/>
  <c r="AE126" i="10"/>
  <c r="B128" i="10"/>
  <c r="CD128" i="10" s="1"/>
  <c r="BJ128" i="10" l="1"/>
  <c r="BX127" i="10"/>
  <c r="AV127" i="10"/>
  <c r="CC128" i="10"/>
  <c r="BY128" i="10"/>
  <c r="BQ128" i="10"/>
  <c r="BH128" i="10"/>
  <c r="BB128" i="10"/>
  <c r="AX128" i="10"/>
  <c r="AT128" i="10"/>
  <c r="AP128" i="10"/>
  <c r="BU128" i="10" s="1"/>
  <c r="AL128" i="10"/>
  <c r="CB128" i="10"/>
  <c r="BP128" i="10"/>
  <c r="BK128" i="10"/>
  <c r="BA128" i="10"/>
  <c r="AW128" i="10"/>
  <c r="AS128" i="10"/>
  <c r="AO128" i="10"/>
  <c r="AK128" i="10"/>
  <c r="CA128" i="10"/>
  <c r="BW128" i="10"/>
  <c r="BS128" i="10"/>
  <c r="BO128" i="10"/>
  <c r="BD128" i="10"/>
  <c r="AZ128" i="10"/>
  <c r="AR128" i="10"/>
  <c r="AN128" i="10"/>
  <c r="AI128" i="10"/>
  <c r="BR128" i="10"/>
  <c r="AQ128" i="10"/>
  <c r="BN128" i="10"/>
  <c r="AM128" i="10"/>
  <c r="BI128" i="10"/>
  <c r="BZ128" i="10"/>
  <c r="AY128" i="10"/>
  <c r="AH128" i="10"/>
  <c r="BX128" i="10" s="1"/>
  <c r="BV128" i="10"/>
  <c r="BL128" i="10"/>
  <c r="AU127" i="10"/>
  <c r="BG127" i="10" s="1"/>
  <c r="AF128" i="10"/>
  <c r="AE127" i="10"/>
  <c r="B129" i="10"/>
  <c r="CD129" i="10" s="1"/>
  <c r="BJ129" i="10" l="1"/>
  <c r="AU128" i="10"/>
  <c r="BG128" i="10" s="1"/>
  <c r="BT128" i="10"/>
  <c r="AV128" i="10"/>
  <c r="CB129" i="10"/>
  <c r="BW129" i="10"/>
  <c r="BR129" i="10"/>
  <c r="BN129" i="10"/>
  <c r="BI129" i="10"/>
  <c r="AY129" i="10"/>
  <c r="AT129" i="10"/>
  <c r="AP129" i="10"/>
  <c r="AV129" i="10" s="1"/>
  <c r="AL129" i="10"/>
  <c r="CA129" i="10"/>
  <c r="BV129" i="10"/>
  <c r="BQ129" i="10"/>
  <c r="BH129" i="10"/>
  <c r="BB129" i="10"/>
  <c r="AX129" i="10"/>
  <c r="AS129" i="10"/>
  <c r="AO129" i="10"/>
  <c r="AK129" i="10"/>
  <c r="BZ129" i="10"/>
  <c r="BP129" i="10"/>
  <c r="BK129" i="10"/>
  <c r="BA129" i="10"/>
  <c r="AW129" i="10"/>
  <c r="AR129" i="10"/>
  <c r="AN129" i="10"/>
  <c r="AI129" i="10"/>
  <c r="CC129" i="10"/>
  <c r="AM129" i="10"/>
  <c r="BY129" i="10"/>
  <c r="AZ129" i="10"/>
  <c r="AH129" i="10"/>
  <c r="BT129" i="10" s="1"/>
  <c r="AQ129" i="10"/>
  <c r="BS129" i="10"/>
  <c r="BO129" i="10"/>
  <c r="BD129" i="10"/>
  <c r="BL129" i="10"/>
  <c r="AF129" i="10"/>
  <c r="AE128" i="10"/>
  <c r="B130" i="10"/>
  <c r="CD130" i="10" s="1"/>
  <c r="BJ130" i="10" l="1"/>
  <c r="CC130" i="10"/>
  <c r="BY130" i="10"/>
  <c r="BR130" i="10"/>
  <c r="BN130" i="10"/>
  <c r="BI130" i="10"/>
  <c r="AY130" i="10"/>
  <c r="AS130" i="10"/>
  <c r="AO130" i="10"/>
  <c r="AK130" i="10"/>
  <c r="CB130" i="10"/>
  <c r="BW130" i="10"/>
  <c r="BQ130" i="10"/>
  <c r="BH130" i="10"/>
  <c r="BB130" i="10"/>
  <c r="AX130" i="10"/>
  <c r="AR130" i="10"/>
  <c r="AN130" i="10"/>
  <c r="AI130" i="10"/>
  <c r="CA130" i="10"/>
  <c r="BV130" i="10"/>
  <c r="BP130" i="10"/>
  <c r="BK130" i="10"/>
  <c r="BA130" i="10"/>
  <c r="AW130" i="10"/>
  <c r="AQ130" i="10"/>
  <c r="AM130" i="10"/>
  <c r="AH130" i="10"/>
  <c r="BX130" i="10" s="1"/>
  <c r="BZ130" i="10"/>
  <c r="AZ130" i="10"/>
  <c r="BS130" i="10"/>
  <c r="AT130" i="10"/>
  <c r="AL130" i="10"/>
  <c r="BO130" i="10"/>
  <c r="BD130" i="10"/>
  <c r="AP130" i="10"/>
  <c r="BU130" i="10" s="1"/>
  <c r="BL130" i="10"/>
  <c r="BX129" i="10"/>
  <c r="AU129" i="10"/>
  <c r="BG129" i="10" s="1"/>
  <c r="BU129" i="10"/>
  <c r="AF130" i="10"/>
  <c r="AE129" i="10"/>
  <c r="B131" i="10"/>
  <c r="CD131" i="10" s="1"/>
  <c r="BJ131" i="10" l="1"/>
  <c r="AV130" i="10"/>
  <c r="CA131" i="10"/>
  <c r="BW131" i="10"/>
  <c r="BR131" i="10"/>
  <c r="BN131" i="10"/>
  <c r="BI131" i="10"/>
  <c r="AY131" i="10"/>
  <c r="AT131" i="10"/>
  <c r="AP131" i="10"/>
  <c r="BU131" i="10" s="1"/>
  <c r="AL131" i="10"/>
  <c r="BZ131" i="10"/>
  <c r="BV131" i="10"/>
  <c r="BQ131" i="10"/>
  <c r="BH131" i="10"/>
  <c r="BB131" i="10"/>
  <c r="AX131" i="10"/>
  <c r="AS131" i="10"/>
  <c r="AO131" i="10"/>
  <c r="AK131" i="10"/>
  <c r="CC131" i="10"/>
  <c r="BY131" i="10"/>
  <c r="BP131" i="10"/>
  <c r="BK131" i="10"/>
  <c r="BA131" i="10"/>
  <c r="AW131" i="10"/>
  <c r="AR131" i="10"/>
  <c r="AN131" i="10"/>
  <c r="AI131" i="10"/>
  <c r="BS131" i="10"/>
  <c r="BO131" i="10"/>
  <c r="BD131" i="10"/>
  <c r="AQ131" i="10"/>
  <c r="CB131" i="10"/>
  <c r="AM131" i="10"/>
  <c r="AZ131" i="10"/>
  <c r="AH131" i="10"/>
  <c r="BL131" i="10"/>
  <c r="AU130" i="10"/>
  <c r="BG130" i="10" s="1"/>
  <c r="BT130" i="10"/>
  <c r="AF131" i="10"/>
  <c r="AE130" i="10"/>
  <c r="B132" i="10"/>
  <c r="CD132" i="10" s="1"/>
  <c r="BJ132" i="10" l="1"/>
  <c r="AU131" i="10"/>
  <c r="BG131" i="10" s="1"/>
  <c r="AV131" i="10"/>
  <c r="CA132" i="10"/>
  <c r="BW132" i="10"/>
  <c r="BS132" i="10"/>
  <c r="BO132" i="10"/>
  <c r="BD132" i="10"/>
  <c r="AZ132" i="10"/>
  <c r="AR132" i="10"/>
  <c r="AN132" i="10"/>
  <c r="AI132" i="10"/>
  <c r="BZ132" i="10"/>
  <c r="BV132" i="10"/>
  <c r="BR132" i="10"/>
  <c r="BN132" i="10"/>
  <c r="BI132" i="10"/>
  <c r="AY132" i="10"/>
  <c r="AQ132" i="10"/>
  <c r="AM132" i="10"/>
  <c r="AH132" i="10"/>
  <c r="BT132" i="10" s="1"/>
  <c r="CC132" i="10"/>
  <c r="BY132" i="10"/>
  <c r="BQ132" i="10"/>
  <c r="BH132" i="10"/>
  <c r="BB132" i="10"/>
  <c r="AX132" i="10"/>
  <c r="AT132" i="10"/>
  <c r="AP132" i="10"/>
  <c r="BU132" i="10" s="1"/>
  <c r="AL132" i="10"/>
  <c r="BP132" i="10"/>
  <c r="AO132" i="10"/>
  <c r="CB132" i="10"/>
  <c r="BA132" i="10"/>
  <c r="AK132" i="10"/>
  <c r="BK132" i="10"/>
  <c r="AW132" i="10"/>
  <c r="AS132" i="10"/>
  <c r="BL132" i="10"/>
  <c r="BX131" i="10"/>
  <c r="BT131" i="10"/>
  <c r="AF132" i="10"/>
  <c r="AE131" i="10"/>
  <c r="B133" i="10"/>
  <c r="CD133" i="10" s="1"/>
  <c r="BJ133" i="10" l="1"/>
  <c r="BX132" i="10"/>
  <c r="AV132" i="10"/>
  <c r="AU132" i="10"/>
  <c r="BG132" i="10" s="1"/>
  <c r="BZ133" i="10"/>
  <c r="BP133" i="10"/>
  <c r="BK133" i="10"/>
  <c r="BA133" i="10"/>
  <c r="AW133" i="10"/>
  <c r="AR133" i="10"/>
  <c r="AN133" i="10"/>
  <c r="AI133" i="10"/>
  <c r="CC133" i="10"/>
  <c r="BY133" i="10"/>
  <c r="BS133" i="10"/>
  <c r="BO133" i="10"/>
  <c r="BD133" i="10"/>
  <c r="AZ133" i="10"/>
  <c r="AQ133" i="10"/>
  <c r="AM133" i="10"/>
  <c r="AH133" i="10"/>
  <c r="BT133" i="10" s="1"/>
  <c r="CB133" i="10"/>
  <c r="BW133" i="10"/>
  <c r="BR133" i="10"/>
  <c r="BN133" i="10"/>
  <c r="BI133" i="10"/>
  <c r="AY133" i="10"/>
  <c r="AT133" i="10"/>
  <c r="AP133" i="10"/>
  <c r="AL133" i="10"/>
  <c r="BB133" i="10"/>
  <c r="AK133" i="10"/>
  <c r="CA133" i="10"/>
  <c r="BH133" i="10"/>
  <c r="AX133" i="10"/>
  <c r="BQ133" i="10"/>
  <c r="BV133" i="10"/>
  <c r="AS133" i="10"/>
  <c r="AO133" i="10"/>
  <c r="BL133" i="10"/>
  <c r="AF133" i="10"/>
  <c r="AE132" i="10"/>
  <c r="B134" i="10"/>
  <c r="CD134" i="10" s="1"/>
  <c r="BJ134" i="10" l="1"/>
  <c r="CA134" i="10"/>
  <c r="BV134" i="10"/>
  <c r="BP134" i="10"/>
  <c r="BK134" i="10"/>
  <c r="BA134" i="10"/>
  <c r="AW134" i="10"/>
  <c r="AQ134" i="10"/>
  <c r="AM134" i="10"/>
  <c r="AH134" i="10"/>
  <c r="BX134" i="10" s="1"/>
  <c r="BZ134" i="10"/>
  <c r="BS134" i="10"/>
  <c r="BO134" i="10"/>
  <c r="BD134" i="10"/>
  <c r="AZ134" i="10"/>
  <c r="AT134" i="10"/>
  <c r="AP134" i="10"/>
  <c r="BU134" i="10" s="1"/>
  <c r="AL134" i="10"/>
  <c r="CC134" i="10"/>
  <c r="BY134" i="10"/>
  <c r="BR134" i="10"/>
  <c r="BN134" i="10"/>
  <c r="BI134" i="10"/>
  <c r="AY134" i="10"/>
  <c r="AS134" i="10"/>
  <c r="AO134" i="10"/>
  <c r="AK134" i="10"/>
  <c r="BB134" i="10"/>
  <c r="AI134" i="10"/>
  <c r="BQ134" i="10"/>
  <c r="CB134" i="10"/>
  <c r="BH134" i="10"/>
  <c r="AX134" i="10"/>
  <c r="BW134" i="10"/>
  <c r="AR134" i="10"/>
  <c r="AN134" i="10"/>
  <c r="BL134" i="10"/>
  <c r="BX133" i="10"/>
  <c r="AU133" i="10"/>
  <c r="BG133" i="10" s="1"/>
  <c r="BU133" i="10"/>
  <c r="AV133" i="10"/>
  <c r="AF134" i="10"/>
  <c r="AE133" i="10"/>
  <c r="B135" i="10"/>
  <c r="CD135" i="10" s="1"/>
  <c r="BJ135" i="10" l="1"/>
  <c r="BT134" i="10"/>
  <c r="AV134" i="10"/>
  <c r="AU134" i="10"/>
  <c r="BG134" i="10" s="1"/>
  <c r="CC135" i="10"/>
  <c r="BY135" i="10"/>
  <c r="BP135" i="10"/>
  <c r="BK135" i="10"/>
  <c r="BA135" i="10"/>
  <c r="AW135" i="10"/>
  <c r="AR135" i="10"/>
  <c r="AN135" i="10"/>
  <c r="AI135" i="10"/>
  <c r="CB135" i="10"/>
  <c r="BS135" i="10"/>
  <c r="BO135" i="10"/>
  <c r="BD135" i="10"/>
  <c r="AZ135" i="10"/>
  <c r="AQ135" i="10"/>
  <c r="AM135" i="10"/>
  <c r="AH135" i="10"/>
  <c r="BT135" i="10" s="1"/>
  <c r="CA135" i="10"/>
  <c r="BW135" i="10"/>
  <c r="BR135" i="10"/>
  <c r="BN135" i="10"/>
  <c r="BI135" i="10"/>
  <c r="AY135" i="10"/>
  <c r="AT135" i="10"/>
  <c r="AP135" i="10"/>
  <c r="BU135" i="10" s="1"/>
  <c r="AL135" i="10"/>
  <c r="BB135" i="10"/>
  <c r="AK135" i="10"/>
  <c r="BZ135" i="10"/>
  <c r="BH135" i="10"/>
  <c r="AX135" i="10"/>
  <c r="BV135" i="10"/>
  <c r="AS135" i="10"/>
  <c r="BQ135" i="10"/>
  <c r="AO135" i="10"/>
  <c r="BL135" i="10"/>
  <c r="AF135" i="10"/>
  <c r="AE134" i="10"/>
  <c r="B136" i="10"/>
  <c r="CD136" i="10" s="1"/>
  <c r="BJ136" i="10" l="1"/>
  <c r="BX135" i="10"/>
  <c r="AV135" i="10"/>
  <c r="CC136" i="10"/>
  <c r="BY136" i="10"/>
  <c r="BQ136" i="10"/>
  <c r="BH136" i="10"/>
  <c r="BB136" i="10"/>
  <c r="AX136" i="10"/>
  <c r="AT136" i="10"/>
  <c r="AP136" i="10"/>
  <c r="BU136" i="10" s="1"/>
  <c r="AL136" i="10"/>
  <c r="CB136" i="10"/>
  <c r="BP136" i="10"/>
  <c r="BK136" i="10"/>
  <c r="BA136" i="10"/>
  <c r="AW136" i="10"/>
  <c r="AS136" i="10"/>
  <c r="AO136" i="10"/>
  <c r="AK136" i="10"/>
  <c r="CA136" i="10"/>
  <c r="BW136" i="10"/>
  <c r="BS136" i="10"/>
  <c r="BO136" i="10"/>
  <c r="BD136" i="10"/>
  <c r="AZ136" i="10"/>
  <c r="AR136" i="10"/>
  <c r="AN136" i="10"/>
  <c r="AI136" i="10"/>
  <c r="BZ136" i="10"/>
  <c r="AY136" i="10"/>
  <c r="AH136" i="10"/>
  <c r="BX136" i="10" s="1"/>
  <c r="BN136" i="10"/>
  <c r="BV136" i="10"/>
  <c r="BI136" i="10"/>
  <c r="AM136" i="10"/>
  <c r="BR136" i="10"/>
  <c r="AQ136" i="10"/>
  <c r="BL136" i="10"/>
  <c r="AU135" i="10"/>
  <c r="BG135" i="10" s="1"/>
  <c r="AF136" i="10"/>
  <c r="AE135" i="10"/>
  <c r="B137" i="10"/>
  <c r="CD137" i="10" s="1"/>
  <c r="BJ137" i="10" l="1"/>
  <c r="BT136" i="10"/>
  <c r="AU136" i="10"/>
  <c r="BG136" i="10" s="1"/>
  <c r="AV136" i="10"/>
  <c r="BZ137" i="10"/>
  <c r="BQ137" i="10"/>
  <c r="BH137" i="10"/>
  <c r="BB137" i="10"/>
  <c r="AX137" i="10"/>
  <c r="AT137" i="10"/>
  <c r="AP137" i="10"/>
  <c r="BU137" i="10" s="1"/>
  <c r="AL137" i="10"/>
  <c r="CC137" i="10"/>
  <c r="BY137" i="10"/>
  <c r="BP137" i="10"/>
  <c r="BK137" i="10"/>
  <c r="BA137" i="10"/>
  <c r="AW137" i="10"/>
  <c r="AS137" i="10"/>
  <c r="AO137" i="10"/>
  <c r="AK137" i="10"/>
  <c r="CB137" i="10"/>
  <c r="BW137" i="10"/>
  <c r="BS137" i="10"/>
  <c r="BO137" i="10"/>
  <c r="BD137" i="10"/>
  <c r="AZ137" i="10"/>
  <c r="AR137" i="10"/>
  <c r="AN137" i="10"/>
  <c r="AI137" i="10"/>
  <c r="BV137" i="10"/>
  <c r="BI137" i="10"/>
  <c r="CA137" i="10"/>
  <c r="BR137" i="10"/>
  <c r="AQ137" i="10"/>
  <c r="AY137" i="10"/>
  <c r="BN137" i="10"/>
  <c r="AM137" i="10"/>
  <c r="AH137" i="10"/>
  <c r="BL137" i="10"/>
  <c r="AF137" i="10"/>
  <c r="AE136" i="10"/>
  <c r="B138" i="10"/>
  <c r="CD138" i="10" s="1"/>
  <c r="BJ138" i="10" l="1"/>
  <c r="BX137" i="10"/>
  <c r="BT137" i="10"/>
  <c r="AV137" i="10"/>
  <c r="CA138" i="10"/>
  <c r="BV138" i="10"/>
  <c r="BP138" i="10"/>
  <c r="BK138" i="10"/>
  <c r="BA138" i="10"/>
  <c r="AW138" i="10"/>
  <c r="AQ138" i="10"/>
  <c r="AM138" i="10"/>
  <c r="AH138" i="10"/>
  <c r="BX138" i="10" s="1"/>
  <c r="BZ138" i="10"/>
  <c r="BS138" i="10"/>
  <c r="BO138" i="10"/>
  <c r="BD138" i="10"/>
  <c r="AZ138" i="10"/>
  <c r="AT138" i="10"/>
  <c r="AP138" i="10"/>
  <c r="BU138" i="10" s="1"/>
  <c r="AL138" i="10"/>
  <c r="CC138" i="10"/>
  <c r="BY138" i="10"/>
  <c r="BR138" i="10"/>
  <c r="BN138" i="10"/>
  <c r="BI138" i="10"/>
  <c r="AY138" i="10"/>
  <c r="AS138" i="10"/>
  <c r="AO138" i="10"/>
  <c r="AK138" i="10"/>
  <c r="BW138" i="10"/>
  <c r="AR138" i="10"/>
  <c r="CB138" i="10"/>
  <c r="BQ138" i="10"/>
  <c r="AN138" i="10"/>
  <c r="AX138" i="10"/>
  <c r="BB138" i="10"/>
  <c r="AI138" i="10"/>
  <c r="BH138" i="10"/>
  <c r="BL138" i="10"/>
  <c r="AU137" i="10"/>
  <c r="BG137" i="10" s="1"/>
  <c r="AF138" i="10"/>
  <c r="AE137" i="10"/>
  <c r="B139" i="10"/>
  <c r="CD139" i="10" s="1"/>
  <c r="BJ139" i="10" l="1"/>
  <c r="BT138" i="10"/>
  <c r="AU138" i="10"/>
  <c r="BG138" i="10" s="1"/>
  <c r="AV138" i="10"/>
  <c r="CC139" i="10"/>
  <c r="BY139" i="10"/>
  <c r="BP139" i="10"/>
  <c r="BK139" i="10"/>
  <c r="BA139" i="10"/>
  <c r="AW139" i="10"/>
  <c r="AR139" i="10"/>
  <c r="AN139" i="10"/>
  <c r="AI139" i="10"/>
  <c r="CB139" i="10"/>
  <c r="BS139" i="10"/>
  <c r="BO139" i="10"/>
  <c r="BD139" i="10"/>
  <c r="AZ139" i="10"/>
  <c r="AQ139" i="10"/>
  <c r="AM139" i="10"/>
  <c r="AH139" i="10"/>
  <c r="BT139" i="10" s="1"/>
  <c r="CA139" i="10"/>
  <c r="BW139" i="10"/>
  <c r="BR139" i="10"/>
  <c r="BN139" i="10"/>
  <c r="BI139" i="10"/>
  <c r="AY139" i="10"/>
  <c r="AT139" i="10"/>
  <c r="AP139" i="10"/>
  <c r="BU139" i="10" s="1"/>
  <c r="AL139" i="10"/>
  <c r="BV139" i="10"/>
  <c r="AS139" i="10"/>
  <c r="BQ139" i="10"/>
  <c r="AO139" i="10"/>
  <c r="BZ139" i="10"/>
  <c r="AX139" i="10"/>
  <c r="BB139" i="10"/>
  <c r="AK139" i="10"/>
  <c r="BH139" i="10"/>
  <c r="BL139" i="10"/>
  <c r="AF139" i="10"/>
  <c r="AE138" i="10"/>
  <c r="B140" i="10"/>
  <c r="CD140" i="10" s="1"/>
  <c r="BJ140" i="10" l="1"/>
  <c r="BX139" i="10"/>
  <c r="AV139" i="10"/>
  <c r="AU139" i="10"/>
  <c r="BG139" i="10" s="1"/>
  <c r="CC140" i="10"/>
  <c r="BY140" i="10"/>
  <c r="BQ140" i="10"/>
  <c r="BH140" i="10"/>
  <c r="BB140" i="10"/>
  <c r="AX140" i="10"/>
  <c r="AT140" i="10"/>
  <c r="AP140" i="10"/>
  <c r="BU140" i="10" s="1"/>
  <c r="AL140" i="10"/>
  <c r="CB140" i="10"/>
  <c r="BP140" i="10"/>
  <c r="BK140" i="10"/>
  <c r="BA140" i="10"/>
  <c r="AW140" i="10"/>
  <c r="AS140" i="10"/>
  <c r="AO140" i="10"/>
  <c r="AK140" i="10"/>
  <c r="CA140" i="10"/>
  <c r="BW140" i="10"/>
  <c r="BS140" i="10"/>
  <c r="BO140" i="10"/>
  <c r="BD140" i="10"/>
  <c r="AZ140" i="10"/>
  <c r="AR140" i="10"/>
  <c r="AN140" i="10"/>
  <c r="AI140" i="10"/>
  <c r="BR140" i="10"/>
  <c r="AQ140" i="10"/>
  <c r="BV140" i="10"/>
  <c r="BN140" i="10"/>
  <c r="AM140" i="10"/>
  <c r="BZ140" i="10"/>
  <c r="AY140" i="10"/>
  <c r="AH140" i="10"/>
  <c r="BI140" i="10"/>
  <c r="BL140" i="10"/>
  <c r="AF140" i="10"/>
  <c r="AE139" i="10"/>
  <c r="B141" i="10"/>
  <c r="CD141" i="10" s="1"/>
  <c r="BJ141" i="10" l="1"/>
  <c r="AV140" i="10"/>
  <c r="AU140" i="10"/>
  <c r="BG140" i="10" s="1"/>
  <c r="BX140" i="10"/>
  <c r="CC141" i="10"/>
  <c r="BY141" i="10"/>
  <c r="BQ141" i="10"/>
  <c r="BH141" i="10"/>
  <c r="BB141" i="10"/>
  <c r="AX141" i="10"/>
  <c r="AT141" i="10"/>
  <c r="AP141" i="10"/>
  <c r="BU141" i="10" s="1"/>
  <c r="AL141" i="10"/>
  <c r="CB141" i="10"/>
  <c r="BP141" i="10"/>
  <c r="BK141" i="10"/>
  <c r="BA141" i="10"/>
  <c r="AW141" i="10"/>
  <c r="AS141" i="10"/>
  <c r="AO141" i="10"/>
  <c r="AK141" i="10"/>
  <c r="CA141" i="10"/>
  <c r="BW141" i="10"/>
  <c r="BS141" i="10"/>
  <c r="BO141" i="10"/>
  <c r="BD141" i="10"/>
  <c r="AZ141" i="10"/>
  <c r="AR141" i="10"/>
  <c r="AN141" i="10"/>
  <c r="AI141" i="10"/>
  <c r="BN141" i="10"/>
  <c r="AM141" i="10"/>
  <c r="BZ141" i="10"/>
  <c r="AY141" i="10"/>
  <c r="AH141" i="10"/>
  <c r="BR141" i="10"/>
  <c r="BV141" i="10"/>
  <c r="BI141" i="10"/>
  <c r="AQ141" i="10"/>
  <c r="BL141" i="10"/>
  <c r="BT140" i="10"/>
  <c r="AF141" i="10"/>
  <c r="AE140" i="10"/>
  <c r="B142" i="10"/>
  <c r="CD142" i="10" s="1"/>
  <c r="BJ142" i="10" l="1"/>
  <c r="AU141" i="10"/>
  <c r="BG141" i="10" s="1"/>
  <c r="AV141" i="10"/>
  <c r="BX141" i="10"/>
  <c r="CB142" i="10"/>
  <c r="BW142" i="10"/>
  <c r="BQ142" i="10"/>
  <c r="BH142" i="10"/>
  <c r="BB142" i="10"/>
  <c r="BZ142" i="10"/>
  <c r="BR142" i="10"/>
  <c r="AZ142" i="10"/>
  <c r="AT142" i="10"/>
  <c r="AP142" i="10"/>
  <c r="BU142" i="10" s="1"/>
  <c r="AL142" i="10"/>
  <c r="BY142" i="10"/>
  <c r="BP142" i="10"/>
  <c r="BK142" i="10"/>
  <c r="BD142" i="10"/>
  <c r="AY142" i="10"/>
  <c r="AS142" i="10"/>
  <c r="AO142" i="10"/>
  <c r="AK142" i="10"/>
  <c r="CC142" i="10"/>
  <c r="BV142" i="10"/>
  <c r="BO142" i="10"/>
  <c r="AX142" i="10"/>
  <c r="AR142" i="10"/>
  <c r="AN142" i="10"/>
  <c r="AI142" i="10"/>
  <c r="BA142" i="10"/>
  <c r="AH142" i="10"/>
  <c r="BX142" i="10" s="1"/>
  <c r="CA142" i="10"/>
  <c r="BI142" i="10"/>
  <c r="AW142" i="10"/>
  <c r="BS142" i="10"/>
  <c r="AQ142" i="10"/>
  <c r="BN142" i="10"/>
  <c r="AM142" i="10"/>
  <c r="BL142" i="10"/>
  <c r="BT141" i="10"/>
  <c r="AF142" i="10"/>
  <c r="AE141" i="10"/>
  <c r="B143" i="10"/>
  <c r="CD143" i="10" s="1"/>
  <c r="BJ143" i="10" l="1"/>
  <c r="BT142" i="10"/>
  <c r="AV142" i="10"/>
  <c r="AU142" i="10"/>
  <c r="BG142" i="10" s="1"/>
  <c r="BZ143" i="10"/>
  <c r="BV143" i="10"/>
  <c r="BQ143" i="10"/>
  <c r="BH143" i="10"/>
  <c r="BB143" i="10"/>
  <c r="AX143" i="10"/>
  <c r="AS143" i="10"/>
  <c r="AO143" i="10"/>
  <c r="AK143" i="10"/>
  <c r="BY143" i="10"/>
  <c r="BS143" i="10"/>
  <c r="BN143" i="10"/>
  <c r="BI143" i="10"/>
  <c r="BA143" i="10"/>
  <c r="AP143" i="10"/>
  <c r="BU143" i="10" s="1"/>
  <c r="AI143" i="10"/>
  <c r="CC143" i="10"/>
  <c r="BR143" i="10"/>
  <c r="AZ143" i="10"/>
  <c r="AT143" i="10"/>
  <c r="AN143" i="10"/>
  <c r="AH143" i="10"/>
  <c r="CB143" i="10"/>
  <c r="BW143" i="10"/>
  <c r="BP143" i="10"/>
  <c r="BK143" i="10"/>
  <c r="BD143" i="10"/>
  <c r="AY143" i="10"/>
  <c r="AR143" i="10"/>
  <c r="AM143" i="10"/>
  <c r="AL143" i="10"/>
  <c r="CA143" i="10"/>
  <c r="BO143" i="10"/>
  <c r="AQ143" i="10"/>
  <c r="AW143" i="10"/>
  <c r="BL143" i="10"/>
  <c r="AF143" i="10"/>
  <c r="AE142" i="10"/>
  <c r="B144" i="10"/>
  <c r="CD144" i="10" s="1"/>
  <c r="BJ144" i="10" l="1"/>
  <c r="AV143" i="10"/>
  <c r="BX143" i="10"/>
  <c r="AU143" i="10"/>
  <c r="BG143" i="10" s="1"/>
  <c r="BZ144" i="10"/>
  <c r="BV144" i="10"/>
  <c r="BR144" i="10"/>
  <c r="BN144" i="10"/>
  <c r="BI144" i="10"/>
  <c r="AY144" i="10"/>
  <c r="AQ144" i="10"/>
  <c r="AM144" i="10"/>
  <c r="AH144" i="10"/>
  <c r="BT144" i="10" s="1"/>
  <c r="CB144" i="10"/>
  <c r="BW144" i="10"/>
  <c r="BQ144" i="10"/>
  <c r="BK144" i="10"/>
  <c r="BD144" i="10"/>
  <c r="AZ144" i="10"/>
  <c r="AT144" i="10"/>
  <c r="AO144" i="10"/>
  <c r="AI144" i="10"/>
  <c r="CA144" i="10"/>
  <c r="BP144" i="10"/>
  <c r="AX144" i="10"/>
  <c r="AS144" i="10"/>
  <c r="AN144" i="10"/>
  <c r="BY144" i="10"/>
  <c r="BO144" i="10"/>
  <c r="BH144" i="10"/>
  <c r="BB144" i="10"/>
  <c r="AW144" i="10"/>
  <c r="AR144" i="10"/>
  <c r="AL144" i="10"/>
  <c r="CC144" i="10"/>
  <c r="AP144" i="10"/>
  <c r="BU144" i="10" s="1"/>
  <c r="BA144" i="10"/>
  <c r="AK144" i="10"/>
  <c r="BS144" i="10"/>
  <c r="BL144" i="10"/>
  <c r="BT143" i="10"/>
  <c r="AF144" i="10"/>
  <c r="AE143" i="10"/>
  <c r="B145" i="10"/>
  <c r="CD145" i="10" s="1"/>
  <c r="BJ145" i="10" l="1"/>
  <c r="BX144" i="10"/>
  <c r="BZ145" i="10"/>
  <c r="BV145" i="10"/>
  <c r="BR145" i="10"/>
  <c r="BN145" i="10"/>
  <c r="BI145" i="10"/>
  <c r="AY145" i="10"/>
  <c r="AQ145" i="10"/>
  <c r="AM145" i="10"/>
  <c r="AH145" i="10"/>
  <c r="BT145" i="10" s="1"/>
  <c r="BY145" i="10"/>
  <c r="BO145" i="10"/>
  <c r="BH145" i="10"/>
  <c r="BB145" i="10"/>
  <c r="AW145" i="10"/>
  <c r="AR145" i="10"/>
  <c r="AL145" i="10"/>
  <c r="CC145" i="10"/>
  <c r="BS145" i="10"/>
  <c r="BA145" i="10"/>
  <c r="AP145" i="10"/>
  <c r="BU145" i="10" s="1"/>
  <c r="AK145" i="10"/>
  <c r="CB145" i="10"/>
  <c r="BW145" i="10"/>
  <c r="BQ145" i="10"/>
  <c r="BK145" i="10"/>
  <c r="BD145" i="10"/>
  <c r="AZ145" i="10"/>
  <c r="AT145" i="10"/>
  <c r="AO145" i="10"/>
  <c r="AI145" i="10"/>
  <c r="AN145" i="10"/>
  <c r="AS145" i="10"/>
  <c r="BP145" i="10"/>
  <c r="AX145" i="10"/>
  <c r="CA145" i="10"/>
  <c r="BL145" i="10"/>
  <c r="AU144" i="10"/>
  <c r="BG144" i="10" s="1"/>
  <c r="AV144" i="10"/>
  <c r="AF145" i="10"/>
  <c r="AE144" i="10"/>
  <c r="B146" i="10"/>
  <c r="CD146" i="10" s="1"/>
  <c r="BJ146" i="10" l="1"/>
  <c r="BX145" i="10"/>
  <c r="CA146" i="10"/>
  <c r="BV146" i="10"/>
  <c r="BP146" i="10"/>
  <c r="BK146" i="10"/>
  <c r="BA146" i="10"/>
  <c r="AW146" i="10"/>
  <c r="AQ146" i="10"/>
  <c r="AM146" i="10"/>
  <c r="AH146" i="10"/>
  <c r="BX146" i="10" s="1"/>
  <c r="CB146" i="10"/>
  <c r="BS146" i="10"/>
  <c r="BN146" i="10"/>
  <c r="BH146" i="10"/>
  <c r="BB146" i="10"/>
  <c r="AT146" i="10"/>
  <c r="AO146" i="10"/>
  <c r="AI146" i="10"/>
  <c r="BZ146" i="10"/>
  <c r="BR146" i="10"/>
  <c r="AZ146" i="10"/>
  <c r="AS146" i="10"/>
  <c r="AN146" i="10"/>
  <c r="BY146" i="10"/>
  <c r="BQ146" i="10"/>
  <c r="BD146" i="10"/>
  <c r="AY146" i="10"/>
  <c r="AR146" i="10"/>
  <c r="AL146" i="10"/>
  <c r="AX146" i="10"/>
  <c r="BO146" i="10"/>
  <c r="CC146" i="10"/>
  <c r="BI146" i="10"/>
  <c r="AP146" i="10"/>
  <c r="BU146" i="10" s="1"/>
  <c r="BW146" i="10"/>
  <c r="AK146" i="10"/>
  <c r="BL146" i="10"/>
  <c r="AV145" i="10"/>
  <c r="AU145" i="10"/>
  <c r="BG145" i="10" s="1"/>
  <c r="AF146" i="10"/>
  <c r="AE145" i="10"/>
  <c r="B147" i="10"/>
  <c r="CD147" i="10" s="1"/>
  <c r="BJ147" i="10" l="1"/>
  <c r="BT146" i="10"/>
  <c r="AU146" i="10"/>
  <c r="BG146" i="10" s="1"/>
  <c r="AV146" i="10"/>
  <c r="CC147" i="10"/>
  <c r="BY147" i="10"/>
  <c r="BP147" i="10"/>
  <c r="BK147" i="10"/>
  <c r="BA147" i="10"/>
  <c r="AW147" i="10"/>
  <c r="AR147" i="10"/>
  <c r="AN147" i="10"/>
  <c r="AI147" i="10"/>
  <c r="CA147" i="10"/>
  <c r="BV147" i="10"/>
  <c r="BO147" i="10"/>
  <c r="BI147" i="10"/>
  <c r="AX147" i="10"/>
  <c r="AQ147" i="10"/>
  <c r="AL147" i="10"/>
  <c r="BZ147" i="10"/>
  <c r="BS147" i="10"/>
  <c r="BN147" i="10"/>
  <c r="BH147" i="10"/>
  <c r="BB147" i="10"/>
  <c r="AP147" i="10"/>
  <c r="BU147" i="10" s="1"/>
  <c r="AK147" i="10"/>
  <c r="BR147" i="10"/>
  <c r="AZ147" i="10"/>
  <c r="AT147" i="10"/>
  <c r="AO147" i="10"/>
  <c r="AH147" i="10"/>
  <c r="BQ147" i="10"/>
  <c r="BD147" i="10"/>
  <c r="AM147" i="10"/>
  <c r="CB147" i="10"/>
  <c r="AY147" i="10"/>
  <c r="BW147" i="10"/>
  <c r="AS147" i="10"/>
  <c r="BL147" i="10"/>
  <c r="AF147" i="10"/>
  <c r="AE146" i="10"/>
  <c r="B148" i="10"/>
  <c r="CD148" i="10" s="1"/>
  <c r="BJ148" i="10" l="1"/>
  <c r="AV147" i="10"/>
  <c r="AU147" i="10"/>
  <c r="BG147" i="10" s="1"/>
  <c r="BT147" i="10"/>
  <c r="BX147" i="10"/>
  <c r="CC148" i="10"/>
  <c r="BY148" i="10"/>
  <c r="BQ148" i="10"/>
  <c r="BH148" i="10"/>
  <c r="BB148" i="10"/>
  <c r="AX148" i="10"/>
  <c r="AT148" i="10"/>
  <c r="AP148" i="10"/>
  <c r="BU148" i="10" s="1"/>
  <c r="AL148" i="10"/>
  <c r="BS148" i="10"/>
  <c r="BN148" i="10"/>
  <c r="BI148" i="10"/>
  <c r="BA148" i="10"/>
  <c r="AQ148" i="10"/>
  <c r="AK148" i="10"/>
  <c r="CB148" i="10"/>
  <c r="BW148" i="10"/>
  <c r="BR148" i="10"/>
  <c r="AZ148" i="10"/>
  <c r="AO148" i="10"/>
  <c r="AI148" i="10"/>
  <c r="CA148" i="10"/>
  <c r="BV148" i="10"/>
  <c r="BP148" i="10"/>
  <c r="BK148" i="10"/>
  <c r="BD148" i="10"/>
  <c r="AY148" i="10"/>
  <c r="AS148" i="10"/>
  <c r="AN148" i="10"/>
  <c r="AH148" i="10"/>
  <c r="BX148" i="10" s="1"/>
  <c r="BZ148" i="10"/>
  <c r="AR148" i="10"/>
  <c r="AW148" i="10"/>
  <c r="AM148" i="10"/>
  <c r="BO148" i="10"/>
  <c r="BL148" i="10"/>
  <c r="AF148" i="10"/>
  <c r="AE147" i="10"/>
  <c r="B149" i="10"/>
  <c r="CD149" i="10" s="1"/>
  <c r="BJ149" i="10" l="1"/>
  <c r="BT148" i="10"/>
  <c r="CB149" i="10"/>
  <c r="BS149" i="10"/>
  <c r="BO149" i="10"/>
  <c r="BD149" i="10"/>
  <c r="AZ149" i="10"/>
  <c r="AT149" i="10"/>
  <c r="AP149" i="10"/>
  <c r="BU149" i="10" s="1"/>
  <c r="AL149" i="10"/>
  <c r="BZ149" i="10"/>
  <c r="BN149" i="10"/>
  <c r="BH149" i="10"/>
  <c r="BA149" i="10"/>
  <c r="AS149" i="10"/>
  <c r="AN149" i="10"/>
  <c r="AH149" i="10"/>
  <c r="BX149" i="10" s="1"/>
  <c r="BY149" i="10"/>
  <c r="BR149" i="10"/>
  <c r="AY149" i="10"/>
  <c r="AR149" i="10"/>
  <c r="AM149" i="10"/>
  <c r="CC149" i="10"/>
  <c r="BW149" i="10"/>
  <c r="BQ149" i="10"/>
  <c r="BK149" i="10"/>
  <c r="AX149" i="10"/>
  <c r="AQ149" i="10"/>
  <c r="AK149" i="10"/>
  <c r="BB149" i="10"/>
  <c r="CA149" i="10"/>
  <c r="BI149" i="10"/>
  <c r="AW149" i="10"/>
  <c r="AI149" i="10"/>
  <c r="BV149" i="10"/>
  <c r="AO149" i="10"/>
  <c r="BP149" i="10"/>
  <c r="BL149" i="10"/>
  <c r="AV148" i="10"/>
  <c r="AU148" i="10"/>
  <c r="BG148" i="10" s="1"/>
  <c r="AF149" i="10"/>
  <c r="AE148" i="10"/>
  <c r="B150" i="10"/>
  <c r="CD150" i="10" s="1"/>
  <c r="BJ150" i="10" l="1"/>
  <c r="BT149" i="10"/>
  <c r="AU149" i="10"/>
  <c r="BG149" i="10" s="1"/>
  <c r="AV149" i="10"/>
  <c r="CB150" i="10"/>
  <c r="BP150" i="10"/>
  <c r="BK150" i="10"/>
  <c r="BA150" i="10"/>
  <c r="AW150" i="10"/>
  <c r="AS150" i="10"/>
  <c r="AO150" i="10"/>
  <c r="AK150" i="10"/>
  <c r="CC150" i="10"/>
  <c r="BW150" i="10"/>
  <c r="BR150" i="10"/>
  <c r="AZ150" i="10"/>
  <c r="AP150" i="10"/>
  <c r="BU150" i="10" s="1"/>
  <c r="AI150" i="10"/>
  <c r="CA150" i="10"/>
  <c r="BV150" i="10"/>
  <c r="BQ150" i="10"/>
  <c r="BD150" i="10"/>
  <c r="AY150" i="10"/>
  <c r="AT150" i="10"/>
  <c r="AN150" i="10"/>
  <c r="AH150" i="10"/>
  <c r="BT150" i="10" s="1"/>
  <c r="BZ150" i="10"/>
  <c r="BO150" i="10"/>
  <c r="BI150" i="10"/>
  <c r="AX150" i="10"/>
  <c r="AR150" i="10"/>
  <c r="AM150" i="10"/>
  <c r="BN150" i="10"/>
  <c r="AL150" i="10"/>
  <c r="BB150" i="10"/>
  <c r="AQ150" i="10"/>
  <c r="BY150" i="10"/>
  <c r="BH150" i="10"/>
  <c r="BS150" i="10"/>
  <c r="BL150" i="10"/>
  <c r="AF150" i="10"/>
  <c r="AE149" i="10"/>
  <c r="B151" i="10"/>
  <c r="CD151" i="10" s="1"/>
  <c r="BJ151" i="10" l="1"/>
  <c r="AU150" i="10"/>
  <c r="BG150" i="10" s="1"/>
  <c r="BX150" i="10"/>
  <c r="CA151" i="10"/>
  <c r="BV151" i="10"/>
  <c r="BQ151" i="10"/>
  <c r="BH151" i="10"/>
  <c r="BB151" i="10"/>
  <c r="AX151" i="10"/>
  <c r="AS151" i="10"/>
  <c r="AO151" i="10"/>
  <c r="AK151" i="10"/>
  <c r="CC151" i="10"/>
  <c r="BW151" i="10"/>
  <c r="BP151" i="10"/>
  <c r="BK151" i="10"/>
  <c r="BD151" i="10"/>
  <c r="AY151" i="10"/>
  <c r="AR151" i="10"/>
  <c r="AM151" i="10"/>
  <c r="CB151" i="10"/>
  <c r="BO151" i="10"/>
  <c r="AW151" i="10"/>
  <c r="AQ151" i="10"/>
  <c r="AL151" i="10"/>
  <c r="BZ151" i="10"/>
  <c r="BS151" i="10"/>
  <c r="BN151" i="10"/>
  <c r="BI151" i="10"/>
  <c r="BA151" i="10"/>
  <c r="AP151" i="10"/>
  <c r="AV151" i="10" s="1"/>
  <c r="AI151" i="10"/>
  <c r="AN151" i="10"/>
  <c r="AT151" i="10"/>
  <c r="BY151" i="10"/>
  <c r="AH151" i="10"/>
  <c r="BR151" i="10"/>
  <c r="AZ151" i="10"/>
  <c r="BL151" i="10"/>
  <c r="AV150" i="10"/>
  <c r="AF151" i="10"/>
  <c r="AE150" i="10"/>
  <c r="B152" i="10"/>
  <c r="CD152" i="10" s="1"/>
  <c r="BJ152" i="10" l="1"/>
  <c r="CB152" i="10"/>
  <c r="BW152" i="10"/>
  <c r="BQ152" i="10"/>
  <c r="BH152" i="10"/>
  <c r="BB152" i="10"/>
  <c r="AX152" i="10"/>
  <c r="AR152" i="10"/>
  <c r="AN152" i="10"/>
  <c r="AI152" i="10"/>
  <c r="BZ152" i="10"/>
  <c r="BR152" i="10"/>
  <c r="AZ152" i="10"/>
  <c r="AS152" i="10"/>
  <c r="AM152" i="10"/>
  <c r="BY152" i="10"/>
  <c r="BP152" i="10"/>
  <c r="BK152" i="10"/>
  <c r="BD152" i="10"/>
  <c r="AY152" i="10"/>
  <c r="AQ152" i="10"/>
  <c r="AL152" i="10"/>
  <c r="CC152" i="10"/>
  <c r="BV152" i="10"/>
  <c r="BO152" i="10"/>
  <c r="AW152" i="10"/>
  <c r="AP152" i="10"/>
  <c r="BU152" i="10" s="1"/>
  <c r="AK152" i="10"/>
  <c r="BN152" i="10"/>
  <c r="AH152" i="10"/>
  <c r="BX152" i="10" s="1"/>
  <c r="BS152" i="10"/>
  <c r="BA152" i="10"/>
  <c r="CA152" i="10"/>
  <c r="BI152" i="10"/>
  <c r="AT152" i="10"/>
  <c r="AO152" i="10"/>
  <c r="BL152" i="10"/>
  <c r="BX151" i="10"/>
  <c r="BT151" i="10"/>
  <c r="AU151" i="10"/>
  <c r="BG151" i="10" s="1"/>
  <c r="BU151" i="10"/>
  <c r="AF152" i="10"/>
  <c r="AE151" i="10"/>
  <c r="B153" i="10"/>
  <c r="CD153" i="10" s="1"/>
  <c r="BJ153" i="10" l="1"/>
  <c r="AU152" i="10"/>
  <c r="BG152" i="10" s="1"/>
  <c r="BT152" i="10"/>
  <c r="AV152" i="10"/>
  <c r="CB153" i="10"/>
  <c r="BW153" i="10"/>
  <c r="BQ153" i="10"/>
  <c r="BH153" i="10"/>
  <c r="BB153" i="10"/>
  <c r="AX153" i="10"/>
  <c r="AS153" i="10"/>
  <c r="AO153" i="10"/>
  <c r="AK153" i="10"/>
  <c r="CA153" i="10"/>
  <c r="BS153" i="10"/>
  <c r="BN153" i="10"/>
  <c r="BI153" i="10"/>
  <c r="BA153" i="10"/>
  <c r="AP153" i="10"/>
  <c r="BU153" i="10" s="1"/>
  <c r="AI153" i="10"/>
  <c r="BZ153" i="10"/>
  <c r="BR153" i="10"/>
  <c r="AZ153" i="10"/>
  <c r="AT153" i="10"/>
  <c r="AN153" i="10"/>
  <c r="AH153" i="10"/>
  <c r="BX153" i="10" s="1"/>
  <c r="BY153" i="10"/>
  <c r="BP153" i="10"/>
  <c r="BK153" i="10"/>
  <c r="BD153" i="10"/>
  <c r="AY153" i="10"/>
  <c r="AR153" i="10"/>
  <c r="AM153" i="10"/>
  <c r="CC153" i="10"/>
  <c r="AQ153" i="10"/>
  <c r="BV153" i="10"/>
  <c r="AL153" i="10"/>
  <c r="AW153" i="10"/>
  <c r="BO153" i="10"/>
  <c r="BL153" i="10"/>
  <c r="AF153" i="10"/>
  <c r="AE152" i="10"/>
  <c r="B154" i="10"/>
  <c r="CD154" i="10" s="1"/>
  <c r="BJ154" i="10" l="1"/>
  <c r="CB154" i="10"/>
  <c r="BP154" i="10"/>
  <c r="BK154" i="10"/>
  <c r="BA154" i="10"/>
  <c r="AW154" i="10"/>
  <c r="AS154" i="10"/>
  <c r="AO154" i="10"/>
  <c r="AK154" i="10"/>
  <c r="BY154" i="10"/>
  <c r="BS154" i="10"/>
  <c r="BN154" i="10"/>
  <c r="BH154" i="10"/>
  <c r="BB154" i="10"/>
  <c r="AQ154" i="10"/>
  <c r="AL154" i="10"/>
  <c r="CC154" i="10"/>
  <c r="BW154" i="10"/>
  <c r="BR154" i="10"/>
  <c r="AZ154" i="10"/>
  <c r="AP154" i="10"/>
  <c r="BU154" i="10" s="1"/>
  <c r="AI154" i="10"/>
  <c r="CA154" i="10"/>
  <c r="BV154" i="10"/>
  <c r="BQ154" i="10"/>
  <c r="BD154" i="10"/>
  <c r="AY154" i="10"/>
  <c r="AT154" i="10"/>
  <c r="AN154" i="10"/>
  <c r="AH154" i="10"/>
  <c r="BT154" i="10" s="1"/>
  <c r="BO154" i="10"/>
  <c r="AX154" i="10"/>
  <c r="BZ154" i="10"/>
  <c r="BI154" i="10"/>
  <c r="AR154" i="10"/>
  <c r="AM154" i="10"/>
  <c r="BL154" i="10"/>
  <c r="AV153" i="10"/>
  <c r="BT153" i="10"/>
  <c r="AU153" i="10"/>
  <c r="BG153" i="10" s="1"/>
  <c r="AF154" i="10"/>
  <c r="AE153" i="10"/>
  <c r="B155" i="10"/>
  <c r="CD155" i="10" s="1"/>
  <c r="BJ155" i="10" l="1"/>
  <c r="AV154" i="10"/>
  <c r="AU154" i="10"/>
  <c r="BG154" i="10" s="1"/>
  <c r="CA155" i="10"/>
  <c r="BV155" i="10"/>
  <c r="BQ155" i="10"/>
  <c r="BH155" i="10"/>
  <c r="BB155" i="10"/>
  <c r="AX155" i="10"/>
  <c r="AS155" i="10"/>
  <c r="AO155" i="10"/>
  <c r="AK155" i="10"/>
  <c r="BY155" i="10"/>
  <c r="BR155" i="10"/>
  <c r="AZ155" i="10"/>
  <c r="AT155" i="10"/>
  <c r="AN155" i="10"/>
  <c r="AH155" i="10"/>
  <c r="BT155" i="10" s="1"/>
  <c r="CC155" i="10"/>
  <c r="BW155" i="10"/>
  <c r="BP155" i="10"/>
  <c r="BK155" i="10"/>
  <c r="BD155" i="10"/>
  <c r="AY155" i="10"/>
  <c r="AR155" i="10"/>
  <c r="AM155" i="10"/>
  <c r="CB155" i="10"/>
  <c r="BO155" i="10"/>
  <c r="AW155" i="10"/>
  <c r="AQ155" i="10"/>
  <c r="AL155" i="10"/>
  <c r="BS155" i="10"/>
  <c r="AP155" i="10"/>
  <c r="AV155" i="10" s="1"/>
  <c r="BN155" i="10"/>
  <c r="AI155" i="10"/>
  <c r="BZ155" i="10"/>
  <c r="BA155" i="10"/>
  <c r="BI155" i="10"/>
  <c r="BL155" i="10"/>
  <c r="BX154" i="10"/>
  <c r="AF155" i="10"/>
  <c r="AE154" i="10"/>
  <c r="B156" i="10"/>
  <c r="CD156" i="10" s="1"/>
  <c r="BJ156" i="10" l="1"/>
  <c r="CB156" i="10"/>
  <c r="BW156" i="10"/>
  <c r="BQ156" i="10"/>
  <c r="BH156" i="10"/>
  <c r="BB156" i="10"/>
  <c r="AX156" i="10"/>
  <c r="AR156" i="10"/>
  <c r="AN156" i="10"/>
  <c r="AI156" i="10"/>
  <c r="CA156" i="10"/>
  <c r="BS156" i="10"/>
  <c r="BN156" i="10"/>
  <c r="BI156" i="10"/>
  <c r="BA156" i="10"/>
  <c r="AT156" i="10"/>
  <c r="AO156" i="10"/>
  <c r="AH156" i="10"/>
  <c r="BT156" i="10" s="1"/>
  <c r="BZ156" i="10"/>
  <c r="BR156" i="10"/>
  <c r="AZ156" i="10"/>
  <c r="AS156" i="10"/>
  <c r="AM156" i="10"/>
  <c r="BY156" i="10"/>
  <c r="BP156" i="10"/>
  <c r="BK156" i="10"/>
  <c r="BD156" i="10"/>
  <c r="AY156" i="10"/>
  <c r="AQ156" i="10"/>
  <c r="AL156" i="10"/>
  <c r="AW156" i="10"/>
  <c r="BO156" i="10"/>
  <c r="CC156" i="10"/>
  <c r="AP156" i="10"/>
  <c r="BU156" i="10" s="1"/>
  <c r="BV156" i="10"/>
  <c r="AK156" i="10"/>
  <c r="BL156" i="10"/>
  <c r="AU155" i="10"/>
  <c r="BG155" i="10" s="1"/>
  <c r="BU155" i="10"/>
  <c r="BX155" i="10"/>
  <c r="AF156" i="10"/>
  <c r="AE155" i="10"/>
  <c r="B157" i="10"/>
  <c r="CD157" i="10" s="1"/>
  <c r="BJ157" i="10" l="1"/>
  <c r="BX156" i="10"/>
  <c r="AU156" i="10"/>
  <c r="BG156" i="10" s="1"/>
  <c r="AV156" i="10"/>
  <c r="CA157" i="10"/>
  <c r="BW157" i="10"/>
  <c r="BR157" i="10"/>
  <c r="BN157" i="10"/>
  <c r="BI157" i="10"/>
  <c r="AY157" i="10"/>
  <c r="AS157" i="10"/>
  <c r="AO157" i="10"/>
  <c r="AK157" i="10"/>
  <c r="CB157" i="10"/>
  <c r="BV157" i="10"/>
  <c r="BP157" i="10"/>
  <c r="AX157" i="10"/>
  <c r="AQ157" i="10"/>
  <c r="AL157" i="10"/>
  <c r="BZ157" i="10"/>
  <c r="BO157" i="10"/>
  <c r="BH157" i="10"/>
  <c r="BB157" i="10"/>
  <c r="AW157" i="10"/>
  <c r="AP157" i="10"/>
  <c r="BU157" i="10" s="1"/>
  <c r="AI157" i="10"/>
  <c r="BY157" i="10"/>
  <c r="BS157" i="10"/>
  <c r="BA157" i="10"/>
  <c r="AT157" i="10"/>
  <c r="AN157" i="10"/>
  <c r="AH157" i="10"/>
  <c r="BT157" i="10" s="1"/>
  <c r="BQ157" i="10"/>
  <c r="BD157" i="10"/>
  <c r="AM157" i="10"/>
  <c r="AR157" i="10"/>
  <c r="CC157" i="10"/>
  <c r="BK157" i="10"/>
  <c r="AZ157" i="10"/>
  <c r="BL157" i="10"/>
  <c r="AF157" i="10"/>
  <c r="AE156" i="10"/>
  <c r="B158" i="10"/>
  <c r="CD158" i="10" s="1"/>
  <c r="BJ158" i="10" l="1"/>
  <c r="BX157" i="10"/>
  <c r="AV157" i="10"/>
  <c r="AU157" i="10"/>
  <c r="BG157" i="10" s="1"/>
  <c r="CA158" i="10"/>
  <c r="BW158" i="10"/>
  <c r="BS158" i="10"/>
  <c r="BO158" i="10"/>
  <c r="BD158" i="10"/>
  <c r="AZ158" i="10"/>
  <c r="AR158" i="10"/>
  <c r="AN158" i="10"/>
  <c r="AI158" i="10"/>
  <c r="BZ158" i="10"/>
  <c r="BP158" i="10"/>
  <c r="BI158" i="10"/>
  <c r="BB158" i="10"/>
  <c r="AW158" i="10"/>
  <c r="AQ158" i="10"/>
  <c r="AL158" i="10"/>
  <c r="BY158" i="10"/>
  <c r="BN158" i="10"/>
  <c r="BH158" i="10"/>
  <c r="BA158" i="10"/>
  <c r="AP158" i="10"/>
  <c r="BU158" i="10" s="1"/>
  <c r="AK158" i="10"/>
  <c r="CC158" i="10"/>
  <c r="BR158" i="10"/>
  <c r="AY158" i="10"/>
  <c r="AT158" i="10"/>
  <c r="AO158" i="10"/>
  <c r="AH158" i="10"/>
  <c r="BT158" i="10" s="1"/>
  <c r="CB158" i="10"/>
  <c r="BK158" i="10"/>
  <c r="AS158" i="10"/>
  <c r="AX158" i="10"/>
  <c r="BV158" i="10"/>
  <c r="AM158" i="10"/>
  <c r="BQ158" i="10"/>
  <c r="BL158" i="10"/>
  <c r="AF158" i="10"/>
  <c r="AE157" i="10"/>
  <c r="B159" i="10"/>
  <c r="CD159" i="10" s="1"/>
  <c r="BJ159" i="10" l="1"/>
  <c r="AU158" i="10"/>
  <c r="BG158" i="10" s="1"/>
  <c r="BX158" i="10"/>
  <c r="AV158" i="10"/>
  <c r="BZ159" i="10"/>
  <c r="BP159" i="10"/>
  <c r="BK159" i="10"/>
  <c r="BA159" i="10"/>
  <c r="AW159" i="10"/>
  <c r="AR159" i="10"/>
  <c r="AN159" i="10"/>
  <c r="AI159" i="10"/>
  <c r="CA159" i="10"/>
  <c r="BS159" i="10"/>
  <c r="BN159" i="10"/>
  <c r="BH159" i="10"/>
  <c r="BB159" i="10"/>
  <c r="AP159" i="10"/>
  <c r="AK159" i="10"/>
  <c r="BY159" i="10"/>
  <c r="BR159" i="10"/>
  <c r="AZ159" i="10"/>
  <c r="AT159" i="10"/>
  <c r="AO159" i="10"/>
  <c r="AH159" i="10"/>
  <c r="BT159" i="10" s="1"/>
  <c r="CC159" i="10"/>
  <c r="BW159" i="10"/>
  <c r="BQ159" i="10"/>
  <c r="BD159" i="10"/>
  <c r="AY159" i="10"/>
  <c r="AS159" i="10"/>
  <c r="AM159" i="10"/>
  <c r="BO159" i="10"/>
  <c r="AX159" i="10"/>
  <c r="CB159" i="10"/>
  <c r="BI159" i="10"/>
  <c r="AQ159" i="10"/>
  <c r="BV159" i="10"/>
  <c r="AL159" i="10"/>
  <c r="BL159" i="10"/>
  <c r="AF159" i="10"/>
  <c r="AE158" i="10"/>
  <c r="B160" i="10"/>
  <c r="CD160" i="10" s="1"/>
  <c r="BJ160" i="10" l="1"/>
  <c r="CA160" i="10"/>
  <c r="BV160" i="10"/>
  <c r="BP160" i="10"/>
  <c r="BK160" i="10"/>
  <c r="BA160" i="10"/>
  <c r="AW160" i="10"/>
  <c r="AQ160" i="10"/>
  <c r="AM160" i="10"/>
  <c r="AH160" i="10"/>
  <c r="BT160" i="10" s="1"/>
  <c r="CC160" i="10"/>
  <c r="BW160" i="10"/>
  <c r="BO160" i="10"/>
  <c r="BI160" i="10"/>
  <c r="AX160" i="10"/>
  <c r="AP160" i="10"/>
  <c r="BU160" i="10" s="1"/>
  <c r="AK160" i="10"/>
  <c r="CB160" i="10"/>
  <c r="BS160" i="10"/>
  <c r="BN160" i="10"/>
  <c r="BH160" i="10"/>
  <c r="BB160" i="10"/>
  <c r="AT160" i="10"/>
  <c r="AO160" i="10"/>
  <c r="AI160" i="10"/>
  <c r="BZ160" i="10"/>
  <c r="BR160" i="10"/>
  <c r="AZ160" i="10"/>
  <c r="AS160" i="10"/>
  <c r="AN160" i="10"/>
  <c r="BY160" i="10"/>
  <c r="AR160" i="10"/>
  <c r="AY160" i="10"/>
  <c r="BQ160" i="10"/>
  <c r="BD160" i="10"/>
  <c r="AL160" i="10"/>
  <c r="BL160" i="10"/>
  <c r="AU159" i="10"/>
  <c r="BG159" i="10" s="1"/>
  <c r="BU159" i="10"/>
  <c r="BX159" i="10"/>
  <c r="AV159" i="10"/>
  <c r="AF160" i="10"/>
  <c r="AE159" i="10"/>
  <c r="B161" i="10"/>
  <c r="CD161" i="10" s="1"/>
  <c r="BJ161" i="10" l="1"/>
  <c r="BX160" i="10"/>
  <c r="AU160" i="10"/>
  <c r="BG160" i="10" s="1"/>
  <c r="CA161" i="10"/>
  <c r="BV161" i="10"/>
  <c r="BP161" i="10"/>
  <c r="BK161" i="10"/>
  <c r="BA161" i="10"/>
  <c r="AW161" i="10"/>
  <c r="AR161" i="10"/>
  <c r="AN161" i="10"/>
  <c r="AI161" i="10"/>
  <c r="BY161" i="10"/>
  <c r="BQ161" i="10"/>
  <c r="BD161" i="10"/>
  <c r="AY161" i="10"/>
  <c r="AS161" i="10"/>
  <c r="AM161" i="10"/>
  <c r="CC161" i="10"/>
  <c r="BW161" i="10"/>
  <c r="BO161" i="10"/>
  <c r="BI161" i="10"/>
  <c r="AX161" i="10"/>
  <c r="AQ161" i="10"/>
  <c r="AL161" i="10"/>
  <c r="CB161" i="10"/>
  <c r="BS161" i="10"/>
  <c r="BN161" i="10"/>
  <c r="BH161" i="10"/>
  <c r="BB161" i="10"/>
  <c r="AP161" i="10"/>
  <c r="BU161" i="10" s="1"/>
  <c r="AK161" i="10"/>
  <c r="BR161" i="10"/>
  <c r="AZ161" i="10"/>
  <c r="BZ161" i="10"/>
  <c r="AT161" i="10"/>
  <c r="AO161" i="10"/>
  <c r="AH161" i="10"/>
  <c r="BX161" i="10" s="1"/>
  <c r="BL161" i="10"/>
  <c r="AV160" i="10"/>
  <c r="AF161" i="10"/>
  <c r="AE160" i="10"/>
  <c r="B162" i="10"/>
  <c r="CD162" i="10" s="1"/>
  <c r="BJ162" i="10" l="1"/>
  <c r="CA162" i="10"/>
  <c r="BW162" i="10"/>
  <c r="BS162" i="10"/>
  <c r="BO162" i="10"/>
  <c r="BD162" i="10"/>
  <c r="AZ162" i="10"/>
  <c r="AR162" i="10"/>
  <c r="AN162" i="10"/>
  <c r="AI162" i="10"/>
  <c r="CC162" i="10"/>
  <c r="BR162" i="10"/>
  <c r="AY162" i="10"/>
  <c r="AT162" i="10"/>
  <c r="AO162" i="10"/>
  <c r="AH162" i="10"/>
  <c r="BT162" i="10" s="1"/>
  <c r="CB162" i="10"/>
  <c r="BV162" i="10"/>
  <c r="BQ162" i="10"/>
  <c r="BK162" i="10"/>
  <c r="AX162" i="10"/>
  <c r="AS162" i="10"/>
  <c r="AM162" i="10"/>
  <c r="BZ162" i="10"/>
  <c r="BP162" i="10"/>
  <c r="BI162" i="10"/>
  <c r="BB162" i="10"/>
  <c r="AW162" i="10"/>
  <c r="AQ162" i="10"/>
  <c r="AL162" i="10"/>
  <c r="BY162" i="10"/>
  <c r="BH162" i="10"/>
  <c r="AP162" i="10"/>
  <c r="BU162" i="10" s="1"/>
  <c r="BA162" i="10"/>
  <c r="BN162" i="10"/>
  <c r="AK162" i="10"/>
  <c r="BL162" i="10"/>
  <c r="AV161" i="10"/>
  <c r="BT161" i="10"/>
  <c r="AU161" i="10"/>
  <c r="BG161" i="10" s="1"/>
  <c r="AF162" i="10"/>
  <c r="AE161" i="10"/>
  <c r="B163" i="10"/>
  <c r="CD163" i="10" s="1"/>
  <c r="BJ163" i="10" l="1"/>
  <c r="AU162" i="10"/>
  <c r="BG162" i="10" s="1"/>
  <c r="AV162" i="10"/>
  <c r="CA163" i="10"/>
  <c r="BW163" i="10"/>
  <c r="BS163" i="10"/>
  <c r="BO163" i="10"/>
  <c r="BD163" i="10"/>
  <c r="AZ163" i="10"/>
  <c r="AR163" i="10"/>
  <c r="AN163" i="10"/>
  <c r="AI163" i="10"/>
  <c r="CB163" i="10"/>
  <c r="BV163" i="10"/>
  <c r="BQ163" i="10"/>
  <c r="BK163" i="10"/>
  <c r="AX163" i="10"/>
  <c r="AS163" i="10"/>
  <c r="AM163" i="10"/>
  <c r="BZ163" i="10"/>
  <c r="BP163" i="10"/>
  <c r="BI163" i="10"/>
  <c r="BB163" i="10"/>
  <c r="AW163" i="10"/>
  <c r="AQ163" i="10"/>
  <c r="AL163" i="10"/>
  <c r="BY163" i="10"/>
  <c r="BN163" i="10"/>
  <c r="BH163" i="10"/>
  <c r="BA163" i="10"/>
  <c r="AP163" i="10"/>
  <c r="BU163" i="10" s="1"/>
  <c r="AK163" i="10"/>
  <c r="BR163" i="10"/>
  <c r="AY163" i="10"/>
  <c r="AT163" i="10"/>
  <c r="CC163" i="10"/>
  <c r="AO163" i="10"/>
  <c r="AH163" i="10"/>
  <c r="BT163" i="10" s="1"/>
  <c r="BL163" i="10"/>
  <c r="BX162" i="10"/>
  <c r="AF163" i="10"/>
  <c r="AE162" i="10"/>
  <c r="B164" i="10"/>
  <c r="CD164" i="10" s="1"/>
  <c r="BJ164" i="10" l="1"/>
  <c r="BX163" i="10"/>
  <c r="AU163" i="10"/>
  <c r="BG163" i="10" s="1"/>
  <c r="AV163" i="10"/>
  <c r="CB164" i="10"/>
  <c r="BW164" i="10"/>
  <c r="BQ164" i="10"/>
  <c r="BH164" i="10"/>
  <c r="BB164" i="10"/>
  <c r="AX164" i="10"/>
  <c r="AR164" i="10"/>
  <c r="AN164" i="10"/>
  <c r="AI164" i="10"/>
  <c r="BY164" i="10"/>
  <c r="BP164" i="10"/>
  <c r="BK164" i="10"/>
  <c r="BD164" i="10"/>
  <c r="AY164" i="10"/>
  <c r="AQ164" i="10"/>
  <c r="AL164" i="10"/>
  <c r="CC164" i="10"/>
  <c r="BV164" i="10"/>
  <c r="BO164" i="10"/>
  <c r="AW164" i="10"/>
  <c r="AP164" i="10"/>
  <c r="BU164" i="10" s="1"/>
  <c r="AK164" i="10"/>
  <c r="CA164" i="10"/>
  <c r="BS164" i="10"/>
  <c r="BN164" i="10"/>
  <c r="BI164" i="10"/>
  <c r="BA164" i="10"/>
  <c r="AT164" i="10"/>
  <c r="AO164" i="10"/>
  <c r="AH164" i="10"/>
  <c r="BX164" i="10" s="1"/>
  <c r="AS164" i="10"/>
  <c r="AM164" i="10"/>
  <c r="AZ164" i="10"/>
  <c r="BZ164" i="10"/>
  <c r="BR164" i="10"/>
  <c r="BL164" i="10"/>
  <c r="AF164" i="10"/>
  <c r="AE163" i="10"/>
  <c r="B165" i="10"/>
  <c r="CD165" i="10" s="1"/>
  <c r="BJ165" i="10" l="1"/>
  <c r="BT164" i="10"/>
  <c r="AV164" i="10"/>
  <c r="AU164" i="10"/>
  <c r="BG164" i="10" s="1"/>
  <c r="CB165" i="10"/>
  <c r="BW165" i="10"/>
  <c r="BQ165" i="10"/>
  <c r="BH165" i="10"/>
  <c r="BB165" i="10"/>
  <c r="AX165" i="10"/>
  <c r="AS165" i="10"/>
  <c r="AO165" i="10"/>
  <c r="AK165" i="10"/>
  <c r="BZ165" i="10"/>
  <c r="BR165" i="10"/>
  <c r="AZ165" i="10"/>
  <c r="AT165" i="10"/>
  <c r="AN165" i="10"/>
  <c r="AH165" i="10"/>
  <c r="BX165" i="10" s="1"/>
  <c r="BY165" i="10"/>
  <c r="BP165" i="10"/>
  <c r="BK165" i="10"/>
  <c r="BD165" i="10"/>
  <c r="AY165" i="10"/>
  <c r="AR165" i="10"/>
  <c r="AM165" i="10"/>
  <c r="CC165" i="10"/>
  <c r="BV165" i="10"/>
  <c r="BO165" i="10"/>
  <c r="AW165" i="10"/>
  <c r="AQ165" i="10"/>
  <c r="AL165" i="10"/>
  <c r="BS165" i="10"/>
  <c r="AP165" i="10"/>
  <c r="BU165" i="10" s="1"/>
  <c r="BN165" i="10"/>
  <c r="AI165" i="10"/>
  <c r="CA165" i="10"/>
  <c r="BA165" i="10"/>
  <c r="BI165" i="10"/>
  <c r="BL165" i="10"/>
  <c r="AF165" i="10"/>
  <c r="AE164" i="10"/>
  <c r="B166" i="10"/>
  <c r="CD166" i="10" s="1"/>
  <c r="BJ166" i="10" l="1"/>
  <c r="AU165" i="10"/>
  <c r="BG165" i="10" s="1"/>
  <c r="AV165" i="10"/>
  <c r="CB166" i="10"/>
  <c r="BP166" i="10"/>
  <c r="BK166" i="10"/>
  <c r="BA166" i="10"/>
  <c r="AW166" i="10"/>
  <c r="AS166" i="10"/>
  <c r="AO166" i="10"/>
  <c r="AK166" i="10"/>
  <c r="CC166" i="10"/>
  <c r="BW166" i="10"/>
  <c r="BR166" i="10"/>
  <c r="AZ166" i="10"/>
  <c r="AP166" i="10"/>
  <c r="BU166" i="10" s="1"/>
  <c r="AI166" i="10"/>
  <c r="CA166" i="10"/>
  <c r="BV166" i="10"/>
  <c r="BQ166" i="10"/>
  <c r="BD166" i="10"/>
  <c r="AY166" i="10"/>
  <c r="AT166" i="10"/>
  <c r="AN166" i="10"/>
  <c r="AH166" i="10"/>
  <c r="BT166" i="10" s="1"/>
  <c r="BZ166" i="10"/>
  <c r="BO166" i="10"/>
  <c r="BI166" i="10"/>
  <c r="AX166" i="10"/>
  <c r="AR166" i="10"/>
  <c r="AM166" i="10"/>
  <c r="BY166" i="10"/>
  <c r="BH166" i="10"/>
  <c r="BS166" i="10"/>
  <c r="AQ166" i="10"/>
  <c r="BN166" i="10"/>
  <c r="AL166" i="10"/>
  <c r="BB166" i="10"/>
  <c r="BL166" i="10"/>
  <c r="BT165" i="10"/>
  <c r="AF166" i="10"/>
  <c r="AE165" i="10"/>
  <c r="B167" i="10"/>
  <c r="CD167" i="10" s="1"/>
  <c r="BJ167" i="10" l="1"/>
  <c r="AV166" i="10"/>
  <c r="AU166" i="10"/>
  <c r="BG166" i="10" s="1"/>
  <c r="BX166" i="10"/>
  <c r="BZ167" i="10"/>
  <c r="BP167" i="10"/>
  <c r="BK167" i="10"/>
  <c r="BA167" i="10"/>
  <c r="AW167" i="10"/>
  <c r="AS167" i="10"/>
  <c r="AO167" i="10"/>
  <c r="AK167" i="10"/>
  <c r="CB167" i="10"/>
  <c r="BV167" i="10"/>
  <c r="BO167" i="10"/>
  <c r="BI167" i="10"/>
  <c r="AX167" i="10"/>
  <c r="AR167" i="10"/>
  <c r="AM167" i="10"/>
  <c r="CA167" i="10"/>
  <c r="BS167" i="10"/>
  <c r="BN167" i="10"/>
  <c r="BH167" i="10"/>
  <c r="BB167" i="10"/>
  <c r="AQ167" i="10"/>
  <c r="AL167" i="10"/>
  <c r="BY167" i="10"/>
  <c r="BR167" i="10"/>
  <c r="AZ167" i="10"/>
  <c r="AP167" i="10"/>
  <c r="BU167" i="10" s="1"/>
  <c r="AI167" i="10"/>
  <c r="CC167" i="10"/>
  <c r="AY167" i="10"/>
  <c r="AH167" i="10"/>
  <c r="BT167" i="10" s="1"/>
  <c r="BW167" i="10"/>
  <c r="AT167" i="10"/>
  <c r="BQ167" i="10"/>
  <c r="BD167" i="10"/>
  <c r="AN167" i="10"/>
  <c r="BL167" i="10"/>
  <c r="AF167" i="10"/>
  <c r="AE166" i="10"/>
  <c r="B168" i="10"/>
  <c r="CD168" i="10" s="1"/>
  <c r="BJ168" i="10" l="1"/>
  <c r="AU167" i="10"/>
  <c r="BG167" i="10" s="1"/>
  <c r="CA168" i="10"/>
  <c r="BV168" i="10"/>
  <c r="BP168" i="10"/>
  <c r="BK168" i="10"/>
  <c r="BA168" i="10"/>
  <c r="AW168" i="10"/>
  <c r="AQ168" i="10"/>
  <c r="AM168" i="10"/>
  <c r="AH168" i="10"/>
  <c r="BX168" i="10" s="1"/>
  <c r="BZ168" i="10"/>
  <c r="BS168" i="10"/>
  <c r="BO168" i="10"/>
  <c r="BD168" i="10"/>
  <c r="AZ168" i="10"/>
  <c r="AT168" i="10"/>
  <c r="CC168" i="10"/>
  <c r="BR168" i="10"/>
  <c r="BI168" i="10"/>
  <c r="BB168" i="10"/>
  <c r="AR168" i="10"/>
  <c r="AL168" i="10"/>
  <c r="CB168" i="10"/>
  <c r="BQ168" i="10"/>
  <c r="BH168" i="10"/>
  <c r="AY168" i="10"/>
  <c r="AP168" i="10"/>
  <c r="BU168" i="10" s="1"/>
  <c r="AK168" i="10"/>
  <c r="BY168" i="10"/>
  <c r="BN168" i="10"/>
  <c r="AX168" i="10"/>
  <c r="AO168" i="10"/>
  <c r="AI168" i="10"/>
  <c r="BW168" i="10"/>
  <c r="AS168" i="10"/>
  <c r="AN168" i="10"/>
  <c r="BL168" i="10"/>
  <c r="BX167" i="10"/>
  <c r="AV167" i="10"/>
  <c r="AF168" i="10"/>
  <c r="AE167" i="10"/>
  <c r="B169" i="10"/>
  <c r="CD169" i="10" s="1"/>
  <c r="BJ169" i="10" l="1"/>
  <c r="BT168" i="10"/>
  <c r="AU168" i="10"/>
  <c r="BG168" i="10" s="1"/>
  <c r="CA169" i="10"/>
  <c r="BV169" i="10"/>
  <c r="BP169" i="10"/>
  <c r="BK169" i="10"/>
  <c r="BA169" i="10"/>
  <c r="AW169" i="10"/>
  <c r="AR169" i="10"/>
  <c r="AN169" i="10"/>
  <c r="AI169" i="10"/>
  <c r="BZ169" i="10"/>
  <c r="BS169" i="10"/>
  <c r="BO169" i="10"/>
  <c r="BD169" i="10"/>
  <c r="AZ169" i="10"/>
  <c r="AQ169" i="10"/>
  <c r="AM169" i="10"/>
  <c r="AH169" i="10"/>
  <c r="CB169" i="10"/>
  <c r="BQ169" i="10"/>
  <c r="BH169" i="10"/>
  <c r="AY169" i="10"/>
  <c r="AP169" i="10"/>
  <c r="BU169" i="10" s="1"/>
  <c r="BY169" i="10"/>
  <c r="BN169" i="10"/>
  <c r="AX169" i="10"/>
  <c r="AO169" i="10"/>
  <c r="BW169" i="10"/>
  <c r="AT169" i="10"/>
  <c r="AL169" i="10"/>
  <c r="BI169" i="10"/>
  <c r="AS169" i="10"/>
  <c r="CC169" i="10"/>
  <c r="AK169" i="10"/>
  <c r="BB169" i="10"/>
  <c r="BR169" i="10"/>
  <c r="BL169" i="10"/>
  <c r="AV168" i="10"/>
  <c r="AF169" i="10"/>
  <c r="AE168" i="10"/>
  <c r="B170" i="10"/>
  <c r="CD170" i="10" s="1"/>
  <c r="BJ170" i="10" l="1"/>
  <c r="AV169" i="10"/>
  <c r="BT169" i="10"/>
  <c r="BX169" i="10"/>
  <c r="CA170" i="10"/>
  <c r="BW170" i="10"/>
  <c r="BS170" i="10"/>
  <c r="BO170" i="10"/>
  <c r="BD170" i="10"/>
  <c r="AZ170" i="10"/>
  <c r="AR170" i="10"/>
  <c r="AN170" i="10"/>
  <c r="AI170" i="10"/>
  <c r="BZ170" i="10"/>
  <c r="BV170" i="10"/>
  <c r="BR170" i="10"/>
  <c r="BN170" i="10"/>
  <c r="BI170" i="10"/>
  <c r="AY170" i="10"/>
  <c r="AQ170" i="10"/>
  <c r="AM170" i="10"/>
  <c r="AH170" i="10"/>
  <c r="CC170" i="10"/>
  <c r="AW170" i="10"/>
  <c r="AO170" i="10"/>
  <c r="CB170" i="10"/>
  <c r="BK170" i="10"/>
  <c r="BB170" i="10"/>
  <c r="AT170" i="10"/>
  <c r="AL170" i="10"/>
  <c r="BY170" i="10"/>
  <c r="BQ170" i="10"/>
  <c r="BH170" i="10"/>
  <c r="BA170" i="10"/>
  <c r="AS170" i="10"/>
  <c r="AK170" i="10"/>
  <c r="AP170" i="10"/>
  <c r="BU170" i="10" s="1"/>
  <c r="BP170" i="10"/>
  <c r="AX170" i="10"/>
  <c r="BL170" i="10"/>
  <c r="AU169" i="10"/>
  <c r="BG169" i="10" s="1"/>
  <c r="AF170" i="10"/>
  <c r="AE169" i="10"/>
  <c r="B171" i="10"/>
  <c r="CD171" i="10" s="1"/>
  <c r="BJ171" i="10" l="1"/>
  <c r="CC171" i="10"/>
  <c r="BY171" i="10"/>
  <c r="BS171" i="10"/>
  <c r="BO171" i="10"/>
  <c r="BD171" i="10"/>
  <c r="AZ171" i="10"/>
  <c r="AR171" i="10"/>
  <c r="AN171" i="10"/>
  <c r="AI171" i="10"/>
  <c r="CB171" i="10"/>
  <c r="BW171" i="10"/>
  <c r="BR171" i="10"/>
  <c r="BN171" i="10"/>
  <c r="BI171" i="10"/>
  <c r="AY171" i="10"/>
  <c r="AQ171" i="10"/>
  <c r="AM171" i="10"/>
  <c r="AH171" i="10"/>
  <c r="BT171" i="10" s="1"/>
  <c r="BZ171" i="10"/>
  <c r="BP171" i="10"/>
  <c r="AX171" i="10"/>
  <c r="AP171" i="10"/>
  <c r="BU171" i="10" s="1"/>
  <c r="BV171" i="10"/>
  <c r="AW171" i="10"/>
  <c r="AO171" i="10"/>
  <c r="BK171" i="10"/>
  <c r="BB171" i="10"/>
  <c r="AT171" i="10"/>
  <c r="AL171" i="10"/>
  <c r="BH171" i="10"/>
  <c r="AS171" i="10"/>
  <c r="CA171" i="10"/>
  <c r="AK171" i="10"/>
  <c r="BQ171" i="10"/>
  <c r="BA171" i="10"/>
  <c r="BL171" i="10"/>
  <c r="AV170" i="10"/>
  <c r="BX170" i="10"/>
  <c r="BT170" i="10"/>
  <c r="AU170" i="10"/>
  <c r="BG170" i="10" s="1"/>
  <c r="AF171" i="10"/>
  <c r="AE170" i="10"/>
  <c r="B172" i="10"/>
  <c r="CD172" i="10" s="1"/>
  <c r="BJ172" i="10" l="1"/>
  <c r="AV171" i="10"/>
  <c r="BZ172" i="10"/>
  <c r="BS172" i="10"/>
  <c r="BO172" i="10"/>
  <c r="BD172" i="10"/>
  <c r="AZ172" i="10"/>
  <c r="AT172" i="10"/>
  <c r="AP172" i="10"/>
  <c r="BU172" i="10" s="1"/>
  <c r="AL172" i="10"/>
  <c r="CC172" i="10"/>
  <c r="BY172" i="10"/>
  <c r="BR172" i="10"/>
  <c r="BN172" i="10"/>
  <c r="BI172" i="10"/>
  <c r="AY172" i="10"/>
  <c r="AS172" i="10"/>
  <c r="AO172" i="10"/>
  <c r="AK172" i="10"/>
  <c r="BW172" i="10"/>
  <c r="AW172" i="10"/>
  <c r="AM172" i="10"/>
  <c r="BV172" i="10"/>
  <c r="BK172" i="10"/>
  <c r="BB172" i="10"/>
  <c r="AR172" i="10"/>
  <c r="AI172" i="10"/>
  <c r="CB172" i="10"/>
  <c r="BQ172" i="10"/>
  <c r="BH172" i="10"/>
  <c r="BA172" i="10"/>
  <c r="AQ172" i="10"/>
  <c r="AH172" i="10"/>
  <c r="BX172" i="10" s="1"/>
  <c r="AN172" i="10"/>
  <c r="BP172" i="10"/>
  <c r="CA172" i="10"/>
  <c r="AX172" i="10"/>
  <c r="BL172" i="10"/>
  <c r="AU171" i="10"/>
  <c r="BG171" i="10" s="1"/>
  <c r="BX171" i="10"/>
  <c r="AF172" i="10"/>
  <c r="AE171" i="10"/>
  <c r="B173" i="10"/>
  <c r="CD173" i="10" s="1"/>
  <c r="BJ173" i="10" l="1"/>
  <c r="BT172" i="10"/>
  <c r="CB173" i="10"/>
  <c r="BR173" i="10"/>
  <c r="BN173" i="10"/>
  <c r="BI173" i="10"/>
  <c r="BD173" i="10"/>
  <c r="AZ173" i="10"/>
  <c r="AQ173" i="10"/>
  <c r="AM173" i="10"/>
  <c r="AH173" i="10"/>
  <c r="CA173" i="10"/>
  <c r="BW173" i="10"/>
  <c r="BQ173" i="10"/>
  <c r="BH173" i="10"/>
  <c r="AY173" i="10"/>
  <c r="AT173" i="10"/>
  <c r="AP173" i="10"/>
  <c r="BU173" i="10" s="1"/>
  <c r="AL173" i="10"/>
  <c r="BZ173" i="10"/>
  <c r="BP173" i="10"/>
  <c r="BB173" i="10"/>
  <c r="AS173" i="10"/>
  <c r="AK173" i="10"/>
  <c r="BY173" i="10"/>
  <c r="BO173" i="10"/>
  <c r="BA173" i="10"/>
  <c r="AR173" i="10"/>
  <c r="AI173" i="10"/>
  <c r="BV173" i="10"/>
  <c r="AX173" i="10"/>
  <c r="AO173" i="10"/>
  <c r="AW173" i="10"/>
  <c r="BS173" i="10"/>
  <c r="BK173" i="10"/>
  <c r="AN173" i="10"/>
  <c r="CC173" i="10"/>
  <c r="BL173" i="10"/>
  <c r="AU172" i="10"/>
  <c r="BG172" i="10" s="1"/>
  <c r="AV172" i="10"/>
  <c r="AF173" i="10"/>
  <c r="AE172" i="10"/>
  <c r="B174" i="10"/>
  <c r="CD174" i="10" s="1"/>
  <c r="BJ174" i="10" l="1"/>
  <c r="AV173" i="10"/>
  <c r="AU173" i="10"/>
  <c r="BG173" i="10" s="1"/>
  <c r="CB174" i="10"/>
  <c r="BP174" i="10"/>
  <c r="BK174" i="10"/>
  <c r="BA174" i="10"/>
  <c r="AW174" i="10"/>
  <c r="AS174" i="10"/>
  <c r="AO174" i="10"/>
  <c r="AK174" i="10"/>
  <c r="CA174" i="10"/>
  <c r="BW174" i="10"/>
  <c r="BS174" i="10"/>
  <c r="BO174" i="10"/>
  <c r="BD174" i="10"/>
  <c r="AZ174" i="10"/>
  <c r="AR174" i="10"/>
  <c r="AN174" i="10"/>
  <c r="AI174" i="10"/>
  <c r="BZ174" i="10"/>
  <c r="BV174" i="10"/>
  <c r="BR174" i="10"/>
  <c r="BN174" i="10"/>
  <c r="BI174" i="10"/>
  <c r="AY174" i="10"/>
  <c r="AM174" i="10"/>
  <c r="BQ174" i="10"/>
  <c r="AT174" i="10"/>
  <c r="AL174" i="10"/>
  <c r="CC174" i="10"/>
  <c r="BB174" i="10"/>
  <c r="AQ174" i="10"/>
  <c r="AH174" i="10"/>
  <c r="AX174" i="10"/>
  <c r="BH174" i="10"/>
  <c r="AP174" i="10"/>
  <c r="BU174" i="10" s="1"/>
  <c r="BY174" i="10"/>
  <c r="BL174" i="10"/>
  <c r="BT173" i="10"/>
  <c r="BX173" i="10"/>
  <c r="AF174" i="10"/>
  <c r="AE173" i="10"/>
  <c r="B175" i="10"/>
  <c r="CD175" i="10" s="1"/>
  <c r="BJ175" i="10" l="1"/>
  <c r="AU174" i="10"/>
  <c r="BG174" i="10" s="1"/>
  <c r="BT174" i="10"/>
  <c r="AV174" i="10"/>
  <c r="BX174" i="10"/>
  <c r="BZ175" i="10"/>
  <c r="BP175" i="10"/>
  <c r="BK175" i="10"/>
  <c r="BA175" i="10"/>
  <c r="AW175" i="10"/>
  <c r="AS175" i="10"/>
  <c r="AO175" i="10"/>
  <c r="AK175" i="10"/>
  <c r="CC175" i="10"/>
  <c r="BY175" i="10"/>
  <c r="BS175" i="10"/>
  <c r="BO175" i="10"/>
  <c r="BD175" i="10"/>
  <c r="AZ175" i="10"/>
  <c r="AR175" i="10"/>
  <c r="AN175" i="10"/>
  <c r="AI175" i="10"/>
  <c r="CB175" i="10"/>
  <c r="BW175" i="10"/>
  <c r="BR175" i="10"/>
  <c r="BN175" i="10"/>
  <c r="BI175" i="10"/>
  <c r="AY175" i="10"/>
  <c r="AQ175" i="10"/>
  <c r="AM175" i="10"/>
  <c r="AH175" i="10"/>
  <c r="BQ175" i="10"/>
  <c r="AP175" i="10"/>
  <c r="BU175" i="10" s="1"/>
  <c r="BB175" i="10"/>
  <c r="AL175" i="10"/>
  <c r="CA175" i="10"/>
  <c r="BH175" i="10"/>
  <c r="AX175" i="10"/>
  <c r="BV175" i="10"/>
  <c r="AT175" i="10"/>
  <c r="BL175" i="10"/>
  <c r="AF175" i="10"/>
  <c r="AE174" i="10"/>
  <c r="B176" i="10"/>
  <c r="CD176" i="10" s="1"/>
  <c r="BJ176" i="10" l="1"/>
  <c r="AV175" i="10"/>
  <c r="BX175" i="10"/>
  <c r="CA176" i="10"/>
  <c r="BV176" i="10"/>
  <c r="BP176" i="10"/>
  <c r="BK176" i="10"/>
  <c r="BA176" i="10"/>
  <c r="AW176" i="10"/>
  <c r="AQ176" i="10"/>
  <c r="AM176" i="10"/>
  <c r="AH176" i="10"/>
  <c r="BT176" i="10" s="1"/>
  <c r="BZ176" i="10"/>
  <c r="BS176" i="10"/>
  <c r="BO176" i="10"/>
  <c r="BD176" i="10"/>
  <c r="AZ176" i="10"/>
  <c r="AT176" i="10"/>
  <c r="AP176" i="10"/>
  <c r="BU176" i="10" s="1"/>
  <c r="AL176" i="10"/>
  <c r="CC176" i="10"/>
  <c r="BY176" i="10"/>
  <c r="BR176" i="10"/>
  <c r="BN176" i="10"/>
  <c r="BI176" i="10"/>
  <c r="AY176" i="10"/>
  <c r="AS176" i="10"/>
  <c r="AO176" i="10"/>
  <c r="AK176" i="10"/>
  <c r="BQ176" i="10"/>
  <c r="AN176" i="10"/>
  <c r="BB176" i="10"/>
  <c r="AI176" i="10"/>
  <c r="CB176" i="10"/>
  <c r="BH176" i="10"/>
  <c r="AX176" i="10"/>
  <c r="BW176" i="10"/>
  <c r="AR176" i="10"/>
  <c r="BL176" i="10"/>
  <c r="BT175" i="10"/>
  <c r="AU175" i="10"/>
  <c r="BG175" i="10" s="1"/>
  <c r="AF176" i="10"/>
  <c r="AE175" i="10"/>
  <c r="B177" i="10"/>
  <c r="CD177" i="10" s="1"/>
  <c r="BJ177" i="10" l="1"/>
  <c r="BX176" i="10"/>
  <c r="AU176" i="10"/>
  <c r="BG176" i="10" s="1"/>
  <c r="BZ177" i="10"/>
  <c r="BV177" i="10"/>
  <c r="BQ177" i="10"/>
  <c r="BH177" i="10"/>
  <c r="BB177" i="10"/>
  <c r="AX177" i="10"/>
  <c r="AR177" i="10"/>
  <c r="AN177" i="10"/>
  <c r="AI177" i="10"/>
  <c r="CC177" i="10"/>
  <c r="BY177" i="10"/>
  <c r="BP177" i="10"/>
  <c r="BK177" i="10"/>
  <c r="BA177" i="10"/>
  <c r="AW177" i="10"/>
  <c r="AQ177" i="10"/>
  <c r="AM177" i="10"/>
  <c r="AH177" i="10"/>
  <c r="BT177" i="10" s="1"/>
  <c r="CB177" i="10"/>
  <c r="BS177" i="10"/>
  <c r="BO177" i="10"/>
  <c r="BD177" i="10"/>
  <c r="AZ177" i="10"/>
  <c r="AT177" i="10"/>
  <c r="AP177" i="10"/>
  <c r="BU177" i="10" s="1"/>
  <c r="AL177" i="10"/>
  <c r="BR177" i="10"/>
  <c r="AO177" i="10"/>
  <c r="BN177" i="10"/>
  <c r="AK177" i="10"/>
  <c r="CA177" i="10"/>
  <c r="AY177" i="10"/>
  <c r="AS177" i="10"/>
  <c r="BI177" i="10"/>
  <c r="BW177" i="10"/>
  <c r="BL177" i="10"/>
  <c r="AV176" i="10"/>
  <c r="AF177" i="10"/>
  <c r="AE176" i="10"/>
  <c r="B178" i="10"/>
  <c r="CD178" i="10" s="1"/>
  <c r="BJ178" i="10" l="1"/>
  <c r="AU177" i="10"/>
  <c r="BG177" i="10" s="1"/>
  <c r="AV177" i="10"/>
  <c r="BX177" i="10"/>
  <c r="BZ178" i="10"/>
  <c r="BV178" i="10"/>
  <c r="BR178" i="10"/>
  <c r="BN178" i="10"/>
  <c r="BI178" i="10"/>
  <c r="AY178" i="10"/>
  <c r="AQ178" i="10"/>
  <c r="AM178" i="10"/>
  <c r="AH178" i="10"/>
  <c r="BX178" i="10" s="1"/>
  <c r="CC178" i="10"/>
  <c r="BY178" i="10"/>
  <c r="BQ178" i="10"/>
  <c r="BH178" i="10"/>
  <c r="BB178" i="10"/>
  <c r="AX178" i="10"/>
  <c r="AT178" i="10"/>
  <c r="AP178" i="10"/>
  <c r="BU178" i="10" s="1"/>
  <c r="AL178" i="10"/>
  <c r="CB178" i="10"/>
  <c r="BP178" i="10"/>
  <c r="BK178" i="10"/>
  <c r="BA178" i="10"/>
  <c r="AW178" i="10"/>
  <c r="AS178" i="10"/>
  <c r="AO178" i="10"/>
  <c r="AK178" i="10"/>
  <c r="CA178" i="10"/>
  <c r="AN178" i="10"/>
  <c r="BW178" i="10"/>
  <c r="AZ178" i="10"/>
  <c r="AI178" i="10"/>
  <c r="BS178" i="10"/>
  <c r="BD178" i="10"/>
  <c r="BO178" i="10"/>
  <c r="AR178" i="10"/>
  <c r="BL178" i="10"/>
  <c r="AF178" i="10"/>
  <c r="AE177" i="10"/>
  <c r="B179" i="10"/>
  <c r="CD179" i="10" s="1"/>
  <c r="BJ179" i="10" l="1"/>
  <c r="BT178" i="10"/>
  <c r="AV178" i="10"/>
  <c r="AU178" i="10"/>
  <c r="BG178" i="10" s="1"/>
  <c r="CB179" i="10"/>
  <c r="BW179" i="10"/>
  <c r="BR179" i="10"/>
  <c r="BN179" i="10"/>
  <c r="BI179" i="10"/>
  <c r="AY179" i="10"/>
  <c r="AQ179" i="10"/>
  <c r="AM179" i="10"/>
  <c r="AH179" i="10"/>
  <c r="CA179" i="10"/>
  <c r="BV179" i="10"/>
  <c r="BQ179" i="10"/>
  <c r="BH179" i="10"/>
  <c r="BB179" i="10"/>
  <c r="AX179" i="10"/>
  <c r="AT179" i="10"/>
  <c r="AP179" i="10"/>
  <c r="BU179" i="10" s="1"/>
  <c r="AL179" i="10"/>
  <c r="BZ179" i="10"/>
  <c r="BP179" i="10"/>
  <c r="BK179" i="10"/>
  <c r="BA179" i="10"/>
  <c r="AW179" i="10"/>
  <c r="AS179" i="10"/>
  <c r="AO179" i="10"/>
  <c r="AK179" i="10"/>
  <c r="BS179" i="10"/>
  <c r="BO179" i="10"/>
  <c r="BD179" i="10"/>
  <c r="AR179" i="10"/>
  <c r="CC179" i="10"/>
  <c r="AN179" i="10"/>
  <c r="AI179" i="10"/>
  <c r="BY179" i="10"/>
  <c r="AZ179" i="10"/>
  <c r="BL179" i="10"/>
  <c r="AF179" i="10"/>
  <c r="AE178" i="10"/>
  <c r="B180" i="10"/>
  <c r="CD180" i="10" s="1"/>
  <c r="BJ180" i="10" l="1"/>
  <c r="AV179" i="10"/>
  <c r="BX179" i="10"/>
  <c r="CC180" i="10"/>
  <c r="BY180" i="10"/>
  <c r="BR180" i="10"/>
  <c r="BN180" i="10"/>
  <c r="BI180" i="10"/>
  <c r="AY180" i="10"/>
  <c r="AS180" i="10"/>
  <c r="AO180" i="10"/>
  <c r="AK180" i="10"/>
  <c r="CB180" i="10"/>
  <c r="BW180" i="10"/>
  <c r="BQ180" i="10"/>
  <c r="BH180" i="10"/>
  <c r="BB180" i="10"/>
  <c r="AX180" i="10"/>
  <c r="AR180" i="10"/>
  <c r="AN180" i="10"/>
  <c r="AI180" i="10"/>
  <c r="CA180" i="10"/>
  <c r="BV180" i="10"/>
  <c r="BP180" i="10"/>
  <c r="BK180" i="10"/>
  <c r="BA180" i="10"/>
  <c r="AW180" i="10"/>
  <c r="AQ180" i="10"/>
  <c r="AM180" i="10"/>
  <c r="AH180" i="10"/>
  <c r="BT180" i="10" s="1"/>
  <c r="BO180" i="10"/>
  <c r="BD180" i="10"/>
  <c r="AP180" i="10"/>
  <c r="BU180" i="10" s="1"/>
  <c r="AL180" i="10"/>
  <c r="BZ180" i="10"/>
  <c r="AZ180" i="10"/>
  <c r="BS180" i="10"/>
  <c r="AT180" i="10"/>
  <c r="BL180" i="10"/>
  <c r="BT179" i="10"/>
  <c r="AU179" i="10"/>
  <c r="BG179" i="10" s="1"/>
  <c r="AF180" i="10"/>
  <c r="AE179" i="10"/>
  <c r="B181" i="10"/>
  <c r="CD181" i="10" s="1"/>
  <c r="BJ181" i="10" l="1"/>
  <c r="BX180" i="10"/>
  <c r="AV180" i="10"/>
  <c r="AU180" i="10"/>
  <c r="BG180" i="10" s="1"/>
  <c r="CC181" i="10"/>
  <c r="BY181" i="10"/>
  <c r="BR181" i="10"/>
  <c r="BN181" i="10"/>
  <c r="BI181" i="10"/>
  <c r="AY181" i="10"/>
  <c r="AT181" i="10"/>
  <c r="AP181" i="10"/>
  <c r="BU181" i="10" s="1"/>
  <c r="AL181" i="10"/>
  <c r="CB181" i="10"/>
  <c r="BW181" i="10"/>
  <c r="BQ181" i="10"/>
  <c r="BH181" i="10"/>
  <c r="BB181" i="10"/>
  <c r="AX181" i="10"/>
  <c r="AS181" i="10"/>
  <c r="AO181" i="10"/>
  <c r="AK181" i="10"/>
  <c r="CA181" i="10"/>
  <c r="BV181" i="10"/>
  <c r="BP181" i="10"/>
  <c r="BK181" i="10"/>
  <c r="BA181" i="10"/>
  <c r="AW181" i="10"/>
  <c r="AR181" i="10"/>
  <c r="AN181" i="10"/>
  <c r="AI181" i="10"/>
  <c r="AM181" i="10"/>
  <c r="BZ181" i="10"/>
  <c r="AZ181" i="10"/>
  <c r="AH181" i="10"/>
  <c r="BS181" i="10"/>
  <c r="AQ181" i="10"/>
  <c r="BD181" i="10"/>
  <c r="BO181" i="10"/>
  <c r="BL181" i="10"/>
  <c r="AF181" i="10"/>
  <c r="AE180" i="10"/>
  <c r="B182" i="10"/>
  <c r="CD182" i="10" s="1"/>
  <c r="BJ182" i="10" l="1"/>
  <c r="BT181" i="10"/>
  <c r="CC182" i="10"/>
  <c r="BY182" i="10"/>
  <c r="BQ182" i="10"/>
  <c r="BH182" i="10"/>
  <c r="BB182" i="10"/>
  <c r="AX182" i="10"/>
  <c r="AT182" i="10"/>
  <c r="AP182" i="10"/>
  <c r="BU182" i="10" s="1"/>
  <c r="AL182" i="10"/>
  <c r="CB182" i="10"/>
  <c r="BP182" i="10"/>
  <c r="BK182" i="10"/>
  <c r="BA182" i="10"/>
  <c r="AW182" i="10"/>
  <c r="AS182" i="10"/>
  <c r="AO182" i="10"/>
  <c r="AK182" i="10"/>
  <c r="CA182" i="10"/>
  <c r="BW182" i="10"/>
  <c r="BS182" i="10"/>
  <c r="BO182" i="10"/>
  <c r="BD182" i="10"/>
  <c r="AZ182" i="10"/>
  <c r="AR182" i="10"/>
  <c r="AN182" i="10"/>
  <c r="AI182" i="10"/>
  <c r="BZ182" i="10"/>
  <c r="AY182" i="10"/>
  <c r="AH182" i="10"/>
  <c r="BT182" i="10" s="1"/>
  <c r="BV182" i="10"/>
  <c r="BI182" i="10"/>
  <c r="BR182" i="10"/>
  <c r="AQ182" i="10"/>
  <c r="BN182" i="10"/>
  <c r="AM182" i="10"/>
  <c r="BL182" i="10"/>
  <c r="AV181" i="10"/>
  <c r="BX181" i="10"/>
  <c r="AU181" i="10"/>
  <c r="BG181" i="10" s="1"/>
  <c r="AF182" i="10"/>
  <c r="AE181" i="10"/>
  <c r="B183" i="10"/>
  <c r="CD183" i="10" s="1"/>
  <c r="BJ183" i="10" l="1"/>
  <c r="AU182" i="10"/>
  <c r="BG182" i="10" s="1"/>
  <c r="AV182" i="10"/>
  <c r="CB183" i="10"/>
  <c r="BW183" i="10"/>
  <c r="BR183" i="10"/>
  <c r="BN183" i="10"/>
  <c r="BI183" i="10"/>
  <c r="AY183" i="10"/>
  <c r="AT183" i="10"/>
  <c r="AP183" i="10"/>
  <c r="AV183" i="10" s="1"/>
  <c r="AL183" i="10"/>
  <c r="CA183" i="10"/>
  <c r="BV183" i="10"/>
  <c r="BQ183" i="10"/>
  <c r="BH183" i="10"/>
  <c r="BB183" i="10"/>
  <c r="AX183" i="10"/>
  <c r="AS183" i="10"/>
  <c r="AO183" i="10"/>
  <c r="AK183" i="10"/>
  <c r="BZ183" i="10"/>
  <c r="BP183" i="10"/>
  <c r="BK183" i="10"/>
  <c r="BA183" i="10"/>
  <c r="AW183" i="10"/>
  <c r="AR183" i="10"/>
  <c r="AN183" i="10"/>
  <c r="AI183" i="10"/>
  <c r="BS183" i="10"/>
  <c r="BO183" i="10"/>
  <c r="BD183" i="10"/>
  <c r="AQ183" i="10"/>
  <c r="CC183" i="10"/>
  <c r="AM183" i="10"/>
  <c r="AZ183" i="10"/>
  <c r="AH183" i="10"/>
  <c r="BT183" i="10" s="1"/>
  <c r="BY183" i="10"/>
  <c r="BL183" i="10"/>
  <c r="BX182" i="10"/>
  <c r="AF183" i="10"/>
  <c r="AE182" i="10"/>
  <c r="B184" i="10"/>
  <c r="CD184" i="10" s="1"/>
  <c r="BJ184" i="10" l="1"/>
  <c r="CC184" i="10"/>
  <c r="BY184" i="10"/>
  <c r="BR184" i="10"/>
  <c r="BN184" i="10"/>
  <c r="BI184" i="10"/>
  <c r="AY184" i="10"/>
  <c r="AS184" i="10"/>
  <c r="AO184" i="10"/>
  <c r="AK184" i="10"/>
  <c r="CB184" i="10"/>
  <c r="BW184" i="10"/>
  <c r="BQ184" i="10"/>
  <c r="BH184" i="10"/>
  <c r="BB184" i="10"/>
  <c r="AX184" i="10"/>
  <c r="AR184" i="10"/>
  <c r="AN184" i="10"/>
  <c r="AI184" i="10"/>
  <c r="CA184" i="10"/>
  <c r="BV184" i="10"/>
  <c r="BP184" i="10"/>
  <c r="BK184" i="10"/>
  <c r="BA184" i="10"/>
  <c r="AW184" i="10"/>
  <c r="AQ184" i="10"/>
  <c r="AM184" i="10"/>
  <c r="AH184" i="10"/>
  <c r="BX184" i="10" s="1"/>
  <c r="BO184" i="10"/>
  <c r="BD184" i="10"/>
  <c r="AP184" i="10"/>
  <c r="BU184" i="10" s="1"/>
  <c r="AL184" i="10"/>
  <c r="BZ184" i="10"/>
  <c r="AZ184" i="10"/>
  <c r="BS184" i="10"/>
  <c r="AT184" i="10"/>
  <c r="BL184" i="10"/>
  <c r="BX183" i="10"/>
  <c r="AU183" i="10"/>
  <c r="BG183" i="10" s="1"/>
  <c r="BU183" i="10"/>
  <c r="AF184" i="10"/>
  <c r="AE183" i="10"/>
  <c r="B185" i="10"/>
  <c r="CD185" i="10" s="1"/>
  <c r="BJ185" i="10" l="1"/>
  <c r="BT184" i="10"/>
  <c r="AU184" i="10"/>
  <c r="BG184" i="10" s="1"/>
  <c r="CA185" i="10"/>
  <c r="BW185" i="10"/>
  <c r="BQ185" i="10"/>
  <c r="BH185" i="10"/>
  <c r="AY185" i="10"/>
  <c r="AT185" i="10"/>
  <c r="AP185" i="10"/>
  <c r="BU185" i="10" s="1"/>
  <c r="AL185" i="10"/>
  <c r="BZ185" i="10"/>
  <c r="BV185" i="10"/>
  <c r="BP185" i="10"/>
  <c r="BK185" i="10"/>
  <c r="BB185" i="10"/>
  <c r="AX185" i="10"/>
  <c r="AS185" i="10"/>
  <c r="AO185" i="10"/>
  <c r="AK185" i="10"/>
  <c r="CC185" i="10"/>
  <c r="BY185" i="10"/>
  <c r="BS185" i="10"/>
  <c r="BO185" i="10"/>
  <c r="BA185" i="10"/>
  <c r="AW185" i="10"/>
  <c r="AR185" i="10"/>
  <c r="AN185" i="10"/>
  <c r="AI185" i="10"/>
  <c r="CB185" i="10"/>
  <c r="AM185" i="10"/>
  <c r="BI185" i="10"/>
  <c r="AZ185" i="10"/>
  <c r="AH185" i="10"/>
  <c r="BX185" i="10" s="1"/>
  <c r="BR185" i="10"/>
  <c r="BN185" i="10"/>
  <c r="AQ185" i="10"/>
  <c r="BD185" i="10"/>
  <c r="BL185" i="10"/>
  <c r="AV184" i="10"/>
  <c r="AF185" i="10"/>
  <c r="AE184" i="10"/>
  <c r="B186" i="10"/>
  <c r="CD186" i="10" s="1"/>
  <c r="BJ186" i="10" l="1"/>
  <c r="AV185" i="10"/>
  <c r="AU185" i="10"/>
  <c r="BG185" i="10" s="1"/>
  <c r="CA186" i="10"/>
  <c r="BW186" i="10"/>
  <c r="BS186" i="10"/>
  <c r="BO186" i="10"/>
  <c r="BD186" i="10"/>
  <c r="AZ186" i="10"/>
  <c r="AR186" i="10"/>
  <c r="AN186" i="10"/>
  <c r="AI186" i="10"/>
  <c r="BZ186" i="10"/>
  <c r="BV186" i="10"/>
  <c r="BR186" i="10"/>
  <c r="BN186" i="10"/>
  <c r="BI186" i="10"/>
  <c r="AY186" i="10"/>
  <c r="AQ186" i="10"/>
  <c r="AM186" i="10"/>
  <c r="AH186" i="10"/>
  <c r="BT186" i="10" s="1"/>
  <c r="CC186" i="10"/>
  <c r="BY186" i="10"/>
  <c r="BQ186" i="10"/>
  <c r="BH186" i="10"/>
  <c r="BB186" i="10"/>
  <c r="AX186" i="10"/>
  <c r="AT186" i="10"/>
  <c r="AP186" i="10"/>
  <c r="BU186" i="10" s="1"/>
  <c r="AL186" i="10"/>
  <c r="BK186" i="10"/>
  <c r="AW186" i="10"/>
  <c r="AS186" i="10"/>
  <c r="BP186" i="10"/>
  <c r="AO186" i="10"/>
  <c r="CB186" i="10"/>
  <c r="BA186" i="10"/>
  <c r="AK186" i="10"/>
  <c r="BL186" i="10"/>
  <c r="BT185" i="10"/>
  <c r="AF186" i="10"/>
  <c r="AE185" i="10"/>
  <c r="B187" i="10"/>
  <c r="CD187" i="10" s="1"/>
  <c r="BJ187" i="10" l="1"/>
  <c r="BX186" i="10"/>
  <c r="AV186" i="10"/>
  <c r="AU186" i="10"/>
  <c r="BG186" i="10" s="1"/>
  <c r="BZ187" i="10"/>
  <c r="BP187" i="10"/>
  <c r="BK187" i="10"/>
  <c r="BA187" i="10"/>
  <c r="AW187" i="10"/>
  <c r="AR187" i="10"/>
  <c r="AN187" i="10"/>
  <c r="AI187" i="10"/>
  <c r="CC187" i="10"/>
  <c r="BY187" i="10"/>
  <c r="BS187" i="10"/>
  <c r="BO187" i="10"/>
  <c r="BD187" i="10"/>
  <c r="AZ187" i="10"/>
  <c r="AQ187" i="10"/>
  <c r="AM187" i="10"/>
  <c r="AH187" i="10"/>
  <c r="BT187" i="10" s="1"/>
  <c r="CB187" i="10"/>
  <c r="BW187" i="10"/>
  <c r="BR187" i="10"/>
  <c r="BN187" i="10"/>
  <c r="BI187" i="10"/>
  <c r="AY187" i="10"/>
  <c r="AT187" i="10"/>
  <c r="AP187" i="10"/>
  <c r="AL187" i="10"/>
  <c r="BV187" i="10"/>
  <c r="AS187" i="10"/>
  <c r="BQ187" i="10"/>
  <c r="AO187" i="10"/>
  <c r="BB187" i="10"/>
  <c r="AK187" i="10"/>
  <c r="CA187" i="10"/>
  <c r="AX187" i="10"/>
  <c r="BH187" i="10"/>
  <c r="BL187" i="10"/>
  <c r="AF187" i="10"/>
  <c r="AE186" i="10"/>
  <c r="B188" i="10"/>
  <c r="CD188" i="10" s="1"/>
  <c r="BJ188" i="10" l="1"/>
  <c r="CA188" i="10"/>
  <c r="BV188" i="10"/>
  <c r="BP188" i="10"/>
  <c r="BK188" i="10"/>
  <c r="BA188" i="10"/>
  <c r="AW188" i="10"/>
  <c r="AQ188" i="10"/>
  <c r="AM188" i="10"/>
  <c r="AH188" i="10"/>
  <c r="BT188" i="10" s="1"/>
  <c r="BZ188" i="10"/>
  <c r="BS188" i="10"/>
  <c r="BO188" i="10"/>
  <c r="BD188" i="10"/>
  <c r="AZ188" i="10"/>
  <c r="AT188" i="10"/>
  <c r="AP188" i="10"/>
  <c r="BU188" i="10" s="1"/>
  <c r="AL188" i="10"/>
  <c r="CC188" i="10"/>
  <c r="BY188" i="10"/>
  <c r="BR188" i="10"/>
  <c r="BN188" i="10"/>
  <c r="BI188" i="10"/>
  <c r="AY188" i="10"/>
  <c r="AS188" i="10"/>
  <c r="AO188" i="10"/>
  <c r="AK188" i="10"/>
  <c r="BW188" i="10"/>
  <c r="AR188" i="10"/>
  <c r="BQ188" i="10"/>
  <c r="AN188" i="10"/>
  <c r="BB188" i="10"/>
  <c r="AI188" i="10"/>
  <c r="BH188" i="10"/>
  <c r="CB188" i="10"/>
  <c r="AX188" i="10"/>
  <c r="BL188" i="10"/>
  <c r="AU187" i="10"/>
  <c r="BG187" i="10" s="1"/>
  <c r="BU187" i="10"/>
  <c r="BX187" i="10"/>
  <c r="AV187" i="10"/>
  <c r="AF188" i="10"/>
  <c r="AE187" i="10"/>
  <c r="B189" i="10"/>
  <c r="CD189" i="10" s="1"/>
  <c r="BJ189" i="10" l="1"/>
  <c r="AU188" i="10"/>
  <c r="BG188" i="10" s="1"/>
  <c r="BX188" i="10"/>
  <c r="AV188" i="10"/>
  <c r="CA189" i="10"/>
  <c r="BV189" i="10"/>
  <c r="BP189" i="10"/>
  <c r="BK189" i="10"/>
  <c r="BA189" i="10"/>
  <c r="AW189" i="10"/>
  <c r="AR189" i="10"/>
  <c r="AN189" i="10"/>
  <c r="AI189" i="10"/>
  <c r="BZ189" i="10"/>
  <c r="BS189" i="10"/>
  <c r="BO189" i="10"/>
  <c r="BD189" i="10"/>
  <c r="AZ189" i="10"/>
  <c r="AQ189" i="10"/>
  <c r="AM189" i="10"/>
  <c r="AH189" i="10"/>
  <c r="BX189" i="10" s="1"/>
  <c r="CC189" i="10"/>
  <c r="BY189" i="10"/>
  <c r="BR189" i="10"/>
  <c r="BN189" i="10"/>
  <c r="BI189" i="10"/>
  <c r="AY189" i="10"/>
  <c r="AT189" i="10"/>
  <c r="AP189" i="10"/>
  <c r="BU189" i="10" s="1"/>
  <c r="AL189" i="10"/>
  <c r="BW189" i="10"/>
  <c r="AS189" i="10"/>
  <c r="BQ189" i="10"/>
  <c r="AO189" i="10"/>
  <c r="BB189" i="10"/>
  <c r="AK189" i="10"/>
  <c r="CB189" i="10"/>
  <c r="AX189" i="10"/>
  <c r="BH189" i="10"/>
  <c r="BL189" i="10"/>
  <c r="AF189" i="10"/>
  <c r="AE188" i="10"/>
  <c r="B190" i="10"/>
  <c r="CD190" i="10" s="1"/>
  <c r="BJ190" i="10" l="1"/>
  <c r="AV189" i="10"/>
  <c r="AU189" i="10"/>
  <c r="BG189" i="10" s="1"/>
  <c r="CA190" i="10"/>
  <c r="BW190" i="10"/>
  <c r="BS190" i="10"/>
  <c r="BO190" i="10"/>
  <c r="BD190" i="10"/>
  <c r="AZ190" i="10"/>
  <c r="AR190" i="10"/>
  <c r="AN190" i="10"/>
  <c r="AI190" i="10"/>
  <c r="BZ190" i="10"/>
  <c r="BV190" i="10"/>
  <c r="BR190" i="10"/>
  <c r="BN190" i="10"/>
  <c r="BI190" i="10"/>
  <c r="AY190" i="10"/>
  <c r="AQ190" i="10"/>
  <c r="AM190" i="10"/>
  <c r="AH190" i="10"/>
  <c r="BT190" i="10" s="1"/>
  <c r="CC190" i="10"/>
  <c r="BY190" i="10"/>
  <c r="BQ190" i="10"/>
  <c r="BH190" i="10"/>
  <c r="BB190" i="10"/>
  <c r="AX190" i="10"/>
  <c r="AT190" i="10"/>
  <c r="AP190" i="10"/>
  <c r="BU190" i="10" s="1"/>
  <c r="AL190" i="10"/>
  <c r="AS190" i="10"/>
  <c r="BP190" i="10"/>
  <c r="AO190" i="10"/>
  <c r="CB190" i="10"/>
  <c r="BA190" i="10"/>
  <c r="AK190" i="10"/>
  <c r="BK190" i="10"/>
  <c r="AW190" i="10"/>
  <c r="BL190" i="10"/>
  <c r="BT189" i="10"/>
  <c r="AF190" i="10"/>
  <c r="AE189" i="10"/>
  <c r="B191" i="10"/>
  <c r="CD191" i="10" s="1"/>
  <c r="BJ191" i="10" l="1"/>
  <c r="BX190" i="10"/>
  <c r="AV190" i="10"/>
  <c r="BZ191" i="10"/>
  <c r="BP191" i="10"/>
  <c r="BK191" i="10"/>
  <c r="BA191" i="10"/>
  <c r="AW191" i="10"/>
  <c r="AR191" i="10"/>
  <c r="AN191" i="10"/>
  <c r="AI191" i="10"/>
  <c r="CC191" i="10"/>
  <c r="BY191" i="10"/>
  <c r="BS191" i="10"/>
  <c r="BO191" i="10"/>
  <c r="BD191" i="10"/>
  <c r="AZ191" i="10"/>
  <c r="AQ191" i="10"/>
  <c r="AM191" i="10"/>
  <c r="AH191" i="10"/>
  <c r="BT191" i="10" s="1"/>
  <c r="CB191" i="10"/>
  <c r="BW191" i="10"/>
  <c r="BR191" i="10"/>
  <c r="BN191" i="10"/>
  <c r="BI191" i="10"/>
  <c r="AY191" i="10"/>
  <c r="AT191" i="10"/>
  <c r="AP191" i="10"/>
  <c r="AV191" i="10" s="1"/>
  <c r="AL191" i="10"/>
  <c r="BQ191" i="10"/>
  <c r="AO191" i="10"/>
  <c r="BB191" i="10"/>
  <c r="AK191" i="10"/>
  <c r="CA191" i="10"/>
  <c r="BH191" i="10"/>
  <c r="AX191" i="10"/>
  <c r="BV191" i="10"/>
  <c r="AS191" i="10"/>
  <c r="BL191" i="10"/>
  <c r="AU190" i="10"/>
  <c r="BG190" i="10" s="1"/>
  <c r="AF191" i="10"/>
  <c r="AE190" i="10"/>
  <c r="B192" i="10"/>
  <c r="CD192" i="10" s="1"/>
  <c r="BJ192" i="10" l="1"/>
  <c r="CA192" i="10"/>
  <c r="BV192" i="10"/>
  <c r="BP192" i="10"/>
  <c r="BK192" i="10"/>
  <c r="BA192" i="10"/>
  <c r="AW192" i="10"/>
  <c r="AQ192" i="10"/>
  <c r="AM192" i="10"/>
  <c r="AH192" i="10"/>
  <c r="BX192" i="10" s="1"/>
  <c r="BZ192" i="10"/>
  <c r="BS192" i="10"/>
  <c r="BO192" i="10"/>
  <c r="BD192" i="10"/>
  <c r="AZ192" i="10"/>
  <c r="AT192" i="10"/>
  <c r="AP192" i="10"/>
  <c r="BU192" i="10" s="1"/>
  <c r="AL192" i="10"/>
  <c r="CC192" i="10"/>
  <c r="BY192" i="10"/>
  <c r="BR192" i="10"/>
  <c r="BN192" i="10"/>
  <c r="BI192" i="10"/>
  <c r="AY192" i="10"/>
  <c r="AS192" i="10"/>
  <c r="AO192" i="10"/>
  <c r="AK192" i="10"/>
  <c r="BQ192" i="10"/>
  <c r="AN192" i="10"/>
  <c r="BB192" i="10"/>
  <c r="AI192" i="10"/>
  <c r="CB192" i="10"/>
  <c r="BH192" i="10"/>
  <c r="AX192" i="10"/>
  <c r="BW192" i="10"/>
  <c r="AR192" i="10"/>
  <c r="BL192" i="10"/>
  <c r="AU191" i="10"/>
  <c r="BG191" i="10" s="1"/>
  <c r="BU191" i="10"/>
  <c r="BX191" i="10"/>
  <c r="AF192" i="10"/>
  <c r="AE191" i="10"/>
  <c r="B193" i="10"/>
  <c r="CD193" i="10" s="1"/>
  <c r="BJ193" i="10" l="1"/>
  <c r="AU192" i="10"/>
  <c r="BG192" i="10" s="1"/>
  <c r="AV192" i="10"/>
  <c r="BT192" i="10"/>
  <c r="CC193" i="10"/>
  <c r="BY193" i="10"/>
  <c r="BS193" i="10"/>
  <c r="BO193" i="10"/>
  <c r="BA193" i="10"/>
  <c r="AW193" i="10"/>
  <c r="AR193" i="10"/>
  <c r="AN193" i="10"/>
  <c r="AI193" i="10"/>
  <c r="CB193" i="10"/>
  <c r="BR193" i="10"/>
  <c r="BN193" i="10"/>
  <c r="BI193" i="10"/>
  <c r="BD193" i="10"/>
  <c r="AZ193" i="10"/>
  <c r="AQ193" i="10"/>
  <c r="AM193" i="10"/>
  <c r="AH193" i="10"/>
  <c r="BX193" i="10" s="1"/>
  <c r="CA193" i="10"/>
  <c r="BW193" i="10"/>
  <c r="BQ193" i="10"/>
  <c r="BH193" i="10"/>
  <c r="AY193" i="10"/>
  <c r="AT193" i="10"/>
  <c r="AP193" i="10"/>
  <c r="BU193" i="10" s="1"/>
  <c r="AL193" i="10"/>
  <c r="AO193" i="10"/>
  <c r="BZ193" i="10"/>
  <c r="BK193" i="10"/>
  <c r="BB193" i="10"/>
  <c r="AK193" i="10"/>
  <c r="BV193" i="10"/>
  <c r="AX193" i="10"/>
  <c r="BP193" i="10"/>
  <c r="AS193" i="10"/>
  <c r="BL193" i="10"/>
  <c r="AF193" i="10"/>
  <c r="AE192" i="10"/>
  <c r="B194" i="10"/>
  <c r="CD194" i="10" s="1"/>
  <c r="BJ194" i="10" l="1"/>
  <c r="CC194" i="10"/>
  <c r="BY194" i="10"/>
  <c r="BQ194" i="10"/>
  <c r="BH194" i="10"/>
  <c r="BB194" i="10"/>
  <c r="AX194" i="10"/>
  <c r="AT194" i="10"/>
  <c r="AP194" i="10"/>
  <c r="BU194" i="10" s="1"/>
  <c r="AL194" i="10"/>
  <c r="CB194" i="10"/>
  <c r="BP194" i="10"/>
  <c r="BK194" i="10"/>
  <c r="BA194" i="10"/>
  <c r="AW194" i="10"/>
  <c r="AS194" i="10"/>
  <c r="AO194" i="10"/>
  <c r="AK194" i="10"/>
  <c r="CA194" i="10"/>
  <c r="BW194" i="10"/>
  <c r="BS194" i="10"/>
  <c r="BO194" i="10"/>
  <c r="BD194" i="10"/>
  <c r="AZ194" i="10"/>
  <c r="AR194" i="10"/>
  <c r="AN194" i="10"/>
  <c r="AI194" i="10"/>
  <c r="BZ194" i="10"/>
  <c r="AY194" i="10"/>
  <c r="AH194" i="10"/>
  <c r="BX194" i="10" s="1"/>
  <c r="BV194" i="10"/>
  <c r="BI194" i="10"/>
  <c r="BR194" i="10"/>
  <c r="AQ194" i="10"/>
  <c r="BN194" i="10"/>
  <c r="AM194" i="10"/>
  <c r="BL194" i="10"/>
  <c r="AV193" i="10"/>
  <c r="AU193" i="10"/>
  <c r="BG193" i="10" s="1"/>
  <c r="BT193" i="10"/>
  <c r="AF194" i="10"/>
  <c r="AE193" i="10"/>
  <c r="B195" i="10"/>
  <c r="CD195" i="10" s="1"/>
  <c r="BJ195" i="10" l="1"/>
  <c r="BT194" i="10"/>
  <c r="AU194" i="10"/>
  <c r="BG194" i="10" s="1"/>
  <c r="AV194" i="10"/>
  <c r="CB195" i="10"/>
  <c r="BW195" i="10"/>
  <c r="BR195" i="10"/>
  <c r="BN195" i="10"/>
  <c r="BI195" i="10"/>
  <c r="AY195" i="10"/>
  <c r="AT195" i="10"/>
  <c r="AP195" i="10"/>
  <c r="AV195" i="10" s="1"/>
  <c r="AL195" i="10"/>
  <c r="CA195" i="10"/>
  <c r="BV195" i="10"/>
  <c r="BQ195" i="10"/>
  <c r="BH195" i="10"/>
  <c r="BB195" i="10"/>
  <c r="AX195" i="10"/>
  <c r="AS195" i="10"/>
  <c r="AO195" i="10"/>
  <c r="AK195" i="10"/>
  <c r="BZ195" i="10"/>
  <c r="BP195" i="10"/>
  <c r="BK195" i="10"/>
  <c r="BA195" i="10"/>
  <c r="AW195" i="10"/>
  <c r="AR195" i="10"/>
  <c r="AN195" i="10"/>
  <c r="AI195" i="10"/>
  <c r="BS195" i="10"/>
  <c r="BO195" i="10"/>
  <c r="BD195" i="10"/>
  <c r="AQ195" i="10"/>
  <c r="CC195" i="10"/>
  <c r="AM195" i="10"/>
  <c r="AZ195" i="10"/>
  <c r="AH195" i="10"/>
  <c r="BT195" i="10" s="1"/>
  <c r="BY195" i="10"/>
  <c r="BL195" i="10"/>
  <c r="AF195" i="10"/>
  <c r="AE194" i="10"/>
  <c r="B196" i="10"/>
  <c r="CD196" i="10" s="1"/>
  <c r="BJ196" i="10" l="1"/>
  <c r="CC196" i="10"/>
  <c r="BY196" i="10"/>
  <c r="BR196" i="10"/>
  <c r="BN196" i="10"/>
  <c r="BI196" i="10"/>
  <c r="AY196" i="10"/>
  <c r="AS196" i="10"/>
  <c r="AO196" i="10"/>
  <c r="AK196" i="10"/>
  <c r="CB196" i="10"/>
  <c r="BW196" i="10"/>
  <c r="BQ196" i="10"/>
  <c r="BH196" i="10"/>
  <c r="BB196" i="10"/>
  <c r="AX196" i="10"/>
  <c r="AR196" i="10"/>
  <c r="AN196" i="10"/>
  <c r="AI196" i="10"/>
  <c r="CA196" i="10"/>
  <c r="BV196" i="10"/>
  <c r="BP196" i="10"/>
  <c r="BK196" i="10"/>
  <c r="BA196" i="10"/>
  <c r="AW196" i="10"/>
  <c r="AQ196" i="10"/>
  <c r="AM196" i="10"/>
  <c r="AH196" i="10"/>
  <c r="BT196" i="10" s="1"/>
  <c r="BO196" i="10"/>
  <c r="BD196" i="10"/>
  <c r="AP196" i="10"/>
  <c r="BU196" i="10" s="1"/>
  <c r="AL196" i="10"/>
  <c r="BZ196" i="10"/>
  <c r="AZ196" i="10"/>
  <c r="BS196" i="10"/>
  <c r="AT196" i="10"/>
  <c r="BL196" i="10"/>
  <c r="BX195" i="10"/>
  <c r="AU195" i="10"/>
  <c r="BG195" i="10" s="1"/>
  <c r="BU195" i="10"/>
  <c r="AF196" i="10"/>
  <c r="AE195" i="10"/>
  <c r="B197" i="10"/>
  <c r="CD197" i="10" s="1"/>
  <c r="BJ197" i="10" l="1"/>
  <c r="AU196" i="10"/>
  <c r="BG196" i="10" s="1"/>
  <c r="BX196" i="10"/>
  <c r="AV196" i="10"/>
  <c r="CC197" i="10"/>
  <c r="BY197" i="10"/>
  <c r="BR197" i="10"/>
  <c r="BN197" i="10"/>
  <c r="BI197" i="10"/>
  <c r="AY197" i="10"/>
  <c r="AT197" i="10"/>
  <c r="AP197" i="10"/>
  <c r="BU197" i="10" s="1"/>
  <c r="AL197" i="10"/>
  <c r="CB197" i="10"/>
  <c r="BW197" i="10"/>
  <c r="BQ197" i="10"/>
  <c r="BH197" i="10"/>
  <c r="BB197" i="10"/>
  <c r="AX197" i="10"/>
  <c r="AS197" i="10"/>
  <c r="AO197" i="10"/>
  <c r="AK197" i="10"/>
  <c r="CA197" i="10"/>
  <c r="BV197" i="10"/>
  <c r="BP197" i="10"/>
  <c r="BK197" i="10"/>
  <c r="BA197" i="10"/>
  <c r="AW197" i="10"/>
  <c r="AR197" i="10"/>
  <c r="AN197" i="10"/>
  <c r="AI197" i="10"/>
  <c r="AM197" i="10"/>
  <c r="BZ197" i="10"/>
  <c r="AZ197" i="10"/>
  <c r="AH197" i="10"/>
  <c r="BS197" i="10"/>
  <c r="BO197" i="10"/>
  <c r="AQ197" i="10"/>
  <c r="BD197" i="10"/>
  <c r="BL197" i="10"/>
  <c r="AF197" i="10"/>
  <c r="AE196" i="10"/>
  <c r="B198" i="10"/>
  <c r="CD198" i="10" s="1"/>
  <c r="BJ198" i="10" l="1"/>
  <c r="CC198" i="10"/>
  <c r="BY198" i="10"/>
  <c r="BQ198" i="10"/>
  <c r="BH198" i="10"/>
  <c r="BB198" i="10"/>
  <c r="AX198" i="10"/>
  <c r="AT198" i="10"/>
  <c r="AP198" i="10"/>
  <c r="BU198" i="10" s="1"/>
  <c r="AL198" i="10"/>
  <c r="CB198" i="10"/>
  <c r="BP198" i="10"/>
  <c r="BK198" i="10"/>
  <c r="BA198" i="10"/>
  <c r="AW198" i="10"/>
  <c r="AS198" i="10"/>
  <c r="AO198" i="10"/>
  <c r="AK198" i="10"/>
  <c r="CA198" i="10"/>
  <c r="BW198" i="10"/>
  <c r="BS198" i="10"/>
  <c r="BO198" i="10"/>
  <c r="BD198" i="10"/>
  <c r="AZ198" i="10"/>
  <c r="AR198" i="10"/>
  <c r="AN198" i="10"/>
  <c r="AI198" i="10"/>
  <c r="BZ198" i="10"/>
  <c r="AY198" i="10"/>
  <c r="AH198" i="10"/>
  <c r="BX198" i="10" s="1"/>
  <c r="BV198" i="10"/>
  <c r="BI198" i="10"/>
  <c r="BR198" i="10"/>
  <c r="AQ198" i="10"/>
  <c r="BN198" i="10"/>
  <c r="AM198" i="10"/>
  <c r="BL198" i="10"/>
  <c r="AV197" i="10"/>
  <c r="BT197" i="10"/>
  <c r="BX197" i="10"/>
  <c r="AU197" i="10"/>
  <c r="BG197" i="10" s="1"/>
  <c r="AF198" i="10"/>
  <c r="AE197" i="10"/>
  <c r="B199" i="10"/>
  <c r="CD199" i="10" s="1"/>
  <c r="BJ199" i="10" l="1"/>
  <c r="BT198" i="10"/>
  <c r="AU198" i="10"/>
  <c r="BG198" i="10" s="1"/>
  <c r="AV198" i="10"/>
  <c r="CB199" i="10"/>
  <c r="BW199" i="10"/>
  <c r="BR199" i="10"/>
  <c r="BN199" i="10"/>
  <c r="BI199" i="10"/>
  <c r="AY199" i="10"/>
  <c r="AT199" i="10"/>
  <c r="AP199" i="10"/>
  <c r="AV199" i="10" s="1"/>
  <c r="AL199" i="10"/>
  <c r="CA199" i="10"/>
  <c r="BV199" i="10"/>
  <c r="BQ199" i="10"/>
  <c r="BH199" i="10"/>
  <c r="BB199" i="10"/>
  <c r="AX199" i="10"/>
  <c r="AS199" i="10"/>
  <c r="AO199" i="10"/>
  <c r="AK199" i="10"/>
  <c r="BZ199" i="10"/>
  <c r="BP199" i="10"/>
  <c r="BK199" i="10"/>
  <c r="BA199" i="10"/>
  <c r="AW199" i="10"/>
  <c r="AR199" i="10"/>
  <c r="AN199" i="10"/>
  <c r="AI199" i="10"/>
  <c r="BS199" i="10"/>
  <c r="BO199" i="10"/>
  <c r="BD199" i="10"/>
  <c r="AQ199" i="10"/>
  <c r="CC199" i="10"/>
  <c r="AM199" i="10"/>
  <c r="BY199" i="10"/>
  <c r="AZ199" i="10"/>
  <c r="AH199" i="10"/>
  <c r="BT199" i="10" s="1"/>
  <c r="BL199" i="10"/>
  <c r="AF199" i="10"/>
  <c r="AE198" i="10"/>
  <c r="B200" i="10"/>
  <c r="CD200" i="10" s="1"/>
  <c r="BJ200" i="10" l="1"/>
  <c r="CC200" i="10"/>
  <c r="BY200" i="10"/>
  <c r="BR200" i="10"/>
  <c r="BN200" i="10"/>
  <c r="BI200" i="10"/>
  <c r="AY200" i="10"/>
  <c r="AS200" i="10"/>
  <c r="AO200" i="10"/>
  <c r="AK200" i="10"/>
  <c r="CB200" i="10"/>
  <c r="BW200" i="10"/>
  <c r="BQ200" i="10"/>
  <c r="BH200" i="10"/>
  <c r="BB200" i="10"/>
  <c r="AX200" i="10"/>
  <c r="AR200" i="10"/>
  <c r="AN200" i="10"/>
  <c r="AI200" i="10"/>
  <c r="CA200" i="10"/>
  <c r="BV200" i="10"/>
  <c r="BP200" i="10"/>
  <c r="BK200" i="10"/>
  <c r="BA200" i="10"/>
  <c r="AW200" i="10"/>
  <c r="AQ200" i="10"/>
  <c r="AM200" i="10"/>
  <c r="AH200" i="10"/>
  <c r="BX200" i="10" s="1"/>
  <c r="BO200" i="10"/>
  <c r="BD200" i="10"/>
  <c r="AP200" i="10"/>
  <c r="BU200" i="10" s="1"/>
  <c r="AL200" i="10"/>
  <c r="BZ200" i="10"/>
  <c r="AZ200" i="10"/>
  <c r="BS200" i="10"/>
  <c r="AT200" i="10"/>
  <c r="BL200" i="10"/>
  <c r="BX199" i="10"/>
  <c r="AU199" i="10"/>
  <c r="BG199" i="10" s="1"/>
  <c r="BU199" i="10"/>
  <c r="AF200" i="10"/>
  <c r="AE199" i="10"/>
  <c r="B201" i="10"/>
  <c r="CD201" i="10" s="1"/>
  <c r="BJ201" i="10" l="1"/>
  <c r="BT200" i="10"/>
  <c r="AU200" i="10"/>
  <c r="BG200" i="10" s="1"/>
  <c r="AV200" i="10"/>
  <c r="CA201" i="10"/>
  <c r="BW201" i="10"/>
  <c r="BQ201" i="10"/>
  <c r="BH201" i="10"/>
  <c r="AY201" i="10"/>
  <c r="AT201" i="10"/>
  <c r="AP201" i="10"/>
  <c r="BU201" i="10" s="1"/>
  <c r="AL201" i="10"/>
  <c r="BZ201" i="10"/>
  <c r="BV201" i="10"/>
  <c r="BP201" i="10"/>
  <c r="BK201" i="10"/>
  <c r="BB201" i="10"/>
  <c r="AX201" i="10"/>
  <c r="AS201" i="10"/>
  <c r="AO201" i="10"/>
  <c r="AK201" i="10"/>
  <c r="CC201" i="10"/>
  <c r="BY201" i="10"/>
  <c r="BS201" i="10"/>
  <c r="BO201" i="10"/>
  <c r="BA201" i="10"/>
  <c r="AW201" i="10"/>
  <c r="AR201" i="10"/>
  <c r="AN201" i="10"/>
  <c r="AI201" i="10"/>
  <c r="CB201" i="10"/>
  <c r="AM201" i="10"/>
  <c r="BI201" i="10"/>
  <c r="AZ201" i="10"/>
  <c r="AH201" i="10"/>
  <c r="BX201" i="10" s="1"/>
  <c r="BR201" i="10"/>
  <c r="BD201" i="10"/>
  <c r="BN201" i="10"/>
  <c r="AQ201" i="10"/>
  <c r="BL201" i="10"/>
  <c r="AF201" i="10"/>
  <c r="AE200" i="10"/>
  <c r="B202" i="10"/>
  <c r="CD202" i="10" s="1"/>
  <c r="BJ202" i="10" l="1"/>
  <c r="AV201" i="10"/>
  <c r="AU201" i="10"/>
  <c r="BG201" i="10" s="1"/>
  <c r="CA202" i="10"/>
  <c r="BW202" i="10"/>
  <c r="BS202" i="10"/>
  <c r="BO202" i="10"/>
  <c r="BD202" i="10"/>
  <c r="AZ202" i="10"/>
  <c r="AR202" i="10"/>
  <c r="AN202" i="10"/>
  <c r="AI202" i="10"/>
  <c r="BZ202" i="10"/>
  <c r="BV202" i="10"/>
  <c r="BR202" i="10"/>
  <c r="BN202" i="10"/>
  <c r="BI202" i="10"/>
  <c r="AY202" i="10"/>
  <c r="AQ202" i="10"/>
  <c r="AM202" i="10"/>
  <c r="AH202" i="10"/>
  <c r="BX202" i="10" s="1"/>
  <c r="CC202" i="10"/>
  <c r="BY202" i="10"/>
  <c r="BQ202" i="10"/>
  <c r="BH202" i="10"/>
  <c r="BB202" i="10"/>
  <c r="AX202" i="10"/>
  <c r="AT202" i="10"/>
  <c r="AP202" i="10"/>
  <c r="BU202" i="10" s="1"/>
  <c r="AL202" i="10"/>
  <c r="BK202" i="10"/>
  <c r="AW202" i="10"/>
  <c r="BT202" i="10"/>
  <c r="AS202" i="10"/>
  <c r="BP202" i="10"/>
  <c r="AO202" i="10"/>
  <c r="AK202" i="10"/>
  <c r="CB202" i="10"/>
  <c r="BA202" i="10"/>
  <c r="BL202" i="10"/>
  <c r="BT201" i="10"/>
  <c r="AF202" i="10"/>
  <c r="AE201" i="10"/>
  <c r="B203" i="10"/>
  <c r="CD203" i="10" s="1"/>
  <c r="BJ203" i="10" l="1"/>
  <c r="AV202" i="10"/>
  <c r="BZ203" i="10"/>
  <c r="BP203" i="10"/>
  <c r="BK203" i="10"/>
  <c r="BA203" i="10"/>
  <c r="AW203" i="10"/>
  <c r="AR203" i="10"/>
  <c r="AN203" i="10"/>
  <c r="AI203" i="10"/>
  <c r="CC203" i="10"/>
  <c r="BY203" i="10"/>
  <c r="BS203" i="10"/>
  <c r="BO203" i="10"/>
  <c r="BD203" i="10"/>
  <c r="AZ203" i="10"/>
  <c r="AQ203" i="10"/>
  <c r="AM203" i="10"/>
  <c r="AH203" i="10"/>
  <c r="BT203" i="10" s="1"/>
  <c r="CB203" i="10"/>
  <c r="BW203" i="10"/>
  <c r="BR203" i="10"/>
  <c r="BN203" i="10"/>
  <c r="BI203" i="10"/>
  <c r="AY203" i="10"/>
  <c r="AT203" i="10"/>
  <c r="AP203" i="10"/>
  <c r="AV203" i="10" s="1"/>
  <c r="AL203" i="10"/>
  <c r="BV203" i="10"/>
  <c r="AS203" i="10"/>
  <c r="BQ203" i="10"/>
  <c r="AO203" i="10"/>
  <c r="BB203" i="10"/>
  <c r="AK203" i="10"/>
  <c r="CA203" i="10"/>
  <c r="AX203" i="10"/>
  <c r="BH203" i="10"/>
  <c r="BL203" i="10"/>
  <c r="AU202" i="10"/>
  <c r="BG202" i="10" s="1"/>
  <c r="AF203" i="10"/>
  <c r="AE202" i="10"/>
  <c r="B204" i="10"/>
  <c r="CD204" i="10" s="1"/>
  <c r="BJ204" i="10" l="1"/>
  <c r="AU203" i="10"/>
  <c r="BG203" i="10" s="1"/>
  <c r="BU203" i="10"/>
  <c r="BX203" i="10"/>
  <c r="CA204" i="10"/>
  <c r="BV204" i="10"/>
  <c r="BP204" i="10"/>
  <c r="BK204" i="10"/>
  <c r="BA204" i="10"/>
  <c r="AW204" i="10"/>
  <c r="AQ204" i="10"/>
  <c r="AM204" i="10"/>
  <c r="AH204" i="10"/>
  <c r="BX204" i="10" s="1"/>
  <c r="BZ204" i="10"/>
  <c r="BS204" i="10"/>
  <c r="BO204" i="10"/>
  <c r="BD204" i="10"/>
  <c r="AZ204" i="10"/>
  <c r="AT204" i="10"/>
  <c r="AP204" i="10"/>
  <c r="BU204" i="10" s="1"/>
  <c r="AL204" i="10"/>
  <c r="CC204" i="10"/>
  <c r="BY204" i="10"/>
  <c r="BR204" i="10"/>
  <c r="BN204" i="10"/>
  <c r="BI204" i="10"/>
  <c r="AY204" i="10"/>
  <c r="AS204" i="10"/>
  <c r="AO204" i="10"/>
  <c r="AK204" i="10"/>
  <c r="BW204" i="10"/>
  <c r="AR204" i="10"/>
  <c r="BQ204" i="10"/>
  <c r="AN204" i="10"/>
  <c r="BB204" i="10"/>
  <c r="AI204" i="10"/>
  <c r="AX204" i="10"/>
  <c r="BH204" i="10"/>
  <c r="CB204" i="10"/>
  <c r="BL204" i="10"/>
  <c r="AF204" i="10"/>
  <c r="AE203" i="10"/>
  <c r="B205" i="10"/>
  <c r="CD205" i="10" s="1"/>
  <c r="BJ205" i="10" l="1"/>
  <c r="BT204" i="10"/>
  <c r="AU204" i="10"/>
  <c r="BG204" i="10" s="1"/>
  <c r="AV204" i="10"/>
  <c r="CA205" i="10"/>
  <c r="BV205" i="10"/>
  <c r="BP205" i="10"/>
  <c r="BK205" i="10"/>
  <c r="BA205" i="10"/>
  <c r="AW205" i="10"/>
  <c r="AR205" i="10"/>
  <c r="AN205" i="10"/>
  <c r="AI205" i="10"/>
  <c r="BZ205" i="10"/>
  <c r="BS205" i="10"/>
  <c r="BO205" i="10"/>
  <c r="BD205" i="10"/>
  <c r="AZ205" i="10"/>
  <c r="AQ205" i="10"/>
  <c r="AM205" i="10"/>
  <c r="AH205" i="10"/>
  <c r="BX205" i="10" s="1"/>
  <c r="CC205" i="10"/>
  <c r="BY205" i="10"/>
  <c r="BR205" i="10"/>
  <c r="BN205" i="10"/>
  <c r="BI205" i="10"/>
  <c r="AY205" i="10"/>
  <c r="AT205" i="10"/>
  <c r="AP205" i="10"/>
  <c r="BU205" i="10" s="1"/>
  <c r="AL205" i="10"/>
  <c r="BW205" i="10"/>
  <c r="AS205" i="10"/>
  <c r="BQ205" i="10"/>
  <c r="AO205" i="10"/>
  <c r="BB205" i="10"/>
  <c r="AK205" i="10"/>
  <c r="CB205" i="10"/>
  <c r="AX205" i="10"/>
  <c r="BH205" i="10"/>
  <c r="BL205" i="10"/>
  <c r="AF205" i="10"/>
  <c r="AE204" i="10"/>
  <c r="B206" i="10"/>
  <c r="CD206" i="10" s="1"/>
  <c r="BJ206" i="10" l="1"/>
  <c r="AV205" i="10"/>
  <c r="AU205" i="10"/>
  <c r="BG205" i="10" s="1"/>
  <c r="BT205" i="10"/>
  <c r="CA206" i="10"/>
  <c r="BW206" i="10"/>
  <c r="BS206" i="10"/>
  <c r="BO206" i="10"/>
  <c r="BD206" i="10"/>
  <c r="AZ206" i="10"/>
  <c r="AR206" i="10"/>
  <c r="AN206" i="10"/>
  <c r="AI206" i="10"/>
  <c r="BZ206" i="10"/>
  <c r="BV206" i="10"/>
  <c r="BR206" i="10"/>
  <c r="BN206" i="10"/>
  <c r="BI206" i="10"/>
  <c r="AY206" i="10"/>
  <c r="AQ206" i="10"/>
  <c r="AM206" i="10"/>
  <c r="AH206" i="10"/>
  <c r="BX206" i="10" s="1"/>
  <c r="CC206" i="10"/>
  <c r="BY206" i="10"/>
  <c r="BQ206" i="10"/>
  <c r="BH206" i="10"/>
  <c r="BB206" i="10"/>
  <c r="AX206" i="10"/>
  <c r="AT206" i="10"/>
  <c r="AP206" i="10"/>
  <c r="BU206" i="10" s="1"/>
  <c r="AL206" i="10"/>
  <c r="AS206" i="10"/>
  <c r="BP206" i="10"/>
  <c r="AO206" i="10"/>
  <c r="CB206" i="10"/>
  <c r="BA206" i="10"/>
  <c r="AK206" i="10"/>
  <c r="AW206" i="10"/>
  <c r="BK206" i="10"/>
  <c r="BL206" i="10"/>
  <c r="AF206" i="10"/>
  <c r="AE205" i="10"/>
  <c r="B207" i="10"/>
  <c r="CD207" i="10" s="1"/>
  <c r="BJ207" i="10" l="1"/>
  <c r="BT206" i="10"/>
  <c r="AU206" i="10"/>
  <c r="BG206" i="10" s="1"/>
  <c r="BZ207" i="10"/>
  <c r="BP207" i="10"/>
  <c r="BK207" i="10"/>
  <c r="BA207" i="10"/>
  <c r="AW207" i="10"/>
  <c r="AR207" i="10"/>
  <c r="AN207" i="10"/>
  <c r="AI207" i="10"/>
  <c r="CC207" i="10"/>
  <c r="BY207" i="10"/>
  <c r="BS207" i="10"/>
  <c r="BO207" i="10"/>
  <c r="BD207" i="10"/>
  <c r="AZ207" i="10"/>
  <c r="AQ207" i="10"/>
  <c r="AM207" i="10"/>
  <c r="AH207" i="10"/>
  <c r="CB207" i="10"/>
  <c r="BW207" i="10"/>
  <c r="BR207" i="10"/>
  <c r="BN207" i="10"/>
  <c r="BI207" i="10"/>
  <c r="AY207" i="10"/>
  <c r="AT207" i="10"/>
  <c r="AP207" i="10"/>
  <c r="AL207" i="10"/>
  <c r="BQ207" i="10"/>
  <c r="AO207" i="10"/>
  <c r="BB207" i="10"/>
  <c r="AK207" i="10"/>
  <c r="CA207" i="10"/>
  <c r="BH207" i="10"/>
  <c r="AX207" i="10"/>
  <c r="BV207" i="10"/>
  <c r="AS207" i="10"/>
  <c r="BL207" i="10"/>
  <c r="AV206" i="10"/>
  <c r="AF207" i="10"/>
  <c r="AE206" i="10"/>
  <c r="B208" i="10"/>
  <c r="CD208" i="10" s="1"/>
  <c r="BJ208" i="10" l="1"/>
  <c r="CA208" i="10"/>
  <c r="BV208" i="10"/>
  <c r="BP208" i="10"/>
  <c r="BK208" i="10"/>
  <c r="BA208" i="10"/>
  <c r="AW208" i="10"/>
  <c r="AQ208" i="10"/>
  <c r="AM208" i="10"/>
  <c r="AH208" i="10"/>
  <c r="BT208" i="10" s="1"/>
  <c r="BZ208" i="10"/>
  <c r="BS208" i="10"/>
  <c r="BO208" i="10"/>
  <c r="BD208" i="10"/>
  <c r="AZ208" i="10"/>
  <c r="AT208" i="10"/>
  <c r="AP208" i="10"/>
  <c r="BU208" i="10" s="1"/>
  <c r="AL208" i="10"/>
  <c r="CC208" i="10"/>
  <c r="BY208" i="10"/>
  <c r="BR208" i="10"/>
  <c r="BN208" i="10"/>
  <c r="BI208" i="10"/>
  <c r="AY208" i="10"/>
  <c r="AS208" i="10"/>
  <c r="AO208" i="10"/>
  <c r="AK208" i="10"/>
  <c r="BQ208" i="10"/>
  <c r="AN208" i="10"/>
  <c r="BB208" i="10"/>
  <c r="AI208" i="10"/>
  <c r="CB208" i="10"/>
  <c r="BH208" i="10"/>
  <c r="AX208" i="10"/>
  <c r="BW208" i="10"/>
  <c r="AR208" i="10"/>
  <c r="BL208" i="10"/>
  <c r="BX207" i="10"/>
  <c r="BT207" i="10"/>
  <c r="AU207" i="10"/>
  <c r="BG207" i="10" s="1"/>
  <c r="BU207" i="10"/>
  <c r="AV207" i="10"/>
  <c r="AF208" i="10"/>
  <c r="AE207" i="10"/>
  <c r="B209" i="10"/>
  <c r="CD209" i="10" s="1"/>
  <c r="BJ209" i="10" l="1"/>
  <c r="AU208" i="10"/>
  <c r="BG208" i="10" s="1"/>
  <c r="BX208" i="10"/>
  <c r="AV208" i="10"/>
  <c r="CC209" i="10"/>
  <c r="BY209" i="10"/>
  <c r="BS209" i="10"/>
  <c r="BO209" i="10"/>
  <c r="BA209" i="10"/>
  <c r="AW209" i="10"/>
  <c r="AR209" i="10"/>
  <c r="AN209" i="10"/>
  <c r="AI209" i="10"/>
  <c r="CB209" i="10"/>
  <c r="BR209" i="10"/>
  <c r="BN209" i="10"/>
  <c r="BI209" i="10"/>
  <c r="BD209" i="10"/>
  <c r="AZ209" i="10"/>
  <c r="AQ209" i="10"/>
  <c r="AM209" i="10"/>
  <c r="AH209" i="10"/>
  <c r="BX209" i="10" s="1"/>
  <c r="CA209" i="10"/>
  <c r="BW209" i="10"/>
  <c r="BQ209" i="10"/>
  <c r="BH209" i="10"/>
  <c r="AY209" i="10"/>
  <c r="AT209" i="10"/>
  <c r="AP209" i="10"/>
  <c r="BU209" i="10" s="1"/>
  <c r="AL209" i="10"/>
  <c r="AO209" i="10"/>
  <c r="BZ209" i="10"/>
  <c r="BK209" i="10"/>
  <c r="BB209" i="10"/>
  <c r="AK209" i="10"/>
  <c r="BV209" i="10"/>
  <c r="AX209" i="10"/>
  <c r="BP209" i="10"/>
  <c r="AS209" i="10"/>
  <c r="BL209" i="10"/>
  <c r="AF209" i="10"/>
  <c r="AE208" i="10"/>
  <c r="B210" i="10"/>
  <c r="CD210" i="10" s="1"/>
  <c r="BJ210" i="10" l="1"/>
  <c r="CC210" i="10"/>
  <c r="BY210" i="10"/>
  <c r="BQ210" i="10"/>
  <c r="BH210" i="10"/>
  <c r="BB210" i="10"/>
  <c r="AX210" i="10"/>
  <c r="AT210" i="10"/>
  <c r="AP210" i="10"/>
  <c r="BU210" i="10" s="1"/>
  <c r="AL210" i="10"/>
  <c r="CB210" i="10"/>
  <c r="BP210" i="10"/>
  <c r="BK210" i="10"/>
  <c r="BA210" i="10"/>
  <c r="AW210" i="10"/>
  <c r="AS210" i="10"/>
  <c r="AO210" i="10"/>
  <c r="AK210" i="10"/>
  <c r="CA210" i="10"/>
  <c r="BW210" i="10"/>
  <c r="BS210" i="10"/>
  <c r="BO210" i="10"/>
  <c r="BD210" i="10"/>
  <c r="AZ210" i="10"/>
  <c r="AR210" i="10"/>
  <c r="AN210" i="10"/>
  <c r="AI210" i="10"/>
  <c r="BZ210" i="10"/>
  <c r="AY210" i="10"/>
  <c r="AH210" i="10"/>
  <c r="BX210" i="10" s="1"/>
  <c r="BV210" i="10"/>
  <c r="BI210" i="10"/>
  <c r="BR210" i="10"/>
  <c r="AQ210" i="10"/>
  <c r="BN210" i="10"/>
  <c r="AM210" i="10"/>
  <c r="BL210" i="10"/>
  <c r="AV209" i="10"/>
  <c r="AU209" i="10"/>
  <c r="BG209" i="10" s="1"/>
  <c r="BT209" i="10"/>
  <c r="AF210" i="10"/>
  <c r="AE209" i="10"/>
  <c r="B211" i="10"/>
  <c r="CD211" i="10" s="1"/>
  <c r="BJ211" i="10" l="1"/>
  <c r="BT210" i="10"/>
  <c r="AU210" i="10"/>
  <c r="BG210" i="10" s="1"/>
  <c r="AV210" i="10"/>
  <c r="CB211" i="10"/>
  <c r="BW211" i="10"/>
  <c r="BR211" i="10"/>
  <c r="BN211" i="10"/>
  <c r="BI211" i="10"/>
  <c r="AY211" i="10"/>
  <c r="AT211" i="10"/>
  <c r="AP211" i="10"/>
  <c r="AV211" i="10" s="1"/>
  <c r="AL211" i="10"/>
  <c r="CA211" i="10"/>
  <c r="BV211" i="10"/>
  <c r="BQ211" i="10"/>
  <c r="BH211" i="10"/>
  <c r="BB211" i="10"/>
  <c r="AX211" i="10"/>
  <c r="AS211" i="10"/>
  <c r="AO211" i="10"/>
  <c r="AK211" i="10"/>
  <c r="BZ211" i="10"/>
  <c r="BP211" i="10"/>
  <c r="BK211" i="10"/>
  <c r="BA211" i="10"/>
  <c r="AW211" i="10"/>
  <c r="AR211" i="10"/>
  <c r="AN211" i="10"/>
  <c r="AI211" i="10"/>
  <c r="BS211" i="10"/>
  <c r="BO211" i="10"/>
  <c r="BD211" i="10"/>
  <c r="AQ211" i="10"/>
  <c r="CC211" i="10"/>
  <c r="AM211" i="10"/>
  <c r="BY211" i="10"/>
  <c r="AZ211" i="10"/>
  <c r="AH211" i="10"/>
  <c r="BT211" i="10" s="1"/>
  <c r="BL211" i="10"/>
  <c r="AF211" i="10"/>
  <c r="AE210" i="10"/>
  <c r="B212" i="10"/>
  <c r="CD212" i="10" s="1"/>
  <c r="BJ212" i="10" l="1"/>
  <c r="CC212" i="10"/>
  <c r="BY212" i="10"/>
  <c r="BR212" i="10"/>
  <c r="BN212" i="10"/>
  <c r="BI212" i="10"/>
  <c r="AY212" i="10"/>
  <c r="AS212" i="10"/>
  <c r="AO212" i="10"/>
  <c r="AK212" i="10"/>
  <c r="CB212" i="10"/>
  <c r="BW212" i="10"/>
  <c r="BQ212" i="10"/>
  <c r="BH212" i="10"/>
  <c r="BB212" i="10"/>
  <c r="AX212" i="10"/>
  <c r="AR212" i="10"/>
  <c r="AN212" i="10"/>
  <c r="AI212" i="10"/>
  <c r="CA212" i="10"/>
  <c r="BV212" i="10"/>
  <c r="BP212" i="10"/>
  <c r="BK212" i="10"/>
  <c r="BA212" i="10"/>
  <c r="AW212" i="10"/>
  <c r="AQ212" i="10"/>
  <c r="AM212" i="10"/>
  <c r="AH212" i="10"/>
  <c r="BT212" i="10" s="1"/>
  <c r="BO212" i="10"/>
  <c r="BD212" i="10"/>
  <c r="AP212" i="10"/>
  <c r="BU212" i="10" s="1"/>
  <c r="AL212" i="10"/>
  <c r="BZ212" i="10"/>
  <c r="AZ212" i="10"/>
  <c r="BS212" i="10"/>
  <c r="AT212" i="10"/>
  <c r="BL212" i="10"/>
  <c r="BX211" i="10"/>
  <c r="AU211" i="10"/>
  <c r="BG211" i="10" s="1"/>
  <c r="BU211" i="10"/>
  <c r="AF212" i="10"/>
  <c r="AE211" i="10"/>
  <c r="B213" i="10"/>
  <c r="CD213" i="10" s="1"/>
  <c r="BJ213" i="10" l="1"/>
  <c r="BX212" i="10"/>
  <c r="AU212" i="10"/>
  <c r="BG212" i="10" s="1"/>
  <c r="AV212" i="10"/>
  <c r="BZ213" i="10"/>
  <c r="BS213" i="10"/>
  <c r="BO213" i="10"/>
  <c r="BD213" i="10"/>
  <c r="AZ213" i="10"/>
  <c r="AT213" i="10"/>
  <c r="AP213" i="10"/>
  <c r="BU213" i="10" s="1"/>
  <c r="AL213" i="10"/>
  <c r="CC213" i="10"/>
  <c r="BY213" i="10"/>
  <c r="BR213" i="10"/>
  <c r="BN213" i="10"/>
  <c r="BI213" i="10"/>
  <c r="AY213" i="10"/>
  <c r="AS213" i="10"/>
  <c r="AO213" i="10"/>
  <c r="AK213" i="10"/>
  <c r="CB213" i="10"/>
  <c r="BW213" i="10"/>
  <c r="BQ213" i="10"/>
  <c r="BH213" i="10"/>
  <c r="BB213" i="10"/>
  <c r="AX213" i="10"/>
  <c r="AR213" i="10"/>
  <c r="AN213" i="10"/>
  <c r="AI213" i="10"/>
  <c r="BP213" i="10"/>
  <c r="AM213" i="10"/>
  <c r="BA213" i="10"/>
  <c r="AH213" i="10"/>
  <c r="BT213" i="10" s="1"/>
  <c r="CA213" i="10"/>
  <c r="BK213" i="10"/>
  <c r="AW213" i="10"/>
  <c r="BV213" i="10"/>
  <c r="AQ213" i="10"/>
  <c r="BL213" i="10"/>
  <c r="AF213" i="10"/>
  <c r="AE212" i="10"/>
  <c r="B214" i="10"/>
  <c r="CD214" i="10" s="1"/>
  <c r="BJ214" i="10" l="1"/>
  <c r="BX213" i="10"/>
  <c r="AV213" i="10"/>
  <c r="AU213" i="10"/>
  <c r="BG213" i="10" s="1"/>
  <c r="BZ214" i="10"/>
  <c r="BV214" i="10"/>
  <c r="BR214" i="10"/>
  <c r="BN214" i="10"/>
  <c r="BI214" i="10"/>
  <c r="AY214" i="10"/>
  <c r="AQ214" i="10"/>
  <c r="AM214" i="10"/>
  <c r="AH214" i="10"/>
  <c r="BX214" i="10" s="1"/>
  <c r="CC214" i="10"/>
  <c r="BY214" i="10"/>
  <c r="BQ214" i="10"/>
  <c r="BH214" i="10"/>
  <c r="BB214" i="10"/>
  <c r="AX214" i="10"/>
  <c r="AT214" i="10"/>
  <c r="AP214" i="10"/>
  <c r="BU214" i="10" s="1"/>
  <c r="AL214" i="10"/>
  <c r="CB214" i="10"/>
  <c r="BP214" i="10"/>
  <c r="BK214" i="10"/>
  <c r="BA214" i="10"/>
  <c r="AW214" i="10"/>
  <c r="AS214" i="10"/>
  <c r="AO214" i="10"/>
  <c r="AK214" i="10"/>
  <c r="CA214" i="10"/>
  <c r="AN214" i="10"/>
  <c r="BW214" i="10"/>
  <c r="AZ214" i="10"/>
  <c r="AI214" i="10"/>
  <c r="BS214" i="10"/>
  <c r="BO214" i="10"/>
  <c r="AR214" i="10"/>
  <c r="BD214" i="10"/>
  <c r="BL214" i="10"/>
  <c r="AF214" i="10"/>
  <c r="AE213" i="10"/>
  <c r="B215" i="10"/>
  <c r="CD215" i="10" s="1"/>
  <c r="BJ215" i="10" l="1"/>
  <c r="BT214" i="10"/>
  <c r="AV214" i="10"/>
  <c r="AU214" i="10"/>
  <c r="BG214" i="10" s="1"/>
  <c r="CC215" i="10"/>
  <c r="BY215" i="10"/>
  <c r="BS215" i="10"/>
  <c r="BO215" i="10"/>
  <c r="BD215" i="10"/>
  <c r="AZ215" i="10"/>
  <c r="AQ215" i="10"/>
  <c r="AM215" i="10"/>
  <c r="AH215" i="10"/>
  <c r="CB215" i="10"/>
  <c r="BW215" i="10"/>
  <c r="BR215" i="10"/>
  <c r="BN215" i="10"/>
  <c r="BI215" i="10"/>
  <c r="AY215" i="10"/>
  <c r="AT215" i="10"/>
  <c r="AP215" i="10"/>
  <c r="AL215" i="10"/>
  <c r="CA215" i="10"/>
  <c r="BV215" i="10"/>
  <c r="BQ215" i="10"/>
  <c r="BH215" i="10"/>
  <c r="BB215" i="10"/>
  <c r="AX215" i="10"/>
  <c r="AS215" i="10"/>
  <c r="AO215" i="10"/>
  <c r="AK215" i="10"/>
  <c r="BZ215" i="10"/>
  <c r="BK215" i="10"/>
  <c r="AW215" i="10"/>
  <c r="AR215" i="10"/>
  <c r="BP215" i="10"/>
  <c r="AN215" i="10"/>
  <c r="BA215" i="10"/>
  <c r="AI215" i="10"/>
  <c r="BL215" i="10"/>
  <c r="AF215" i="10"/>
  <c r="AE214" i="10"/>
  <c r="B216" i="10"/>
  <c r="CD216" i="10" s="1"/>
  <c r="BJ216" i="10" l="1"/>
  <c r="AU215" i="10"/>
  <c r="BG215" i="10" s="1"/>
  <c r="BU215" i="10"/>
  <c r="BX215" i="10"/>
  <c r="BZ216" i="10"/>
  <c r="BS216" i="10"/>
  <c r="BO216" i="10"/>
  <c r="BD216" i="10"/>
  <c r="AZ216" i="10"/>
  <c r="AT216" i="10"/>
  <c r="AP216" i="10"/>
  <c r="BU216" i="10" s="1"/>
  <c r="AL216" i="10"/>
  <c r="CC216" i="10"/>
  <c r="BY216" i="10"/>
  <c r="BR216" i="10"/>
  <c r="BN216" i="10"/>
  <c r="BI216" i="10"/>
  <c r="AY216" i="10"/>
  <c r="AS216" i="10"/>
  <c r="AO216" i="10"/>
  <c r="AK216" i="10"/>
  <c r="CB216" i="10"/>
  <c r="BW216" i="10"/>
  <c r="BQ216" i="10"/>
  <c r="BH216" i="10"/>
  <c r="BB216" i="10"/>
  <c r="AX216" i="10"/>
  <c r="AR216" i="10"/>
  <c r="AN216" i="10"/>
  <c r="AI216" i="10"/>
  <c r="CA216" i="10"/>
  <c r="BK216" i="10"/>
  <c r="AW216" i="10"/>
  <c r="BV216" i="10"/>
  <c r="AQ216" i="10"/>
  <c r="BP216" i="10"/>
  <c r="AM216" i="10"/>
  <c r="BA216" i="10"/>
  <c r="AH216" i="10"/>
  <c r="BL216" i="10"/>
  <c r="BT215" i="10"/>
  <c r="AV215" i="10"/>
  <c r="AF216" i="10"/>
  <c r="AE215" i="10"/>
  <c r="B217" i="10"/>
  <c r="CD217" i="10" s="1"/>
  <c r="BJ217" i="10" l="1"/>
  <c r="BX216" i="10"/>
  <c r="BT216" i="10"/>
  <c r="AV216" i="10"/>
  <c r="CA217" i="10"/>
  <c r="BV217" i="10"/>
  <c r="BP217" i="10"/>
  <c r="BK217" i="10"/>
  <c r="BA217" i="10"/>
  <c r="AW217" i="10"/>
  <c r="AQ217" i="10"/>
  <c r="AM217" i="10"/>
  <c r="AH217" i="10"/>
  <c r="BT217" i="10" s="1"/>
  <c r="BZ217" i="10"/>
  <c r="BS217" i="10"/>
  <c r="BO217" i="10"/>
  <c r="BD217" i="10"/>
  <c r="AZ217" i="10"/>
  <c r="AT217" i="10"/>
  <c r="AP217" i="10"/>
  <c r="BU217" i="10" s="1"/>
  <c r="AL217" i="10"/>
  <c r="CC217" i="10"/>
  <c r="BY217" i="10"/>
  <c r="BR217" i="10"/>
  <c r="BN217" i="10"/>
  <c r="BI217" i="10"/>
  <c r="AY217" i="10"/>
  <c r="AS217" i="10"/>
  <c r="AO217" i="10"/>
  <c r="AK217" i="10"/>
  <c r="CB217" i="10"/>
  <c r="BH217" i="10"/>
  <c r="AX217" i="10"/>
  <c r="BW217" i="10"/>
  <c r="AR217" i="10"/>
  <c r="BQ217" i="10"/>
  <c r="AN217" i="10"/>
  <c r="BB217" i="10"/>
  <c r="AI217" i="10"/>
  <c r="BL217" i="10"/>
  <c r="AU216" i="10"/>
  <c r="BG216" i="10" s="1"/>
  <c r="AF217" i="10"/>
  <c r="AE216" i="10"/>
  <c r="B218" i="10"/>
  <c r="CD218" i="10" s="1"/>
  <c r="BJ218" i="10" l="1"/>
  <c r="BX217" i="10"/>
  <c r="AU217" i="10"/>
  <c r="BG217" i="10" s="1"/>
  <c r="AV217" i="10"/>
  <c r="CA218" i="10"/>
  <c r="BW218" i="10"/>
  <c r="BS218" i="10"/>
  <c r="BO218" i="10"/>
  <c r="BD218" i="10"/>
  <c r="AZ218" i="10"/>
  <c r="AR218" i="10"/>
  <c r="AN218" i="10"/>
  <c r="AI218" i="10"/>
  <c r="BZ218" i="10"/>
  <c r="BV218" i="10"/>
  <c r="BR218" i="10"/>
  <c r="BN218" i="10"/>
  <c r="BI218" i="10"/>
  <c r="AY218" i="10"/>
  <c r="AQ218" i="10"/>
  <c r="AM218" i="10"/>
  <c r="AH218" i="10"/>
  <c r="BT218" i="10" s="1"/>
  <c r="CC218" i="10"/>
  <c r="BY218" i="10"/>
  <c r="BQ218" i="10"/>
  <c r="BH218" i="10"/>
  <c r="BB218" i="10"/>
  <c r="AX218" i="10"/>
  <c r="AT218" i="10"/>
  <c r="AP218" i="10"/>
  <c r="BU218" i="10" s="1"/>
  <c r="AL218" i="10"/>
  <c r="BK218" i="10"/>
  <c r="AW218" i="10"/>
  <c r="AS218" i="10"/>
  <c r="BP218" i="10"/>
  <c r="AO218" i="10"/>
  <c r="AK218" i="10"/>
  <c r="CB218" i="10"/>
  <c r="BA218" i="10"/>
  <c r="BL218" i="10"/>
  <c r="AF218" i="10"/>
  <c r="AE217" i="10"/>
  <c r="B219" i="10"/>
  <c r="CD219" i="10" s="1"/>
  <c r="BJ219" i="10" l="1"/>
  <c r="BX218" i="10"/>
  <c r="AV218" i="10"/>
  <c r="BZ219" i="10"/>
  <c r="BP219" i="10"/>
  <c r="BK219" i="10"/>
  <c r="BA219" i="10"/>
  <c r="AW219" i="10"/>
  <c r="AR219" i="10"/>
  <c r="AN219" i="10"/>
  <c r="AI219" i="10"/>
  <c r="CC219" i="10"/>
  <c r="BY219" i="10"/>
  <c r="BS219" i="10"/>
  <c r="BO219" i="10"/>
  <c r="BD219" i="10"/>
  <c r="AZ219" i="10"/>
  <c r="AQ219" i="10"/>
  <c r="AM219" i="10"/>
  <c r="AH219" i="10"/>
  <c r="CB219" i="10"/>
  <c r="BW219" i="10"/>
  <c r="BR219" i="10"/>
  <c r="BN219" i="10"/>
  <c r="BI219" i="10"/>
  <c r="AY219" i="10"/>
  <c r="AT219" i="10"/>
  <c r="AP219" i="10"/>
  <c r="AV219" i="10" s="1"/>
  <c r="AL219" i="10"/>
  <c r="BV219" i="10"/>
  <c r="AS219" i="10"/>
  <c r="BQ219" i="10"/>
  <c r="AO219" i="10"/>
  <c r="BB219" i="10"/>
  <c r="AK219" i="10"/>
  <c r="CA219" i="10"/>
  <c r="AX219" i="10"/>
  <c r="BH219" i="10"/>
  <c r="BL219" i="10"/>
  <c r="AU218" i="10"/>
  <c r="BG218" i="10" s="1"/>
  <c r="AF219" i="10"/>
  <c r="AE218" i="10"/>
  <c r="B220" i="10"/>
  <c r="CD220" i="10" s="1"/>
  <c r="BJ220" i="10" l="1"/>
  <c r="AU219" i="10"/>
  <c r="BG219" i="10" s="1"/>
  <c r="BU219" i="10"/>
  <c r="BX219" i="10"/>
  <c r="BT219" i="10"/>
  <c r="CA220" i="10"/>
  <c r="BV220" i="10"/>
  <c r="BP220" i="10"/>
  <c r="BK220" i="10"/>
  <c r="BA220" i="10"/>
  <c r="AW220" i="10"/>
  <c r="AQ220" i="10"/>
  <c r="AM220" i="10"/>
  <c r="AH220" i="10"/>
  <c r="BX220" i="10" s="1"/>
  <c r="BZ220" i="10"/>
  <c r="BS220" i="10"/>
  <c r="BO220" i="10"/>
  <c r="BD220" i="10"/>
  <c r="AZ220" i="10"/>
  <c r="AT220" i="10"/>
  <c r="AP220" i="10"/>
  <c r="BU220" i="10" s="1"/>
  <c r="AL220" i="10"/>
  <c r="CC220" i="10"/>
  <c r="BY220" i="10"/>
  <c r="BR220" i="10"/>
  <c r="BN220" i="10"/>
  <c r="BI220" i="10"/>
  <c r="AY220" i="10"/>
  <c r="AS220" i="10"/>
  <c r="AO220" i="10"/>
  <c r="AK220" i="10"/>
  <c r="BW220" i="10"/>
  <c r="AR220" i="10"/>
  <c r="BQ220" i="10"/>
  <c r="AN220" i="10"/>
  <c r="BB220" i="10"/>
  <c r="AI220" i="10"/>
  <c r="AX220" i="10"/>
  <c r="BH220" i="10"/>
  <c r="CB220" i="10"/>
  <c r="BL220" i="10"/>
  <c r="AF220" i="10"/>
  <c r="AE219" i="10"/>
  <c r="B221" i="10"/>
  <c r="CD221" i="10" s="1"/>
  <c r="BJ221" i="10" l="1"/>
  <c r="BT220" i="10"/>
  <c r="AV220" i="10"/>
  <c r="AU220" i="10"/>
  <c r="BG220" i="10" s="1"/>
  <c r="CB221" i="10"/>
  <c r="BW221" i="10"/>
  <c r="BQ221" i="10"/>
  <c r="BH221" i="10"/>
  <c r="BB221" i="10"/>
  <c r="AX221" i="10"/>
  <c r="AR221" i="10"/>
  <c r="AN221" i="10"/>
  <c r="AI221" i="10"/>
  <c r="CA221" i="10"/>
  <c r="BV221" i="10"/>
  <c r="BP221" i="10"/>
  <c r="BK221" i="10"/>
  <c r="BA221" i="10"/>
  <c r="AW221" i="10"/>
  <c r="AQ221" i="10"/>
  <c r="AM221" i="10"/>
  <c r="AH221" i="10"/>
  <c r="BX221" i="10" s="1"/>
  <c r="BZ221" i="10"/>
  <c r="BS221" i="10"/>
  <c r="BO221" i="10"/>
  <c r="BD221" i="10"/>
  <c r="AZ221" i="10"/>
  <c r="AT221" i="10"/>
  <c r="AP221" i="10"/>
  <c r="BU221" i="10" s="1"/>
  <c r="AL221" i="10"/>
  <c r="BY221" i="10"/>
  <c r="BI221" i="10"/>
  <c r="AS221" i="10"/>
  <c r="BR221" i="10"/>
  <c r="AO221" i="10"/>
  <c r="BN221" i="10"/>
  <c r="AK221" i="10"/>
  <c r="CC221" i="10"/>
  <c r="AY221" i="10"/>
  <c r="BL221" i="10"/>
  <c r="AF221" i="10"/>
  <c r="AE220" i="10"/>
  <c r="B222" i="10"/>
  <c r="CD222" i="10" s="1"/>
  <c r="BJ222" i="10" l="1"/>
  <c r="BT221" i="10"/>
  <c r="AV221" i="10"/>
  <c r="AU221" i="10"/>
  <c r="BG221" i="10" s="1"/>
  <c r="CB222" i="10"/>
  <c r="BP222" i="10"/>
  <c r="BK222" i="10"/>
  <c r="BA222" i="10"/>
  <c r="AW222" i="10"/>
  <c r="AS222" i="10"/>
  <c r="AO222" i="10"/>
  <c r="AK222" i="10"/>
  <c r="CA222" i="10"/>
  <c r="BW222" i="10"/>
  <c r="BS222" i="10"/>
  <c r="BO222" i="10"/>
  <c r="BD222" i="10"/>
  <c r="AZ222" i="10"/>
  <c r="AR222" i="10"/>
  <c r="AN222" i="10"/>
  <c r="AI222" i="10"/>
  <c r="BZ222" i="10"/>
  <c r="BV222" i="10"/>
  <c r="BR222" i="10"/>
  <c r="BN222" i="10"/>
  <c r="BI222" i="10"/>
  <c r="AY222" i="10"/>
  <c r="AQ222" i="10"/>
  <c r="AM222" i="10"/>
  <c r="AH222" i="10"/>
  <c r="AT222" i="10"/>
  <c r="BQ222" i="10"/>
  <c r="AP222" i="10"/>
  <c r="BU222" i="10" s="1"/>
  <c r="CC222" i="10"/>
  <c r="BB222" i="10"/>
  <c r="AL222" i="10"/>
  <c r="BY222" i="10"/>
  <c r="AX222" i="10"/>
  <c r="BH222" i="10"/>
  <c r="BL222" i="10"/>
  <c r="AF222" i="10"/>
  <c r="AE221" i="10"/>
  <c r="B223" i="10"/>
  <c r="CD223" i="10" s="1"/>
  <c r="BJ223" i="10" l="1"/>
  <c r="AU222" i="10"/>
  <c r="BG222" i="10" s="1"/>
  <c r="CA223" i="10"/>
  <c r="BV223" i="10"/>
  <c r="BQ223" i="10"/>
  <c r="BH223" i="10"/>
  <c r="BB223" i="10"/>
  <c r="AX223" i="10"/>
  <c r="AS223" i="10"/>
  <c r="AO223" i="10"/>
  <c r="AK223" i="10"/>
  <c r="BZ223" i="10"/>
  <c r="BP223" i="10"/>
  <c r="BK223" i="10"/>
  <c r="BA223" i="10"/>
  <c r="AW223" i="10"/>
  <c r="AR223" i="10"/>
  <c r="AN223" i="10"/>
  <c r="AI223" i="10"/>
  <c r="CC223" i="10"/>
  <c r="BY223" i="10"/>
  <c r="BS223" i="10"/>
  <c r="BO223" i="10"/>
  <c r="BD223" i="10"/>
  <c r="AZ223" i="10"/>
  <c r="AQ223" i="10"/>
  <c r="AM223" i="10"/>
  <c r="AH223" i="10"/>
  <c r="BT223" i="10" s="1"/>
  <c r="BR223" i="10"/>
  <c r="AP223" i="10"/>
  <c r="BN223" i="10"/>
  <c r="AL223" i="10"/>
  <c r="CB223" i="10"/>
  <c r="AY223" i="10"/>
  <c r="BI223" i="10"/>
  <c r="BW223" i="10"/>
  <c r="AT223" i="10"/>
  <c r="BL223" i="10"/>
  <c r="BT222" i="10"/>
  <c r="AV222" i="10"/>
  <c r="BX222" i="10"/>
  <c r="AF223" i="10"/>
  <c r="AE222" i="10"/>
  <c r="B224" i="10"/>
  <c r="CD224" i="10" s="1"/>
  <c r="BJ224" i="10" l="1"/>
  <c r="CB224" i="10"/>
  <c r="BW224" i="10"/>
  <c r="BQ224" i="10"/>
  <c r="BH224" i="10"/>
  <c r="BB224" i="10"/>
  <c r="AX224" i="10"/>
  <c r="AR224" i="10"/>
  <c r="AN224" i="10"/>
  <c r="AI224" i="10"/>
  <c r="CA224" i="10"/>
  <c r="BV224" i="10"/>
  <c r="BP224" i="10"/>
  <c r="BK224" i="10"/>
  <c r="BA224" i="10"/>
  <c r="AW224" i="10"/>
  <c r="AQ224" i="10"/>
  <c r="AM224" i="10"/>
  <c r="AH224" i="10"/>
  <c r="BT224" i="10" s="1"/>
  <c r="BZ224" i="10"/>
  <c r="BS224" i="10"/>
  <c r="BO224" i="10"/>
  <c r="BD224" i="10"/>
  <c r="AZ224" i="10"/>
  <c r="AT224" i="10"/>
  <c r="AP224" i="10"/>
  <c r="BU224" i="10" s="1"/>
  <c r="AL224" i="10"/>
  <c r="BR224" i="10"/>
  <c r="AO224" i="10"/>
  <c r="BN224" i="10"/>
  <c r="AK224" i="10"/>
  <c r="CC224" i="10"/>
  <c r="AY224" i="10"/>
  <c r="BY224" i="10"/>
  <c r="AS224" i="10"/>
  <c r="BI224" i="10"/>
  <c r="BL224" i="10"/>
  <c r="AU223" i="10"/>
  <c r="BG223" i="10" s="1"/>
  <c r="BU223" i="10"/>
  <c r="BX223" i="10"/>
  <c r="AV223" i="10"/>
  <c r="AF224" i="10"/>
  <c r="AE223" i="10"/>
  <c r="B225" i="10"/>
  <c r="CD225" i="10" s="1"/>
  <c r="BJ225" i="10" l="1"/>
  <c r="AU224" i="10"/>
  <c r="BG224" i="10" s="1"/>
  <c r="BX224" i="10"/>
  <c r="CC225" i="10"/>
  <c r="BY225" i="10"/>
  <c r="BR225" i="10"/>
  <c r="BN225" i="10"/>
  <c r="BI225" i="10"/>
  <c r="AY225" i="10"/>
  <c r="AS225" i="10"/>
  <c r="AO225" i="10"/>
  <c r="AK225" i="10"/>
  <c r="CB225" i="10"/>
  <c r="BW225" i="10"/>
  <c r="BQ225" i="10"/>
  <c r="BH225" i="10"/>
  <c r="BB225" i="10"/>
  <c r="AX225" i="10"/>
  <c r="AR225" i="10"/>
  <c r="AN225" i="10"/>
  <c r="AI225" i="10"/>
  <c r="CA225" i="10"/>
  <c r="BV225" i="10"/>
  <c r="BP225" i="10"/>
  <c r="BK225" i="10"/>
  <c r="BA225" i="10"/>
  <c r="AW225" i="10"/>
  <c r="AQ225" i="10"/>
  <c r="AM225" i="10"/>
  <c r="AH225" i="10"/>
  <c r="BT225" i="10" s="1"/>
  <c r="BO225" i="10"/>
  <c r="BD225" i="10"/>
  <c r="AP225" i="10"/>
  <c r="BU225" i="10" s="1"/>
  <c r="AL225" i="10"/>
  <c r="BZ225" i="10"/>
  <c r="AZ225" i="10"/>
  <c r="BS225" i="10"/>
  <c r="AT225" i="10"/>
  <c r="BL225" i="10"/>
  <c r="AV224" i="10"/>
  <c r="AF225" i="10"/>
  <c r="AE224" i="10"/>
  <c r="B226" i="10"/>
  <c r="CD226" i="10" s="1"/>
  <c r="BJ226" i="10" l="1"/>
  <c r="BX225" i="10"/>
  <c r="AU225" i="10"/>
  <c r="BG225" i="10" s="1"/>
  <c r="CC226" i="10"/>
  <c r="BY226" i="10"/>
  <c r="BQ226" i="10"/>
  <c r="BH226" i="10"/>
  <c r="BB226" i="10"/>
  <c r="AX226" i="10"/>
  <c r="AT226" i="10"/>
  <c r="AP226" i="10"/>
  <c r="BU226" i="10" s="1"/>
  <c r="AL226" i="10"/>
  <c r="CB226" i="10"/>
  <c r="BP226" i="10"/>
  <c r="BK226" i="10"/>
  <c r="BA226" i="10"/>
  <c r="AW226" i="10"/>
  <c r="AS226" i="10"/>
  <c r="AO226" i="10"/>
  <c r="AK226" i="10"/>
  <c r="CA226" i="10"/>
  <c r="BW226" i="10"/>
  <c r="BS226" i="10"/>
  <c r="BO226" i="10"/>
  <c r="BD226" i="10"/>
  <c r="AZ226" i="10"/>
  <c r="AR226" i="10"/>
  <c r="AN226" i="10"/>
  <c r="AI226" i="10"/>
  <c r="BN226" i="10"/>
  <c r="AM226" i="10"/>
  <c r="BZ226" i="10"/>
  <c r="AY226" i="10"/>
  <c r="AH226" i="10"/>
  <c r="BV226" i="10"/>
  <c r="BI226" i="10"/>
  <c r="BR226" i="10"/>
  <c r="AQ226" i="10"/>
  <c r="BL226" i="10"/>
  <c r="AV225" i="10"/>
  <c r="AF226" i="10"/>
  <c r="AE225" i="10"/>
  <c r="B227" i="10"/>
  <c r="CD227" i="10" s="1"/>
  <c r="BJ227" i="10" l="1"/>
  <c r="AU226" i="10"/>
  <c r="BG226" i="10" s="1"/>
  <c r="AV226" i="10"/>
  <c r="CB227" i="10"/>
  <c r="BW227" i="10"/>
  <c r="BR227" i="10"/>
  <c r="BN227" i="10"/>
  <c r="BI227" i="10"/>
  <c r="AY227" i="10"/>
  <c r="AT227" i="10"/>
  <c r="AP227" i="10"/>
  <c r="AV227" i="10" s="1"/>
  <c r="AL227" i="10"/>
  <c r="CA227" i="10"/>
  <c r="BV227" i="10"/>
  <c r="BQ227" i="10"/>
  <c r="BH227" i="10"/>
  <c r="BB227" i="10"/>
  <c r="AX227" i="10"/>
  <c r="AS227" i="10"/>
  <c r="AO227" i="10"/>
  <c r="AK227" i="10"/>
  <c r="BZ227" i="10"/>
  <c r="BP227" i="10"/>
  <c r="BK227" i="10"/>
  <c r="BA227" i="10"/>
  <c r="AW227" i="10"/>
  <c r="AR227" i="10"/>
  <c r="AN227" i="10"/>
  <c r="AI227" i="10"/>
  <c r="BY227" i="10"/>
  <c r="AZ227" i="10"/>
  <c r="AH227" i="10"/>
  <c r="BT227" i="10" s="1"/>
  <c r="BS227" i="10"/>
  <c r="BO227" i="10"/>
  <c r="BD227" i="10"/>
  <c r="AQ227" i="10"/>
  <c r="CC227" i="10"/>
  <c r="AM227" i="10"/>
  <c r="BL227" i="10"/>
  <c r="BX226" i="10"/>
  <c r="BT226" i="10"/>
  <c r="AF227" i="10"/>
  <c r="AE226" i="10"/>
  <c r="B228" i="10"/>
  <c r="CD228" i="10" s="1"/>
  <c r="BJ228" i="10" l="1"/>
  <c r="BX227" i="10"/>
  <c r="CC228" i="10"/>
  <c r="BY228" i="10"/>
  <c r="BR228" i="10"/>
  <c r="BN228" i="10"/>
  <c r="BI228" i="10"/>
  <c r="AY228" i="10"/>
  <c r="AS228" i="10"/>
  <c r="AO228" i="10"/>
  <c r="AK228" i="10"/>
  <c r="CB228" i="10"/>
  <c r="BW228" i="10"/>
  <c r="BQ228" i="10"/>
  <c r="BH228" i="10"/>
  <c r="BB228" i="10"/>
  <c r="AX228" i="10"/>
  <c r="AR228" i="10"/>
  <c r="AN228" i="10"/>
  <c r="AI228" i="10"/>
  <c r="CA228" i="10"/>
  <c r="BV228" i="10"/>
  <c r="BP228" i="10"/>
  <c r="BK228" i="10"/>
  <c r="BA228" i="10"/>
  <c r="AW228" i="10"/>
  <c r="AQ228" i="10"/>
  <c r="AM228" i="10"/>
  <c r="AH228" i="10"/>
  <c r="BX228" i="10" s="1"/>
  <c r="BS228" i="10"/>
  <c r="AT228" i="10"/>
  <c r="BO228" i="10"/>
  <c r="BD228" i="10"/>
  <c r="AP228" i="10"/>
  <c r="BU228" i="10" s="1"/>
  <c r="AL228" i="10"/>
  <c r="AZ228" i="10"/>
  <c r="BZ228" i="10"/>
  <c r="BL228" i="10"/>
  <c r="AU227" i="10"/>
  <c r="BG227" i="10" s="1"/>
  <c r="BU227" i="10"/>
  <c r="AF228" i="10"/>
  <c r="AE227" i="10"/>
  <c r="B229" i="10"/>
  <c r="CD229" i="10" s="1"/>
  <c r="BJ229" i="10" l="1"/>
  <c r="AU228" i="10"/>
  <c r="BG228" i="10" s="1"/>
  <c r="BT228" i="10"/>
  <c r="BZ229" i="10"/>
  <c r="BS229" i="10"/>
  <c r="BO229" i="10"/>
  <c r="BD229" i="10"/>
  <c r="AZ229" i="10"/>
  <c r="AT229" i="10"/>
  <c r="AP229" i="10"/>
  <c r="BU229" i="10" s="1"/>
  <c r="AL229" i="10"/>
  <c r="CC229" i="10"/>
  <c r="BY229" i="10"/>
  <c r="BR229" i="10"/>
  <c r="BN229" i="10"/>
  <c r="BI229" i="10"/>
  <c r="AY229" i="10"/>
  <c r="AS229" i="10"/>
  <c r="AO229" i="10"/>
  <c r="AK229" i="10"/>
  <c r="CB229" i="10"/>
  <c r="BW229" i="10"/>
  <c r="BQ229" i="10"/>
  <c r="BH229" i="10"/>
  <c r="BB229" i="10"/>
  <c r="AX229" i="10"/>
  <c r="AR229" i="10"/>
  <c r="AN229" i="10"/>
  <c r="AI229" i="10"/>
  <c r="BV229" i="10"/>
  <c r="AQ229" i="10"/>
  <c r="BP229" i="10"/>
  <c r="AM229" i="10"/>
  <c r="BA229" i="10"/>
  <c r="AH229" i="10"/>
  <c r="BX229" i="10" s="1"/>
  <c r="CA229" i="10"/>
  <c r="AW229" i="10"/>
  <c r="BK229" i="10"/>
  <c r="BL229" i="10"/>
  <c r="AV228" i="10"/>
  <c r="AF229" i="10"/>
  <c r="AE228" i="10"/>
  <c r="B230" i="10"/>
  <c r="CD230" i="10" s="1"/>
  <c r="BJ230" i="10" l="1"/>
  <c r="BT229" i="10"/>
  <c r="AV229" i="10"/>
  <c r="AU229" i="10"/>
  <c r="BG229" i="10" s="1"/>
  <c r="BZ230" i="10"/>
  <c r="BV230" i="10"/>
  <c r="BR230" i="10"/>
  <c r="BN230" i="10"/>
  <c r="BI230" i="10"/>
  <c r="AY230" i="10"/>
  <c r="AQ230" i="10"/>
  <c r="AM230" i="10"/>
  <c r="AH230" i="10"/>
  <c r="BT230" i="10" s="1"/>
  <c r="CC230" i="10"/>
  <c r="BY230" i="10"/>
  <c r="BQ230" i="10"/>
  <c r="BH230" i="10"/>
  <c r="BB230" i="10"/>
  <c r="AX230" i="10"/>
  <c r="AT230" i="10"/>
  <c r="AP230" i="10"/>
  <c r="BU230" i="10" s="1"/>
  <c r="AL230" i="10"/>
  <c r="CB230" i="10"/>
  <c r="BP230" i="10"/>
  <c r="BK230" i="10"/>
  <c r="BA230" i="10"/>
  <c r="AW230" i="10"/>
  <c r="AS230" i="10"/>
  <c r="AO230" i="10"/>
  <c r="AK230" i="10"/>
  <c r="BO230" i="10"/>
  <c r="BD230" i="10"/>
  <c r="AR230" i="10"/>
  <c r="CA230" i="10"/>
  <c r="AN230" i="10"/>
  <c r="BW230" i="10"/>
  <c r="AZ230" i="10"/>
  <c r="AI230" i="10"/>
  <c r="BS230" i="10"/>
  <c r="BL230" i="10"/>
  <c r="AF230" i="10"/>
  <c r="AE229" i="10"/>
  <c r="B231" i="10"/>
  <c r="CD231" i="10" s="1"/>
  <c r="BJ231" i="10" l="1"/>
  <c r="AU230" i="10"/>
  <c r="BG230" i="10" s="1"/>
  <c r="BX230" i="10"/>
  <c r="CC231" i="10"/>
  <c r="BY231" i="10"/>
  <c r="BS231" i="10"/>
  <c r="BO231" i="10"/>
  <c r="BD231" i="10"/>
  <c r="AZ231" i="10"/>
  <c r="AQ231" i="10"/>
  <c r="AM231" i="10"/>
  <c r="AH231" i="10"/>
  <c r="BT231" i="10" s="1"/>
  <c r="CB231" i="10"/>
  <c r="BW231" i="10"/>
  <c r="BR231" i="10"/>
  <c r="BN231" i="10"/>
  <c r="BI231" i="10"/>
  <c r="AY231" i="10"/>
  <c r="AT231" i="10"/>
  <c r="AP231" i="10"/>
  <c r="AV231" i="10" s="1"/>
  <c r="AL231" i="10"/>
  <c r="CA231" i="10"/>
  <c r="BV231" i="10"/>
  <c r="BQ231" i="10"/>
  <c r="BH231" i="10"/>
  <c r="BB231" i="10"/>
  <c r="AX231" i="10"/>
  <c r="AS231" i="10"/>
  <c r="AO231" i="10"/>
  <c r="AK231" i="10"/>
  <c r="BA231" i="10"/>
  <c r="AI231" i="10"/>
  <c r="BZ231" i="10"/>
  <c r="BK231" i="10"/>
  <c r="AW231" i="10"/>
  <c r="AR231" i="10"/>
  <c r="BP231" i="10"/>
  <c r="AN231" i="10"/>
  <c r="BL231" i="10"/>
  <c r="AV230" i="10"/>
  <c r="AF231" i="10"/>
  <c r="AE230" i="10"/>
  <c r="B232" i="10"/>
  <c r="CD232" i="10" s="1"/>
  <c r="BJ232" i="10" l="1"/>
  <c r="BZ232" i="10"/>
  <c r="BS232" i="10"/>
  <c r="BO232" i="10"/>
  <c r="BD232" i="10"/>
  <c r="AZ232" i="10"/>
  <c r="AT232" i="10"/>
  <c r="AP232" i="10"/>
  <c r="BU232" i="10" s="1"/>
  <c r="AL232" i="10"/>
  <c r="CC232" i="10"/>
  <c r="BY232" i="10"/>
  <c r="BR232" i="10"/>
  <c r="BN232" i="10"/>
  <c r="BI232" i="10"/>
  <c r="AY232" i="10"/>
  <c r="AS232" i="10"/>
  <c r="AO232" i="10"/>
  <c r="AK232" i="10"/>
  <c r="CB232" i="10"/>
  <c r="BW232" i="10"/>
  <c r="BQ232" i="10"/>
  <c r="BH232" i="10"/>
  <c r="BB232" i="10"/>
  <c r="AX232" i="10"/>
  <c r="AR232" i="10"/>
  <c r="AN232" i="10"/>
  <c r="AI232" i="10"/>
  <c r="BA232" i="10"/>
  <c r="AH232" i="10"/>
  <c r="CA232" i="10"/>
  <c r="BK232" i="10"/>
  <c r="AW232" i="10"/>
  <c r="BV232" i="10"/>
  <c r="AQ232" i="10"/>
  <c r="BP232" i="10"/>
  <c r="AM232" i="10"/>
  <c r="BT232" i="10"/>
  <c r="BL232" i="10"/>
  <c r="AU231" i="10"/>
  <c r="BG231" i="10" s="1"/>
  <c r="BU231" i="10"/>
  <c r="BX231" i="10"/>
  <c r="AF232" i="10"/>
  <c r="AE231" i="10"/>
  <c r="B233" i="10"/>
  <c r="CD233" i="10" s="1"/>
  <c r="BJ233" i="10" l="1"/>
  <c r="AV232" i="10"/>
  <c r="CA233" i="10"/>
  <c r="BV233" i="10"/>
  <c r="BP233" i="10"/>
  <c r="BK233" i="10"/>
  <c r="BA233" i="10"/>
  <c r="AW233" i="10"/>
  <c r="AQ233" i="10"/>
  <c r="AM233" i="10"/>
  <c r="AH233" i="10"/>
  <c r="BT233" i="10" s="1"/>
  <c r="BZ233" i="10"/>
  <c r="BS233" i="10"/>
  <c r="BO233" i="10"/>
  <c r="BD233" i="10"/>
  <c r="AZ233" i="10"/>
  <c r="AT233" i="10"/>
  <c r="AP233" i="10"/>
  <c r="BU233" i="10" s="1"/>
  <c r="AL233" i="10"/>
  <c r="CC233" i="10"/>
  <c r="BY233" i="10"/>
  <c r="BR233" i="10"/>
  <c r="BN233" i="10"/>
  <c r="BI233" i="10"/>
  <c r="AY233" i="10"/>
  <c r="AS233" i="10"/>
  <c r="AO233" i="10"/>
  <c r="AK233" i="10"/>
  <c r="BB233" i="10"/>
  <c r="AI233" i="10"/>
  <c r="CB233" i="10"/>
  <c r="BH233" i="10"/>
  <c r="AX233" i="10"/>
  <c r="BW233" i="10"/>
  <c r="AR233" i="10"/>
  <c r="BQ233" i="10"/>
  <c r="AN233" i="10"/>
  <c r="AU233" i="10"/>
  <c r="BL233" i="10"/>
  <c r="AU232" i="10"/>
  <c r="BG232" i="10" s="1"/>
  <c r="BX232" i="10"/>
  <c r="AF233" i="10"/>
  <c r="AE232" i="10"/>
  <c r="B234" i="10"/>
  <c r="CD234" i="10" s="1"/>
  <c r="BJ234" i="10" l="1"/>
  <c r="AV233" i="10"/>
  <c r="CA234" i="10"/>
  <c r="BW234" i="10"/>
  <c r="BS234" i="10"/>
  <c r="BO234" i="10"/>
  <c r="BD234" i="10"/>
  <c r="AZ234" i="10"/>
  <c r="AR234" i="10"/>
  <c r="AN234" i="10"/>
  <c r="AI234" i="10"/>
  <c r="BZ234" i="10"/>
  <c r="BV234" i="10"/>
  <c r="BR234" i="10"/>
  <c r="BN234" i="10"/>
  <c r="BI234" i="10"/>
  <c r="AY234" i="10"/>
  <c r="AQ234" i="10"/>
  <c r="AM234" i="10"/>
  <c r="AH234" i="10"/>
  <c r="BX234" i="10" s="1"/>
  <c r="CC234" i="10"/>
  <c r="BY234" i="10"/>
  <c r="BQ234" i="10"/>
  <c r="BH234" i="10"/>
  <c r="BB234" i="10"/>
  <c r="AX234" i="10"/>
  <c r="AT234" i="10"/>
  <c r="AP234" i="10"/>
  <c r="BU234" i="10" s="1"/>
  <c r="AL234" i="10"/>
  <c r="CB234" i="10"/>
  <c r="BA234" i="10"/>
  <c r="AK234" i="10"/>
  <c r="BK234" i="10"/>
  <c r="AW234" i="10"/>
  <c r="AS234" i="10"/>
  <c r="BP234" i="10"/>
  <c r="AO234" i="10"/>
  <c r="BL234" i="10"/>
  <c r="BX233" i="10"/>
  <c r="BG233" i="10"/>
  <c r="AF234" i="10"/>
  <c r="AE233" i="10"/>
  <c r="B235" i="10"/>
  <c r="CD235" i="10" s="1"/>
  <c r="BJ235" i="10" l="1"/>
  <c r="BT234" i="10"/>
  <c r="AV234" i="10"/>
  <c r="BZ235" i="10"/>
  <c r="BP235" i="10"/>
  <c r="BK235" i="10"/>
  <c r="BA235" i="10"/>
  <c r="AW235" i="10"/>
  <c r="AR235" i="10"/>
  <c r="AN235" i="10"/>
  <c r="AI235" i="10"/>
  <c r="CC235" i="10"/>
  <c r="BY235" i="10"/>
  <c r="BS235" i="10"/>
  <c r="BO235" i="10"/>
  <c r="BD235" i="10"/>
  <c r="AZ235" i="10"/>
  <c r="AQ235" i="10"/>
  <c r="AM235" i="10"/>
  <c r="AH235" i="10"/>
  <c r="CB235" i="10"/>
  <c r="BW235" i="10"/>
  <c r="BR235" i="10"/>
  <c r="BN235" i="10"/>
  <c r="BI235" i="10"/>
  <c r="AY235" i="10"/>
  <c r="AT235" i="10"/>
  <c r="AP235" i="10"/>
  <c r="AV235" i="10" s="1"/>
  <c r="AL235" i="10"/>
  <c r="CA235" i="10"/>
  <c r="BH235" i="10"/>
  <c r="AX235" i="10"/>
  <c r="BV235" i="10"/>
  <c r="AS235" i="10"/>
  <c r="BQ235" i="10"/>
  <c r="AO235" i="10"/>
  <c r="BB235" i="10"/>
  <c r="AK235" i="10"/>
  <c r="BL235" i="10"/>
  <c r="AU234" i="10"/>
  <c r="BG234" i="10" s="1"/>
  <c r="AF235" i="10"/>
  <c r="AE234" i="10"/>
  <c r="B236" i="10"/>
  <c r="CD236" i="10" s="1"/>
  <c r="BJ236" i="10" l="1"/>
  <c r="BX235" i="10"/>
  <c r="BT235" i="10"/>
  <c r="CA236" i="10"/>
  <c r="BV236" i="10"/>
  <c r="BP236" i="10"/>
  <c r="BK236" i="10"/>
  <c r="BA236" i="10"/>
  <c r="AW236" i="10"/>
  <c r="AQ236" i="10"/>
  <c r="AM236" i="10"/>
  <c r="AH236" i="10"/>
  <c r="BZ236" i="10"/>
  <c r="BS236" i="10"/>
  <c r="BO236" i="10"/>
  <c r="BD236" i="10"/>
  <c r="AZ236" i="10"/>
  <c r="AT236" i="10"/>
  <c r="AP236" i="10"/>
  <c r="BU236" i="10" s="1"/>
  <c r="AL236" i="10"/>
  <c r="CC236" i="10"/>
  <c r="BY236" i="10"/>
  <c r="BR236" i="10"/>
  <c r="BN236" i="10"/>
  <c r="BI236" i="10"/>
  <c r="AY236" i="10"/>
  <c r="AS236" i="10"/>
  <c r="AO236" i="10"/>
  <c r="AK236" i="10"/>
  <c r="CB236" i="10"/>
  <c r="BH236" i="10"/>
  <c r="AX236" i="10"/>
  <c r="BW236" i="10"/>
  <c r="AR236" i="10"/>
  <c r="BQ236" i="10"/>
  <c r="AN236" i="10"/>
  <c r="BB236" i="10"/>
  <c r="AI236" i="10"/>
  <c r="BL236" i="10"/>
  <c r="AU235" i="10"/>
  <c r="BG235" i="10" s="1"/>
  <c r="BU235" i="10"/>
  <c r="AF236" i="10"/>
  <c r="AE235" i="10"/>
  <c r="B237" i="10"/>
  <c r="CD237" i="10" s="1"/>
  <c r="AU236" i="10" l="1"/>
  <c r="BG236" i="10" s="1"/>
  <c r="BJ237" i="10"/>
  <c r="CB237" i="10"/>
  <c r="BW237" i="10"/>
  <c r="BQ237" i="10"/>
  <c r="BH237" i="10"/>
  <c r="BB237" i="10"/>
  <c r="AX237" i="10"/>
  <c r="AR237" i="10"/>
  <c r="AN237" i="10"/>
  <c r="AI237" i="10"/>
  <c r="CA237" i="10"/>
  <c r="BV237" i="10"/>
  <c r="BP237" i="10"/>
  <c r="BK237" i="10"/>
  <c r="BA237" i="10"/>
  <c r="AW237" i="10"/>
  <c r="AQ237" i="10"/>
  <c r="AM237" i="10"/>
  <c r="AH237" i="10"/>
  <c r="BT237" i="10" s="1"/>
  <c r="BZ237" i="10"/>
  <c r="BS237" i="10"/>
  <c r="BO237" i="10"/>
  <c r="BD237" i="10"/>
  <c r="AZ237" i="10"/>
  <c r="AT237" i="10"/>
  <c r="AP237" i="10"/>
  <c r="BU237" i="10" s="1"/>
  <c r="AL237" i="10"/>
  <c r="CC237" i="10"/>
  <c r="AY237" i="10"/>
  <c r="BY237" i="10"/>
  <c r="BI237" i="10"/>
  <c r="AS237" i="10"/>
  <c r="BR237" i="10"/>
  <c r="AO237" i="10"/>
  <c r="BN237" i="10"/>
  <c r="AK237" i="10"/>
  <c r="BL237" i="10"/>
  <c r="BX236" i="10"/>
  <c r="AV236" i="10"/>
  <c r="BT236" i="10"/>
  <c r="AF237" i="10"/>
  <c r="AE236" i="10"/>
  <c r="B238" i="10"/>
  <c r="CD238" i="10" s="1"/>
  <c r="BJ238" i="10" l="1"/>
  <c r="AV237" i="10"/>
  <c r="AU237" i="10"/>
  <c r="BG237" i="10" s="1"/>
  <c r="CB238" i="10"/>
  <c r="BP238" i="10"/>
  <c r="BK238" i="10"/>
  <c r="BA238" i="10"/>
  <c r="AW238" i="10"/>
  <c r="AS238" i="10"/>
  <c r="AO238" i="10"/>
  <c r="AK238" i="10"/>
  <c r="CA238" i="10"/>
  <c r="BW238" i="10"/>
  <c r="BS238" i="10"/>
  <c r="BO238" i="10"/>
  <c r="BD238" i="10"/>
  <c r="AZ238" i="10"/>
  <c r="AR238" i="10"/>
  <c r="AN238" i="10"/>
  <c r="AI238" i="10"/>
  <c r="BZ238" i="10"/>
  <c r="BV238" i="10"/>
  <c r="BR238" i="10"/>
  <c r="BN238" i="10"/>
  <c r="BI238" i="10"/>
  <c r="AY238" i="10"/>
  <c r="AQ238" i="10"/>
  <c r="AM238" i="10"/>
  <c r="AH238" i="10"/>
  <c r="BX238" i="10" s="1"/>
  <c r="BY238" i="10"/>
  <c r="BH238" i="10"/>
  <c r="AX238" i="10"/>
  <c r="AT238" i="10"/>
  <c r="BQ238" i="10"/>
  <c r="AP238" i="10"/>
  <c r="BU238" i="10" s="1"/>
  <c r="AL238" i="10"/>
  <c r="CC238" i="10"/>
  <c r="BB238" i="10"/>
  <c r="BL238" i="10"/>
  <c r="BX237" i="10"/>
  <c r="AF238" i="10"/>
  <c r="AE237" i="10"/>
  <c r="B239" i="10"/>
  <c r="CD239" i="10" s="1"/>
  <c r="BJ239" i="10" l="1"/>
  <c r="AU238" i="10"/>
  <c r="BG238" i="10" s="1"/>
  <c r="BT238" i="10"/>
  <c r="CA239" i="10"/>
  <c r="BV239" i="10"/>
  <c r="BQ239" i="10"/>
  <c r="BH239" i="10"/>
  <c r="BB239" i="10"/>
  <c r="AX239" i="10"/>
  <c r="AS239" i="10"/>
  <c r="AO239" i="10"/>
  <c r="AK239" i="10"/>
  <c r="BZ239" i="10"/>
  <c r="BP239" i="10"/>
  <c r="BK239" i="10"/>
  <c r="BA239" i="10"/>
  <c r="AW239" i="10"/>
  <c r="AR239" i="10"/>
  <c r="AN239" i="10"/>
  <c r="AI239" i="10"/>
  <c r="CC239" i="10"/>
  <c r="BY239" i="10"/>
  <c r="BS239" i="10"/>
  <c r="BO239" i="10"/>
  <c r="BD239" i="10"/>
  <c r="AZ239" i="10"/>
  <c r="AQ239" i="10"/>
  <c r="AM239" i="10"/>
  <c r="AH239" i="10"/>
  <c r="BT239" i="10" s="1"/>
  <c r="BW239" i="10"/>
  <c r="BI239" i="10"/>
  <c r="AT239" i="10"/>
  <c r="BR239" i="10"/>
  <c r="AP239" i="10"/>
  <c r="BN239" i="10"/>
  <c r="AL239" i="10"/>
  <c r="CB239" i="10"/>
  <c r="AY239" i="10"/>
  <c r="BL239" i="10"/>
  <c r="AV238" i="10"/>
  <c r="AF239" i="10"/>
  <c r="AE238" i="10"/>
  <c r="B240" i="10"/>
  <c r="CD240" i="10" s="1"/>
  <c r="BJ240" i="10" l="1"/>
  <c r="AU239" i="10"/>
  <c r="BG239" i="10" s="1"/>
  <c r="BU239" i="10"/>
  <c r="AV239" i="10"/>
  <c r="CB240" i="10"/>
  <c r="BW240" i="10"/>
  <c r="BQ240" i="10"/>
  <c r="BH240" i="10"/>
  <c r="BB240" i="10"/>
  <c r="AX240" i="10"/>
  <c r="AR240" i="10"/>
  <c r="AN240" i="10"/>
  <c r="AI240" i="10"/>
  <c r="CA240" i="10"/>
  <c r="BV240" i="10"/>
  <c r="BP240" i="10"/>
  <c r="BK240" i="10"/>
  <c r="BA240" i="10"/>
  <c r="AW240" i="10"/>
  <c r="AQ240" i="10"/>
  <c r="AM240" i="10"/>
  <c r="AH240" i="10"/>
  <c r="BT240" i="10" s="1"/>
  <c r="BZ240" i="10"/>
  <c r="BS240" i="10"/>
  <c r="BO240" i="10"/>
  <c r="BD240" i="10"/>
  <c r="AZ240" i="10"/>
  <c r="AT240" i="10"/>
  <c r="AP240" i="10"/>
  <c r="BU240" i="10" s="1"/>
  <c r="AL240" i="10"/>
  <c r="BY240" i="10"/>
  <c r="BI240" i="10"/>
  <c r="AS240" i="10"/>
  <c r="BR240" i="10"/>
  <c r="AO240" i="10"/>
  <c r="BN240" i="10"/>
  <c r="AK240" i="10"/>
  <c r="CC240" i="10"/>
  <c r="AY240" i="10"/>
  <c r="BL240" i="10"/>
  <c r="BX239" i="10"/>
  <c r="AF240" i="10"/>
  <c r="AE239" i="10"/>
  <c r="B241" i="10"/>
  <c r="CD241" i="10" s="1"/>
  <c r="BJ241" i="10" l="1"/>
  <c r="AV240" i="10"/>
  <c r="AU240" i="10"/>
  <c r="BG240" i="10" s="1"/>
  <c r="CC241" i="10"/>
  <c r="BY241" i="10"/>
  <c r="BR241" i="10"/>
  <c r="BN241" i="10"/>
  <c r="BI241" i="10"/>
  <c r="AY241" i="10"/>
  <c r="AS241" i="10"/>
  <c r="AO241" i="10"/>
  <c r="AK241" i="10"/>
  <c r="CB241" i="10"/>
  <c r="BW241" i="10"/>
  <c r="BQ241" i="10"/>
  <c r="BH241" i="10"/>
  <c r="BB241" i="10"/>
  <c r="AX241" i="10"/>
  <c r="AR241" i="10"/>
  <c r="AN241" i="10"/>
  <c r="AI241" i="10"/>
  <c r="CA241" i="10"/>
  <c r="BV241" i="10"/>
  <c r="BP241" i="10"/>
  <c r="BK241" i="10"/>
  <c r="BA241" i="10"/>
  <c r="AW241" i="10"/>
  <c r="AQ241" i="10"/>
  <c r="AM241" i="10"/>
  <c r="AH241" i="10"/>
  <c r="BX241" i="10" s="1"/>
  <c r="BS241" i="10"/>
  <c r="AT241" i="10"/>
  <c r="BO241" i="10"/>
  <c r="BD241" i="10"/>
  <c r="AP241" i="10"/>
  <c r="BU241" i="10" s="1"/>
  <c r="AL241" i="10"/>
  <c r="AZ241" i="10"/>
  <c r="BZ241" i="10"/>
  <c r="BL241" i="10"/>
  <c r="BX240" i="10"/>
  <c r="AF241" i="10"/>
  <c r="AE240" i="10"/>
  <c r="B242" i="10"/>
  <c r="CD242" i="10" s="1"/>
  <c r="BJ242" i="10" l="1"/>
  <c r="AU241" i="10"/>
  <c r="BG241" i="10" s="1"/>
  <c r="AV241" i="10"/>
  <c r="CB242" i="10"/>
  <c r="BR242" i="10"/>
  <c r="BN242" i="10"/>
  <c r="BI242" i="10"/>
  <c r="AY242" i="10"/>
  <c r="AT242" i="10"/>
  <c r="AP242" i="10"/>
  <c r="BU242" i="10" s="1"/>
  <c r="AL242" i="10"/>
  <c r="CA242" i="10"/>
  <c r="BW242" i="10"/>
  <c r="BQ242" i="10"/>
  <c r="BH242" i="10"/>
  <c r="BB242" i="10"/>
  <c r="AX242" i="10"/>
  <c r="AS242" i="10"/>
  <c r="AO242" i="10"/>
  <c r="AK242" i="10"/>
  <c r="BZ242" i="10"/>
  <c r="BV242" i="10"/>
  <c r="BP242" i="10"/>
  <c r="BK242" i="10"/>
  <c r="BA242" i="10"/>
  <c r="AW242" i="10"/>
  <c r="AR242" i="10"/>
  <c r="AN242" i="10"/>
  <c r="AI242" i="10"/>
  <c r="BO242" i="10"/>
  <c r="BD242" i="10"/>
  <c r="AQ242" i="10"/>
  <c r="CC242" i="10"/>
  <c r="AM242" i="10"/>
  <c r="BY242" i="10"/>
  <c r="AZ242" i="10"/>
  <c r="AH242" i="10"/>
  <c r="BT242" i="10" s="1"/>
  <c r="BS242" i="10"/>
  <c r="BL242" i="10"/>
  <c r="BT241" i="10"/>
  <c r="AF242" i="10"/>
  <c r="AE241" i="10"/>
  <c r="B243" i="10"/>
  <c r="CD243" i="10" s="1"/>
  <c r="BJ243" i="10" l="1"/>
  <c r="AV242" i="10"/>
  <c r="AU242" i="10"/>
  <c r="BG242" i="10" s="1"/>
  <c r="BX242" i="10"/>
  <c r="CB243" i="10"/>
  <c r="BP243" i="10"/>
  <c r="BK243" i="10"/>
  <c r="BA243" i="10"/>
  <c r="AW243" i="10"/>
  <c r="AS243" i="10"/>
  <c r="AO243" i="10"/>
  <c r="AK243" i="10"/>
  <c r="CA243" i="10"/>
  <c r="BW243" i="10"/>
  <c r="BS243" i="10"/>
  <c r="BO243" i="10"/>
  <c r="BD243" i="10"/>
  <c r="AZ243" i="10"/>
  <c r="AR243" i="10"/>
  <c r="AN243" i="10"/>
  <c r="AI243" i="10"/>
  <c r="BZ243" i="10"/>
  <c r="BV243" i="10"/>
  <c r="BR243" i="10"/>
  <c r="BN243" i="10"/>
  <c r="BI243" i="10"/>
  <c r="AY243" i="10"/>
  <c r="AQ243" i="10"/>
  <c r="AM243" i="10"/>
  <c r="AH243" i="10"/>
  <c r="CC243" i="10"/>
  <c r="BB243" i="10"/>
  <c r="AL243" i="10"/>
  <c r="BY243" i="10"/>
  <c r="BH243" i="10"/>
  <c r="AX243" i="10"/>
  <c r="AT243" i="10"/>
  <c r="BQ243" i="10"/>
  <c r="AP243" i="10"/>
  <c r="BU243" i="10" s="1"/>
  <c r="BL243" i="10"/>
  <c r="AF243" i="10"/>
  <c r="AE242" i="10"/>
  <c r="B244" i="10"/>
  <c r="CD244" i="10" s="1"/>
  <c r="BJ244" i="10" l="1"/>
  <c r="CA244" i="10"/>
  <c r="BV244" i="10"/>
  <c r="BQ244" i="10"/>
  <c r="BH244" i="10"/>
  <c r="BB244" i="10"/>
  <c r="AX244" i="10"/>
  <c r="AS244" i="10"/>
  <c r="AO244" i="10"/>
  <c r="AK244" i="10"/>
  <c r="BZ244" i="10"/>
  <c r="BP244" i="10"/>
  <c r="BK244" i="10"/>
  <c r="BA244" i="10"/>
  <c r="AW244" i="10"/>
  <c r="AR244" i="10"/>
  <c r="AN244" i="10"/>
  <c r="AI244" i="10"/>
  <c r="CC244" i="10"/>
  <c r="BY244" i="10"/>
  <c r="BS244" i="10"/>
  <c r="BO244" i="10"/>
  <c r="BD244" i="10"/>
  <c r="AZ244" i="10"/>
  <c r="AQ244" i="10"/>
  <c r="AM244" i="10"/>
  <c r="AH244" i="10"/>
  <c r="CB244" i="10"/>
  <c r="AY244" i="10"/>
  <c r="BW244" i="10"/>
  <c r="BI244" i="10"/>
  <c r="AT244" i="10"/>
  <c r="BR244" i="10"/>
  <c r="AP244" i="10"/>
  <c r="BN244" i="10"/>
  <c r="AL244" i="10"/>
  <c r="BL244" i="10"/>
  <c r="AU243" i="10"/>
  <c r="BG243" i="10" s="1"/>
  <c r="BT243" i="10"/>
  <c r="AV243" i="10"/>
  <c r="BX243" i="10"/>
  <c r="AF244" i="10"/>
  <c r="AE243" i="10"/>
  <c r="B245" i="10"/>
  <c r="CD245" i="10" s="1"/>
  <c r="BJ245" i="10" l="1"/>
  <c r="BX244" i="10"/>
  <c r="CB245" i="10"/>
  <c r="BW245" i="10"/>
  <c r="BQ245" i="10"/>
  <c r="BH245" i="10"/>
  <c r="BB245" i="10"/>
  <c r="AX245" i="10"/>
  <c r="AR245" i="10"/>
  <c r="AN245" i="10"/>
  <c r="AI245" i="10"/>
  <c r="CA245" i="10"/>
  <c r="BV245" i="10"/>
  <c r="BP245" i="10"/>
  <c r="BK245" i="10"/>
  <c r="BA245" i="10"/>
  <c r="AW245" i="10"/>
  <c r="AQ245" i="10"/>
  <c r="AM245" i="10"/>
  <c r="AH245" i="10"/>
  <c r="BT245" i="10" s="1"/>
  <c r="BZ245" i="10"/>
  <c r="BS245" i="10"/>
  <c r="BO245" i="10"/>
  <c r="BD245" i="10"/>
  <c r="AZ245" i="10"/>
  <c r="AT245" i="10"/>
  <c r="AP245" i="10"/>
  <c r="BU245" i="10" s="1"/>
  <c r="AL245" i="10"/>
  <c r="CC245" i="10"/>
  <c r="AY245" i="10"/>
  <c r="BY245" i="10"/>
  <c r="BI245" i="10"/>
  <c r="AS245" i="10"/>
  <c r="BR245" i="10"/>
  <c r="AO245" i="10"/>
  <c r="BN245" i="10"/>
  <c r="AK245" i="10"/>
  <c r="BL245" i="10"/>
  <c r="AU244" i="10"/>
  <c r="BG244" i="10" s="1"/>
  <c r="BU244" i="10"/>
  <c r="BT244" i="10"/>
  <c r="AV244" i="10"/>
  <c r="AF245" i="10"/>
  <c r="AE244" i="10"/>
  <c r="B246" i="10"/>
  <c r="CD246" i="10" s="1"/>
  <c r="BJ246" i="10" l="1"/>
  <c r="AU245" i="10"/>
  <c r="BG245" i="10" s="1"/>
  <c r="AV245" i="10"/>
  <c r="BZ246" i="10"/>
  <c r="BV246" i="10"/>
  <c r="BQ246" i="10"/>
  <c r="BH246" i="10"/>
  <c r="BB246" i="10"/>
  <c r="AX246" i="10"/>
  <c r="AS246" i="10"/>
  <c r="AO246" i="10"/>
  <c r="AK246" i="10"/>
  <c r="CC246" i="10"/>
  <c r="BY246" i="10"/>
  <c r="BP246" i="10"/>
  <c r="BK246" i="10"/>
  <c r="BA246" i="10"/>
  <c r="AW246" i="10"/>
  <c r="AR246" i="10"/>
  <c r="AN246" i="10"/>
  <c r="AI246" i="10"/>
  <c r="CB246" i="10"/>
  <c r="BS246" i="10"/>
  <c r="BO246" i="10"/>
  <c r="BD246" i="10"/>
  <c r="AZ246" i="10"/>
  <c r="AQ246" i="10"/>
  <c r="AM246" i="10"/>
  <c r="AH246" i="10"/>
  <c r="CA246" i="10"/>
  <c r="AY246" i="10"/>
  <c r="BW246" i="10"/>
  <c r="BI246" i="10"/>
  <c r="AT246" i="10"/>
  <c r="BR246" i="10"/>
  <c r="AP246" i="10"/>
  <c r="BU246" i="10" s="1"/>
  <c r="BN246" i="10"/>
  <c r="AL246" i="10"/>
  <c r="BL246" i="10"/>
  <c r="BX245" i="10"/>
  <c r="AF246" i="10"/>
  <c r="AE245" i="10"/>
  <c r="B247" i="10"/>
  <c r="CD247" i="10" s="1"/>
  <c r="BJ247" i="10" l="1"/>
  <c r="AV246" i="10"/>
  <c r="AU246" i="10"/>
  <c r="BG246" i="10" s="1"/>
  <c r="BZ247" i="10"/>
  <c r="BV247" i="10"/>
  <c r="BR247" i="10"/>
  <c r="BN247" i="10"/>
  <c r="BI247" i="10"/>
  <c r="AY247" i="10"/>
  <c r="AQ247" i="10"/>
  <c r="AM247" i="10"/>
  <c r="AH247" i="10"/>
  <c r="BX247" i="10" s="1"/>
  <c r="CC247" i="10"/>
  <c r="BY247" i="10"/>
  <c r="BQ247" i="10"/>
  <c r="BH247" i="10"/>
  <c r="BB247" i="10"/>
  <c r="AX247" i="10"/>
  <c r="AT247" i="10"/>
  <c r="AP247" i="10"/>
  <c r="BU247" i="10" s="1"/>
  <c r="AL247" i="10"/>
  <c r="CB247" i="10"/>
  <c r="BP247" i="10"/>
  <c r="BK247" i="10"/>
  <c r="BA247" i="10"/>
  <c r="AW247" i="10"/>
  <c r="AS247" i="10"/>
  <c r="AO247" i="10"/>
  <c r="AK247" i="10"/>
  <c r="BS247" i="10"/>
  <c r="BO247" i="10"/>
  <c r="BD247" i="10"/>
  <c r="AR247" i="10"/>
  <c r="CA247" i="10"/>
  <c r="AN247" i="10"/>
  <c r="AZ247" i="10"/>
  <c r="AI247" i="10"/>
  <c r="BW247" i="10"/>
  <c r="BL247" i="10"/>
  <c r="BX246" i="10"/>
  <c r="BT246" i="10"/>
  <c r="AF247" i="10"/>
  <c r="AE246" i="10"/>
  <c r="B248" i="10"/>
  <c r="CD248" i="10" s="1"/>
  <c r="BJ248" i="10" l="1"/>
  <c r="AV247" i="10"/>
  <c r="BT247" i="10"/>
  <c r="AU247" i="10"/>
  <c r="BG247" i="10" s="1"/>
  <c r="CC248" i="10"/>
  <c r="BY248" i="10"/>
  <c r="BS248" i="10"/>
  <c r="BO248" i="10"/>
  <c r="BD248" i="10"/>
  <c r="AZ248" i="10"/>
  <c r="AQ248" i="10"/>
  <c r="AM248" i="10"/>
  <c r="AH248" i="10"/>
  <c r="CB248" i="10"/>
  <c r="BW248" i="10"/>
  <c r="BR248" i="10"/>
  <c r="BN248" i="10"/>
  <c r="BI248" i="10"/>
  <c r="AY248" i="10"/>
  <c r="AT248" i="10"/>
  <c r="AP248" i="10"/>
  <c r="AV248" i="10" s="1"/>
  <c r="AL248" i="10"/>
  <c r="CA248" i="10"/>
  <c r="BV248" i="10"/>
  <c r="BQ248" i="10"/>
  <c r="BH248" i="10"/>
  <c r="BB248" i="10"/>
  <c r="AX248" i="10"/>
  <c r="AS248" i="10"/>
  <c r="AO248" i="10"/>
  <c r="AK248" i="10"/>
  <c r="BP248" i="10"/>
  <c r="AN248" i="10"/>
  <c r="BA248" i="10"/>
  <c r="AI248" i="10"/>
  <c r="BZ248" i="10"/>
  <c r="BK248" i="10"/>
  <c r="AW248" i="10"/>
  <c r="AR248" i="10"/>
  <c r="BL248" i="10"/>
  <c r="AF248" i="10"/>
  <c r="AE247" i="10"/>
  <c r="B249" i="10"/>
  <c r="CD249" i="10" s="1"/>
  <c r="BJ249" i="10" l="1"/>
  <c r="BX248" i="10"/>
  <c r="CC249" i="10"/>
  <c r="BY249" i="10"/>
  <c r="BR249" i="10"/>
  <c r="CB249" i="10"/>
  <c r="BV249" i="10"/>
  <c r="BO249" i="10"/>
  <c r="BD249" i="10"/>
  <c r="AZ249" i="10"/>
  <c r="AT249" i="10"/>
  <c r="AP249" i="10"/>
  <c r="BU249" i="10" s="1"/>
  <c r="AL249" i="10"/>
  <c r="CA249" i="10"/>
  <c r="BS249" i="10"/>
  <c r="BN249" i="10"/>
  <c r="BI249" i="10"/>
  <c r="AY249" i="10"/>
  <c r="AS249" i="10"/>
  <c r="AO249" i="10"/>
  <c r="AK249" i="10"/>
  <c r="BZ249" i="10"/>
  <c r="BQ249" i="10"/>
  <c r="BH249" i="10"/>
  <c r="BB249" i="10"/>
  <c r="AX249" i="10"/>
  <c r="AR249" i="10"/>
  <c r="AN249" i="10"/>
  <c r="AI249" i="10"/>
  <c r="BP249" i="10"/>
  <c r="AM249" i="10"/>
  <c r="BA249" i="10"/>
  <c r="AH249" i="10"/>
  <c r="BT249" i="10" s="1"/>
  <c r="BK249" i="10"/>
  <c r="AW249" i="10"/>
  <c r="BW249" i="10"/>
  <c r="AQ249" i="10"/>
  <c r="BL249" i="10"/>
  <c r="AU248" i="10"/>
  <c r="BG248" i="10" s="1"/>
  <c r="BU248" i="10"/>
  <c r="BT248" i="10"/>
  <c r="AF249" i="10"/>
  <c r="AE248" i="10"/>
  <c r="B250" i="10"/>
  <c r="CD250" i="10" s="1"/>
  <c r="BJ250" i="10" l="1"/>
  <c r="BX249" i="10"/>
  <c r="AV249" i="10"/>
  <c r="AU249" i="10"/>
  <c r="BG249" i="10" s="1"/>
  <c r="CA250" i="10"/>
  <c r="BW250" i="10"/>
  <c r="BR250" i="10"/>
  <c r="BN250" i="10"/>
  <c r="BI250" i="10"/>
  <c r="AY250" i="10"/>
  <c r="AT250" i="10"/>
  <c r="AP250" i="10"/>
  <c r="BU250" i="10" s="1"/>
  <c r="AL250" i="10"/>
  <c r="CB250" i="10"/>
  <c r="BV250" i="10"/>
  <c r="BP250" i="10"/>
  <c r="AX250" i="10"/>
  <c r="AR250" i="10"/>
  <c r="AM250" i="10"/>
  <c r="BZ250" i="10"/>
  <c r="BO250" i="10"/>
  <c r="BH250" i="10"/>
  <c r="BB250" i="10"/>
  <c r="AW250" i="10"/>
  <c r="AQ250" i="10"/>
  <c r="AK250" i="10"/>
  <c r="BY250" i="10"/>
  <c r="BS250" i="10"/>
  <c r="BA250" i="10"/>
  <c r="AO250" i="10"/>
  <c r="AI250" i="10"/>
  <c r="AS250" i="10"/>
  <c r="BQ250" i="10"/>
  <c r="BD250" i="10"/>
  <c r="AN250" i="10"/>
  <c r="AH250" i="10"/>
  <c r="AZ250" i="10"/>
  <c r="BK250" i="10"/>
  <c r="CC250" i="10"/>
  <c r="BL250" i="10"/>
  <c r="AF250" i="10"/>
  <c r="AE249" i="10"/>
  <c r="B251" i="10"/>
  <c r="CD251" i="10" s="1"/>
  <c r="BJ251" i="10" l="1"/>
  <c r="AV250" i="10"/>
  <c r="AU250" i="10"/>
  <c r="BG250" i="10" s="1"/>
  <c r="BX250" i="10"/>
  <c r="BT250" i="10"/>
  <c r="CA251" i="10"/>
  <c r="BW251" i="10"/>
  <c r="BS251" i="10"/>
  <c r="BO251" i="10"/>
  <c r="BD251" i="10"/>
  <c r="AZ251" i="10"/>
  <c r="AR251" i="10"/>
  <c r="AN251" i="10"/>
  <c r="AI251" i="10"/>
  <c r="BZ251" i="10"/>
  <c r="BV251" i="10"/>
  <c r="BR251" i="10"/>
  <c r="BP251" i="10"/>
  <c r="BI251" i="10"/>
  <c r="BB251" i="10"/>
  <c r="AW251" i="10"/>
  <c r="AQ251" i="10"/>
  <c r="AL251" i="10"/>
  <c r="CC251" i="10"/>
  <c r="BN251" i="10"/>
  <c r="BH251" i="10"/>
  <c r="BA251" i="10"/>
  <c r="AP251" i="10"/>
  <c r="BU251" i="10" s="1"/>
  <c r="AK251" i="10"/>
  <c r="CB251" i="10"/>
  <c r="AY251" i="10"/>
  <c r="AT251" i="10"/>
  <c r="AO251" i="10"/>
  <c r="AH251" i="10"/>
  <c r="AX251" i="10"/>
  <c r="BK251" i="10"/>
  <c r="AS251" i="10"/>
  <c r="BY251" i="10"/>
  <c r="AM251" i="10"/>
  <c r="BQ251" i="10"/>
  <c r="BL251" i="10"/>
  <c r="AF251" i="10"/>
  <c r="AE250" i="10"/>
  <c r="B252" i="10"/>
  <c r="CD252" i="10" s="1"/>
  <c r="BJ252" i="10" l="1"/>
  <c r="AU251" i="10"/>
  <c r="BG251" i="10" s="1"/>
  <c r="BT251" i="10"/>
  <c r="BZ252" i="10"/>
  <c r="BP252" i="10"/>
  <c r="BK252" i="10"/>
  <c r="BA252" i="10"/>
  <c r="AW252" i="10"/>
  <c r="AR252" i="10"/>
  <c r="AN252" i="10"/>
  <c r="AI252" i="10"/>
  <c r="CC252" i="10"/>
  <c r="BY252" i="10"/>
  <c r="BS252" i="10"/>
  <c r="BO252" i="10"/>
  <c r="BD252" i="10"/>
  <c r="AZ252" i="10"/>
  <c r="AQ252" i="10"/>
  <c r="AM252" i="10"/>
  <c r="AH252" i="10"/>
  <c r="BT252" i="10" s="1"/>
  <c r="CB252" i="10"/>
  <c r="BR252" i="10"/>
  <c r="BI252" i="10"/>
  <c r="BB252" i="10"/>
  <c r="AS252" i="10"/>
  <c r="AK252" i="10"/>
  <c r="CA252" i="10"/>
  <c r="BQ252" i="10"/>
  <c r="BH252" i="10"/>
  <c r="AY252" i="10"/>
  <c r="AP252" i="10"/>
  <c r="BW252" i="10"/>
  <c r="BN252" i="10"/>
  <c r="AX252" i="10"/>
  <c r="AO252" i="10"/>
  <c r="BV252" i="10"/>
  <c r="AT252" i="10"/>
  <c r="AL252" i="10"/>
  <c r="BL252" i="10"/>
  <c r="AV251" i="10"/>
  <c r="BX251" i="10"/>
  <c r="AF252" i="10"/>
  <c r="AE251" i="10"/>
  <c r="B253" i="10"/>
  <c r="CD253" i="10" s="1"/>
  <c r="BJ253" i="10" l="1"/>
  <c r="AU252" i="10"/>
  <c r="BG252" i="10" s="1"/>
  <c r="BU252" i="10"/>
  <c r="BX252" i="10"/>
  <c r="CA253" i="10"/>
  <c r="BV253" i="10"/>
  <c r="BP253" i="10"/>
  <c r="BK253" i="10"/>
  <c r="BA253" i="10"/>
  <c r="AW253" i="10"/>
  <c r="AQ253" i="10"/>
  <c r="AM253" i="10"/>
  <c r="AH253" i="10"/>
  <c r="BX253" i="10" s="1"/>
  <c r="BZ253" i="10"/>
  <c r="BS253" i="10"/>
  <c r="BO253" i="10"/>
  <c r="BD253" i="10"/>
  <c r="AZ253" i="10"/>
  <c r="AT253" i="10"/>
  <c r="AP253" i="10"/>
  <c r="BU253" i="10" s="1"/>
  <c r="AL253" i="10"/>
  <c r="CB253" i="10"/>
  <c r="BQ253" i="10"/>
  <c r="BH253" i="10"/>
  <c r="AY253" i="10"/>
  <c r="AO253" i="10"/>
  <c r="BY253" i="10"/>
  <c r="BN253" i="10"/>
  <c r="AX253" i="10"/>
  <c r="AN253" i="10"/>
  <c r="BW253" i="10"/>
  <c r="AS253" i="10"/>
  <c r="AK253" i="10"/>
  <c r="BR253" i="10"/>
  <c r="BB253" i="10"/>
  <c r="BI253" i="10"/>
  <c r="AR253" i="10"/>
  <c r="CC253" i="10"/>
  <c r="AI253" i="10"/>
  <c r="BL253" i="10"/>
  <c r="AV252" i="10"/>
  <c r="AF253" i="10"/>
  <c r="AE252" i="10"/>
  <c r="B254" i="10"/>
  <c r="CD254" i="10" s="1"/>
  <c r="BJ254" i="10" l="1"/>
  <c r="BT253" i="10"/>
  <c r="AV253" i="10"/>
  <c r="AU253" i="10"/>
  <c r="BG253" i="10" s="1"/>
  <c r="CC254" i="10"/>
  <c r="BY254" i="10"/>
  <c r="BP254" i="10"/>
  <c r="BK254" i="10"/>
  <c r="BA254" i="10"/>
  <c r="AW254" i="10"/>
  <c r="AR254" i="10"/>
  <c r="AN254" i="10"/>
  <c r="AI254" i="10"/>
  <c r="CB254" i="10"/>
  <c r="BS254" i="10"/>
  <c r="BO254" i="10"/>
  <c r="BD254" i="10"/>
  <c r="AZ254" i="10"/>
  <c r="AQ254" i="10"/>
  <c r="AM254" i="10"/>
  <c r="AH254" i="10"/>
  <c r="BT254" i="10" s="1"/>
  <c r="BW254" i="10"/>
  <c r="BN254" i="10"/>
  <c r="AX254" i="10"/>
  <c r="AO254" i="10"/>
  <c r="BV254" i="10"/>
  <c r="AT254" i="10"/>
  <c r="AL254" i="10"/>
  <c r="CA254" i="10"/>
  <c r="BR254" i="10"/>
  <c r="BI254" i="10"/>
  <c r="BB254" i="10"/>
  <c r="AS254" i="10"/>
  <c r="AK254" i="10"/>
  <c r="BQ254" i="10"/>
  <c r="AY254" i="10"/>
  <c r="BH254" i="10"/>
  <c r="AP254" i="10"/>
  <c r="BU254" i="10" s="1"/>
  <c r="BZ254" i="10"/>
  <c r="BL254" i="10"/>
  <c r="AF254" i="10"/>
  <c r="AE253" i="10"/>
  <c r="B255" i="10"/>
  <c r="CD255" i="10" s="1"/>
  <c r="BJ255" i="10" l="1"/>
  <c r="BX254" i="10"/>
  <c r="AV254" i="10"/>
  <c r="CC255" i="10"/>
  <c r="BY255" i="10"/>
  <c r="BQ255" i="10"/>
  <c r="BH255" i="10"/>
  <c r="BB255" i="10"/>
  <c r="AX255" i="10"/>
  <c r="AT255" i="10"/>
  <c r="AP255" i="10"/>
  <c r="BU255" i="10" s="1"/>
  <c r="AL255" i="10"/>
  <c r="CB255" i="10"/>
  <c r="BP255" i="10"/>
  <c r="BK255" i="10"/>
  <c r="BA255" i="10"/>
  <c r="AW255" i="10"/>
  <c r="AS255" i="10"/>
  <c r="AO255" i="10"/>
  <c r="AK255" i="10"/>
  <c r="BW255" i="10"/>
  <c r="BO255" i="10"/>
  <c r="BI255" i="10"/>
  <c r="AZ255" i="10"/>
  <c r="AR255" i="10"/>
  <c r="AI255" i="10"/>
  <c r="BV255" i="10"/>
  <c r="BN255" i="10"/>
  <c r="AY255" i="10"/>
  <c r="AQ255" i="10"/>
  <c r="AH255" i="10"/>
  <c r="BX255" i="10" s="1"/>
  <c r="CA255" i="10"/>
  <c r="BS255" i="10"/>
  <c r="BD255" i="10"/>
  <c r="AV255" i="10"/>
  <c r="AN255" i="10"/>
  <c r="BR255" i="10"/>
  <c r="AM255" i="10"/>
  <c r="BZ255" i="10"/>
  <c r="BL255" i="10"/>
  <c r="AU254" i="10"/>
  <c r="BG254" i="10" s="1"/>
  <c r="AF255" i="10"/>
  <c r="AE254" i="10"/>
  <c r="B256" i="10"/>
  <c r="CD256" i="10" s="1"/>
  <c r="BJ256" i="10" l="1"/>
  <c r="BT255" i="10"/>
  <c r="CB256" i="10"/>
  <c r="BW256" i="10"/>
  <c r="BR256" i="10"/>
  <c r="BN256" i="10"/>
  <c r="BI256" i="10"/>
  <c r="AY256" i="10"/>
  <c r="AT256" i="10"/>
  <c r="AP256" i="10"/>
  <c r="AV256" i="10" s="1"/>
  <c r="AL256" i="10"/>
  <c r="CA256" i="10"/>
  <c r="BV256" i="10"/>
  <c r="BQ256" i="10"/>
  <c r="BH256" i="10"/>
  <c r="BB256" i="10"/>
  <c r="AX256" i="10"/>
  <c r="AS256" i="10"/>
  <c r="AO256" i="10"/>
  <c r="AK256" i="10"/>
  <c r="BZ256" i="10"/>
  <c r="BP256" i="10"/>
  <c r="BA256" i="10"/>
  <c r="AR256" i="10"/>
  <c r="AI256" i="10"/>
  <c r="BY256" i="10"/>
  <c r="BO256" i="10"/>
  <c r="AZ256" i="10"/>
  <c r="AQ256" i="10"/>
  <c r="AH256" i="10"/>
  <c r="BT256" i="10" s="1"/>
  <c r="BD256" i="10"/>
  <c r="AW256" i="10"/>
  <c r="AN256" i="10"/>
  <c r="BS256" i="10"/>
  <c r="BK256" i="10"/>
  <c r="AM256" i="10"/>
  <c r="CC256" i="10"/>
  <c r="BL256" i="10"/>
  <c r="AU255" i="10"/>
  <c r="BG255" i="10" s="1"/>
  <c r="AF256" i="10"/>
  <c r="AE255" i="10"/>
  <c r="B257" i="10"/>
  <c r="CD257" i="10" s="1"/>
  <c r="BJ257" i="10" l="1"/>
  <c r="BX256" i="10"/>
  <c r="CC257" i="10"/>
  <c r="BY257" i="10"/>
  <c r="BR257" i="10"/>
  <c r="BN257" i="10"/>
  <c r="BI257" i="10"/>
  <c r="AY257" i="10"/>
  <c r="AS257" i="10"/>
  <c r="AO257" i="10"/>
  <c r="AK257" i="10"/>
  <c r="CB257" i="10"/>
  <c r="BW257" i="10"/>
  <c r="BQ257" i="10"/>
  <c r="BH257" i="10"/>
  <c r="BB257" i="10"/>
  <c r="AX257" i="10"/>
  <c r="AR257" i="10"/>
  <c r="AN257" i="10"/>
  <c r="AI257" i="10"/>
  <c r="BV257" i="10"/>
  <c r="BD257" i="10"/>
  <c r="AW257" i="10"/>
  <c r="AM257" i="10"/>
  <c r="BS257" i="10"/>
  <c r="BK257" i="10"/>
  <c r="AT257" i="10"/>
  <c r="AL257" i="10"/>
  <c r="CA257" i="10"/>
  <c r="BP257" i="10"/>
  <c r="BA257" i="10"/>
  <c r="AQ257" i="10"/>
  <c r="AH257" i="10"/>
  <c r="BT257" i="10" s="1"/>
  <c r="BZ257" i="10"/>
  <c r="BO257" i="10"/>
  <c r="AZ257" i="10"/>
  <c r="AP257" i="10"/>
  <c r="BU257" i="10" s="1"/>
  <c r="BL257" i="10"/>
  <c r="AU256" i="10"/>
  <c r="BG256" i="10" s="1"/>
  <c r="BU256" i="10"/>
  <c r="AF257" i="10"/>
  <c r="AE256" i="10"/>
  <c r="B258" i="10"/>
  <c r="CD258" i="10" s="1"/>
  <c r="BJ258" i="10" l="1"/>
  <c r="BX257" i="10"/>
  <c r="AV257" i="10"/>
  <c r="AU257" i="10"/>
  <c r="BG257" i="10" s="1"/>
  <c r="CA258" i="10"/>
  <c r="BW258" i="10"/>
  <c r="BR258" i="10"/>
  <c r="BN258" i="10"/>
  <c r="BI258" i="10"/>
  <c r="AY258" i="10"/>
  <c r="AT258" i="10"/>
  <c r="AP258" i="10"/>
  <c r="BU258" i="10" s="1"/>
  <c r="AL258" i="10"/>
  <c r="BZ258" i="10"/>
  <c r="BV258" i="10"/>
  <c r="BQ258" i="10"/>
  <c r="BH258" i="10"/>
  <c r="BB258" i="10"/>
  <c r="AX258" i="10"/>
  <c r="AS258" i="10"/>
  <c r="AO258" i="10"/>
  <c r="AK258" i="10"/>
  <c r="BY258" i="10"/>
  <c r="BP258" i="10"/>
  <c r="BA258" i="10"/>
  <c r="AR258" i="10"/>
  <c r="AI258" i="10"/>
  <c r="BO258" i="10"/>
  <c r="AZ258" i="10"/>
  <c r="AQ258" i="10"/>
  <c r="AH258" i="10"/>
  <c r="BT258" i="10" s="1"/>
  <c r="CC258" i="10"/>
  <c r="BD258" i="10"/>
  <c r="AW258" i="10"/>
  <c r="AN258" i="10"/>
  <c r="CB258" i="10"/>
  <c r="BS258" i="10"/>
  <c r="BK258" i="10"/>
  <c r="AM258" i="10"/>
  <c r="BL258" i="10"/>
  <c r="AF258" i="10"/>
  <c r="AE257" i="10"/>
  <c r="B259" i="10"/>
  <c r="CD259" i="10" s="1"/>
  <c r="BJ259" i="10" l="1"/>
  <c r="AU258" i="10"/>
  <c r="BG258" i="10" s="1"/>
  <c r="AV258" i="10"/>
  <c r="BX258" i="10"/>
  <c r="CA259" i="10"/>
  <c r="BW259" i="10"/>
  <c r="BS259" i="10"/>
  <c r="BO259" i="10"/>
  <c r="BD259" i="10"/>
  <c r="AZ259" i="10"/>
  <c r="AR259" i="10"/>
  <c r="AN259" i="10"/>
  <c r="AI259" i="10"/>
  <c r="BZ259" i="10"/>
  <c r="BV259" i="10"/>
  <c r="BR259" i="10"/>
  <c r="BN259" i="10"/>
  <c r="BI259" i="10"/>
  <c r="AY259" i="10"/>
  <c r="AQ259" i="10"/>
  <c r="AM259" i="10"/>
  <c r="AH259" i="10"/>
  <c r="BX259" i="10" s="1"/>
  <c r="CB259" i="10"/>
  <c r="BK259" i="10"/>
  <c r="BB259" i="10"/>
  <c r="AT259" i="10"/>
  <c r="AL259" i="10"/>
  <c r="BY259" i="10"/>
  <c r="BQ259" i="10"/>
  <c r="BH259" i="10"/>
  <c r="BA259" i="10"/>
  <c r="AS259" i="10"/>
  <c r="AK259" i="10"/>
  <c r="BP259" i="10"/>
  <c r="AX259" i="10"/>
  <c r="AP259" i="10"/>
  <c r="BU259" i="10" s="1"/>
  <c r="CC259" i="10"/>
  <c r="AW259" i="10"/>
  <c r="AO259" i="10"/>
  <c r="BL259" i="10"/>
  <c r="AF259" i="10"/>
  <c r="AE258" i="10"/>
  <c r="B260" i="10"/>
  <c r="CD260" i="10" s="1"/>
  <c r="BJ260" i="10" l="1"/>
  <c r="AU259" i="10"/>
  <c r="BG259" i="10" s="1"/>
  <c r="CA260" i="10"/>
  <c r="BV260" i="10"/>
  <c r="BP260" i="10"/>
  <c r="BK260" i="10"/>
  <c r="BA260" i="10"/>
  <c r="AW260" i="10"/>
  <c r="AR260" i="10"/>
  <c r="AN260" i="10"/>
  <c r="AI260" i="10"/>
  <c r="BZ260" i="10"/>
  <c r="BS260" i="10"/>
  <c r="BO260" i="10"/>
  <c r="BD260" i="10"/>
  <c r="AZ260" i="10"/>
  <c r="AQ260" i="10"/>
  <c r="AM260" i="10"/>
  <c r="AH260" i="10"/>
  <c r="BX260" i="10" s="1"/>
  <c r="BY260" i="10"/>
  <c r="BN260" i="10"/>
  <c r="AX260" i="10"/>
  <c r="AO260" i="10"/>
  <c r="BW260" i="10"/>
  <c r="AT260" i="10"/>
  <c r="AL260" i="10"/>
  <c r="CC260" i="10"/>
  <c r="BR260" i="10"/>
  <c r="BI260" i="10"/>
  <c r="BB260" i="10"/>
  <c r="AS260" i="10"/>
  <c r="AK260" i="10"/>
  <c r="BH260" i="10"/>
  <c r="AP260" i="10"/>
  <c r="BU260" i="10" s="1"/>
  <c r="CB260" i="10"/>
  <c r="BQ260" i="10"/>
  <c r="AY260" i="10"/>
  <c r="BL260" i="10"/>
  <c r="AV259" i="10"/>
  <c r="BT259" i="10"/>
  <c r="AF260" i="10"/>
  <c r="AE259" i="10"/>
  <c r="B261" i="10"/>
  <c r="CD261" i="10" s="1"/>
  <c r="BJ261" i="10" l="1"/>
  <c r="BT260" i="10"/>
  <c r="AU260" i="10"/>
  <c r="BG260" i="10" s="1"/>
  <c r="AV260" i="10"/>
  <c r="CB261" i="10"/>
  <c r="BW261" i="10"/>
  <c r="BQ261" i="10"/>
  <c r="BH261" i="10"/>
  <c r="BB261" i="10"/>
  <c r="AX261" i="10"/>
  <c r="AR261" i="10"/>
  <c r="AN261" i="10"/>
  <c r="AI261" i="10"/>
  <c r="CA261" i="10"/>
  <c r="BV261" i="10"/>
  <c r="BP261" i="10"/>
  <c r="BK261" i="10"/>
  <c r="BA261" i="10"/>
  <c r="AW261" i="10"/>
  <c r="AQ261" i="10"/>
  <c r="AM261" i="10"/>
  <c r="AH261" i="10"/>
  <c r="BT261" i="10" s="1"/>
  <c r="BS261" i="10"/>
  <c r="BD261" i="10"/>
  <c r="AT261" i="10"/>
  <c r="AL261" i="10"/>
  <c r="CC261" i="10"/>
  <c r="BR261" i="10"/>
  <c r="AS261" i="10"/>
  <c r="AK261" i="10"/>
  <c r="BZ261" i="10"/>
  <c r="BO261" i="10"/>
  <c r="BI261" i="10"/>
  <c r="AZ261" i="10"/>
  <c r="AP261" i="10"/>
  <c r="BU261" i="10" s="1"/>
  <c r="AO261" i="10"/>
  <c r="BY261" i="10"/>
  <c r="BN261" i="10"/>
  <c r="AY261" i="10"/>
  <c r="BL261" i="10"/>
  <c r="AF261" i="10"/>
  <c r="AE260" i="10"/>
  <c r="B262" i="10"/>
  <c r="CD262" i="10" s="1"/>
  <c r="BJ262" i="10" l="1"/>
  <c r="BX261" i="10"/>
  <c r="AV261" i="10"/>
  <c r="AU261" i="10"/>
  <c r="BG261" i="10" s="1"/>
  <c r="BZ262" i="10"/>
  <c r="BV262" i="10"/>
  <c r="BQ262" i="10"/>
  <c r="BH262" i="10"/>
  <c r="BB262" i="10"/>
  <c r="AX262" i="10"/>
  <c r="AS262" i="10"/>
  <c r="AO262" i="10"/>
  <c r="AK262" i="10"/>
  <c r="CC262" i="10"/>
  <c r="BY262" i="10"/>
  <c r="BP262" i="10"/>
  <c r="BK262" i="10"/>
  <c r="BA262" i="10"/>
  <c r="AW262" i="10"/>
  <c r="AR262" i="10"/>
  <c r="AN262" i="10"/>
  <c r="AI262" i="10"/>
  <c r="BO262" i="10"/>
  <c r="BI262" i="10"/>
  <c r="AZ262" i="10"/>
  <c r="AQ262" i="10"/>
  <c r="AH262" i="10"/>
  <c r="BX262" i="10" s="1"/>
  <c r="BW262" i="10"/>
  <c r="BN262" i="10"/>
  <c r="AY262" i="10"/>
  <c r="AP262" i="10"/>
  <c r="BU262" i="10" s="1"/>
  <c r="CB262" i="10"/>
  <c r="BS262" i="10"/>
  <c r="BD262" i="10"/>
  <c r="AM262" i="10"/>
  <c r="AT262" i="10"/>
  <c r="AL262" i="10"/>
  <c r="CA262" i="10"/>
  <c r="BR262" i="10"/>
  <c r="BL262" i="10"/>
  <c r="AF262" i="10"/>
  <c r="AE261" i="10"/>
  <c r="B263" i="10"/>
  <c r="CD263" i="10" s="1"/>
  <c r="BJ263" i="10" l="1"/>
  <c r="AU262" i="10"/>
  <c r="BG262" i="10" s="1"/>
  <c r="AV262" i="10"/>
  <c r="BZ263" i="10"/>
  <c r="BV263" i="10"/>
  <c r="BR263" i="10"/>
  <c r="BN263" i="10"/>
  <c r="BI263" i="10"/>
  <c r="AY263" i="10"/>
  <c r="AQ263" i="10"/>
  <c r="AM263" i="10"/>
  <c r="AH263" i="10"/>
  <c r="BX263" i="10" s="1"/>
  <c r="CC263" i="10"/>
  <c r="BY263" i="10"/>
  <c r="BQ263" i="10"/>
  <c r="BH263" i="10"/>
  <c r="BB263" i="10"/>
  <c r="AX263" i="10"/>
  <c r="AT263" i="10"/>
  <c r="AP263" i="10"/>
  <c r="BU263" i="10" s="1"/>
  <c r="AL263" i="10"/>
  <c r="BP263" i="10"/>
  <c r="BA263" i="10"/>
  <c r="AS263" i="10"/>
  <c r="AK263" i="10"/>
  <c r="BW263" i="10"/>
  <c r="BO263" i="10"/>
  <c r="AZ263" i="10"/>
  <c r="AR263" i="10"/>
  <c r="AI263" i="10"/>
  <c r="CB263" i="10"/>
  <c r="BD263" i="10"/>
  <c r="AW263" i="10"/>
  <c r="AO263" i="10"/>
  <c r="BK263" i="10"/>
  <c r="AN263" i="10"/>
  <c r="CA263" i="10"/>
  <c r="BS263" i="10"/>
  <c r="BL263" i="10"/>
  <c r="BT262" i="10"/>
  <c r="AF263" i="10"/>
  <c r="AE262" i="10"/>
  <c r="B264" i="10"/>
  <c r="CD264" i="10" s="1"/>
  <c r="BJ264" i="10" l="1"/>
  <c r="AV263" i="10"/>
  <c r="BT263" i="10"/>
  <c r="AU263" i="10"/>
  <c r="BG263" i="10" s="1"/>
  <c r="CA264" i="10"/>
  <c r="BV264" i="10"/>
  <c r="BP264" i="10"/>
  <c r="BK264" i="10"/>
  <c r="BA264" i="10"/>
  <c r="AW264" i="10"/>
  <c r="AQ264" i="10"/>
  <c r="AM264" i="10"/>
  <c r="AH264" i="10"/>
  <c r="BX264" i="10" s="1"/>
  <c r="BZ264" i="10"/>
  <c r="BS264" i="10"/>
  <c r="BO264" i="10"/>
  <c r="BD264" i="10"/>
  <c r="AZ264" i="10"/>
  <c r="AT264" i="10"/>
  <c r="AP264" i="10"/>
  <c r="BU264" i="10" s="1"/>
  <c r="AL264" i="10"/>
  <c r="BW264" i="10"/>
  <c r="AS264" i="10"/>
  <c r="AK264" i="10"/>
  <c r="CC264" i="10"/>
  <c r="BR264" i="10"/>
  <c r="BI264" i="10"/>
  <c r="BB264" i="10"/>
  <c r="AR264" i="10"/>
  <c r="AI264" i="10"/>
  <c r="CB264" i="10"/>
  <c r="BQ264" i="10"/>
  <c r="BH264" i="10"/>
  <c r="AY264" i="10"/>
  <c r="AO264" i="10"/>
  <c r="BN264" i="10"/>
  <c r="AX264" i="10"/>
  <c r="AN264" i="10"/>
  <c r="BY264" i="10"/>
  <c r="BL264" i="10"/>
  <c r="AF264" i="10"/>
  <c r="AE263" i="10"/>
  <c r="B265" i="10"/>
  <c r="CD265" i="10" s="1"/>
  <c r="BJ265" i="10" l="1"/>
  <c r="BT264" i="10"/>
  <c r="AU264" i="10"/>
  <c r="BG264" i="10" s="1"/>
  <c r="AV264" i="10"/>
  <c r="CB265" i="10"/>
  <c r="BW265" i="10"/>
  <c r="BQ265" i="10"/>
  <c r="BH265" i="10"/>
  <c r="BB265" i="10"/>
  <c r="AX265" i="10"/>
  <c r="AR265" i="10"/>
  <c r="AN265" i="10"/>
  <c r="AI265" i="10"/>
  <c r="CA265" i="10"/>
  <c r="BV265" i="10"/>
  <c r="BP265" i="10"/>
  <c r="BK265" i="10"/>
  <c r="BA265" i="10"/>
  <c r="AW265" i="10"/>
  <c r="AQ265" i="10"/>
  <c r="AM265" i="10"/>
  <c r="AH265" i="10"/>
  <c r="BT265" i="10" s="1"/>
  <c r="CC265" i="10"/>
  <c r="BR265" i="10"/>
  <c r="AS265" i="10"/>
  <c r="AK265" i="10"/>
  <c r="BZ265" i="10"/>
  <c r="BO265" i="10"/>
  <c r="BI265" i="10"/>
  <c r="AZ265" i="10"/>
  <c r="AP265" i="10"/>
  <c r="BU265" i="10" s="1"/>
  <c r="BY265" i="10"/>
  <c r="BN265" i="10"/>
  <c r="AY265" i="10"/>
  <c r="AO265" i="10"/>
  <c r="BS265" i="10"/>
  <c r="AT265" i="10"/>
  <c r="AL265" i="10"/>
  <c r="BD265" i="10"/>
  <c r="BL265" i="10"/>
  <c r="AF265" i="10"/>
  <c r="AE264" i="10"/>
  <c r="B266" i="10"/>
  <c r="CD266" i="10" s="1"/>
  <c r="BJ266" i="10" l="1"/>
  <c r="BX265" i="10"/>
  <c r="CC266" i="10"/>
  <c r="BY266" i="10"/>
  <c r="BP266" i="10"/>
  <c r="BK266" i="10"/>
  <c r="BA266" i="10"/>
  <c r="AW266" i="10"/>
  <c r="AS266" i="10"/>
  <c r="AO266" i="10"/>
  <c r="AK266" i="10"/>
  <c r="CB266" i="10"/>
  <c r="BS266" i="10"/>
  <c r="BO266" i="10"/>
  <c r="BD266" i="10"/>
  <c r="AZ266" i="10"/>
  <c r="AR266" i="10"/>
  <c r="AN266" i="10"/>
  <c r="AI266" i="10"/>
  <c r="BW266" i="10"/>
  <c r="BN266" i="10"/>
  <c r="AX266" i="10"/>
  <c r="AP266" i="10"/>
  <c r="BU266" i="10" s="1"/>
  <c r="BV266" i="10"/>
  <c r="AM266" i="10"/>
  <c r="CA266" i="10"/>
  <c r="BR266" i="10"/>
  <c r="BI266" i="10"/>
  <c r="BB266" i="10"/>
  <c r="AT266" i="10"/>
  <c r="AL266" i="10"/>
  <c r="BQ266" i="10"/>
  <c r="AY266" i="10"/>
  <c r="BH266" i="10"/>
  <c r="AQ266" i="10"/>
  <c r="BZ266" i="10"/>
  <c r="AH266" i="10"/>
  <c r="BL266" i="10"/>
  <c r="AV265" i="10"/>
  <c r="AU265" i="10"/>
  <c r="BG265" i="10" s="1"/>
  <c r="AF266" i="10"/>
  <c r="AE265" i="10"/>
  <c r="B267" i="10"/>
  <c r="CD267" i="10" s="1"/>
  <c r="BJ267" i="10" l="1"/>
  <c r="AV266" i="10"/>
  <c r="AU266" i="10"/>
  <c r="BG266" i="10" s="1"/>
  <c r="BX266" i="10"/>
  <c r="BT266" i="10"/>
  <c r="CC267" i="10"/>
  <c r="BY267" i="10"/>
  <c r="BQ267" i="10"/>
  <c r="BH267" i="10"/>
  <c r="BB267" i="10"/>
  <c r="AX267" i="10"/>
  <c r="AT267" i="10"/>
  <c r="AP267" i="10"/>
  <c r="BU267" i="10" s="1"/>
  <c r="AL267" i="10"/>
  <c r="CB267" i="10"/>
  <c r="BP267" i="10"/>
  <c r="BK267" i="10"/>
  <c r="BA267" i="10"/>
  <c r="AW267" i="10"/>
  <c r="AS267" i="10"/>
  <c r="AO267" i="10"/>
  <c r="AK267" i="10"/>
  <c r="BW267" i="10"/>
  <c r="BO267" i="10"/>
  <c r="BI267" i="10"/>
  <c r="AZ267" i="10"/>
  <c r="AR267" i="10"/>
  <c r="AI267" i="10"/>
  <c r="BV267" i="10"/>
  <c r="BN267" i="10"/>
  <c r="AY267" i="10"/>
  <c r="AQ267" i="10"/>
  <c r="AH267" i="10"/>
  <c r="CA267" i="10"/>
  <c r="BS267" i="10"/>
  <c r="BD267" i="10"/>
  <c r="AN267" i="10"/>
  <c r="BR267" i="10"/>
  <c r="AM267" i="10"/>
  <c r="BZ267" i="10"/>
  <c r="BL267" i="10"/>
  <c r="AF267" i="10"/>
  <c r="AE266" i="10"/>
  <c r="B268" i="10"/>
  <c r="CD268" i="10" s="1"/>
  <c r="BJ268" i="10" l="1"/>
  <c r="AV267" i="10"/>
  <c r="AU267" i="10"/>
  <c r="BG267" i="10" s="1"/>
  <c r="BZ268" i="10"/>
  <c r="BS268" i="10"/>
  <c r="BO268" i="10"/>
  <c r="BD268" i="10"/>
  <c r="AZ268" i="10"/>
  <c r="AT268" i="10"/>
  <c r="AP268" i="10"/>
  <c r="BU268" i="10" s="1"/>
  <c r="AL268" i="10"/>
  <c r="CC268" i="10"/>
  <c r="BY268" i="10"/>
  <c r="BR268" i="10"/>
  <c r="BN268" i="10"/>
  <c r="BI268" i="10"/>
  <c r="AY268" i="10"/>
  <c r="AS268" i="10"/>
  <c r="AO268" i="10"/>
  <c r="AK268" i="10"/>
  <c r="BV268" i="10"/>
  <c r="BK268" i="10"/>
  <c r="BB268" i="10"/>
  <c r="AR268" i="10"/>
  <c r="AI268" i="10"/>
  <c r="CB268" i="10"/>
  <c r="BQ268" i="10"/>
  <c r="BH268" i="10"/>
  <c r="BA268" i="10"/>
  <c r="AQ268" i="10"/>
  <c r="AH268" i="10"/>
  <c r="BX268" i="10" s="1"/>
  <c r="CA268" i="10"/>
  <c r="BP268" i="10"/>
  <c r="AX268" i="10"/>
  <c r="AN268" i="10"/>
  <c r="BW268" i="10"/>
  <c r="AW268" i="10"/>
  <c r="AM268" i="10"/>
  <c r="BL268" i="10"/>
  <c r="BT267" i="10"/>
  <c r="BX267" i="10"/>
  <c r="AF268" i="10"/>
  <c r="AE267" i="10"/>
  <c r="B269" i="10"/>
  <c r="CD269" i="10" s="1"/>
  <c r="BJ269" i="10" l="1"/>
  <c r="BT268" i="10"/>
  <c r="AU268" i="10"/>
  <c r="BG268" i="10" s="1"/>
  <c r="AV268" i="10"/>
  <c r="CA269" i="10"/>
  <c r="BV269" i="10"/>
  <c r="BP269" i="10"/>
  <c r="BK269" i="10"/>
  <c r="BA269" i="10"/>
  <c r="AW269" i="10"/>
  <c r="AQ269" i="10"/>
  <c r="AM269" i="10"/>
  <c r="AH269" i="10"/>
  <c r="BX269" i="10" s="1"/>
  <c r="BZ269" i="10"/>
  <c r="BS269" i="10"/>
  <c r="BO269" i="10"/>
  <c r="BD269" i="10"/>
  <c r="AZ269" i="10"/>
  <c r="AT269" i="10"/>
  <c r="AP269" i="10"/>
  <c r="BU269" i="10" s="1"/>
  <c r="AL269" i="10"/>
  <c r="CC269" i="10"/>
  <c r="BR269" i="10"/>
  <c r="BI269" i="10"/>
  <c r="BB269" i="10"/>
  <c r="AR269" i="10"/>
  <c r="AI269" i="10"/>
  <c r="CB269" i="10"/>
  <c r="BQ269" i="10"/>
  <c r="BH269" i="10"/>
  <c r="AY269" i="10"/>
  <c r="AO269" i="10"/>
  <c r="BY269" i="10"/>
  <c r="BN269" i="10"/>
  <c r="AX269" i="10"/>
  <c r="AN269" i="10"/>
  <c r="AK269" i="10"/>
  <c r="BW269" i="10"/>
  <c r="AS269" i="10"/>
  <c r="BL269" i="10"/>
  <c r="AF269" i="10"/>
  <c r="AE268" i="10"/>
  <c r="B270" i="10"/>
  <c r="CD270" i="10" s="1"/>
  <c r="BJ270" i="10" l="1"/>
  <c r="BT269" i="10"/>
  <c r="AV269" i="10"/>
  <c r="AU269" i="10"/>
  <c r="BG269" i="10" s="1"/>
  <c r="CA270" i="10"/>
  <c r="BW270" i="10"/>
  <c r="BS270" i="10"/>
  <c r="BO270" i="10"/>
  <c r="BD270" i="10"/>
  <c r="AZ270" i="10"/>
  <c r="AR270" i="10"/>
  <c r="AN270" i="10"/>
  <c r="AI270" i="10"/>
  <c r="BZ270" i="10"/>
  <c r="BV270" i="10"/>
  <c r="BR270" i="10"/>
  <c r="BN270" i="10"/>
  <c r="BI270" i="10"/>
  <c r="AY270" i="10"/>
  <c r="AQ270" i="10"/>
  <c r="AM270" i="10"/>
  <c r="AH270" i="10"/>
  <c r="BX270" i="10" s="1"/>
  <c r="BP270" i="10"/>
  <c r="AX270" i="10"/>
  <c r="AP270" i="10"/>
  <c r="BU270" i="10" s="1"/>
  <c r="CC270" i="10"/>
  <c r="AW270" i="10"/>
  <c r="AO270" i="10"/>
  <c r="CB270" i="10"/>
  <c r="BK270" i="10"/>
  <c r="BB270" i="10"/>
  <c r="AT270" i="10"/>
  <c r="AL270" i="10"/>
  <c r="BA270" i="10"/>
  <c r="BH270" i="10"/>
  <c r="AS270" i="10"/>
  <c r="BY270" i="10"/>
  <c r="AK270" i="10"/>
  <c r="BQ270" i="10"/>
  <c r="BL270" i="10"/>
  <c r="AF270" i="10"/>
  <c r="AE269" i="10"/>
  <c r="B271" i="10"/>
  <c r="CD271" i="10" s="1"/>
  <c r="BJ271" i="10" l="1"/>
  <c r="BT270" i="10"/>
  <c r="AV270" i="10"/>
  <c r="CA271" i="10"/>
  <c r="BW271" i="10"/>
  <c r="BS271" i="10"/>
  <c r="BO271" i="10"/>
  <c r="BD271" i="10"/>
  <c r="AZ271" i="10"/>
  <c r="AR271" i="10"/>
  <c r="AN271" i="10"/>
  <c r="AI271" i="10"/>
  <c r="BZ271" i="10"/>
  <c r="BV271" i="10"/>
  <c r="BR271" i="10"/>
  <c r="BN271" i="10"/>
  <c r="BI271" i="10"/>
  <c r="AY271" i="10"/>
  <c r="AQ271" i="10"/>
  <c r="AM271" i="10"/>
  <c r="AH271" i="10"/>
  <c r="BT271" i="10" s="1"/>
  <c r="BY271" i="10"/>
  <c r="BQ271" i="10"/>
  <c r="BH271" i="10"/>
  <c r="BA271" i="10"/>
  <c r="AS271" i="10"/>
  <c r="AK271" i="10"/>
  <c r="BP271" i="10"/>
  <c r="AX271" i="10"/>
  <c r="AP271" i="10"/>
  <c r="BU271" i="10" s="1"/>
  <c r="CC271" i="10"/>
  <c r="AW271" i="10"/>
  <c r="AO271" i="10"/>
  <c r="BK271" i="10"/>
  <c r="AT271" i="10"/>
  <c r="CB271" i="10"/>
  <c r="AL271" i="10"/>
  <c r="BB271" i="10"/>
  <c r="BL271" i="10"/>
  <c r="AU270" i="10"/>
  <c r="BG270" i="10" s="1"/>
  <c r="AF271" i="10"/>
  <c r="AE270" i="10"/>
  <c r="B272" i="10"/>
  <c r="CD272" i="10" s="1"/>
  <c r="BJ272" i="10" l="1"/>
  <c r="BX271" i="10"/>
  <c r="AV271" i="10"/>
  <c r="AU271" i="10"/>
  <c r="BG271" i="10" s="1"/>
  <c r="CB272" i="10"/>
  <c r="BW272" i="10"/>
  <c r="BQ272" i="10"/>
  <c r="BH272" i="10"/>
  <c r="BB272" i="10"/>
  <c r="AX272" i="10"/>
  <c r="AR272" i="10"/>
  <c r="AN272" i="10"/>
  <c r="AI272" i="10"/>
  <c r="CA272" i="10"/>
  <c r="BV272" i="10"/>
  <c r="BP272" i="10"/>
  <c r="BK272" i="10"/>
  <c r="BA272" i="10"/>
  <c r="AW272" i="10"/>
  <c r="AQ272" i="10"/>
  <c r="AM272" i="10"/>
  <c r="AH272" i="10"/>
  <c r="BX272" i="10" s="1"/>
  <c r="BS272" i="10"/>
  <c r="BD272" i="10"/>
  <c r="AT272" i="10"/>
  <c r="AL272" i="10"/>
  <c r="CC272" i="10"/>
  <c r="BR272" i="10"/>
  <c r="AS272" i="10"/>
  <c r="AK272" i="10"/>
  <c r="BZ272" i="10"/>
  <c r="BO272" i="10"/>
  <c r="BI272" i="10"/>
  <c r="AZ272" i="10"/>
  <c r="AP272" i="10"/>
  <c r="BU272" i="10" s="1"/>
  <c r="AO272" i="10"/>
  <c r="BY272" i="10"/>
  <c r="BN272" i="10"/>
  <c r="AY272" i="10"/>
  <c r="BL272" i="10"/>
  <c r="AF272" i="10"/>
  <c r="AE271" i="10"/>
  <c r="B273" i="10"/>
  <c r="CD273" i="10" s="1"/>
  <c r="BJ273" i="10" l="1"/>
  <c r="BT272" i="10"/>
  <c r="AV272" i="10"/>
  <c r="AU272" i="10"/>
  <c r="BG272" i="10" s="1"/>
  <c r="CC273" i="10"/>
  <c r="BY273" i="10"/>
  <c r="BR273" i="10"/>
  <c r="BN273" i="10"/>
  <c r="BI273" i="10"/>
  <c r="AY273" i="10"/>
  <c r="AS273" i="10"/>
  <c r="AO273" i="10"/>
  <c r="AK273" i="10"/>
  <c r="CB273" i="10"/>
  <c r="BW273" i="10"/>
  <c r="BQ273" i="10"/>
  <c r="BH273" i="10"/>
  <c r="BB273" i="10"/>
  <c r="AX273" i="10"/>
  <c r="AR273" i="10"/>
  <c r="AN273" i="10"/>
  <c r="AI273" i="10"/>
  <c r="CA273" i="10"/>
  <c r="BP273" i="10"/>
  <c r="BA273" i="10"/>
  <c r="AQ273" i="10"/>
  <c r="AH273" i="10"/>
  <c r="BX273" i="10" s="1"/>
  <c r="BZ273" i="10"/>
  <c r="BO273" i="10"/>
  <c r="AZ273" i="10"/>
  <c r="AP273" i="10"/>
  <c r="BU273" i="10" s="1"/>
  <c r="BV273" i="10"/>
  <c r="BD273" i="10"/>
  <c r="AW273" i="10"/>
  <c r="AM273" i="10"/>
  <c r="AT273" i="10"/>
  <c r="BK273" i="10"/>
  <c r="AL273" i="10"/>
  <c r="BS273" i="10"/>
  <c r="BL273" i="10"/>
  <c r="AF273" i="10"/>
  <c r="AE272" i="10"/>
  <c r="B274" i="10"/>
  <c r="CD274" i="10" s="1"/>
  <c r="BJ274" i="10" l="1"/>
  <c r="AV273" i="10"/>
  <c r="AU273" i="10"/>
  <c r="BG273" i="10" s="1"/>
  <c r="BT273" i="10"/>
  <c r="CC274" i="10"/>
  <c r="BY274" i="10"/>
  <c r="BQ274" i="10"/>
  <c r="BH274" i="10"/>
  <c r="BB274" i="10"/>
  <c r="AX274" i="10"/>
  <c r="AT274" i="10"/>
  <c r="AP274" i="10"/>
  <c r="BU274" i="10" s="1"/>
  <c r="AL274" i="10"/>
  <c r="CB274" i="10"/>
  <c r="BP274" i="10"/>
  <c r="BK274" i="10"/>
  <c r="BA274" i="10"/>
  <c r="AW274" i="10"/>
  <c r="AS274" i="10"/>
  <c r="AO274" i="10"/>
  <c r="AK274" i="10"/>
  <c r="CA274" i="10"/>
  <c r="BS274" i="10"/>
  <c r="BD274" i="10"/>
  <c r="AN274" i="10"/>
  <c r="BZ274" i="10"/>
  <c r="BR274" i="10"/>
  <c r="AM274" i="10"/>
  <c r="BW274" i="10"/>
  <c r="BO274" i="10"/>
  <c r="BI274" i="10"/>
  <c r="AZ274" i="10"/>
  <c r="AR274" i="10"/>
  <c r="AI274" i="10"/>
  <c r="BN274" i="10"/>
  <c r="AY274" i="10"/>
  <c r="AQ274" i="10"/>
  <c r="AH274" i="10"/>
  <c r="BV274" i="10"/>
  <c r="BL274" i="10"/>
  <c r="AF274" i="10"/>
  <c r="AE273" i="10"/>
  <c r="B275" i="10"/>
  <c r="CD275" i="10" s="1"/>
  <c r="BJ275" i="10" l="1"/>
  <c r="AV274" i="10"/>
  <c r="AU274" i="10"/>
  <c r="BG274" i="10" s="1"/>
  <c r="CC275" i="10"/>
  <c r="BY275" i="10"/>
  <c r="BQ275" i="10"/>
  <c r="BH275" i="10"/>
  <c r="BB275" i="10"/>
  <c r="AX275" i="10"/>
  <c r="AT275" i="10"/>
  <c r="AP275" i="10"/>
  <c r="BU275" i="10" s="1"/>
  <c r="AL275" i="10"/>
  <c r="CB275" i="10"/>
  <c r="BP275" i="10"/>
  <c r="BK275" i="10"/>
  <c r="BA275" i="10"/>
  <c r="AW275" i="10"/>
  <c r="AS275" i="10"/>
  <c r="AO275" i="10"/>
  <c r="AK275" i="10"/>
  <c r="CA275" i="10"/>
  <c r="BS275" i="10"/>
  <c r="BD275" i="10"/>
  <c r="AN275" i="10"/>
  <c r="BZ275" i="10"/>
  <c r="BR275" i="10"/>
  <c r="AM275" i="10"/>
  <c r="BW275" i="10"/>
  <c r="BO275" i="10"/>
  <c r="BI275" i="10"/>
  <c r="AZ275" i="10"/>
  <c r="AR275" i="10"/>
  <c r="AI275" i="10"/>
  <c r="BN275" i="10"/>
  <c r="AY275" i="10"/>
  <c r="AQ275" i="10"/>
  <c r="AH275" i="10"/>
  <c r="BT275" i="10" s="1"/>
  <c r="BV275" i="10"/>
  <c r="BL275" i="10"/>
  <c r="BT274" i="10"/>
  <c r="BX274" i="10"/>
  <c r="AF275" i="10"/>
  <c r="AE274" i="10"/>
  <c r="B276" i="10"/>
  <c r="CD276" i="10" s="1"/>
  <c r="BJ276" i="10" l="1"/>
  <c r="AU275" i="10"/>
  <c r="BG275" i="10" s="1"/>
  <c r="AV275" i="10"/>
  <c r="BX275" i="10"/>
  <c r="BZ276" i="10"/>
  <c r="BS276" i="10"/>
  <c r="BO276" i="10"/>
  <c r="BD276" i="10"/>
  <c r="AZ276" i="10"/>
  <c r="AT276" i="10"/>
  <c r="AP276" i="10"/>
  <c r="BU276" i="10" s="1"/>
  <c r="AL276" i="10"/>
  <c r="CC276" i="10"/>
  <c r="BY276" i="10"/>
  <c r="BR276" i="10"/>
  <c r="BN276" i="10"/>
  <c r="BI276" i="10"/>
  <c r="AY276" i="10"/>
  <c r="AS276" i="10"/>
  <c r="AO276" i="10"/>
  <c r="AK276" i="10"/>
  <c r="CA276" i="10"/>
  <c r="BP276" i="10"/>
  <c r="AX276" i="10"/>
  <c r="AN276" i="10"/>
  <c r="BW276" i="10"/>
  <c r="AW276" i="10"/>
  <c r="AM276" i="10"/>
  <c r="BV276" i="10"/>
  <c r="BK276" i="10"/>
  <c r="BB276" i="10"/>
  <c r="AR276" i="10"/>
  <c r="AI276" i="10"/>
  <c r="BA276" i="10"/>
  <c r="BH276" i="10"/>
  <c r="AQ276" i="10"/>
  <c r="CB276" i="10"/>
  <c r="AH276" i="10"/>
  <c r="BX276" i="10" s="1"/>
  <c r="BQ276" i="10"/>
  <c r="BL276" i="10"/>
  <c r="AF276" i="10"/>
  <c r="AE275" i="10"/>
  <c r="B277" i="10"/>
  <c r="CD277" i="10" s="1"/>
  <c r="BJ277" i="10" l="1"/>
  <c r="AU276" i="10"/>
  <c r="BG276" i="10" s="1"/>
  <c r="AV276" i="10"/>
  <c r="BT276" i="10"/>
  <c r="CA277" i="10"/>
  <c r="BV277" i="10"/>
  <c r="BP277" i="10"/>
  <c r="BK277" i="10"/>
  <c r="BA277" i="10"/>
  <c r="AW277" i="10"/>
  <c r="AQ277" i="10"/>
  <c r="AM277" i="10"/>
  <c r="AH277" i="10"/>
  <c r="BX277" i="10" s="1"/>
  <c r="BZ277" i="10"/>
  <c r="BS277" i="10"/>
  <c r="BO277" i="10"/>
  <c r="BD277" i="10"/>
  <c r="AZ277" i="10"/>
  <c r="AT277" i="10"/>
  <c r="AP277" i="10"/>
  <c r="BU277" i="10" s="1"/>
  <c r="AL277" i="10"/>
  <c r="BY277" i="10"/>
  <c r="BN277" i="10"/>
  <c r="AX277" i="10"/>
  <c r="AN277" i="10"/>
  <c r="BW277" i="10"/>
  <c r="AS277" i="10"/>
  <c r="AK277" i="10"/>
  <c r="CC277" i="10"/>
  <c r="BR277" i="10"/>
  <c r="BI277" i="10"/>
  <c r="BB277" i="10"/>
  <c r="AR277" i="10"/>
  <c r="AI277" i="10"/>
  <c r="AY277" i="10"/>
  <c r="BH277" i="10"/>
  <c r="AO277" i="10"/>
  <c r="CB277" i="10"/>
  <c r="BQ277" i="10"/>
  <c r="BL277" i="10"/>
  <c r="AF277" i="10"/>
  <c r="AE276" i="10"/>
  <c r="B278" i="10"/>
  <c r="CD278" i="10" s="1"/>
  <c r="BJ278" i="10" l="1"/>
  <c r="AU277" i="10"/>
  <c r="BG277" i="10" s="1"/>
  <c r="AV277" i="10"/>
  <c r="BT277" i="10"/>
  <c r="CA278" i="10"/>
  <c r="BW278" i="10"/>
  <c r="BS278" i="10"/>
  <c r="BO278" i="10"/>
  <c r="BD278" i="10"/>
  <c r="AZ278" i="10"/>
  <c r="AR278" i="10"/>
  <c r="AN278" i="10"/>
  <c r="AI278" i="10"/>
  <c r="BZ278" i="10"/>
  <c r="BV278" i="10"/>
  <c r="BR278" i="10"/>
  <c r="BN278" i="10"/>
  <c r="BI278" i="10"/>
  <c r="AY278" i="10"/>
  <c r="AQ278" i="10"/>
  <c r="AM278" i="10"/>
  <c r="AH278" i="10"/>
  <c r="BT278" i="10" s="1"/>
  <c r="CB278" i="10"/>
  <c r="BK278" i="10"/>
  <c r="BB278" i="10"/>
  <c r="AT278" i="10"/>
  <c r="AL278" i="10"/>
  <c r="BY278" i="10"/>
  <c r="BQ278" i="10"/>
  <c r="BH278" i="10"/>
  <c r="BA278" i="10"/>
  <c r="AS278" i="10"/>
  <c r="AK278" i="10"/>
  <c r="BX278" i="10"/>
  <c r="BP278" i="10"/>
  <c r="AX278" i="10"/>
  <c r="AP278" i="10"/>
  <c r="BU278" i="10" s="1"/>
  <c r="AW278" i="10"/>
  <c r="AO278" i="10"/>
  <c r="CC278" i="10"/>
  <c r="BL278" i="10"/>
  <c r="AF278" i="10"/>
  <c r="AE277" i="10"/>
  <c r="B279" i="10"/>
  <c r="CD279" i="10" s="1"/>
  <c r="BJ279" i="10" l="1"/>
  <c r="AV278" i="10"/>
  <c r="CA279" i="10"/>
  <c r="BW279" i="10"/>
  <c r="BS279" i="10"/>
  <c r="BO279" i="10"/>
  <c r="BD279" i="10"/>
  <c r="AZ279" i="10"/>
  <c r="AR279" i="10"/>
  <c r="AN279" i="10"/>
  <c r="AI279" i="10"/>
  <c r="BZ279" i="10"/>
  <c r="BV279" i="10"/>
  <c r="BR279" i="10"/>
  <c r="BN279" i="10"/>
  <c r="BI279" i="10"/>
  <c r="AY279" i="10"/>
  <c r="AQ279" i="10"/>
  <c r="AM279" i="10"/>
  <c r="AH279" i="10"/>
  <c r="BT279" i="10" s="1"/>
  <c r="CC279" i="10"/>
  <c r="AW279" i="10"/>
  <c r="AO279" i="10"/>
  <c r="CB279" i="10"/>
  <c r="BK279" i="10"/>
  <c r="BB279" i="10"/>
  <c r="AT279" i="10"/>
  <c r="AL279" i="10"/>
  <c r="BY279" i="10"/>
  <c r="BQ279" i="10"/>
  <c r="BH279" i="10"/>
  <c r="BA279" i="10"/>
  <c r="AS279" i="10"/>
  <c r="AK279" i="10"/>
  <c r="BP279" i="10"/>
  <c r="AX279" i="10"/>
  <c r="AP279" i="10"/>
  <c r="BU279" i="10" s="1"/>
  <c r="BL279" i="10"/>
  <c r="AU278" i="10"/>
  <c r="BG278" i="10" s="1"/>
  <c r="AF279" i="10"/>
  <c r="AE278" i="10"/>
  <c r="B280" i="10"/>
  <c r="CD280" i="10" s="1"/>
  <c r="BJ280" i="10" l="1"/>
  <c r="BX279" i="10"/>
  <c r="CB280" i="10"/>
  <c r="BW280" i="10"/>
  <c r="BQ280" i="10"/>
  <c r="BH280" i="10"/>
  <c r="BB280" i="10"/>
  <c r="AX280" i="10"/>
  <c r="AR280" i="10"/>
  <c r="AN280" i="10"/>
  <c r="AI280" i="10"/>
  <c r="CA280" i="10"/>
  <c r="BV280" i="10"/>
  <c r="BP280" i="10"/>
  <c r="BK280" i="10"/>
  <c r="BA280" i="10"/>
  <c r="AW280" i="10"/>
  <c r="AQ280" i="10"/>
  <c r="AM280" i="10"/>
  <c r="AH280" i="10"/>
  <c r="BX280" i="10" s="1"/>
  <c r="BZ280" i="10"/>
  <c r="BO280" i="10"/>
  <c r="BI280" i="10"/>
  <c r="AZ280" i="10"/>
  <c r="AP280" i="10"/>
  <c r="BU280" i="10" s="1"/>
  <c r="BY280" i="10"/>
  <c r="BN280" i="10"/>
  <c r="AY280" i="10"/>
  <c r="AO280" i="10"/>
  <c r="BS280" i="10"/>
  <c r="BD280" i="10"/>
  <c r="AT280" i="10"/>
  <c r="AL280" i="10"/>
  <c r="CC280" i="10"/>
  <c r="BR280" i="10"/>
  <c r="AS280" i="10"/>
  <c r="AK280" i="10"/>
  <c r="BL280" i="10"/>
  <c r="AU279" i="10"/>
  <c r="BG279" i="10" s="1"/>
  <c r="AV279" i="10"/>
  <c r="AF280" i="10"/>
  <c r="AE279" i="10"/>
  <c r="B281" i="10"/>
  <c r="CD281" i="10" s="1"/>
  <c r="BJ281" i="10" l="1"/>
  <c r="AU280" i="10"/>
  <c r="BG280" i="10" s="1"/>
  <c r="AV280" i="10"/>
  <c r="BT280" i="10"/>
  <c r="CC281" i="10"/>
  <c r="BY281" i="10"/>
  <c r="BR281" i="10"/>
  <c r="BN281" i="10"/>
  <c r="BI281" i="10"/>
  <c r="AY281" i="10"/>
  <c r="AS281" i="10"/>
  <c r="AO281" i="10"/>
  <c r="AK281" i="10"/>
  <c r="CB281" i="10"/>
  <c r="BW281" i="10"/>
  <c r="BQ281" i="10"/>
  <c r="BH281" i="10"/>
  <c r="BB281" i="10"/>
  <c r="AX281" i="10"/>
  <c r="AR281" i="10"/>
  <c r="AN281" i="10"/>
  <c r="AI281" i="10"/>
  <c r="BV281" i="10"/>
  <c r="BD281" i="10"/>
  <c r="AW281" i="10"/>
  <c r="AM281" i="10"/>
  <c r="BS281" i="10"/>
  <c r="BK281" i="10"/>
  <c r="AT281" i="10"/>
  <c r="AL281" i="10"/>
  <c r="CA281" i="10"/>
  <c r="BP281" i="10"/>
  <c r="BA281" i="10"/>
  <c r="AQ281" i="10"/>
  <c r="AH281" i="10"/>
  <c r="BT281" i="10" s="1"/>
  <c r="BZ281" i="10"/>
  <c r="BO281" i="10"/>
  <c r="AZ281" i="10"/>
  <c r="AP281" i="10"/>
  <c r="BU281" i="10" s="1"/>
  <c r="BL281" i="10"/>
  <c r="AF281" i="10"/>
  <c r="AE280" i="10"/>
  <c r="B282" i="10"/>
  <c r="CD282" i="10" s="1"/>
  <c r="BJ282" i="10" l="1"/>
  <c r="BX281" i="10"/>
  <c r="CC282" i="10"/>
  <c r="BY282" i="10"/>
  <c r="BQ282" i="10"/>
  <c r="BH282" i="10"/>
  <c r="BB282" i="10"/>
  <c r="AX282" i="10"/>
  <c r="AT282" i="10"/>
  <c r="AP282" i="10"/>
  <c r="BU282" i="10" s="1"/>
  <c r="AL282" i="10"/>
  <c r="CB282" i="10"/>
  <c r="BP282" i="10"/>
  <c r="BK282" i="10"/>
  <c r="BA282" i="10"/>
  <c r="AW282" i="10"/>
  <c r="AS282" i="10"/>
  <c r="AO282" i="10"/>
  <c r="AK282" i="10"/>
  <c r="BW282" i="10"/>
  <c r="BO282" i="10"/>
  <c r="BI282" i="10"/>
  <c r="AZ282" i="10"/>
  <c r="AR282" i="10"/>
  <c r="AI282" i="10"/>
  <c r="BV282" i="10"/>
  <c r="BN282" i="10"/>
  <c r="AY282" i="10"/>
  <c r="AQ282" i="10"/>
  <c r="AH282" i="10"/>
  <c r="BX282" i="10" s="1"/>
  <c r="CA282" i="10"/>
  <c r="BS282" i="10"/>
  <c r="BD282" i="10"/>
  <c r="AN282" i="10"/>
  <c r="AM282" i="10"/>
  <c r="BZ282" i="10"/>
  <c r="BR282" i="10"/>
  <c r="BL282" i="10"/>
  <c r="AV281" i="10"/>
  <c r="AU281" i="10"/>
  <c r="BG281" i="10" s="1"/>
  <c r="AF282" i="10"/>
  <c r="AE281" i="10"/>
  <c r="B283" i="10"/>
  <c r="CD283" i="10" s="1"/>
  <c r="BJ283" i="10" l="1"/>
  <c r="BT282" i="10"/>
  <c r="AU282" i="10"/>
  <c r="BG282" i="10" s="1"/>
  <c r="CC283" i="10"/>
  <c r="BY283" i="10"/>
  <c r="BQ283" i="10"/>
  <c r="BH283" i="10"/>
  <c r="BB283" i="10"/>
  <c r="AX283" i="10"/>
  <c r="AT283" i="10"/>
  <c r="AP283" i="10"/>
  <c r="BU283" i="10" s="1"/>
  <c r="AL283" i="10"/>
  <c r="CB283" i="10"/>
  <c r="BP283" i="10"/>
  <c r="BK283" i="10"/>
  <c r="BA283" i="10"/>
  <c r="AW283" i="10"/>
  <c r="AS283" i="10"/>
  <c r="AO283" i="10"/>
  <c r="AK283" i="10"/>
  <c r="BW283" i="10"/>
  <c r="BO283" i="10"/>
  <c r="BI283" i="10"/>
  <c r="AZ283" i="10"/>
  <c r="AR283" i="10"/>
  <c r="AI283" i="10"/>
  <c r="BV283" i="10"/>
  <c r="BN283" i="10"/>
  <c r="AY283" i="10"/>
  <c r="AQ283" i="10"/>
  <c r="AH283" i="10"/>
  <c r="BX283" i="10" s="1"/>
  <c r="CA283" i="10"/>
  <c r="BS283" i="10"/>
  <c r="BD283" i="10"/>
  <c r="AN283" i="10"/>
  <c r="AM283" i="10"/>
  <c r="BZ283" i="10"/>
  <c r="BR283" i="10"/>
  <c r="BL283" i="10"/>
  <c r="AV282" i="10"/>
  <c r="AF283" i="10"/>
  <c r="AE282" i="10"/>
  <c r="B284" i="10"/>
  <c r="CD284" i="10" s="1"/>
  <c r="BJ284" i="10" l="1"/>
  <c r="BT283" i="10"/>
  <c r="AU283" i="10"/>
  <c r="BG283" i="10" s="1"/>
  <c r="AV283" i="10"/>
  <c r="BZ284" i="10"/>
  <c r="BS284" i="10"/>
  <c r="BO284" i="10"/>
  <c r="BD284" i="10"/>
  <c r="AZ284" i="10"/>
  <c r="AT284" i="10"/>
  <c r="AP284" i="10"/>
  <c r="BU284" i="10" s="1"/>
  <c r="AL284" i="10"/>
  <c r="CC284" i="10"/>
  <c r="BY284" i="10"/>
  <c r="BR284" i="10"/>
  <c r="BN284" i="10"/>
  <c r="BI284" i="10"/>
  <c r="AY284" i="10"/>
  <c r="AS284" i="10"/>
  <c r="AO284" i="10"/>
  <c r="AK284" i="10"/>
  <c r="BV284" i="10"/>
  <c r="BK284" i="10"/>
  <c r="BB284" i="10"/>
  <c r="AR284" i="10"/>
  <c r="AI284" i="10"/>
  <c r="CB284" i="10"/>
  <c r="BQ284" i="10"/>
  <c r="BH284" i="10"/>
  <c r="BA284" i="10"/>
  <c r="AQ284" i="10"/>
  <c r="AH284" i="10"/>
  <c r="BX284" i="10" s="1"/>
  <c r="CA284" i="10"/>
  <c r="BP284" i="10"/>
  <c r="AX284" i="10"/>
  <c r="AN284" i="10"/>
  <c r="AM284" i="10"/>
  <c r="BW284" i="10"/>
  <c r="AW284" i="10"/>
  <c r="BL284" i="10"/>
  <c r="AF284" i="10"/>
  <c r="AE283" i="10"/>
  <c r="B285" i="10"/>
  <c r="CD285" i="10" s="1"/>
  <c r="BJ285" i="10" l="1"/>
  <c r="BT284" i="10"/>
  <c r="AU284" i="10"/>
  <c r="BG284" i="10" s="1"/>
  <c r="AV284" i="10"/>
  <c r="CA285" i="10"/>
  <c r="CC285" i="10"/>
  <c r="BY285" i="10"/>
  <c r="BR285" i="10"/>
  <c r="BV285" i="10"/>
  <c r="BO285" i="10"/>
  <c r="BD285" i="10"/>
  <c r="AZ285" i="10"/>
  <c r="AQ285" i="10"/>
  <c r="AM285" i="10"/>
  <c r="AH285" i="10"/>
  <c r="BT285" i="10" s="1"/>
  <c r="CB285" i="10"/>
  <c r="BS285" i="10"/>
  <c r="BN285" i="10"/>
  <c r="BI285" i="10"/>
  <c r="AY285" i="10"/>
  <c r="AT285" i="10"/>
  <c r="AP285" i="10"/>
  <c r="BU285" i="10" s="1"/>
  <c r="AL285" i="10"/>
  <c r="BQ285" i="10"/>
  <c r="BH285" i="10"/>
  <c r="BA285" i="10"/>
  <c r="AR285" i="10"/>
  <c r="AI285" i="10"/>
  <c r="BP285" i="10"/>
  <c r="AX285" i="10"/>
  <c r="AO285" i="10"/>
  <c r="BZ285" i="10"/>
  <c r="AW285" i="10"/>
  <c r="AN285" i="10"/>
  <c r="BB285" i="10"/>
  <c r="BK285" i="10"/>
  <c r="AS285" i="10"/>
  <c r="AK285" i="10"/>
  <c r="BW285" i="10"/>
  <c r="BL285" i="10"/>
  <c r="AF285" i="10"/>
  <c r="AE284" i="10"/>
  <c r="B286" i="10"/>
  <c r="CD286" i="10" s="1"/>
  <c r="BJ286" i="10" l="1"/>
  <c r="AU285" i="10"/>
  <c r="BG285" i="10" s="1"/>
  <c r="CC286" i="10"/>
  <c r="BY286" i="10"/>
  <c r="BP286" i="10"/>
  <c r="BK286" i="10"/>
  <c r="BA286" i="10"/>
  <c r="AW286" i="10"/>
  <c r="AR286" i="10"/>
  <c r="AN286" i="10"/>
  <c r="AI286" i="10"/>
  <c r="CA286" i="10"/>
  <c r="BW286" i="10"/>
  <c r="BR286" i="10"/>
  <c r="BN286" i="10"/>
  <c r="BI286" i="10"/>
  <c r="AY286" i="10"/>
  <c r="AT286" i="10"/>
  <c r="AP286" i="10"/>
  <c r="BU286" i="10" s="1"/>
  <c r="AL286" i="10"/>
  <c r="BO286" i="10"/>
  <c r="AZ286" i="10"/>
  <c r="AQ286" i="10"/>
  <c r="AH286" i="10"/>
  <c r="BT286" i="10" s="1"/>
  <c r="BV286" i="10"/>
  <c r="BD286" i="10"/>
  <c r="AX286" i="10"/>
  <c r="AO286" i="10"/>
  <c r="CB286" i="10"/>
  <c r="AM286" i="10"/>
  <c r="BZ286" i="10"/>
  <c r="BB286" i="10"/>
  <c r="AK286" i="10"/>
  <c r="BS286" i="10"/>
  <c r="BH286" i="10"/>
  <c r="BQ286" i="10"/>
  <c r="AS286" i="10"/>
  <c r="BL286" i="10"/>
  <c r="AV285" i="10"/>
  <c r="BX285" i="10"/>
  <c r="AF286" i="10"/>
  <c r="AE285" i="10"/>
  <c r="B287" i="10"/>
  <c r="CD287" i="10" s="1"/>
  <c r="BJ287" i="10" l="1"/>
  <c r="AV286" i="10"/>
  <c r="AU286" i="10"/>
  <c r="BG286" i="10" s="1"/>
  <c r="BZ287" i="10"/>
  <c r="BS287" i="10"/>
  <c r="BO287" i="10"/>
  <c r="BD287" i="10"/>
  <c r="AZ287" i="10"/>
  <c r="AT287" i="10"/>
  <c r="AP287" i="10"/>
  <c r="AV287" i="10" s="1"/>
  <c r="AL287" i="10"/>
  <c r="CB287" i="10"/>
  <c r="BW287" i="10"/>
  <c r="BQ287" i="10"/>
  <c r="BH287" i="10"/>
  <c r="BB287" i="10"/>
  <c r="AX287" i="10"/>
  <c r="AR287" i="10"/>
  <c r="AN287" i="10"/>
  <c r="AI287" i="10"/>
  <c r="BV287" i="10"/>
  <c r="AS287" i="10"/>
  <c r="AK287" i="10"/>
  <c r="CC287" i="10"/>
  <c r="BR287" i="10"/>
  <c r="BK287" i="10"/>
  <c r="BA287" i="10"/>
  <c r="AQ287" i="10"/>
  <c r="AH287" i="10"/>
  <c r="BX287" i="10" s="1"/>
  <c r="CA287" i="10"/>
  <c r="AY287" i="10"/>
  <c r="BY287" i="10"/>
  <c r="BI287" i="10"/>
  <c r="AW287" i="10"/>
  <c r="BP287" i="10"/>
  <c r="AO287" i="10"/>
  <c r="BN287" i="10"/>
  <c r="AM287" i="10"/>
  <c r="BL287" i="10"/>
  <c r="BX286" i="10"/>
  <c r="AF287" i="10"/>
  <c r="AE286" i="10"/>
  <c r="B288" i="10"/>
  <c r="CD288" i="10" s="1"/>
  <c r="BJ288" i="10" l="1"/>
  <c r="BT287" i="10"/>
  <c r="AU287" i="10"/>
  <c r="BG287" i="10" s="1"/>
  <c r="BU287" i="10"/>
  <c r="CB288" i="10"/>
  <c r="BS288" i="10"/>
  <c r="BO288" i="10"/>
  <c r="BD288" i="10"/>
  <c r="AZ288" i="10"/>
  <c r="AQ288" i="10"/>
  <c r="AM288" i="10"/>
  <c r="AH288" i="10"/>
  <c r="BT288" i="10" s="1"/>
  <c r="BZ288" i="10"/>
  <c r="BV288" i="10"/>
  <c r="BQ288" i="10"/>
  <c r="BH288" i="10"/>
  <c r="BB288" i="10"/>
  <c r="AX288" i="10"/>
  <c r="AS288" i="10"/>
  <c r="AO288" i="10"/>
  <c r="AK288" i="10"/>
  <c r="CA288" i="10"/>
  <c r="BR288" i="10"/>
  <c r="BK288" i="10"/>
  <c r="BA288" i="10"/>
  <c r="AR288" i="10"/>
  <c r="AI288" i="10"/>
  <c r="BY288" i="10"/>
  <c r="BP288" i="10"/>
  <c r="BI288" i="10"/>
  <c r="AY288" i="10"/>
  <c r="AP288" i="10"/>
  <c r="BU288" i="10" s="1"/>
  <c r="BN288" i="10"/>
  <c r="AW288" i="10"/>
  <c r="CC288" i="10"/>
  <c r="AT288" i="10"/>
  <c r="BW288" i="10"/>
  <c r="AN288" i="10"/>
  <c r="AL288" i="10"/>
  <c r="BL288" i="10"/>
  <c r="AF288" i="10"/>
  <c r="AE287" i="10"/>
  <c r="B289" i="10"/>
  <c r="CD289" i="10" s="1"/>
  <c r="BJ289" i="10" l="1"/>
  <c r="CB289" i="10"/>
  <c r="BW289" i="10"/>
  <c r="BQ289" i="10"/>
  <c r="BH289" i="10"/>
  <c r="BB289" i="10"/>
  <c r="AX289" i="10"/>
  <c r="AS289" i="10"/>
  <c r="AO289" i="10"/>
  <c r="AK289" i="10"/>
  <c r="BZ289" i="10"/>
  <c r="BS289" i="10"/>
  <c r="BO289" i="10"/>
  <c r="BD289" i="10"/>
  <c r="AZ289" i="10"/>
  <c r="AQ289" i="10"/>
  <c r="AM289" i="10"/>
  <c r="AH289" i="10"/>
  <c r="BX289" i="10" s="1"/>
  <c r="BY289" i="10"/>
  <c r="BN289" i="10"/>
  <c r="AW289" i="10"/>
  <c r="AN289" i="10"/>
  <c r="BV289" i="10"/>
  <c r="AT289" i="10"/>
  <c r="AL289" i="10"/>
  <c r="CA289" i="10"/>
  <c r="BK289" i="10"/>
  <c r="BA289" i="10"/>
  <c r="AI289" i="10"/>
  <c r="BR289" i="10"/>
  <c r="BI289" i="10"/>
  <c r="AY289" i="10"/>
  <c r="BP289" i="10"/>
  <c r="AR289" i="10"/>
  <c r="CC289" i="10"/>
  <c r="AP289" i="10"/>
  <c r="AV289" i="10" s="1"/>
  <c r="BL289" i="10"/>
  <c r="AV288" i="10"/>
  <c r="AU288" i="10"/>
  <c r="BG288" i="10" s="1"/>
  <c r="BX288" i="10"/>
  <c r="AF289" i="10"/>
  <c r="AE288" i="10"/>
  <c r="B290" i="10"/>
  <c r="CD290" i="10" s="1"/>
  <c r="BJ290" i="10" l="1"/>
  <c r="BT289" i="10"/>
  <c r="BZ290" i="10"/>
  <c r="BV290" i="10"/>
  <c r="BQ290" i="10"/>
  <c r="BH290" i="10"/>
  <c r="BB290" i="10"/>
  <c r="AX290" i="10"/>
  <c r="AS290" i="10"/>
  <c r="AO290" i="10"/>
  <c r="AK290" i="10"/>
  <c r="CB290" i="10"/>
  <c r="BS290" i="10"/>
  <c r="BO290" i="10"/>
  <c r="BD290" i="10"/>
  <c r="AZ290" i="10"/>
  <c r="AQ290" i="10"/>
  <c r="AM290" i="10"/>
  <c r="AH290" i="10"/>
  <c r="BT290" i="10" s="1"/>
  <c r="CC290" i="10"/>
  <c r="AT290" i="10"/>
  <c r="AL290" i="10"/>
  <c r="CA290" i="10"/>
  <c r="BR290" i="10"/>
  <c r="BK290" i="10"/>
  <c r="BA290" i="10"/>
  <c r="AR290" i="10"/>
  <c r="AI290" i="10"/>
  <c r="BW290" i="10"/>
  <c r="BI290" i="10"/>
  <c r="AW290" i="10"/>
  <c r="BP290" i="10"/>
  <c r="AP290" i="10"/>
  <c r="BU290" i="10" s="1"/>
  <c r="BN290" i="10"/>
  <c r="AN290" i="10"/>
  <c r="BY290" i="10"/>
  <c r="AY290" i="10"/>
  <c r="BL290" i="10"/>
  <c r="AU289" i="10"/>
  <c r="BG289" i="10" s="1"/>
  <c r="BU289" i="10"/>
  <c r="AF290" i="10"/>
  <c r="AE289" i="10"/>
  <c r="B291" i="10"/>
  <c r="CD291" i="10" s="1"/>
  <c r="BJ291" i="10" l="1"/>
  <c r="AV290" i="10"/>
  <c r="BZ291" i="10"/>
  <c r="BS291" i="10"/>
  <c r="BO291" i="10"/>
  <c r="BD291" i="10"/>
  <c r="AZ291" i="10"/>
  <c r="AQ291" i="10"/>
  <c r="AM291" i="10"/>
  <c r="AH291" i="10"/>
  <c r="BX291" i="10" s="1"/>
  <c r="CB291" i="10"/>
  <c r="BW291" i="10"/>
  <c r="BQ291" i="10"/>
  <c r="BH291" i="10"/>
  <c r="BB291" i="10"/>
  <c r="AX291" i="10"/>
  <c r="AS291" i="10"/>
  <c r="AO291" i="10"/>
  <c r="AK291" i="10"/>
  <c r="CA291" i="10"/>
  <c r="BP291" i="10"/>
  <c r="BI291" i="10"/>
  <c r="AY291" i="10"/>
  <c r="AP291" i="10"/>
  <c r="BY291" i="10"/>
  <c r="BN291" i="10"/>
  <c r="AW291" i="10"/>
  <c r="AN291" i="10"/>
  <c r="BV291" i="10"/>
  <c r="AR291" i="10"/>
  <c r="BR291" i="10"/>
  <c r="AL291" i="10"/>
  <c r="BA291" i="10"/>
  <c r="AI291" i="10"/>
  <c r="CC291" i="10"/>
  <c r="AT291" i="10"/>
  <c r="BK291" i="10"/>
  <c r="BT291" i="10"/>
  <c r="BL291" i="10"/>
  <c r="BX290" i="10"/>
  <c r="AU290" i="10"/>
  <c r="BG290" i="10" s="1"/>
  <c r="AF291" i="10"/>
  <c r="AE290" i="10"/>
  <c r="B292" i="10"/>
  <c r="CD292" i="10" s="1"/>
  <c r="BJ292" i="10" l="1"/>
  <c r="AU291" i="10"/>
  <c r="BG291" i="10" s="1"/>
  <c r="BU291" i="10"/>
  <c r="AV291" i="10"/>
  <c r="CB292" i="10"/>
  <c r="BS292" i="10"/>
  <c r="BO292" i="10"/>
  <c r="BD292" i="10"/>
  <c r="AZ292" i="10"/>
  <c r="AQ292" i="10"/>
  <c r="AM292" i="10"/>
  <c r="AH292" i="10"/>
  <c r="BT292" i="10" s="1"/>
  <c r="BZ292" i="10"/>
  <c r="BV292" i="10"/>
  <c r="BQ292" i="10"/>
  <c r="BH292" i="10"/>
  <c r="BB292" i="10"/>
  <c r="AX292" i="10"/>
  <c r="AS292" i="10"/>
  <c r="AO292" i="10"/>
  <c r="AK292" i="10"/>
  <c r="BW292" i="10"/>
  <c r="BN292" i="10"/>
  <c r="AW292" i="10"/>
  <c r="AN292" i="10"/>
  <c r="CC292" i="10"/>
  <c r="AT292" i="10"/>
  <c r="AL292" i="10"/>
  <c r="BP292" i="10"/>
  <c r="AR292" i="10"/>
  <c r="CA292" i="10"/>
  <c r="AP292" i="10"/>
  <c r="BU292" i="10" s="1"/>
  <c r="BY292" i="10"/>
  <c r="BK292" i="10"/>
  <c r="BA292" i="10"/>
  <c r="AI292" i="10"/>
  <c r="BI292" i="10"/>
  <c r="BR292" i="10"/>
  <c r="AY292" i="10"/>
  <c r="BL292" i="10"/>
  <c r="AF292" i="10"/>
  <c r="AE291" i="10"/>
  <c r="B293" i="10"/>
  <c r="CD293" i="10" s="1"/>
  <c r="BJ293" i="10" l="1"/>
  <c r="AV292" i="10"/>
  <c r="CA293" i="10"/>
  <c r="BV293" i="10"/>
  <c r="BP293" i="10"/>
  <c r="BK293" i="10"/>
  <c r="BB293" i="10"/>
  <c r="AX293" i="10"/>
  <c r="AS293" i="10"/>
  <c r="AO293" i="10"/>
  <c r="AK293" i="10"/>
  <c r="CC293" i="10"/>
  <c r="BY293" i="10"/>
  <c r="BR293" i="10"/>
  <c r="BN293" i="10"/>
  <c r="BI293" i="10"/>
  <c r="BD293" i="10"/>
  <c r="AZ293" i="10"/>
  <c r="AQ293" i="10"/>
  <c r="AM293" i="10"/>
  <c r="AH293" i="10"/>
  <c r="BS293" i="10"/>
  <c r="BA293" i="10"/>
  <c r="AR293" i="10"/>
  <c r="AI293" i="10"/>
  <c r="CB293" i="10"/>
  <c r="BQ293" i="10"/>
  <c r="BH293" i="10"/>
  <c r="AY293" i="10"/>
  <c r="AP293" i="10"/>
  <c r="BW293" i="10"/>
  <c r="AL293" i="10"/>
  <c r="BO293" i="10"/>
  <c r="AW293" i="10"/>
  <c r="AT293" i="10"/>
  <c r="BZ293" i="10"/>
  <c r="AN293" i="10"/>
  <c r="BL293" i="10"/>
  <c r="AU292" i="10"/>
  <c r="BG292" i="10" s="1"/>
  <c r="BX292" i="10"/>
  <c r="AF293" i="10"/>
  <c r="AE292" i="10"/>
  <c r="B294" i="10"/>
  <c r="CD294" i="10" s="1"/>
  <c r="BJ294" i="10" l="1"/>
  <c r="BX293" i="10"/>
  <c r="BT293" i="10"/>
  <c r="AU293" i="10"/>
  <c r="BG293" i="10" s="1"/>
  <c r="BU293" i="10"/>
  <c r="CC294" i="10"/>
  <c r="BY294" i="10"/>
  <c r="BP294" i="10"/>
  <c r="BK294" i="10"/>
  <c r="BA294" i="10"/>
  <c r="AW294" i="10"/>
  <c r="AR294" i="10"/>
  <c r="AN294" i="10"/>
  <c r="AI294" i="10"/>
  <c r="CA294" i="10"/>
  <c r="BW294" i="10"/>
  <c r="BR294" i="10"/>
  <c r="BN294" i="10"/>
  <c r="BI294" i="10"/>
  <c r="AY294" i="10"/>
  <c r="AT294" i="10"/>
  <c r="AP294" i="10"/>
  <c r="BU294" i="10" s="1"/>
  <c r="AL294" i="10"/>
  <c r="BO294" i="10"/>
  <c r="AZ294" i="10"/>
  <c r="AQ294" i="10"/>
  <c r="AH294" i="10"/>
  <c r="BT294" i="10" s="1"/>
  <c r="BV294" i="10"/>
  <c r="BD294" i="10"/>
  <c r="AX294" i="10"/>
  <c r="AO294" i="10"/>
  <c r="BQ294" i="10"/>
  <c r="AS294" i="10"/>
  <c r="CB294" i="10"/>
  <c r="AM294" i="10"/>
  <c r="BZ294" i="10"/>
  <c r="BB294" i="10"/>
  <c r="AK294" i="10"/>
  <c r="BH294" i="10"/>
  <c r="BS294" i="10"/>
  <c r="BL294" i="10"/>
  <c r="AV293" i="10"/>
  <c r="AF294" i="10"/>
  <c r="AE293" i="10"/>
  <c r="B295" i="10"/>
  <c r="CD295" i="10" s="1"/>
  <c r="BJ295" i="10" l="1"/>
  <c r="AU294" i="10"/>
  <c r="BG294" i="10" s="1"/>
  <c r="AV294" i="10"/>
  <c r="BZ295" i="10"/>
  <c r="BS295" i="10"/>
  <c r="BO295" i="10"/>
  <c r="BD295" i="10"/>
  <c r="AZ295" i="10"/>
  <c r="AT295" i="10"/>
  <c r="AP295" i="10"/>
  <c r="AL295" i="10"/>
  <c r="CB295" i="10"/>
  <c r="BW295" i="10"/>
  <c r="BQ295" i="10"/>
  <c r="BH295" i="10"/>
  <c r="BB295" i="10"/>
  <c r="AX295" i="10"/>
  <c r="AR295" i="10"/>
  <c r="AN295" i="10"/>
  <c r="AI295" i="10"/>
  <c r="BV295" i="10"/>
  <c r="AS295" i="10"/>
  <c r="AK295" i="10"/>
  <c r="CC295" i="10"/>
  <c r="BR295" i="10"/>
  <c r="BK295" i="10"/>
  <c r="BA295" i="10"/>
  <c r="AQ295" i="10"/>
  <c r="AH295" i="10"/>
  <c r="BX295" i="10" s="1"/>
  <c r="BN295" i="10"/>
  <c r="AM295" i="10"/>
  <c r="CA295" i="10"/>
  <c r="AY295" i="10"/>
  <c r="BY295" i="10"/>
  <c r="BI295" i="10"/>
  <c r="AW295" i="10"/>
  <c r="BP295" i="10"/>
  <c r="AO295" i="10"/>
  <c r="BL295" i="10"/>
  <c r="BX294" i="10"/>
  <c r="AF295" i="10"/>
  <c r="AE294" i="10"/>
  <c r="B296" i="10"/>
  <c r="CD296" i="10" s="1"/>
  <c r="BJ296" i="10" l="1"/>
  <c r="AU295" i="10"/>
  <c r="BG295" i="10" s="1"/>
  <c r="BU295" i="10"/>
  <c r="AV295" i="10"/>
  <c r="CB296" i="10"/>
  <c r="BS296" i="10"/>
  <c r="BO296" i="10"/>
  <c r="BD296" i="10"/>
  <c r="AZ296" i="10"/>
  <c r="AQ296" i="10"/>
  <c r="AM296" i="10"/>
  <c r="AH296" i="10"/>
  <c r="BT296" i="10" s="1"/>
  <c r="BZ296" i="10"/>
  <c r="BV296" i="10"/>
  <c r="BQ296" i="10"/>
  <c r="BH296" i="10"/>
  <c r="BB296" i="10"/>
  <c r="AX296" i="10"/>
  <c r="AS296" i="10"/>
  <c r="AO296" i="10"/>
  <c r="AK296" i="10"/>
  <c r="CA296" i="10"/>
  <c r="BR296" i="10"/>
  <c r="BK296" i="10"/>
  <c r="BA296" i="10"/>
  <c r="AR296" i="10"/>
  <c r="AI296" i="10"/>
  <c r="BY296" i="10"/>
  <c r="BP296" i="10"/>
  <c r="BI296" i="10"/>
  <c r="AY296" i="10"/>
  <c r="AP296" i="10"/>
  <c r="BU296" i="10" s="1"/>
  <c r="AL296" i="10"/>
  <c r="BN296" i="10"/>
  <c r="AW296" i="10"/>
  <c r="CC296" i="10"/>
  <c r="AT296" i="10"/>
  <c r="BW296" i="10"/>
  <c r="AN296" i="10"/>
  <c r="BL296" i="10"/>
  <c r="BT295" i="10"/>
  <c r="AF296" i="10"/>
  <c r="AE295" i="10"/>
  <c r="B297" i="10"/>
  <c r="CD297" i="10" s="1"/>
  <c r="BJ297" i="10" l="1"/>
  <c r="AV296" i="10"/>
  <c r="AU296" i="10"/>
  <c r="BG296" i="10" s="1"/>
  <c r="BX296" i="10"/>
  <c r="CB297" i="10"/>
  <c r="BW297" i="10"/>
  <c r="BQ297" i="10"/>
  <c r="BH297" i="10"/>
  <c r="BB297" i="10"/>
  <c r="AX297" i="10"/>
  <c r="AS297" i="10"/>
  <c r="AO297" i="10"/>
  <c r="AK297" i="10"/>
  <c r="BZ297" i="10"/>
  <c r="BS297" i="10"/>
  <c r="BO297" i="10"/>
  <c r="BD297" i="10"/>
  <c r="AZ297" i="10"/>
  <c r="AQ297" i="10"/>
  <c r="AM297" i="10"/>
  <c r="AH297" i="10"/>
  <c r="BX297" i="10" s="1"/>
  <c r="BY297" i="10"/>
  <c r="BN297" i="10"/>
  <c r="AW297" i="10"/>
  <c r="AN297" i="10"/>
  <c r="BV297" i="10"/>
  <c r="AT297" i="10"/>
  <c r="AL297" i="10"/>
  <c r="CC297" i="10"/>
  <c r="AP297" i="10"/>
  <c r="CA297" i="10"/>
  <c r="BK297" i="10"/>
  <c r="BA297" i="10"/>
  <c r="AI297" i="10"/>
  <c r="BR297" i="10"/>
  <c r="BI297" i="10"/>
  <c r="AY297" i="10"/>
  <c r="BP297" i="10"/>
  <c r="AR297" i="10"/>
  <c r="BL297" i="10"/>
  <c r="AF297" i="10"/>
  <c r="AE296" i="10"/>
  <c r="B298" i="10"/>
  <c r="CD298" i="10" s="1"/>
  <c r="BJ298" i="10" l="1"/>
  <c r="BT297" i="10"/>
  <c r="AU297" i="10"/>
  <c r="BG297" i="10" s="1"/>
  <c r="BU297" i="10"/>
  <c r="AV297" i="10"/>
  <c r="BZ298" i="10"/>
  <c r="BV298" i="10"/>
  <c r="BQ298" i="10"/>
  <c r="BH298" i="10"/>
  <c r="BB298" i="10"/>
  <c r="AX298" i="10"/>
  <c r="AS298" i="10"/>
  <c r="AO298" i="10"/>
  <c r="AK298" i="10"/>
  <c r="CB298" i="10"/>
  <c r="BS298" i="10"/>
  <c r="BO298" i="10"/>
  <c r="BD298" i="10"/>
  <c r="AZ298" i="10"/>
  <c r="AQ298" i="10"/>
  <c r="AM298" i="10"/>
  <c r="AH298" i="10"/>
  <c r="CC298" i="10"/>
  <c r="AT298" i="10"/>
  <c r="AL298" i="10"/>
  <c r="CA298" i="10"/>
  <c r="BR298" i="10"/>
  <c r="BK298" i="10"/>
  <c r="BA298" i="10"/>
  <c r="AR298" i="10"/>
  <c r="AI298" i="10"/>
  <c r="BY298" i="10"/>
  <c r="AY298" i="10"/>
  <c r="BW298" i="10"/>
  <c r="BI298" i="10"/>
  <c r="AW298" i="10"/>
  <c r="BP298" i="10"/>
  <c r="AP298" i="10"/>
  <c r="BU298" i="10" s="1"/>
  <c r="BN298" i="10"/>
  <c r="AN298" i="10"/>
  <c r="BL298" i="10"/>
  <c r="AF298" i="10"/>
  <c r="AE297" i="10"/>
  <c r="B299" i="10"/>
  <c r="CD299" i="10" s="1"/>
  <c r="BJ299" i="10" l="1"/>
  <c r="BZ299" i="10"/>
  <c r="BS299" i="10"/>
  <c r="BO299" i="10"/>
  <c r="BD299" i="10"/>
  <c r="AZ299" i="10"/>
  <c r="AQ299" i="10"/>
  <c r="AM299" i="10"/>
  <c r="AH299" i="10"/>
  <c r="BT299" i="10" s="1"/>
  <c r="CB299" i="10"/>
  <c r="BW299" i="10"/>
  <c r="BQ299" i="10"/>
  <c r="BH299" i="10"/>
  <c r="BB299" i="10"/>
  <c r="AX299" i="10"/>
  <c r="AS299" i="10"/>
  <c r="AO299" i="10"/>
  <c r="AK299" i="10"/>
  <c r="CA299" i="10"/>
  <c r="BP299" i="10"/>
  <c r="BI299" i="10"/>
  <c r="AY299" i="10"/>
  <c r="AP299" i="10"/>
  <c r="BY299" i="10"/>
  <c r="BN299" i="10"/>
  <c r="AW299" i="10"/>
  <c r="AN299" i="10"/>
  <c r="CC299" i="10"/>
  <c r="BK299" i="10"/>
  <c r="AT299" i="10"/>
  <c r="BV299" i="10"/>
  <c r="AR299" i="10"/>
  <c r="BR299" i="10"/>
  <c r="AL299" i="10"/>
  <c r="BA299" i="10"/>
  <c r="AI299" i="10"/>
  <c r="BX299" i="10"/>
  <c r="BL299" i="10"/>
  <c r="AU298" i="10"/>
  <c r="BG298" i="10" s="1"/>
  <c r="BX298" i="10"/>
  <c r="AV298" i="10"/>
  <c r="BT298" i="10"/>
  <c r="AF299" i="10"/>
  <c r="AE298" i="10"/>
  <c r="B300" i="10"/>
  <c r="CD300" i="10" s="1"/>
  <c r="BJ300" i="10" l="1"/>
  <c r="CB300" i="10"/>
  <c r="BS300" i="10"/>
  <c r="BO300" i="10"/>
  <c r="BD300" i="10"/>
  <c r="AZ300" i="10"/>
  <c r="AQ300" i="10"/>
  <c r="AM300" i="10"/>
  <c r="AH300" i="10"/>
  <c r="BT300" i="10" s="1"/>
  <c r="BZ300" i="10"/>
  <c r="BV300" i="10"/>
  <c r="BQ300" i="10"/>
  <c r="BH300" i="10"/>
  <c r="BB300" i="10"/>
  <c r="AX300" i="10"/>
  <c r="AS300" i="10"/>
  <c r="AO300" i="10"/>
  <c r="AK300" i="10"/>
  <c r="BW300" i="10"/>
  <c r="BN300" i="10"/>
  <c r="AW300" i="10"/>
  <c r="AN300" i="10"/>
  <c r="CC300" i="10"/>
  <c r="AT300" i="10"/>
  <c r="AL300" i="10"/>
  <c r="BR300" i="10"/>
  <c r="BI300" i="10"/>
  <c r="AY300" i="10"/>
  <c r="BP300" i="10"/>
  <c r="AR300" i="10"/>
  <c r="CA300" i="10"/>
  <c r="AP300" i="10"/>
  <c r="BU300" i="10" s="1"/>
  <c r="BA300" i="10"/>
  <c r="BK300" i="10"/>
  <c r="AI300" i="10"/>
  <c r="BY300" i="10"/>
  <c r="BL300" i="10"/>
  <c r="AU299" i="10"/>
  <c r="BG299" i="10" s="1"/>
  <c r="BU299" i="10"/>
  <c r="AV299" i="10"/>
  <c r="AF300" i="10"/>
  <c r="AE299" i="10"/>
  <c r="B301" i="10"/>
  <c r="CD301" i="10" s="1"/>
  <c r="BJ301" i="10" l="1"/>
  <c r="AV300" i="10"/>
  <c r="AU300" i="10"/>
  <c r="BG300" i="10" s="1"/>
  <c r="BX300" i="10"/>
  <c r="CA301" i="10"/>
  <c r="BV301" i="10"/>
  <c r="BP301" i="10"/>
  <c r="BK301" i="10"/>
  <c r="BB301" i="10"/>
  <c r="AX301" i="10"/>
  <c r="AS301" i="10"/>
  <c r="AO301" i="10"/>
  <c r="AK301" i="10"/>
  <c r="CC301" i="10"/>
  <c r="BY301" i="10"/>
  <c r="BR301" i="10"/>
  <c r="BN301" i="10"/>
  <c r="BI301" i="10"/>
  <c r="BD301" i="10"/>
  <c r="AZ301" i="10"/>
  <c r="AQ301" i="10"/>
  <c r="AM301" i="10"/>
  <c r="AH301" i="10"/>
  <c r="BX301" i="10" s="1"/>
  <c r="BS301" i="10"/>
  <c r="BA301" i="10"/>
  <c r="AR301" i="10"/>
  <c r="AI301" i="10"/>
  <c r="CB301" i="10"/>
  <c r="BQ301" i="10"/>
  <c r="BH301" i="10"/>
  <c r="AY301" i="10"/>
  <c r="AP301" i="10"/>
  <c r="BZ301" i="10"/>
  <c r="AN301" i="10"/>
  <c r="BW301" i="10"/>
  <c r="AL301" i="10"/>
  <c r="BO301" i="10"/>
  <c r="AW301" i="10"/>
  <c r="AT301" i="10"/>
  <c r="BL301" i="10"/>
  <c r="AF301" i="10"/>
  <c r="AE300" i="10"/>
  <c r="B302" i="10"/>
  <c r="CD302" i="10" s="1"/>
  <c r="BJ302" i="10" l="1"/>
  <c r="BT301" i="10"/>
  <c r="AU301" i="10"/>
  <c r="BG301" i="10" s="1"/>
  <c r="BU301" i="10"/>
  <c r="AV301" i="10"/>
  <c r="CC302" i="10"/>
  <c r="BY302" i="10"/>
  <c r="BP302" i="10"/>
  <c r="BK302" i="10"/>
  <c r="BA302" i="10"/>
  <c r="AW302" i="10"/>
  <c r="AR302" i="10"/>
  <c r="AN302" i="10"/>
  <c r="AI302" i="10"/>
  <c r="CA302" i="10"/>
  <c r="BW302" i="10"/>
  <c r="BR302" i="10"/>
  <c r="BN302" i="10"/>
  <c r="BI302" i="10"/>
  <c r="AY302" i="10"/>
  <c r="AT302" i="10"/>
  <c r="AP302" i="10"/>
  <c r="BU302" i="10" s="1"/>
  <c r="AL302" i="10"/>
  <c r="BO302" i="10"/>
  <c r="AZ302" i="10"/>
  <c r="AQ302" i="10"/>
  <c r="AH302" i="10"/>
  <c r="BV302" i="10"/>
  <c r="BD302" i="10"/>
  <c r="AX302" i="10"/>
  <c r="AO302" i="10"/>
  <c r="BS302" i="10"/>
  <c r="BH302" i="10"/>
  <c r="BQ302" i="10"/>
  <c r="AS302" i="10"/>
  <c r="CB302" i="10"/>
  <c r="AM302" i="10"/>
  <c r="BZ302" i="10"/>
  <c r="BB302" i="10"/>
  <c r="AK302" i="10"/>
  <c r="BL302" i="10"/>
  <c r="AF302" i="10"/>
  <c r="AE301" i="10"/>
  <c r="B303" i="10"/>
  <c r="CD303" i="10" s="1"/>
  <c r="BJ303" i="10" l="1"/>
  <c r="AU302" i="10"/>
  <c r="BG302" i="10" s="1"/>
  <c r="AV302" i="10"/>
  <c r="BT302" i="10"/>
  <c r="BZ303" i="10"/>
  <c r="BS303" i="10"/>
  <c r="BO303" i="10"/>
  <c r="BD303" i="10"/>
  <c r="AZ303" i="10"/>
  <c r="AT303" i="10"/>
  <c r="AP303" i="10"/>
  <c r="AV303" i="10" s="1"/>
  <c r="AL303" i="10"/>
  <c r="CB303" i="10"/>
  <c r="BW303" i="10"/>
  <c r="BQ303" i="10"/>
  <c r="BH303" i="10"/>
  <c r="BB303" i="10"/>
  <c r="AX303" i="10"/>
  <c r="AR303" i="10"/>
  <c r="AN303" i="10"/>
  <c r="AI303" i="10"/>
  <c r="BV303" i="10"/>
  <c r="AS303" i="10"/>
  <c r="AK303" i="10"/>
  <c r="CC303" i="10"/>
  <c r="BR303" i="10"/>
  <c r="BK303" i="10"/>
  <c r="BA303" i="10"/>
  <c r="AQ303" i="10"/>
  <c r="AH303" i="10"/>
  <c r="BX303" i="10" s="1"/>
  <c r="BP303" i="10"/>
  <c r="AO303" i="10"/>
  <c r="BN303" i="10"/>
  <c r="AM303" i="10"/>
  <c r="CA303" i="10"/>
  <c r="AY303" i="10"/>
  <c r="BI303" i="10"/>
  <c r="BY303" i="10"/>
  <c r="AW303" i="10"/>
  <c r="BL303" i="10"/>
  <c r="BX302" i="10"/>
  <c r="AF303" i="10"/>
  <c r="AE302" i="10"/>
  <c r="B304" i="10"/>
  <c r="CD304" i="10" s="1"/>
  <c r="BJ304" i="10" l="1"/>
  <c r="BT303" i="10"/>
  <c r="CB304" i="10"/>
  <c r="BS304" i="10"/>
  <c r="BO304" i="10"/>
  <c r="BD304" i="10"/>
  <c r="AZ304" i="10"/>
  <c r="AQ304" i="10"/>
  <c r="AM304" i="10"/>
  <c r="AH304" i="10"/>
  <c r="BZ304" i="10"/>
  <c r="BV304" i="10"/>
  <c r="BQ304" i="10"/>
  <c r="BH304" i="10"/>
  <c r="BB304" i="10"/>
  <c r="AX304" i="10"/>
  <c r="AS304" i="10"/>
  <c r="AO304" i="10"/>
  <c r="AK304" i="10"/>
  <c r="CA304" i="10"/>
  <c r="BR304" i="10"/>
  <c r="BK304" i="10"/>
  <c r="BA304" i="10"/>
  <c r="AR304" i="10"/>
  <c r="AI304" i="10"/>
  <c r="BY304" i="10"/>
  <c r="BP304" i="10"/>
  <c r="BI304" i="10"/>
  <c r="AY304" i="10"/>
  <c r="AP304" i="10"/>
  <c r="BU304" i="10" s="1"/>
  <c r="BW304" i="10"/>
  <c r="AN304" i="10"/>
  <c r="AL304" i="10"/>
  <c r="BN304" i="10"/>
  <c r="AW304" i="10"/>
  <c r="CC304" i="10"/>
  <c r="AT304" i="10"/>
  <c r="BL304" i="10"/>
  <c r="AU303" i="10"/>
  <c r="BG303" i="10" s="1"/>
  <c r="BU303" i="10"/>
  <c r="AF304" i="10"/>
  <c r="AE303" i="10"/>
  <c r="B305" i="10"/>
  <c r="CD305" i="10" s="1"/>
  <c r="BJ305" i="10" l="1"/>
  <c r="CC305" i="10"/>
  <c r="BY305" i="10"/>
  <c r="BR305" i="10"/>
  <c r="BN305" i="10"/>
  <c r="BI305" i="10"/>
  <c r="AY305" i="10"/>
  <c r="AS305" i="10"/>
  <c r="AO305" i="10"/>
  <c r="AK305" i="10"/>
  <c r="CA305" i="10"/>
  <c r="BV305" i="10"/>
  <c r="BP305" i="10"/>
  <c r="BK305" i="10"/>
  <c r="BA305" i="10"/>
  <c r="AW305" i="10"/>
  <c r="AQ305" i="10"/>
  <c r="AM305" i="10"/>
  <c r="AH305" i="10"/>
  <c r="BX305" i="10" s="1"/>
  <c r="BW305" i="10"/>
  <c r="BD305" i="10"/>
  <c r="AX305" i="10"/>
  <c r="AN305" i="10"/>
  <c r="BS305" i="10"/>
  <c r="AT305" i="10"/>
  <c r="AL305" i="10"/>
  <c r="BQ305" i="10"/>
  <c r="AR305" i="10"/>
  <c r="BO305" i="10"/>
  <c r="AP305" i="10"/>
  <c r="AV305" i="10" s="1"/>
  <c r="CB305" i="10"/>
  <c r="BB305" i="10"/>
  <c r="AI305" i="10"/>
  <c r="AZ305" i="10"/>
  <c r="BH305" i="10"/>
  <c r="BZ305" i="10"/>
  <c r="BL305" i="10"/>
  <c r="BT304" i="10"/>
  <c r="BX304" i="10"/>
  <c r="AV304" i="10"/>
  <c r="AU304" i="10"/>
  <c r="BG304" i="10" s="1"/>
  <c r="AF305" i="10"/>
  <c r="AE304" i="10"/>
  <c r="B306" i="10"/>
  <c r="CD306" i="10" s="1"/>
  <c r="BJ306" i="10" l="1"/>
  <c r="BT305" i="10"/>
  <c r="AU305" i="10"/>
  <c r="BG305" i="10" s="1"/>
  <c r="BU305" i="10"/>
  <c r="CA306" i="10"/>
  <c r="BW306" i="10"/>
  <c r="BR306" i="10"/>
  <c r="BN306" i="10"/>
  <c r="BI306" i="10"/>
  <c r="AY306" i="10"/>
  <c r="AT306" i="10"/>
  <c r="AP306" i="10"/>
  <c r="BU306" i="10" s="1"/>
  <c r="AL306" i="10"/>
  <c r="CC306" i="10"/>
  <c r="BY306" i="10"/>
  <c r="BP306" i="10"/>
  <c r="BK306" i="10"/>
  <c r="BA306" i="10"/>
  <c r="AW306" i="10"/>
  <c r="AR306" i="10"/>
  <c r="AN306" i="10"/>
  <c r="AI306" i="10"/>
  <c r="BZ306" i="10"/>
  <c r="BQ306" i="10"/>
  <c r="BH306" i="10"/>
  <c r="BB306" i="10"/>
  <c r="AS306" i="10"/>
  <c r="AK306" i="10"/>
  <c r="BO306" i="10"/>
  <c r="AZ306" i="10"/>
  <c r="AQ306" i="10"/>
  <c r="AH306" i="10"/>
  <c r="BS306" i="10"/>
  <c r="BD306" i="10"/>
  <c r="AO306" i="10"/>
  <c r="AM306" i="10"/>
  <c r="CB306" i="10"/>
  <c r="AX306" i="10"/>
  <c r="BV306" i="10"/>
  <c r="BL306" i="10"/>
  <c r="AF306" i="10"/>
  <c r="AE305" i="10"/>
  <c r="B307" i="10"/>
  <c r="CD307" i="10" s="1"/>
  <c r="BJ307" i="10" l="1"/>
  <c r="AU306" i="10"/>
  <c r="BG306" i="10" s="1"/>
  <c r="AV306" i="10"/>
  <c r="BT306" i="10"/>
  <c r="CA307" i="10"/>
  <c r="BV307" i="10"/>
  <c r="BP307" i="10"/>
  <c r="BK307" i="10"/>
  <c r="BA307" i="10"/>
  <c r="AW307" i="10"/>
  <c r="AR307" i="10"/>
  <c r="AN307" i="10"/>
  <c r="AI307" i="10"/>
  <c r="CC307" i="10"/>
  <c r="BY307" i="10"/>
  <c r="BR307" i="10"/>
  <c r="BN307" i="10"/>
  <c r="BI307" i="10"/>
  <c r="AY307" i="10"/>
  <c r="AT307" i="10"/>
  <c r="AP307" i="10"/>
  <c r="AV307" i="10" s="1"/>
  <c r="AL307" i="10"/>
  <c r="BS307" i="10"/>
  <c r="AM307" i="10"/>
  <c r="CB307" i="10"/>
  <c r="BQ307" i="10"/>
  <c r="BH307" i="10"/>
  <c r="BB307" i="10"/>
  <c r="AS307" i="10"/>
  <c r="AK307" i="10"/>
  <c r="BO307" i="10"/>
  <c r="AO307" i="10"/>
  <c r="AZ307" i="10"/>
  <c r="AH307" i="10"/>
  <c r="BX307" i="10" s="1"/>
  <c r="BZ307" i="10"/>
  <c r="AX307" i="10"/>
  <c r="BW307" i="10"/>
  <c r="AQ307" i="10"/>
  <c r="BD307" i="10"/>
  <c r="BL307" i="10"/>
  <c r="BX306" i="10"/>
  <c r="AF307" i="10"/>
  <c r="AE306" i="10"/>
  <c r="B308" i="10"/>
  <c r="CD308" i="10" s="1"/>
  <c r="BJ308" i="10" l="1"/>
  <c r="BT307" i="10"/>
  <c r="AU307" i="10"/>
  <c r="BG307" i="10" s="1"/>
  <c r="BU307" i="10"/>
  <c r="CC308" i="10"/>
  <c r="BY308" i="10"/>
  <c r="BP308" i="10"/>
  <c r="BK308" i="10"/>
  <c r="BA308" i="10"/>
  <c r="AW308" i="10"/>
  <c r="AR308" i="10"/>
  <c r="AN308" i="10"/>
  <c r="AI308" i="10"/>
  <c r="CA308" i="10"/>
  <c r="BW308" i="10"/>
  <c r="BR308" i="10"/>
  <c r="BN308" i="10"/>
  <c r="BI308" i="10"/>
  <c r="AY308" i="10"/>
  <c r="AT308" i="10"/>
  <c r="AP308" i="10"/>
  <c r="BU308" i="10" s="1"/>
  <c r="AL308" i="10"/>
  <c r="BO308" i="10"/>
  <c r="AZ308" i="10"/>
  <c r="AQ308" i="10"/>
  <c r="AH308" i="10"/>
  <c r="BV308" i="10"/>
  <c r="BD308" i="10"/>
  <c r="AX308" i="10"/>
  <c r="AO308" i="10"/>
  <c r="CB308" i="10"/>
  <c r="AM308" i="10"/>
  <c r="BZ308" i="10"/>
  <c r="BB308" i="10"/>
  <c r="AK308" i="10"/>
  <c r="BS308" i="10"/>
  <c r="BH308" i="10"/>
  <c r="BQ308" i="10"/>
  <c r="AS308" i="10"/>
  <c r="BL308" i="10"/>
  <c r="AF308" i="10"/>
  <c r="AE307" i="10"/>
  <c r="B309" i="10"/>
  <c r="CD309" i="10" s="1"/>
  <c r="BJ309" i="10" l="1"/>
  <c r="CB309" i="10"/>
  <c r="BW309" i="10"/>
  <c r="BQ309" i="10"/>
  <c r="BH309" i="10"/>
  <c r="AY309" i="10"/>
  <c r="AT309" i="10"/>
  <c r="AP309" i="10"/>
  <c r="AV309" i="10" s="1"/>
  <c r="AL309" i="10"/>
  <c r="BZ309" i="10"/>
  <c r="BS309" i="10"/>
  <c r="BO309" i="10"/>
  <c r="BA309" i="10"/>
  <c r="AW309" i="10"/>
  <c r="AR309" i="10"/>
  <c r="AN309" i="10"/>
  <c r="AI309" i="10"/>
  <c r="BY309" i="10"/>
  <c r="BN309" i="10"/>
  <c r="BB309" i="10"/>
  <c r="AS309" i="10"/>
  <c r="AK309" i="10"/>
  <c r="BV309" i="10"/>
  <c r="AZ309" i="10"/>
  <c r="AQ309" i="10"/>
  <c r="AH309" i="10"/>
  <c r="BT309" i="10" s="1"/>
  <c r="BR309" i="10"/>
  <c r="BI309" i="10"/>
  <c r="AX309" i="10"/>
  <c r="BP309" i="10"/>
  <c r="CC309" i="10"/>
  <c r="BD309" i="10"/>
  <c r="AO309" i="10"/>
  <c r="CA309" i="10"/>
  <c r="AM309" i="10"/>
  <c r="BK309" i="10"/>
  <c r="BL309" i="10"/>
  <c r="AU308" i="10"/>
  <c r="BG308" i="10" s="1"/>
  <c r="BX308" i="10"/>
  <c r="AV308" i="10"/>
  <c r="BT308" i="10"/>
  <c r="AF309" i="10"/>
  <c r="AE308" i="10"/>
  <c r="B310" i="10"/>
  <c r="CD310" i="10" s="1"/>
  <c r="BJ310" i="10" l="1"/>
  <c r="BX309" i="10"/>
  <c r="BZ310" i="10"/>
  <c r="BV310" i="10"/>
  <c r="BQ310" i="10"/>
  <c r="BH310" i="10"/>
  <c r="BB310" i="10"/>
  <c r="AX310" i="10"/>
  <c r="AS310" i="10"/>
  <c r="AO310" i="10"/>
  <c r="AK310" i="10"/>
  <c r="CB310" i="10"/>
  <c r="BS310" i="10"/>
  <c r="BO310" i="10"/>
  <c r="BD310" i="10"/>
  <c r="AZ310" i="10"/>
  <c r="AQ310" i="10"/>
  <c r="AM310" i="10"/>
  <c r="AH310" i="10"/>
  <c r="CC310" i="10"/>
  <c r="AT310" i="10"/>
  <c r="AL310" i="10"/>
  <c r="CA310" i="10"/>
  <c r="BR310" i="10"/>
  <c r="BK310" i="10"/>
  <c r="BA310" i="10"/>
  <c r="AR310" i="10"/>
  <c r="AI310" i="10"/>
  <c r="BP310" i="10"/>
  <c r="AP310" i="10"/>
  <c r="BU310" i="10" s="1"/>
  <c r="BN310" i="10"/>
  <c r="AN310" i="10"/>
  <c r="BY310" i="10"/>
  <c r="AY310" i="10"/>
  <c r="AW310" i="10"/>
  <c r="BI310" i="10"/>
  <c r="BW310" i="10"/>
  <c r="BL310" i="10"/>
  <c r="AU309" i="10"/>
  <c r="BG309" i="10" s="1"/>
  <c r="BU309" i="10"/>
  <c r="AF310" i="10"/>
  <c r="AE309" i="10"/>
  <c r="B311" i="10"/>
  <c r="CD311" i="10" s="1"/>
  <c r="AV310" i="10" l="1"/>
  <c r="BJ311" i="10"/>
  <c r="BX310" i="10"/>
  <c r="BT310" i="10"/>
  <c r="CA311" i="10"/>
  <c r="BV311" i="10"/>
  <c r="BP311" i="10"/>
  <c r="BK311" i="10"/>
  <c r="BA311" i="10"/>
  <c r="AW311" i="10"/>
  <c r="AQ311" i="10"/>
  <c r="AM311" i="10"/>
  <c r="AH311" i="10"/>
  <c r="BT311" i="10" s="1"/>
  <c r="CC311" i="10"/>
  <c r="BY311" i="10"/>
  <c r="BR311" i="10"/>
  <c r="BN311" i="10"/>
  <c r="BI311" i="10"/>
  <c r="AY311" i="10"/>
  <c r="AS311" i="10"/>
  <c r="AO311" i="10"/>
  <c r="AK311" i="10"/>
  <c r="BZ311" i="10"/>
  <c r="BO311" i="10"/>
  <c r="AZ311" i="10"/>
  <c r="AP311" i="10"/>
  <c r="AV311" i="10" s="1"/>
  <c r="BW311" i="10"/>
  <c r="BD311" i="10"/>
  <c r="AX311" i="10"/>
  <c r="AN311" i="10"/>
  <c r="AL311" i="10"/>
  <c r="CB311" i="10"/>
  <c r="BB311" i="10"/>
  <c r="AI311" i="10"/>
  <c r="BS311" i="10"/>
  <c r="BH311" i="10"/>
  <c r="AT311" i="10"/>
  <c r="BQ311" i="10"/>
  <c r="AR311" i="10"/>
  <c r="BL311" i="10"/>
  <c r="AU310" i="10"/>
  <c r="BG310" i="10" s="1"/>
  <c r="AF311" i="10"/>
  <c r="AE310" i="10"/>
  <c r="B312" i="10"/>
  <c r="CD312" i="10" s="1"/>
  <c r="BJ312" i="10" l="1"/>
  <c r="CC312" i="10"/>
  <c r="BY312" i="10"/>
  <c r="BZ312" i="10"/>
  <c r="BP312" i="10"/>
  <c r="BK312" i="10"/>
  <c r="BA312" i="10"/>
  <c r="AW312" i="10"/>
  <c r="AR312" i="10"/>
  <c r="AN312" i="10"/>
  <c r="AI312" i="10"/>
  <c r="CB312" i="10"/>
  <c r="BW312" i="10"/>
  <c r="BR312" i="10"/>
  <c r="BN312" i="10"/>
  <c r="BI312" i="10"/>
  <c r="AY312" i="10"/>
  <c r="AT312" i="10"/>
  <c r="AP312" i="10"/>
  <c r="BU312" i="10" s="1"/>
  <c r="AL312" i="10"/>
  <c r="BS312" i="10"/>
  <c r="AM312" i="10"/>
  <c r="CA312" i="10"/>
  <c r="BQ312" i="10"/>
  <c r="BH312" i="10"/>
  <c r="BB312" i="10"/>
  <c r="AS312" i="10"/>
  <c r="AK312" i="10"/>
  <c r="AZ312" i="10"/>
  <c r="AH312" i="10"/>
  <c r="BX312" i="10" s="1"/>
  <c r="AX312" i="10"/>
  <c r="BV312" i="10"/>
  <c r="BD312" i="10"/>
  <c r="AQ312" i="10"/>
  <c r="BO312" i="10"/>
  <c r="AO312" i="10"/>
  <c r="BL312" i="10"/>
  <c r="BX311" i="10"/>
  <c r="AU311" i="10"/>
  <c r="BG311" i="10" s="1"/>
  <c r="BU311" i="10"/>
  <c r="AF312" i="10"/>
  <c r="AE311" i="10"/>
  <c r="B313" i="10"/>
  <c r="CD313" i="10" s="1"/>
  <c r="BJ313" i="10" l="1"/>
  <c r="AU312" i="10"/>
  <c r="BG312" i="10" s="1"/>
  <c r="AV312" i="10"/>
  <c r="CB313" i="10"/>
  <c r="BW313" i="10"/>
  <c r="BQ313" i="10"/>
  <c r="BH313" i="10"/>
  <c r="AY313" i="10"/>
  <c r="AT313" i="10"/>
  <c r="AP313" i="10"/>
  <c r="AV313" i="10" s="1"/>
  <c r="AL313" i="10"/>
  <c r="BY313" i="10"/>
  <c r="BP313" i="10"/>
  <c r="BK313" i="10"/>
  <c r="BA313" i="10"/>
  <c r="AO313" i="10"/>
  <c r="AI313" i="10"/>
  <c r="CA313" i="10"/>
  <c r="BS313" i="10"/>
  <c r="BN313" i="10"/>
  <c r="BI313" i="10"/>
  <c r="AX313" i="10"/>
  <c r="AR313" i="10"/>
  <c r="AM313" i="10"/>
  <c r="BV313" i="10"/>
  <c r="AS313" i="10"/>
  <c r="AH313" i="10"/>
  <c r="BT313" i="10" s="1"/>
  <c r="BR313" i="10"/>
  <c r="BB313" i="10"/>
  <c r="AQ313" i="10"/>
  <c r="BO313" i="10"/>
  <c r="AK313" i="10"/>
  <c r="AZ313" i="10"/>
  <c r="CC313" i="10"/>
  <c r="AW313" i="10"/>
  <c r="AN313" i="10"/>
  <c r="BD313" i="10"/>
  <c r="BZ313" i="10"/>
  <c r="BX313" i="10"/>
  <c r="BL313" i="10"/>
  <c r="BT312" i="10"/>
  <c r="AF313" i="10"/>
  <c r="AE312" i="10"/>
  <c r="B314" i="10"/>
  <c r="CD314" i="10" s="1"/>
  <c r="BJ314" i="10" l="1"/>
  <c r="AU313" i="10"/>
  <c r="BG313" i="10" s="1"/>
  <c r="BU313" i="10"/>
  <c r="CC314" i="10"/>
  <c r="BY314" i="10"/>
  <c r="BP314" i="10"/>
  <c r="BK314" i="10"/>
  <c r="BA314" i="10"/>
  <c r="AW314" i="10"/>
  <c r="AS314" i="10"/>
  <c r="AO314" i="10"/>
  <c r="AK314" i="10"/>
  <c r="CB314" i="10"/>
  <c r="BW314" i="10"/>
  <c r="BQ314" i="10"/>
  <c r="BD314" i="10"/>
  <c r="AY314" i="10"/>
  <c r="AT314" i="10"/>
  <c r="AN314" i="10"/>
  <c r="AH314" i="10"/>
  <c r="BX314" i="10" s="1"/>
  <c r="BZ314" i="10"/>
  <c r="BS314" i="10"/>
  <c r="BN314" i="10"/>
  <c r="BH314" i="10"/>
  <c r="BB314" i="10"/>
  <c r="AQ314" i="10"/>
  <c r="AL314" i="10"/>
  <c r="BV314" i="10"/>
  <c r="BI314" i="10"/>
  <c r="AX314" i="10"/>
  <c r="AM314" i="10"/>
  <c r="BR314" i="10"/>
  <c r="AI314" i="10"/>
  <c r="AR314" i="10"/>
  <c r="CA314" i="10"/>
  <c r="AP314" i="10"/>
  <c r="BU314" i="10" s="1"/>
  <c r="BO314" i="10"/>
  <c r="AZ314" i="10"/>
  <c r="BL314" i="10"/>
  <c r="AF314" i="10"/>
  <c r="AE313" i="10"/>
  <c r="B315" i="10"/>
  <c r="CD315" i="10" s="1"/>
  <c r="BJ315" i="10" l="1"/>
  <c r="CB315" i="10"/>
  <c r="BW315" i="10"/>
  <c r="BQ315" i="10"/>
  <c r="BH315" i="10"/>
  <c r="AY315" i="10"/>
  <c r="AT315" i="10"/>
  <c r="AP315" i="10"/>
  <c r="AV315" i="10" s="1"/>
  <c r="AL315" i="10"/>
  <c r="CA315" i="10"/>
  <c r="BS315" i="10"/>
  <c r="BN315" i="10"/>
  <c r="BI315" i="10"/>
  <c r="AX315" i="10"/>
  <c r="AR315" i="10"/>
  <c r="AM315" i="10"/>
  <c r="BY315" i="10"/>
  <c r="BP315" i="10"/>
  <c r="BK315" i="10"/>
  <c r="BA315" i="10"/>
  <c r="AO315" i="10"/>
  <c r="AI315" i="10"/>
  <c r="BZ315" i="10"/>
  <c r="BD315" i="10"/>
  <c r="AW315" i="10"/>
  <c r="AK315" i="10"/>
  <c r="BV315" i="10"/>
  <c r="AS315" i="10"/>
  <c r="AH315" i="10"/>
  <c r="BT315" i="10" s="1"/>
  <c r="BO315" i="10"/>
  <c r="AN315" i="10"/>
  <c r="BB315" i="10"/>
  <c r="CC315" i="10"/>
  <c r="AZ315" i="10"/>
  <c r="BR315" i="10"/>
  <c r="AQ315" i="10"/>
  <c r="BL315" i="10"/>
  <c r="AV314" i="10"/>
  <c r="BT314" i="10"/>
  <c r="AU314" i="10"/>
  <c r="BG314" i="10" s="1"/>
  <c r="AF315" i="10"/>
  <c r="AE314" i="10"/>
  <c r="B316" i="10"/>
  <c r="CD316" i="10" s="1"/>
  <c r="BJ316" i="10" l="1"/>
  <c r="BX315" i="10"/>
  <c r="BZ316" i="10"/>
  <c r="BV316" i="10"/>
  <c r="BQ316" i="10"/>
  <c r="BH316" i="10"/>
  <c r="BB316" i="10"/>
  <c r="AX316" i="10"/>
  <c r="AS316" i="10"/>
  <c r="AO316" i="10"/>
  <c r="AK316" i="10"/>
  <c r="CA316" i="10"/>
  <c r="BO316" i="10"/>
  <c r="AW316" i="10"/>
  <c r="AQ316" i="10"/>
  <c r="AL316" i="10"/>
  <c r="CC316" i="10"/>
  <c r="BR316" i="10"/>
  <c r="AZ316" i="10"/>
  <c r="AT316" i="10"/>
  <c r="AN316" i="10"/>
  <c r="AH316" i="10"/>
  <c r="CB316" i="10"/>
  <c r="BP316" i="10"/>
  <c r="BI316" i="10"/>
  <c r="BA316" i="10"/>
  <c r="AP316" i="10"/>
  <c r="BU316" i="10" s="1"/>
  <c r="BY316" i="10"/>
  <c r="BN316" i="10"/>
  <c r="AY316" i="10"/>
  <c r="AM316" i="10"/>
  <c r="BW316" i="10"/>
  <c r="AR316" i="10"/>
  <c r="BS316" i="10"/>
  <c r="BD316" i="10"/>
  <c r="AI316" i="10"/>
  <c r="BK316" i="10"/>
  <c r="BL316" i="10"/>
  <c r="AU315" i="10"/>
  <c r="BG315" i="10" s="1"/>
  <c r="BU315" i="10"/>
  <c r="AF316" i="10"/>
  <c r="AE315" i="10"/>
  <c r="B317" i="10"/>
  <c r="CD317" i="10" s="1"/>
  <c r="BJ317" i="10" l="1"/>
  <c r="AV316" i="10"/>
  <c r="CA317" i="10"/>
  <c r="BV317" i="10"/>
  <c r="BP317" i="10"/>
  <c r="BK317" i="10"/>
  <c r="BA317" i="10"/>
  <c r="AW317" i="10"/>
  <c r="AQ317" i="10"/>
  <c r="AM317" i="10"/>
  <c r="AH317" i="10"/>
  <c r="BX317" i="10" s="1"/>
  <c r="CC317" i="10"/>
  <c r="BW317" i="10"/>
  <c r="BO317" i="10"/>
  <c r="BI317" i="10"/>
  <c r="AX317" i="10"/>
  <c r="AP317" i="10"/>
  <c r="AV317" i="10" s="1"/>
  <c r="AK317" i="10"/>
  <c r="BZ317" i="10"/>
  <c r="BR317" i="10"/>
  <c r="AZ317" i="10"/>
  <c r="AS317" i="10"/>
  <c r="AN317" i="10"/>
  <c r="BS317" i="10"/>
  <c r="AR317" i="10"/>
  <c r="BQ317" i="10"/>
  <c r="BH317" i="10"/>
  <c r="BB317" i="10"/>
  <c r="AO317" i="10"/>
  <c r="AY317" i="10"/>
  <c r="CB317" i="10"/>
  <c r="AT317" i="10"/>
  <c r="BY317" i="10"/>
  <c r="BD317" i="10"/>
  <c r="AL317" i="10"/>
  <c r="BN317" i="10"/>
  <c r="AI317" i="10"/>
  <c r="BL317" i="10"/>
  <c r="BT316" i="10"/>
  <c r="AU316" i="10"/>
  <c r="BG316" i="10" s="1"/>
  <c r="BX316" i="10"/>
  <c r="AF317" i="10"/>
  <c r="AE316" i="10"/>
  <c r="B318" i="10"/>
  <c r="CD318" i="10" s="1"/>
  <c r="BJ318" i="10" l="1"/>
  <c r="BT317" i="10"/>
  <c r="CB318" i="10"/>
  <c r="BS318" i="10"/>
  <c r="BO318" i="10"/>
  <c r="BD318" i="10"/>
  <c r="AZ318" i="10"/>
  <c r="AR318" i="10"/>
  <c r="AN318" i="10"/>
  <c r="AI318" i="10"/>
  <c r="CC318" i="10"/>
  <c r="BW318" i="10"/>
  <c r="BQ318" i="10"/>
  <c r="BK318" i="10"/>
  <c r="AX318" i="10"/>
  <c r="AS318" i="10"/>
  <c r="AM318" i="10"/>
  <c r="BZ318" i="10"/>
  <c r="BN318" i="10"/>
  <c r="BH318" i="10"/>
  <c r="BA318" i="10"/>
  <c r="AP318" i="10"/>
  <c r="BU318" i="10" s="1"/>
  <c r="AK318" i="10"/>
  <c r="BR318" i="10"/>
  <c r="AW318" i="10"/>
  <c r="AL318" i="10"/>
  <c r="CA318" i="10"/>
  <c r="BP318" i="10"/>
  <c r="AT318" i="10"/>
  <c r="AH318" i="10"/>
  <c r="BX318" i="10" s="1"/>
  <c r="BV318" i="10"/>
  <c r="AO318" i="10"/>
  <c r="BB318" i="10"/>
  <c r="BI318" i="10"/>
  <c r="AY318" i="10"/>
  <c r="BY318" i="10"/>
  <c r="AQ318" i="10"/>
  <c r="BL318" i="10"/>
  <c r="AU317" i="10"/>
  <c r="BG317" i="10" s="1"/>
  <c r="BU317" i="10"/>
  <c r="AF318" i="10"/>
  <c r="AE317" i="10"/>
  <c r="B319" i="10"/>
  <c r="CD319" i="10" s="1"/>
  <c r="BJ319" i="10" l="1"/>
  <c r="AU318" i="10"/>
  <c r="BG318" i="10" s="1"/>
  <c r="BT318" i="10"/>
  <c r="AV318" i="10"/>
  <c r="CB319" i="10"/>
  <c r="BW319" i="10"/>
  <c r="BQ319" i="10"/>
  <c r="BH319" i="10"/>
  <c r="AY319" i="10"/>
  <c r="AS319" i="10"/>
  <c r="AO319" i="10"/>
  <c r="AK319" i="10"/>
  <c r="CC319" i="10"/>
  <c r="BV319" i="10"/>
  <c r="BO319" i="10"/>
  <c r="BD319" i="10"/>
  <c r="AZ319" i="10"/>
  <c r="AR319" i="10"/>
  <c r="AM319" i="10"/>
  <c r="BZ319" i="10"/>
  <c r="BR319" i="10"/>
  <c r="BB319" i="10"/>
  <c r="AW319" i="10"/>
  <c r="AP319" i="10"/>
  <c r="AV319" i="10" s="1"/>
  <c r="AI319" i="10"/>
  <c r="CA319" i="10"/>
  <c r="BN319" i="10"/>
  <c r="AT319" i="10"/>
  <c r="AH319" i="10"/>
  <c r="BT319" i="10" s="1"/>
  <c r="BY319" i="10"/>
  <c r="AQ319" i="10"/>
  <c r="BS319" i="10"/>
  <c r="BI319" i="10"/>
  <c r="AX319" i="10"/>
  <c r="BP319" i="10"/>
  <c r="AN319" i="10"/>
  <c r="AL319" i="10"/>
  <c r="BA319" i="10"/>
  <c r="BK319" i="10"/>
  <c r="BL319" i="10"/>
  <c r="AF319" i="10"/>
  <c r="AE318" i="10"/>
  <c r="B320" i="10"/>
  <c r="CD320" i="10" s="1"/>
  <c r="BJ320" i="10" l="1"/>
  <c r="BX319" i="10"/>
  <c r="BZ320" i="10"/>
  <c r="BV320" i="10"/>
  <c r="BQ320" i="10"/>
  <c r="BH320" i="10"/>
  <c r="BB320" i="10"/>
  <c r="AX320" i="10"/>
  <c r="AS320" i="10"/>
  <c r="AO320" i="10"/>
  <c r="AK320" i="10"/>
  <c r="CB320" i="10"/>
  <c r="BW320" i="10"/>
  <c r="BP320" i="10"/>
  <c r="BK320" i="10"/>
  <c r="BD320" i="10"/>
  <c r="AY320" i="10"/>
  <c r="AR320" i="10"/>
  <c r="AM320" i="10"/>
  <c r="BY320" i="10"/>
  <c r="BS320" i="10"/>
  <c r="BN320" i="10"/>
  <c r="BI320" i="10"/>
  <c r="BA320" i="10"/>
  <c r="AP320" i="10"/>
  <c r="BU320" i="10" s="1"/>
  <c r="AI320" i="10"/>
  <c r="CA320" i="10"/>
  <c r="BO320" i="10"/>
  <c r="AQ320" i="10"/>
  <c r="AZ320" i="10"/>
  <c r="AN320" i="10"/>
  <c r="AW320" i="10"/>
  <c r="CC320" i="10"/>
  <c r="AT320" i="10"/>
  <c r="AL320" i="10"/>
  <c r="BR320" i="10"/>
  <c r="AH320" i="10"/>
  <c r="BT320" i="10" s="1"/>
  <c r="BL320" i="10"/>
  <c r="AU319" i="10"/>
  <c r="BG319" i="10" s="1"/>
  <c r="BU319" i="10"/>
  <c r="AF320" i="10"/>
  <c r="AE319" i="10"/>
  <c r="B321" i="10"/>
  <c r="CD321" i="10" s="1"/>
  <c r="BJ321" i="10" l="1"/>
  <c r="AV320" i="10"/>
  <c r="CA321" i="10"/>
  <c r="BV321" i="10"/>
  <c r="BP321" i="10"/>
  <c r="BK321" i="10"/>
  <c r="BA321" i="10"/>
  <c r="AW321" i="10"/>
  <c r="AQ321" i="10"/>
  <c r="AM321" i="10"/>
  <c r="AH321" i="10"/>
  <c r="BX321" i="10" s="1"/>
  <c r="BY321" i="10"/>
  <c r="BQ321" i="10"/>
  <c r="BD321" i="10"/>
  <c r="AY321" i="10"/>
  <c r="AR321" i="10"/>
  <c r="AL321" i="10"/>
  <c r="CB321" i="10"/>
  <c r="BS321" i="10"/>
  <c r="BN321" i="10"/>
  <c r="BH321" i="10"/>
  <c r="BB321" i="10"/>
  <c r="AT321" i="10"/>
  <c r="AO321" i="10"/>
  <c r="AI321" i="10"/>
  <c r="CC321" i="10"/>
  <c r="BO321" i="10"/>
  <c r="AP321" i="10"/>
  <c r="AV321" i="10" s="1"/>
  <c r="BZ321" i="10"/>
  <c r="AZ321" i="10"/>
  <c r="AN321" i="10"/>
  <c r="BW321" i="10"/>
  <c r="AK321" i="10"/>
  <c r="BR321" i="10"/>
  <c r="AX321" i="10"/>
  <c r="BI321" i="10"/>
  <c r="AS321" i="10"/>
  <c r="BL321" i="10"/>
  <c r="AU320" i="10"/>
  <c r="BG320" i="10" s="1"/>
  <c r="BX320" i="10"/>
  <c r="AF321" i="10"/>
  <c r="AE320" i="10"/>
  <c r="B322" i="10"/>
  <c r="CD322" i="10" s="1"/>
  <c r="BJ322" i="10" l="1"/>
  <c r="BT321" i="10"/>
  <c r="AU321" i="10"/>
  <c r="BG321" i="10" s="1"/>
  <c r="BU321" i="10"/>
  <c r="CC322" i="10"/>
  <c r="BY322" i="10"/>
  <c r="BP322" i="10"/>
  <c r="BK322" i="10"/>
  <c r="BA322" i="10"/>
  <c r="AW322" i="10"/>
  <c r="AR322" i="10"/>
  <c r="AN322" i="10"/>
  <c r="AI322" i="10"/>
  <c r="BR322" i="10"/>
  <c r="AZ322" i="10"/>
  <c r="AT322" i="10"/>
  <c r="AO322" i="10"/>
  <c r="AH322" i="10"/>
  <c r="CA322" i="10"/>
  <c r="BV322" i="10"/>
  <c r="BO322" i="10"/>
  <c r="BI322" i="10"/>
  <c r="AX322" i="10"/>
  <c r="AQ322" i="10"/>
  <c r="AL322" i="10"/>
  <c r="BS322" i="10"/>
  <c r="AS322" i="10"/>
  <c r="CB322" i="10"/>
  <c r="BQ322" i="10"/>
  <c r="BH322" i="10"/>
  <c r="BB322" i="10"/>
  <c r="AP322" i="10"/>
  <c r="BU322" i="10" s="1"/>
  <c r="AY322" i="10"/>
  <c r="BZ322" i="10"/>
  <c r="BW322" i="10"/>
  <c r="BD322" i="10"/>
  <c r="AM322" i="10"/>
  <c r="BN322" i="10"/>
  <c r="AK322" i="10"/>
  <c r="BL322" i="10"/>
  <c r="AF322" i="10"/>
  <c r="AE321" i="10"/>
  <c r="B323" i="10"/>
  <c r="CD323" i="10" s="1"/>
  <c r="BJ323" i="10" l="1"/>
  <c r="AU322" i="10"/>
  <c r="BG322" i="10" s="1"/>
  <c r="CC323" i="10"/>
  <c r="BY323" i="10"/>
  <c r="BR323" i="10"/>
  <c r="BN323" i="10"/>
  <c r="BI323" i="10"/>
  <c r="AY323" i="10"/>
  <c r="AT323" i="10"/>
  <c r="AP323" i="10"/>
  <c r="AV323" i="10" s="1"/>
  <c r="AL323" i="10"/>
  <c r="BZ323" i="10"/>
  <c r="BQ323" i="10"/>
  <c r="BK323" i="10"/>
  <c r="BD323" i="10"/>
  <c r="AZ323" i="10"/>
  <c r="AS323" i="10"/>
  <c r="AN323" i="10"/>
  <c r="AH323" i="10"/>
  <c r="BX323" i="10" s="1"/>
  <c r="CB323" i="10"/>
  <c r="BV323" i="10"/>
  <c r="BO323" i="10"/>
  <c r="BH323" i="10"/>
  <c r="BB323" i="10"/>
  <c r="AW323" i="10"/>
  <c r="AQ323" i="10"/>
  <c r="AK323" i="10"/>
  <c r="BS323" i="10"/>
  <c r="AI323" i="10"/>
  <c r="BP323" i="10"/>
  <c r="AR323" i="10"/>
  <c r="BW323" i="10"/>
  <c r="AM323" i="10"/>
  <c r="BA323" i="10"/>
  <c r="AX323" i="10"/>
  <c r="CA323" i="10"/>
  <c r="AO323" i="10"/>
  <c r="BL323" i="10"/>
  <c r="AV322" i="10"/>
  <c r="BX322" i="10"/>
  <c r="BT322" i="10"/>
  <c r="AF323" i="10"/>
  <c r="AE322" i="10"/>
  <c r="B324" i="10"/>
  <c r="CD324" i="10" s="1"/>
  <c r="BJ324" i="10" l="1"/>
  <c r="BT323" i="10"/>
  <c r="CA324" i="10"/>
  <c r="BW324" i="10"/>
  <c r="BR324" i="10"/>
  <c r="BN324" i="10"/>
  <c r="BI324" i="10"/>
  <c r="AY324" i="10"/>
  <c r="AT324" i="10"/>
  <c r="AP324" i="10"/>
  <c r="BU324" i="10" s="1"/>
  <c r="AL324" i="10"/>
  <c r="BY324" i="10"/>
  <c r="BS324" i="10"/>
  <c r="BA324" i="10"/>
  <c r="AO324" i="10"/>
  <c r="AI324" i="10"/>
  <c r="CB324" i="10"/>
  <c r="BV324" i="10"/>
  <c r="BP324" i="10"/>
  <c r="AX324" i="10"/>
  <c r="AR324" i="10"/>
  <c r="AM324" i="10"/>
  <c r="BD324" i="10"/>
  <c r="AW324" i="10"/>
  <c r="AK324" i="10"/>
  <c r="BK324" i="10"/>
  <c r="AS324" i="10"/>
  <c r="AH324" i="10"/>
  <c r="BX324" i="10" s="1"/>
  <c r="BZ324" i="10"/>
  <c r="BH324" i="10"/>
  <c r="AZ324" i="10"/>
  <c r="BQ324" i="10"/>
  <c r="AQ324" i="10"/>
  <c r="BO324" i="10"/>
  <c r="AN324" i="10"/>
  <c r="CC324" i="10"/>
  <c r="BB324" i="10"/>
  <c r="BL324" i="10"/>
  <c r="AU323" i="10"/>
  <c r="BG323" i="10" s="1"/>
  <c r="BU323" i="10"/>
  <c r="AF324" i="10"/>
  <c r="AE323" i="10"/>
  <c r="B325" i="10"/>
  <c r="CD325" i="10" s="1"/>
  <c r="BJ325" i="10" l="1"/>
  <c r="AV324" i="10"/>
  <c r="BT324" i="10"/>
  <c r="BZ325" i="10"/>
  <c r="BS325" i="10"/>
  <c r="BO325" i="10"/>
  <c r="BA325" i="10"/>
  <c r="AW325" i="10"/>
  <c r="AR325" i="10"/>
  <c r="AN325" i="10"/>
  <c r="AI325" i="10"/>
  <c r="BY325" i="10"/>
  <c r="BQ325" i="10"/>
  <c r="BK325" i="10"/>
  <c r="AZ325" i="10"/>
  <c r="AT325" i="10"/>
  <c r="AO325" i="10"/>
  <c r="AH325" i="10"/>
  <c r="BX325" i="10" s="1"/>
  <c r="CB325" i="10"/>
  <c r="BV325" i="10"/>
  <c r="BN325" i="10"/>
  <c r="BH325" i="10"/>
  <c r="AX325" i="10"/>
  <c r="AQ325" i="10"/>
  <c r="AL325" i="10"/>
  <c r="CC325" i="10"/>
  <c r="BP325" i="10"/>
  <c r="AY325" i="10"/>
  <c r="AM325" i="10"/>
  <c r="CA325" i="10"/>
  <c r="BD325" i="10"/>
  <c r="AK325" i="10"/>
  <c r="BI325" i="10"/>
  <c r="BB325" i="10"/>
  <c r="BW325" i="10"/>
  <c r="AS325" i="10"/>
  <c r="BR325" i="10"/>
  <c r="AP325" i="10"/>
  <c r="AV325" i="10" s="1"/>
  <c r="BL325" i="10"/>
  <c r="AU324" i="10"/>
  <c r="BG324" i="10" s="1"/>
  <c r="AF325" i="10"/>
  <c r="AE324" i="10"/>
  <c r="B326" i="10"/>
  <c r="CD326" i="10" s="1"/>
  <c r="BJ326" i="10" l="1"/>
  <c r="BT325" i="10"/>
  <c r="AU325" i="10"/>
  <c r="BG325" i="10" s="1"/>
  <c r="BU325" i="10"/>
  <c r="CB326" i="10"/>
  <c r="BS326" i="10"/>
  <c r="BO326" i="10"/>
  <c r="BD326" i="10"/>
  <c r="AZ326" i="10"/>
  <c r="AQ326" i="10"/>
  <c r="AM326" i="10"/>
  <c r="AH326" i="10"/>
  <c r="BX326" i="10" s="1"/>
  <c r="BZ326" i="10"/>
  <c r="BN326" i="10"/>
  <c r="BH326" i="10"/>
  <c r="BA326" i="10"/>
  <c r="AT326" i="10"/>
  <c r="AO326" i="10"/>
  <c r="AI326" i="10"/>
  <c r="CC326" i="10"/>
  <c r="BW326" i="10"/>
  <c r="BQ326" i="10"/>
  <c r="BK326" i="10"/>
  <c r="AX326" i="10"/>
  <c r="AR326" i="10"/>
  <c r="AL326" i="10"/>
  <c r="CA326" i="10"/>
  <c r="BP326" i="10"/>
  <c r="AS326" i="10"/>
  <c r="BY326" i="10"/>
  <c r="BB326" i="10"/>
  <c r="AP326" i="10"/>
  <c r="BU326" i="10" s="1"/>
  <c r="BR326" i="10"/>
  <c r="AK326" i="10"/>
  <c r="AY326" i="10"/>
  <c r="BI326" i="10"/>
  <c r="AW326" i="10"/>
  <c r="BV326" i="10"/>
  <c r="AN326" i="10"/>
  <c r="BL326" i="10"/>
  <c r="AF326" i="10"/>
  <c r="AE325" i="10"/>
  <c r="B327" i="10"/>
  <c r="CD327" i="10" s="1"/>
  <c r="BJ327" i="10" l="1"/>
  <c r="AV326" i="10"/>
  <c r="BT326" i="10"/>
  <c r="CB327" i="10"/>
  <c r="BW327" i="10"/>
  <c r="BQ327" i="10"/>
  <c r="BH327" i="10"/>
  <c r="AY327" i="10"/>
  <c r="AS327" i="10"/>
  <c r="AO327" i="10"/>
  <c r="AK327" i="10"/>
  <c r="BZ327" i="10"/>
  <c r="BR327" i="10"/>
  <c r="BB327" i="10"/>
  <c r="AW327" i="10"/>
  <c r="AP327" i="10"/>
  <c r="AV327" i="10" s="1"/>
  <c r="AI327" i="10"/>
  <c r="CC327" i="10"/>
  <c r="BV327" i="10"/>
  <c r="BO327" i="10"/>
  <c r="BD327" i="10"/>
  <c r="AZ327" i="10"/>
  <c r="AR327" i="10"/>
  <c r="AM327" i="10"/>
  <c r="BY327" i="10"/>
  <c r="AQ327" i="10"/>
  <c r="BS327" i="10"/>
  <c r="BK327" i="10"/>
  <c r="BA327" i="10"/>
  <c r="AN327" i="10"/>
  <c r="CA327" i="10"/>
  <c r="BI327" i="10"/>
  <c r="AT327" i="10"/>
  <c r="BP327" i="10"/>
  <c r="AL327" i="10"/>
  <c r="BN327" i="10"/>
  <c r="AH327" i="10"/>
  <c r="BX327" i="10" s="1"/>
  <c r="AX327" i="10"/>
  <c r="BL327" i="10"/>
  <c r="AU326" i="10"/>
  <c r="BG326" i="10" s="1"/>
  <c r="AF327" i="10"/>
  <c r="AE326" i="10"/>
  <c r="B328" i="10"/>
  <c r="CD328" i="10" s="1"/>
  <c r="BJ328" i="10" l="1"/>
  <c r="BT327" i="10"/>
  <c r="BZ328" i="10"/>
  <c r="BV328" i="10"/>
  <c r="BQ328" i="10"/>
  <c r="BH328" i="10"/>
  <c r="BB328" i="10"/>
  <c r="AX328" i="10"/>
  <c r="AS328" i="10"/>
  <c r="AO328" i="10"/>
  <c r="AK328" i="10"/>
  <c r="BY328" i="10"/>
  <c r="BS328" i="10"/>
  <c r="BN328" i="10"/>
  <c r="BI328" i="10"/>
  <c r="BA328" i="10"/>
  <c r="AP328" i="10"/>
  <c r="BU328" i="10" s="1"/>
  <c r="AI328" i="10"/>
  <c r="CB328" i="10"/>
  <c r="BW328" i="10"/>
  <c r="BP328" i="10"/>
  <c r="BK328" i="10"/>
  <c r="BD328" i="10"/>
  <c r="AY328" i="10"/>
  <c r="AR328" i="10"/>
  <c r="AM328" i="10"/>
  <c r="AZ328" i="10"/>
  <c r="AN328" i="10"/>
  <c r="AW328" i="10"/>
  <c r="AL328" i="10"/>
  <c r="BR328" i="10"/>
  <c r="BO328" i="10"/>
  <c r="AT328" i="10"/>
  <c r="CC328" i="10"/>
  <c r="AQ328" i="10"/>
  <c r="CA328" i="10"/>
  <c r="AH328" i="10"/>
  <c r="BL328" i="10"/>
  <c r="AU327" i="10"/>
  <c r="BG327" i="10" s="1"/>
  <c r="BU327" i="10"/>
  <c r="AF328" i="10"/>
  <c r="AE327" i="10"/>
  <c r="B329" i="10"/>
  <c r="CD329" i="10" s="1"/>
  <c r="BJ329" i="10" l="1"/>
  <c r="AU328" i="10"/>
  <c r="BG328" i="10" s="1"/>
  <c r="AV328" i="10"/>
  <c r="BX328" i="10"/>
  <c r="BT328" i="10"/>
  <c r="CA329" i="10"/>
  <c r="BV329" i="10"/>
  <c r="BP329" i="10"/>
  <c r="BK329" i="10"/>
  <c r="BA329" i="10"/>
  <c r="AW329" i="10"/>
  <c r="AQ329" i="10"/>
  <c r="AM329" i="10"/>
  <c r="AH329" i="10"/>
  <c r="BT329" i="10" s="1"/>
  <c r="CB329" i="10"/>
  <c r="BS329" i="10"/>
  <c r="BN329" i="10"/>
  <c r="BH329" i="10"/>
  <c r="BB329" i="10"/>
  <c r="AT329" i="10"/>
  <c r="AO329" i="10"/>
  <c r="AI329" i="10"/>
  <c r="BY329" i="10"/>
  <c r="BQ329" i="10"/>
  <c r="BD329" i="10"/>
  <c r="AY329" i="10"/>
  <c r="AR329" i="10"/>
  <c r="AL329" i="10"/>
  <c r="BZ329" i="10"/>
  <c r="AZ329" i="10"/>
  <c r="AN329" i="10"/>
  <c r="BW329" i="10"/>
  <c r="BI329" i="10"/>
  <c r="AX329" i="10"/>
  <c r="AK329" i="10"/>
  <c r="BO329" i="10"/>
  <c r="AS329" i="10"/>
  <c r="AP329" i="10"/>
  <c r="AV329" i="10" s="1"/>
  <c r="CC329" i="10"/>
  <c r="BR329" i="10"/>
  <c r="BL329" i="10"/>
  <c r="AF329" i="10"/>
  <c r="AE328" i="10"/>
  <c r="B330" i="10"/>
  <c r="CD330" i="10" s="1"/>
  <c r="BJ330" i="10" l="1"/>
  <c r="BX329" i="10"/>
  <c r="CC330" i="10"/>
  <c r="BY330" i="10"/>
  <c r="BP330" i="10"/>
  <c r="BK330" i="10"/>
  <c r="BA330" i="10"/>
  <c r="AW330" i="10"/>
  <c r="AR330" i="10"/>
  <c r="AN330" i="10"/>
  <c r="AI330" i="10"/>
  <c r="CA330" i="10"/>
  <c r="BV330" i="10"/>
  <c r="BO330" i="10"/>
  <c r="BI330" i="10"/>
  <c r="AX330" i="10"/>
  <c r="AQ330" i="10"/>
  <c r="AL330" i="10"/>
  <c r="BR330" i="10"/>
  <c r="AZ330" i="10"/>
  <c r="AT330" i="10"/>
  <c r="AO330" i="10"/>
  <c r="AH330" i="10"/>
  <c r="BX330" i="10" s="1"/>
  <c r="CB330" i="10"/>
  <c r="BQ330" i="10"/>
  <c r="BH330" i="10"/>
  <c r="BB330" i="10"/>
  <c r="AP330" i="10"/>
  <c r="BU330" i="10" s="1"/>
  <c r="BZ330" i="10"/>
  <c r="BN330" i="10"/>
  <c r="AY330" i="10"/>
  <c r="AM330" i="10"/>
  <c r="BW330" i="10"/>
  <c r="AS330" i="10"/>
  <c r="BS330" i="10"/>
  <c r="BD330" i="10"/>
  <c r="AK330" i="10"/>
  <c r="BL330" i="10"/>
  <c r="AU329" i="10"/>
  <c r="BG329" i="10" s="1"/>
  <c r="BU329" i="10"/>
  <c r="AF330" i="10"/>
  <c r="AE329" i="10"/>
  <c r="B331" i="10"/>
  <c r="CD331" i="10" s="1"/>
  <c r="BJ331" i="10" l="1"/>
  <c r="AV330" i="10"/>
  <c r="AU330" i="10"/>
  <c r="BG330" i="10" s="1"/>
  <c r="CC331" i="10"/>
  <c r="BY331" i="10"/>
  <c r="BR331" i="10"/>
  <c r="BN331" i="10"/>
  <c r="BI331" i="10"/>
  <c r="AY331" i="10"/>
  <c r="AT331" i="10"/>
  <c r="AP331" i="10"/>
  <c r="AL331" i="10"/>
  <c r="CB331" i="10"/>
  <c r="BV331" i="10"/>
  <c r="BO331" i="10"/>
  <c r="BH331" i="10"/>
  <c r="BB331" i="10"/>
  <c r="AW331" i="10"/>
  <c r="AQ331" i="10"/>
  <c r="AK331" i="10"/>
  <c r="BZ331" i="10"/>
  <c r="BQ331" i="10"/>
  <c r="BK331" i="10"/>
  <c r="BD331" i="10"/>
  <c r="AZ331" i="10"/>
  <c r="AS331" i="10"/>
  <c r="AN331" i="10"/>
  <c r="AH331" i="10"/>
  <c r="BT331" i="10" s="1"/>
  <c r="BP331" i="10"/>
  <c r="AR331" i="10"/>
  <c r="CA331" i="10"/>
  <c r="BA331" i="10"/>
  <c r="AO331" i="10"/>
  <c r="AX331" i="10"/>
  <c r="BW331" i="10"/>
  <c r="AM331" i="10"/>
  <c r="BS331" i="10"/>
  <c r="AI331" i="10"/>
  <c r="BL331" i="10"/>
  <c r="BT330" i="10"/>
  <c r="AF331" i="10"/>
  <c r="AE330" i="10"/>
  <c r="B332" i="10"/>
  <c r="CD332" i="10" s="1"/>
  <c r="BJ332" i="10" l="1"/>
  <c r="BX331" i="10"/>
  <c r="AU331" i="10"/>
  <c r="BG331" i="10" s="1"/>
  <c r="BU331" i="10"/>
  <c r="CA332" i="10"/>
  <c r="BW332" i="10"/>
  <c r="BR332" i="10"/>
  <c r="BN332" i="10"/>
  <c r="BI332" i="10"/>
  <c r="AY332" i="10"/>
  <c r="AT332" i="10"/>
  <c r="AP332" i="10"/>
  <c r="BU332" i="10" s="1"/>
  <c r="AL332" i="10"/>
  <c r="CB332" i="10"/>
  <c r="BV332" i="10"/>
  <c r="BP332" i="10"/>
  <c r="AX332" i="10"/>
  <c r="AR332" i="10"/>
  <c r="AM332" i="10"/>
  <c r="BY332" i="10"/>
  <c r="BS332" i="10"/>
  <c r="BA332" i="10"/>
  <c r="AO332" i="10"/>
  <c r="AI332" i="10"/>
  <c r="BK332" i="10"/>
  <c r="AS332" i="10"/>
  <c r="AH332" i="10"/>
  <c r="CC332" i="10"/>
  <c r="BQ332" i="10"/>
  <c r="BH332" i="10"/>
  <c r="BB332" i="10"/>
  <c r="AQ332" i="10"/>
  <c r="BD332" i="10"/>
  <c r="AN332" i="10"/>
  <c r="BO332" i="10"/>
  <c r="AK332" i="10"/>
  <c r="AZ332" i="10"/>
  <c r="BZ332" i="10"/>
  <c r="AW332" i="10"/>
  <c r="BL332" i="10"/>
  <c r="AV331" i="10"/>
  <c r="AF332" i="10"/>
  <c r="AE331" i="10"/>
  <c r="B333" i="10"/>
  <c r="CD333" i="10" s="1"/>
  <c r="BJ333" i="10" l="1"/>
  <c r="AU332" i="10"/>
  <c r="BG332" i="10" s="1"/>
  <c r="AV332" i="10"/>
  <c r="BZ333" i="10"/>
  <c r="BS333" i="10"/>
  <c r="BO333" i="10"/>
  <c r="BA333" i="10"/>
  <c r="AW333" i="10"/>
  <c r="AR333" i="10"/>
  <c r="AN333" i="10"/>
  <c r="AI333" i="10"/>
  <c r="CB333" i="10"/>
  <c r="BV333" i="10"/>
  <c r="BN333" i="10"/>
  <c r="BH333" i="10"/>
  <c r="AX333" i="10"/>
  <c r="AQ333" i="10"/>
  <c r="AL333" i="10"/>
  <c r="BY333" i="10"/>
  <c r="BQ333" i="10"/>
  <c r="BK333" i="10"/>
  <c r="AZ333" i="10"/>
  <c r="AT333" i="10"/>
  <c r="AO333" i="10"/>
  <c r="AH333" i="10"/>
  <c r="BX333" i="10" s="1"/>
  <c r="CA333" i="10"/>
  <c r="BD333" i="10"/>
  <c r="AK333" i="10"/>
  <c r="BW333" i="10"/>
  <c r="BI333" i="10"/>
  <c r="AS333" i="10"/>
  <c r="CC333" i="10"/>
  <c r="AY333" i="10"/>
  <c r="BR333" i="10"/>
  <c r="AP333" i="10"/>
  <c r="BP333" i="10"/>
  <c r="AM333" i="10"/>
  <c r="BB333" i="10"/>
  <c r="BL333" i="10"/>
  <c r="BX332" i="10"/>
  <c r="BT332" i="10"/>
  <c r="AF333" i="10"/>
  <c r="AE332" i="10"/>
  <c r="B334" i="10"/>
  <c r="CD334" i="10" s="1"/>
  <c r="BJ334" i="10" l="1"/>
  <c r="BT333" i="10"/>
  <c r="AU333" i="10"/>
  <c r="BG333" i="10" s="1"/>
  <c r="BU333" i="10"/>
  <c r="AV333" i="10"/>
  <c r="CB334" i="10"/>
  <c r="BS334" i="10"/>
  <c r="BO334" i="10"/>
  <c r="BD334" i="10"/>
  <c r="AZ334" i="10"/>
  <c r="AQ334" i="10"/>
  <c r="AM334" i="10"/>
  <c r="AH334" i="10"/>
  <c r="CC334" i="10"/>
  <c r="BW334" i="10"/>
  <c r="BQ334" i="10"/>
  <c r="BK334" i="10"/>
  <c r="AX334" i="10"/>
  <c r="AR334" i="10"/>
  <c r="AL334" i="10"/>
  <c r="BZ334" i="10"/>
  <c r="BN334" i="10"/>
  <c r="BH334" i="10"/>
  <c r="BA334" i="10"/>
  <c r="AT334" i="10"/>
  <c r="AO334" i="10"/>
  <c r="AI334" i="10"/>
  <c r="BY334" i="10"/>
  <c r="BB334" i="10"/>
  <c r="AP334" i="10"/>
  <c r="BU334" i="10" s="1"/>
  <c r="BV334" i="10"/>
  <c r="BI334" i="10"/>
  <c r="AY334" i="10"/>
  <c r="AN334" i="10"/>
  <c r="BR334" i="10"/>
  <c r="BP334" i="10"/>
  <c r="AW334" i="10"/>
  <c r="AS334" i="10"/>
  <c r="CA334" i="10"/>
  <c r="AK334" i="10"/>
  <c r="BL334" i="10"/>
  <c r="AF334" i="10"/>
  <c r="AE333" i="10"/>
  <c r="B335" i="10"/>
  <c r="CD335" i="10" s="1"/>
  <c r="BJ335" i="10" l="1"/>
  <c r="AV334" i="10"/>
  <c r="AU334" i="10"/>
  <c r="BG334" i="10" s="1"/>
  <c r="BX334" i="10"/>
  <c r="CB335" i="10"/>
  <c r="BW335" i="10"/>
  <c r="BQ335" i="10"/>
  <c r="BH335" i="10"/>
  <c r="AY335" i="10"/>
  <c r="AS335" i="10"/>
  <c r="AO335" i="10"/>
  <c r="AK335" i="10"/>
  <c r="CC335" i="10"/>
  <c r="BV335" i="10"/>
  <c r="BO335" i="10"/>
  <c r="BD335" i="10"/>
  <c r="AZ335" i="10"/>
  <c r="AR335" i="10"/>
  <c r="AM335" i="10"/>
  <c r="BZ335" i="10"/>
  <c r="BR335" i="10"/>
  <c r="BB335" i="10"/>
  <c r="AW335" i="10"/>
  <c r="AP335" i="10"/>
  <c r="AV335" i="10" s="1"/>
  <c r="AI335" i="10"/>
  <c r="BS335" i="10"/>
  <c r="BK335" i="10"/>
  <c r="BA335" i="10"/>
  <c r="AN335" i="10"/>
  <c r="BP335" i="10"/>
  <c r="BI335" i="10"/>
  <c r="AX335" i="10"/>
  <c r="AL335" i="10"/>
  <c r="BN335" i="10"/>
  <c r="AT335" i="10"/>
  <c r="AQ335" i="10"/>
  <c r="CA335" i="10"/>
  <c r="AH335" i="10"/>
  <c r="BY335" i="10"/>
  <c r="BL335" i="10"/>
  <c r="BT334" i="10"/>
  <c r="AF335" i="10"/>
  <c r="AE334" i="10"/>
  <c r="B336" i="10"/>
  <c r="CD336" i="10" s="1"/>
  <c r="BJ336" i="10" l="1"/>
  <c r="BX335" i="10"/>
  <c r="BT335" i="10"/>
  <c r="AU335" i="10"/>
  <c r="BG335" i="10" s="1"/>
  <c r="BU335" i="10"/>
  <c r="CB336" i="10"/>
  <c r="BP336" i="10"/>
  <c r="BK336" i="10"/>
  <c r="BA336" i="10"/>
  <c r="AW336" i="10"/>
  <c r="AS336" i="10"/>
  <c r="AO336" i="10"/>
  <c r="AK336" i="10"/>
  <c r="BZ336" i="10"/>
  <c r="BO336" i="10"/>
  <c r="BI336" i="10"/>
  <c r="AX336" i="10"/>
  <c r="AR336" i="10"/>
  <c r="AM336" i="10"/>
  <c r="CC336" i="10"/>
  <c r="BW336" i="10"/>
  <c r="BR336" i="10"/>
  <c r="AZ336" i="10"/>
  <c r="AP336" i="10"/>
  <c r="BU336" i="10" s="1"/>
  <c r="AI336" i="10"/>
  <c r="BV336" i="10"/>
  <c r="BD336" i="10"/>
  <c r="AL336" i="10"/>
  <c r="BS336" i="10"/>
  <c r="AT336" i="10"/>
  <c r="AH336" i="10"/>
  <c r="BQ336" i="10"/>
  <c r="AQ336" i="10"/>
  <c r="BN336" i="10"/>
  <c r="AN336" i="10"/>
  <c r="CA336" i="10"/>
  <c r="BB336" i="10"/>
  <c r="BY336" i="10"/>
  <c r="AY336" i="10"/>
  <c r="BH336" i="10"/>
  <c r="BL336" i="10"/>
  <c r="AF336" i="10"/>
  <c r="AE335" i="10"/>
  <c r="B337" i="10"/>
  <c r="CD337" i="10" s="1"/>
  <c r="BJ337" i="10" l="1"/>
  <c r="AV336" i="10"/>
  <c r="BT336" i="10"/>
  <c r="BX336" i="10"/>
  <c r="AU336" i="10"/>
  <c r="BG336" i="10" s="1"/>
  <c r="CA337" i="10"/>
  <c r="BV337" i="10"/>
  <c r="BP337" i="10"/>
  <c r="BK337" i="10"/>
  <c r="BB337" i="10"/>
  <c r="AX337" i="10"/>
  <c r="AS337" i="10"/>
  <c r="AO337" i="10"/>
  <c r="AK337" i="10"/>
  <c r="CB337" i="10"/>
  <c r="BS337" i="10"/>
  <c r="BN337" i="10"/>
  <c r="BH337" i="10"/>
  <c r="BA337" i="10"/>
  <c r="AP337" i="10"/>
  <c r="AV337" i="10" s="1"/>
  <c r="AI337" i="10"/>
  <c r="BY337" i="10"/>
  <c r="BQ337" i="10"/>
  <c r="BD337" i="10"/>
  <c r="AY337" i="10"/>
  <c r="AR337" i="10"/>
  <c r="AM337" i="10"/>
  <c r="BW337" i="10"/>
  <c r="BI337" i="10"/>
  <c r="AW337" i="10"/>
  <c r="AL337" i="10"/>
  <c r="BR337" i="10"/>
  <c r="AT337" i="10"/>
  <c r="AH337" i="10"/>
  <c r="AQ337" i="10"/>
  <c r="CC337" i="10"/>
  <c r="AN337" i="10"/>
  <c r="BZ337" i="10"/>
  <c r="BO337" i="10"/>
  <c r="AZ337" i="10"/>
  <c r="BL337" i="10"/>
  <c r="AF337" i="10"/>
  <c r="AE336" i="10"/>
  <c r="B338" i="10"/>
  <c r="CD338" i="10" s="1"/>
  <c r="BJ338" i="10" l="1"/>
  <c r="AU337" i="10"/>
  <c r="BG337" i="10" s="1"/>
  <c r="BU337" i="10"/>
  <c r="CC338" i="10"/>
  <c r="BY338" i="10"/>
  <c r="BP338" i="10"/>
  <c r="BK338" i="10"/>
  <c r="BA338" i="10"/>
  <c r="AW338" i="10"/>
  <c r="AR338" i="10"/>
  <c r="AN338" i="10"/>
  <c r="AI338" i="10"/>
  <c r="CA338" i="10"/>
  <c r="BV338" i="10"/>
  <c r="BO338" i="10"/>
  <c r="BI338" i="10"/>
  <c r="AX338" i="10"/>
  <c r="AQ338" i="10"/>
  <c r="AL338" i="10"/>
  <c r="BR338" i="10"/>
  <c r="AZ338" i="10"/>
  <c r="AT338" i="10"/>
  <c r="AO338" i="10"/>
  <c r="AH338" i="10"/>
  <c r="BX338" i="10" s="1"/>
  <c r="BZ338" i="10"/>
  <c r="BN338" i="10"/>
  <c r="AY338" i="10"/>
  <c r="AM338" i="10"/>
  <c r="BW338" i="10"/>
  <c r="BD338" i="10"/>
  <c r="AK338" i="10"/>
  <c r="BQ338" i="10"/>
  <c r="AP338" i="10"/>
  <c r="BU338" i="10" s="1"/>
  <c r="CB338" i="10"/>
  <c r="BB338" i="10"/>
  <c r="BH338" i="10"/>
  <c r="BS338" i="10"/>
  <c r="AS338" i="10"/>
  <c r="BL338" i="10"/>
  <c r="BX337" i="10"/>
  <c r="BT337" i="10"/>
  <c r="AF338" i="10"/>
  <c r="AE337" i="10"/>
  <c r="B339" i="10"/>
  <c r="CD339" i="10" s="1"/>
  <c r="BJ339" i="10" l="1"/>
  <c r="CC339" i="10"/>
  <c r="BY339" i="10"/>
  <c r="BR339" i="10"/>
  <c r="BN339" i="10"/>
  <c r="BI339" i="10"/>
  <c r="BD339" i="10"/>
  <c r="AZ339" i="10"/>
  <c r="AT339" i="10"/>
  <c r="AP339" i="10"/>
  <c r="AV339" i="10" s="1"/>
  <c r="AL339" i="10"/>
  <c r="BW339" i="10"/>
  <c r="BP339" i="10"/>
  <c r="AX339" i="10"/>
  <c r="AQ339" i="10"/>
  <c r="AK339" i="10"/>
  <c r="CA339" i="10"/>
  <c r="BS339" i="10"/>
  <c r="BA339" i="10"/>
  <c r="AS339" i="10"/>
  <c r="AN339" i="10"/>
  <c r="AH339" i="10"/>
  <c r="BX339" i="10" s="1"/>
  <c r="BV339" i="10"/>
  <c r="BK339" i="10"/>
  <c r="BB339" i="10"/>
  <c r="AO339" i="10"/>
  <c r="BQ339" i="10"/>
  <c r="BH339" i="10"/>
  <c r="AY339" i="10"/>
  <c r="AM339" i="10"/>
  <c r="AR339" i="10"/>
  <c r="CB339" i="10"/>
  <c r="AI339" i="10"/>
  <c r="BZ339" i="10"/>
  <c r="BO339" i="10"/>
  <c r="AW339" i="10"/>
  <c r="BL339" i="10"/>
  <c r="AV338" i="10"/>
  <c r="BT338" i="10"/>
  <c r="AU338" i="10"/>
  <c r="BG338" i="10" s="1"/>
  <c r="AF339" i="10"/>
  <c r="AE338" i="10"/>
  <c r="B340" i="10"/>
  <c r="CD340" i="10" s="1"/>
  <c r="BJ340" i="10" l="1"/>
  <c r="BT339" i="10"/>
  <c r="CC340" i="10"/>
  <c r="BY340" i="10"/>
  <c r="BQ340" i="10"/>
  <c r="BH340" i="10"/>
  <c r="BB340" i="10"/>
  <c r="AX340" i="10"/>
  <c r="AT340" i="10"/>
  <c r="AP340" i="10"/>
  <c r="BU340" i="10" s="1"/>
  <c r="AL340" i="10"/>
  <c r="CA340" i="10"/>
  <c r="BV340" i="10"/>
  <c r="BP340" i="10"/>
  <c r="BK340" i="10"/>
  <c r="BD340" i="10"/>
  <c r="AY340" i="10"/>
  <c r="AS340" i="10"/>
  <c r="AN340" i="10"/>
  <c r="AH340" i="10"/>
  <c r="BX340" i="10" s="1"/>
  <c r="BS340" i="10"/>
  <c r="BN340" i="10"/>
  <c r="BI340" i="10"/>
  <c r="BA340" i="10"/>
  <c r="AQ340" i="10"/>
  <c r="AK340" i="10"/>
  <c r="AW340" i="10"/>
  <c r="AM340" i="10"/>
  <c r="CB340" i="10"/>
  <c r="BR340" i="10"/>
  <c r="AI340" i="10"/>
  <c r="BZ340" i="10"/>
  <c r="AO340" i="10"/>
  <c r="BW340" i="10"/>
  <c r="BO340" i="10"/>
  <c r="AZ340" i="10"/>
  <c r="AR340" i="10"/>
  <c r="BL340" i="10"/>
  <c r="AU339" i="10"/>
  <c r="BG339" i="10" s="1"/>
  <c r="BU339" i="10"/>
  <c r="AF340" i="10"/>
  <c r="AE339" i="10"/>
  <c r="B341" i="10"/>
  <c r="CD341" i="10" s="1"/>
  <c r="BJ341" i="10" l="1"/>
  <c r="AV340" i="10"/>
  <c r="BT340" i="10"/>
  <c r="CC341" i="10"/>
  <c r="BY341" i="10"/>
  <c r="BR341" i="10"/>
  <c r="BN341" i="10"/>
  <c r="BI341" i="10"/>
  <c r="AY341" i="10"/>
  <c r="AT341" i="10"/>
  <c r="AP341" i="10"/>
  <c r="AV341" i="10" s="1"/>
  <c r="AL341" i="10"/>
  <c r="CB341" i="10"/>
  <c r="BV341" i="10"/>
  <c r="BO341" i="10"/>
  <c r="BH341" i="10"/>
  <c r="BB341" i="10"/>
  <c r="AW341" i="10"/>
  <c r="AQ341" i="10"/>
  <c r="AK341" i="10"/>
  <c r="BZ341" i="10"/>
  <c r="BQ341" i="10"/>
  <c r="BK341" i="10"/>
  <c r="BD341" i="10"/>
  <c r="AZ341" i="10"/>
  <c r="AS341" i="10"/>
  <c r="AN341" i="10"/>
  <c r="AH341" i="10"/>
  <c r="BT341" i="10" s="1"/>
  <c r="BS341" i="10"/>
  <c r="AI341" i="10"/>
  <c r="BP341" i="10"/>
  <c r="AR341" i="10"/>
  <c r="BA341" i="10"/>
  <c r="AX341" i="10"/>
  <c r="CA341" i="10"/>
  <c r="AO341" i="10"/>
  <c r="BW341" i="10"/>
  <c r="AM341" i="10"/>
  <c r="BL341" i="10"/>
  <c r="AU340" i="10"/>
  <c r="BG340" i="10" s="1"/>
  <c r="AF341" i="10"/>
  <c r="AE340" i="10"/>
  <c r="B342" i="10"/>
  <c r="CD342" i="10" s="1"/>
  <c r="BJ342" i="10" l="1"/>
  <c r="BX341" i="10"/>
  <c r="CA342" i="10"/>
  <c r="BW342" i="10"/>
  <c r="BR342" i="10"/>
  <c r="BN342" i="10"/>
  <c r="BI342" i="10"/>
  <c r="AY342" i="10"/>
  <c r="AT342" i="10"/>
  <c r="AP342" i="10"/>
  <c r="BU342" i="10" s="1"/>
  <c r="AL342" i="10"/>
  <c r="CB342" i="10"/>
  <c r="BV342" i="10"/>
  <c r="BP342" i="10"/>
  <c r="AX342" i="10"/>
  <c r="AR342" i="10"/>
  <c r="AM342" i="10"/>
  <c r="BY342" i="10"/>
  <c r="BS342" i="10"/>
  <c r="BA342" i="10"/>
  <c r="AO342" i="10"/>
  <c r="AI342" i="10"/>
  <c r="BD342" i="10"/>
  <c r="AW342" i="10"/>
  <c r="AK342" i="10"/>
  <c r="BK342" i="10"/>
  <c r="AS342" i="10"/>
  <c r="AH342" i="10"/>
  <c r="BX342" i="10" s="1"/>
  <c r="BQ342" i="10"/>
  <c r="AQ342" i="10"/>
  <c r="BO342" i="10"/>
  <c r="AN342" i="10"/>
  <c r="CC342" i="10"/>
  <c r="BB342" i="10"/>
  <c r="BH342" i="10"/>
  <c r="BZ342" i="10"/>
  <c r="AZ342" i="10"/>
  <c r="BL342" i="10"/>
  <c r="AU341" i="10"/>
  <c r="BG341" i="10" s="1"/>
  <c r="BU341" i="10"/>
  <c r="AF342" i="10"/>
  <c r="AE341" i="10"/>
  <c r="B343" i="10"/>
  <c r="CD343" i="10" s="1"/>
  <c r="BJ343" i="10" l="1"/>
  <c r="AU342" i="10"/>
  <c r="BG342" i="10" s="1"/>
  <c r="AV342" i="10"/>
  <c r="BT342" i="10"/>
  <c r="CA343" i="10"/>
  <c r="BV343" i="10"/>
  <c r="BP343" i="10"/>
  <c r="BK343" i="10"/>
  <c r="BB343" i="10"/>
  <c r="AX343" i="10"/>
  <c r="AR343" i="10"/>
  <c r="AN343" i="10"/>
  <c r="AI343" i="10"/>
  <c r="BY343" i="10"/>
  <c r="BQ343" i="10"/>
  <c r="BD343" i="10"/>
  <c r="AY343" i="10"/>
  <c r="AQ343" i="10"/>
  <c r="AL343" i="10"/>
  <c r="CB343" i="10"/>
  <c r="BS343" i="10"/>
  <c r="BN343" i="10"/>
  <c r="BH343" i="10"/>
  <c r="BA343" i="10"/>
  <c r="AT343" i="10"/>
  <c r="AO343" i="10"/>
  <c r="AH343" i="10"/>
  <c r="BZ343" i="10"/>
  <c r="AZ343" i="10"/>
  <c r="AM343" i="10"/>
  <c r="BW343" i="10"/>
  <c r="BI343" i="10"/>
  <c r="AW343" i="10"/>
  <c r="AK343" i="10"/>
  <c r="BO343" i="10"/>
  <c r="AS343" i="10"/>
  <c r="AP343" i="10"/>
  <c r="AV343" i="10" s="1"/>
  <c r="CC343" i="10"/>
  <c r="BR343" i="10"/>
  <c r="BL343" i="10"/>
  <c r="AF343" i="10"/>
  <c r="AE342" i="10"/>
  <c r="B344" i="10"/>
  <c r="CD344" i="10" s="1"/>
  <c r="BJ344" i="10" l="1"/>
  <c r="CA344" i="10"/>
  <c r="BW344" i="10"/>
  <c r="BS344" i="10"/>
  <c r="BO344" i="10"/>
  <c r="BD344" i="10"/>
  <c r="AZ344" i="10"/>
  <c r="AR344" i="10"/>
  <c r="AN344" i="10"/>
  <c r="AI344" i="10"/>
  <c r="CC344" i="10"/>
  <c r="BR344" i="10"/>
  <c r="AY344" i="10"/>
  <c r="AT344" i="10"/>
  <c r="AO344" i="10"/>
  <c r="AH344" i="10"/>
  <c r="BT344" i="10" s="1"/>
  <c r="BZ344" i="10"/>
  <c r="BP344" i="10"/>
  <c r="BI344" i="10"/>
  <c r="BB344" i="10"/>
  <c r="AW344" i="10"/>
  <c r="AQ344" i="10"/>
  <c r="AL344" i="10"/>
  <c r="BK344" i="10"/>
  <c r="BA344" i="10"/>
  <c r="AP344" i="10"/>
  <c r="BU344" i="10" s="1"/>
  <c r="CB344" i="10"/>
  <c r="BQ344" i="10"/>
  <c r="BH344" i="10"/>
  <c r="AX344" i="10"/>
  <c r="AM344" i="10"/>
  <c r="AS344" i="10"/>
  <c r="BY344" i="10"/>
  <c r="AK344" i="10"/>
  <c r="BV344" i="10"/>
  <c r="BN344" i="10"/>
  <c r="BL344" i="10"/>
  <c r="AU343" i="10"/>
  <c r="BG343" i="10" s="1"/>
  <c r="BU343" i="10"/>
  <c r="BT343" i="10"/>
  <c r="BX343" i="10"/>
  <c r="AF344" i="10"/>
  <c r="AE343" i="10"/>
  <c r="B345" i="10"/>
  <c r="CD345" i="10" s="1"/>
  <c r="BJ345" i="10" l="1"/>
  <c r="AU344" i="10"/>
  <c r="BG344" i="10" s="1"/>
  <c r="BX344" i="10"/>
  <c r="CB345" i="10"/>
  <c r="BW345" i="10"/>
  <c r="BQ345" i="10"/>
  <c r="BH345" i="10"/>
  <c r="BB345" i="10"/>
  <c r="AX345" i="10"/>
  <c r="AR345" i="10"/>
  <c r="AN345" i="10"/>
  <c r="AI345" i="10"/>
  <c r="BZ345" i="10"/>
  <c r="BR345" i="10"/>
  <c r="AZ345" i="10"/>
  <c r="AS345" i="10"/>
  <c r="AM345" i="10"/>
  <c r="CC345" i="10"/>
  <c r="BV345" i="10"/>
  <c r="BO345" i="10"/>
  <c r="AW345" i="10"/>
  <c r="AP345" i="10"/>
  <c r="BU345" i="10" s="1"/>
  <c r="AK345" i="10"/>
  <c r="BY345" i="10"/>
  <c r="BD345" i="10"/>
  <c r="AT345" i="10"/>
  <c r="AH345" i="10"/>
  <c r="BX345" i="10" s="1"/>
  <c r="BS345" i="10"/>
  <c r="BK345" i="10"/>
  <c r="AQ345" i="10"/>
  <c r="BN345" i="10"/>
  <c r="AL345" i="10"/>
  <c r="BA345" i="10"/>
  <c r="CA345" i="10"/>
  <c r="BI345" i="10"/>
  <c r="AY345" i="10"/>
  <c r="BP345" i="10"/>
  <c r="AO345" i="10"/>
  <c r="BL345" i="10"/>
  <c r="AV344" i="10"/>
  <c r="AF345" i="10"/>
  <c r="AE344" i="10"/>
  <c r="B346" i="10"/>
  <c r="CD346" i="10" s="1"/>
  <c r="BJ346" i="10" l="1"/>
  <c r="BT345" i="10"/>
  <c r="AU345" i="10"/>
  <c r="BG345" i="10" s="1"/>
  <c r="AV345" i="10"/>
  <c r="BZ346" i="10"/>
  <c r="BV346" i="10"/>
  <c r="BQ346" i="10"/>
  <c r="BH346" i="10"/>
  <c r="BB346" i="10"/>
  <c r="AX346" i="10"/>
  <c r="AS346" i="10"/>
  <c r="AO346" i="10"/>
  <c r="AK346" i="10"/>
  <c r="BY346" i="10"/>
  <c r="BS346" i="10"/>
  <c r="BN346" i="10"/>
  <c r="BI346" i="10"/>
  <c r="BA346" i="10"/>
  <c r="AP346" i="10"/>
  <c r="BU346" i="10" s="1"/>
  <c r="AI346" i="10"/>
  <c r="CB346" i="10"/>
  <c r="BW346" i="10"/>
  <c r="BP346" i="10"/>
  <c r="BK346" i="10"/>
  <c r="BD346" i="10"/>
  <c r="AY346" i="10"/>
  <c r="AR346" i="10"/>
  <c r="AM346" i="10"/>
  <c r="AZ346" i="10"/>
  <c r="AN346" i="10"/>
  <c r="AW346" i="10"/>
  <c r="AL346" i="10"/>
  <c r="CC346" i="10"/>
  <c r="AQ346" i="10"/>
  <c r="CA346" i="10"/>
  <c r="AH346" i="10"/>
  <c r="BR346" i="10"/>
  <c r="BO346" i="10"/>
  <c r="AT346" i="10"/>
  <c r="BL346" i="10"/>
  <c r="AF346" i="10"/>
  <c r="AE345" i="10"/>
  <c r="B347" i="10"/>
  <c r="CD347" i="10" s="1"/>
  <c r="BJ347" i="10" l="1"/>
  <c r="AV346" i="10"/>
  <c r="AU346" i="10"/>
  <c r="BG346" i="10" s="1"/>
  <c r="BX346" i="10"/>
  <c r="CC347" i="10"/>
  <c r="BY347" i="10"/>
  <c r="BS347" i="10"/>
  <c r="BO347" i="10"/>
  <c r="BD347" i="10"/>
  <c r="AZ347" i="10"/>
  <c r="AQ347" i="10"/>
  <c r="AM347" i="10"/>
  <c r="AH347" i="10"/>
  <c r="BT347" i="10" s="1"/>
  <c r="CA347" i="10"/>
  <c r="BN347" i="10"/>
  <c r="BH347" i="10"/>
  <c r="BA347" i="10"/>
  <c r="AT347" i="10"/>
  <c r="AO347" i="10"/>
  <c r="AI347" i="10"/>
  <c r="BW347" i="10"/>
  <c r="BQ347" i="10"/>
  <c r="BK347" i="10"/>
  <c r="AX347" i="10"/>
  <c r="AR347" i="10"/>
  <c r="AL347" i="10"/>
  <c r="BV347" i="10"/>
  <c r="BI347" i="10"/>
  <c r="AY347" i="10"/>
  <c r="AN347" i="10"/>
  <c r="BR347" i="10"/>
  <c r="AW347" i="10"/>
  <c r="AK347" i="10"/>
  <c r="BZ347" i="10"/>
  <c r="BP347" i="10"/>
  <c r="BB347" i="10"/>
  <c r="AS347" i="10"/>
  <c r="CB347" i="10"/>
  <c r="AP347" i="10"/>
  <c r="BL347" i="10"/>
  <c r="BT346" i="10"/>
  <c r="AF347" i="10"/>
  <c r="AE346" i="10"/>
  <c r="B348" i="10"/>
  <c r="CD348" i="10" s="1"/>
  <c r="BJ348" i="10" l="1"/>
  <c r="AU347" i="10"/>
  <c r="BG347" i="10" s="1"/>
  <c r="BU347" i="10"/>
  <c r="AV347" i="10"/>
  <c r="BX347" i="10"/>
  <c r="CC348" i="10"/>
  <c r="BY348" i="10"/>
  <c r="BQ348" i="10"/>
  <c r="BH348" i="10"/>
  <c r="BB348" i="10"/>
  <c r="AX348" i="10"/>
  <c r="AT348" i="10"/>
  <c r="AP348" i="10"/>
  <c r="BU348" i="10" s="1"/>
  <c r="AL348" i="10"/>
  <c r="BS348" i="10"/>
  <c r="BN348" i="10"/>
  <c r="BI348" i="10"/>
  <c r="BA348" i="10"/>
  <c r="AQ348" i="10"/>
  <c r="AK348" i="10"/>
  <c r="CA348" i="10"/>
  <c r="BV348" i="10"/>
  <c r="BP348" i="10"/>
  <c r="BK348" i="10"/>
  <c r="BD348" i="10"/>
  <c r="AY348" i="10"/>
  <c r="AS348" i="10"/>
  <c r="AN348" i="10"/>
  <c r="AH348" i="10"/>
  <c r="BT348" i="10" s="1"/>
  <c r="AW348" i="10"/>
  <c r="AM348" i="10"/>
  <c r="CB348" i="10"/>
  <c r="BR348" i="10"/>
  <c r="AI348" i="10"/>
  <c r="BO348" i="10"/>
  <c r="AZ348" i="10"/>
  <c r="AR348" i="10"/>
  <c r="BZ348" i="10"/>
  <c r="AO348" i="10"/>
  <c r="BW348" i="10"/>
  <c r="BL348" i="10"/>
  <c r="AF348" i="10"/>
  <c r="AE347" i="10"/>
  <c r="B349" i="10"/>
  <c r="CD349" i="10" s="1"/>
  <c r="BJ349" i="10" l="1"/>
  <c r="AU348" i="10"/>
  <c r="BG348" i="10" s="1"/>
  <c r="AV348" i="10"/>
  <c r="BX348" i="10"/>
  <c r="BZ349" i="10"/>
  <c r="BS349" i="10"/>
  <c r="BO349" i="10"/>
  <c r="BD349" i="10"/>
  <c r="AZ349" i="10"/>
  <c r="AT349" i="10"/>
  <c r="AP349" i="10"/>
  <c r="BU349" i="10" s="1"/>
  <c r="AL349" i="10"/>
  <c r="CB349" i="10"/>
  <c r="BV349" i="10"/>
  <c r="BN349" i="10"/>
  <c r="BH349" i="10"/>
  <c r="BA349" i="10"/>
  <c r="AS349" i="10"/>
  <c r="AN349" i="10"/>
  <c r="AH349" i="10"/>
  <c r="BX349" i="10" s="1"/>
  <c r="BY349" i="10"/>
  <c r="BQ349" i="10"/>
  <c r="BK349" i="10"/>
  <c r="AX349" i="10"/>
  <c r="AQ349" i="10"/>
  <c r="AK349" i="10"/>
  <c r="BR349" i="10"/>
  <c r="AW349" i="10"/>
  <c r="AI349" i="10"/>
  <c r="CC349" i="10"/>
  <c r="BP349" i="10"/>
  <c r="AR349" i="10"/>
  <c r="CA349" i="10"/>
  <c r="AO349" i="10"/>
  <c r="BW349" i="10"/>
  <c r="AM349" i="10"/>
  <c r="BB349" i="10"/>
  <c r="AY349" i="10"/>
  <c r="BI349" i="10"/>
  <c r="BT349" i="10"/>
  <c r="BL349" i="10"/>
  <c r="AF349" i="10"/>
  <c r="AE348" i="10"/>
  <c r="B350" i="10"/>
  <c r="CD350" i="10" s="1"/>
  <c r="BJ350" i="10" l="1"/>
  <c r="AU349" i="10"/>
  <c r="BG349" i="10" s="1"/>
  <c r="AV349" i="10"/>
  <c r="CB350" i="10"/>
  <c r="BS350" i="10"/>
  <c r="BO350" i="10"/>
  <c r="BD350" i="10"/>
  <c r="AZ350" i="10"/>
  <c r="AQ350" i="10"/>
  <c r="AM350" i="10"/>
  <c r="AH350" i="10"/>
  <c r="BT350" i="10" s="1"/>
  <c r="CC350" i="10"/>
  <c r="BW350" i="10"/>
  <c r="BQ350" i="10"/>
  <c r="BK350" i="10"/>
  <c r="AX350" i="10"/>
  <c r="AR350" i="10"/>
  <c r="AL350" i="10"/>
  <c r="BZ350" i="10"/>
  <c r="BN350" i="10"/>
  <c r="BH350" i="10"/>
  <c r="BA350" i="10"/>
  <c r="AT350" i="10"/>
  <c r="AO350" i="10"/>
  <c r="AI350" i="10"/>
  <c r="BR350" i="10"/>
  <c r="AW350" i="10"/>
  <c r="AK350" i="10"/>
  <c r="CA350" i="10"/>
  <c r="BP350" i="10"/>
  <c r="AS350" i="10"/>
  <c r="BB350" i="10"/>
  <c r="BI350" i="10"/>
  <c r="AY350" i="10"/>
  <c r="BY350" i="10"/>
  <c r="AP350" i="10"/>
  <c r="BU350" i="10" s="1"/>
  <c r="BV350" i="10"/>
  <c r="AN350" i="10"/>
  <c r="BL350" i="10"/>
  <c r="AF350" i="10"/>
  <c r="AE349" i="10"/>
  <c r="B351" i="10"/>
  <c r="CD351" i="10" s="1"/>
  <c r="BJ351" i="10" l="1"/>
  <c r="AV350" i="10"/>
  <c r="AU350" i="10"/>
  <c r="BG350" i="10" s="1"/>
  <c r="BX350" i="10"/>
  <c r="CA351" i="10"/>
  <c r="BV351" i="10"/>
  <c r="BQ351" i="10"/>
  <c r="BH351" i="10"/>
  <c r="BB351" i="10"/>
  <c r="AX351" i="10"/>
  <c r="AS351" i="10"/>
  <c r="AO351" i="10"/>
  <c r="AK351" i="10"/>
  <c r="CC351" i="10"/>
  <c r="BW351" i="10"/>
  <c r="BP351" i="10"/>
  <c r="BK351" i="10"/>
  <c r="BD351" i="10"/>
  <c r="AY351" i="10"/>
  <c r="AR351" i="10"/>
  <c r="AM351" i="10"/>
  <c r="BZ351" i="10"/>
  <c r="BS351" i="10"/>
  <c r="BN351" i="10"/>
  <c r="BI351" i="10"/>
  <c r="BA351" i="10"/>
  <c r="AP351" i="10"/>
  <c r="AV351" i="10" s="1"/>
  <c r="AI351" i="10"/>
  <c r="BR351" i="10"/>
  <c r="AT351" i="10"/>
  <c r="AH351" i="10"/>
  <c r="BT351" i="10" s="1"/>
  <c r="CB351" i="10"/>
  <c r="BO351" i="10"/>
  <c r="AQ351" i="10"/>
  <c r="BY351" i="10"/>
  <c r="AN351" i="10"/>
  <c r="AL351" i="10"/>
  <c r="AZ351" i="10"/>
  <c r="AW351" i="10"/>
  <c r="BL351" i="10"/>
  <c r="AF351" i="10"/>
  <c r="AE350" i="10"/>
  <c r="B352" i="10"/>
  <c r="CD352" i="10" s="1"/>
  <c r="BJ352" i="10" l="1"/>
  <c r="CA352" i="10"/>
  <c r="BW352" i="10"/>
  <c r="BS352" i="10"/>
  <c r="BO352" i="10"/>
  <c r="BD352" i="10"/>
  <c r="AZ352" i="10"/>
  <c r="AR352" i="10"/>
  <c r="AN352" i="10"/>
  <c r="AI352" i="10"/>
  <c r="CB352" i="10"/>
  <c r="BV352" i="10"/>
  <c r="BQ352" i="10"/>
  <c r="BK352" i="10"/>
  <c r="AX352" i="10"/>
  <c r="AS352" i="10"/>
  <c r="AM352" i="10"/>
  <c r="BY352" i="10"/>
  <c r="BN352" i="10"/>
  <c r="BH352" i="10"/>
  <c r="BA352" i="10"/>
  <c r="AP352" i="10"/>
  <c r="BU352" i="10" s="1"/>
  <c r="AK352" i="10"/>
  <c r="BZ352" i="10"/>
  <c r="BP352" i="10"/>
  <c r="AT352" i="10"/>
  <c r="AH352" i="10"/>
  <c r="BX352" i="10" s="1"/>
  <c r="BB352" i="10"/>
  <c r="AQ352" i="10"/>
  <c r="AY352" i="10"/>
  <c r="CC352" i="10"/>
  <c r="BI352" i="10"/>
  <c r="AW352" i="10"/>
  <c r="AO352" i="10"/>
  <c r="BR352" i="10"/>
  <c r="AL352" i="10"/>
  <c r="BL352" i="10"/>
  <c r="BX351" i="10"/>
  <c r="AU351" i="10"/>
  <c r="BG351" i="10" s="1"/>
  <c r="BU351" i="10"/>
  <c r="AF352" i="10"/>
  <c r="AE351" i="10"/>
  <c r="B353" i="10"/>
  <c r="CD353" i="10" s="1"/>
  <c r="BJ353" i="10" l="1"/>
  <c r="BT352" i="10"/>
  <c r="AU352" i="10"/>
  <c r="BG352" i="10" s="1"/>
  <c r="AV352" i="10"/>
  <c r="CB353" i="10"/>
  <c r="BW353" i="10"/>
  <c r="BQ353" i="10"/>
  <c r="BH353" i="10"/>
  <c r="BB353" i="10"/>
  <c r="AX353" i="10"/>
  <c r="AR353" i="10"/>
  <c r="AN353" i="10"/>
  <c r="AI353" i="10"/>
  <c r="BY353" i="10"/>
  <c r="BP353" i="10"/>
  <c r="BK353" i="10"/>
  <c r="BD353" i="10"/>
  <c r="AY353" i="10"/>
  <c r="AQ353" i="10"/>
  <c r="AL353" i="10"/>
  <c r="CA353" i="10"/>
  <c r="BS353" i="10"/>
  <c r="BN353" i="10"/>
  <c r="BI353" i="10"/>
  <c r="BA353" i="10"/>
  <c r="AT353" i="10"/>
  <c r="AO353" i="10"/>
  <c r="AH353" i="10"/>
  <c r="BX353" i="10" s="1"/>
  <c r="CC353" i="10"/>
  <c r="BO353" i="10"/>
  <c r="AP353" i="10"/>
  <c r="BU353" i="10" s="1"/>
  <c r="BZ353" i="10"/>
  <c r="AZ353" i="10"/>
  <c r="AM353" i="10"/>
  <c r="BV353" i="10"/>
  <c r="AK353" i="10"/>
  <c r="BR353" i="10"/>
  <c r="AW353" i="10"/>
  <c r="AS353" i="10"/>
  <c r="BL353" i="10"/>
  <c r="AF353" i="10"/>
  <c r="AE352" i="10"/>
  <c r="B354" i="10"/>
  <c r="CD354" i="10" s="1"/>
  <c r="BJ354" i="10" l="1"/>
  <c r="AV353" i="10"/>
  <c r="BT353" i="10"/>
  <c r="BZ354" i="10"/>
  <c r="BV354" i="10"/>
  <c r="BQ354" i="10"/>
  <c r="BH354" i="10"/>
  <c r="BB354" i="10"/>
  <c r="AX354" i="10"/>
  <c r="AS354" i="10"/>
  <c r="AO354" i="10"/>
  <c r="AK354" i="10"/>
  <c r="CC354" i="10"/>
  <c r="BY354" i="10"/>
  <c r="BP354" i="10"/>
  <c r="BK354" i="10"/>
  <c r="BA354" i="10"/>
  <c r="AW354" i="10"/>
  <c r="AR354" i="10"/>
  <c r="AN354" i="10"/>
  <c r="BW354" i="10"/>
  <c r="BN354" i="10"/>
  <c r="AY354" i="10"/>
  <c r="AP354" i="10"/>
  <c r="BU354" i="10" s="1"/>
  <c r="AH354" i="10"/>
  <c r="CA354" i="10"/>
  <c r="BR354" i="10"/>
  <c r="AT354" i="10"/>
  <c r="AL354" i="10"/>
  <c r="BS354" i="10"/>
  <c r="BO354" i="10"/>
  <c r="BD354" i="10"/>
  <c r="AQ354" i="10"/>
  <c r="AZ354" i="10"/>
  <c r="BI354" i="10"/>
  <c r="AM354" i="10"/>
  <c r="CB354" i="10"/>
  <c r="AI354" i="10"/>
  <c r="BL354" i="10"/>
  <c r="AU353" i="10"/>
  <c r="BG353" i="10" s="1"/>
  <c r="AF354" i="10"/>
  <c r="AE353" i="10"/>
  <c r="B355" i="10"/>
  <c r="CD355" i="10" s="1"/>
  <c r="BJ355" i="10" l="1"/>
  <c r="AU354" i="10"/>
  <c r="BG354" i="10" s="1"/>
  <c r="AV354" i="10"/>
  <c r="BX354" i="10"/>
  <c r="CC355" i="10"/>
  <c r="BY355" i="10"/>
  <c r="BS355" i="10"/>
  <c r="BO355" i="10"/>
  <c r="BD355" i="10"/>
  <c r="AZ355" i="10"/>
  <c r="AQ355" i="10"/>
  <c r="AM355" i="10"/>
  <c r="AH355" i="10"/>
  <c r="CB355" i="10"/>
  <c r="BW355" i="10"/>
  <c r="BR355" i="10"/>
  <c r="BN355" i="10"/>
  <c r="BI355" i="10"/>
  <c r="AY355" i="10"/>
  <c r="AT355" i="10"/>
  <c r="AP355" i="10"/>
  <c r="AL355" i="10"/>
  <c r="CA355" i="10"/>
  <c r="BQ355" i="10"/>
  <c r="BH355" i="10"/>
  <c r="BA355" i="10"/>
  <c r="AR355" i="10"/>
  <c r="AI355" i="10"/>
  <c r="BV355" i="10"/>
  <c r="AW355" i="10"/>
  <c r="AN355" i="10"/>
  <c r="BP355" i="10"/>
  <c r="AO355" i="10"/>
  <c r="BB355" i="10"/>
  <c r="AK355" i="10"/>
  <c r="AX355" i="10"/>
  <c r="BK355" i="10"/>
  <c r="AS355" i="10"/>
  <c r="BZ355" i="10"/>
  <c r="BL355" i="10"/>
  <c r="BT354" i="10"/>
  <c r="AF355" i="10"/>
  <c r="AE354" i="10"/>
  <c r="B356" i="10"/>
  <c r="CD356" i="10" s="1"/>
  <c r="BJ356" i="10" l="1"/>
  <c r="AU355" i="10"/>
  <c r="BG355" i="10" s="1"/>
  <c r="BU355" i="10"/>
  <c r="BX355" i="10"/>
  <c r="BT355" i="10"/>
  <c r="CC356" i="10"/>
  <c r="BY356" i="10"/>
  <c r="BQ356" i="10"/>
  <c r="BH356" i="10"/>
  <c r="BB356" i="10"/>
  <c r="AX356" i="10"/>
  <c r="AT356" i="10"/>
  <c r="AP356" i="10"/>
  <c r="BU356" i="10" s="1"/>
  <c r="AL356" i="10"/>
  <c r="CB356" i="10"/>
  <c r="BP356" i="10"/>
  <c r="BK356" i="10"/>
  <c r="BA356" i="10"/>
  <c r="AW356" i="10"/>
  <c r="AS356" i="10"/>
  <c r="AO356" i="10"/>
  <c r="AK356" i="10"/>
  <c r="CA356" i="10"/>
  <c r="BS356" i="10"/>
  <c r="BD356" i="10"/>
  <c r="AN356" i="10"/>
  <c r="BW356" i="10"/>
  <c r="BO356" i="10"/>
  <c r="BI356" i="10"/>
  <c r="AZ356" i="10"/>
  <c r="AR356" i="10"/>
  <c r="AI356" i="10"/>
  <c r="BN356" i="10"/>
  <c r="AM356" i="10"/>
  <c r="BZ356" i="10"/>
  <c r="AY356" i="10"/>
  <c r="AH356" i="10"/>
  <c r="BR356" i="10"/>
  <c r="AQ356" i="10"/>
  <c r="BV356" i="10"/>
  <c r="BL356" i="10"/>
  <c r="AV355" i="10"/>
  <c r="AF356" i="10"/>
  <c r="AE355" i="10"/>
  <c r="B357" i="10"/>
  <c r="CD357" i="10" s="1"/>
  <c r="BJ357" i="10" l="1"/>
  <c r="AU356" i="10"/>
  <c r="BG356" i="10" s="1"/>
  <c r="AV356" i="10"/>
  <c r="BZ357" i="10"/>
  <c r="BS357" i="10"/>
  <c r="BO357" i="10"/>
  <c r="BD357" i="10"/>
  <c r="AZ357" i="10"/>
  <c r="AT357" i="10"/>
  <c r="AP357" i="10"/>
  <c r="BU357" i="10" s="1"/>
  <c r="AL357" i="10"/>
  <c r="CC357" i="10"/>
  <c r="BY357" i="10"/>
  <c r="BR357" i="10"/>
  <c r="BN357" i="10"/>
  <c r="BI357" i="10"/>
  <c r="AY357" i="10"/>
  <c r="AS357" i="10"/>
  <c r="AO357" i="10"/>
  <c r="AK357" i="10"/>
  <c r="CA357" i="10"/>
  <c r="BP357" i="10"/>
  <c r="AX357" i="10"/>
  <c r="AN357" i="10"/>
  <c r="BV357" i="10"/>
  <c r="BK357" i="10"/>
  <c r="BB357" i="10"/>
  <c r="AR357" i="10"/>
  <c r="AI357" i="10"/>
  <c r="BA357" i="10"/>
  <c r="AH357" i="10"/>
  <c r="BX357" i="10" s="1"/>
  <c r="CB357" i="10"/>
  <c r="BH357" i="10"/>
  <c r="AW357" i="10"/>
  <c r="BW357" i="10"/>
  <c r="BQ357" i="10"/>
  <c r="AQ357" i="10"/>
  <c r="AM357" i="10"/>
  <c r="BL357" i="10"/>
  <c r="BX356" i="10"/>
  <c r="BT356" i="10"/>
  <c r="AF357" i="10"/>
  <c r="AE356" i="10"/>
  <c r="B358" i="10"/>
  <c r="CD358" i="10" s="1"/>
  <c r="BJ358" i="10" l="1"/>
  <c r="BT357" i="10"/>
  <c r="AV357" i="10"/>
  <c r="AU357" i="10"/>
  <c r="BG357" i="10" s="1"/>
  <c r="CB358" i="10"/>
  <c r="BS358" i="10"/>
  <c r="BO358" i="10"/>
  <c r="BD358" i="10"/>
  <c r="AZ358" i="10"/>
  <c r="AQ358" i="10"/>
  <c r="AM358" i="10"/>
  <c r="AH358" i="10"/>
  <c r="BT358" i="10" s="1"/>
  <c r="CA358" i="10"/>
  <c r="BW358" i="10"/>
  <c r="BR358" i="10"/>
  <c r="BN358" i="10"/>
  <c r="BI358" i="10"/>
  <c r="AY358" i="10"/>
  <c r="AT358" i="10"/>
  <c r="AP358" i="10"/>
  <c r="BU358" i="10" s="1"/>
  <c r="AL358" i="10"/>
  <c r="BV358" i="10"/>
  <c r="AW358" i="10"/>
  <c r="AN358" i="10"/>
  <c r="BZ358" i="10"/>
  <c r="BQ358" i="10"/>
  <c r="BH358" i="10"/>
  <c r="BA358" i="10"/>
  <c r="AR358" i="10"/>
  <c r="AI358" i="10"/>
  <c r="CC358" i="10"/>
  <c r="BB358" i="10"/>
  <c r="AK358" i="10"/>
  <c r="BY358" i="10"/>
  <c r="BK358" i="10"/>
  <c r="AX358" i="10"/>
  <c r="BP358" i="10"/>
  <c r="AS358" i="10"/>
  <c r="AO358" i="10"/>
  <c r="BL358" i="10"/>
  <c r="AF358" i="10"/>
  <c r="AE357" i="10"/>
  <c r="B359" i="10"/>
  <c r="CD359" i="10" s="1"/>
  <c r="BJ359" i="10" l="1"/>
  <c r="BX358" i="10"/>
  <c r="AV358" i="10"/>
  <c r="AU358" i="10"/>
  <c r="BG358" i="10" s="1"/>
  <c r="CA359" i="10"/>
  <c r="BV359" i="10"/>
  <c r="BQ359" i="10"/>
  <c r="BH359" i="10"/>
  <c r="BB359" i="10"/>
  <c r="AX359" i="10"/>
  <c r="AS359" i="10"/>
  <c r="AO359" i="10"/>
  <c r="AK359" i="10"/>
  <c r="BZ359" i="10"/>
  <c r="BP359" i="10"/>
  <c r="BK359" i="10"/>
  <c r="BA359" i="10"/>
  <c r="AW359" i="10"/>
  <c r="AR359" i="10"/>
  <c r="AN359" i="10"/>
  <c r="AI359" i="10"/>
  <c r="BY359" i="10"/>
  <c r="BO359" i="10"/>
  <c r="BI359" i="10"/>
  <c r="AZ359" i="10"/>
  <c r="AQ359" i="10"/>
  <c r="AH359" i="10"/>
  <c r="CC359" i="10"/>
  <c r="BS359" i="10"/>
  <c r="BD359" i="10"/>
  <c r="AM359" i="10"/>
  <c r="CB359" i="10"/>
  <c r="AY359" i="10"/>
  <c r="BW359" i="10"/>
  <c r="AT359" i="10"/>
  <c r="AL359" i="10"/>
  <c r="BR359" i="10"/>
  <c r="BN359" i="10"/>
  <c r="AP359" i="10"/>
  <c r="AV359" i="10" s="1"/>
  <c r="BL359" i="10"/>
  <c r="AF359" i="10"/>
  <c r="AE358" i="10"/>
  <c r="B360" i="10"/>
  <c r="CD360" i="10" s="1"/>
  <c r="BJ360" i="10" l="1"/>
  <c r="BX359" i="10"/>
  <c r="BT359" i="10"/>
  <c r="AU359" i="10"/>
  <c r="BG359" i="10" s="1"/>
  <c r="BU359" i="10"/>
  <c r="CA360" i="10"/>
  <c r="BW360" i="10"/>
  <c r="BS360" i="10"/>
  <c r="BO360" i="10"/>
  <c r="BD360" i="10"/>
  <c r="AZ360" i="10"/>
  <c r="AR360" i="10"/>
  <c r="AN360" i="10"/>
  <c r="AI360" i="10"/>
  <c r="BZ360" i="10"/>
  <c r="BV360" i="10"/>
  <c r="BR360" i="10"/>
  <c r="BN360" i="10"/>
  <c r="BI360" i="10"/>
  <c r="AY360" i="10"/>
  <c r="AQ360" i="10"/>
  <c r="AM360" i="10"/>
  <c r="AH360" i="10"/>
  <c r="BT360" i="10" s="1"/>
  <c r="CB360" i="10"/>
  <c r="BK360" i="10"/>
  <c r="BB360" i="10"/>
  <c r="AT360" i="10"/>
  <c r="AL360" i="10"/>
  <c r="BP360" i="10"/>
  <c r="AX360" i="10"/>
  <c r="AP360" i="10"/>
  <c r="BU360" i="10" s="1"/>
  <c r="BY360" i="10"/>
  <c r="BH360" i="10"/>
  <c r="AW360" i="10"/>
  <c r="AS360" i="10"/>
  <c r="AO360" i="10"/>
  <c r="AK360" i="10"/>
  <c r="CC360" i="10"/>
  <c r="BQ360" i="10"/>
  <c r="BA360" i="10"/>
  <c r="BL360" i="10"/>
  <c r="AF360" i="10"/>
  <c r="AE359" i="10"/>
  <c r="B361" i="10"/>
  <c r="CD361" i="10" s="1"/>
  <c r="BJ361" i="10" l="1"/>
  <c r="BX360" i="10"/>
  <c r="AU360" i="10"/>
  <c r="BG360" i="10" s="1"/>
  <c r="CB361" i="10"/>
  <c r="BW361" i="10"/>
  <c r="BQ361" i="10"/>
  <c r="BH361" i="10"/>
  <c r="BB361" i="10"/>
  <c r="AX361" i="10"/>
  <c r="AR361" i="10"/>
  <c r="AN361" i="10"/>
  <c r="AI361" i="10"/>
  <c r="CA361" i="10"/>
  <c r="BV361" i="10"/>
  <c r="BP361" i="10"/>
  <c r="BK361" i="10"/>
  <c r="BA361" i="10"/>
  <c r="AW361" i="10"/>
  <c r="AQ361" i="10"/>
  <c r="AM361" i="10"/>
  <c r="AH361" i="10"/>
  <c r="BX361" i="10" s="1"/>
  <c r="BY361" i="10"/>
  <c r="BN361" i="10"/>
  <c r="AY361" i="10"/>
  <c r="AO361" i="10"/>
  <c r="CC361" i="10"/>
  <c r="BR361" i="10"/>
  <c r="AS361" i="10"/>
  <c r="AK361" i="10"/>
  <c r="BS361" i="10"/>
  <c r="AT361" i="10"/>
  <c r="BO361" i="10"/>
  <c r="BD361" i="10"/>
  <c r="AP361" i="10"/>
  <c r="BU361" i="10" s="1"/>
  <c r="AZ361" i="10"/>
  <c r="BI361" i="10"/>
  <c r="AL361" i="10"/>
  <c r="BZ361" i="10"/>
  <c r="BL361" i="10"/>
  <c r="AV360" i="10"/>
  <c r="AF361" i="10"/>
  <c r="AE360" i="10"/>
  <c r="B362" i="10"/>
  <c r="CD362" i="10" s="1"/>
  <c r="BJ362" i="10" l="1"/>
  <c r="AU361" i="10"/>
  <c r="BG361" i="10" s="1"/>
  <c r="AV361" i="10"/>
  <c r="BZ362" i="10"/>
  <c r="BV362" i="10"/>
  <c r="BQ362" i="10"/>
  <c r="BH362" i="10"/>
  <c r="BB362" i="10"/>
  <c r="AX362" i="10"/>
  <c r="AS362" i="10"/>
  <c r="AO362" i="10"/>
  <c r="AK362" i="10"/>
  <c r="CC362" i="10"/>
  <c r="BY362" i="10"/>
  <c r="BP362" i="10"/>
  <c r="BK362" i="10"/>
  <c r="BA362" i="10"/>
  <c r="AW362" i="10"/>
  <c r="AR362" i="10"/>
  <c r="AN362" i="10"/>
  <c r="AI362" i="10"/>
  <c r="CA362" i="10"/>
  <c r="BR362" i="10"/>
  <c r="AT362" i="10"/>
  <c r="AL362" i="10"/>
  <c r="BW362" i="10"/>
  <c r="BN362" i="10"/>
  <c r="AY362" i="10"/>
  <c r="AP362" i="10"/>
  <c r="BU362" i="10" s="1"/>
  <c r="BO362" i="10"/>
  <c r="BD362" i="10"/>
  <c r="AQ362" i="10"/>
  <c r="CB362" i="10"/>
  <c r="AM362" i="10"/>
  <c r="AZ362" i="10"/>
  <c r="BI362" i="10"/>
  <c r="AH362" i="10"/>
  <c r="BS362" i="10"/>
  <c r="BL362" i="10"/>
  <c r="BT361" i="10"/>
  <c r="AF362" i="10"/>
  <c r="AE361" i="10"/>
  <c r="B363" i="10"/>
  <c r="CD363" i="10" s="1"/>
  <c r="BJ363" i="10" l="1"/>
  <c r="AU362" i="10"/>
  <c r="BG362" i="10" s="1"/>
  <c r="AV362" i="10"/>
  <c r="CC363" i="10"/>
  <c r="BY363" i="10"/>
  <c r="BS363" i="10"/>
  <c r="BO363" i="10"/>
  <c r="BD363" i="10"/>
  <c r="AZ363" i="10"/>
  <c r="AQ363" i="10"/>
  <c r="BW363" i="10"/>
  <c r="BQ363" i="10"/>
  <c r="BK363" i="10"/>
  <c r="AX363" i="10"/>
  <c r="AR363" i="10"/>
  <c r="AM363" i="10"/>
  <c r="AH363" i="10"/>
  <c r="CB363" i="10"/>
  <c r="BV363" i="10"/>
  <c r="BP363" i="10"/>
  <c r="BI363" i="10"/>
  <c r="BB363" i="10"/>
  <c r="AW363" i="10"/>
  <c r="AP363" i="10"/>
  <c r="AV363" i="10" s="1"/>
  <c r="AL363" i="10"/>
  <c r="BH363" i="10"/>
  <c r="AY363" i="10"/>
  <c r="AN363" i="10"/>
  <c r="CA363" i="10"/>
  <c r="BN363" i="10"/>
  <c r="AS363" i="10"/>
  <c r="AI363" i="10"/>
  <c r="BZ363" i="10"/>
  <c r="AK363" i="10"/>
  <c r="BR363" i="10"/>
  <c r="BA363" i="10"/>
  <c r="AT363" i="10"/>
  <c r="AO363" i="10"/>
  <c r="BL363" i="10"/>
  <c r="BX362" i="10"/>
  <c r="BT362" i="10"/>
  <c r="AF363" i="10"/>
  <c r="AE362" i="10"/>
  <c r="B364" i="10"/>
  <c r="CD364" i="10" s="1"/>
  <c r="BJ364" i="10" l="1"/>
  <c r="CC364" i="10"/>
  <c r="BY364" i="10"/>
  <c r="BQ364" i="10"/>
  <c r="BH364" i="10"/>
  <c r="BB364" i="10"/>
  <c r="AX364" i="10"/>
  <c r="AT364" i="10"/>
  <c r="AP364" i="10"/>
  <c r="BU364" i="10" s="1"/>
  <c r="AL364" i="10"/>
  <c r="CA364" i="10"/>
  <c r="BV364" i="10"/>
  <c r="BP364" i="10"/>
  <c r="BK364" i="10"/>
  <c r="BD364" i="10"/>
  <c r="AY364" i="10"/>
  <c r="AS364" i="10"/>
  <c r="AN364" i="10"/>
  <c r="AH364" i="10"/>
  <c r="BT364" i="10" s="1"/>
  <c r="BZ364" i="10"/>
  <c r="BO364" i="10"/>
  <c r="AW364" i="10"/>
  <c r="AR364" i="10"/>
  <c r="AM364" i="10"/>
  <c r="CB364" i="10"/>
  <c r="BR364" i="10"/>
  <c r="AK364" i="10"/>
  <c r="BW364" i="10"/>
  <c r="BA364" i="10"/>
  <c r="AQ364" i="10"/>
  <c r="AZ364" i="10"/>
  <c r="BI364" i="10"/>
  <c r="AI364" i="10"/>
  <c r="BS364" i="10"/>
  <c r="BN364" i="10"/>
  <c r="AO364" i="10"/>
  <c r="BL364" i="10"/>
  <c r="BX363" i="10"/>
  <c r="AU363" i="10"/>
  <c r="BG363" i="10" s="1"/>
  <c r="BU363" i="10"/>
  <c r="BT363" i="10"/>
  <c r="AF364" i="10"/>
  <c r="AE363" i="10"/>
  <c r="B365" i="10"/>
  <c r="CD365" i="10" s="1"/>
  <c r="BJ365" i="10" l="1"/>
  <c r="BX364" i="10"/>
  <c r="AU364" i="10"/>
  <c r="BG364" i="10" s="1"/>
  <c r="AV364" i="10"/>
  <c r="BZ365" i="10"/>
  <c r="BS365" i="10"/>
  <c r="BO365" i="10"/>
  <c r="BD365" i="10"/>
  <c r="AZ365" i="10"/>
  <c r="AT365" i="10"/>
  <c r="AP365" i="10"/>
  <c r="BU365" i="10" s="1"/>
  <c r="AL365" i="10"/>
  <c r="BY365" i="10"/>
  <c r="BQ365" i="10"/>
  <c r="BK365" i="10"/>
  <c r="AX365" i="10"/>
  <c r="AQ365" i="10"/>
  <c r="AK365" i="10"/>
  <c r="CC365" i="10"/>
  <c r="BW365" i="10"/>
  <c r="BP365" i="10"/>
  <c r="BI365" i="10"/>
  <c r="BB365" i="10"/>
  <c r="AW365" i="10"/>
  <c r="AO365" i="10"/>
  <c r="AI365" i="10"/>
  <c r="CB365" i="10"/>
  <c r="BN365" i="10"/>
  <c r="AR365" i="10"/>
  <c r="BV365" i="10"/>
  <c r="BH365" i="10"/>
  <c r="AY365" i="10"/>
  <c r="AM365" i="10"/>
  <c r="CA365" i="10"/>
  <c r="AH365" i="10"/>
  <c r="BT365" i="10" s="1"/>
  <c r="BR365" i="10"/>
  <c r="BA365" i="10"/>
  <c r="AS365" i="10"/>
  <c r="AN365" i="10"/>
  <c r="BL365" i="10"/>
  <c r="AF365" i="10"/>
  <c r="AE364" i="10"/>
  <c r="B366" i="10"/>
  <c r="CD366" i="10" s="1"/>
  <c r="BJ366" i="10" l="1"/>
  <c r="AV365" i="10"/>
  <c r="AU365" i="10"/>
  <c r="BG365" i="10" s="1"/>
  <c r="CB366" i="10"/>
  <c r="BS366" i="10"/>
  <c r="BO366" i="10"/>
  <c r="BD366" i="10"/>
  <c r="AZ366" i="10"/>
  <c r="AQ366" i="10"/>
  <c r="AM366" i="10"/>
  <c r="AH366" i="10"/>
  <c r="BZ366" i="10"/>
  <c r="BN366" i="10"/>
  <c r="BH366" i="10"/>
  <c r="BA366" i="10"/>
  <c r="AT366" i="10"/>
  <c r="AO366" i="10"/>
  <c r="AI366" i="10"/>
  <c r="BY366" i="10"/>
  <c r="BR366" i="10"/>
  <c r="AY366" i="10"/>
  <c r="AS366" i="10"/>
  <c r="AN366" i="10"/>
  <c r="BW366" i="10"/>
  <c r="AR366" i="10"/>
  <c r="CC366" i="10"/>
  <c r="BQ366" i="10"/>
  <c r="BI366" i="10"/>
  <c r="AX366" i="10"/>
  <c r="AL366" i="10"/>
  <c r="BB366" i="10"/>
  <c r="CA366" i="10"/>
  <c r="BK366" i="10"/>
  <c r="AW366" i="10"/>
  <c r="AK366" i="10"/>
  <c r="BV366" i="10"/>
  <c r="BP366" i="10"/>
  <c r="AP366" i="10"/>
  <c r="BU366" i="10" s="1"/>
  <c r="BL366" i="10"/>
  <c r="BX365" i="10"/>
  <c r="AF366" i="10"/>
  <c r="AE365" i="10"/>
  <c r="B367" i="10"/>
  <c r="CD367" i="10" s="1"/>
  <c r="BJ367" i="10" l="1"/>
  <c r="AU366" i="10"/>
  <c r="BG366" i="10" s="1"/>
  <c r="AV366" i="10"/>
  <c r="BX366" i="10"/>
  <c r="CA367" i="10"/>
  <c r="BV367" i="10"/>
  <c r="BQ367" i="10"/>
  <c r="BH367" i="10"/>
  <c r="BB367" i="10"/>
  <c r="AX367" i="10"/>
  <c r="AS367" i="10"/>
  <c r="AO367" i="10"/>
  <c r="AK367" i="10"/>
  <c r="BZ367" i="10"/>
  <c r="BS367" i="10"/>
  <c r="BN367" i="10"/>
  <c r="BI367" i="10"/>
  <c r="BA367" i="10"/>
  <c r="AP367" i="10"/>
  <c r="AI367" i="10"/>
  <c r="BY367" i="10"/>
  <c r="BR367" i="10"/>
  <c r="AZ367" i="10"/>
  <c r="AT367" i="10"/>
  <c r="AN367" i="10"/>
  <c r="AH367" i="10"/>
  <c r="BT367" i="10" s="1"/>
  <c r="CC367" i="10"/>
  <c r="BP367" i="10"/>
  <c r="AY367" i="10"/>
  <c r="AM367" i="10"/>
  <c r="BW367" i="10"/>
  <c r="BD367" i="10"/>
  <c r="AR367" i="10"/>
  <c r="AL367" i="10"/>
  <c r="BO367" i="10"/>
  <c r="AW367" i="10"/>
  <c r="BK367" i="10"/>
  <c r="AQ367" i="10"/>
  <c r="CB367" i="10"/>
  <c r="BL367" i="10"/>
  <c r="BT366" i="10"/>
  <c r="AF367" i="10"/>
  <c r="AE366" i="10"/>
  <c r="B368" i="10"/>
  <c r="CD368" i="10" s="1"/>
  <c r="BJ368" i="10" l="1"/>
  <c r="AU367" i="10"/>
  <c r="BG367" i="10" s="1"/>
  <c r="BU367" i="10"/>
  <c r="CA368" i="10"/>
  <c r="BW368" i="10"/>
  <c r="BS368" i="10"/>
  <c r="BO368" i="10"/>
  <c r="BD368" i="10"/>
  <c r="AZ368" i="10"/>
  <c r="AR368" i="10"/>
  <c r="AN368" i="10"/>
  <c r="AI368" i="10"/>
  <c r="BY368" i="10"/>
  <c r="BN368" i="10"/>
  <c r="BH368" i="10"/>
  <c r="BA368" i="10"/>
  <c r="AP368" i="10"/>
  <c r="BU368" i="10" s="1"/>
  <c r="AK368" i="10"/>
  <c r="CC368" i="10"/>
  <c r="BR368" i="10"/>
  <c r="AY368" i="10"/>
  <c r="AT368" i="10"/>
  <c r="AO368" i="10"/>
  <c r="AH368" i="10"/>
  <c r="BV368" i="10"/>
  <c r="AS368" i="10"/>
  <c r="CB368" i="10"/>
  <c r="BQ368" i="10"/>
  <c r="BI368" i="10"/>
  <c r="AX368" i="10"/>
  <c r="AM368" i="10"/>
  <c r="BZ368" i="10"/>
  <c r="BK368" i="10"/>
  <c r="AW368" i="10"/>
  <c r="AQ368" i="10"/>
  <c r="BP368" i="10"/>
  <c r="BB368" i="10"/>
  <c r="AL368" i="10"/>
  <c r="BL368" i="10"/>
  <c r="BX367" i="10"/>
  <c r="AV367" i="10"/>
  <c r="AF368" i="10"/>
  <c r="AE367" i="10"/>
  <c r="B369" i="10"/>
  <c r="CD369" i="10" s="1"/>
  <c r="BJ369" i="10" l="1"/>
  <c r="BX368" i="10"/>
  <c r="AU368" i="10"/>
  <c r="BG368" i="10" s="1"/>
  <c r="BT368" i="10"/>
  <c r="AV368" i="10"/>
  <c r="CB369" i="10"/>
  <c r="BW369" i="10"/>
  <c r="BQ369" i="10"/>
  <c r="BH369" i="10"/>
  <c r="BB369" i="10"/>
  <c r="AX369" i="10"/>
  <c r="AR369" i="10"/>
  <c r="AN369" i="10"/>
  <c r="AI369" i="10"/>
  <c r="CA369" i="10"/>
  <c r="BS369" i="10"/>
  <c r="BN369" i="10"/>
  <c r="BI369" i="10"/>
  <c r="BA369" i="10"/>
  <c r="AT369" i="10"/>
  <c r="AO369" i="10"/>
  <c r="AH369" i="10"/>
  <c r="BT369" i="10" s="1"/>
  <c r="BZ369" i="10"/>
  <c r="BR369" i="10"/>
  <c r="AZ369" i="10"/>
  <c r="AS369" i="10"/>
  <c r="AM369" i="10"/>
  <c r="BP369" i="10"/>
  <c r="AY369" i="10"/>
  <c r="AL369" i="10"/>
  <c r="BY369" i="10"/>
  <c r="BD369" i="10"/>
  <c r="AQ369" i="10"/>
  <c r="BO369" i="10"/>
  <c r="AW369" i="10"/>
  <c r="BK369" i="10"/>
  <c r="AK369" i="10"/>
  <c r="CC369" i="10"/>
  <c r="BV369" i="10"/>
  <c r="AP369" i="10"/>
  <c r="AV369" i="10" s="1"/>
  <c r="BL369" i="10"/>
  <c r="AF369" i="10"/>
  <c r="AE368" i="10"/>
  <c r="B370" i="10"/>
  <c r="CD370" i="10" s="1"/>
  <c r="BJ370" i="10" l="1"/>
  <c r="BX369" i="10"/>
  <c r="CC370" i="10"/>
  <c r="BY370" i="10"/>
  <c r="BR370" i="10"/>
  <c r="BN370" i="10"/>
  <c r="BI370" i="10"/>
  <c r="AY370" i="10"/>
  <c r="AS370" i="10"/>
  <c r="AO370" i="10"/>
  <c r="AK370" i="10"/>
  <c r="BW370" i="10"/>
  <c r="BP370" i="10"/>
  <c r="AX370" i="10"/>
  <c r="AQ370" i="10"/>
  <c r="AL370" i="10"/>
  <c r="CB370" i="10"/>
  <c r="BV370" i="10"/>
  <c r="BO370" i="10"/>
  <c r="BH370" i="10"/>
  <c r="BB370" i="10"/>
  <c r="AW370" i="10"/>
  <c r="AP370" i="10"/>
  <c r="BU370" i="10" s="1"/>
  <c r="AI370" i="10"/>
  <c r="BQ370" i="10"/>
  <c r="BD370" i="10"/>
  <c r="AT370" i="10"/>
  <c r="AH370" i="10"/>
  <c r="BX370" i="10" s="1"/>
  <c r="BZ370" i="10"/>
  <c r="BK370" i="10"/>
  <c r="BA370" i="10"/>
  <c r="AN370" i="10"/>
  <c r="AR370" i="10"/>
  <c r="AM370" i="10"/>
  <c r="BS370" i="10"/>
  <c r="AZ370" i="10"/>
  <c r="CA370" i="10"/>
  <c r="BL370" i="10"/>
  <c r="AU369" i="10"/>
  <c r="BG369" i="10" s="1"/>
  <c r="BU369" i="10"/>
  <c r="AF370" i="10"/>
  <c r="AE369" i="10"/>
  <c r="B371" i="10"/>
  <c r="CD371" i="10" s="1"/>
  <c r="BJ371" i="10" l="1"/>
  <c r="BT370" i="10"/>
  <c r="AV370" i="10"/>
  <c r="AU370" i="10"/>
  <c r="BG370" i="10" s="1"/>
  <c r="CC371" i="10"/>
  <c r="BY371" i="10"/>
  <c r="BR371" i="10"/>
  <c r="BN371" i="10"/>
  <c r="BI371" i="10"/>
  <c r="AY371" i="10"/>
  <c r="AT371" i="10"/>
  <c r="AP371" i="10"/>
  <c r="BU371" i="10" s="1"/>
  <c r="AL371" i="10"/>
  <c r="BZ371" i="10"/>
  <c r="BQ371" i="10"/>
  <c r="BK371" i="10"/>
  <c r="BD371" i="10"/>
  <c r="AZ371" i="10"/>
  <c r="AS371" i="10"/>
  <c r="AN371" i="10"/>
  <c r="AH371" i="10"/>
  <c r="BX371" i="10" s="1"/>
  <c r="BW371" i="10"/>
  <c r="BP371" i="10"/>
  <c r="AX371" i="10"/>
  <c r="AR371" i="10"/>
  <c r="AM371" i="10"/>
  <c r="CB371" i="10"/>
  <c r="BO371" i="10"/>
  <c r="AI371" i="10"/>
  <c r="BV371" i="10"/>
  <c r="BH371" i="10"/>
  <c r="BA371" i="10"/>
  <c r="AO371" i="10"/>
  <c r="AQ371" i="10"/>
  <c r="CA371" i="10"/>
  <c r="AK371" i="10"/>
  <c r="BS371" i="10"/>
  <c r="BB371" i="10"/>
  <c r="AW371" i="10"/>
  <c r="BL371" i="10"/>
  <c r="AF371" i="10"/>
  <c r="AE370" i="10"/>
  <c r="B372" i="10"/>
  <c r="CD372" i="10" s="1"/>
  <c r="BJ372" i="10" l="1"/>
  <c r="AV371" i="10"/>
  <c r="AU371" i="10"/>
  <c r="BG371" i="10" s="1"/>
  <c r="CC372" i="10"/>
  <c r="BY372" i="10"/>
  <c r="BQ372" i="10"/>
  <c r="BH372" i="10"/>
  <c r="BB372" i="10"/>
  <c r="AX372" i="10"/>
  <c r="AT372" i="10"/>
  <c r="AP372" i="10"/>
  <c r="BU372" i="10" s="1"/>
  <c r="AL372" i="10"/>
  <c r="CB372" i="10"/>
  <c r="BW372" i="10"/>
  <c r="BR372" i="10"/>
  <c r="AZ372" i="10"/>
  <c r="AO372" i="10"/>
  <c r="AI372" i="10"/>
  <c r="CA372" i="10"/>
  <c r="BV372" i="10"/>
  <c r="BP372" i="10"/>
  <c r="BK372" i="10"/>
  <c r="BD372" i="10"/>
  <c r="AY372" i="10"/>
  <c r="AS372" i="10"/>
  <c r="AN372" i="10"/>
  <c r="AH372" i="10"/>
  <c r="BT372" i="10" s="1"/>
  <c r="AR372" i="10"/>
  <c r="BZ372" i="10"/>
  <c r="BO372" i="10"/>
  <c r="BI372" i="10"/>
  <c r="AW372" i="10"/>
  <c r="AM372" i="10"/>
  <c r="BN372" i="10"/>
  <c r="AK372" i="10"/>
  <c r="BA372" i="10"/>
  <c r="AQ372" i="10"/>
  <c r="BS372" i="10"/>
  <c r="BL372" i="10"/>
  <c r="BT371" i="10"/>
  <c r="AF372" i="10"/>
  <c r="AE371" i="10"/>
  <c r="B373" i="10"/>
  <c r="CD373" i="10" s="1"/>
  <c r="BJ373" i="10" l="1"/>
  <c r="BX372" i="10"/>
  <c r="AV372" i="10"/>
  <c r="AU372" i="10"/>
  <c r="BG372" i="10" s="1"/>
  <c r="CB373" i="10"/>
  <c r="BW373" i="10"/>
  <c r="BR373" i="10"/>
  <c r="BN373" i="10"/>
  <c r="BI373" i="10"/>
  <c r="AY373" i="10"/>
  <c r="AT373" i="10"/>
  <c r="AP373" i="10"/>
  <c r="AV373" i="10" s="1"/>
  <c r="AL373" i="10"/>
  <c r="CC373" i="10"/>
  <c r="BV373" i="10"/>
  <c r="BP373" i="10"/>
  <c r="AX373" i="10"/>
  <c r="AR373" i="10"/>
  <c r="AM373" i="10"/>
  <c r="CA373" i="10"/>
  <c r="BO373" i="10"/>
  <c r="BH373" i="10"/>
  <c r="BB373" i="10"/>
  <c r="AW373" i="10"/>
  <c r="AQ373" i="10"/>
  <c r="AK373" i="10"/>
  <c r="BQ373" i="10"/>
  <c r="BD373" i="10"/>
  <c r="AI373" i="10"/>
  <c r="BY373" i="10"/>
  <c r="BK373" i="10"/>
  <c r="BA373" i="10"/>
  <c r="AO373" i="10"/>
  <c r="AN373" i="10"/>
  <c r="BZ373" i="10"/>
  <c r="AH373" i="10"/>
  <c r="BT373" i="10" s="1"/>
  <c r="AS373" i="10"/>
  <c r="BS373" i="10"/>
  <c r="AZ373" i="10"/>
  <c r="BL373" i="10"/>
  <c r="AF373" i="10"/>
  <c r="AE372" i="10"/>
  <c r="B374" i="10"/>
  <c r="CD374" i="10" s="1"/>
  <c r="BJ374" i="10" l="1"/>
  <c r="CC374" i="10"/>
  <c r="BY374" i="10"/>
  <c r="BR374" i="10"/>
  <c r="BN374" i="10"/>
  <c r="BI374" i="10"/>
  <c r="AY374" i="10"/>
  <c r="AS374" i="10"/>
  <c r="AO374" i="10"/>
  <c r="AK374" i="10"/>
  <c r="BZ374" i="10"/>
  <c r="BQ374" i="10"/>
  <c r="BK374" i="10"/>
  <c r="BD374" i="10"/>
  <c r="AZ374" i="10"/>
  <c r="AR374" i="10"/>
  <c r="AM374" i="10"/>
  <c r="BW374" i="10"/>
  <c r="BP374" i="10"/>
  <c r="AX374" i="10"/>
  <c r="AQ374" i="10"/>
  <c r="AL374" i="10"/>
  <c r="CB374" i="10"/>
  <c r="BO374" i="10"/>
  <c r="AT374" i="10"/>
  <c r="AH374" i="10"/>
  <c r="BX374" i="10" s="1"/>
  <c r="BV374" i="10"/>
  <c r="BH374" i="10"/>
  <c r="BA374" i="10"/>
  <c r="AN374" i="10"/>
  <c r="CA374" i="10"/>
  <c r="AI374" i="10"/>
  <c r="BS374" i="10"/>
  <c r="BB374" i="10"/>
  <c r="AW374" i="10"/>
  <c r="AP374" i="10"/>
  <c r="BU374" i="10" s="1"/>
  <c r="BL374" i="10"/>
  <c r="BX373" i="10"/>
  <c r="AU373" i="10"/>
  <c r="BG373" i="10" s="1"/>
  <c r="BU373" i="10"/>
  <c r="AF374" i="10"/>
  <c r="AE373" i="10"/>
  <c r="B375" i="10"/>
  <c r="CD375" i="10" s="1"/>
  <c r="BJ375" i="10" l="1"/>
  <c r="BT374" i="10"/>
  <c r="CA375" i="10"/>
  <c r="BW375" i="10"/>
  <c r="BQ375" i="10"/>
  <c r="BH375" i="10"/>
  <c r="AY375" i="10"/>
  <c r="AT375" i="10"/>
  <c r="AP375" i="10"/>
  <c r="BU375" i="10" s="1"/>
  <c r="AL375" i="10"/>
  <c r="CC375" i="10"/>
  <c r="BP375" i="10"/>
  <c r="BK375" i="10"/>
  <c r="BA375" i="10"/>
  <c r="AO375" i="10"/>
  <c r="AI375" i="10"/>
  <c r="CB375" i="10"/>
  <c r="BV375" i="10"/>
  <c r="BO375" i="10"/>
  <c r="BD375" i="10"/>
  <c r="AZ375" i="10"/>
  <c r="AS375" i="10"/>
  <c r="AN375" i="10"/>
  <c r="AH375" i="10"/>
  <c r="BX375" i="10" s="1"/>
  <c r="BY375" i="10"/>
  <c r="AR375" i="10"/>
  <c r="BR375" i="10"/>
  <c r="AX375" i="10"/>
  <c r="AM375" i="10"/>
  <c r="BB375" i="10"/>
  <c r="BZ375" i="10"/>
  <c r="BI375" i="10"/>
  <c r="AW375" i="10"/>
  <c r="BN375" i="10"/>
  <c r="AQ375" i="10"/>
  <c r="AK375" i="10"/>
  <c r="BS375" i="10"/>
  <c r="BL375" i="10"/>
  <c r="AU374" i="10"/>
  <c r="BG374" i="10" s="1"/>
  <c r="AV374" i="10"/>
  <c r="AF375" i="10"/>
  <c r="AE374" i="10"/>
  <c r="B376" i="10"/>
  <c r="CD376" i="10" s="1"/>
  <c r="BJ376" i="10" l="1"/>
  <c r="AV375" i="10"/>
  <c r="AU375" i="10"/>
  <c r="BG375" i="10" s="1"/>
  <c r="CA376" i="10"/>
  <c r="BW376" i="10"/>
  <c r="BS376" i="10"/>
  <c r="BO376" i="10"/>
  <c r="BD376" i="10"/>
  <c r="AZ376" i="10"/>
  <c r="AR376" i="10"/>
  <c r="AN376" i="10"/>
  <c r="AI376" i="10"/>
  <c r="CB376" i="10"/>
  <c r="BV376" i="10"/>
  <c r="BQ376" i="10"/>
  <c r="BK376" i="10"/>
  <c r="AX376" i="10"/>
  <c r="AS376" i="10"/>
  <c r="AM376" i="10"/>
  <c r="BZ376" i="10"/>
  <c r="BP376" i="10"/>
  <c r="BI376" i="10"/>
  <c r="BB376" i="10"/>
  <c r="AW376" i="10"/>
  <c r="AQ376" i="10"/>
  <c r="AL376" i="10"/>
  <c r="BH376" i="10"/>
  <c r="AY376" i="10"/>
  <c r="AO376" i="10"/>
  <c r="BY376" i="10"/>
  <c r="BN376" i="10"/>
  <c r="AT376" i="10"/>
  <c r="AH376" i="10"/>
  <c r="BT376" i="10" s="1"/>
  <c r="AK376" i="10"/>
  <c r="BR376" i="10"/>
  <c r="BA376" i="10"/>
  <c r="CC376" i="10"/>
  <c r="AP376" i="10"/>
  <c r="BU376" i="10" s="1"/>
  <c r="BL376" i="10"/>
  <c r="BT375" i="10"/>
  <c r="AF376" i="10"/>
  <c r="AE375" i="10"/>
  <c r="B377" i="10"/>
  <c r="CD377" i="10" s="1"/>
  <c r="BJ377" i="10" l="1"/>
  <c r="AU376" i="10"/>
  <c r="BG376" i="10" s="1"/>
  <c r="AV376" i="10"/>
  <c r="CA377" i="10"/>
  <c r="BV377" i="10"/>
  <c r="BZ377" i="10"/>
  <c r="BP377" i="10"/>
  <c r="BK377" i="10"/>
  <c r="BA377" i="10"/>
  <c r="AW377" i="10"/>
  <c r="AR377" i="10"/>
  <c r="AN377" i="10"/>
  <c r="AI377" i="10"/>
  <c r="BW377" i="10"/>
  <c r="BO377" i="10"/>
  <c r="BI377" i="10"/>
  <c r="AX377" i="10"/>
  <c r="AQ377" i="10"/>
  <c r="AL377" i="10"/>
  <c r="CC377" i="10"/>
  <c r="BS377" i="10"/>
  <c r="BN377" i="10"/>
  <c r="BH377" i="10"/>
  <c r="BB377" i="10"/>
  <c r="AP377" i="10"/>
  <c r="AV377" i="10" s="1"/>
  <c r="AK377" i="10"/>
  <c r="BQ377" i="10"/>
  <c r="BD377" i="10"/>
  <c r="AT377" i="10"/>
  <c r="AH377" i="10"/>
  <c r="BT377" i="10" s="1"/>
  <c r="BY377" i="10"/>
  <c r="AZ377" i="10"/>
  <c r="AO377" i="10"/>
  <c r="BR377" i="10"/>
  <c r="AY377" i="10"/>
  <c r="AS377" i="10"/>
  <c r="CB377" i="10"/>
  <c r="AM377" i="10"/>
  <c r="BL377" i="10"/>
  <c r="BX376" i="10"/>
  <c r="AF377" i="10"/>
  <c r="AE376" i="10"/>
  <c r="B378" i="10"/>
  <c r="CD378" i="10" s="1"/>
  <c r="BJ378" i="10" l="1"/>
  <c r="BX377" i="10"/>
  <c r="CC378" i="10"/>
  <c r="BY378" i="10"/>
  <c r="BR378" i="10"/>
  <c r="BN378" i="10"/>
  <c r="BI378" i="10"/>
  <c r="AY378" i="10"/>
  <c r="AS378" i="10"/>
  <c r="CB378" i="10"/>
  <c r="BW378" i="10"/>
  <c r="BQ378" i="10"/>
  <c r="BH378" i="10"/>
  <c r="BB378" i="10"/>
  <c r="AX378" i="10"/>
  <c r="AR378" i="10"/>
  <c r="AN378" i="10"/>
  <c r="AI378" i="10"/>
  <c r="CA378" i="10"/>
  <c r="BV378" i="10"/>
  <c r="BP378" i="10"/>
  <c r="BK378" i="10"/>
  <c r="BA378" i="10"/>
  <c r="AW378" i="10"/>
  <c r="AQ378" i="10"/>
  <c r="AM378" i="10"/>
  <c r="AH378" i="10"/>
  <c r="BX378" i="10" s="1"/>
  <c r="BS378" i="10"/>
  <c r="AT378" i="10"/>
  <c r="AK378" i="10"/>
  <c r="BO378" i="10"/>
  <c r="BD378" i="10"/>
  <c r="AP378" i="10"/>
  <c r="BU378" i="10" s="1"/>
  <c r="AL378" i="10"/>
  <c r="AZ378" i="10"/>
  <c r="BZ378" i="10"/>
  <c r="AO378" i="10"/>
  <c r="BL378" i="10"/>
  <c r="AU377" i="10"/>
  <c r="BG377" i="10" s="1"/>
  <c r="BU377" i="10"/>
  <c r="AF378" i="10"/>
  <c r="AE377" i="10"/>
  <c r="B379" i="10"/>
  <c r="CD379" i="10" s="1"/>
  <c r="BJ379" i="10" l="1"/>
  <c r="BT378" i="10"/>
  <c r="AV378" i="10"/>
  <c r="AU378" i="10"/>
  <c r="BG378" i="10" s="1"/>
  <c r="CC379" i="10"/>
  <c r="BY379" i="10"/>
  <c r="BR379" i="10"/>
  <c r="BN379" i="10"/>
  <c r="BI379" i="10"/>
  <c r="AY379" i="10"/>
  <c r="AT379" i="10"/>
  <c r="AP379" i="10"/>
  <c r="BU379" i="10" s="1"/>
  <c r="AL379" i="10"/>
  <c r="CB379" i="10"/>
  <c r="BW379" i="10"/>
  <c r="BQ379" i="10"/>
  <c r="BH379" i="10"/>
  <c r="BB379" i="10"/>
  <c r="AX379" i="10"/>
  <c r="AS379" i="10"/>
  <c r="AO379" i="10"/>
  <c r="AK379" i="10"/>
  <c r="CA379" i="10"/>
  <c r="BV379" i="10"/>
  <c r="BP379" i="10"/>
  <c r="BK379" i="10"/>
  <c r="BA379" i="10"/>
  <c r="AW379" i="10"/>
  <c r="AR379" i="10"/>
  <c r="AN379" i="10"/>
  <c r="AI379" i="10"/>
  <c r="BO379" i="10"/>
  <c r="BD379" i="10"/>
  <c r="AQ379" i="10"/>
  <c r="AM379" i="10"/>
  <c r="BZ379" i="10"/>
  <c r="AH379" i="10"/>
  <c r="BX379" i="10" s="1"/>
  <c r="AZ379" i="10"/>
  <c r="BS379" i="10"/>
  <c r="BL379" i="10"/>
  <c r="AF379" i="10"/>
  <c r="AE378" i="10"/>
  <c r="B380" i="10"/>
  <c r="CD380" i="10" s="1"/>
  <c r="BJ380" i="10" l="1"/>
  <c r="CC380" i="10"/>
  <c r="BY380" i="10"/>
  <c r="BQ380" i="10"/>
  <c r="BH380" i="10"/>
  <c r="BB380" i="10"/>
  <c r="AX380" i="10"/>
  <c r="AT380" i="10"/>
  <c r="AP380" i="10"/>
  <c r="BU380" i="10" s="1"/>
  <c r="AL380" i="10"/>
  <c r="CB380" i="10"/>
  <c r="BP380" i="10"/>
  <c r="BK380" i="10"/>
  <c r="BA380" i="10"/>
  <c r="AW380" i="10"/>
  <c r="AS380" i="10"/>
  <c r="AO380" i="10"/>
  <c r="AK380" i="10"/>
  <c r="CA380" i="10"/>
  <c r="BW380" i="10"/>
  <c r="BS380" i="10"/>
  <c r="BO380" i="10"/>
  <c r="BD380" i="10"/>
  <c r="AZ380" i="10"/>
  <c r="AR380" i="10"/>
  <c r="AN380" i="10"/>
  <c r="AI380" i="10"/>
  <c r="BN380" i="10"/>
  <c r="AM380" i="10"/>
  <c r="BZ380" i="10"/>
  <c r="AY380" i="10"/>
  <c r="AH380" i="10"/>
  <c r="BT380" i="10" s="1"/>
  <c r="BV380" i="10"/>
  <c r="BR380" i="10"/>
  <c r="AQ380" i="10"/>
  <c r="BI380" i="10"/>
  <c r="BL380" i="10"/>
  <c r="AV379" i="10"/>
  <c r="AU379" i="10"/>
  <c r="BG379" i="10" s="1"/>
  <c r="BT379" i="10"/>
  <c r="AF380" i="10"/>
  <c r="AE379" i="10"/>
  <c r="B381" i="10"/>
  <c r="CD381" i="10" s="1"/>
  <c r="BJ381" i="10" l="1"/>
  <c r="AV380" i="10"/>
  <c r="BX380" i="10"/>
  <c r="CB381" i="10"/>
  <c r="BW381" i="10"/>
  <c r="BR381" i="10"/>
  <c r="BN381" i="10"/>
  <c r="BI381" i="10"/>
  <c r="AY381" i="10"/>
  <c r="AT381" i="10"/>
  <c r="AP381" i="10"/>
  <c r="AV381" i="10" s="1"/>
  <c r="AL381" i="10"/>
  <c r="CA381" i="10"/>
  <c r="BV381" i="10"/>
  <c r="BQ381" i="10"/>
  <c r="BH381" i="10"/>
  <c r="BB381" i="10"/>
  <c r="AX381" i="10"/>
  <c r="AS381" i="10"/>
  <c r="AO381" i="10"/>
  <c r="AK381" i="10"/>
  <c r="BZ381" i="10"/>
  <c r="BP381" i="10"/>
  <c r="BK381" i="10"/>
  <c r="BA381" i="10"/>
  <c r="AW381" i="10"/>
  <c r="AR381" i="10"/>
  <c r="AN381" i="10"/>
  <c r="AI381" i="10"/>
  <c r="BY381" i="10"/>
  <c r="AZ381" i="10"/>
  <c r="AH381" i="10"/>
  <c r="BT381" i="10" s="1"/>
  <c r="BS381" i="10"/>
  <c r="CC381" i="10"/>
  <c r="BD381" i="10"/>
  <c r="AQ381" i="10"/>
  <c r="BO381" i="10"/>
  <c r="AM381" i="10"/>
  <c r="BL381" i="10"/>
  <c r="AU380" i="10"/>
  <c r="BG380" i="10" s="1"/>
  <c r="AF381" i="10"/>
  <c r="AE380" i="10"/>
  <c r="B382" i="10"/>
  <c r="CD382" i="10" s="1"/>
  <c r="BJ382" i="10" l="1"/>
  <c r="AU381" i="10"/>
  <c r="BG381" i="10" s="1"/>
  <c r="BU381" i="10"/>
  <c r="CC382" i="10"/>
  <c r="BY382" i="10"/>
  <c r="BR382" i="10"/>
  <c r="BN382" i="10"/>
  <c r="BI382" i="10"/>
  <c r="AY382" i="10"/>
  <c r="AS382" i="10"/>
  <c r="AO382" i="10"/>
  <c r="AK382" i="10"/>
  <c r="CB382" i="10"/>
  <c r="BW382" i="10"/>
  <c r="BQ382" i="10"/>
  <c r="BH382" i="10"/>
  <c r="BB382" i="10"/>
  <c r="AX382" i="10"/>
  <c r="AR382" i="10"/>
  <c r="AN382" i="10"/>
  <c r="AI382" i="10"/>
  <c r="CA382" i="10"/>
  <c r="BV382" i="10"/>
  <c r="BP382" i="10"/>
  <c r="BK382" i="10"/>
  <c r="BA382" i="10"/>
  <c r="AW382" i="10"/>
  <c r="AQ382" i="10"/>
  <c r="AM382" i="10"/>
  <c r="AH382" i="10"/>
  <c r="BX382" i="10" s="1"/>
  <c r="BS382" i="10"/>
  <c r="AT382" i="10"/>
  <c r="BO382" i="10"/>
  <c r="BD382" i="10"/>
  <c r="AP382" i="10"/>
  <c r="BU382" i="10" s="1"/>
  <c r="AZ382" i="10"/>
  <c r="BZ382" i="10"/>
  <c r="AL382" i="10"/>
  <c r="BL382" i="10"/>
  <c r="BX381" i="10"/>
  <c r="AF382" i="10"/>
  <c r="AE381" i="10"/>
  <c r="B383" i="10"/>
  <c r="CD383" i="10" s="1"/>
  <c r="BJ383" i="10" l="1"/>
  <c r="BT382" i="10"/>
  <c r="AV382" i="10"/>
  <c r="CA383" i="10"/>
  <c r="BW383" i="10"/>
  <c r="BQ383" i="10"/>
  <c r="BH383" i="10"/>
  <c r="AY383" i="10"/>
  <c r="AT383" i="10"/>
  <c r="AP383" i="10"/>
  <c r="BU383" i="10" s="1"/>
  <c r="AL383" i="10"/>
  <c r="BZ383" i="10"/>
  <c r="BV383" i="10"/>
  <c r="BP383" i="10"/>
  <c r="BK383" i="10"/>
  <c r="BB383" i="10"/>
  <c r="AX383" i="10"/>
  <c r="AS383" i="10"/>
  <c r="AO383" i="10"/>
  <c r="AK383" i="10"/>
  <c r="CC383" i="10"/>
  <c r="BY383" i="10"/>
  <c r="BS383" i="10"/>
  <c r="BO383" i="10"/>
  <c r="BA383" i="10"/>
  <c r="AW383" i="10"/>
  <c r="AR383" i="10"/>
  <c r="AN383" i="10"/>
  <c r="AI383" i="10"/>
  <c r="BN383" i="10"/>
  <c r="BD383" i="10"/>
  <c r="AQ383" i="10"/>
  <c r="CB383" i="10"/>
  <c r="AM383" i="10"/>
  <c r="AH383" i="10"/>
  <c r="AZ383" i="10"/>
  <c r="BR383" i="10"/>
  <c r="BI383" i="10"/>
  <c r="BL383" i="10"/>
  <c r="AU382" i="10"/>
  <c r="BG382" i="10" s="1"/>
  <c r="AF383" i="10"/>
  <c r="AE382" i="10"/>
  <c r="B384" i="10"/>
  <c r="CD384" i="10" s="1"/>
  <c r="BJ384" i="10" l="1"/>
  <c r="AV383" i="10"/>
  <c r="AU383" i="10"/>
  <c r="BG383" i="10" s="1"/>
  <c r="CA384" i="10"/>
  <c r="BW384" i="10"/>
  <c r="BS384" i="10"/>
  <c r="BO384" i="10"/>
  <c r="BD384" i="10"/>
  <c r="AZ384" i="10"/>
  <c r="AR384" i="10"/>
  <c r="AN384" i="10"/>
  <c r="AI384" i="10"/>
  <c r="BZ384" i="10"/>
  <c r="BV384" i="10"/>
  <c r="BR384" i="10"/>
  <c r="BN384" i="10"/>
  <c r="BI384" i="10"/>
  <c r="AY384" i="10"/>
  <c r="AQ384" i="10"/>
  <c r="AM384" i="10"/>
  <c r="AH384" i="10"/>
  <c r="BX384" i="10" s="1"/>
  <c r="CC384" i="10"/>
  <c r="BY384" i="10"/>
  <c r="BQ384" i="10"/>
  <c r="BH384" i="10"/>
  <c r="BB384" i="10"/>
  <c r="AX384" i="10"/>
  <c r="AT384" i="10"/>
  <c r="AP384" i="10"/>
  <c r="BU384" i="10" s="1"/>
  <c r="AL384" i="10"/>
  <c r="CB384" i="10"/>
  <c r="BA384" i="10"/>
  <c r="AK384" i="10"/>
  <c r="BK384" i="10"/>
  <c r="AW384" i="10"/>
  <c r="BP384" i="10"/>
  <c r="AS384" i="10"/>
  <c r="AO384" i="10"/>
  <c r="BL384" i="10"/>
  <c r="BT383" i="10"/>
  <c r="BX383" i="10"/>
  <c r="AF384" i="10"/>
  <c r="AE383" i="10"/>
  <c r="B385" i="10"/>
  <c r="CD385" i="10" s="1"/>
  <c r="BJ385" i="10" l="1"/>
  <c r="BT384" i="10"/>
  <c r="AV384" i="10"/>
  <c r="AU384" i="10"/>
  <c r="BG384" i="10" s="1"/>
  <c r="BZ385" i="10"/>
  <c r="BP385" i="10"/>
  <c r="BK385" i="10"/>
  <c r="BA385" i="10"/>
  <c r="AW385" i="10"/>
  <c r="AR385" i="10"/>
  <c r="AN385" i="10"/>
  <c r="AI385" i="10"/>
  <c r="CC385" i="10"/>
  <c r="BY385" i="10"/>
  <c r="BS385" i="10"/>
  <c r="BO385" i="10"/>
  <c r="BD385" i="10"/>
  <c r="AZ385" i="10"/>
  <c r="AQ385" i="10"/>
  <c r="AM385" i="10"/>
  <c r="AH385" i="10"/>
  <c r="BT385" i="10" s="1"/>
  <c r="CB385" i="10"/>
  <c r="BW385" i="10"/>
  <c r="BR385" i="10"/>
  <c r="BN385" i="10"/>
  <c r="BI385" i="10"/>
  <c r="AY385" i="10"/>
  <c r="AT385" i="10"/>
  <c r="AP385" i="10"/>
  <c r="AL385" i="10"/>
  <c r="CA385" i="10"/>
  <c r="BH385" i="10"/>
  <c r="AX385" i="10"/>
  <c r="BV385" i="10"/>
  <c r="AS385" i="10"/>
  <c r="BQ385" i="10"/>
  <c r="AO385" i="10"/>
  <c r="BB385" i="10"/>
  <c r="AK385" i="10"/>
  <c r="BL385" i="10"/>
  <c r="AF385" i="10"/>
  <c r="AE384" i="10"/>
  <c r="B386" i="10"/>
  <c r="CD386" i="10" s="1"/>
  <c r="BJ386" i="10" l="1"/>
  <c r="AU385" i="10"/>
  <c r="BG385" i="10" s="1"/>
  <c r="BU385" i="10"/>
  <c r="CA386" i="10"/>
  <c r="BV386" i="10"/>
  <c r="BP386" i="10"/>
  <c r="BK386" i="10"/>
  <c r="BA386" i="10"/>
  <c r="AW386" i="10"/>
  <c r="AQ386" i="10"/>
  <c r="AM386" i="10"/>
  <c r="AH386" i="10"/>
  <c r="BX386" i="10" s="1"/>
  <c r="BZ386" i="10"/>
  <c r="BS386" i="10"/>
  <c r="BO386" i="10"/>
  <c r="BD386" i="10"/>
  <c r="AZ386" i="10"/>
  <c r="AT386" i="10"/>
  <c r="AP386" i="10"/>
  <c r="BU386" i="10" s="1"/>
  <c r="AL386" i="10"/>
  <c r="CC386" i="10"/>
  <c r="BY386" i="10"/>
  <c r="BR386" i="10"/>
  <c r="BN386" i="10"/>
  <c r="BI386" i="10"/>
  <c r="AY386" i="10"/>
  <c r="AS386" i="10"/>
  <c r="AO386" i="10"/>
  <c r="AK386" i="10"/>
  <c r="CB386" i="10"/>
  <c r="BH386" i="10"/>
  <c r="AX386" i="10"/>
  <c r="BW386" i="10"/>
  <c r="AR386" i="10"/>
  <c r="BQ386" i="10"/>
  <c r="AN386" i="10"/>
  <c r="AI386" i="10"/>
  <c r="BB386" i="10"/>
  <c r="BL386" i="10"/>
  <c r="BX385" i="10"/>
  <c r="AV385" i="10"/>
  <c r="AF386" i="10"/>
  <c r="AE385" i="10"/>
  <c r="B387" i="10"/>
  <c r="CD387" i="10" s="1"/>
  <c r="AV386" i="10" l="1"/>
  <c r="BJ387" i="10"/>
  <c r="AU386" i="10"/>
  <c r="BG386" i="10" s="1"/>
  <c r="BT386" i="10"/>
  <c r="CA387" i="10"/>
  <c r="BV387" i="10"/>
  <c r="BP387" i="10"/>
  <c r="BK387" i="10"/>
  <c r="BA387" i="10"/>
  <c r="AW387" i="10"/>
  <c r="AR387" i="10"/>
  <c r="AN387" i="10"/>
  <c r="AI387" i="10"/>
  <c r="BZ387" i="10"/>
  <c r="BS387" i="10"/>
  <c r="BO387" i="10"/>
  <c r="BD387" i="10"/>
  <c r="AZ387" i="10"/>
  <c r="AQ387" i="10"/>
  <c r="AM387" i="10"/>
  <c r="AH387" i="10"/>
  <c r="BX387" i="10" s="1"/>
  <c r="CC387" i="10"/>
  <c r="BY387" i="10"/>
  <c r="BR387" i="10"/>
  <c r="BN387" i="10"/>
  <c r="BI387" i="10"/>
  <c r="AY387" i="10"/>
  <c r="AT387" i="10"/>
  <c r="AP387" i="10"/>
  <c r="BU387" i="10" s="1"/>
  <c r="AL387" i="10"/>
  <c r="CB387" i="10"/>
  <c r="BH387" i="10"/>
  <c r="AX387" i="10"/>
  <c r="BW387" i="10"/>
  <c r="AS387" i="10"/>
  <c r="BQ387" i="10"/>
  <c r="AO387" i="10"/>
  <c r="BB387" i="10"/>
  <c r="AK387" i="10"/>
  <c r="BL387" i="10"/>
  <c r="AF387" i="10"/>
  <c r="AE386" i="10"/>
  <c r="B388" i="10"/>
  <c r="CD388" i="10" s="1"/>
  <c r="BJ388" i="10" l="1"/>
  <c r="AV387" i="10"/>
  <c r="AU387" i="10"/>
  <c r="BG387" i="10" s="1"/>
  <c r="CA388" i="10"/>
  <c r="BW388" i="10"/>
  <c r="BS388" i="10"/>
  <c r="BO388" i="10"/>
  <c r="BD388" i="10"/>
  <c r="AZ388" i="10"/>
  <c r="AR388" i="10"/>
  <c r="AN388" i="10"/>
  <c r="AI388" i="10"/>
  <c r="BZ388" i="10"/>
  <c r="BV388" i="10"/>
  <c r="BR388" i="10"/>
  <c r="BN388" i="10"/>
  <c r="BI388" i="10"/>
  <c r="AY388" i="10"/>
  <c r="AQ388" i="10"/>
  <c r="AM388" i="10"/>
  <c r="AH388" i="10"/>
  <c r="BT388" i="10" s="1"/>
  <c r="CC388" i="10"/>
  <c r="BY388" i="10"/>
  <c r="BQ388" i="10"/>
  <c r="BH388" i="10"/>
  <c r="BB388" i="10"/>
  <c r="AX388" i="10"/>
  <c r="AT388" i="10"/>
  <c r="AP388" i="10"/>
  <c r="BU388" i="10" s="1"/>
  <c r="AL388" i="10"/>
  <c r="BK388" i="10"/>
  <c r="AW388" i="10"/>
  <c r="AS388" i="10"/>
  <c r="BP388" i="10"/>
  <c r="AO388" i="10"/>
  <c r="AK388" i="10"/>
  <c r="CB388" i="10"/>
  <c r="BA388" i="10"/>
  <c r="BL388" i="10"/>
  <c r="BT387" i="10"/>
  <c r="AF388" i="10"/>
  <c r="AE387" i="10"/>
  <c r="B389" i="10"/>
  <c r="CD389" i="10" s="1"/>
  <c r="BJ389" i="10" l="1"/>
  <c r="BX388" i="10"/>
  <c r="AV388" i="10"/>
  <c r="AU388" i="10"/>
  <c r="BG388" i="10" s="1"/>
  <c r="BZ389" i="10"/>
  <c r="BP389" i="10"/>
  <c r="BK389" i="10"/>
  <c r="BA389" i="10"/>
  <c r="AW389" i="10"/>
  <c r="AR389" i="10"/>
  <c r="AN389" i="10"/>
  <c r="AI389" i="10"/>
  <c r="CC389" i="10"/>
  <c r="BY389" i="10"/>
  <c r="BS389" i="10"/>
  <c r="BO389" i="10"/>
  <c r="BD389" i="10"/>
  <c r="AZ389" i="10"/>
  <c r="AQ389" i="10"/>
  <c r="AM389" i="10"/>
  <c r="AH389" i="10"/>
  <c r="BT389" i="10" s="1"/>
  <c r="CB389" i="10"/>
  <c r="BW389" i="10"/>
  <c r="BR389" i="10"/>
  <c r="BN389" i="10"/>
  <c r="BI389" i="10"/>
  <c r="AY389" i="10"/>
  <c r="AT389" i="10"/>
  <c r="AP389" i="10"/>
  <c r="AL389" i="10"/>
  <c r="BV389" i="10"/>
  <c r="AS389" i="10"/>
  <c r="BQ389" i="10"/>
  <c r="AO389" i="10"/>
  <c r="BB389" i="10"/>
  <c r="AK389" i="10"/>
  <c r="AX389" i="10"/>
  <c r="BH389" i="10"/>
  <c r="CA389" i="10"/>
  <c r="BL389" i="10"/>
  <c r="AF389" i="10"/>
  <c r="AE388" i="10"/>
  <c r="B390" i="10"/>
  <c r="CD390" i="10" s="1"/>
  <c r="BJ390" i="10" l="1"/>
  <c r="AU389" i="10"/>
  <c r="BG389" i="10" s="1"/>
  <c r="BU389" i="10"/>
  <c r="CA390" i="10"/>
  <c r="BV390" i="10"/>
  <c r="BP390" i="10"/>
  <c r="BK390" i="10"/>
  <c r="BA390" i="10"/>
  <c r="AW390" i="10"/>
  <c r="AQ390" i="10"/>
  <c r="AM390" i="10"/>
  <c r="AH390" i="10"/>
  <c r="BT390" i="10" s="1"/>
  <c r="BZ390" i="10"/>
  <c r="BS390" i="10"/>
  <c r="BO390" i="10"/>
  <c r="BD390" i="10"/>
  <c r="AZ390" i="10"/>
  <c r="AT390" i="10"/>
  <c r="AP390" i="10"/>
  <c r="BU390" i="10" s="1"/>
  <c r="AL390" i="10"/>
  <c r="CC390" i="10"/>
  <c r="BY390" i="10"/>
  <c r="BR390" i="10"/>
  <c r="BN390" i="10"/>
  <c r="BI390" i="10"/>
  <c r="AY390" i="10"/>
  <c r="AS390" i="10"/>
  <c r="AO390" i="10"/>
  <c r="AK390" i="10"/>
  <c r="BW390" i="10"/>
  <c r="AR390" i="10"/>
  <c r="BQ390" i="10"/>
  <c r="AN390" i="10"/>
  <c r="BB390" i="10"/>
  <c r="AI390" i="10"/>
  <c r="AX390" i="10"/>
  <c r="CB390" i="10"/>
  <c r="BH390" i="10"/>
  <c r="BL390" i="10"/>
  <c r="BX389" i="10"/>
  <c r="AV389" i="10"/>
  <c r="AF390" i="10"/>
  <c r="AE389" i="10"/>
  <c r="B391" i="10"/>
  <c r="CD391" i="10" s="1"/>
  <c r="BJ391" i="10" l="1"/>
  <c r="BX390" i="10"/>
  <c r="AV390" i="10"/>
  <c r="AU390" i="10"/>
  <c r="BG390" i="10" s="1"/>
  <c r="CC391" i="10"/>
  <c r="BY391" i="10"/>
  <c r="BS391" i="10"/>
  <c r="BO391" i="10"/>
  <c r="BA391" i="10"/>
  <c r="AW391" i="10"/>
  <c r="AR391" i="10"/>
  <c r="AN391" i="10"/>
  <c r="AI391" i="10"/>
  <c r="CB391" i="10"/>
  <c r="BR391" i="10"/>
  <c r="BN391" i="10"/>
  <c r="BI391" i="10"/>
  <c r="BD391" i="10"/>
  <c r="AZ391" i="10"/>
  <c r="AQ391" i="10"/>
  <c r="AM391" i="10"/>
  <c r="AH391" i="10"/>
  <c r="BX391" i="10" s="1"/>
  <c r="CA391" i="10"/>
  <c r="BW391" i="10"/>
  <c r="BQ391" i="10"/>
  <c r="BH391" i="10"/>
  <c r="AY391" i="10"/>
  <c r="AT391" i="10"/>
  <c r="AP391" i="10"/>
  <c r="BU391" i="10" s="1"/>
  <c r="AL391" i="10"/>
  <c r="BP391" i="10"/>
  <c r="AS391" i="10"/>
  <c r="AO391" i="10"/>
  <c r="BZ391" i="10"/>
  <c r="BK391" i="10"/>
  <c r="BB391" i="10"/>
  <c r="AK391" i="10"/>
  <c r="AX391" i="10"/>
  <c r="BV391" i="10"/>
  <c r="BL391" i="10"/>
  <c r="AF391" i="10"/>
  <c r="AE390" i="10"/>
  <c r="B392" i="10"/>
  <c r="CD392" i="10" s="1"/>
  <c r="BJ392" i="10" l="1"/>
  <c r="CC392" i="10"/>
  <c r="BY392" i="10"/>
  <c r="BQ392" i="10"/>
  <c r="BH392" i="10"/>
  <c r="BB392" i="10"/>
  <c r="AX392" i="10"/>
  <c r="AT392" i="10"/>
  <c r="AP392" i="10"/>
  <c r="BU392" i="10" s="1"/>
  <c r="AL392" i="10"/>
  <c r="CB392" i="10"/>
  <c r="BP392" i="10"/>
  <c r="BK392" i="10"/>
  <c r="BA392" i="10"/>
  <c r="AW392" i="10"/>
  <c r="AS392" i="10"/>
  <c r="AO392" i="10"/>
  <c r="AK392" i="10"/>
  <c r="CA392" i="10"/>
  <c r="BW392" i="10"/>
  <c r="BS392" i="10"/>
  <c r="BO392" i="10"/>
  <c r="BD392" i="10"/>
  <c r="AZ392" i="10"/>
  <c r="AR392" i="10"/>
  <c r="AN392" i="10"/>
  <c r="AI392" i="10"/>
  <c r="BN392" i="10"/>
  <c r="AM392" i="10"/>
  <c r="BZ392" i="10"/>
  <c r="AY392" i="10"/>
  <c r="AH392" i="10"/>
  <c r="BT392" i="10" s="1"/>
  <c r="BV392" i="10"/>
  <c r="BI392" i="10"/>
  <c r="BR392" i="10"/>
  <c r="AQ392" i="10"/>
  <c r="BL392" i="10"/>
  <c r="AV391" i="10"/>
  <c r="AU391" i="10"/>
  <c r="BG391" i="10" s="1"/>
  <c r="BT391" i="10"/>
  <c r="AF392" i="10"/>
  <c r="AE391" i="10"/>
  <c r="B393" i="10"/>
  <c r="CD393" i="10" s="1"/>
  <c r="BJ393" i="10" l="1"/>
  <c r="AV392" i="10"/>
  <c r="BX392" i="10"/>
  <c r="CC393" i="10"/>
  <c r="BY393" i="10"/>
  <c r="BQ393" i="10"/>
  <c r="BH393" i="10"/>
  <c r="BB393" i="10"/>
  <c r="AX393" i="10"/>
  <c r="AT393" i="10"/>
  <c r="AP393" i="10"/>
  <c r="BU393" i="10" s="1"/>
  <c r="AL393" i="10"/>
  <c r="CB393" i="10"/>
  <c r="BP393" i="10"/>
  <c r="BK393" i="10"/>
  <c r="BA393" i="10"/>
  <c r="AW393" i="10"/>
  <c r="AS393" i="10"/>
  <c r="AO393" i="10"/>
  <c r="AK393" i="10"/>
  <c r="CA393" i="10"/>
  <c r="BW393" i="10"/>
  <c r="BS393" i="10"/>
  <c r="BO393" i="10"/>
  <c r="BD393" i="10"/>
  <c r="AZ393" i="10"/>
  <c r="AR393" i="10"/>
  <c r="AN393" i="10"/>
  <c r="AI393" i="10"/>
  <c r="BZ393" i="10"/>
  <c r="AY393" i="10"/>
  <c r="AH393" i="10"/>
  <c r="BV393" i="10"/>
  <c r="BI393" i="10"/>
  <c r="BR393" i="10"/>
  <c r="AQ393" i="10"/>
  <c r="BN393" i="10"/>
  <c r="AM393" i="10"/>
  <c r="BL393" i="10"/>
  <c r="AU392" i="10"/>
  <c r="BG392" i="10" s="1"/>
  <c r="AF393" i="10"/>
  <c r="AE392" i="10"/>
  <c r="B394" i="10"/>
  <c r="CD394" i="10" s="1"/>
  <c r="BJ394" i="10" l="1"/>
  <c r="AU393" i="10"/>
  <c r="BG393" i="10" s="1"/>
  <c r="AV393" i="10"/>
  <c r="BZ394" i="10"/>
  <c r="BS394" i="10"/>
  <c r="BO394" i="10"/>
  <c r="BD394" i="10"/>
  <c r="AZ394" i="10"/>
  <c r="AT394" i="10"/>
  <c r="AP394" i="10"/>
  <c r="BU394" i="10" s="1"/>
  <c r="AL394" i="10"/>
  <c r="CC394" i="10"/>
  <c r="BY394" i="10"/>
  <c r="BR394" i="10"/>
  <c r="BN394" i="10"/>
  <c r="BI394" i="10"/>
  <c r="AY394" i="10"/>
  <c r="AS394" i="10"/>
  <c r="AO394" i="10"/>
  <c r="AK394" i="10"/>
  <c r="CB394" i="10"/>
  <c r="BW394" i="10"/>
  <c r="BQ394" i="10"/>
  <c r="BH394" i="10"/>
  <c r="BB394" i="10"/>
  <c r="AX394" i="10"/>
  <c r="AR394" i="10"/>
  <c r="AN394" i="10"/>
  <c r="AI394" i="10"/>
  <c r="CA394" i="10"/>
  <c r="BK394" i="10"/>
  <c r="AW394" i="10"/>
  <c r="BV394" i="10"/>
  <c r="AQ394" i="10"/>
  <c r="BP394" i="10"/>
  <c r="AM394" i="10"/>
  <c r="AH394" i="10"/>
  <c r="BT394" i="10" s="1"/>
  <c r="BA394" i="10"/>
  <c r="BL394" i="10"/>
  <c r="BT393" i="10"/>
  <c r="BX393" i="10"/>
  <c r="AF394" i="10"/>
  <c r="AE393" i="10"/>
  <c r="B395" i="10"/>
  <c r="CD395" i="10" s="1"/>
  <c r="BJ395" i="10" l="1"/>
  <c r="BX394" i="10"/>
  <c r="AV394" i="10"/>
  <c r="AU394" i="10"/>
  <c r="BG394" i="10" s="1"/>
  <c r="BZ395" i="10"/>
  <c r="BP395" i="10"/>
  <c r="BK395" i="10"/>
  <c r="BA395" i="10"/>
  <c r="AW395" i="10"/>
  <c r="AQ395" i="10"/>
  <c r="AM395" i="10"/>
  <c r="AH395" i="10"/>
  <c r="BT395" i="10" s="1"/>
  <c r="CC395" i="10"/>
  <c r="BY395" i="10"/>
  <c r="BS395" i="10"/>
  <c r="BO395" i="10"/>
  <c r="BD395" i="10"/>
  <c r="AZ395" i="10"/>
  <c r="AT395" i="10"/>
  <c r="AP395" i="10"/>
  <c r="BU395" i="10" s="1"/>
  <c r="AL395" i="10"/>
  <c r="CB395" i="10"/>
  <c r="BW395" i="10"/>
  <c r="BR395" i="10"/>
  <c r="BN395" i="10"/>
  <c r="BI395" i="10"/>
  <c r="AY395" i="10"/>
  <c r="AS395" i="10"/>
  <c r="AO395" i="10"/>
  <c r="AK395" i="10"/>
  <c r="CA395" i="10"/>
  <c r="BH395" i="10"/>
  <c r="AX395" i="10"/>
  <c r="BV395" i="10"/>
  <c r="AR395" i="10"/>
  <c r="BQ395" i="10"/>
  <c r="AN395" i="10"/>
  <c r="BB395" i="10"/>
  <c r="AI395" i="10"/>
  <c r="BL395" i="10"/>
  <c r="AF395" i="10"/>
  <c r="AE394" i="10"/>
  <c r="B396" i="10"/>
  <c r="CD396" i="10" s="1"/>
  <c r="BJ396" i="10" l="1"/>
  <c r="AV395" i="10"/>
  <c r="BX395" i="10"/>
  <c r="CB396" i="10"/>
  <c r="BP396" i="10"/>
  <c r="BK396" i="10"/>
  <c r="BZ396" i="10"/>
  <c r="BO396" i="10"/>
  <c r="BI396" i="10"/>
  <c r="AY396" i="10"/>
  <c r="AQ396" i="10"/>
  <c r="AM396" i="10"/>
  <c r="AH396" i="10"/>
  <c r="BX396" i="10" s="1"/>
  <c r="BY396" i="10"/>
  <c r="BS396" i="10"/>
  <c r="BN396" i="10"/>
  <c r="BH396" i="10"/>
  <c r="BB396" i="10"/>
  <c r="AX396" i="10"/>
  <c r="AT396" i="10"/>
  <c r="AP396" i="10"/>
  <c r="BU396" i="10" s="1"/>
  <c r="AL396" i="10"/>
  <c r="CC396" i="10"/>
  <c r="BW396" i="10"/>
  <c r="BR396" i="10"/>
  <c r="BA396" i="10"/>
  <c r="AW396" i="10"/>
  <c r="AS396" i="10"/>
  <c r="AO396" i="10"/>
  <c r="AK396" i="10"/>
  <c r="BV396" i="10"/>
  <c r="BQ396" i="10"/>
  <c r="BD396" i="10"/>
  <c r="AR396" i="10"/>
  <c r="AN396" i="10"/>
  <c r="CA396" i="10"/>
  <c r="AI396" i="10"/>
  <c r="AZ396" i="10"/>
  <c r="BL396" i="10"/>
  <c r="AU395" i="10"/>
  <c r="BG395" i="10" s="1"/>
  <c r="AF396" i="10"/>
  <c r="AE395" i="10"/>
  <c r="B397" i="10"/>
  <c r="CD397" i="10" s="1"/>
  <c r="BJ397" i="10" l="1"/>
  <c r="AV396" i="10"/>
  <c r="AU396" i="10"/>
  <c r="BG396" i="10" s="1"/>
  <c r="CB397" i="10"/>
  <c r="BP397" i="10"/>
  <c r="BK397" i="10"/>
  <c r="BA397" i="10"/>
  <c r="AW397" i="10"/>
  <c r="AS397" i="10"/>
  <c r="AO397" i="10"/>
  <c r="AK397" i="10"/>
  <c r="CC397" i="10"/>
  <c r="BW397" i="10"/>
  <c r="BR397" i="10"/>
  <c r="AZ397" i="10"/>
  <c r="AP397" i="10"/>
  <c r="BU397" i="10" s="1"/>
  <c r="AI397" i="10"/>
  <c r="CA397" i="10"/>
  <c r="BV397" i="10"/>
  <c r="BQ397" i="10"/>
  <c r="BD397" i="10"/>
  <c r="AY397" i="10"/>
  <c r="AT397" i="10"/>
  <c r="AN397" i="10"/>
  <c r="AH397" i="10"/>
  <c r="BT397" i="10" s="1"/>
  <c r="BZ397" i="10"/>
  <c r="BO397" i="10"/>
  <c r="BI397" i="10"/>
  <c r="AX397" i="10"/>
  <c r="AR397" i="10"/>
  <c r="AM397" i="10"/>
  <c r="BY397" i="10"/>
  <c r="BH397" i="10"/>
  <c r="BS397" i="10"/>
  <c r="AQ397" i="10"/>
  <c r="BN397" i="10"/>
  <c r="AL397" i="10"/>
  <c r="BB397" i="10"/>
  <c r="BL397" i="10"/>
  <c r="BT396" i="10"/>
  <c r="AF397" i="10"/>
  <c r="AE396" i="10"/>
  <c r="B398" i="10"/>
  <c r="CD398" i="10" s="1"/>
  <c r="BJ398" i="10" l="1"/>
  <c r="AV397" i="10"/>
  <c r="AU397" i="10"/>
  <c r="BG397" i="10" s="1"/>
  <c r="CC398" i="10"/>
  <c r="BY398" i="10"/>
  <c r="BR398" i="10"/>
  <c r="BN398" i="10"/>
  <c r="BI398" i="10"/>
  <c r="AY398" i="10"/>
  <c r="AS398" i="10"/>
  <c r="AO398" i="10"/>
  <c r="AK398" i="10"/>
  <c r="BZ398" i="10"/>
  <c r="BQ398" i="10"/>
  <c r="BK398" i="10"/>
  <c r="BD398" i="10"/>
  <c r="AZ398" i="10"/>
  <c r="AR398" i="10"/>
  <c r="AM398" i="10"/>
  <c r="BW398" i="10"/>
  <c r="BP398" i="10"/>
  <c r="AX398" i="10"/>
  <c r="AQ398" i="10"/>
  <c r="AL398" i="10"/>
  <c r="CB398" i="10"/>
  <c r="BV398" i="10"/>
  <c r="BO398" i="10"/>
  <c r="BH398" i="10"/>
  <c r="BB398" i="10"/>
  <c r="AW398" i="10"/>
  <c r="AP398" i="10"/>
  <c r="BU398" i="10" s="1"/>
  <c r="AI398" i="10"/>
  <c r="BS398" i="10"/>
  <c r="BA398" i="10"/>
  <c r="AT398" i="10"/>
  <c r="AN398" i="10"/>
  <c r="CA398" i="10"/>
  <c r="AH398" i="10"/>
  <c r="BT398" i="10" s="1"/>
  <c r="BL398" i="10"/>
  <c r="BX397" i="10"/>
  <c r="AF398" i="10"/>
  <c r="AE397" i="10"/>
  <c r="B399" i="10"/>
  <c r="CD399" i="10" s="1"/>
  <c r="BJ399" i="10" l="1"/>
  <c r="AV398" i="10"/>
  <c r="BX398" i="10"/>
  <c r="AU398" i="10"/>
  <c r="BG398" i="10" s="1"/>
  <c r="CC399" i="10"/>
  <c r="BY399" i="10"/>
  <c r="BR399" i="10"/>
  <c r="BN399" i="10"/>
  <c r="BI399" i="10"/>
  <c r="AY399" i="10"/>
  <c r="AT399" i="10"/>
  <c r="AP399" i="10"/>
  <c r="BU399" i="10" s="1"/>
  <c r="AL399" i="10"/>
  <c r="CA399" i="10"/>
  <c r="BS399" i="10"/>
  <c r="BA399" i="10"/>
  <c r="AO399" i="10"/>
  <c r="AI399" i="10"/>
  <c r="BZ399" i="10"/>
  <c r="BQ399" i="10"/>
  <c r="BK399" i="10"/>
  <c r="BD399" i="10"/>
  <c r="AZ399" i="10"/>
  <c r="AS399" i="10"/>
  <c r="AN399" i="10"/>
  <c r="AH399" i="10"/>
  <c r="BX399" i="10" s="1"/>
  <c r="BW399" i="10"/>
  <c r="BP399" i="10"/>
  <c r="AX399" i="10"/>
  <c r="AR399" i="10"/>
  <c r="AM399" i="10"/>
  <c r="CB399" i="10"/>
  <c r="BH399" i="10"/>
  <c r="AW399" i="10"/>
  <c r="BV399" i="10"/>
  <c r="AQ399" i="10"/>
  <c r="BO399" i="10"/>
  <c r="AK399" i="10"/>
  <c r="BB399" i="10"/>
  <c r="BL399" i="10"/>
  <c r="AF399" i="10"/>
  <c r="AE398" i="10"/>
  <c r="B400" i="10"/>
  <c r="CD400" i="10" s="1"/>
  <c r="BJ400" i="10" l="1"/>
  <c r="CC400" i="10"/>
  <c r="BY400" i="10"/>
  <c r="BQ400" i="10"/>
  <c r="BH400" i="10"/>
  <c r="BB400" i="10"/>
  <c r="AX400" i="10"/>
  <c r="AT400" i="10"/>
  <c r="AP400" i="10"/>
  <c r="BU400" i="10" s="1"/>
  <c r="AL400" i="10"/>
  <c r="BS400" i="10"/>
  <c r="BN400" i="10"/>
  <c r="BI400" i="10"/>
  <c r="BA400" i="10"/>
  <c r="AQ400" i="10"/>
  <c r="AK400" i="10"/>
  <c r="CB400" i="10"/>
  <c r="BW400" i="10"/>
  <c r="BR400" i="10"/>
  <c r="AZ400" i="10"/>
  <c r="AO400" i="10"/>
  <c r="AI400" i="10"/>
  <c r="CA400" i="10"/>
  <c r="BV400" i="10"/>
  <c r="BP400" i="10"/>
  <c r="BK400" i="10"/>
  <c r="BD400" i="10"/>
  <c r="AY400" i="10"/>
  <c r="AS400" i="10"/>
  <c r="AN400" i="10"/>
  <c r="AH400" i="10"/>
  <c r="BX400" i="10" s="1"/>
  <c r="BO400" i="10"/>
  <c r="AW400" i="10"/>
  <c r="BZ400" i="10"/>
  <c r="AR400" i="10"/>
  <c r="AM400" i="10"/>
  <c r="BL400" i="10"/>
  <c r="AV399" i="10"/>
  <c r="BT399" i="10"/>
  <c r="AU399" i="10"/>
  <c r="BG399" i="10" s="1"/>
  <c r="AF400" i="10"/>
  <c r="AE399" i="10"/>
  <c r="B401" i="10"/>
  <c r="CD401" i="10" s="1"/>
  <c r="BJ401" i="10" l="1"/>
  <c r="BT400" i="10"/>
  <c r="AV400" i="10"/>
  <c r="CC401" i="10"/>
  <c r="BY401" i="10"/>
  <c r="BQ401" i="10"/>
  <c r="BH401" i="10"/>
  <c r="BB401" i="10"/>
  <c r="AX401" i="10"/>
  <c r="AT401" i="10"/>
  <c r="AP401" i="10"/>
  <c r="BU401" i="10" s="1"/>
  <c r="AL401" i="10"/>
  <c r="CA401" i="10"/>
  <c r="BV401" i="10"/>
  <c r="BP401" i="10"/>
  <c r="BK401" i="10"/>
  <c r="BD401" i="10"/>
  <c r="AY401" i="10"/>
  <c r="AS401" i="10"/>
  <c r="AN401" i="10"/>
  <c r="AH401" i="10"/>
  <c r="BZ401" i="10"/>
  <c r="BO401" i="10"/>
  <c r="AW401" i="10"/>
  <c r="AR401" i="10"/>
  <c r="AM401" i="10"/>
  <c r="BS401" i="10"/>
  <c r="BN401" i="10"/>
  <c r="BI401" i="10"/>
  <c r="BA401" i="10"/>
  <c r="AQ401" i="10"/>
  <c r="AK401" i="10"/>
  <c r="CB401" i="10"/>
  <c r="AO401" i="10"/>
  <c r="BW401" i="10"/>
  <c r="AI401" i="10"/>
  <c r="BR401" i="10"/>
  <c r="AZ401" i="10"/>
  <c r="BL401" i="10"/>
  <c r="AU400" i="10"/>
  <c r="BG400" i="10" s="1"/>
  <c r="AF401" i="10"/>
  <c r="AE400" i="10"/>
  <c r="B402" i="10"/>
  <c r="CD402" i="10" s="1"/>
  <c r="BJ402" i="10" l="1"/>
  <c r="AU401" i="10"/>
  <c r="BG401" i="10" s="1"/>
  <c r="AV401" i="10"/>
  <c r="BX401" i="10"/>
  <c r="BT401" i="10"/>
  <c r="BZ402" i="10"/>
  <c r="BS402" i="10"/>
  <c r="BO402" i="10"/>
  <c r="BD402" i="10"/>
  <c r="AZ402" i="10"/>
  <c r="AT402" i="10"/>
  <c r="AP402" i="10"/>
  <c r="BU402" i="10" s="1"/>
  <c r="AL402" i="10"/>
  <c r="CB402" i="10"/>
  <c r="BW402" i="10"/>
  <c r="BQ402" i="10"/>
  <c r="BH402" i="10"/>
  <c r="BB402" i="10"/>
  <c r="AX402" i="10"/>
  <c r="AR402" i="10"/>
  <c r="CC402" i="10"/>
  <c r="BR402" i="10"/>
  <c r="BK402" i="10"/>
  <c r="BA402" i="10"/>
  <c r="AQ402" i="10"/>
  <c r="AK402" i="10"/>
  <c r="CA402" i="10"/>
  <c r="BP402" i="10"/>
  <c r="BI402" i="10"/>
  <c r="AY402" i="10"/>
  <c r="AO402" i="10"/>
  <c r="AI402" i="10"/>
  <c r="BY402" i="10"/>
  <c r="BN402" i="10"/>
  <c r="AW402" i="10"/>
  <c r="AN402" i="10"/>
  <c r="AH402" i="10"/>
  <c r="BT402" i="10" s="1"/>
  <c r="BV402" i="10"/>
  <c r="AS402" i="10"/>
  <c r="AM402" i="10"/>
  <c r="BL402" i="10"/>
  <c r="AF402" i="10"/>
  <c r="AE401" i="10"/>
  <c r="B403" i="10"/>
  <c r="CD403" i="10" s="1"/>
  <c r="BJ403" i="10" l="1"/>
  <c r="AV402" i="10"/>
  <c r="AU402" i="10"/>
  <c r="BG402" i="10" s="1"/>
  <c r="BX402" i="10"/>
  <c r="CC403" i="10"/>
  <c r="BY403" i="10"/>
  <c r="BP403" i="10"/>
  <c r="BK403" i="10"/>
  <c r="BA403" i="10"/>
  <c r="AW403" i="10"/>
  <c r="AQ403" i="10"/>
  <c r="AM403" i="10"/>
  <c r="AH403" i="10"/>
  <c r="BT403" i="10" s="1"/>
  <c r="CA403" i="10"/>
  <c r="BW403" i="10"/>
  <c r="BR403" i="10"/>
  <c r="BN403" i="10"/>
  <c r="BI403" i="10"/>
  <c r="AY403" i="10"/>
  <c r="AS403" i="10"/>
  <c r="AO403" i="10"/>
  <c r="AK403" i="10"/>
  <c r="BO403" i="10"/>
  <c r="AZ403" i="10"/>
  <c r="AP403" i="10"/>
  <c r="BU403" i="10" s="1"/>
  <c r="BV403" i="10"/>
  <c r="BD403" i="10"/>
  <c r="AX403" i="10"/>
  <c r="AN403" i="10"/>
  <c r="CB403" i="10"/>
  <c r="BS403" i="10"/>
  <c r="AT403" i="10"/>
  <c r="AL403" i="10"/>
  <c r="BH403" i="10"/>
  <c r="AR403" i="10"/>
  <c r="BZ403" i="10"/>
  <c r="AI403" i="10"/>
  <c r="BQ403" i="10"/>
  <c r="BB403" i="10"/>
  <c r="BL403" i="10"/>
  <c r="AF403" i="10"/>
  <c r="AE402" i="10"/>
  <c r="B404" i="10"/>
  <c r="CD404" i="10" s="1"/>
  <c r="BJ404" i="10" l="1"/>
  <c r="AU403" i="10"/>
  <c r="BG403" i="10" s="1"/>
  <c r="BX403" i="10"/>
  <c r="AV403" i="10"/>
  <c r="CC404" i="10"/>
  <c r="BY404" i="10"/>
  <c r="BQ404" i="10"/>
  <c r="BH404" i="10"/>
  <c r="BB404" i="10"/>
  <c r="AX404" i="10"/>
  <c r="AT404" i="10"/>
  <c r="AP404" i="10"/>
  <c r="BU404" i="10" s="1"/>
  <c r="AL404" i="10"/>
  <c r="CA404" i="10"/>
  <c r="BW404" i="10"/>
  <c r="BS404" i="10"/>
  <c r="BO404" i="10"/>
  <c r="BD404" i="10"/>
  <c r="AZ404" i="10"/>
  <c r="AR404" i="10"/>
  <c r="AN404" i="10"/>
  <c r="AI404" i="10"/>
  <c r="BZ404" i="10"/>
  <c r="BR404" i="10"/>
  <c r="BK404" i="10"/>
  <c r="BA404" i="10"/>
  <c r="AS404" i="10"/>
  <c r="AK404" i="10"/>
  <c r="BP404" i="10"/>
  <c r="BI404" i="10"/>
  <c r="AY404" i="10"/>
  <c r="AQ404" i="10"/>
  <c r="AH404" i="10"/>
  <c r="BV404" i="10"/>
  <c r="BN404" i="10"/>
  <c r="AW404" i="10"/>
  <c r="AO404" i="10"/>
  <c r="AM404" i="10"/>
  <c r="CB404" i="10"/>
  <c r="BL404" i="10"/>
  <c r="AF404" i="10"/>
  <c r="AE403" i="10"/>
  <c r="B405" i="10"/>
  <c r="CD405" i="10" s="1"/>
  <c r="BJ405" i="10" l="1"/>
  <c r="AU404" i="10"/>
  <c r="BG404" i="10" s="1"/>
  <c r="BT404" i="10"/>
  <c r="BX404" i="10"/>
  <c r="CC405" i="10"/>
  <c r="BY405" i="10"/>
  <c r="BQ405" i="10"/>
  <c r="BH405" i="10"/>
  <c r="BB405" i="10"/>
  <c r="AX405" i="10"/>
  <c r="AT405" i="10"/>
  <c r="AP405" i="10"/>
  <c r="BU405" i="10" s="1"/>
  <c r="AL405" i="10"/>
  <c r="CA405" i="10"/>
  <c r="BW405" i="10"/>
  <c r="BS405" i="10"/>
  <c r="BO405" i="10"/>
  <c r="BD405" i="10"/>
  <c r="AZ405" i="10"/>
  <c r="AR405" i="10"/>
  <c r="AN405" i="10"/>
  <c r="AI405" i="10"/>
  <c r="CB405" i="10"/>
  <c r="AM405" i="10"/>
  <c r="BZ405" i="10"/>
  <c r="BR405" i="10"/>
  <c r="BK405" i="10"/>
  <c r="BA405" i="10"/>
  <c r="AS405" i="10"/>
  <c r="AK405" i="10"/>
  <c r="BP405" i="10"/>
  <c r="BI405" i="10"/>
  <c r="AY405" i="10"/>
  <c r="AQ405" i="10"/>
  <c r="AH405" i="10"/>
  <c r="BT405" i="10" s="1"/>
  <c r="BN405" i="10"/>
  <c r="AW405" i="10"/>
  <c r="AO405" i="10"/>
  <c r="BV405" i="10"/>
  <c r="BL405" i="10"/>
  <c r="AV404" i="10"/>
  <c r="AF405" i="10"/>
  <c r="AE404" i="10"/>
  <c r="B406" i="10"/>
  <c r="CD406" i="10" s="1"/>
  <c r="BJ406" i="10" l="1"/>
  <c r="AU405" i="10"/>
  <c r="BG405" i="10" s="1"/>
  <c r="AV405" i="10"/>
  <c r="BZ406" i="10"/>
  <c r="BS406" i="10"/>
  <c r="BO406" i="10"/>
  <c r="BD406" i="10"/>
  <c r="AZ406" i="10"/>
  <c r="AT406" i="10"/>
  <c r="AP406" i="10"/>
  <c r="BU406" i="10" s="1"/>
  <c r="AL406" i="10"/>
  <c r="CB406" i="10"/>
  <c r="BW406" i="10"/>
  <c r="BQ406" i="10"/>
  <c r="BH406" i="10"/>
  <c r="BB406" i="10"/>
  <c r="AX406" i="10"/>
  <c r="AR406" i="10"/>
  <c r="AN406" i="10"/>
  <c r="AI406" i="10"/>
  <c r="CA406" i="10"/>
  <c r="BP406" i="10"/>
  <c r="BI406" i="10"/>
  <c r="AY406" i="10"/>
  <c r="AO406" i="10"/>
  <c r="BY406" i="10"/>
  <c r="BN406" i="10"/>
  <c r="AW406" i="10"/>
  <c r="AM406" i="10"/>
  <c r="BV406" i="10"/>
  <c r="AS406" i="10"/>
  <c r="AK406" i="10"/>
  <c r="BA406" i="10"/>
  <c r="BK406" i="10"/>
  <c r="AQ406" i="10"/>
  <c r="CC406" i="10"/>
  <c r="AH406" i="10"/>
  <c r="BT406" i="10" s="1"/>
  <c r="BR406" i="10"/>
  <c r="BL406" i="10"/>
  <c r="BX405" i="10"/>
  <c r="AF406" i="10"/>
  <c r="AE405" i="10"/>
  <c r="B407" i="10"/>
  <c r="CD407" i="10" s="1"/>
  <c r="BJ407" i="10" l="1"/>
  <c r="BX406" i="10"/>
  <c r="AV406" i="10"/>
  <c r="AU406" i="10"/>
  <c r="BG406" i="10" s="1"/>
  <c r="CB407" i="10"/>
  <c r="BR407" i="10"/>
  <c r="BN407" i="10"/>
  <c r="BI407" i="10"/>
  <c r="BD407" i="10"/>
  <c r="AZ407" i="10"/>
  <c r="AQ407" i="10"/>
  <c r="AM407" i="10"/>
  <c r="AH407" i="10"/>
  <c r="BX407" i="10" s="1"/>
  <c r="BZ407" i="10"/>
  <c r="BV407" i="10"/>
  <c r="BP407" i="10"/>
  <c r="BK407" i="10"/>
  <c r="BB407" i="10"/>
  <c r="AX407" i="10"/>
  <c r="AS407" i="10"/>
  <c r="AO407" i="10"/>
  <c r="AK407" i="10"/>
  <c r="BY407" i="10"/>
  <c r="BO407" i="10"/>
  <c r="AW407" i="10"/>
  <c r="AN407" i="10"/>
  <c r="BW407" i="10"/>
  <c r="AT407" i="10"/>
  <c r="AL407" i="10"/>
  <c r="CC407" i="10"/>
  <c r="BS407" i="10"/>
  <c r="BA407" i="10"/>
  <c r="AR407" i="10"/>
  <c r="AI407" i="10"/>
  <c r="AY407" i="10"/>
  <c r="BH407" i="10"/>
  <c r="AP407" i="10"/>
  <c r="BU407" i="10" s="1"/>
  <c r="CA407" i="10"/>
  <c r="BQ407" i="10"/>
  <c r="BL407" i="10"/>
  <c r="AF407" i="10"/>
  <c r="AE406" i="10"/>
  <c r="B408" i="10"/>
  <c r="CD408" i="10" s="1"/>
  <c r="BJ408" i="10" l="1"/>
  <c r="AU407" i="10"/>
  <c r="BG407" i="10" s="1"/>
  <c r="CB408" i="10"/>
  <c r="BP408" i="10"/>
  <c r="BK408" i="10"/>
  <c r="BA408" i="10"/>
  <c r="AW408" i="10"/>
  <c r="AS408" i="10"/>
  <c r="AO408" i="10"/>
  <c r="AK408" i="10"/>
  <c r="BZ408" i="10"/>
  <c r="BV408" i="10"/>
  <c r="BR408" i="10"/>
  <c r="BN408" i="10"/>
  <c r="BI408" i="10"/>
  <c r="AY408" i="10"/>
  <c r="AQ408" i="10"/>
  <c r="AM408" i="10"/>
  <c r="AH408" i="10"/>
  <c r="BX408" i="10" s="1"/>
  <c r="BY408" i="10"/>
  <c r="BQ408" i="10"/>
  <c r="BH408" i="10"/>
  <c r="BB408" i="10"/>
  <c r="AT408" i="10"/>
  <c r="AL408" i="10"/>
  <c r="BW408" i="10"/>
  <c r="BO408" i="10"/>
  <c r="AZ408" i="10"/>
  <c r="AR408" i="10"/>
  <c r="AI408" i="10"/>
  <c r="CC408" i="10"/>
  <c r="BD408" i="10"/>
  <c r="AX408" i="10"/>
  <c r="AP408" i="10"/>
  <c r="BU408" i="10" s="1"/>
  <c r="AN408" i="10"/>
  <c r="CA408" i="10"/>
  <c r="BS408" i="10"/>
  <c r="BL408" i="10"/>
  <c r="AV407" i="10"/>
  <c r="BT407" i="10"/>
  <c r="AF408" i="10"/>
  <c r="AE407" i="10"/>
  <c r="B409" i="10"/>
  <c r="CD409" i="10" s="1"/>
  <c r="BJ409" i="10" l="1"/>
  <c r="BT408" i="10"/>
  <c r="CB409" i="10"/>
  <c r="BP409" i="10"/>
  <c r="BK409" i="10"/>
  <c r="BA409" i="10"/>
  <c r="AW409" i="10"/>
  <c r="AS409" i="10"/>
  <c r="AO409" i="10"/>
  <c r="AK409" i="10"/>
  <c r="BZ409" i="10"/>
  <c r="BV409" i="10"/>
  <c r="BR409" i="10"/>
  <c r="BN409" i="10"/>
  <c r="BI409" i="10"/>
  <c r="AY409" i="10"/>
  <c r="AQ409" i="10"/>
  <c r="AM409" i="10"/>
  <c r="AH409" i="10"/>
  <c r="BY409" i="10"/>
  <c r="BQ409" i="10"/>
  <c r="BH409" i="10"/>
  <c r="BB409" i="10"/>
  <c r="AT409" i="10"/>
  <c r="AL409" i="10"/>
  <c r="BW409" i="10"/>
  <c r="BO409" i="10"/>
  <c r="AZ409" i="10"/>
  <c r="AR409" i="10"/>
  <c r="AI409" i="10"/>
  <c r="CC409" i="10"/>
  <c r="BD409" i="10"/>
  <c r="AX409" i="10"/>
  <c r="AP409" i="10"/>
  <c r="BU409" i="10" s="1"/>
  <c r="AN409" i="10"/>
  <c r="CA409" i="10"/>
  <c r="BS409" i="10"/>
  <c r="BL409" i="10"/>
  <c r="AU408" i="10"/>
  <c r="BG408" i="10" s="1"/>
  <c r="AV408" i="10"/>
  <c r="AF409" i="10"/>
  <c r="AE408" i="10"/>
  <c r="B410" i="10"/>
  <c r="CD410" i="10" s="1"/>
  <c r="BJ410" i="10" l="1"/>
  <c r="AV409" i="10"/>
  <c r="CC410" i="10"/>
  <c r="BY410" i="10"/>
  <c r="BR410" i="10"/>
  <c r="BN410" i="10"/>
  <c r="BI410" i="10"/>
  <c r="AY410" i="10"/>
  <c r="AS410" i="10"/>
  <c r="AO410" i="10"/>
  <c r="AK410" i="10"/>
  <c r="CA410" i="10"/>
  <c r="BV410" i="10"/>
  <c r="BP410" i="10"/>
  <c r="BK410" i="10"/>
  <c r="BA410" i="10"/>
  <c r="AW410" i="10"/>
  <c r="AQ410" i="10"/>
  <c r="AM410" i="10"/>
  <c r="AH410" i="10"/>
  <c r="BX410" i="10" s="1"/>
  <c r="BS410" i="10"/>
  <c r="AT410" i="10"/>
  <c r="AL410" i="10"/>
  <c r="CB410" i="10"/>
  <c r="BQ410" i="10"/>
  <c r="BH410" i="10"/>
  <c r="BB410" i="10"/>
  <c r="AR410" i="10"/>
  <c r="AI410" i="10"/>
  <c r="BZ410" i="10"/>
  <c r="BO410" i="10"/>
  <c r="AZ410" i="10"/>
  <c r="AP410" i="10"/>
  <c r="BU410" i="10" s="1"/>
  <c r="AX410" i="10"/>
  <c r="AN410" i="10"/>
  <c r="BD410" i="10"/>
  <c r="BW410" i="10"/>
  <c r="BL410" i="10"/>
  <c r="BT409" i="10"/>
  <c r="BX409" i="10"/>
  <c r="AU409" i="10"/>
  <c r="BG409" i="10" s="1"/>
  <c r="AF410" i="10"/>
  <c r="AE409" i="10"/>
  <c r="B411" i="10"/>
  <c r="CD411" i="10" s="1"/>
  <c r="BJ411" i="10" l="1"/>
  <c r="BT410" i="10"/>
  <c r="AU410" i="10"/>
  <c r="BG410" i="10" s="1"/>
  <c r="AV410" i="10"/>
  <c r="CC411" i="10"/>
  <c r="BY411" i="10"/>
  <c r="BS411" i="10"/>
  <c r="BO411" i="10"/>
  <c r="BD411" i="10"/>
  <c r="AZ411" i="10"/>
  <c r="AT411" i="10"/>
  <c r="AP411" i="10"/>
  <c r="BU411" i="10" s="1"/>
  <c r="AL411" i="10"/>
  <c r="CA411" i="10"/>
  <c r="BV411" i="10"/>
  <c r="BQ411" i="10"/>
  <c r="BH411" i="10"/>
  <c r="BB411" i="10"/>
  <c r="AX411" i="10"/>
  <c r="AR411" i="10"/>
  <c r="AN411" i="10"/>
  <c r="AI411" i="10"/>
  <c r="CB411" i="10"/>
  <c r="BR411" i="10"/>
  <c r="BK411" i="10"/>
  <c r="BA411" i="10"/>
  <c r="AQ411" i="10"/>
  <c r="AH411" i="10"/>
  <c r="BX411" i="10" s="1"/>
  <c r="BZ411" i="10"/>
  <c r="BP411" i="10"/>
  <c r="BI411" i="10"/>
  <c r="AY411" i="10"/>
  <c r="AO411" i="10"/>
  <c r="BW411" i="10"/>
  <c r="BN411" i="10"/>
  <c r="AW411" i="10"/>
  <c r="AM411" i="10"/>
  <c r="AS411" i="10"/>
  <c r="AK411" i="10"/>
  <c r="BL411" i="10"/>
  <c r="AF411" i="10"/>
  <c r="AE410" i="10"/>
  <c r="B412" i="10"/>
  <c r="CD412" i="10" s="1"/>
  <c r="BJ412" i="10" l="1"/>
  <c r="AU411" i="10"/>
  <c r="BG411" i="10" s="1"/>
  <c r="BT411" i="10"/>
  <c r="AV411" i="10"/>
  <c r="CC412" i="10"/>
  <c r="BY412" i="10"/>
  <c r="BQ412" i="10"/>
  <c r="BH412" i="10"/>
  <c r="BB412" i="10"/>
  <c r="AX412" i="10"/>
  <c r="AT412" i="10"/>
  <c r="AP412" i="10"/>
  <c r="BU412" i="10" s="1"/>
  <c r="AL412" i="10"/>
  <c r="CB412" i="10"/>
  <c r="BP412" i="10"/>
  <c r="BK412" i="10"/>
  <c r="CA412" i="10"/>
  <c r="BW412" i="10"/>
  <c r="BS412" i="10"/>
  <c r="BO412" i="10"/>
  <c r="BD412" i="10"/>
  <c r="AZ412" i="10"/>
  <c r="AR412" i="10"/>
  <c r="AN412" i="10"/>
  <c r="AI412" i="10"/>
  <c r="BR412" i="10"/>
  <c r="AW412" i="10"/>
  <c r="AO412" i="10"/>
  <c r="BN412" i="10"/>
  <c r="AM412" i="10"/>
  <c r="BZ412" i="10"/>
  <c r="BA412" i="10"/>
  <c r="AS412" i="10"/>
  <c r="AK412" i="10"/>
  <c r="AH412" i="10"/>
  <c r="BV412" i="10"/>
  <c r="AY412" i="10"/>
  <c r="BI412" i="10"/>
  <c r="AQ412" i="10"/>
  <c r="BL412" i="10"/>
  <c r="AF412" i="10"/>
  <c r="AE411" i="10"/>
  <c r="B413" i="10"/>
  <c r="CD413" i="10" s="1"/>
  <c r="BJ413" i="10" l="1"/>
  <c r="BX412" i="10"/>
  <c r="BT412" i="10"/>
  <c r="AU412" i="10"/>
  <c r="BG412" i="10" s="1"/>
  <c r="AV412" i="10"/>
  <c r="CC413" i="10"/>
  <c r="BY413" i="10"/>
  <c r="BQ413" i="10"/>
  <c r="BH413" i="10"/>
  <c r="BB413" i="10"/>
  <c r="AX413" i="10"/>
  <c r="AT413" i="10"/>
  <c r="AP413" i="10"/>
  <c r="BU413" i="10" s="1"/>
  <c r="AL413" i="10"/>
  <c r="CB413" i="10"/>
  <c r="BP413" i="10"/>
  <c r="BK413" i="10"/>
  <c r="BA413" i="10"/>
  <c r="AW413" i="10"/>
  <c r="AS413" i="10"/>
  <c r="AO413" i="10"/>
  <c r="AK413" i="10"/>
  <c r="CA413" i="10"/>
  <c r="BW413" i="10"/>
  <c r="BS413" i="10"/>
  <c r="BO413" i="10"/>
  <c r="BD413" i="10"/>
  <c r="AZ413" i="10"/>
  <c r="AR413" i="10"/>
  <c r="AN413" i="10"/>
  <c r="AI413" i="10"/>
  <c r="BN413" i="10"/>
  <c r="AM413" i="10"/>
  <c r="BZ413" i="10"/>
  <c r="AY413" i="10"/>
  <c r="AH413" i="10"/>
  <c r="BV413" i="10"/>
  <c r="BI413" i="10"/>
  <c r="BR413" i="10"/>
  <c r="AQ413" i="10"/>
  <c r="BL413" i="10"/>
  <c r="AF413" i="10"/>
  <c r="AE412" i="10"/>
  <c r="B414" i="10"/>
  <c r="CD414" i="10" s="1"/>
  <c r="BJ414" i="10" l="1"/>
  <c r="AU413" i="10"/>
  <c r="BG413" i="10" s="1"/>
  <c r="AV413" i="10"/>
  <c r="BX413" i="10"/>
  <c r="BZ414" i="10"/>
  <c r="BS414" i="10"/>
  <c r="BO414" i="10"/>
  <c r="BD414" i="10"/>
  <c r="AZ414" i="10"/>
  <c r="AT414" i="10"/>
  <c r="AP414" i="10"/>
  <c r="BU414" i="10" s="1"/>
  <c r="AL414" i="10"/>
  <c r="CC414" i="10"/>
  <c r="BY414" i="10"/>
  <c r="BR414" i="10"/>
  <c r="BN414" i="10"/>
  <c r="BI414" i="10"/>
  <c r="AY414" i="10"/>
  <c r="AS414" i="10"/>
  <c r="AO414" i="10"/>
  <c r="AK414" i="10"/>
  <c r="CB414" i="10"/>
  <c r="BW414" i="10"/>
  <c r="BQ414" i="10"/>
  <c r="BH414" i="10"/>
  <c r="BB414" i="10"/>
  <c r="AX414" i="10"/>
  <c r="AR414" i="10"/>
  <c r="AN414" i="10"/>
  <c r="AI414" i="10"/>
  <c r="BA414" i="10"/>
  <c r="AH414" i="10"/>
  <c r="BX414" i="10" s="1"/>
  <c r="CA414" i="10"/>
  <c r="BK414" i="10"/>
  <c r="AW414" i="10"/>
  <c r="BV414" i="10"/>
  <c r="AQ414" i="10"/>
  <c r="BP414" i="10"/>
  <c r="AM414" i="10"/>
  <c r="BL414" i="10"/>
  <c r="BT413" i="10"/>
  <c r="AF414" i="10"/>
  <c r="AE413" i="10"/>
  <c r="B415" i="10"/>
  <c r="CD415" i="10" s="1"/>
  <c r="BJ415" i="10" l="1"/>
  <c r="BT414" i="10"/>
  <c r="AU414" i="10"/>
  <c r="BG414" i="10" s="1"/>
  <c r="AV414" i="10"/>
  <c r="BZ415" i="10"/>
  <c r="BS415" i="10"/>
  <c r="BO415" i="10"/>
  <c r="BD415" i="10"/>
  <c r="AZ415" i="10"/>
  <c r="AQ415" i="10"/>
  <c r="AM415" i="10"/>
  <c r="AH415" i="10"/>
  <c r="BT415" i="10" s="1"/>
  <c r="CC415" i="10"/>
  <c r="BY415" i="10"/>
  <c r="BR415" i="10"/>
  <c r="BN415" i="10"/>
  <c r="BI415" i="10"/>
  <c r="AY415" i="10"/>
  <c r="AT415" i="10"/>
  <c r="AP415" i="10"/>
  <c r="BU415" i="10" s="1"/>
  <c r="AL415" i="10"/>
  <c r="CB415" i="10"/>
  <c r="BW415" i="10"/>
  <c r="BQ415" i="10"/>
  <c r="BH415" i="10"/>
  <c r="BB415" i="10"/>
  <c r="AX415" i="10"/>
  <c r="AS415" i="10"/>
  <c r="AO415" i="10"/>
  <c r="AK415" i="10"/>
  <c r="BA415" i="10"/>
  <c r="AI415" i="10"/>
  <c r="CA415" i="10"/>
  <c r="BK415" i="10"/>
  <c r="AW415" i="10"/>
  <c r="BV415" i="10"/>
  <c r="AR415" i="10"/>
  <c r="BP415" i="10"/>
  <c r="AN415" i="10"/>
  <c r="BX415" i="10"/>
  <c r="BL415" i="10"/>
  <c r="AF415" i="10"/>
  <c r="AE414" i="10"/>
  <c r="B416" i="10"/>
  <c r="CD416" i="10" s="1"/>
  <c r="BJ416" i="10" l="1"/>
  <c r="AV415" i="10"/>
  <c r="AU415" i="10"/>
  <c r="BG415" i="10" s="1"/>
  <c r="CC416" i="10"/>
  <c r="BY416" i="10"/>
  <c r="BP416" i="10"/>
  <c r="BK416" i="10"/>
  <c r="BA416" i="10"/>
  <c r="AW416" i="10"/>
  <c r="AQ416" i="10"/>
  <c r="AM416" i="10"/>
  <c r="AH416" i="10"/>
  <c r="BX416" i="10" s="1"/>
  <c r="CB416" i="10"/>
  <c r="BS416" i="10"/>
  <c r="BO416" i="10"/>
  <c r="BD416" i="10"/>
  <c r="AZ416" i="10"/>
  <c r="AT416" i="10"/>
  <c r="AP416" i="10"/>
  <c r="BU416" i="10" s="1"/>
  <c r="AL416" i="10"/>
  <c r="CA416" i="10"/>
  <c r="BW416" i="10"/>
  <c r="BR416" i="10"/>
  <c r="BN416" i="10"/>
  <c r="BI416" i="10"/>
  <c r="AY416" i="10"/>
  <c r="AS416" i="10"/>
  <c r="AO416" i="10"/>
  <c r="AK416" i="10"/>
  <c r="BB416" i="10"/>
  <c r="AI416" i="10"/>
  <c r="BZ416" i="10"/>
  <c r="BH416" i="10"/>
  <c r="AX416" i="10"/>
  <c r="BV416" i="10"/>
  <c r="AR416" i="10"/>
  <c r="BQ416" i="10"/>
  <c r="AN416" i="10"/>
  <c r="BL416" i="10"/>
  <c r="AF416" i="10"/>
  <c r="AE415" i="10"/>
  <c r="B417" i="10"/>
  <c r="CD417" i="10" s="1"/>
  <c r="BJ417" i="10" l="1"/>
  <c r="AV416" i="10"/>
  <c r="BT416" i="10"/>
  <c r="CC417" i="10"/>
  <c r="BY417" i="10"/>
  <c r="BQ417" i="10"/>
  <c r="BH417" i="10"/>
  <c r="BB417" i="10"/>
  <c r="AX417" i="10"/>
  <c r="AT417" i="10"/>
  <c r="AP417" i="10"/>
  <c r="BU417" i="10" s="1"/>
  <c r="AL417" i="10"/>
  <c r="CB417" i="10"/>
  <c r="BP417" i="10"/>
  <c r="BK417" i="10"/>
  <c r="BA417" i="10"/>
  <c r="AW417" i="10"/>
  <c r="AS417" i="10"/>
  <c r="AO417" i="10"/>
  <c r="AK417" i="10"/>
  <c r="CA417" i="10"/>
  <c r="BW417" i="10"/>
  <c r="BS417" i="10"/>
  <c r="BO417" i="10"/>
  <c r="BD417" i="10"/>
  <c r="AZ417" i="10"/>
  <c r="AR417" i="10"/>
  <c r="AN417" i="10"/>
  <c r="AI417" i="10"/>
  <c r="BZ417" i="10"/>
  <c r="AY417" i="10"/>
  <c r="AH417" i="10"/>
  <c r="BX417" i="10" s="1"/>
  <c r="BV417" i="10"/>
  <c r="BI417" i="10"/>
  <c r="BR417" i="10"/>
  <c r="AQ417" i="10"/>
  <c r="BN417" i="10"/>
  <c r="AM417" i="10"/>
  <c r="BL417" i="10"/>
  <c r="AU416" i="10"/>
  <c r="BG416" i="10" s="1"/>
  <c r="AF417" i="10"/>
  <c r="AE416" i="10"/>
  <c r="B418" i="10"/>
  <c r="CD418" i="10" s="1"/>
  <c r="BJ418" i="10" l="1"/>
  <c r="BT417" i="10"/>
  <c r="AU417" i="10"/>
  <c r="BG417" i="10" s="1"/>
  <c r="AV417" i="10"/>
  <c r="BZ418" i="10"/>
  <c r="BS418" i="10"/>
  <c r="BO418" i="10"/>
  <c r="BD418" i="10"/>
  <c r="AZ418" i="10"/>
  <c r="AT418" i="10"/>
  <c r="AP418" i="10"/>
  <c r="BU418" i="10" s="1"/>
  <c r="AL418" i="10"/>
  <c r="CC418" i="10"/>
  <c r="BY418" i="10"/>
  <c r="BR418" i="10"/>
  <c r="BN418" i="10"/>
  <c r="BI418" i="10"/>
  <c r="AY418" i="10"/>
  <c r="AS418" i="10"/>
  <c r="AO418" i="10"/>
  <c r="AK418" i="10"/>
  <c r="CB418" i="10"/>
  <c r="BW418" i="10"/>
  <c r="BQ418" i="10"/>
  <c r="BH418" i="10"/>
  <c r="BB418" i="10"/>
  <c r="AX418" i="10"/>
  <c r="AR418" i="10"/>
  <c r="AN418" i="10"/>
  <c r="AI418" i="10"/>
  <c r="CA418" i="10"/>
  <c r="BK418" i="10"/>
  <c r="AW418" i="10"/>
  <c r="BV418" i="10"/>
  <c r="AQ418" i="10"/>
  <c r="BP418" i="10"/>
  <c r="AM418" i="10"/>
  <c r="BA418" i="10"/>
  <c r="AH418" i="10"/>
  <c r="BX418" i="10" s="1"/>
  <c r="BL418" i="10"/>
  <c r="AF418" i="10"/>
  <c r="AE417" i="10"/>
  <c r="B419" i="10"/>
  <c r="CD419" i="10" s="1"/>
  <c r="BJ419" i="10" l="1"/>
  <c r="AU418" i="10"/>
  <c r="BG418" i="10" s="1"/>
  <c r="BT418" i="10"/>
  <c r="AV418" i="10"/>
  <c r="BZ419" i="10"/>
  <c r="BP419" i="10"/>
  <c r="BK419" i="10"/>
  <c r="BA419" i="10"/>
  <c r="AW419" i="10"/>
  <c r="AQ419" i="10"/>
  <c r="AM419" i="10"/>
  <c r="AH419" i="10"/>
  <c r="BT419" i="10" s="1"/>
  <c r="CC419" i="10"/>
  <c r="BY419" i="10"/>
  <c r="BS419" i="10"/>
  <c r="BO419" i="10"/>
  <c r="BD419" i="10"/>
  <c r="AZ419" i="10"/>
  <c r="AT419" i="10"/>
  <c r="AP419" i="10"/>
  <c r="BU419" i="10" s="1"/>
  <c r="AL419" i="10"/>
  <c r="CB419" i="10"/>
  <c r="BW419" i="10"/>
  <c r="BR419" i="10"/>
  <c r="BN419" i="10"/>
  <c r="BI419" i="10"/>
  <c r="AY419" i="10"/>
  <c r="AS419" i="10"/>
  <c r="AO419" i="10"/>
  <c r="AK419" i="10"/>
  <c r="CA419" i="10"/>
  <c r="BH419" i="10"/>
  <c r="AX419" i="10"/>
  <c r="BV419" i="10"/>
  <c r="AR419" i="10"/>
  <c r="BQ419" i="10"/>
  <c r="AN419" i="10"/>
  <c r="BB419" i="10"/>
  <c r="AI419" i="10"/>
  <c r="AV419" i="10"/>
  <c r="BL419" i="10"/>
  <c r="AF419" i="10"/>
  <c r="AE418" i="10"/>
  <c r="B420" i="10"/>
  <c r="CD420" i="10" s="1"/>
  <c r="BJ420" i="10" l="1"/>
  <c r="AU419" i="10"/>
  <c r="BG419" i="10" s="1"/>
  <c r="BX419" i="10"/>
  <c r="CA420" i="10"/>
  <c r="BV420" i="10"/>
  <c r="BP420" i="10"/>
  <c r="BK420" i="10"/>
  <c r="BA420" i="10"/>
  <c r="AW420" i="10"/>
  <c r="AQ420" i="10"/>
  <c r="AM420" i="10"/>
  <c r="AH420" i="10"/>
  <c r="BX420" i="10" s="1"/>
  <c r="BZ420" i="10"/>
  <c r="BS420" i="10"/>
  <c r="BO420" i="10"/>
  <c r="BD420" i="10"/>
  <c r="AZ420" i="10"/>
  <c r="AT420" i="10"/>
  <c r="AP420" i="10"/>
  <c r="BU420" i="10" s="1"/>
  <c r="AL420" i="10"/>
  <c r="CC420" i="10"/>
  <c r="BY420" i="10"/>
  <c r="BR420" i="10"/>
  <c r="BN420" i="10"/>
  <c r="BI420" i="10"/>
  <c r="AY420" i="10"/>
  <c r="AS420" i="10"/>
  <c r="AO420" i="10"/>
  <c r="AK420" i="10"/>
  <c r="CB420" i="10"/>
  <c r="BH420" i="10"/>
  <c r="AX420" i="10"/>
  <c r="BW420" i="10"/>
  <c r="AR420" i="10"/>
  <c r="BQ420" i="10"/>
  <c r="AN420" i="10"/>
  <c r="BB420" i="10"/>
  <c r="AI420" i="10"/>
  <c r="BL420" i="10"/>
  <c r="AF420" i="10"/>
  <c r="AE419" i="10"/>
  <c r="B421" i="10"/>
  <c r="CD421" i="10" s="1"/>
  <c r="BJ421" i="10" l="1"/>
  <c r="AU420" i="10"/>
  <c r="BG420" i="10" s="1"/>
  <c r="AV420" i="10"/>
  <c r="BT420" i="10"/>
  <c r="CA421" i="10"/>
  <c r="BW421" i="10"/>
  <c r="BS421" i="10"/>
  <c r="BO421" i="10"/>
  <c r="BD421" i="10"/>
  <c r="AZ421" i="10"/>
  <c r="AR421" i="10"/>
  <c r="AN421" i="10"/>
  <c r="AI421" i="10"/>
  <c r="BZ421" i="10"/>
  <c r="BV421" i="10"/>
  <c r="BR421" i="10"/>
  <c r="BN421" i="10"/>
  <c r="BI421" i="10"/>
  <c r="AY421" i="10"/>
  <c r="AQ421" i="10"/>
  <c r="AM421" i="10"/>
  <c r="AH421" i="10"/>
  <c r="BX421" i="10" s="1"/>
  <c r="CC421" i="10"/>
  <c r="BY421" i="10"/>
  <c r="BQ421" i="10"/>
  <c r="BH421" i="10"/>
  <c r="BB421" i="10"/>
  <c r="AX421" i="10"/>
  <c r="AT421" i="10"/>
  <c r="AP421" i="10"/>
  <c r="BU421" i="10" s="1"/>
  <c r="AL421" i="10"/>
  <c r="BK421" i="10"/>
  <c r="AW421" i="10"/>
  <c r="BT421" i="10"/>
  <c r="AS421" i="10"/>
  <c r="BP421" i="10"/>
  <c r="AO421" i="10"/>
  <c r="AK421" i="10"/>
  <c r="CB421" i="10"/>
  <c r="BA421" i="10"/>
  <c r="BL421" i="10"/>
  <c r="AF421" i="10"/>
  <c r="AE420" i="10"/>
  <c r="B422" i="10"/>
  <c r="CD422" i="10" s="1"/>
  <c r="BJ422" i="10" l="1"/>
  <c r="CB422" i="10"/>
  <c r="BW422" i="10"/>
  <c r="BQ422" i="10"/>
  <c r="BH422" i="10"/>
  <c r="BB422" i="10"/>
  <c r="AX422" i="10"/>
  <c r="AR422" i="10"/>
  <c r="AN422" i="10"/>
  <c r="AI422" i="10"/>
  <c r="CA422" i="10"/>
  <c r="BV422" i="10"/>
  <c r="BP422" i="10"/>
  <c r="BK422" i="10"/>
  <c r="BA422" i="10"/>
  <c r="AW422" i="10"/>
  <c r="AQ422" i="10"/>
  <c r="AM422" i="10"/>
  <c r="AH422" i="10"/>
  <c r="BX422" i="10" s="1"/>
  <c r="BZ422" i="10"/>
  <c r="BS422" i="10"/>
  <c r="BO422" i="10"/>
  <c r="BD422" i="10"/>
  <c r="AZ422" i="10"/>
  <c r="AT422" i="10"/>
  <c r="AP422" i="10"/>
  <c r="BU422" i="10" s="1"/>
  <c r="AL422" i="10"/>
  <c r="BY422" i="10"/>
  <c r="BI422" i="10"/>
  <c r="AS422" i="10"/>
  <c r="BR422" i="10"/>
  <c r="AO422" i="10"/>
  <c r="BN422" i="10"/>
  <c r="AK422" i="10"/>
  <c r="CC422" i="10"/>
  <c r="AY422" i="10"/>
  <c r="BL422" i="10"/>
  <c r="AV421" i="10"/>
  <c r="AU421" i="10"/>
  <c r="BG421" i="10" s="1"/>
  <c r="AF422" i="10"/>
  <c r="AE421" i="10"/>
  <c r="B423" i="10"/>
  <c r="CD423" i="10" s="1"/>
  <c r="BJ423" i="10" l="1"/>
  <c r="BT422" i="10"/>
  <c r="AU422" i="10"/>
  <c r="BG422" i="10" s="1"/>
  <c r="CB423" i="10"/>
  <c r="BW423" i="10"/>
  <c r="BQ423" i="10"/>
  <c r="BH423" i="10"/>
  <c r="BB423" i="10"/>
  <c r="AX423" i="10"/>
  <c r="AS423" i="10"/>
  <c r="AO423" i="10"/>
  <c r="AK423" i="10"/>
  <c r="CA423" i="10"/>
  <c r="BV423" i="10"/>
  <c r="BP423" i="10"/>
  <c r="BK423" i="10"/>
  <c r="BA423" i="10"/>
  <c r="AW423" i="10"/>
  <c r="AR423" i="10"/>
  <c r="AN423" i="10"/>
  <c r="AI423" i="10"/>
  <c r="BZ423" i="10"/>
  <c r="BS423" i="10"/>
  <c r="BO423" i="10"/>
  <c r="BD423" i="10"/>
  <c r="AZ423" i="10"/>
  <c r="AQ423" i="10"/>
  <c r="AM423" i="10"/>
  <c r="AH423" i="10"/>
  <c r="BY423" i="10"/>
  <c r="BI423" i="10"/>
  <c r="AT423" i="10"/>
  <c r="BR423" i="10"/>
  <c r="AP423" i="10"/>
  <c r="BU423" i="10" s="1"/>
  <c r="BN423" i="10"/>
  <c r="AL423" i="10"/>
  <c r="CC423" i="10"/>
  <c r="AY423" i="10"/>
  <c r="BL423" i="10"/>
  <c r="AV422" i="10"/>
  <c r="AF423" i="10"/>
  <c r="AE422" i="10"/>
  <c r="B424" i="10"/>
  <c r="CD424" i="10" s="1"/>
  <c r="BJ424" i="10" l="1"/>
  <c r="AV423" i="10"/>
  <c r="BX423" i="10"/>
  <c r="BT423" i="10"/>
  <c r="CC424" i="10"/>
  <c r="BY424" i="10"/>
  <c r="BP424" i="10"/>
  <c r="BK424" i="10"/>
  <c r="BA424" i="10"/>
  <c r="AW424" i="10"/>
  <c r="AS424" i="10"/>
  <c r="AO424" i="10"/>
  <c r="AK424" i="10"/>
  <c r="CB424" i="10"/>
  <c r="BW424" i="10"/>
  <c r="BS424" i="10"/>
  <c r="BO424" i="10"/>
  <c r="BD424" i="10"/>
  <c r="AZ424" i="10"/>
  <c r="AR424" i="10"/>
  <c r="AN424" i="10"/>
  <c r="AI424" i="10"/>
  <c r="CA424" i="10"/>
  <c r="BV424" i="10"/>
  <c r="BR424" i="10"/>
  <c r="BN424" i="10"/>
  <c r="BI424" i="10"/>
  <c r="AY424" i="10"/>
  <c r="AQ424" i="10"/>
  <c r="AM424" i="10"/>
  <c r="AH424" i="10"/>
  <c r="AT424" i="10"/>
  <c r="BQ424" i="10"/>
  <c r="AP424" i="10"/>
  <c r="BU424" i="10" s="1"/>
  <c r="BB424" i="10"/>
  <c r="AL424" i="10"/>
  <c r="AX424" i="10"/>
  <c r="BH424" i="10"/>
  <c r="BZ424" i="10"/>
  <c r="BL424" i="10"/>
  <c r="AU423" i="10"/>
  <c r="BG423" i="10" s="1"/>
  <c r="AF424" i="10"/>
  <c r="AE423" i="10"/>
  <c r="B425" i="10"/>
  <c r="CD425" i="10" s="1"/>
  <c r="BJ425" i="10" l="1"/>
  <c r="AU424" i="10"/>
  <c r="BG424" i="10" s="1"/>
  <c r="CB425" i="10"/>
  <c r="BW425" i="10"/>
  <c r="BR425" i="10"/>
  <c r="BN425" i="10"/>
  <c r="BI425" i="10"/>
  <c r="AY425" i="10"/>
  <c r="AT425" i="10"/>
  <c r="AP425" i="10"/>
  <c r="AV425" i="10" s="1"/>
  <c r="AL425" i="10"/>
  <c r="BY425" i="10"/>
  <c r="BQ425" i="10"/>
  <c r="BK425" i="10"/>
  <c r="BD425" i="10"/>
  <c r="AZ425" i="10"/>
  <c r="AS425" i="10"/>
  <c r="AN425" i="10"/>
  <c r="AH425" i="10"/>
  <c r="BT425" i="10" s="1"/>
  <c r="CC425" i="10"/>
  <c r="BV425" i="10"/>
  <c r="BP425" i="10"/>
  <c r="AX425" i="10"/>
  <c r="AR425" i="10"/>
  <c r="AM425" i="10"/>
  <c r="CA425" i="10"/>
  <c r="BO425" i="10"/>
  <c r="BH425" i="10"/>
  <c r="BB425" i="10"/>
  <c r="AW425" i="10"/>
  <c r="AQ425" i="10"/>
  <c r="AK425" i="10"/>
  <c r="AO425" i="10"/>
  <c r="BZ425" i="10"/>
  <c r="AI425" i="10"/>
  <c r="BS425" i="10"/>
  <c r="BA425" i="10"/>
  <c r="BL425" i="10"/>
  <c r="BT424" i="10"/>
  <c r="AV424" i="10"/>
  <c r="BX424" i="10"/>
  <c r="AF425" i="10"/>
  <c r="AE424" i="10"/>
  <c r="B426" i="10"/>
  <c r="CD426" i="10" s="1"/>
  <c r="BJ426" i="10" l="1"/>
  <c r="AU425" i="10"/>
  <c r="BG425" i="10" s="1"/>
  <c r="BU425" i="10"/>
  <c r="CC426" i="10"/>
  <c r="BY426" i="10"/>
  <c r="BR426" i="10"/>
  <c r="BN426" i="10"/>
  <c r="BI426" i="10"/>
  <c r="AY426" i="10"/>
  <c r="AS426" i="10"/>
  <c r="AO426" i="10"/>
  <c r="AK426" i="10"/>
  <c r="CA426" i="10"/>
  <c r="BS426" i="10"/>
  <c r="BA426" i="10"/>
  <c r="AT426" i="10"/>
  <c r="AN426" i="10"/>
  <c r="AH426" i="10"/>
  <c r="BX426" i="10" s="1"/>
  <c r="BZ426" i="10"/>
  <c r="BQ426" i="10"/>
  <c r="BK426" i="10"/>
  <c r="BD426" i="10"/>
  <c r="AZ426" i="10"/>
  <c r="AR426" i="10"/>
  <c r="AM426" i="10"/>
  <c r="BW426" i="10"/>
  <c r="BP426" i="10"/>
  <c r="AX426" i="10"/>
  <c r="AQ426" i="10"/>
  <c r="AL426" i="10"/>
  <c r="BV426" i="10"/>
  <c r="AP426" i="10"/>
  <c r="BU426" i="10" s="1"/>
  <c r="BO426" i="10"/>
  <c r="AI426" i="10"/>
  <c r="BB426" i="10"/>
  <c r="CB426" i="10"/>
  <c r="AW426" i="10"/>
  <c r="BH426" i="10"/>
  <c r="BL426" i="10"/>
  <c r="BX425" i="10"/>
  <c r="AF426" i="10"/>
  <c r="AE425" i="10"/>
  <c r="B427" i="10"/>
  <c r="CD427" i="10" s="1"/>
  <c r="BJ427" i="10" l="1"/>
  <c r="BT426" i="10"/>
  <c r="AV426" i="10"/>
  <c r="CB427" i="10"/>
  <c r="BS427" i="10"/>
  <c r="BO427" i="10"/>
  <c r="BD427" i="10"/>
  <c r="AZ427" i="10"/>
  <c r="AT427" i="10"/>
  <c r="AP427" i="10"/>
  <c r="BU427" i="10" s="1"/>
  <c r="AL427" i="10"/>
  <c r="CC427" i="10"/>
  <c r="BW427" i="10"/>
  <c r="BQ427" i="10"/>
  <c r="BK427" i="10"/>
  <c r="AX427" i="10"/>
  <c r="AQ427" i="10"/>
  <c r="AK427" i="10"/>
  <c r="CA427" i="10"/>
  <c r="BV427" i="10"/>
  <c r="BP427" i="10"/>
  <c r="BI427" i="10"/>
  <c r="BB427" i="10"/>
  <c r="AW427" i="10"/>
  <c r="AO427" i="10"/>
  <c r="AI427" i="10"/>
  <c r="BZ427" i="10"/>
  <c r="BN427" i="10"/>
  <c r="BH427" i="10"/>
  <c r="BA427" i="10"/>
  <c r="AS427" i="10"/>
  <c r="AN427" i="10"/>
  <c r="AH427" i="10"/>
  <c r="BX427" i="10" s="1"/>
  <c r="BR427" i="10"/>
  <c r="AY427" i="10"/>
  <c r="AR427" i="10"/>
  <c r="AM427" i="10"/>
  <c r="BY427" i="10"/>
  <c r="BL427" i="10"/>
  <c r="AU426" i="10"/>
  <c r="BG426" i="10" s="1"/>
  <c r="AF427" i="10"/>
  <c r="AE426" i="10"/>
  <c r="B428" i="10"/>
  <c r="CD428" i="10" s="1"/>
  <c r="BJ428" i="10" l="1"/>
  <c r="AU427" i="10"/>
  <c r="BG427" i="10" s="1"/>
  <c r="AV427" i="10"/>
  <c r="BT427" i="10"/>
  <c r="CB428" i="10"/>
  <c r="BP428" i="10"/>
  <c r="BK428" i="10"/>
  <c r="BA428" i="10"/>
  <c r="AW428" i="10"/>
  <c r="AS428" i="10"/>
  <c r="AO428" i="10"/>
  <c r="AK428" i="10"/>
  <c r="BZ428" i="10"/>
  <c r="BO428" i="10"/>
  <c r="BI428" i="10"/>
  <c r="AX428" i="10"/>
  <c r="AR428" i="10"/>
  <c r="AM428" i="10"/>
  <c r="BY428" i="10"/>
  <c r="BS428" i="10"/>
  <c r="BN428" i="10"/>
  <c r="BH428" i="10"/>
  <c r="BB428" i="10"/>
  <c r="AQ428" i="10"/>
  <c r="AL428" i="10"/>
  <c r="CC428" i="10"/>
  <c r="BW428" i="10"/>
  <c r="BR428" i="10"/>
  <c r="AZ428" i="10"/>
  <c r="AP428" i="10"/>
  <c r="BU428" i="10" s="1"/>
  <c r="AI428" i="10"/>
  <c r="BV428" i="10"/>
  <c r="AT428" i="10"/>
  <c r="BQ428" i="10"/>
  <c r="BD428" i="10"/>
  <c r="AN428" i="10"/>
  <c r="AH428" i="10"/>
  <c r="BX428" i="10" s="1"/>
  <c r="CA428" i="10"/>
  <c r="AY428" i="10"/>
  <c r="BL428" i="10"/>
  <c r="AF428" i="10"/>
  <c r="AE427" i="10"/>
  <c r="B429" i="10"/>
  <c r="CD429" i="10" s="1"/>
  <c r="BJ429" i="10" l="1"/>
  <c r="BT428" i="10"/>
  <c r="AV428" i="10"/>
  <c r="CA429" i="10"/>
  <c r="BV429" i="10"/>
  <c r="BQ429" i="10"/>
  <c r="BH429" i="10"/>
  <c r="BB429" i="10"/>
  <c r="AX429" i="10"/>
  <c r="AS429" i="10"/>
  <c r="AO429" i="10"/>
  <c r="AK429" i="10"/>
  <c r="BZ429" i="10"/>
  <c r="BS429" i="10"/>
  <c r="BN429" i="10"/>
  <c r="BI429" i="10"/>
  <c r="BA429" i="10"/>
  <c r="AP429" i="10"/>
  <c r="AI429" i="10"/>
  <c r="BY429" i="10"/>
  <c r="BR429" i="10"/>
  <c r="AZ429" i="10"/>
  <c r="AT429" i="10"/>
  <c r="AN429" i="10"/>
  <c r="AH429" i="10"/>
  <c r="BT429" i="10" s="1"/>
  <c r="CC429" i="10"/>
  <c r="BW429" i="10"/>
  <c r="BP429" i="10"/>
  <c r="BK429" i="10"/>
  <c r="BD429" i="10"/>
  <c r="AY429" i="10"/>
  <c r="AR429" i="10"/>
  <c r="AM429" i="10"/>
  <c r="AW429" i="10"/>
  <c r="CB429" i="10"/>
  <c r="AQ429" i="10"/>
  <c r="AL429" i="10"/>
  <c r="BO429" i="10"/>
  <c r="BL429" i="10"/>
  <c r="AU428" i="10"/>
  <c r="BG428" i="10" s="1"/>
  <c r="AF429" i="10"/>
  <c r="AE428" i="10"/>
  <c r="B430" i="10"/>
  <c r="CD430" i="10" s="1"/>
  <c r="BJ430" i="10" l="1"/>
  <c r="AU429" i="10"/>
  <c r="BG429" i="10" s="1"/>
  <c r="BU429" i="10"/>
  <c r="CB430" i="10"/>
  <c r="BW430" i="10"/>
  <c r="BQ430" i="10"/>
  <c r="BH430" i="10"/>
  <c r="BB430" i="10"/>
  <c r="AX430" i="10"/>
  <c r="AR430" i="10"/>
  <c r="AN430" i="10"/>
  <c r="AI430" i="10"/>
  <c r="CC430" i="10"/>
  <c r="BV430" i="10"/>
  <c r="BO430" i="10"/>
  <c r="AW430" i="10"/>
  <c r="AP430" i="10"/>
  <c r="BU430" i="10" s="1"/>
  <c r="AK430" i="10"/>
  <c r="CA430" i="10"/>
  <c r="BS430" i="10"/>
  <c r="BN430" i="10"/>
  <c r="BI430" i="10"/>
  <c r="BA430" i="10"/>
  <c r="AT430" i="10"/>
  <c r="AO430" i="10"/>
  <c r="AH430" i="10"/>
  <c r="BT430" i="10" s="1"/>
  <c r="BZ430" i="10"/>
  <c r="BR430" i="10"/>
  <c r="AZ430" i="10"/>
  <c r="AS430" i="10"/>
  <c r="AM430" i="10"/>
  <c r="BP430" i="10"/>
  <c r="BD430" i="10"/>
  <c r="AL430" i="10"/>
  <c r="BK430" i="10"/>
  <c r="AY430" i="10"/>
  <c r="BY430" i="10"/>
  <c r="AQ430" i="10"/>
  <c r="BL430" i="10"/>
  <c r="BX429" i="10"/>
  <c r="AV429" i="10"/>
  <c r="AF430" i="10"/>
  <c r="AE429" i="10"/>
  <c r="B431" i="10"/>
  <c r="CD431" i="10" s="1"/>
  <c r="BJ431" i="10" l="1"/>
  <c r="BX430" i="10"/>
  <c r="AU430" i="10"/>
  <c r="BG430" i="10" s="1"/>
  <c r="AV430" i="10"/>
  <c r="BZ431" i="10"/>
  <c r="BV431" i="10"/>
  <c r="BQ431" i="10"/>
  <c r="BH431" i="10"/>
  <c r="BB431" i="10"/>
  <c r="AX431" i="10"/>
  <c r="AS431" i="10"/>
  <c r="AO431" i="10"/>
  <c r="AK431" i="10"/>
  <c r="CB431" i="10"/>
  <c r="BW431" i="10"/>
  <c r="BP431" i="10"/>
  <c r="BK431" i="10"/>
  <c r="BD431" i="10"/>
  <c r="AY431" i="10"/>
  <c r="AR431" i="10"/>
  <c r="AM431" i="10"/>
  <c r="CA431" i="10"/>
  <c r="BO431" i="10"/>
  <c r="AW431" i="10"/>
  <c r="AQ431" i="10"/>
  <c r="AL431" i="10"/>
  <c r="BY431" i="10"/>
  <c r="BS431" i="10"/>
  <c r="BN431" i="10"/>
  <c r="BI431" i="10"/>
  <c r="BA431" i="10"/>
  <c r="AP431" i="10"/>
  <c r="BU431" i="10" s="1"/>
  <c r="AI431" i="10"/>
  <c r="AT431" i="10"/>
  <c r="CC431" i="10"/>
  <c r="AN431" i="10"/>
  <c r="AH431" i="10"/>
  <c r="BT431" i="10" s="1"/>
  <c r="BR431" i="10"/>
  <c r="AZ431" i="10"/>
  <c r="BL431" i="10"/>
  <c r="AF431" i="10"/>
  <c r="AE430" i="10"/>
  <c r="B432" i="10"/>
  <c r="CD432" i="10" s="1"/>
  <c r="BJ432" i="10" l="1"/>
  <c r="BX431" i="10"/>
  <c r="AV431" i="10"/>
  <c r="BZ432" i="10"/>
  <c r="BV432" i="10"/>
  <c r="BR432" i="10"/>
  <c r="BN432" i="10"/>
  <c r="BI432" i="10"/>
  <c r="AY432" i="10"/>
  <c r="AQ432" i="10"/>
  <c r="AM432" i="10"/>
  <c r="AH432" i="10"/>
  <c r="BX432" i="10" s="1"/>
  <c r="CB432" i="10"/>
  <c r="BP432" i="10"/>
  <c r="BK432" i="10"/>
  <c r="BY432" i="10"/>
  <c r="BQ432" i="10"/>
  <c r="BH432" i="10"/>
  <c r="BB432" i="10"/>
  <c r="AW432" i="10"/>
  <c r="AR432" i="10"/>
  <c r="AL432" i="10"/>
  <c r="BW432" i="10"/>
  <c r="BO432" i="10"/>
  <c r="BA432" i="10"/>
  <c r="AP432" i="10"/>
  <c r="BU432" i="10" s="1"/>
  <c r="AK432" i="10"/>
  <c r="CC432" i="10"/>
  <c r="BD432" i="10"/>
  <c r="AZ432" i="10"/>
  <c r="AT432" i="10"/>
  <c r="AO432" i="10"/>
  <c r="AI432" i="10"/>
  <c r="CA432" i="10"/>
  <c r="AN432" i="10"/>
  <c r="BS432" i="10"/>
  <c r="AX432" i="10"/>
  <c r="AS432" i="10"/>
  <c r="BL432" i="10"/>
  <c r="AU431" i="10"/>
  <c r="BG431" i="10" s="1"/>
  <c r="AF432" i="10"/>
  <c r="AE431" i="10"/>
  <c r="B433" i="10"/>
  <c r="CD433" i="10" s="1"/>
  <c r="BJ433" i="10" l="1"/>
  <c r="AV432" i="10"/>
  <c r="AU432" i="10"/>
  <c r="BG432" i="10" s="1"/>
  <c r="CC433" i="10"/>
  <c r="BY433" i="10"/>
  <c r="BS433" i="10"/>
  <c r="BO433" i="10"/>
  <c r="BD433" i="10"/>
  <c r="AZ433" i="10"/>
  <c r="AQ433" i="10"/>
  <c r="AM433" i="10"/>
  <c r="AH433" i="10"/>
  <c r="CA433" i="10"/>
  <c r="BV433" i="10"/>
  <c r="BQ433" i="10"/>
  <c r="BH433" i="10"/>
  <c r="BB433" i="10"/>
  <c r="AX433" i="10"/>
  <c r="AS433" i="10"/>
  <c r="AO433" i="10"/>
  <c r="AK433" i="10"/>
  <c r="AT433" i="10"/>
  <c r="AL433" i="10"/>
  <c r="CB433" i="10"/>
  <c r="BR433" i="10"/>
  <c r="BK433" i="10"/>
  <c r="BA433" i="10"/>
  <c r="AR433" i="10"/>
  <c r="AI433" i="10"/>
  <c r="BZ433" i="10"/>
  <c r="BP433" i="10"/>
  <c r="BI433" i="10"/>
  <c r="AY433" i="10"/>
  <c r="AP433" i="10"/>
  <c r="BW433" i="10"/>
  <c r="BN433" i="10"/>
  <c r="AW433" i="10"/>
  <c r="AN433" i="10"/>
  <c r="BL433" i="10"/>
  <c r="BT432" i="10"/>
  <c r="AF433" i="10"/>
  <c r="AE432" i="10"/>
  <c r="B434" i="10"/>
  <c r="CD434" i="10" s="1"/>
  <c r="BJ434" i="10" l="1"/>
  <c r="BZ434" i="10"/>
  <c r="BS434" i="10"/>
  <c r="BO434" i="10"/>
  <c r="BD434" i="10"/>
  <c r="AZ434" i="10"/>
  <c r="AT434" i="10"/>
  <c r="AP434" i="10"/>
  <c r="BU434" i="10" s="1"/>
  <c r="AL434" i="10"/>
  <c r="CB434" i="10"/>
  <c r="BW434" i="10"/>
  <c r="BQ434" i="10"/>
  <c r="BH434" i="10"/>
  <c r="BB434" i="10"/>
  <c r="AX434" i="10"/>
  <c r="AR434" i="10"/>
  <c r="AN434" i="10"/>
  <c r="AI434" i="10"/>
  <c r="CC434" i="10"/>
  <c r="BR434" i="10"/>
  <c r="BK434" i="10"/>
  <c r="BA434" i="10"/>
  <c r="AQ434" i="10"/>
  <c r="AH434" i="10"/>
  <c r="BX434" i="10" s="1"/>
  <c r="CA434" i="10"/>
  <c r="BP434" i="10"/>
  <c r="BI434" i="10"/>
  <c r="AY434" i="10"/>
  <c r="AO434" i="10"/>
  <c r="BY434" i="10"/>
  <c r="BN434" i="10"/>
  <c r="AW434" i="10"/>
  <c r="AM434" i="10"/>
  <c r="AK434" i="10"/>
  <c r="BV434" i="10"/>
  <c r="AS434" i="10"/>
  <c r="BL434" i="10"/>
  <c r="BX433" i="10"/>
  <c r="BT433" i="10"/>
  <c r="AU433" i="10"/>
  <c r="BG433" i="10" s="1"/>
  <c r="BU433" i="10"/>
  <c r="AV433" i="10"/>
  <c r="AF434" i="10"/>
  <c r="AE433" i="10"/>
  <c r="B435" i="10"/>
  <c r="CD435" i="10" s="1"/>
  <c r="BJ435" i="10" l="1"/>
  <c r="AV434" i="10"/>
  <c r="BT434" i="10"/>
  <c r="CB435" i="10"/>
  <c r="BS435" i="10"/>
  <c r="BO435" i="10"/>
  <c r="BD435" i="10"/>
  <c r="AZ435" i="10"/>
  <c r="AQ435" i="10"/>
  <c r="AM435" i="10"/>
  <c r="AH435" i="10"/>
  <c r="BT435" i="10" s="1"/>
  <c r="CA435" i="10"/>
  <c r="BW435" i="10"/>
  <c r="BR435" i="10"/>
  <c r="BN435" i="10"/>
  <c r="BI435" i="10"/>
  <c r="AY435" i="10"/>
  <c r="AT435" i="10"/>
  <c r="AP435" i="10"/>
  <c r="BU435" i="10" s="1"/>
  <c r="AL435" i="10"/>
  <c r="BZ435" i="10"/>
  <c r="BV435" i="10"/>
  <c r="BQ435" i="10"/>
  <c r="BH435" i="10"/>
  <c r="BB435" i="10"/>
  <c r="AX435" i="10"/>
  <c r="AS435" i="10"/>
  <c r="AO435" i="10"/>
  <c r="AK435" i="10"/>
  <c r="BY435" i="10"/>
  <c r="BK435" i="10"/>
  <c r="AW435" i="10"/>
  <c r="AR435" i="10"/>
  <c r="BP435" i="10"/>
  <c r="AN435" i="10"/>
  <c r="CC435" i="10"/>
  <c r="BA435" i="10"/>
  <c r="AI435" i="10"/>
  <c r="BL435" i="10"/>
  <c r="AU434" i="10"/>
  <c r="BG434" i="10" s="1"/>
  <c r="AF435" i="10"/>
  <c r="AE434" i="10"/>
  <c r="B436" i="10"/>
  <c r="CD436" i="10" s="1"/>
  <c r="BJ436" i="10" l="1"/>
  <c r="BX435" i="10"/>
  <c r="CB436" i="10"/>
  <c r="BP436" i="10"/>
  <c r="BK436" i="10"/>
  <c r="BA436" i="10"/>
  <c r="AW436" i="10"/>
  <c r="AS436" i="10"/>
  <c r="AO436" i="10"/>
  <c r="AK436" i="10"/>
  <c r="CA436" i="10"/>
  <c r="BW436" i="10"/>
  <c r="BS436" i="10"/>
  <c r="BO436" i="10"/>
  <c r="BD436" i="10"/>
  <c r="AZ436" i="10"/>
  <c r="AR436" i="10"/>
  <c r="AN436" i="10"/>
  <c r="AI436" i="10"/>
  <c r="BZ436" i="10"/>
  <c r="BV436" i="10"/>
  <c r="BR436" i="10"/>
  <c r="BN436" i="10"/>
  <c r="BI436" i="10"/>
  <c r="AY436" i="10"/>
  <c r="AQ436" i="10"/>
  <c r="AM436" i="10"/>
  <c r="AH436" i="10"/>
  <c r="BX436" i="10" s="1"/>
  <c r="AT436" i="10"/>
  <c r="BQ436" i="10"/>
  <c r="AP436" i="10"/>
  <c r="BU436" i="10" s="1"/>
  <c r="CC436" i="10"/>
  <c r="BB436" i="10"/>
  <c r="AL436" i="10"/>
  <c r="AX436" i="10"/>
  <c r="BH436" i="10"/>
  <c r="BY436" i="10"/>
  <c r="BL436" i="10"/>
  <c r="AV435" i="10"/>
  <c r="AU435" i="10"/>
  <c r="BG435" i="10" s="1"/>
  <c r="AF436" i="10"/>
  <c r="AE435" i="10"/>
  <c r="B437" i="10"/>
  <c r="CD437" i="10" s="1"/>
  <c r="BJ437" i="10" l="1"/>
  <c r="BT436" i="10"/>
  <c r="AV436" i="10"/>
  <c r="CA437" i="10"/>
  <c r="BV437" i="10"/>
  <c r="BQ437" i="10"/>
  <c r="BH437" i="10"/>
  <c r="BB437" i="10"/>
  <c r="AX437" i="10"/>
  <c r="AS437" i="10"/>
  <c r="AO437" i="10"/>
  <c r="AK437" i="10"/>
  <c r="BZ437" i="10"/>
  <c r="BP437" i="10"/>
  <c r="BK437" i="10"/>
  <c r="BA437" i="10"/>
  <c r="AW437" i="10"/>
  <c r="AR437" i="10"/>
  <c r="AN437" i="10"/>
  <c r="AI437" i="10"/>
  <c r="CC437" i="10"/>
  <c r="BY437" i="10"/>
  <c r="BS437" i="10"/>
  <c r="BO437" i="10"/>
  <c r="BD437" i="10"/>
  <c r="AZ437" i="10"/>
  <c r="AQ437" i="10"/>
  <c r="AM437" i="10"/>
  <c r="AH437" i="10"/>
  <c r="BT437" i="10" s="1"/>
  <c r="BR437" i="10"/>
  <c r="AP437" i="10"/>
  <c r="BN437" i="10"/>
  <c r="AL437" i="10"/>
  <c r="CB437" i="10"/>
  <c r="AY437" i="10"/>
  <c r="BW437" i="10"/>
  <c r="AT437" i="10"/>
  <c r="BI437" i="10"/>
  <c r="BL437" i="10"/>
  <c r="AU436" i="10"/>
  <c r="BG436" i="10" s="1"/>
  <c r="AF437" i="10"/>
  <c r="AE436" i="10"/>
  <c r="B438" i="10"/>
  <c r="CD438" i="10" s="1"/>
  <c r="BJ438" i="10" l="1"/>
  <c r="AU437" i="10"/>
  <c r="BG437" i="10" s="1"/>
  <c r="BU437" i="10"/>
  <c r="AV437" i="10"/>
  <c r="BX437" i="10"/>
  <c r="CB438" i="10"/>
  <c r="BW438" i="10"/>
  <c r="BQ438" i="10"/>
  <c r="BH438" i="10"/>
  <c r="BB438" i="10"/>
  <c r="AX438" i="10"/>
  <c r="AR438" i="10"/>
  <c r="AN438" i="10"/>
  <c r="AI438" i="10"/>
  <c r="CA438" i="10"/>
  <c r="BV438" i="10"/>
  <c r="BP438" i="10"/>
  <c r="BK438" i="10"/>
  <c r="BA438" i="10"/>
  <c r="AW438" i="10"/>
  <c r="AQ438" i="10"/>
  <c r="AM438" i="10"/>
  <c r="AH438" i="10"/>
  <c r="BT438" i="10" s="1"/>
  <c r="BZ438" i="10"/>
  <c r="BS438" i="10"/>
  <c r="BO438" i="10"/>
  <c r="BD438" i="10"/>
  <c r="AZ438" i="10"/>
  <c r="AT438" i="10"/>
  <c r="AP438" i="10"/>
  <c r="BU438" i="10" s="1"/>
  <c r="AL438" i="10"/>
  <c r="BR438" i="10"/>
  <c r="AO438" i="10"/>
  <c r="BN438" i="10"/>
  <c r="AK438" i="10"/>
  <c r="CC438" i="10"/>
  <c r="AY438" i="10"/>
  <c r="AS438" i="10"/>
  <c r="BI438" i="10"/>
  <c r="BY438" i="10"/>
  <c r="BL438" i="10"/>
  <c r="AF438" i="10"/>
  <c r="AE437" i="10"/>
  <c r="B439" i="10"/>
  <c r="CD439" i="10" s="1"/>
  <c r="BJ439" i="10" l="1"/>
  <c r="BX438" i="10"/>
  <c r="AU438" i="10"/>
  <c r="BG438" i="10" s="1"/>
  <c r="AV438" i="10"/>
  <c r="BZ439" i="10"/>
  <c r="BV439" i="10"/>
  <c r="BQ439" i="10"/>
  <c r="BH439" i="10"/>
  <c r="BB439" i="10"/>
  <c r="AX439" i="10"/>
  <c r="AS439" i="10"/>
  <c r="AO439" i="10"/>
  <c r="AK439" i="10"/>
  <c r="CC439" i="10"/>
  <c r="BY439" i="10"/>
  <c r="BP439" i="10"/>
  <c r="BK439" i="10"/>
  <c r="BA439" i="10"/>
  <c r="AW439" i="10"/>
  <c r="AR439" i="10"/>
  <c r="AN439" i="10"/>
  <c r="AI439" i="10"/>
  <c r="CB439" i="10"/>
  <c r="BS439" i="10"/>
  <c r="BO439" i="10"/>
  <c r="BD439" i="10"/>
  <c r="AZ439" i="10"/>
  <c r="AQ439" i="10"/>
  <c r="AM439" i="10"/>
  <c r="AH439" i="10"/>
  <c r="BR439" i="10"/>
  <c r="AP439" i="10"/>
  <c r="BU439" i="10" s="1"/>
  <c r="BN439" i="10"/>
  <c r="AL439" i="10"/>
  <c r="CA439" i="10"/>
  <c r="AY439" i="10"/>
  <c r="BW439" i="10"/>
  <c r="AT439" i="10"/>
  <c r="BI439" i="10"/>
  <c r="BL439" i="10"/>
  <c r="AF439" i="10"/>
  <c r="AE438" i="10"/>
  <c r="B440" i="10"/>
  <c r="CD440" i="10" s="1"/>
  <c r="BJ440" i="10" l="1"/>
  <c r="AV439" i="10"/>
  <c r="AU439" i="10"/>
  <c r="BG439" i="10" s="1"/>
  <c r="BX439" i="10"/>
  <c r="BZ440" i="10"/>
  <c r="BV440" i="10"/>
  <c r="BR440" i="10"/>
  <c r="BN440" i="10"/>
  <c r="BI440" i="10"/>
  <c r="AY440" i="10"/>
  <c r="AQ440" i="10"/>
  <c r="AM440" i="10"/>
  <c r="AH440" i="10"/>
  <c r="BX440" i="10" s="1"/>
  <c r="CC440" i="10"/>
  <c r="BY440" i="10"/>
  <c r="BQ440" i="10"/>
  <c r="BH440" i="10"/>
  <c r="BB440" i="10"/>
  <c r="AX440" i="10"/>
  <c r="AT440" i="10"/>
  <c r="AP440" i="10"/>
  <c r="BU440" i="10" s="1"/>
  <c r="AL440" i="10"/>
  <c r="CB440" i="10"/>
  <c r="BP440" i="10"/>
  <c r="BK440" i="10"/>
  <c r="BA440" i="10"/>
  <c r="AW440" i="10"/>
  <c r="AS440" i="10"/>
  <c r="AO440" i="10"/>
  <c r="AK440" i="10"/>
  <c r="CA440" i="10"/>
  <c r="AN440" i="10"/>
  <c r="BW440" i="10"/>
  <c r="AZ440" i="10"/>
  <c r="AI440" i="10"/>
  <c r="BS440" i="10"/>
  <c r="AR440" i="10"/>
  <c r="BD440" i="10"/>
  <c r="BO440" i="10"/>
  <c r="BL440" i="10"/>
  <c r="BT439" i="10"/>
  <c r="AF440" i="10"/>
  <c r="AE439" i="10"/>
  <c r="B441" i="10"/>
  <c r="CD441" i="10" s="1"/>
  <c r="BJ441" i="10" l="1"/>
  <c r="BT440" i="10"/>
  <c r="CC441" i="10"/>
  <c r="BY441" i="10"/>
  <c r="BS441" i="10"/>
  <c r="BO441" i="10"/>
  <c r="BD441" i="10"/>
  <c r="AZ441" i="10"/>
  <c r="AQ441" i="10"/>
  <c r="AM441" i="10"/>
  <c r="AH441" i="10"/>
  <c r="CB441" i="10"/>
  <c r="BW441" i="10"/>
  <c r="BR441" i="10"/>
  <c r="BN441" i="10"/>
  <c r="BI441" i="10"/>
  <c r="AY441" i="10"/>
  <c r="AT441" i="10"/>
  <c r="AP441" i="10"/>
  <c r="AL441" i="10"/>
  <c r="CA441" i="10"/>
  <c r="BV441" i="10"/>
  <c r="BQ441" i="10"/>
  <c r="BH441" i="10"/>
  <c r="BB441" i="10"/>
  <c r="AX441" i="10"/>
  <c r="AS441" i="10"/>
  <c r="AO441" i="10"/>
  <c r="AK441" i="10"/>
  <c r="BZ441" i="10"/>
  <c r="BK441" i="10"/>
  <c r="AW441" i="10"/>
  <c r="AR441" i="10"/>
  <c r="BP441" i="10"/>
  <c r="AN441" i="10"/>
  <c r="BA441" i="10"/>
  <c r="AI441" i="10"/>
  <c r="BL441" i="10"/>
  <c r="AV440" i="10"/>
  <c r="AU440" i="10"/>
  <c r="BG440" i="10" s="1"/>
  <c r="AF441" i="10"/>
  <c r="AE440" i="10"/>
  <c r="B442" i="10"/>
  <c r="CD442" i="10" s="1"/>
  <c r="BJ442" i="10" l="1"/>
  <c r="AU441" i="10"/>
  <c r="BG441" i="10" s="1"/>
  <c r="BU441" i="10"/>
  <c r="BX441" i="10"/>
  <c r="BT441" i="10"/>
  <c r="BZ442" i="10"/>
  <c r="BS442" i="10"/>
  <c r="BO442" i="10"/>
  <c r="BD442" i="10"/>
  <c r="AZ442" i="10"/>
  <c r="AT442" i="10"/>
  <c r="AP442" i="10"/>
  <c r="BU442" i="10" s="1"/>
  <c r="AL442" i="10"/>
  <c r="CC442" i="10"/>
  <c r="BY442" i="10"/>
  <c r="BR442" i="10"/>
  <c r="BN442" i="10"/>
  <c r="BI442" i="10"/>
  <c r="AY442" i="10"/>
  <c r="AS442" i="10"/>
  <c r="AO442" i="10"/>
  <c r="AK442" i="10"/>
  <c r="CB442" i="10"/>
  <c r="BW442" i="10"/>
  <c r="BQ442" i="10"/>
  <c r="BH442" i="10"/>
  <c r="BB442" i="10"/>
  <c r="AX442" i="10"/>
  <c r="AR442" i="10"/>
  <c r="AN442" i="10"/>
  <c r="AI442" i="10"/>
  <c r="CA442" i="10"/>
  <c r="BK442" i="10"/>
  <c r="AW442" i="10"/>
  <c r="BV442" i="10"/>
  <c r="AQ442" i="10"/>
  <c r="BP442" i="10"/>
  <c r="AM442" i="10"/>
  <c r="BA442" i="10"/>
  <c r="AH442" i="10"/>
  <c r="BX442" i="10" s="1"/>
  <c r="BL442" i="10"/>
  <c r="AV441" i="10"/>
  <c r="AF442" i="10"/>
  <c r="AE441" i="10"/>
  <c r="B443" i="10"/>
  <c r="CD443" i="10" s="1"/>
  <c r="BJ443" i="10" l="1"/>
  <c r="AU442" i="10"/>
  <c r="BG442" i="10" s="1"/>
  <c r="AV442" i="10"/>
  <c r="BT442" i="10"/>
  <c r="CB443" i="10"/>
  <c r="BS443" i="10"/>
  <c r="BO443" i="10"/>
  <c r="BD443" i="10"/>
  <c r="AZ443" i="10"/>
  <c r="AQ443" i="10"/>
  <c r="AM443" i="10"/>
  <c r="AH443" i="10"/>
  <c r="BX443" i="10" s="1"/>
  <c r="CA443" i="10"/>
  <c r="BW443" i="10"/>
  <c r="BR443" i="10"/>
  <c r="BN443" i="10"/>
  <c r="BI443" i="10"/>
  <c r="AY443" i="10"/>
  <c r="AT443" i="10"/>
  <c r="AP443" i="10"/>
  <c r="BU443" i="10" s="1"/>
  <c r="AL443" i="10"/>
  <c r="BZ443" i="10"/>
  <c r="BV443" i="10"/>
  <c r="BQ443" i="10"/>
  <c r="BH443" i="10"/>
  <c r="BB443" i="10"/>
  <c r="AX443" i="10"/>
  <c r="AS443" i="10"/>
  <c r="AO443" i="10"/>
  <c r="AK443" i="10"/>
  <c r="BY443" i="10"/>
  <c r="BK443" i="10"/>
  <c r="AW443" i="10"/>
  <c r="AR443" i="10"/>
  <c r="BP443" i="10"/>
  <c r="AN443" i="10"/>
  <c r="AI443" i="10"/>
  <c r="CC443" i="10"/>
  <c r="BA443" i="10"/>
  <c r="BL443" i="10"/>
  <c r="AF443" i="10"/>
  <c r="AE442" i="10"/>
  <c r="B444" i="10"/>
  <c r="CD444" i="10" s="1"/>
  <c r="BJ444" i="10" l="1"/>
  <c r="BT443" i="10"/>
  <c r="AV443" i="10"/>
  <c r="AU443" i="10"/>
  <c r="BG443" i="10" s="1"/>
  <c r="CB444" i="10"/>
  <c r="BP444" i="10"/>
  <c r="BK444" i="10"/>
  <c r="BA444" i="10"/>
  <c r="AW444" i="10"/>
  <c r="AS444" i="10"/>
  <c r="AO444" i="10"/>
  <c r="AK444" i="10"/>
  <c r="CA444" i="10"/>
  <c r="BW444" i="10"/>
  <c r="BS444" i="10"/>
  <c r="BO444" i="10"/>
  <c r="BD444" i="10"/>
  <c r="AZ444" i="10"/>
  <c r="AR444" i="10"/>
  <c r="AN444" i="10"/>
  <c r="AI444" i="10"/>
  <c r="BZ444" i="10"/>
  <c r="BV444" i="10"/>
  <c r="BR444" i="10"/>
  <c r="BN444" i="10"/>
  <c r="BI444" i="10"/>
  <c r="AY444" i="10"/>
  <c r="AQ444" i="10"/>
  <c r="AM444" i="10"/>
  <c r="AH444" i="10"/>
  <c r="AT444" i="10"/>
  <c r="BQ444" i="10"/>
  <c r="AP444" i="10"/>
  <c r="BU444" i="10" s="1"/>
  <c r="CC444" i="10"/>
  <c r="BB444" i="10"/>
  <c r="AL444" i="10"/>
  <c r="BY444" i="10"/>
  <c r="AX444" i="10"/>
  <c r="BH444" i="10"/>
  <c r="BL444" i="10"/>
  <c r="AF444" i="10"/>
  <c r="AE443" i="10"/>
  <c r="B445" i="10"/>
  <c r="CD445" i="10" s="1"/>
  <c r="BJ445" i="10" l="1"/>
  <c r="AU444" i="10"/>
  <c r="BG444" i="10" s="1"/>
  <c r="CA445" i="10"/>
  <c r="BV445" i="10"/>
  <c r="BQ445" i="10"/>
  <c r="BH445" i="10"/>
  <c r="BB445" i="10"/>
  <c r="AX445" i="10"/>
  <c r="AS445" i="10"/>
  <c r="AO445" i="10"/>
  <c r="AK445" i="10"/>
  <c r="BZ445" i="10"/>
  <c r="BP445" i="10"/>
  <c r="BK445" i="10"/>
  <c r="BA445" i="10"/>
  <c r="AW445" i="10"/>
  <c r="AR445" i="10"/>
  <c r="AN445" i="10"/>
  <c r="AI445" i="10"/>
  <c r="CC445" i="10"/>
  <c r="BY445" i="10"/>
  <c r="BS445" i="10"/>
  <c r="BO445" i="10"/>
  <c r="BD445" i="10"/>
  <c r="AZ445" i="10"/>
  <c r="AQ445" i="10"/>
  <c r="AM445" i="10"/>
  <c r="AH445" i="10"/>
  <c r="BR445" i="10"/>
  <c r="AP445" i="10"/>
  <c r="AV445" i="10" s="1"/>
  <c r="BN445" i="10"/>
  <c r="AL445" i="10"/>
  <c r="CB445" i="10"/>
  <c r="AY445" i="10"/>
  <c r="AT445" i="10"/>
  <c r="BI445" i="10"/>
  <c r="BW445" i="10"/>
  <c r="BL445" i="10"/>
  <c r="BT444" i="10"/>
  <c r="AV444" i="10"/>
  <c r="BX444" i="10"/>
  <c r="AF445" i="10"/>
  <c r="AE444" i="10"/>
  <c r="B446" i="10"/>
  <c r="CD446" i="10" s="1"/>
  <c r="BJ446" i="10" l="1"/>
  <c r="BX445" i="10"/>
  <c r="CB446" i="10"/>
  <c r="BW446" i="10"/>
  <c r="BQ446" i="10"/>
  <c r="BH446" i="10"/>
  <c r="BB446" i="10"/>
  <c r="AX446" i="10"/>
  <c r="AR446" i="10"/>
  <c r="AN446" i="10"/>
  <c r="AI446" i="10"/>
  <c r="CA446" i="10"/>
  <c r="BV446" i="10"/>
  <c r="BP446" i="10"/>
  <c r="BK446" i="10"/>
  <c r="BA446" i="10"/>
  <c r="AW446" i="10"/>
  <c r="AQ446" i="10"/>
  <c r="AM446" i="10"/>
  <c r="AH446" i="10"/>
  <c r="BT446" i="10" s="1"/>
  <c r="BZ446" i="10"/>
  <c r="BS446" i="10"/>
  <c r="BO446" i="10"/>
  <c r="BD446" i="10"/>
  <c r="AZ446" i="10"/>
  <c r="AT446" i="10"/>
  <c r="AP446" i="10"/>
  <c r="BU446" i="10" s="1"/>
  <c r="AL446" i="10"/>
  <c r="BR446" i="10"/>
  <c r="AO446" i="10"/>
  <c r="BN446" i="10"/>
  <c r="AK446" i="10"/>
  <c r="CC446" i="10"/>
  <c r="AY446" i="10"/>
  <c r="BY446" i="10"/>
  <c r="AS446" i="10"/>
  <c r="BI446" i="10"/>
  <c r="BL446" i="10"/>
  <c r="BT445" i="10"/>
  <c r="AU445" i="10"/>
  <c r="BG445" i="10" s="1"/>
  <c r="BU445" i="10"/>
  <c r="AF446" i="10"/>
  <c r="AE445" i="10"/>
  <c r="B447" i="10"/>
  <c r="CD447" i="10" s="1"/>
  <c r="BJ447" i="10" l="1"/>
  <c r="BX446" i="10"/>
  <c r="AV446" i="10"/>
  <c r="BZ447" i="10"/>
  <c r="BV447" i="10"/>
  <c r="BQ447" i="10"/>
  <c r="BH447" i="10"/>
  <c r="BB447" i="10"/>
  <c r="AX447" i="10"/>
  <c r="AS447" i="10"/>
  <c r="AO447" i="10"/>
  <c r="AK447" i="10"/>
  <c r="CC447" i="10"/>
  <c r="BY447" i="10"/>
  <c r="BP447" i="10"/>
  <c r="BK447" i="10"/>
  <c r="BA447" i="10"/>
  <c r="AW447" i="10"/>
  <c r="AR447" i="10"/>
  <c r="AN447" i="10"/>
  <c r="AI447" i="10"/>
  <c r="CB447" i="10"/>
  <c r="BS447" i="10"/>
  <c r="BO447" i="10"/>
  <c r="BD447" i="10"/>
  <c r="AZ447" i="10"/>
  <c r="AQ447" i="10"/>
  <c r="AM447" i="10"/>
  <c r="AH447" i="10"/>
  <c r="BX447" i="10" s="1"/>
  <c r="BR447" i="10"/>
  <c r="AP447" i="10"/>
  <c r="BU447" i="10" s="1"/>
  <c r="BN447" i="10"/>
  <c r="AL447" i="10"/>
  <c r="CA447" i="10"/>
  <c r="AY447" i="10"/>
  <c r="AT447" i="10"/>
  <c r="BI447" i="10"/>
  <c r="BW447" i="10"/>
  <c r="BL447" i="10"/>
  <c r="AU446" i="10"/>
  <c r="BG446" i="10" s="1"/>
  <c r="AF447" i="10"/>
  <c r="AE446" i="10"/>
  <c r="B448" i="10"/>
  <c r="CD448" i="10" s="1"/>
  <c r="BJ448" i="10" l="1"/>
  <c r="AV447" i="10"/>
  <c r="AU447" i="10"/>
  <c r="BG447" i="10" s="1"/>
  <c r="BZ448" i="10"/>
  <c r="BV448" i="10"/>
  <c r="BR448" i="10"/>
  <c r="BN448" i="10"/>
  <c r="BI448" i="10"/>
  <c r="AY448" i="10"/>
  <c r="AQ448" i="10"/>
  <c r="AM448" i="10"/>
  <c r="AH448" i="10"/>
  <c r="BT448" i="10" s="1"/>
  <c r="CC448" i="10"/>
  <c r="BY448" i="10"/>
  <c r="BQ448" i="10"/>
  <c r="BH448" i="10"/>
  <c r="BB448" i="10"/>
  <c r="AX448" i="10"/>
  <c r="AT448" i="10"/>
  <c r="AP448" i="10"/>
  <c r="BU448" i="10" s="1"/>
  <c r="AL448" i="10"/>
  <c r="CB448" i="10"/>
  <c r="BP448" i="10"/>
  <c r="BK448" i="10"/>
  <c r="BA448" i="10"/>
  <c r="AW448" i="10"/>
  <c r="AS448" i="10"/>
  <c r="AO448" i="10"/>
  <c r="AK448" i="10"/>
  <c r="CA448" i="10"/>
  <c r="AN448" i="10"/>
  <c r="BW448" i="10"/>
  <c r="AZ448" i="10"/>
  <c r="AI448" i="10"/>
  <c r="BS448" i="10"/>
  <c r="BD448" i="10"/>
  <c r="BO448" i="10"/>
  <c r="AR448" i="10"/>
  <c r="BL448" i="10"/>
  <c r="BT447" i="10"/>
  <c r="AF448" i="10"/>
  <c r="AE447" i="10"/>
  <c r="B449" i="10"/>
  <c r="CD449" i="10" s="1"/>
  <c r="BJ449" i="10" l="1"/>
  <c r="AU448" i="10"/>
  <c r="BG448" i="10" s="1"/>
  <c r="CC449" i="10"/>
  <c r="BY449" i="10"/>
  <c r="BS449" i="10"/>
  <c r="BO449" i="10"/>
  <c r="BD449" i="10"/>
  <c r="AZ449" i="10"/>
  <c r="AQ449" i="10"/>
  <c r="AM449" i="10"/>
  <c r="AH449" i="10"/>
  <c r="BT449" i="10" s="1"/>
  <c r="CB449" i="10"/>
  <c r="BW449" i="10"/>
  <c r="BR449" i="10"/>
  <c r="BN449" i="10"/>
  <c r="BI449" i="10"/>
  <c r="AY449" i="10"/>
  <c r="AT449" i="10"/>
  <c r="AP449" i="10"/>
  <c r="AL449" i="10"/>
  <c r="CA449" i="10"/>
  <c r="BV449" i="10"/>
  <c r="BQ449" i="10"/>
  <c r="BH449" i="10"/>
  <c r="BB449" i="10"/>
  <c r="AX449" i="10"/>
  <c r="AS449" i="10"/>
  <c r="AO449" i="10"/>
  <c r="AK449" i="10"/>
  <c r="BZ449" i="10"/>
  <c r="BK449" i="10"/>
  <c r="AW449" i="10"/>
  <c r="AR449" i="10"/>
  <c r="BP449" i="10"/>
  <c r="AN449" i="10"/>
  <c r="AI449" i="10"/>
  <c r="BA449" i="10"/>
  <c r="BL449" i="10"/>
  <c r="AV448" i="10"/>
  <c r="BX448" i="10"/>
  <c r="AF449" i="10"/>
  <c r="AE448" i="10"/>
  <c r="B450" i="10"/>
  <c r="CD450" i="10" s="1"/>
  <c r="BJ450" i="10" l="1"/>
  <c r="AU449" i="10"/>
  <c r="BG449" i="10" s="1"/>
  <c r="BU449" i="10"/>
  <c r="BX449" i="10"/>
  <c r="BZ450" i="10"/>
  <c r="BS450" i="10"/>
  <c r="BO450" i="10"/>
  <c r="BD450" i="10"/>
  <c r="AZ450" i="10"/>
  <c r="AT450" i="10"/>
  <c r="AP450" i="10"/>
  <c r="BU450" i="10" s="1"/>
  <c r="AL450" i="10"/>
  <c r="CC450" i="10"/>
  <c r="BY450" i="10"/>
  <c r="BR450" i="10"/>
  <c r="BN450" i="10"/>
  <c r="BI450" i="10"/>
  <c r="AY450" i="10"/>
  <c r="AS450" i="10"/>
  <c r="AO450" i="10"/>
  <c r="AK450" i="10"/>
  <c r="CB450" i="10"/>
  <c r="BW450" i="10"/>
  <c r="BQ450" i="10"/>
  <c r="BH450" i="10"/>
  <c r="BB450" i="10"/>
  <c r="AX450" i="10"/>
  <c r="AR450" i="10"/>
  <c r="AN450" i="10"/>
  <c r="AI450" i="10"/>
  <c r="CA450" i="10"/>
  <c r="BK450" i="10"/>
  <c r="AW450" i="10"/>
  <c r="BV450" i="10"/>
  <c r="AQ450" i="10"/>
  <c r="BP450" i="10"/>
  <c r="AM450" i="10"/>
  <c r="BA450" i="10"/>
  <c r="AH450" i="10"/>
  <c r="BT450" i="10" s="1"/>
  <c r="BL450" i="10"/>
  <c r="AV449" i="10"/>
  <c r="AF450" i="10"/>
  <c r="AE449" i="10"/>
  <c r="B451" i="10"/>
  <c r="CD451" i="10" s="1"/>
  <c r="BJ451" i="10" l="1"/>
  <c r="AV450" i="10"/>
  <c r="AU450" i="10"/>
  <c r="BG450" i="10" s="1"/>
  <c r="CB451" i="10"/>
  <c r="BS451" i="10"/>
  <c r="BO451" i="10"/>
  <c r="BD451" i="10"/>
  <c r="AZ451" i="10"/>
  <c r="AQ451" i="10"/>
  <c r="AM451" i="10"/>
  <c r="AH451" i="10"/>
  <c r="BT451" i="10" s="1"/>
  <c r="CA451" i="10"/>
  <c r="BW451" i="10"/>
  <c r="BR451" i="10"/>
  <c r="BN451" i="10"/>
  <c r="BI451" i="10"/>
  <c r="AY451" i="10"/>
  <c r="AT451" i="10"/>
  <c r="AP451" i="10"/>
  <c r="BU451" i="10" s="1"/>
  <c r="AL451" i="10"/>
  <c r="BZ451" i="10"/>
  <c r="BV451" i="10"/>
  <c r="BQ451" i="10"/>
  <c r="BH451" i="10"/>
  <c r="BB451" i="10"/>
  <c r="AX451" i="10"/>
  <c r="AS451" i="10"/>
  <c r="AO451" i="10"/>
  <c r="AK451" i="10"/>
  <c r="BY451" i="10"/>
  <c r="BK451" i="10"/>
  <c r="AW451" i="10"/>
  <c r="AR451" i="10"/>
  <c r="BP451" i="10"/>
  <c r="AN451" i="10"/>
  <c r="CC451" i="10"/>
  <c r="BA451" i="10"/>
  <c r="AI451" i="10"/>
  <c r="BL451" i="10"/>
  <c r="BX450" i="10"/>
  <c r="AF451" i="10"/>
  <c r="AE450" i="10"/>
  <c r="B452" i="10"/>
  <c r="CD452" i="10" s="1"/>
  <c r="BJ452" i="10" l="1"/>
  <c r="BX451" i="10"/>
  <c r="AV451" i="10"/>
  <c r="CB452" i="10"/>
  <c r="BP452" i="10"/>
  <c r="BK452" i="10"/>
  <c r="BA452" i="10"/>
  <c r="AW452" i="10"/>
  <c r="AS452" i="10"/>
  <c r="AO452" i="10"/>
  <c r="AK452" i="10"/>
  <c r="CA452" i="10"/>
  <c r="BW452" i="10"/>
  <c r="BS452" i="10"/>
  <c r="BO452" i="10"/>
  <c r="BD452" i="10"/>
  <c r="AZ452" i="10"/>
  <c r="AR452" i="10"/>
  <c r="AN452" i="10"/>
  <c r="AI452" i="10"/>
  <c r="BZ452" i="10"/>
  <c r="BV452" i="10"/>
  <c r="BR452" i="10"/>
  <c r="BN452" i="10"/>
  <c r="BI452" i="10"/>
  <c r="AY452" i="10"/>
  <c r="AQ452" i="10"/>
  <c r="AM452" i="10"/>
  <c r="AH452" i="10"/>
  <c r="AT452" i="10"/>
  <c r="BQ452" i="10"/>
  <c r="AP452" i="10"/>
  <c r="BU452" i="10" s="1"/>
  <c r="CC452" i="10"/>
  <c r="BB452" i="10"/>
  <c r="AL452" i="10"/>
  <c r="AX452" i="10"/>
  <c r="BH452" i="10"/>
  <c r="BY452" i="10"/>
  <c r="BL452" i="10"/>
  <c r="AU451" i="10"/>
  <c r="BG451" i="10" s="1"/>
  <c r="AF452" i="10"/>
  <c r="AE451" i="10"/>
  <c r="B453" i="10"/>
  <c r="CD453" i="10" s="1"/>
  <c r="BJ453" i="10" l="1"/>
  <c r="AU452" i="10"/>
  <c r="BG452" i="10" s="1"/>
  <c r="BT452" i="10"/>
  <c r="AV452" i="10"/>
  <c r="BX452" i="10"/>
  <c r="CB453" i="10"/>
  <c r="BW453" i="10"/>
  <c r="BR453" i="10"/>
  <c r="BN453" i="10"/>
  <c r="BI453" i="10"/>
  <c r="AY453" i="10"/>
  <c r="AT453" i="10"/>
  <c r="AP453" i="10"/>
  <c r="AV453" i="10" s="1"/>
  <c r="AL453" i="10"/>
  <c r="CA453" i="10"/>
  <c r="BO453" i="10"/>
  <c r="BH453" i="10"/>
  <c r="BB453" i="10"/>
  <c r="AW453" i="10"/>
  <c r="AQ453" i="10"/>
  <c r="AK453" i="10"/>
  <c r="BZ453" i="10"/>
  <c r="BS453" i="10"/>
  <c r="BA453" i="10"/>
  <c r="AO453" i="10"/>
  <c r="AI453" i="10"/>
  <c r="BY453" i="10"/>
  <c r="BQ453" i="10"/>
  <c r="BK453" i="10"/>
  <c r="BD453" i="10"/>
  <c r="AZ453" i="10"/>
  <c r="AS453" i="10"/>
  <c r="AN453" i="10"/>
  <c r="AH453" i="10"/>
  <c r="BT453" i="10" s="1"/>
  <c r="CC453" i="10"/>
  <c r="AR453" i="10"/>
  <c r="BV453" i="10"/>
  <c r="AM453" i="10"/>
  <c r="BP453" i="10"/>
  <c r="AX453" i="10"/>
  <c r="BL453" i="10"/>
  <c r="AF453" i="10"/>
  <c r="AE452" i="10"/>
  <c r="B454" i="10"/>
  <c r="CD454" i="10" s="1"/>
  <c r="BJ454" i="10" l="1"/>
  <c r="AU453" i="10"/>
  <c r="BG453" i="10" s="1"/>
  <c r="BU453" i="10"/>
  <c r="CC454" i="10"/>
  <c r="BY454" i="10"/>
  <c r="BR454" i="10"/>
  <c r="BN454" i="10"/>
  <c r="BI454" i="10"/>
  <c r="AY454" i="10"/>
  <c r="AS454" i="10"/>
  <c r="AO454" i="10"/>
  <c r="AK454" i="10"/>
  <c r="BW454" i="10"/>
  <c r="BP454" i="10"/>
  <c r="AX454" i="10"/>
  <c r="AQ454" i="10"/>
  <c r="AL454" i="10"/>
  <c r="CB454" i="10"/>
  <c r="BV454" i="10"/>
  <c r="BO454" i="10"/>
  <c r="BH454" i="10"/>
  <c r="BB454" i="10"/>
  <c r="AW454" i="10"/>
  <c r="AP454" i="10"/>
  <c r="BU454" i="10" s="1"/>
  <c r="AI454" i="10"/>
  <c r="CA454" i="10"/>
  <c r="BS454" i="10"/>
  <c r="BA454" i="10"/>
  <c r="AT454" i="10"/>
  <c r="AN454" i="10"/>
  <c r="AH454" i="10"/>
  <c r="BX454" i="10" s="1"/>
  <c r="BK454" i="10"/>
  <c r="AZ454" i="10"/>
  <c r="BZ454" i="10"/>
  <c r="AR454" i="10"/>
  <c r="BD454" i="10"/>
  <c r="BQ454" i="10"/>
  <c r="AM454" i="10"/>
  <c r="BL454" i="10"/>
  <c r="BX453" i="10"/>
  <c r="AF454" i="10"/>
  <c r="AE453" i="10"/>
  <c r="B455" i="10"/>
  <c r="CD455" i="10" s="1"/>
  <c r="BJ455" i="10" l="1"/>
  <c r="BT454" i="10"/>
  <c r="AU454" i="10"/>
  <c r="BG454" i="10" s="1"/>
  <c r="AV454" i="10"/>
  <c r="CA455" i="10"/>
  <c r="BW455" i="10"/>
  <c r="BR455" i="10"/>
  <c r="BN455" i="10"/>
  <c r="BI455" i="10"/>
  <c r="AY455" i="10"/>
  <c r="AT455" i="10"/>
  <c r="AP455" i="10"/>
  <c r="BU455" i="10" s="1"/>
  <c r="AL455" i="10"/>
  <c r="CC455" i="10"/>
  <c r="BY455" i="10"/>
  <c r="BQ455" i="10"/>
  <c r="BK455" i="10"/>
  <c r="BD455" i="10"/>
  <c r="AZ455" i="10"/>
  <c r="AS455" i="10"/>
  <c r="AN455" i="10"/>
  <c r="AH455" i="10"/>
  <c r="BX455" i="10" s="1"/>
  <c r="BV455" i="10"/>
  <c r="BP455" i="10"/>
  <c r="AX455" i="10"/>
  <c r="AR455" i="10"/>
  <c r="AM455" i="10"/>
  <c r="CB455" i="10"/>
  <c r="BO455" i="10"/>
  <c r="BH455" i="10"/>
  <c r="BB455" i="10"/>
  <c r="AW455" i="10"/>
  <c r="AQ455" i="10"/>
  <c r="AK455" i="10"/>
  <c r="AO455" i="10"/>
  <c r="BZ455" i="10"/>
  <c r="AI455" i="10"/>
  <c r="BS455" i="10"/>
  <c r="BA455" i="10"/>
  <c r="BL455" i="10"/>
  <c r="AF455" i="10"/>
  <c r="AE454" i="10"/>
  <c r="B456" i="10"/>
  <c r="CD456" i="10" s="1"/>
  <c r="BJ456" i="10" l="1"/>
  <c r="BT455" i="10"/>
  <c r="AU455" i="10"/>
  <c r="BG455" i="10" s="1"/>
  <c r="AV455" i="10"/>
  <c r="CA456" i="10"/>
  <c r="BW456" i="10"/>
  <c r="BS456" i="10"/>
  <c r="BO456" i="10"/>
  <c r="BD456" i="10"/>
  <c r="AZ456" i="10"/>
  <c r="AR456" i="10"/>
  <c r="AN456" i="10"/>
  <c r="AI456" i="10"/>
  <c r="BZ456" i="10"/>
  <c r="CC456" i="10"/>
  <c r="BY456" i="10"/>
  <c r="BQ456" i="10"/>
  <c r="BH456" i="10"/>
  <c r="BB456" i="10"/>
  <c r="AX456" i="10"/>
  <c r="AT456" i="10"/>
  <c r="AP456" i="10"/>
  <c r="BU456" i="10" s="1"/>
  <c r="AL456" i="10"/>
  <c r="CB456" i="10"/>
  <c r="BR456" i="10"/>
  <c r="BK456" i="10"/>
  <c r="BA456" i="10"/>
  <c r="AS456" i="10"/>
  <c r="AK456" i="10"/>
  <c r="BP456" i="10"/>
  <c r="BI456" i="10"/>
  <c r="AY456" i="10"/>
  <c r="AQ456" i="10"/>
  <c r="AH456" i="10"/>
  <c r="BT456" i="10" s="1"/>
  <c r="BV456" i="10"/>
  <c r="BN456" i="10"/>
  <c r="AW456" i="10"/>
  <c r="AO456" i="10"/>
  <c r="AM456" i="10"/>
  <c r="BL456" i="10"/>
  <c r="AF456" i="10"/>
  <c r="AE455" i="10"/>
  <c r="B457" i="10"/>
  <c r="CD457" i="10" s="1"/>
  <c r="BJ457" i="10" l="1"/>
  <c r="AU456" i="10"/>
  <c r="BG456" i="10" s="1"/>
  <c r="BX456" i="10"/>
  <c r="AV456" i="10"/>
  <c r="BZ457" i="10"/>
  <c r="BP457" i="10"/>
  <c r="BK457" i="10"/>
  <c r="BA457" i="10"/>
  <c r="AW457" i="10"/>
  <c r="AR457" i="10"/>
  <c r="AN457" i="10"/>
  <c r="AI457" i="10"/>
  <c r="CC457" i="10"/>
  <c r="BY457" i="10"/>
  <c r="BS457" i="10"/>
  <c r="BO457" i="10"/>
  <c r="BD457" i="10"/>
  <c r="AZ457" i="10"/>
  <c r="AQ457" i="10"/>
  <c r="AM457" i="10"/>
  <c r="AH457" i="10"/>
  <c r="CB457" i="10"/>
  <c r="BW457" i="10"/>
  <c r="BR457" i="10"/>
  <c r="BN457" i="10"/>
  <c r="BI457" i="10"/>
  <c r="AY457" i="10"/>
  <c r="AT457" i="10"/>
  <c r="AP457" i="10"/>
  <c r="AL457" i="10"/>
  <c r="CA457" i="10"/>
  <c r="BH457" i="10"/>
  <c r="AX457" i="10"/>
  <c r="BV457" i="10"/>
  <c r="AS457" i="10"/>
  <c r="BQ457" i="10"/>
  <c r="AO457" i="10"/>
  <c r="BB457" i="10"/>
  <c r="AK457" i="10"/>
  <c r="BL457" i="10"/>
  <c r="AF457" i="10"/>
  <c r="AE456" i="10"/>
  <c r="B458" i="10"/>
  <c r="CD458" i="10" s="1"/>
  <c r="BJ458" i="10" l="1"/>
  <c r="AU457" i="10"/>
  <c r="BG457" i="10" s="1"/>
  <c r="BU457" i="10"/>
  <c r="BX457" i="10"/>
  <c r="BT457" i="10"/>
  <c r="CA458" i="10"/>
  <c r="BV458" i="10"/>
  <c r="BP458" i="10"/>
  <c r="BK458" i="10"/>
  <c r="BA458" i="10"/>
  <c r="AW458" i="10"/>
  <c r="AQ458" i="10"/>
  <c r="AM458" i="10"/>
  <c r="AH458" i="10"/>
  <c r="BT458" i="10" s="1"/>
  <c r="BZ458" i="10"/>
  <c r="BS458" i="10"/>
  <c r="BO458" i="10"/>
  <c r="BD458" i="10"/>
  <c r="AZ458" i="10"/>
  <c r="AT458" i="10"/>
  <c r="AP458" i="10"/>
  <c r="BU458" i="10" s="1"/>
  <c r="AL458" i="10"/>
  <c r="CC458" i="10"/>
  <c r="BY458" i="10"/>
  <c r="BR458" i="10"/>
  <c r="BN458" i="10"/>
  <c r="BI458" i="10"/>
  <c r="AY458" i="10"/>
  <c r="AS458" i="10"/>
  <c r="AO458" i="10"/>
  <c r="AK458" i="10"/>
  <c r="CB458" i="10"/>
  <c r="BH458" i="10"/>
  <c r="AX458" i="10"/>
  <c r="BW458" i="10"/>
  <c r="AR458" i="10"/>
  <c r="BQ458" i="10"/>
  <c r="AN458" i="10"/>
  <c r="BB458" i="10"/>
  <c r="AI458" i="10"/>
  <c r="BL458" i="10"/>
  <c r="AV457" i="10"/>
  <c r="AF458" i="10"/>
  <c r="AE457" i="10"/>
  <c r="B459" i="10"/>
  <c r="CD459" i="10" s="1"/>
  <c r="BJ459" i="10" l="1"/>
  <c r="BX458" i="10"/>
  <c r="AV458" i="10"/>
  <c r="BZ459" i="10"/>
  <c r="BP459" i="10"/>
  <c r="BK459" i="10"/>
  <c r="BA459" i="10"/>
  <c r="AW459" i="10"/>
  <c r="AR459" i="10"/>
  <c r="AN459" i="10"/>
  <c r="AI459" i="10"/>
  <c r="CC459" i="10"/>
  <c r="BY459" i="10"/>
  <c r="BS459" i="10"/>
  <c r="BO459" i="10"/>
  <c r="BD459" i="10"/>
  <c r="AZ459" i="10"/>
  <c r="AQ459" i="10"/>
  <c r="AM459" i="10"/>
  <c r="AH459" i="10"/>
  <c r="BT459" i="10" s="1"/>
  <c r="CB459" i="10"/>
  <c r="BW459" i="10"/>
  <c r="BR459" i="10"/>
  <c r="BN459" i="10"/>
  <c r="BI459" i="10"/>
  <c r="AY459" i="10"/>
  <c r="AT459" i="10"/>
  <c r="AP459" i="10"/>
  <c r="BU459" i="10" s="1"/>
  <c r="AL459" i="10"/>
  <c r="CA459" i="10"/>
  <c r="BH459" i="10"/>
  <c r="AX459" i="10"/>
  <c r="BV459" i="10"/>
  <c r="AS459" i="10"/>
  <c r="BQ459" i="10"/>
  <c r="AO459" i="10"/>
  <c r="AK459" i="10"/>
  <c r="BB459" i="10"/>
  <c r="BL459" i="10"/>
  <c r="AU458" i="10"/>
  <c r="BG458" i="10" s="1"/>
  <c r="AF459" i="10"/>
  <c r="AE458" i="10"/>
  <c r="B460" i="10"/>
  <c r="CD460" i="10" s="1"/>
  <c r="BJ460" i="10" l="1"/>
  <c r="AV459" i="10"/>
  <c r="AU459" i="10"/>
  <c r="BG459" i="10" s="1"/>
  <c r="CA460" i="10"/>
  <c r="BV460" i="10"/>
  <c r="BP460" i="10"/>
  <c r="BK460" i="10"/>
  <c r="BA460" i="10"/>
  <c r="AW460" i="10"/>
  <c r="AQ460" i="10"/>
  <c r="AM460" i="10"/>
  <c r="AH460" i="10"/>
  <c r="BX460" i="10" s="1"/>
  <c r="BZ460" i="10"/>
  <c r="BS460" i="10"/>
  <c r="BO460" i="10"/>
  <c r="BD460" i="10"/>
  <c r="AZ460" i="10"/>
  <c r="AT460" i="10"/>
  <c r="AP460" i="10"/>
  <c r="BU460" i="10" s="1"/>
  <c r="AL460" i="10"/>
  <c r="CC460" i="10"/>
  <c r="BY460" i="10"/>
  <c r="BR460" i="10"/>
  <c r="BN460" i="10"/>
  <c r="BI460" i="10"/>
  <c r="AY460" i="10"/>
  <c r="AS460" i="10"/>
  <c r="AO460" i="10"/>
  <c r="AK460" i="10"/>
  <c r="CB460" i="10"/>
  <c r="BH460" i="10"/>
  <c r="AX460" i="10"/>
  <c r="BW460" i="10"/>
  <c r="AR460" i="10"/>
  <c r="BQ460" i="10"/>
  <c r="AN460" i="10"/>
  <c r="BB460" i="10"/>
  <c r="AI460" i="10"/>
  <c r="BL460" i="10"/>
  <c r="BX459" i="10"/>
  <c r="AF460" i="10"/>
  <c r="AE459" i="10"/>
  <c r="B461" i="10"/>
  <c r="CD461" i="10" s="1"/>
  <c r="BJ461" i="10" l="1"/>
  <c r="BT460" i="10"/>
  <c r="AV460" i="10"/>
  <c r="AU460" i="10"/>
  <c r="BG460" i="10" s="1"/>
  <c r="CA461" i="10"/>
  <c r="BW461" i="10"/>
  <c r="BQ461" i="10"/>
  <c r="BH461" i="10"/>
  <c r="BB461" i="10"/>
  <c r="AX461" i="10"/>
  <c r="AR461" i="10"/>
  <c r="AN461" i="10"/>
  <c r="AI461" i="10"/>
  <c r="BZ461" i="10"/>
  <c r="BV461" i="10"/>
  <c r="BP461" i="10"/>
  <c r="BK461" i="10"/>
  <c r="BA461" i="10"/>
  <c r="AW461" i="10"/>
  <c r="AQ461" i="10"/>
  <c r="AM461" i="10"/>
  <c r="AH461" i="10"/>
  <c r="BT461" i="10" s="1"/>
  <c r="CC461" i="10"/>
  <c r="BY461" i="10"/>
  <c r="BS461" i="10"/>
  <c r="BO461" i="10"/>
  <c r="BD461" i="10"/>
  <c r="AZ461" i="10"/>
  <c r="AT461" i="10"/>
  <c r="AP461" i="10"/>
  <c r="BU461" i="10" s="1"/>
  <c r="AL461" i="10"/>
  <c r="CB461" i="10"/>
  <c r="AY461" i="10"/>
  <c r="BI461" i="10"/>
  <c r="AS461" i="10"/>
  <c r="BR461" i="10"/>
  <c r="AO461" i="10"/>
  <c r="BN461" i="10"/>
  <c r="AK461" i="10"/>
  <c r="BL461" i="10"/>
  <c r="AF461" i="10"/>
  <c r="AE460" i="10"/>
  <c r="B462" i="10"/>
  <c r="CD462" i="10" s="1"/>
  <c r="BJ462" i="10" l="1"/>
  <c r="BX461" i="10"/>
  <c r="AV461" i="10"/>
  <c r="AU461" i="10"/>
  <c r="BG461" i="10" s="1"/>
  <c r="CA462" i="10"/>
  <c r="BW462" i="10"/>
  <c r="BS462" i="10"/>
  <c r="BO462" i="10"/>
  <c r="BD462" i="10"/>
  <c r="AZ462" i="10"/>
  <c r="AR462" i="10"/>
  <c r="AN462" i="10"/>
  <c r="AI462" i="10"/>
  <c r="BZ462" i="10"/>
  <c r="BV462" i="10"/>
  <c r="BR462" i="10"/>
  <c r="BN462" i="10"/>
  <c r="BI462" i="10"/>
  <c r="AY462" i="10"/>
  <c r="AQ462" i="10"/>
  <c r="AM462" i="10"/>
  <c r="AH462" i="10"/>
  <c r="BX462" i="10" s="1"/>
  <c r="CC462" i="10"/>
  <c r="BY462" i="10"/>
  <c r="BQ462" i="10"/>
  <c r="BH462" i="10"/>
  <c r="BB462" i="10"/>
  <c r="AX462" i="10"/>
  <c r="AT462" i="10"/>
  <c r="AP462" i="10"/>
  <c r="BU462" i="10" s="1"/>
  <c r="AL462" i="10"/>
  <c r="BK462" i="10"/>
  <c r="AW462" i="10"/>
  <c r="BT462" i="10"/>
  <c r="AS462" i="10"/>
  <c r="BP462" i="10"/>
  <c r="AO462" i="10"/>
  <c r="CB462" i="10"/>
  <c r="BA462" i="10"/>
  <c r="AK462" i="10"/>
  <c r="BL462" i="10"/>
  <c r="AF462" i="10"/>
  <c r="AE461" i="10"/>
  <c r="B463" i="10"/>
  <c r="CD463" i="10" s="1"/>
  <c r="BJ463" i="10" l="1"/>
  <c r="BZ463" i="10"/>
  <c r="BP463" i="10"/>
  <c r="BK463" i="10"/>
  <c r="BA463" i="10"/>
  <c r="AW463" i="10"/>
  <c r="AR463" i="10"/>
  <c r="AN463" i="10"/>
  <c r="AI463" i="10"/>
  <c r="CC463" i="10"/>
  <c r="BY463" i="10"/>
  <c r="BS463" i="10"/>
  <c r="BO463" i="10"/>
  <c r="BD463" i="10"/>
  <c r="AZ463" i="10"/>
  <c r="AQ463" i="10"/>
  <c r="AM463" i="10"/>
  <c r="AH463" i="10"/>
  <c r="BT463" i="10" s="1"/>
  <c r="CB463" i="10"/>
  <c r="BW463" i="10"/>
  <c r="BR463" i="10"/>
  <c r="BN463" i="10"/>
  <c r="BI463" i="10"/>
  <c r="AY463" i="10"/>
  <c r="AT463" i="10"/>
  <c r="AP463" i="10"/>
  <c r="AV463" i="10" s="1"/>
  <c r="AL463" i="10"/>
  <c r="BV463" i="10"/>
  <c r="AS463" i="10"/>
  <c r="BQ463" i="10"/>
  <c r="AO463" i="10"/>
  <c r="BB463" i="10"/>
  <c r="AK463" i="10"/>
  <c r="BH463" i="10"/>
  <c r="CA463" i="10"/>
  <c r="AX463" i="10"/>
  <c r="BL463" i="10"/>
  <c r="AV462" i="10"/>
  <c r="AU462" i="10"/>
  <c r="BG462" i="10" s="1"/>
  <c r="AF463" i="10"/>
  <c r="AE462" i="10"/>
  <c r="B464" i="10"/>
  <c r="CD464" i="10" s="1"/>
  <c r="BJ464" i="10" l="1"/>
  <c r="AU463" i="10"/>
  <c r="BG463" i="10" s="1"/>
  <c r="BU463" i="10"/>
  <c r="BX463" i="10"/>
  <c r="CA464" i="10"/>
  <c r="BV464" i="10"/>
  <c r="BP464" i="10"/>
  <c r="BK464" i="10"/>
  <c r="BA464" i="10"/>
  <c r="AW464" i="10"/>
  <c r="AQ464" i="10"/>
  <c r="AM464" i="10"/>
  <c r="AH464" i="10"/>
  <c r="BX464" i="10" s="1"/>
  <c r="BZ464" i="10"/>
  <c r="BS464" i="10"/>
  <c r="BO464" i="10"/>
  <c r="BD464" i="10"/>
  <c r="AZ464" i="10"/>
  <c r="AT464" i="10"/>
  <c r="AP464" i="10"/>
  <c r="BU464" i="10" s="1"/>
  <c r="AL464" i="10"/>
  <c r="CC464" i="10"/>
  <c r="BY464" i="10"/>
  <c r="BR464" i="10"/>
  <c r="BN464" i="10"/>
  <c r="BI464" i="10"/>
  <c r="AY464" i="10"/>
  <c r="AS464" i="10"/>
  <c r="AO464" i="10"/>
  <c r="AK464" i="10"/>
  <c r="BW464" i="10"/>
  <c r="AR464" i="10"/>
  <c r="BQ464" i="10"/>
  <c r="AN464" i="10"/>
  <c r="BB464" i="10"/>
  <c r="AI464" i="10"/>
  <c r="CB464" i="10"/>
  <c r="AX464" i="10"/>
  <c r="BH464" i="10"/>
  <c r="BL464" i="10"/>
  <c r="AF464" i="10"/>
  <c r="AE463" i="10"/>
  <c r="B465" i="10"/>
  <c r="CD465" i="10" s="1"/>
  <c r="BJ465" i="10" l="1"/>
  <c r="AV464" i="10"/>
  <c r="BT464" i="10"/>
  <c r="AU464" i="10"/>
  <c r="BG464" i="10" s="1"/>
  <c r="CC465" i="10"/>
  <c r="BY465" i="10"/>
  <c r="BP465" i="10"/>
  <c r="BK465" i="10"/>
  <c r="BA465" i="10"/>
  <c r="AW465" i="10"/>
  <c r="AR465" i="10"/>
  <c r="AN465" i="10"/>
  <c r="AI465" i="10"/>
  <c r="CB465" i="10"/>
  <c r="BS465" i="10"/>
  <c r="BO465" i="10"/>
  <c r="BD465" i="10"/>
  <c r="AZ465" i="10"/>
  <c r="AQ465" i="10"/>
  <c r="AM465" i="10"/>
  <c r="AH465" i="10"/>
  <c r="BX465" i="10" s="1"/>
  <c r="CA465" i="10"/>
  <c r="BW465" i="10"/>
  <c r="BR465" i="10"/>
  <c r="BN465" i="10"/>
  <c r="BI465" i="10"/>
  <c r="AY465" i="10"/>
  <c r="AT465" i="10"/>
  <c r="AP465" i="10"/>
  <c r="BU465" i="10" s="1"/>
  <c r="AL465" i="10"/>
  <c r="BV465" i="10"/>
  <c r="AS465" i="10"/>
  <c r="BQ465" i="10"/>
  <c r="AO465" i="10"/>
  <c r="BB465" i="10"/>
  <c r="AK465" i="10"/>
  <c r="BH465" i="10"/>
  <c r="BZ465" i="10"/>
  <c r="AX465" i="10"/>
  <c r="BL465" i="10"/>
  <c r="AF465" i="10"/>
  <c r="AE464" i="10"/>
  <c r="B466" i="10"/>
  <c r="CD466" i="10" s="1"/>
  <c r="BJ466" i="10" l="1"/>
  <c r="BT465" i="10"/>
  <c r="AV465" i="10"/>
  <c r="CC466" i="10"/>
  <c r="BY466" i="10"/>
  <c r="BQ466" i="10"/>
  <c r="BH466" i="10"/>
  <c r="BB466" i="10"/>
  <c r="AX466" i="10"/>
  <c r="AT466" i="10"/>
  <c r="AP466" i="10"/>
  <c r="BU466" i="10" s="1"/>
  <c r="AL466" i="10"/>
  <c r="CB466" i="10"/>
  <c r="BP466" i="10"/>
  <c r="BK466" i="10"/>
  <c r="BA466" i="10"/>
  <c r="AW466" i="10"/>
  <c r="AS466" i="10"/>
  <c r="AO466" i="10"/>
  <c r="AK466" i="10"/>
  <c r="CA466" i="10"/>
  <c r="BW466" i="10"/>
  <c r="BS466" i="10"/>
  <c r="BO466" i="10"/>
  <c r="BD466" i="10"/>
  <c r="AZ466" i="10"/>
  <c r="AR466" i="10"/>
  <c r="AN466" i="10"/>
  <c r="AI466" i="10"/>
  <c r="BR466" i="10"/>
  <c r="AQ466" i="10"/>
  <c r="BN466" i="10"/>
  <c r="AM466" i="10"/>
  <c r="BZ466" i="10"/>
  <c r="AY466" i="10"/>
  <c r="AH466" i="10"/>
  <c r="BX466" i="10" s="1"/>
  <c r="BV466" i="10"/>
  <c r="BI466" i="10"/>
  <c r="BL466" i="10"/>
  <c r="AU465" i="10"/>
  <c r="BG465" i="10" s="1"/>
  <c r="AF466" i="10"/>
  <c r="AE465" i="10"/>
  <c r="B467" i="10"/>
  <c r="CD467" i="10" s="1"/>
  <c r="BJ467" i="10" l="1"/>
  <c r="BT466" i="10"/>
  <c r="AU466" i="10"/>
  <c r="BG466" i="10" s="1"/>
  <c r="AV466" i="10"/>
  <c r="BZ467" i="10"/>
  <c r="BP467" i="10"/>
  <c r="CA467" i="10"/>
  <c r="BS467" i="10"/>
  <c r="BN467" i="10"/>
  <c r="BI467" i="10"/>
  <c r="AY467" i="10"/>
  <c r="AT467" i="10"/>
  <c r="AP467" i="10"/>
  <c r="AV467" i="10" s="1"/>
  <c r="AL467" i="10"/>
  <c r="BY467" i="10"/>
  <c r="BR467" i="10"/>
  <c r="BH467" i="10"/>
  <c r="BB467" i="10"/>
  <c r="AX467" i="10"/>
  <c r="AS467" i="10"/>
  <c r="AO467" i="10"/>
  <c r="AK467" i="10"/>
  <c r="CC467" i="10"/>
  <c r="BW467" i="10"/>
  <c r="BQ467" i="10"/>
  <c r="BK467" i="10"/>
  <c r="BA467" i="10"/>
  <c r="AW467" i="10"/>
  <c r="AR467" i="10"/>
  <c r="AN467" i="10"/>
  <c r="AI467" i="10"/>
  <c r="AM467" i="10"/>
  <c r="CB467" i="10"/>
  <c r="AZ467" i="10"/>
  <c r="AH467" i="10"/>
  <c r="BT467" i="10" s="1"/>
  <c r="BV467" i="10"/>
  <c r="BD467" i="10"/>
  <c r="BO467" i="10"/>
  <c r="AQ467" i="10"/>
  <c r="BL467" i="10"/>
  <c r="AF467" i="10"/>
  <c r="AE466" i="10"/>
  <c r="B468" i="10"/>
  <c r="CD468" i="10" s="1"/>
  <c r="BJ468" i="10" l="1"/>
  <c r="AU467" i="10"/>
  <c r="BG467" i="10" s="1"/>
  <c r="BU467" i="10"/>
  <c r="BX467" i="10"/>
  <c r="CA468" i="10"/>
  <c r="BV468" i="10"/>
  <c r="BP468" i="10"/>
  <c r="BK468" i="10"/>
  <c r="BA468" i="10"/>
  <c r="AW468" i="10"/>
  <c r="AQ468" i="10"/>
  <c r="AM468" i="10"/>
  <c r="AH468" i="10"/>
  <c r="BX468" i="10" s="1"/>
  <c r="CC468" i="10"/>
  <c r="BW468" i="10"/>
  <c r="BO468" i="10"/>
  <c r="BI468" i="10"/>
  <c r="AX468" i="10"/>
  <c r="AP468" i="10"/>
  <c r="BU468" i="10" s="1"/>
  <c r="AK468" i="10"/>
  <c r="CB468" i="10"/>
  <c r="BS468" i="10"/>
  <c r="BN468" i="10"/>
  <c r="BH468" i="10"/>
  <c r="BB468" i="10"/>
  <c r="AT468" i="10"/>
  <c r="AO468" i="10"/>
  <c r="AI468" i="10"/>
  <c r="BZ468" i="10"/>
  <c r="BR468" i="10"/>
  <c r="AZ468" i="10"/>
  <c r="AS468" i="10"/>
  <c r="AN468" i="10"/>
  <c r="BQ468" i="10"/>
  <c r="BD468" i="10"/>
  <c r="AL468" i="10"/>
  <c r="AY468" i="10"/>
  <c r="BY468" i="10"/>
  <c r="AR468" i="10"/>
  <c r="BL468" i="10"/>
  <c r="AF468" i="10"/>
  <c r="AE467" i="10"/>
  <c r="B469" i="10"/>
  <c r="CD469" i="10" s="1"/>
  <c r="BJ469" i="10" l="1"/>
  <c r="BT468" i="10"/>
  <c r="AV468" i="10"/>
  <c r="CC469" i="10"/>
  <c r="BY469" i="10"/>
  <c r="BP469" i="10"/>
  <c r="BK469" i="10"/>
  <c r="BA469" i="10"/>
  <c r="AW469" i="10"/>
  <c r="AR469" i="10"/>
  <c r="AN469" i="10"/>
  <c r="AI469" i="10"/>
  <c r="CB469" i="10"/>
  <c r="BW469" i="10"/>
  <c r="BQ469" i="10"/>
  <c r="BD469" i="10"/>
  <c r="AY469" i="10"/>
  <c r="AS469" i="10"/>
  <c r="AM469" i="10"/>
  <c r="CA469" i="10"/>
  <c r="BV469" i="10"/>
  <c r="BO469" i="10"/>
  <c r="BI469" i="10"/>
  <c r="AX469" i="10"/>
  <c r="AQ469" i="10"/>
  <c r="AL469" i="10"/>
  <c r="BZ469" i="10"/>
  <c r="BS469" i="10"/>
  <c r="BN469" i="10"/>
  <c r="BH469" i="10"/>
  <c r="BB469" i="10"/>
  <c r="AP469" i="10"/>
  <c r="BU469" i="10" s="1"/>
  <c r="AK469" i="10"/>
  <c r="AT469" i="10"/>
  <c r="AO469" i="10"/>
  <c r="AH469" i="10"/>
  <c r="BT469" i="10" s="1"/>
  <c r="BR469" i="10"/>
  <c r="AZ469" i="10"/>
  <c r="BL469" i="10"/>
  <c r="AU468" i="10"/>
  <c r="BG468" i="10" s="1"/>
  <c r="AF469" i="10"/>
  <c r="AE468" i="10"/>
  <c r="B470" i="10"/>
  <c r="CD470" i="10" s="1"/>
  <c r="BJ470" i="10" l="1"/>
  <c r="AV469" i="10"/>
  <c r="BX469" i="10"/>
  <c r="AU469" i="10"/>
  <c r="BG469" i="10" s="1"/>
  <c r="BZ470" i="10"/>
  <c r="BV470" i="10"/>
  <c r="BR470" i="10"/>
  <c r="BN470" i="10"/>
  <c r="BI470" i="10"/>
  <c r="CC470" i="10"/>
  <c r="BY470" i="10"/>
  <c r="BQ470" i="10"/>
  <c r="BH470" i="10"/>
  <c r="BB470" i="10"/>
  <c r="AX470" i="10"/>
  <c r="AT470" i="10"/>
  <c r="AP470" i="10"/>
  <c r="BU470" i="10" s="1"/>
  <c r="AL470" i="10"/>
  <c r="CA470" i="10"/>
  <c r="BS470" i="10"/>
  <c r="BK470" i="10"/>
  <c r="AW470" i="10"/>
  <c r="AR470" i="10"/>
  <c r="AM470" i="10"/>
  <c r="BP470" i="10"/>
  <c r="BA470" i="10"/>
  <c r="AQ470" i="10"/>
  <c r="AK470" i="10"/>
  <c r="BW470" i="10"/>
  <c r="BO470" i="10"/>
  <c r="AZ470" i="10"/>
  <c r="AO470" i="10"/>
  <c r="AI470" i="10"/>
  <c r="CB470" i="10"/>
  <c r="BD470" i="10"/>
  <c r="AN470" i="10"/>
  <c r="AH470" i="10"/>
  <c r="BT470" i="10" s="1"/>
  <c r="AY470" i="10"/>
  <c r="AS470" i="10"/>
  <c r="BL470" i="10"/>
  <c r="AF470" i="10"/>
  <c r="AE469" i="10"/>
  <c r="B471" i="10"/>
  <c r="CD471" i="10" s="1"/>
  <c r="BJ471" i="10" l="1"/>
  <c r="AV470" i="10"/>
  <c r="AU470" i="10"/>
  <c r="BG470" i="10" s="1"/>
  <c r="CC471" i="10"/>
  <c r="BY471" i="10"/>
  <c r="BS471" i="10"/>
  <c r="BO471" i="10"/>
  <c r="BD471" i="10"/>
  <c r="AZ471" i="10"/>
  <c r="AQ471" i="10"/>
  <c r="AM471" i="10"/>
  <c r="AH471" i="10"/>
  <c r="CB471" i="10"/>
  <c r="BW471" i="10"/>
  <c r="BR471" i="10"/>
  <c r="BN471" i="10"/>
  <c r="BI471" i="10"/>
  <c r="AY471" i="10"/>
  <c r="AT471" i="10"/>
  <c r="AP471" i="10"/>
  <c r="AL471" i="10"/>
  <c r="BV471" i="10"/>
  <c r="AW471" i="10"/>
  <c r="AN471" i="10"/>
  <c r="BK471" i="10"/>
  <c r="BB471" i="10"/>
  <c r="AS471" i="10"/>
  <c r="AK471" i="10"/>
  <c r="CA471" i="10"/>
  <c r="BQ471" i="10"/>
  <c r="BH471" i="10"/>
  <c r="BA471" i="10"/>
  <c r="AR471" i="10"/>
  <c r="AI471" i="10"/>
  <c r="BZ471" i="10"/>
  <c r="BP471" i="10"/>
  <c r="AX471" i="10"/>
  <c r="AO471" i="10"/>
  <c r="BL471" i="10"/>
  <c r="BX470" i="10"/>
  <c r="AF471" i="10"/>
  <c r="AE470" i="10"/>
  <c r="B472" i="10"/>
  <c r="CD472" i="10" s="1"/>
  <c r="BJ472" i="10" l="1"/>
  <c r="CA472" i="10"/>
  <c r="BV472" i="10"/>
  <c r="BP472" i="10"/>
  <c r="BK472" i="10"/>
  <c r="BZ472" i="10"/>
  <c r="BS472" i="10"/>
  <c r="BO472" i="10"/>
  <c r="BD472" i="10"/>
  <c r="AZ472" i="10"/>
  <c r="AT472" i="10"/>
  <c r="AP472" i="10"/>
  <c r="BU472" i="10" s="1"/>
  <c r="AL472" i="10"/>
  <c r="CC472" i="10"/>
  <c r="BY472" i="10"/>
  <c r="BR472" i="10"/>
  <c r="BN472" i="10"/>
  <c r="BI472" i="10"/>
  <c r="AY472" i="10"/>
  <c r="AS472" i="10"/>
  <c r="AO472" i="10"/>
  <c r="AK472" i="10"/>
  <c r="BB472" i="10"/>
  <c r="AR472" i="10"/>
  <c r="AI472" i="10"/>
  <c r="CB472" i="10"/>
  <c r="BH472" i="10"/>
  <c r="BA472" i="10"/>
  <c r="AQ472" i="10"/>
  <c r="AH472" i="10"/>
  <c r="BX472" i="10" s="1"/>
  <c r="BW472" i="10"/>
  <c r="AX472" i="10"/>
  <c r="AN472" i="10"/>
  <c r="AM472" i="10"/>
  <c r="BQ472" i="10"/>
  <c r="AW472" i="10"/>
  <c r="BL472" i="10"/>
  <c r="AU471" i="10"/>
  <c r="BG471" i="10" s="1"/>
  <c r="BU471" i="10"/>
  <c r="BX471" i="10"/>
  <c r="BT471" i="10"/>
  <c r="AV471" i="10"/>
  <c r="AF472" i="10"/>
  <c r="AE471" i="10"/>
  <c r="B473" i="10"/>
  <c r="CD473" i="10" s="1"/>
  <c r="BJ473" i="10" l="1"/>
  <c r="AV472" i="10"/>
  <c r="BT472" i="10"/>
  <c r="AU472" i="10"/>
  <c r="BG472" i="10" s="1"/>
  <c r="CC473" i="10"/>
  <c r="BY473" i="10"/>
  <c r="BP473" i="10"/>
  <c r="BK473" i="10"/>
  <c r="BA473" i="10"/>
  <c r="AW473" i="10"/>
  <c r="AR473" i="10"/>
  <c r="AN473" i="10"/>
  <c r="AI473" i="10"/>
  <c r="CB473" i="10"/>
  <c r="BS473" i="10"/>
  <c r="BO473" i="10"/>
  <c r="BD473" i="10"/>
  <c r="AZ473" i="10"/>
  <c r="AQ473" i="10"/>
  <c r="AM473" i="10"/>
  <c r="AH473" i="10"/>
  <c r="BT473" i="10" s="1"/>
  <c r="CA473" i="10"/>
  <c r="BW473" i="10"/>
  <c r="BR473" i="10"/>
  <c r="BN473" i="10"/>
  <c r="BI473" i="10"/>
  <c r="AY473" i="10"/>
  <c r="AT473" i="10"/>
  <c r="AP473" i="10"/>
  <c r="BU473" i="10" s="1"/>
  <c r="AL473" i="10"/>
  <c r="BB473" i="10"/>
  <c r="AK473" i="10"/>
  <c r="BZ473" i="10"/>
  <c r="BH473" i="10"/>
  <c r="AX473" i="10"/>
  <c r="BV473" i="10"/>
  <c r="AS473" i="10"/>
  <c r="BQ473" i="10"/>
  <c r="AO473" i="10"/>
  <c r="BL473" i="10"/>
  <c r="AF473" i="10"/>
  <c r="AE472" i="10"/>
  <c r="B474" i="10"/>
  <c r="CD474" i="10" s="1"/>
  <c r="BJ474" i="10" l="1"/>
  <c r="BX473" i="10"/>
  <c r="AV473" i="10"/>
  <c r="AU473" i="10"/>
  <c r="BG473" i="10" s="1"/>
  <c r="CC474" i="10"/>
  <c r="BY474" i="10"/>
  <c r="BQ474" i="10"/>
  <c r="BH474" i="10"/>
  <c r="BB474" i="10"/>
  <c r="AX474" i="10"/>
  <c r="AT474" i="10"/>
  <c r="AP474" i="10"/>
  <c r="BU474" i="10" s="1"/>
  <c r="AL474" i="10"/>
  <c r="CB474" i="10"/>
  <c r="BP474" i="10"/>
  <c r="BK474" i="10"/>
  <c r="BA474" i="10"/>
  <c r="AW474" i="10"/>
  <c r="AS474" i="10"/>
  <c r="AO474" i="10"/>
  <c r="AK474" i="10"/>
  <c r="CA474" i="10"/>
  <c r="BW474" i="10"/>
  <c r="BS474" i="10"/>
  <c r="BO474" i="10"/>
  <c r="BD474" i="10"/>
  <c r="AZ474" i="10"/>
  <c r="AR474" i="10"/>
  <c r="AN474" i="10"/>
  <c r="AI474" i="10"/>
  <c r="BZ474" i="10"/>
  <c r="AY474" i="10"/>
  <c r="AH474" i="10"/>
  <c r="BV474" i="10"/>
  <c r="BI474" i="10"/>
  <c r="BR474" i="10"/>
  <c r="AQ474" i="10"/>
  <c r="BN474" i="10"/>
  <c r="AM474" i="10"/>
  <c r="BL474" i="10"/>
  <c r="AF474" i="10"/>
  <c r="AE473" i="10"/>
  <c r="B475" i="10"/>
  <c r="CD475" i="10" s="1"/>
  <c r="BJ475" i="10" l="1"/>
  <c r="AU474" i="10"/>
  <c r="BG474" i="10" s="1"/>
  <c r="CB475" i="10"/>
  <c r="BW475" i="10"/>
  <c r="BR475" i="10"/>
  <c r="BN475" i="10"/>
  <c r="BI475" i="10"/>
  <c r="AY475" i="10"/>
  <c r="AT475" i="10"/>
  <c r="AP475" i="10"/>
  <c r="AV475" i="10" s="1"/>
  <c r="AL475" i="10"/>
  <c r="CA475" i="10"/>
  <c r="BV475" i="10"/>
  <c r="BQ475" i="10"/>
  <c r="BH475" i="10"/>
  <c r="BB475" i="10"/>
  <c r="AX475" i="10"/>
  <c r="AS475" i="10"/>
  <c r="AO475" i="10"/>
  <c r="AK475" i="10"/>
  <c r="BZ475" i="10"/>
  <c r="BP475" i="10"/>
  <c r="BK475" i="10"/>
  <c r="BA475" i="10"/>
  <c r="AW475" i="10"/>
  <c r="AR475" i="10"/>
  <c r="AN475" i="10"/>
  <c r="AI475" i="10"/>
  <c r="BS475" i="10"/>
  <c r="BO475" i="10"/>
  <c r="BD475" i="10"/>
  <c r="AQ475" i="10"/>
  <c r="CC475" i="10"/>
  <c r="AM475" i="10"/>
  <c r="AH475" i="10"/>
  <c r="BY475" i="10"/>
  <c r="AZ475" i="10"/>
  <c r="BL475" i="10"/>
  <c r="BT474" i="10"/>
  <c r="AV474" i="10"/>
  <c r="BX474" i="10"/>
  <c r="AF475" i="10"/>
  <c r="AE474" i="10"/>
  <c r="B476" i="10"/>
  <c r="CD476" i="10" s="1"/>
  <c r="BJ476" i="10" l="1"/>
  <c r="AU475" i="10"/>
  <c r="BG475" i="10" s="1"/>
  <c r="BU475" i="10"/>
  <c r="BX475" i="10"/>
  <c r="BT475" i="10"/>
  <c r="CC476" i="10"/>
  <c r="BY476" i="10"/>
  <c r="BR476" i="10"/>
  <c r="BN476" i="10"/>
  <c r="BI476" i="10"/>
  <c r="AY476" i="10"/>
  <c r="AS476" i="10"/>
  <c r="AO476" i="10"/>
  <c r="AK476" i="10"/>
  <c r="CB476" i="10"/>
  <c r="BW476" i="10"/>
  <c r="BQ476" i="10"/>
  <c r="BH476" i="10"/>
  <c r="BB476" i="10"/>
  <c r="AX476" i="10"/>
  <c r="AR476" i="10"/>
  <c r="AN476" i="10"/>
  <c r="AI476" i="10"/>
  <c r="CA476" i="10"/>
  <c r="BV476" i="10"/>
  <c r="BP476" i="10"/>
  <c r="BK476" i="10"/>
  <c r="BA476" i="10"/>
  <c r="AW476" i="10"/>
  <c r="AQ476" i="10"/>
  <c r="AM476" i="10"/>
  <c r="AH476" i="10"/>
  <c r="BX476" i="10" s="1"/>
  <c r="BO476" i="10"/>
  <c r="BD476" i="10"/>
  <c r="AP476" i="10"/>
  <c r="BU476" i="10" s="1"/>
  <c r="AL476" i="10"/>
  <c r="BZ476" i="10"/>
  <c r="AZ476" i="10"/>
  <c r="BS476" i="10"/>
  <c r="AT476" i="10"/>
  <c r="BL476" i="10"/>
  <c r="AF476" i="10"/>
  <c r="AE475" i="10"/>
  <c r="B477" i="10"/>
  <c r="CD477" i="10" s="1"/>
  <c r="BJ477" i="10" l="1"/>
  <c r="AU476" i="10"/>
  <c r="BG476" i="10" s="1"/>
  <c r="AV476" i="10"/>
  <c r="BT476" i="10"/>
  <c r="CA477" i="10"/>
  <c r="BW477" i="10"/>
  <c r="BR477" i="10"/>
  <c r="BN477" i="10"/>
  <c r="BI477" i="10"/>
  <c r="AY477" i="10"/>
  <c r="AT477" i="10"/>
  <c r="AP477" i="10"/>
  <c r="BU477" i="10" s="1"/>
  <c r="AL477" i="10"/>
  <c r="BZ477" i="10"/>
  <c r="BV477" i="10"/>
  <c r="BQ477" i="10"/>
  <c r="BH477" i="10"/>
  <c r="BB477" i="10"/>
  <c r="AX477" i="10"/>
  <c r="AS477" i="10"/>
  <c r="AO477" i="10"/>
  <c r="AK477" i="10"/>
  <c r="CC477" i="10"/>
  <c r="BY477" i="10"/>
  <c r="BP477" i="10"/>
  <c r="BK477" i="10"/>
  <c r="BA477" i="10"/>
  <c r="AW477" i="10"/>
  <c r="AR477" i="10"/>
  <c r="AN477" i="10"/>
  <c r="AI477" i="10"/>
  <c r="CB477" i="10"/>
  <c r="AM477" i="10"/>
  <c r="AZ477" i="10"/>
  <c r="AH477" i="10"/>
  <c r="BT477" i="10" s="1"/>
  <c r="BS477" i="10"/>
  <c r="AQ477" i="10"/>
  <c r="BD477" i="10"/>
  <c r="BO477" i="10"/>
  <c r="BL477" i="10"/>
  <c r="AF477" i="10"/>
  <c r="AE476" i="10"/>
  <c r="B478" i="10"/>
  <c r="CD478" i="10" s="1"/>
  <c r="BJ478" i="10" l="1"/>
  <c r="AV477" i="10"/>
  <c r="AU477" i="10"/>
  <c r="BG477" i="10" s="1"/>
  <c r="BX477" i="10"/>
  <c r="CA478" i="10"/>
  <c r="BW478" i="10"/>
  <c r="BS478" i="10"/>
  <c r="BO478" i="10"/>
  <c r="BD478" i="10"/>
  <c r="AZ478" i="10"/>
  <c r="AR478" i="10"/>
  <c r="AN478" i="10"/>
  <c r="AI478" i="10"/>
  <c r="BZ478" i="10"/>
  <c r="BV478" i="10"/>
  <c r="BR478" i="10"/>
  <c r="BN478" i="10"/>
  <c r="BI478" i="10"/>
  <c r="AY478" i="10"/>
  <c r="AQ478" i="10"/>
  <c r="AM478" i="10"/>
  <c r="AH478" i="10"/>
  <c r="BX478" i="10" s="1"/>
  <c r="CC478" i="10"/>
  <c r="BY478" i="10"/>
  <c r="BQ478" i="10"/>
  <c r="BH478" i="10"/>
  <c r="BB478" i="10"/>
  <c r="AX478" i="10"/>
  <c r="AT478" i="10"/>
  <c r="AP478" i="10"/>
  <c r="BU478" i="10" s="1"/>
  <c r="AL478" i="10"/>
  <c r="BK478" i="10"/>
  <c r="AW478" i="10"/>
  <c r="AS478" i="10"/>
  <c r="BP478" i="10"/>
  <c r="AO478" i="10"/>
  <c r="CB478" i="10"/>
  <c r="BA478" i="10"/>
  <c r="AK478" i="10"/>
  <c r="BL478" i="10"/>
  <c r="AF478" i="10"/>
  <c r="AE477" i="10"/>
  <c r="B479" i="10"/>
  <c r="CD479" i="10" s="1"/>
  <c r="BJ479" i="10" l="1"/>
  <c r="BT478" i="10"/>
  <c r="AU478" i="10"/>
  <c r="BG478" i="10" s="1"/>
  <c r="BZ479" i="10"/>
  <c r="BP479" i="10"/>
  <c r="BK479" i="10"/>
  <c r="BA479" i="10"/>
  <c r="AW479" i="10"/>
  <c r="AR479" i="10"/>
  <c r="AN479" i="10"/>
  <c r="AI479" i="10"/>
  <c r="CC479" i="10"/>
  <c r="BY479" i="10"/>
  <c r="BS479" i="10"/>
  <c r="BO479" i="10"/>
  <c r="BD479" i="10"/>
  <c r="AZ479" i="10"/>
  <c r="AQ479" i="10"/>
  <c r="AM479" i="10"/>
  <c r="AH479" i="10"/>
  <c r="BT479" i="10" s="1"/>
  <c r="CB479" i="10"/>
  <c r="BW479" i="10"/>
  <c r="BR479" i="10"/>
  <c r="BN479" i="10"/>
  <c r="BI479" i="10"/>
  <c r="AY479" i="10"/>
  <c r="AT479" i="10"/>
  <c r="AP479" i="10"/>
  <c r="AV479" i="10" s="1"/>
  <c r="AL479" i="10"/>
  <c r="BV479" i="10"/>
  <c r="AS479" i="10"/>
  <c r="BQ479" i="10"/>
  <c r="AO479" i="10"/>
  <c r="BB479" i="10"/>
  <c r="AK479" i="10"/>
  <c r="AX479" i="10"/>
  <c r="BH479" i="10"/>
  <c r="CA479" i="10"/>
  <c r="BL479" i="10"/>
  <c r="AV478" i="10"/>
  <c r="AF479" i="10"/>
  <c r="AE478" i="10"/>
  <c r="B480" i="10"/>
  <c r="CD480" i="10" s="1"/>
  <c r="BJ480" i="10" l="1"/>
  <c r="CA480" i="10"/>
  <c r="BV480" i="10"/>
  <c r="BP480" i="10"/>
  <c r="BK480" i="10"/>
  <c r="BA480" i="10"/>
  <c r="AW480" i="10"/>
  <c r="AQ480" i="10"/>
  <c r="AM480" i="10"/>
  <c r="AH480" i="10"/>
  <c r="BT480" i="10" s="1"/>
  <c r="BZ480" i="10"/>
  <c r="BS480" i="10"/>
  <c r="BO480" i="10"/>
  <c r="BD480" i="10"/>
  <c r="AZ480" i="10"/>
  <c r="AT480" i="10"/>
  <c r="AP480" i="10"/>
  <c r="BU480" i="10" s="1"/>
  <c r="AL480" i="10"/>
  <c r="CC480" i="10"/>
  <c r="BY480" i="10"/>
  <c r="BR480" i="10"/>
  <c r="BN480" i="10"/>
  <c r="BI480" i="10"/>
  <c r="AY480" i="10"/>
  <c r="AS480" i="10"/>
  <c r="AO480" i="10"/>
  <c r="AK480" i="10"/>
  <c r="BW480" i="10"/>
  <c r="AR480" i="10"/>
  <c r="BQ480" i="10"/>
  <c r="AN480" i="10"/>
  <c r="BB480" i="10"/>
  <c r="AI480" i="10"/>
  <c r="CB480" i="10"/>
  <c r="AX480" i="10"/>
  <c r="BH480" i="10"/>
  <c r="BL480" i="10"/>
  <c r="AU479" i="10"/>
  <c r="BG479" i="10" s="1"/>
  <c r="BU479" i="10"/>
  <c r="BX479" i="10"/>
  <c r="AF480" i="10"/>
  <c r="AE479" i="10"/>
  <c r="B481" i="10"/>
  <c r="CD481" i="10" s="1"/>
  <c r="BJ481" i="10" l="1"/>
  <c r="AV480" i="10"/>
  <c r="BX480" i="10"/>
  <c r="AU480" i="10"/>
  <c r="BG480" i="10" s="1"/>
  <c r="CC481" i="10"/>
  <c r="BY481" i="10"/>
  <c r="BP481" i="10"/>
  <c r="BK481" i="10"/>
  <c r="BA481" i="10"/>
  <c r="AW481" i="10"/>
  <c r="AR481" i="10"/>
  <c r="AN481" i="10"/>
  <c r="AI481" i="10"/>
  <c r="CB481" i="10"/>
  <c r="BS481" i="10"/>
  <c r="BO481" i="10"/>
  <c r="BD481" i="10"/>
  <c r="AZ481" i="10"/>
  <c r="AQ481" i="10"/>
  <c r="AM481" i="10"/>
  <c r="AH481" i="10"/>
  <c r="BT481" i="10" s="1"/>
  <c r="CA481" i="10"/>
  <c r="BW481" i="10"/>
  <c r="BR481" i="10"/>
  <c r="BN481" i="10"/>
  <c r="BI481" i="10"/>
  <c r="AY481" i="10"/>
  <c r="AT481" i="10"/>
  <c r="AP481" i="10"/>
  <c r="BU481" i="10" s="1"/>
  <c r="AL481" i="10"/>
  <c r="BV481" i="10"/>
  <c r="AS481" i="10"/>
  <c r="BQ481" i="10"/>
  <c r="AO481" i="10"/>
  <c r="BB481" i="10"/>
  <c r="AK481" i="10"/>
  <c r="AX481" i="10"/>
  <c r="BH481" i="10"/>
  <c r="BZ481" i="10"/>
  <c r="BL481" i="10"/>
  <c r="AF481" i="10"/>
  <c r="AE480" i="10"/>
  <c r="B482" i="10"/>
  <c r="CD482" i="10" s="1"/>
  <c r="BJ482" i="10" l="1"/>
  <c r="BX481" i="10"/>
  <c r="AV481" i="10"/>
  <c r="AU481" i="10"/>
  <c r="BG481" i="10" s="1"/>
  <c r="BZ482" i="10"/>
  <c r="BV482" i="10"/>
  <c r="CA482" i="10"/>
  <c r="BQ482" i="10"/>
  <c r="BH482" i="10"/>
  <c r="BB482" i="10"/>
  <c r="AX482" i="10"/>
  <c r="AT482" i="10"/>
  <c r="AP482" i="10"/>
  <c r="BU482" i="10" s="1"/>
  <c r="AL482" i="10"/>
  <c r="BY482" i="10"/>
  <c r="BP482" i="10"/>
  <c r="BK482" i="10"/>
  <c r="BA482" i="10"/>
  <c r="AW482" i="10"/>
  <c r="AS482" i="10"/>
  <c r="AO482" i="10"/>
  <c r="AK482" i="10"/>
  <c r="CC482" i="10"/>
  <c r="BS482" i="10"/>
  <c r="BO482" i="10"/>
  <c r="BD482" i="10"/>
  <c r="AZ482" i="10"/>
  <c r="AR482" i="10"/>
  <c r="AN482" i="10"/>
  <c r="AI482" i="10"/>
  <c r="BR482" i="10"/>
  <c r="AQ482" i="10"/>
  <c r="BN482" i="10"/>
  <c r="AM482" i="10"/>
  <c r="CB482" i="10"/>
  <c r="AY482" i="10"/>
  <c r="AH482" i="10"/>
  <c r="BW482" i="10"/>
  <c r="BI482" i="10"/>
  <c r="BL482" i="10"/>
  <c r="AF482" i="10"/>
  <c r="AE481" i="10"/>
  <c r="B483" i="10"/>
  <c r="CD483" i="10" s="1"/>
  <c r="BJ483" i="10" l="1"/>
  <c r="AV482" i="10"/>
  <c r="AU482" i="10"/>
  <c r="BG482" i="10" s="1"/>
  <c r="BX482" i="10"/>
  <c r="CA483" i="10"/>
  <c r="BV483" i="10"/>
  <c r="BQ483" i="10"/>
  <c r="CB483" i="10"/>
  <c r="BO483" i="10"/>
  <c r="BD483" i="10"/>
  <c r="AZ483" i="10"/>
  <c r="AQ483" i="10"/>
  <c r="AM483" i="10"/>
  <c r="AH483" i="10"/>
  <c r="BT483" i="10" s="1"/>
  <c r="BZ483" i="10"/>
  <c r="BS483" i="10"/>
  <c r="BN483" i="10"/>
  <c r="BI483" i="10"/>
  <c r="AY483" i="10"/>
  <c r="AT483" i="10"/>
  <c r="AP483" i="10"/>
  <c r="AV483" i="10" s="1"/>
  <c r="AL483" i="10"/>
  <c r="BW483" i="10"/>
  <c r="BK483" i="10"/>
  <c r="BB483" i="10"/>
  <c r="AS483" i="10"/>
  <c r="AK483" i="10"/>
  <c r="BR483" i="10"/>
  <c r="BH483" i="10"/>
  <c r="BA483" i="10"/>
  <c r="AR483" i="10"/>
  <c r="AI483" i="10"/>
  <c r="CC483" i="10"/>
  <c r="BP483" i="10"/>
  <c r="AX483" i="10"/>
  <c r="AO483" i="10"/>
  <c r="BY483" i="10"/>
  <c r="AW483" i="10"/>
  <c r="AN483" i="10"/>
  <c r="BL483" i="10"/>
  <c r="BT482" i="10"/>
  <c r="AF483" i="10"/>
  <c r="AE482" i="10"/>
  <c r="B484" i="10"/>
  <c r="CD484" i="10" s="1"/>
  <c r="BJ484" i="10" l="1"/>
  <c r="BX483" i="10"/>
  <c r="CB484" i="10"/>
  <c r="BW484" i="10"/>
  <c r="BQ484" i="10"/>
  <c r="BH484" i="10"/>
  <c r="BB484" i="10"/>
  <c r="AX484" i="10"/>
  <c r="AR484" i="10"/>
  <c r="AN484" i="10"/>
  <c r="AI484" i="10"/>
  <c r="CA484" i="10"/>
  <c r="BV484" i="10"/>
  <c r="BP484" i="10"/>
  <c r="BK484" i="10"/>
  <c r="BS484" i="10"/>
  <c r="BD484" i="10"/>
  <c r="AY484" i="10"/>
  <c r="AQ484" i="10"/>
  <c r="AL484" i="10"/>
  <c r="CC484" i="10"/>
  <c r="BR484" i="10"/>
  <c r="AW484" i="10"/>
  <c r="AP484" i="10"/>
  <c r="BU484" i="10" s="1"/>
  <c r="AK484" i="10"/>
  <c r="BZ484" i="10"/>
  <c r="BO484" i="10"/>
  <c r="BI484" i="10"/>
  <c r="AZ484" i="10"/>
  <c r="AM484" i="10"/>
  <c r="BY484" i="10"/>
  <c r="AT484" i="10"/>
  <c r="AH484" i="10"/>
  <c r="BT484" i="10" s="1"/>
  <c r="BN484" i="10"/>
  <c r="AS484" i="10"/>
  <c r="BA484" i="10"/>
  <c r="AO484" i="10"/>
  <c r="BL484" i="10"/>
  <c r="AU483" i="10"/>
  <c r="BG483" i="10" s="1"/>
  <c r="BU483" i="10"/>
  <c r="AF484" i="10"/>
  <c r="AE483" i="10"/>
  <c r="B485" i="10"/>
  <c r="CD485" i="10" s="1"/>
  <c r="BJ485" i="10" l="1"/>
  <c r="BX484" i="10"/>
  <c r="AV484" i="10"/>
  <c r="AU484" i="10"/>
  <c r="BG484" i="10" s="1"/>
  <c r="BZ485" i="10"/>
  <c r="BV485" i="10"/>
  <c r="BQ485" i="10"/>
  <c r="BH485" i="10"/>
  <c r="BB485" i="10"/>
  <c r="AX485" i="10"/>
  <c r="AS485" i="10"/>
  <c r="AO485" i="10"/>
  <c r="AK485" i="10"/>
  <c r="CC485" i="10"/>
  <c r="BY485" i="10"/>
  <c r="BP485" i="10"/>
  <c r="BK485" i="10"/>
  <c r="BA485" i="10"/>
  <c r="AW485" i="10"/>
  <c r="AR485" i="10"/>
  <c r="AN485" i="10"/>
  <c r="AI485" i="10"/>
  <c r="BO485" i="10"/>
  <c r="BI485" i="10"/>
  <c r="AZ485" i="10"/>
  <c r="AQ485" i="10"/>
  <c r="AH485" i="10"/>
  <c r="BX485" i="10" s="1"/>
  <c r="BW485" i="10"/>
  <c r="BN485" i="10"/>
  <c r="AY485" i="10"/>
  <c r="AP485" i="10"/>
  <c r="BU485" i="10" s="1"/>
  <c r="CB485" i="10"/>
  <c r="BS485" i="10"/>
  <c r="BD485" i="10"/>
  <c r="AM485" i="10"/>
  <c r="AL485" i="10"/>
  <c r="CA485" i="10"/>
  <c r="BR485" i="10"/>
  <c r="AT485" i="10"/>
  <c r="BL485" i="10"/>
  <c r="AF485" i="10"/>
  <c r="AE484" i="10"/>
  <c r="B486" i="10"/>
  <c r="CD486" i="10" s="1"/>
  <c r="BJ486" i="10" l="1"/>
  <c r="BT485" i="10"/>
  <c r="AU485" i="10"/>
  <c r="BG485" i="10" s="1"/>
  <c r="AV485" i="10"/>
  <c r="BZ486" i="10"/>
  <c r="BV486" i="10"/>
  <c r="BR486" i="10"/>
  <c r="BN486" i="10"/>
  <c r="BI486" i="10"/>
  <c r="AY486" i="10"/>
  <c r="AQ486" i="10"/>
  <c r="AM486" i="10"/>
  <c r="AH486" i="10"/>
  <c r="BX486" i="10" s="1"/>
  <c r="CC486" i="10"/>
  <c r="BY486" i="10"/>
  <c r="BQ486" i="10"/>
  <c r="BH486" i="10"/>
  <c r="BB486" i="10"/>
  <c r="AX486" i="10"/>
  <c r="AT486" i="10"/>
  <c r="AP486" i="10"/>
  <c r="BU486" i="10" s="1"/>
  <c r="AL486" i="10"/>
  <c r="BP486" i="10"/>
  <c r="BA486" i="10"/>
  <c r="AS486" i="10"/>
  <c r="AK486" i="10"/>
  <c r="BW486" i="10"/>
  <c r="BO486" i="10"/>
  <c r="AZ486" i="10"/>
  <c r="AR486" i="10"/>
  <c r="AI486" i="10"/>
  <c r="CB486" i="10"/>
  <c r="BD486" i="10"/>
  <c r="AW486" i="10"/>
  <c r="AO486" i="10"/>
  <c r="BK486" i="10"/>
  <c r="AN486" i="10"/>
  <c r="CA486" i="10"/>
  <c r="BS486" i="10"/>
  <c r="BL486" i="10"/>
  <c r="AF486" i="10"/>
  <c r="AE485" i="10"/>
  <c r="B487" i="10"/>
  <c r="CD487" i="10" s="1"/>
  <c r="BJ487" i="10" l="1"/>
  <c r="BT486" i="10"/>
  <c r="AV486" i="10"/>
  <c r="AU486" i="10"/>
  <c r="BG486" i="10" s="1"/>
  <c r="CC487" i="10"/>
  <c r="BY487" i="10"/>
  <c r="BS487" i="10"/>
  <c r="BO487" i="10"/>
  <c r="BD487" i="10"/>
  <c r="AZ487" i="10"/>
  <c r="AQ487" i="10"/>
  <c r="AM487" i="10"/>
  <c r="AH487" i="10"/>
  <c r="BT487" i="10" s="1"/>
  <c r="CB487" i="10"/>
  <c r="BW487" i="10"/>
  <c r="BR487" i="10"/>
  <c r="BN487" i="10"/>
  <c r="BI487" i="10"/>
  <c r="AY487" i="10"/>
  <c r="AT487" i="10"/>
  <c r="AP487" i="10"/>
  <c r="AL487" i="10"/>
  <c r="BK487" i="10"/>
  <c r="BB487" i="10"/>
  <c r="AS487" i="10"/>
  <c r="AK487" i="10"/>
  <c r="CA487" i="10"/>
  <c r="BQ487" i="10"/>
  <c r="BH487" i="10"/>
  <c r="BA487" i="10"/>
  <c r="AR487" i="10"/>
  <c r="AI487" i="10"/>
  <c r="BZ487" i="10"/>
  <c r="BP487" i="10"/>
  <c r="AX487" i="10"/>
  <c r="AO487" i="10"/>
  <c r="AN487" i="10"/>
  <c r="BV487" i="10"/>
  <c r="AW487" i="10"/>
  <c r="BL487" i="10"/>
  <c r="AF487" i="10"/>
  <c r="AE486" i="10"/>
  <c r="B488" i="10"/>
  <c r="CD488" i="10" s="1"/>
  <c r="BJ488" i="10" l="1"/>
  <c r="BZ488" i="10"/>
  <c r="BS488" i="10"/>
  <c r="BO488" i="10"/>
  <c r="BD488" i="10"/>
  <c r="AZ488" i="10"/>
  <c r="AT488" i="10"/>
  <c r="AP488" i="10"/>
  <c r="BU488" i="10" s="1"/>
  <c r="AL488" i="10"/>
  <c r="CC488" i="10"/>
  <c r="BY488" i="10"/>
  <c r="BR488" i="10"/>
  <c r="BN488" i="10"/>
  <c r="BI488" i="10"/>
  <c r="AY488" i="10"/>
  <c r="AS488" i="10"/>
  <c r="AO488" i="10"/>
  <c r="AK488" i="10"/>
  <c r="CB488" i="10"/>
  <c r="BQ488" i="10"/>
  <c r="BH488" i="10"/>
  <c r="BA488" i="10"/>
  <c r="AQ488" i="10"/>
  <c r="AH488" i="10"/>
  <c r="BX488" i="10" s="1"/>
  <c r="CA488" i="10"/>
  <c r="BP488" i="10"/>
  <c r="AX488" i="10"/>
  <c r="AN488" i="10"/>
  <c r="BW488" i="10"/>
  <c r="AW488" i="10"/>
  <c r="AM488" i="10"/>
  <c r="BB488" i="10"/>
  <c r="BK488" i="10"/>
  <c r="AR488" i="10"/>
  <c r="AI488" i="10"/>
  <c r="BV488" i="10"/>
  <c r="BL488" i="10"/>
  <c r="AU487" i="10"/>
  <c r="BG487" i="10" s="1"/>
  <c r="BU487" i="10"/>
  <c r="BX487" i="10"/>
  <c r="AV487" i="10"/>
  <c r="AF488" i="10"/>
  <c r="AE487" i="10"/>
  <c r="B489" i="10"/>
  <c r="CD489" i="10" s="1"/>
  <c r="BJ489" i="10" l="1"/>
  <c r="AV488" i="10"/>
  <c r="CB489" i="10"/>
  <c r="BS489" i="10"/>
  <c r="BO489" i="10"/>
  <c r="BD489" i="10"/>
  <c r="AZ489" i="10"/>
  <c r="AQ489" i="10"/>
  <c r="AM489" i="10"/>
  <c r="AH489" i="10"/>
  <c r="BT489" i="10" s="1"/>
  <c r="CA489" i="10"/>
  <c r="BW489" i="10"/>
  <c r="BR489" i="10"/>
  <c r="BN489" i="10"/>
  <c r="BI489" i="10"/>
  <c r="AY489" i="10"/>
  <c r="AT489" i="10"/>
  <c r="AP489" i="10"/>
  <c r="BU489" i="10" s="1"/>
  <c r="AL489" i="10"/>
  <c r="BY489" i="10"/>
  <c r="BP489" i="10"/>
  <c r="AX489" i="10"/>
  <c r="AO489" i="10"/>
  <c r="BV489" i="10"/>
  <c r="AW489" i="10"/>
  <c r="AN489" i="10"/>
  <c r="CC489" i="10"/>
  <c r="BK489" i="10"/>
  <c r="BB489" i="10"/>
  <c r="AS489" i="10"/>
  <c r="AK489" i="10"/>
  <c r="BA489" i="10"/>
  <c r="BH489" i="10"/>
  <c r="AR489" i="10"/>
  <c r="BZ489" i="10"/>
  <c r="AI489" i="10"/>
  <c r="BQ489" i="10"/>
  <c r="BL489" i="10"/>
  <c r="AU488" i="10"/>
  <c r="BG488" i="10" s="1"/>
  <c r="BT488" i="10"/>
  <c r="AF489" i="10"/>
  <c r="AE488" i="10"/>
  <c r="B490" i="10"/>
  <c r="CD490" i="10" s="1"/>
  <c r="BJ490" i="10" l="1"/>
  <c r="AV489" i="10"/>
  <c r="AU489" i="10"/>
  <c r="BG489" i="10" s="1"/>
  <c r="BX489" i="10"/>
  <c r="CB490" i="10"/>
  <c r="BP490" i="10"/>
  <c r="BK490" i="10"/>
  <c r="BA490" i="10"/>
  <c r="AW490" i="10"/>
  <c r="AS490" i="10"/>
  <c r="AO490" i="10"/>
  <c r="AK490" i="10"/>
  <c r="CA490" i="10"/>
  <c r="BW490" i="10"/>
  <c r="BS490" i="10"/>
  <c r="BO490" i="10"/>
  <c r="BD490" i="10"/>
  <c r="AZ490" i="10"/>
  <c r="AR490" i="10"/>
  <c r="AN490" i="10"/>
  <c r="AI490" i="10"/>
  <c r="BZ490" i="10"/>
  <c r="BR490" i="10"/>
  <c r="BI490" i="10"/>
  <c r="BB490" i="10"/>
  <c r="AT490" i="10"/>
  <c r="AL490" i="10"/>
  <c r="BY490" i="10"/>
  <c r="BQ490" i="10"/>
  <c r="BH490" i="10"/>
  <c r="AY490" i="10"/>
  <c r="AQ490" i="10"/>
  <c r="AH490" i="10"/>
  <c r="BX490" i="10" s="1"/>
  <c r="BV490" i="10"/>
  <c r="BN490" i="10"/>
  <c r="AX490" i="10"/>
  <c r="AP490" i="10"/>
  <c r="BU490" i="10" s="1"/>
  <c r="AM490" i="10"/>
  <c r="CC490" i="10"/>
  <c r="BL490" i="10"/>
  <c r="AF490" i="10"/>
  <c r="AE489" i="10"/>
  <c r="B491" i="10"/>
  <c r="CD491" i="10" s="1"/>
  <c r="BJ491" i="10" l="1"/>
  <c r="AU490" i="10"/>
  <c r="BG490" i="10" s="1"/>
  <c r="AV490" i="10"/>
  <c r="CA491" i="10"/>
  <c r="BV491" i="10"/>
  <c r="BQ491" i="10"/>
  <c r="BH491" i="10"/>
  <c r="BB491" i="10"/>
  <c r="AX491" i="10"/>
  <c r="AS491" i="10"/>
  <c r="AO491" i="10"/>
  <c r="AK491" i="10"/>
  <c r="BZ491" i="10"/>
  <c r="BP491" i="10"/>
  <c r="BK491" i="10"/>
  <c r="BA491" i="10"/>
  <c r="AW491" i="10"/>
  <c r="AR491" i="10"/>
  <c r="AN491" i="10"/>
  <c r="AI491" i="10"/>
  <c r="CC491" i="10"/>
  <c r="BS491" i="10"/>
  <c r="BD491" i="10"/>
  <c r="AM491" i="10"/>
  <c r="CB491" i="10"/>
  <c r="BR491" i="10"/>
  <c r="AT491" i="10"/>
  <c r="AL491" i="10"/>
  <c r="BY491" i="10"/>
  <c r="BO491" i="10"/>
  <c r="BI491" i="10"/>
  <c r="AZ491" i="10"/>
  <c r="AQ491" i="10"/>
  <c r="AH491" i="10"/>
  <c r="BT491" i="10" s="1"/>
  <c r="BW491" i="10"/>
  <c r="BN491" i="10"/>
  <c r="AY491" i="10"/>
  <c r="AP491" i="10"/>
  <c r="BL491" i="10"/>
  <c r="BT490" i="10"/>
  <c r="AF491" i="10"/>
  <c r="AE490" i="10"/>
  <c r="B492" i="10"/>
  <c r="CD492" i="10" s="1"/>
  <c r="BJ492" i="10" l="1"/>
  <c r="CB492" i="10"/>
  <c r="BW492" i="10"/>
  <c r="BQ492" i="10"/>
  <c r="BH492" i="10"/>
  <c r="BB492" i="10"/>
  <c r="AX492" i="10"/>
  <c r="AR492" i="10"/>
  <c r="AN492" i="10"/>
  <c r="AI492" i="10"/>
  <c r="CA492" i="10"/>
  <c r="BV492" i="10"/>
  <c r="BP492" i="10"/>
  <c r="BK492" i="10"/>
  <c r="BA492" i="10"/>
  <c r="AW492" i="10"/>
  <c r="AQ492" i="10"/>
  <c r="AM492" i="10"/>
  <c r="AH492" i="10"/>
  <c r="BT492" i="10" s="1"/>
  <c r="BZ492" i="10"/>
  <c r="BO492" i="10"/>
  <c r="BI492" i="10"/>
  <c r="AZ492" i="10"/>
  <c r="AP492" i="10"/>
  <c r="BU492" i="10" s="1"/>
  <c r="BY492" i="10"/>
  <c r="BN492" i="10"/>
  <c r="AY492" i="10"/>
  <c r="AO492" i="10"/>
  <c r="BS492" i="10"/>
  <c r="BD492" i="10"/>
  <c r="AT492" i="10"/>
  <c r="AL492" i="10"/>
  <c r="CC492" i="10"/>
  <c r="BR492" i="10"/>
  <c r="AS492" i="10"/>
  <c r="AK492" i="10"/>
  <c r="BL492" i="10"/>
  <c r="AU491" i="10"/>
  <c r="BG491" i="10" s="1"/>
  <c r="BU491" i="10"/>
  <c r="BX491" i="10"/>
  <c r="AV491" i="10"/>
  <c r="AF492" i="10"/>
  <c r="AE491" i="10"/>
  <c r="B493" i="10"/>
  <c r="CD493" i="10" s="1"/>
  <c r="BJ493" i="10" l="1"/>
  <c r="BX492" i="10"/>
  <c r="AU492" i="10"/>
  <c r="BG492" i="10" s="1"/>
  <c r="BZ493" i="10"/>
  <c r="BV493" i="10"/>
  <c r="BQ493" i="10"/>
  <c r="BH493" i="10"/>
  <c r="BB493" i="10"/>
  <c r="AX493" i="10"/>
  <c r="AS493" i="10"/>
  <c r="AO493" i="10"/>
  <c r="AK493" i="10"/>
  <c r="CC493" i="10"/>
  <c r="BY493" i="10"/>
  <c r="BP493" i="10"/>
  <c r="BK493" i="10"/>
  <c r="BA493" i="10"/>
  <c r="AW493" i="10"/>
  <c r="AR493" i="10"/>
  <c r="AN493" i="10"/>
  <c r="AI493" i="10"/>
  <c r="CB493" i="10"/>
  <c r="BS493" i="10"/>
  <c r="BD493" i="10"/>
  <c r="AM493" i="10"/>
  <c r="CA493" i="10"/>
  <c r="BR493" i="10"/>
  <c r="AT493" i="10"/>
  <c r="AL493" i="10"/>
  <c r="BO493" i="10"/>
  <c r="BI493" i="10"/>
  <c r="AZ493" i="10"/>
  <c r="AQ493" i="10"/>
  <c r="AH493" i="10"/>
  <c r="BX493" i="10" s="1"/>
  <c r="BW493" i="10"/>
  <c r="BN493" i="10"/>
  <c r="AY493" i="10"/>
  <c r="AP493" i="10"/>
  <c r="BU493" i="10" s="1"/>
  <c r="BL493" i="10"/>
  <c r="AV492" i="10"/>
  <c r="AF493" i="10"/>
  <c r="AE492" i="10"/>
  <c r="B494" i="10"/>
  <c r="CD494" i="10" s="1"/>
  <c r="BJ494" i="10" l="1"/>
  <c r="BT493" i="10"/>
  <c r="AV493" i="10"/>
  <c r="AU493" i="10"/>
  <c r="BG493" i="10" s="1"/>
  <c r="BZ494" i="10"/>
  <c r="BV494" i="10"/>
  <c r="BR494" i="10"/>
  <c r="BN494" i="10"/>
  <c r="BI494" i="10"/>
  <c r="AY494" i="10"/>
  <c r="AQ494" i="10"/>
  <c r="AM494" i="10"/>
  <c r="AH494" i="10"/>
  <c r="BT494" i="10" s="1"/>
  <c r="CC494" i="10"/>
  <c r="BY494" i="10"/>
  <c r="BQ494" i="10"/>
  <c r="BH494" i="10"/>
  <c r="BB494" i="10"/>
  <c r="AX494" i="10"/>
  <c r="AT494" i="10"/>
  <c r="AP494" i="10"/>
  <c r="BU494" i="10" s="1"/>
  <c r="AL494" i="10"/>
  <c r="CB494" i="10"/>
  <c r="BD494" i="10"/>
  <c r="AW494" i="10"/>
  <c r="AO494" i="10"/>
  <c r="CA494" i="10"/>
  <c r="BS494" i="10"/>
  <c r="BK494" i="10"/>
  <c r="AN494" i="10"/>
  <c r="BP494" i="10"/>
  <c r="BA494" i="10"/>
  <c r="AS494" i="10"/>
  <c r="AK494" i="10"/>
  <c r="AI494" i="10"/>
  <c r="BW494" i="10"/>
  <c r="BO494" i="10"/>
  <c r="AZ494" i="10"/>
  <c r="AR494" i="10"/>
  <c r="BL494" i="10"/>
  <c r="AF494" i="10"/>
  <c r="AE493" i="10"/>
  <c r="B495" i="10"/>
  <c r="CD495" i="10" s="1"/>
  <c r="BJ495" i="10" l="1"/>
  <c r="BX494" i="10"/>
  <c r="CC495" i="10"/>
  <c r="BY495" i="10"/>
  <c r="BS495" i="10"/>
  <c r="BO495" i="10"/>
  <c r="BD495" i="10"/>
  <c r="AZ495" i="10"/>
  <c r="AQ495" i="10"/>
  <c r="AM495" i="10"/>
  <c r="AH495" i="10"/>
  <c r="CB495" i="10"/>
  <c r="BW495" i="10"/>
  <c r="BR495" i="10"/>
  <c r="BN495" i="10"/>
  <c r="BI495" i="10"/>
  <c r="AY495" i="10"/>
  <c r="AT495" i="10"/>
  <c r="AP495" i="10"/>
  <c r="AL495" i="10"/>
  <c r="BZ495" i="10"/>
  <c r="BP495" i="10"/>
  <c r="AX495" i="10"/>
  <c r="AO495" i="10"/>
  <c r="BV495" i="10"/>
  <c r="AW495" i="10"/>
  <c r="AN495" i="10"/>
  <c r="BK495" i="10"/>
  <c r="BB495" i="10"/>
  <c r="AS495" i="10"/>
  <c r="AK495" i="10"/>
  <c r="CA495" i="10"/>
  <c r="AI495" i="10"/>
  <c r="BQ495" i="10"/>
  <c r="BA495" i="10"/>
  <c r="AR495" i="10"/>
  <c r="BH495" i="10"/>
  <c r="BL495" i="10"/>
  <c r="AV494" i="10"/>
  <c r="AU494" i="10"/>
  <c r="BG494" i="10" s="1"/>
  <c r="AF495" i="10"/>
  <c r="AE494" i="10"/>
  <c r="B496" i="10"/>
  <c r="CD496" i="10" s="1"/>
  <c r="BJ496" i="10" l="1"/>
  <c r="AU495" i="10"/>
  <c r="BG495" i="10" s="1"/>
  <c r="BU495" i="10"/>
  <c r="BX495" i="10"/>
  <c r="BT495" i="10"/>
  <c r="BZ496" i="10"/>
  <c r="BS496" i="10"/>
  <c r="BO496" i="10"/>
  <c r="BD496" i="10"/>
  <c r="AZ496" i="10"/>
  <c r="AT496" i="10"/>
  <c r="AP496" i="10"/>
  <c r="BU496" i="10" s="1"/>
  <c r="AL496" i="10"/>
  <c r="CC496" i="10"/>
  <c r="BY496" i="10"/>
  <c r="BR496" i="10"/>
  <c r="BN496" i="10"/>
  <c r="BI496" i="10"/>
  <c r="AY496" i="10"/>
  <c r="AS496" i="10"/>
  <c r="AO496" i="10"/>
  <c r="AK496" i="10"/>
  <c r="BW496" i="10"/>
  <c r="AW496" i="10"/>
  <c r="AM496" i="10"/>
  <c r="BV496" i="10"/>
  <c r="BK496" i="10"/>
  <c r="BB496" i="10"/>
  <c r="AR496" i="10"/>
  <c r="AI496" i="10"/>
  <c r="CB496" i="10"/>
  <c r="BQ496" i="10"/>
  <c r="BH496" i="10"/>
  <c r="BA496" i="10"/>
  <c r="AQ496" i="10"/>
  <c r="AH496" i="10"/>
  <c r="BX496" i="10" s="1"/>
  <c r="CA496" i="10"/>
  <c r="BP496" i="10"/>
  <c r="AX496" i="10"/>
  <c r="AN496" i="10"/>
  <c r="BL496" i="10"/>
  <c r="AV495" i="10"/>
  <c r="AF496" i="10"/>
  <c r="AE495" i="10"/>
  <c r="B497" i="10"/>
  <c r="CD497" i="10" s="1"/>
  <c r="BJ497" i="10" l="1"/>
  <c r="AV496" i="10"/>
  <c r="BT496" i="10"/>
  <c r="AU496" i="10"/>
  <c r="BG496" i="10" s="1"/>
  <c r="CB497" i="10"/>
  <c r="BS497" i="10"/>
  <c r="BO497" i="10"/>
  <c r="BD497" i="10"/>
  <c r="AZ497" i="10"/>
  <c r="AQ497" i="10"/>
  <c r="AM497" i="10"/>
  <c r="AH497" i="10"/>
  <c r="BT497" i="10" s="1"/>
  <c r="CA497" i="10"/>
  <c r="BW497" i="10"/>
  <c r="BR497" i="10"/>
  <c r="BN497" i="10"/>
  <c r="BI497" i="10"/>
  <c r="AY497" i="10"/>
  <c r="AT497" i="10"/>
  <c r="AP497" i="10"/>
  <c r="BU497" i="10" s="1"/>
  <c r="AL497" i="10"/>
  <c r="CC497" i="10"/>
  <c r="BK497" i="10"/>
  <c r="BB497" i="10"/>
  <c r="AS497" i="10"/>
  <c r="AK497" i="10"/>
  <c r="BZ497" i="10"/>
  <c r="BQ497" i="10"/>
  <c r="BH497" i="10"/>
  <c r="BA497" i="10"/>
  <c r="AR497" i="10"/>
  <c r="AI497" i="10"/>
  <c r="BY497" i="10"/>
  <c r="BP497" i="10"/>
  <c r="AX497" i="10"/>
  <c r="AO497" i="10"/>
  <c r="AN497" i="10"/>
  <c r="BV497" i="10"/>
  <c r="AW497" i="10"/>
  <c r="BL497" i="10"/>
  <c r="AF497" i="10"/>
  <c r="AE496" i="10"/>
  <c r="B498" i="10"/>
  <c r="CD498" i="10" s="1"/>
  <c r="BJ498" i="10" l="1"/>
  <c r="AV497" i="10"/>
  <c r="AU497" i="10"/>
  <c r="BG497" i="10" s="1"/>
  <c r="BX497" i="10"/>
  <c r="CB498" i="10"/>
  <c r="CA498" i="10"/>
  <c r="BP498" i="10"/>
  <c r="BK498" i="10"/>
  <c r="BA498" i="10"/>
  <c r="AW498" i="10"/>
  <c r="AS498" i="10"/>
  <c r="AO498" i="10"/>
  <c r="AK498" i="10"/>
  <c r="CC498" i="10"/>
  <c r="BW498" i="10"/>
  <c r="BS498" i="10"/>
  <c r="BO498" i="10"/>
  <c r="BD498" i="10"/>
  <c r="AZ498" i="10"/>
  <c r="AR498" i="10"/>
  <c r="AN498" i="10"/>
  <c r="AI498" i="10"/>
  <c r="BV498" i="10"/>
  <c r="BN498" i="10"/>
  <c r="AX498" i="10"/>
  <c r="AP498" i="10"/>
  <c r="BU498" i="10" s="1"/>
  <c r="AM498" i="10"/>
  <c r="BZ498" i="10"/>
  <c r="BR498" i="10"/>
  <c r="BI498" i="10"/>
  <c r="BB498" i="10"/>
  <c r="AT498" i="10"/>
  <c r="AL498" i="10"/>
  <c r="AY498" i="10"/>
  <c r="BH498" i="10"/>
  <c r="AQ498" i="10"/>
  <c r="BY498" i="10"/>
  <c r="AH498" i="10"/>
  <c r="BT498" i="10" s="1"/>
  <c r="BQ498" i="10"/>
  <c r="BL498" i="10"/>
  <c r="AF498" i="10"/>
  <c r="AE497" i="10"/>
  <c r="B499" i="10"/>
  <c r="CD499" i="10" s="1"/>
  <c r="BJ499" i="10" l="1"/>
  <c r="CB499" i="10"/>
  <c r="BW499" i="10"/>
  <c r="BQ499" i="10"/>
  <c r="BH499" i="10"/>
  <c r="BB499" i="10"/>
  <c r="AX499" i="10"/>
  <c r="AS499" i="10"/>
  <c r="AO499" i="10"/>
  <c r="AK499" i="10"/>
  <c r="CA499" i="10"/>
  <c r="BV499" i="10"/>
  <c r="BP499" i="10"/>
  <c r="BK499" i="10"/>
  <c r="BA499" i="10"/>
  <c r="AW499" i="10"/>
  <c r="AR499" i="10"/>
  <c r="AN499" i="10"/>
  <c r="AI499" i="10"/>
  <c r="BZ499" i="10"/>
  <c r="BS499" i="10"/>
  <c r="BO499" i="10"/>
  <c r="BD499" i="10"/>
  <c r="AZ499" i="10"/>
  <c r="AQ499" i="10"/>
  <c r="AM499" i="10"/>
  <c r="CC499" i="10"/>
  <c r="AY499" i="10"/>
  <c r="AH499" i="10"/>
  <c r="BX499" i="10" s="1"/>
  <c r="BY499" i="10"/>
  <c r="BI499" i="10"/>
  <c r="AT499" i="10"/>
  <c r="BN499" i="10"/>
  <c r="AP499" i="10"/>
  <c r="BU499" i="10" s="1"/>
  <c r="AL499" i="10"/>
  <c r="BR499" i="10"/>
  <c r="BL499" i="10"/>
  <c r="AU498" i="10"/>
  <c r="BG498" i="10" s="1"/>
  <c r="AV498" i="10"/>
  <c r="BX498" i="10"/>
  <c r="AF499" i="10"/>
  <c r="AE498" i="10"/>
  <c r="B500" i="10"/>
  <c r="CD500" i="10" s="1"/>
  <c r="BJ500" i="10" l="1"/>
  <c r="BT499" i="10"/>
  <c r="AU499" i="10"/>
  <c r="BG499" i="10" s="1"/>
  <c r="CC500" i="10"/>
  <c r="BY500" i="10"/>
  <c r="BR500" i="10"/>
  <c r="BN500" i="10"/>
  <c r="BI500" i="10"/>
  <c r="AY500" i="10"/>
  <c r="AS500" i="10"/>
  <c r="AO500" i="10"/>
  <c r="AK500" i="10"/>
  <c r="CB500" i="10"/>
  <c r="BW500" i="10"/>
  <c r="BQ500" i="10"/>
  <c r="BH500" i="10"/>
  <c r="BB500" i="10"/>
  <c r="AX500" i="10"/>
  <c r="AR500" i="10"/>
  <c r="AN500" i="10"/>
  <c r="AI500" i="10"/>
  <c r="CA500" i="10"/>
  <c r="BV500" i="10"/>
  <c r="BP500" i="10"/>
  <c r="BK500" i="10"/>
  <c r="BA500" i="10"/>
  <c r="AW500" i="10"/>
  <c r="AQ500" i="10"/>
  <c r="AM500" i="10"/>
  <c r="AH500" i="10"/>
  <c r="BX500" i="10" s="1"/>
  <c r="BZ500" i="10"/>
  <c r="AZ500" i="10"/>
  <c r="BS500" i="10"/>
  <c r="AT500" i="10"/>
  <c r="BO500" i="10"/>
  <c r="AP500" i="10"/>
  <c r="BU500" i="10" s="1"/>
  <c r="AL500" i="10"/>
  <c r="BD500" i="10"/>
  <c r="BL500" i="10"/>
  <c r="AV499" i="10"/>
  <c r="AF500" i="10"/>
  <c r="AE499" i="10"/>
  <c r="B501" i="10"/>
  <c r="CD501" i="10" s="1"/>
  <c r="BJ501" i="10" l="1"/>
  <c r="BT500" i="10"/>
  <c r="AV500" i="10"/>
  <c r="CA501" i="10"/>
  <c r="BW501" i="10"/>
  <c r="BR501" i="10"/>
  <c r="BN501" i="10"/>
  <c r="BI501" i="10"/>
  <c r="AY501" i="10"/>
  <c r="AT501" i="10"/>
  <c r="AP501" i="10"/>
  <c r="BU501" i="10" s="1"/>
  <c r="AL501" i="10"/>
  <c r="BZ501" i="10"/>
  <c r="BV501" i="10"/>
  <c r="BQ501" i="10"/>
  <c r="BH501" i="10"/>
  <c r="BB501" i="10"/>
  <c r="AX501" i="10"/>
  <c r="AS501" i="10"/>
  <c r="AO501" i="10"/>
  <c r="AK501" i="10"/>
  <c r="CC501" i="10"/>
  <c r="BY501" i="10"/>
  <c r="BP501" i="10"/>
  <c r="BK501" i="10"/>
  <c r="BA501" i="10"/>
  <c r="AW501" i="10"/>
  <c r="AR501" i="10"/>
  <c r="AN501" i="10"/>
  <c r="AI501" i="10"/>
  <c r="BS501" i="10"/>
  <c r="BO501" i="10"/>
  <c r="BD501" i="10"/>
  <c r="AQ501" i="10"/>
  <c r="AZ501" i="10"/>
  <c r="AM501" i="10"/>
  <c r="CB501" i="10"/>
  <c r="AH501" i="10"/>
  <c r="BL501" i="10"/>
  <c r="AU500" i="10"/>
  <c r="BG500" i="10" s="1"/>
  <c r="AF501" i="10"/>
  <c r="AE500" i="10"/>
  <c r="B502" i="10"/>
  <c r="CD502" i="10" s="1"/>
  <c r="BJ502" i="10" l="1"/>
  <c r="AU501" i="10"/>
  <c r="BG501" i="10" s="1"/>
  <c r="AV501" i="10"/>
  <c r="BX501" i="10"/>
  <c r="CC502" i="10"/>
  <c r="BY502" i="10"/>
  <c r="BS502" i="10"/>
  <c r="BO502" i="10"/>
  <c r="BD502" i="10"/>
  <c r="AZ502" i="10"/>
  <c r="AR502" i="10"/>
  <c r="AN502" i="10"/>
  <c r="AI502" i="10"/>
  <c r="CB502" i="10"/>
  <c r="BW502" i="10"/>
  <c r="BR502" i="10"/>
  <c r="BN502" i="10"/>
  <c r="BI502" i="10"/>
  <c r="AY502" i="10"/>
  <c r="AQ502" i="10"/>
  <c r="AM502" i="10"/>
  <c r="AH502" i="10"/>
  <c r="BT502" i="10" s="1"/>
  <c r="CA502" i="10"/>
  <c r="BV502" i="10"/>
  <c r="BQ502" i="10"/>
  <c r="BH502" i="10"/>
  <c r="BB502" i="10"/>
  <c r="AX502" i="10"/>
  <c r="AT502" i="10"/>
  <c r="AP502" i="10"/>
  <c r="BU502" i="10" s="1"/>
  <c r="AL502" i="10"/>
  <c r="BP502" i="10"/>
  <c r="AO502" i="10"/>
  <c r="BA502" i="10"/>
  <c r="AK502" i="10"/>
  <c r="AW502" i="10"/>
  <c r="BK502" i="10"/>
  <c r="AS502" i="10"/>
  <c r="BZ502" i="10"/>
  <c r="BL502" i="10"/>
  <c r="BT501" i="10"/>
  <c r="AF502" i="10"/>
  <c r="AE501" i="10"/>
  <c r="B503" i="10"/>
  <c r="CD503" i="10" s="1"/>
  <c r="BJ503" i="10" l="1"/>
  <c r="AU502" i="10"/>
  <c r="BG502" i="10" s="1"/>
  <c r="BX502" i="10"/>
  <c r="BZ503" i="10"/>
  <c r="BS503" i="10"/>
  <c r="BO503" i="10"/>
  <c r="BD503" i="10"/>
  <c r="AZ503" i="10"/>
  <c r="AT503" i="10"/>
  <c r="AP503" i="10"/>
  <c r="BU503" i="10" s="1"/>
  <c r="AL503" i="10"/>
  <c r="CC503" i="10"/>
  <c r="BY503" i="10"/>
  <c r="BR503" i="10"/>
  <c r="BN503" i="10"/>
  <c r="BI503" i="10"/>
  <c r="AY503" i="10"/>
  <c r="AS503" i="10"/>
  <c r="AO503" i="10"/>
  <c r="AK503" i="10"/>
  <c r="CB503" i="10"/>
  <c r="BW503" i="10"/>
  <c r="BQ503" i="10"/>
  <c r="BH503" i="10"/>
  <c r="BB503" i="10"/>
  <c r="AX503" i="10"/>
  <c r="AR503" i="10"/>
  <c r="AN503" i="10"/>
  <c r="AI503" i="10"/>
  <c r="BP503" i="10"/>
  <c r="AM503" i="10"/>
  <c r="BA503" i="10"/>
  <c r="AH503" i="10"/>
  <c r="BX503" i="10" s="1"/>
  <c r="BV503" i="10"/>
  <c r="AW503" i="10"/>
  <c r="BK503" i="10"/>
  <c r="AQ503" i="10"/>
  <c r="CA503" i="10"/>
  <c r="BL503" i="10"/>
  <c r="AV502" i="10"/>
  <c r="AF503" i="10"/>
  <c r="AE502" i="10"/>
  <c r="B504" i="10"/>
  <c r="CD504" i="10" s="1"/>
  <c r="BJ504" i="10" l="1"/>
  <c r="AU503" i="10"/>
  <c r="BG503" i="10" s="1"/>
  <c r="CA504" i="10"/>
  <c r="BV504" i="10"/>
  <c r="BP504" i="10"/>
  <c r="BK504" i="10"/>
  <c r="BA504" i="10"/>
  <c r="AW504" i="10"/>
  <c r="AQ504" i="10"/>
  <c r="AM504" i="10"/>
  <c r="AH504" i="10"/>
  <c r="BX504" i="10" s="1"/>
  <c r="BZ504" i="10"/>
  <c r="BS504" i="10"/>
  <c r="BO504" i="10"/>
  <c r="BD504" i="10"/>
  <c r="AZ504" i="10"/>
  <c r="AT504" i="10"/>
  <c r="AP504" i="10"/>
  <c r="BU504" i="10" s="1"/>
  <c r="AL504" i="10"/>
  <c r="CC504" i="10"/>
  <c r="BY504" i="10"/>
  <c r="BR504" i="10"/>
  <c r="BN504" i="10"/>
  <c r="BI504" i="10"/>
  <c r="AY504" i="10"/>
  <c r="AS504" i="10"/>
  <c r="AO504" i="10"/>
  <c r="AK504" i="10"/>
  <c r="BQ504" i="10"/>
  <c r="AN504" i="10"/>
  <c r="BB504" i="10"/>
  <c r="AI504" i="10"/>
  <c r="BW504" i="10"/>
  <c r="AX504" i="10"/>
  <c r="BH504" i="10"/>
  <c r="AR504" i="10"/>
  <c r="CB504" i="10"/>
  <c r="BL504" i="10"/>
  <c r="AV503" i="10"/>
  <c r="BT503" i="10"/>
  <c r="AF504" i="10"/>
  <c r="AE503" i="10"/>
  <c r="B505" i="10"/>
  <c r="CD505" i="10" s="1"/>
  <c r="AU504" i="10" l="1"/>
  <c r="BG504" i="10" s="1"/>
  <c r="BJ505" i="10"/>
  <c r="BT504" i="10"/>
  <c r="AV504" i="10"/>
  <c r="CC505" i="10"/>
  <c r="BY505" i="10"/>
  <c r="BP505" i="10"/>
  <c r="BK505" i="10"/>
  <c r="BA505" i="10"/>
  <c r="AW505" i="10"/>
  <c r="AR505" i="10"/>
  <c r="AN505" i="10"/>
  <c r="AI505" i="10"/>
  <c r="CB505" i="10"/>
  <c r="BS505" i="10"/>
  <c r="BO505" i="10"/>
  <c r="BD505" i="10"/>
  <c r="AZ505" i="10"/>
  <c r="AQ505" i="10"/>
  <c r="AM505" i="10"/>
  <c r="AH505" i="10"/>
  <c r="BT505" i="10" s="1"/>
  <c r="CA505" i="10"/>
  <c r="BW505" i="10"/>
  <c r="BR505" i="10"/>
  <c r="BN505" i="10"/>
  <c r="BI505" i="10"/>
  <c r="AY505" i="10"/>
  <c r="AT505" i="10"/>
  <c r="AP505" i="10"/>
  <c r="BU505" i="10" s="1"/>
  <c r="AL505" i="10"/>
  <c r="BQ505" i="10"/>
  <c r="AO505" i="10"/>
  <c r="BB505" i="10"/>
  <c r="AK505" i="10"/>
  <c r="BV505" i="10"/>
  <c r="AX505" i="10"/>
  <c r="BH505" i="10"/>
  <c r="AS505" i="10"/>
  <c r="BZ505" i="10"/>
  <c r="BL505" i="10"/>
  <c r="AF505" i="10"/>
  <c r="AE504" i="10"/>
  <c r="B506" i="10"/>
  <c r="CD506" i="10" s="1"/>
  <c r="BJ506" i="10" l="1"/>
  <c r="AV505" i="10"/>
  <c r="BX505" i="10"/>
  <c r="CB506" i="10"/>
  <c r="BW506" i="10"/>
  <c r="BR506" i="10"/>
  <c r="BN506" i="10"/>
  <c r="BI506" i="10"/>
  <c r="AY506" i="10"/>
  <c r="AT506" i="10"/>
  <c r="AP506" i="10"/>
  <c r="AL506" i="10"/>
  <c r="CA506" i="10"/>
  <c r="BV506" i="10"/>
  <c r="BQ506" i="10"/>
  <c r="BH506" i="10"/>
  <c r="BB506" i="10"/>
  <c r="AX506" i="10"/>
  <c r="AS506" i="10"/>
  <c r="AO506" i="10"/>
  <c r="AK506" i="10"/>
  <c r="BZ506" i="10"/>
  <c r="BP506" i="10"/>
  <c r="BK506" i="10"/>
  <c r="BA506" i="10"/>
  <c r="AW506" i="10"/>
  <c r="AR506" i="10"/>
  <c r="AN506" i="10"/>
  <c r="AI506" i="10"/>
  <c r="CC506" i="10"/>
  <c r="AM506" i="10"/>
  <c r="BY506" i="10"/>
  <c r="AZ506" i="10"/>
  <c r="AH506" i="10"/>
  <c r="BO506" i="10"/>
  <c r="AQ506" i="10"/>
  <c r="BS506" i="10"/>
  <c r="BD506" i="10"/>
  <c r="BL506" i="10"/>
  <c r="AU505" i="10"/>
  <c r="BG505" i="10" s="1"/>
  <c r="AF506" i="10"/>
  <c r="AE505" i="10"/>
  <c r="B507" i="10"/>
  <c r="CD507" i="10" s="1"/>
  <c r="BJ507" i="10" l="1"/>
  <c r="CC507" i="10"/>
  <c r="BY507" i="10"/>
  <c r="BR507" i="10"/>
  <c r="BN507" i="10"/>
  <c r="BI507" i="10"/>
  <c r="AY507" i="10"/>
  <c r="AS507" i="10"/>
  <c r="AO507" i="10"/>
  <c r="AK507" i="10"/>
  <c r="CB507" i="10"/>
  <c r="BW507" i="10"/>
  <c r="BQ507" i="10"/>
  <c r="BH507" i="10"/>
  <c r="BB507" i="10"/>
  <c r="AX507" i="10"/>
  <c r="AR507" i="10"/>
  <c r="AN507" i="10"/>
  <c r="AI507" i="10"/>
  <c r="CA507" i="10"/>
  <c r="BV507" i="10"/>
  <c r="BP507" i="10"/>
  <c r="BK507" i="10"/>
  <c r="BA507" i="10"/>
  <c r="AW507" i="10"/>
  <c r="AQ507" i="10"/>
  <c r="AM507" i="10"/>
  <c r="AH507" i="10"/>
  <c r="BX507" i="10" s="1"/>
  <c r="BZ507" i="10"/>
  <c r="AZ507" i="10"/>
  <c r="BS507" i="10"/>
  <c r="AT507" i="10"/>
  <c r="BO507" i="10"/>
  <c r="AP507" i="10"/>
  <c r="BU507" i="10" s="1"/>
  <c r="AL507" i="10"/>
  <c r="BD507" i="10"/>
  <c r="BL507" i="10"/>
  <c r="BX506" i="10"/>
  <c r="AU506" i="10"/>
  <c r="BG506" i="10" s="1"/>
  <c r="BU506" i="10"/>
  <c r="BT506" i="10"/>
  <c r="AV506" i="10"/>
  <c r="AF507" i="10"/>
  <c r="AE506" i="10"/>
  <c r="BT507" i="10" l="1"/>
  <c r="AU507" i="10"/>
  <c r="BG507" i="10" s="1"/>
  <c r="AV507" i="10"/>
  <c r="AE507" i="10"/>
  <c r="B22" i="10" l="1"/>
  <c r="CD22" i="10" s="1"/>
  <c r="B23" i="10"/>
  <c r="CD23" i="10" s="1"/>
  <c r="B21" i="10"/>
  <c r="CD21" i="10" s="1"/>
  <c r="B11" i="10"/>
  <c r="B20" i="10"/>
  <c r="CD20" i="10" s="1"/>
  <c r="B12" i="10"/>
  <c r="B24" i="10"/>
  <c r="CD24" i="10" s="1"/>
  <c r="BK15" i="10" l="1"/>
  <c r="BK18" i="10"/>
  <c r="BK17" i="10"/>
  <c r="BK14" i="10"/>
  <c r="BK9" i="10"/>
  <c r="AF9" i="10" s="1"/>
  <c r="BJ21" i="10"/>
  <c r="BJ23" i="10"/>
  <c r="BJ20" i="10"/>
  <c r="BJ22" i="10"/>
  <c r="BI11" i="10"/>
  <c r="AY11" i="10"/>
  <c r="AT11" i="10"/>
  <c r="AE11" i="10" s="1"/>
  <c r="AP11" i="10"/>
  <c r="AL11" i="10"/>
  <c r="BJ11" i="10" s="1"/>
  <c r="BH11" i="10"/>
  <c r="BB11" i="10"/>
  <c r="AX11" i="10"/>
  <c r="BZ11" i="10" s="1"/>
  <c r="AS11" i="10"/>
  <c r="AO11" i="10"/>
  <c r="AK11" i="10"/>
  <c r="BO11" i="10"/>
  <c r="BD11" i="10"/>
  <c r="BK11" i="10"/>
  <c r="BA11" i="10"/>
  <c r="BA12" i="10" s="1"/>
  <c r="BA13" i="10" s="1"/>
  <c r="AR11" i="10"/>
  <c r="AR12" i="10" s="1"/>
  <c r="AR13" i="10" s="1"/>
  <c r="AN11" i="10"/>
  <c r="BW11" i="10" s="1"/>
  <c r="AI11" i="10"/>
  <c r="BY11" i="10" s="1"/>
  <c r="BS11" i="10"/>
  <c r="AZ11" i="10"/>
  <c r="W3" i="14" s="1"/>
  <c r="AQ11" i="10"/>
  <c r="AM11" i="10"/>
  <c r="AH11" i="10"/>
  <c r="BL11" i="10"/>
  <c r="AJ11" i="10"/>
  <c r="AJ12" i="10" s="1"/>
  <c r="AJ13" i="10" s="1"/>
  <c r="BK24" i="10"/>
  <c r="BA24" i="10"/>
  <c r="AW24" i="10"/>
  <c r="BN24" i="10" s="1"/>
  <c r="AS24" i="10"/>
  <c r="AO24" i="10"/>
  <c r="AK24" i="10"/>
  <c r="AX24" i="10"/>
  <c r="BZ24" i="10" s="1"/>
  <c r="AL24" i="10"/>
  <c r="BJ24" i="10" s="1"/>
  <c r="BS24" i="10"/>
  <c r="BO24" i="10"/>
  <c r="BD24" i="10"/>
  <c r="AZ24" i="10"/>
  <c r="AR24" i="10"/>
  <c r="AN24" i="10"/>
  <c r="BW24" i="10" s="1"/>
  <c r="AI24" i="10"/>
  <c r="BB24" i="10"/>
  <c r="AP24" i="10"/>
  <c r="BV24" i="10"/>
  <c r="BI24" i="10"/>
  <c r="AY24" i="10"/>
  <c r="AQ24" i="10"/>
  <c r="AM24" i="10"/>
  <c r="CA24" i="10" s="1"/>
  <c r="AH24" i="10"/>
  <c r="BY24" i="10"/>
  <c r="BH24" i="10"/>
  <c r="AT24" i="10"/>
  <c r="BL24" i="10"/>
  <c r="CC21" i="10"/>
  <c r="BY21" i="10"/>
  <c r="BQ21" i="10"/>
  <c r="BH21" i="10"/>
  <c r="BB21" i="10"/>
  <c r="AX21" i="10"/>
  <c r="AT21" i="10"/>
  <c r="AP21" i="10"/>
  <c r="BU21" i="10" s="1"/>
  <c r="AL21" i="10"/>
  <c r="BR21" i="10"/>
  <c r="AY21" i="10"/>
  <c r="AM21" i="10"/>
  <c r="CB21" i="10"/>
  <c r="BP21" i="10"/>
  <c r="BK21" i="10"/>
  <c r="BA21" i="10"/>
  <c r="AW21" i="10"/>
  <c r="AS21" i="10"/>
  <c r="AO21" i="10"/>
  <c r="AK21" i="10"/>
  <c r="BZ21" i="10"/>
  <c r="BN21" i="10"/>
  <c r="BI21" i="10"/>
  <c r="CA21" i="10"/>
  <c r="BW21" i="10"/>
  <c r="BS21" i="10"/>
  <c r="BO21" i="10"/>
  <c r="BD21" i="10"/>
  <c r="AZ21" i="10"/>
  <c r="AR21" i="10"/>
  <c r="AN21" i="10"/>
  <c r="AI21" i="10"/>
  <c r="BV21" i="10"/>
  <c r="AQ21" i="10"/>
  <c r="AH21" i="10"/>
  <c r="BT21" i="10" s="1"/>
  <c r="BL21" i="10"/>
  <c r="BS12" i="10"/>
  <c r="BO12" i="10"/>
  <c r="BD12" i="10"/>
  <c r="BD13" i="10" s="1"/>
  <c r="AZ12" i="10"/>
  <c r="AZ13" i="10" s="1"/>
  <c r="AI12" i="10"/>
  <c r="BY12" i="10" s="1"/>
  <c r="BI12" i="10"/>
  <c r="AY12" i="10"/>
  <c r="AY13" i="10" s="1"/>
  <c r="AQ12" i="10"/>
  <c r="AQ13" i="10" s="1"/>
  <c r="AM12" i="10"/>
  <c r="CA12" i="10" s="1"/>
  <c r="AH12" i="10"/>
  <c r="BK12" i="10"/>
  <c r="AS12" i="10"/>
  <c r="AS13" i="10" s="1"/>
  <c r="AO12" i="10"/>
  <c r="AO13" i="10" s="1"/>
  <c r="AK12" i="10"/>
  <c r="AK13" i="10" s="1"/>
  <c r="CC12" i="10"/>
  <c r="BH12" i="10"/>
  <c r="BB12" i="10"/>
  <c r="AP12" i="10"/>
  <c r="AP13" i="10" s="1"/>
  <c r="BL12" i="10"/>
  <c r="CB23" i="10"/>
  <c r="BS23" i="10"/>
  <c r="BO23" i="10"/>
  <c r="BD23" i="10"/>
  <c r="AZ23" i="10"/>
  <c r="AQ23" i="10"/>
  <c r="AM23" i="10"/>
  <c r="AH23" i="10"/>
  <c r="CA23" i="10"/>
  <c r="BW23" i="10"/>
  <c r="BR23" i="10"/>
  <c r="BN23" i="10"/>
  <c r="BI23" i="10"/>
  <c r="AY23" i="10"/>
  <c r="AT23" i="10"/>
  <c r="AP23" i="10"/>
  <c r="BU23" i="10" s="1"/>
  <c r="AL23" i="10"/>
  <c r="BY23" i="10"/>
  <c r="BK23" i="10"/>
  <c r="AW23" i="10"/>
  <c r="AI23" i="10"/>
  <c r="BZ23" i="10"/>
  <c r="BV23" i="10"/>
  <c r="BQ23" i="10"/>
  <c r="BH23" i="10"/>
  <c r="BB23" i="10"/>
  <c r="AX23" i="10"/>
  <c r="AS23" i="10"/>
  <c r="AO23" i="10"/>
  <c r="AK23" i="10"/>
  <c r="CC23" i="10"/>
  <c r="BP23" i="10"/>
  <c r="BA23" i="10"/>
  <c r="AR23" i="10"/>
  <c r="AN23" i="10"/>
  <c r="AV23" i="10"/>
  <c r="BL23" i="10"/>
  <c r="CC20" i="10"/>
  <c r="BY20" i="10"/>
  <c r="BQ20" i="10"/>
  <c r="BH20" i="10"/>
  <c r="BB20" i="10"/>
  <c r="AX20" i="10"/>
  <c r="AT20" i="10"/>
  <c r="AE20" i="10" s="1"/>
  <c r="AP20" i="10"/>
  <c r="BU20" i="10" s="1"/>
  <c r="AL20" i="10"/>
  <c r="BV20" i="10"/>
  <c r="AQ20" i="10"/>
  <c r="AH20" i="10"/>
  <c r="BX20" i="10" s="1"/>
  <c r="CB20" i="10"/>
  <c r="BP20" i="10"/>
  <c r="BK20" i="10"/>
  <c r="BA20" i="10"/>
  <c r="AW20" i="10"/>
  <c r="AS20" i="10"/>
  <c r="AO20" i="10"/>
  <c r="AK20" i="10"/>
  <c r="BZ20" i="10"/>
  <c r="BN20" i="10"/>
  <c r="AY20" i="10"/>
  <c r="AM20" i="10"/>
  <c r="CA20" i="10"/>
  <c r="BW20" i="10"/>
  <c r="BS20" i="10"/>
  <c r="BO20" i="10"/>
  <c r="BD20" i="10"/>
  <c r="AZ20" i="10"/>
  <c r="AR20" i="10"/>
  <c r="AN20" i="10"/>
  <c r="AI20" i="10"/>
  <c r="BR20" i="10"/>
  <c r="BI20" i="10"/>
  <c r="BL20" i="10"/>
  <c r="BZ22" i="10"/>
  <c r="BS22" i="10"/>
  <c r="BO22" i="10"/>
  <c r="BD22" i="10"/>
  <c r="AZ22" i="10"/>
  <c r="AT22" i="10"/>
  <c r="AP22" i="10"/>
  <c r="BU22" i="10" s="1"/>
  <c r="AL22" i="10"/>
  <c r="CC22" i="10"/>
  <c r="BY22" i="10"/>
  <c r="BR22" i="10"/>
  <c r="BN22" i="10"/>
  <c r="BI22" i="10"/>
  <c r="AY22" i="10"/>
  <c r="AS22" i="10"/>
  <c r="AO22" i="10"/>
  <c r="AK22" i="10"/>
  <c r="BV22" i="10"/>
  <c r="BA22" i="10"/>
  <c r="AW22" i="10"/>
  <c r="AQ22" i="10"/>
  <c r="AM22" i="10"/>
  <c r="AH22" i="10"/>
  <c r="BX22" i="10" s="1"/>
  <c r="CB22" i="10"/>
  <c r="BW22" i="10"/>
  <c r="BQ22" i="10"/>
  <c r="BH22" i="10"/>
  <c r="BB22" i="10"/>
  <c r="AX22" i="10"/>
  <c r="AR22" i="10"/>
  <c r="AN22" i="10"/>
  <c r="AI22" i="10"/>
  <c r="CA22" i="10"/>
  <c r="BP22" i="10"/>
  <c r="BK22" i="10"/>
  <c r="BL22" i="10"/>
  <c r="AF21" i="10"/>
  <c r="AF23" i="10"/>
  <c r="AF20" i="10"/>
  <c r="AF22" i="10"/>
  <c r="X15" i="14"/>
  <c r="F15" i="14"/>
  <c r="E15" i="14"/>
  <c r="M15" i="14"/>
  <c r="L15" i="14"/>
  <c r="D15" i="14"/>
  <c r="T15" i="14"/>
  <c r="AD124" i="27" s="1"/>
  <c r="Y15" i="14"/>
  <c r="J124" i="27" s="1"/>
  <c r="G15" i="14"/>
  <c r="H124" i="27" s="1"/>
  <c r="P15" i="14"/>
  <c r="N15" i="14"/>
  <c r="H15" i="14"/>
  <c r="U15" i="14"/>
  <c r="C15" i="14"/>
  <c r="K15" i="14"/>
  <c r="I15" i="14"/>
  <c r="W15" i="14"/>
  <c r="Q15" i="14"/>
  <c r="V15" i="14"/>
  <c r="L4" i="14"/>
  <c r="F4" i="14"/>
  <c r="G4" i="14"/>
  <c r="H4" i="14"/>
  <c r="S4" i="14"/>
  <c r="Y4" i="14"/>
  <c r="I4" i="14"/>
  <c r="C4" i="14"/>
  <c r="J4" i="14" s="1"/>
  <c r="X4" i="14"/>
  <c r="V4" i="14"/>
  <c r="P4" i="14"/>
  <c r="W4" i="14"/>
  <c r="K4" i="14"/>
  <c r="Q4" i="14"/>
  <c r="U4" i="14"/>
  <c r="D4" i="14"/>
  <c r="T4" i="14"/>
  <c r="R4" i="14"/>
  <c r="N4" i="14"/>
  <c r="M4" i="14"/>
  <c r="R3" i="14"/>
  <c r="L3" i="14"/>
  <c r="Y3" i="14"/>
  <c r="H3" i="14"/>
  <c r="K3" i="14"/>
  <c r="V3" i="14"/>
  <c r="V121" i="27" s="1"/>
  <c r="G3" i="14"/>
  <c r="I3" i="14"/>
  <c r="S3" i="14"/>
  <c r="X3" i="14"/>
  <c r="T3" i="14"/>
  <c r="F3" i="14"/>
  <c r="Q3" i="14"/>
  <c r="U3" i="14"/>
  <c r="D3" i="14"/>
  <c r="B121" i="27" s="1"/>
  <c r="E3" i="14"/>
  <c r="C3" i="14"/>
  <c r="J3" i="14" s="1"/>
  <c r="U9" i="14"/>
  <c r="Q9" i="14"/>
  <c r="I9" i="14"/>
  <c r="X5" i="14"/>
  <c r="G2" i="14"/>
  <c r="E11" i="14"/>
  <c r="P8" i="14"/>
  <c r="G5" i="14"/>
  <c r="F11" i="14"/>
  <c r="D11" i="14"/>
  <c r="T7" i="14"/>
  <c r="H13" i="14"/>
  <c r="F13" i="14"/>
  <c r="D13" i="14"/>
  <c r="W11" i="14"/>
  <c r="P2" i="14"/>
  <c r="L7" i="14"/>
  <c r="H10" i="14"/>
  <c r="F10" i="14"/>
  <c r="G11" i="14"/>
  <c r="L6" i="14"/>
  <c r="X13" i="14"/>
  <c r="P12" i="14"/>
  <c r="L12" i="14"/>
  <c r="N2" i="14"/>
  <c r="K2" i="14"/>
  <c r="V12" i="14"/>
  <c r="V2" i="14"/>
  <c r="V120" i="27" s="1"/>
  <c r="X7" i="14"/>
  <c r="E14" i="14"/>
  <c r="H7" i="14"/>
  <c r="E2" i="14"/>
  <c r="L14" i="14"/>
  <c r="G9" i="14"/>
  <c r="V13" i="14"/>
  <c r="Q2" i="14"/>
  <c r="H6" i="14"/>
  <c r="H12" i="14"/>
  <c r="F7" i="14"/>
  <c r="G13" i="14"/>
  <c r="H2" i="14"/>
  <c r="W5" i="14"/>
  <c r="X11" i="14"/>
  <c r="G12" i="14"/>
  <c r="V14" i="14"/>
  <c r="H5" i="14"/>
  <c r="G10" i="14"/>
  <c r="C2" i="14"/>
  <c r="J2" i="14" s="1"/>
  <c r="I2" i="14"/>
  <c r="D2" i="14"/>
  <c r="B120" i="27" s="1"/>
  <c r="P13" i="14"/>
  <c r="F2" i="14"/>
  <c r="L11" i="14"/>
  <c r="S2" i="14"/>
  <c r="F12" i="14"/>
  <c r="D14" i="14"/>
  <c r="W8" i="14"/>
  <c r="F9" i="14"/>
  <c r="V11" i="14"/>
  <c r="R2" i="14"/>
  <c r="W2" i="14"/>
  <c r="H9" i="14"/>
  <c r="W14" i="14"/>
  <c r="Y2" i="14"/>
  <c r="H11" i="14"/>
  <c r="T12" i="14"/>
  <c r="P5" i="14"/>
  <c r="F5" i="14"/>
  <c r="X2" i="14"/>
  <c r="E13" i="14"/>
  <c r="L5" i="14"/>
  <c r="G14" i="14"/>
  <c r="P14" i="14"/>
  <c r="W12" i="14"/>
  <c r="G6" i="14"/>
  <c r="V8" i="14"/>
  <c r="T8" i="14"/>
  <c r="H14" i="14"/>
  <c r="V5" i="14"/>
  <c r="D8" i="14"/>
  <c r="B92" i="27" s="1"/>
  <c r="G8" i="14"/>
  <c r="L2" i="14"/>
  <c r="T14" i="14"/>
  <c r="G7" i="14"/>
  <c r="X12" i="14"/>
  <c r="L10" i="14"/>
  <c r="L8" i="14"/>
  <c r="L13" i="14"/>
  <c r="F8" i="14"/>
  <c r="M2" i="14"/>
  <c r="U2" i="14"/>
  <c r="P11" i="14"/>
  <c r="E12" i="14"/>
  <c r="X8" i="14"/>
  <c r="W13" i="14"/>
  <c r="T13" i="14"/>
  <c r="D12" i="14"/>
  <c r="F14" i="14"/>
  <c r="L9" i="14"/>
  <c r="T11" i="14"/>
  <c r="F6" i="14"/>
  <c r="H8" i="14"/>
  <c r="T2" i="14"/>
  <c r="X14" i="14"/>
  <c r="C5" i="14"/>
  <c r="J5" i="14" s="1"/>
  <c r="T5" i="14"/>
  <c r="Y7" i="14"/>
  <c r="Q6" i="14"/>
  <c r="Y8" i="14"/>
  <c r="C8" i="14"/>
  <c r="Q8" i="14"/>
  <c r="U8" i="14"/>
  <c r="I8" i="14"/>
  <c r="Y9" i="14"/>
  <c r="K11" i="14"/>
  <c r="Y11" i="14"/>
  <c r="C11" i="14"/>
  <c r="I11" i="14"/>
  <c r="Q11" i="14"/>
  <c r="U11" i="14"/>
  <c r="N11" i="14"/>
  <c r="M11" i="14"/>
  <c r="Y12" i="14"/>
  <c r="K12" i="14"/>
  <c r="I12" i="14"/>
  <c r="Q12" i="14"/>
  <c r="U12" i="14"/>
  <c r="C12" i="14"/>
  <c r="N12" i="14"/>
  <c r="M12" i="14"/>
  <c r="Y13" i="14"/>
  <c r="K13" i="14"/>
  <c r="I13" i="14"/>
  <c r="C13" i="14"/>
  <c r="Q13" i="14"/>
  <c r="U13" i="14"/>
  <c r="N13" i="14"/>
  <c r="M13" i="14"/>
  <c r="Y14" i="14"/>
  <c r="K14" i="14"/>
  <c r="I14" i="14"/>
  <c r="C14" i="14"/>
  <c r="Q14" i="14"/>
  <c r="U14" i="14"/>
  <c r="N14" i="14"/>
  <c r="M14" i="14"/>
  <c r="D5" i="14"/>
  <c r="V9" i="14"/>
  <c r="BK8" i="10"/>
  <c r="D6" i="14"/>
  <c r="AU13" i="10" l="1"/>
  <c r="AV13" i="10"/>
  <c r="CD13" i="10"/>
  <c r="CD14" i="10"/>
  <c r="AX12" i="10"/>
  <c r="CB12" i="10"/>
  <c r="AM13" i="10"/>
  <c r="CA13" i="10" s="1"/>
  <c r="P3" i="14"/>
  <c r="AH13" i="10"/>
  <c r="AI13" i="10"/>
  <c r="AT12" i="10"/>
  <c r="AT13" i="10" s="1"/>
  <c r="AW13" i="10" s="1"/>
  <c r="AW12" i="10"/>
  <c r="AN12" i="10"/>
  <c r="BU12" i="10"/>
  <c r="BW12" i="10"/>
  <c r="AL12" i="10"/>
  <c r="AJ14" i="10"/>
  <c r="E4" i="14" s="1"/>
  <c r="BR13" i="10"/>
  <c r="BR12" i="10"/>
  <c r="BQ12" i="10"/>
  <c r="BX12" i="10"/>
  <c r="BP12" i="10"/>
  <c r="CD12" i="10"/>
  <c r="CB11" i="10"/>
  <c r="BU11" i="10"/>
  <c r="BQ11" i="10"/>
  <c r="CA11" i="10"/>
  <c r="AW11" i="10"/>
  <c r="CC11" i="10"/>
  <c r="BP11" i="10"/>
  <c r="BV11" i="10"/>
  <c r="BR11" i="10"/>
  <c r="CD11" i="10"/>
  <c r="BU24" i="10"/>
  <c r="CB24" i="10"/>
  <c r="BP24" i="10"/>
  <c r="CC24" i="10"/>
  <c r="BQ24" i="10"/>
  <c r="BR24" i="10"/>
  <c r="AU20" i="10"/>
  <c r="BG20" i="10" s="1"/>
  <c r="B87" i="27"/>
  <c r="BT12" i="10"/>
  <c r="AV22" i="10"/>
  <c r="AV21" i="10"/>
  <c r="AU21" i="10"/>
  <c r="BG21" i="10" s="1"/>
  <c r="BX21" i="10"/>
  <c r="AU22" i="10"/>
  <c r="BG22" i="10" s="1"/>
  <c r="BT22" i="10"/>
  <c r="AV11" i="10"/>
  <c r="N3" i="14" s="1"/>
  <c r="AV20" i="10"/>
  <c r="AU12" i="10"/>
  <c r="BG12" i="10" s="1"/>
  <c r="AV12" i="10"/>
  <c r="BX23" i="10"/>
  <c r="AU24" i="10"/>
  <c r="BG24" i="10" s="1"/>
  <c r="AV24" i="10"/>
  <c r="BX11" i="10"/>
  <c r="AU11" i="10"/>
  <c r="BT24" i="10"/>
  <c r="BT20" i="10"/>
  <c r="BT23" i="10"/>
  <c r="AU23" i="10"/>
  <c r="BG23" i="10" s="1"/>
  <c r="BX24" i="10"/>
  <c r="BT11" i="10"/>
  <c r="W7" i="14"/>
  <c r="V7" i="14"/>
  <c r="B88" i="27"/>
  <c r="B90" i="27"/>
  <c r="B86" i="27"/>
  <c r="E7" i="14"/>
  <c r="X6" i="14"/>
  <c r="Y6" i="14"/>
  <c r="J88" i="27" s="1"/>
  <c r="U6" i="14"/>
  <c r="I6" i="14"/>
  <c r="V6" i="14"/>
  <c r="W6" i="14"/>
  <c r="E6" i="14"/>
  <c r="E8" i="14"/>
  <c r="E9" i="14"/>
  <c r="P9" i="14"/>
  <c r="O15" i="14"/>
  <c r="M124" i="27"/>
  <c r="W9" i="14"/>
  <c r="C9" i="14"/>
  <c r="X9" i="14"/>
  <c r="Z15" i="14"/>
  <c r="D124" i="27" s="1"/>
  <c r="F124" i="27"/>
  <c r="T9" i="14"/>
  <c r="AD123" i="27" s="1"/>
  <c r="D9" i="14"/>
  <c r="B93" i="27" s="1"/>
  <c r="H94" i="27"/>
  <c r="J93" i="27"/>
  <c r="H93" i="27"/>
  <c r="J92" i="27"/>
  <c r="AD92" i="27"/>
  <c r="H92" i="27"/>
  <c r="H91" i="27"/>
  <c r="AD91" i="27"/>
  <c r="J91" i="27"/>
  <c r="H90" i="27"/>
  <c r="H123" i="27"/>
  <c r="J123" i="27"/>
  <c r="H122" i="27"/>
  <c r="AD122" i="27"/>
  <c r="J122" i="27"/>
  <c r="J121" i="27"/>
  <c r="AD121" i="27"/>
  <c r="H121" i="27"/>
  <c r="AD120" i="27"/>
  <c r="J120" i="27"/>
  <c r="H120" i="27"/>
  <c r="H89" i="27"/>
  <c r="AD89" i="27"/>
  <c r="H88" i="27"/>
  <c r="AD87" i="27"/>
  <c r="H87" i="27"/>
  <c r="J86" i="27"/>
  <c r="Z86" i="27"/>
  <c r="H86" i="27"/>
  <c r="AB86" i="27"/>
  <c r="AD86" i="27"/>
  <c r="Z14" i="14"/>
  <c r="F94" i="27"/>
  <c r="Z13" i="14"/>
  <c r="F93" i="27"/>
  <c r="Z12" i="14"/>
  <c r="F92" i="27"/>
  <c r="Z11" i="14"/>
  <c r="F91" i="27"/>
  <c r="Z10" i="14"/>
  <c r="F90" i="27"/>
  <c r="Z9" i="14"/>
  <c r="F123" i="27"/>
  <c r="M123" i="27"/>
  <c r="Z8" i="14"/>
  <c r="F122" i="27"/>
  <c r="M122" i="27"/>
  <c r="M121" i="27"/>
  <c r="Z7" i="14"/>
  <c r="F121" i="27"/>
  <c r="V10" i="14"/>
  <c r="Z4" i="14"/>
  <c r="F88" i="27"/>
  <c r="O4" i="14"/>
  <c r="O3" i="14"/>
  <c r="F87" i="27"/>
  <c r="Z3" i="14"/>
  <c r="R5" i="14"/>
  <c r="Z87" i="27" s="1"/>
  <c r="O11" i="14"/>
  <c r="I5" i="14"/>
  <c r="O12" i="14"/>
  <c r="Q5" i="14"/>
  <c r="Z5" i="14"/>
  <c r="F89" i="27"/>
  <c r="F86" i="27"/>
  <c r="Z2" i="14"/>
  <c r="M120" i="27"/>
  <c r="W10" i="14"/>
  <c r="U5" i="14"/>
  <c r="Y5" i="14"/>
  <c r="J87" i="27" s="1"/>
  <c r="O14" i="14"/>
  <c r="O13" i="14"/>
  <c r="O8" i="14"/>
  <c r="F120" i="27"/>
  <c r="Z6" i="14"/>
  <c r="O2" i="14"/>
  <c r="E10" i="14"/>
  <c r="X10" i="14"/>
  <c r="Y10" i="14"/>
  <c r="J94" i="27" s="1"/>
  <c r="K10" i="14"/>
  <c r="K5" i="14"/>
  <c r="S5" i="14"/>
  <c r="AB87" i="27" s="1"/>
  <c r="O5" i="14"/>
  <c r="BB5" i="10"/>
  <c r="D10" i="14"/>
  <c r="B94" i="27" s="1"/>
  <c r="BH6" i="10"/>
  <c r="BO6" i="10"/>
  <c r="BO5" i="10" s="1"/>
  <c r="BI6" i="10"/>
  <c r="BI5" i="10" s="1"/>
  <c r="BS6" i="10"/>
  <c r="BS5" i="10" s="1"/>
  <c r="BL6" i="10"/>
  <c r="BL5" i="10" s="1"/>
  <c r="BK6" i="10"/>
  <c r="BK5" i="10" s="1"/>
  <c r="P6" i="14"/>
  <c r="BQ13" i="10" l="1"/>
  <c r="BY13" i="10"/>
  <c r="BP13" i="10"/>
  <c r="CC13" i="10"/>
  <c r="CC6" i="10" s="1"/>
  <c r="CC5" i="10" s="1"/>
  <c r="BG11" i="10"/>
  <c r="M3" i="14"/>
  <c r="CD6" i="10"/>
  <c r="CD5" i="10" s="1"/>
  <c r="BX13" i="10"/>
  <c r="CB13" i="10"/>
  <c r="BT13" i="10"/>
  <c r="BZ12" i="10"/>
  <c r="AX13" i="10"/>
  <c r="BZ13" i="10" s="1"/>
  <c r="BG13" i="10"/>
  <c r="AN13" i="10"/>
  <c r="BV12" i="10"/>
  <c r="BJ12" i="10"/>
  <c r="AL13" i="10"/>
  <c r="BJ13" i="10" s="1"/>
  <c r="AJ15" i="10"/>
  <c r="BR14" i="10"/>
  <c r="AF14" i="10" s="1"/>
  <c r="BN11" i="10"/>
  <c r="AF11" i="10" s="1"/>
  <c r="BN13" i="10"/>
  <c r="BN12" i="10"/>
  <c r="AF24" i="10"/>
  <c r="BH5" i="10"/>
  <c r="AD93" i="27"/>
  <c r="AE13" i="10"/>
  <c r="T6" i="14"/>
  <c r="AD88" i="27" s="1"/>
  <c r="C6" i="14"/>
  <c r="O9" i="14"/>
  <c r="T93" i="27" s="1"/>
  <c r="D94" i="27"/>
  <c r="M93" i="27"/>
  <c r="D93" i="27"/>
  <c r="M92" i="27"/>
  <c r="D92" i="27"/>
  <c r="T92" i="27"/>
  <c r="D91" i="27"/>
  <c r="J90" i="27"/>
  <c r="D90" i="27"/>
  <c r="D123" i="27"/>
  <c r="D122" i="27"/>
  <c r="D121" i="27"/>
  <c r="D120" i="27"/>
  <c r="J89" i="27"/>
  <c r="D89" i="27"/>
  <c r="D88" i="27"/>
  <c r="D87" i="27"/>
  <c r="T87" i="27"/>
  <c r="T86" i="27"/>
  <c r="D86" i="27"/>
  <c r="M86" i="27"/>
  <c r="AE12" i="10"/>
  <c r="Q7" i="14"/>
  <c r="P10" i="14"/>
  <c r="R6" i="14"/>
  <c r="Z88" i="27" s="1"/>
  <c r="K6" i="14"/>
  <c r="S6" i="14"/>
  <c r="AB88" i="27" s="1"/>
  <c r="AE21" i="10"/>
  <c r="I10" i="14"/>
  <c r="U10" i="14"/>
  <c r="M87" i="27"/>
  <c r="AF12" i="10" l="1"/>
  <c r="BU13" i="10"/>
  <c r="BW13" i="10"/>
  <c r="BV13" i="10"/>
  <c r="AJ16" i="10"/>
  <c r="BR15" i="10"/>
  <c r="AF15" i="10" s="1"/>
  <c r="I7" i="14"/>
  <c r="M88" i="27"/>
  <c r="O6" i="14"/>
  <c r="T88" i="27" s="1"/>
  <c r="U7" i="14"/>
  <c r="S162" i="27" s="1"/>
  <c r="C10" i="14"/>
  <c r="O10" i="14" s="1"/>
  <c r="T94" i="27" s="1"/>
  <c r="R7" i="14"/>
  <c r="Z89" i="27" s="1"/>
  <c r="S7" i="14"/>
  <c r="AB89" i="27" s="1"/>
  <c r="Q10" i="14"/>
  <c r="K7" i="14"/>
  <c r="AE22" i="10"/>
  <c r="AF13" i="10" l="1"/>
  <c r="AJ17" i="10"/>
  <c r="E5" i="14" s="1"/>
  <c r="BR16" i="10"/>
  <c r="AF16" i="10" s="1"/>
  <c r="N5" i="14"/>
  <c r="D7" i="14"/>
  <c r="B91" i="27" s="1"/>
  <c r="B89" i="27"/>
  <c r="M94" i="27"/>
  <c r="AE14" i="10"/>
  <c r="AE15" i="10"/>
  <c r="M5" i="14"/>
  <c r="S167" i="27"/>
  <c r="S165" i="27"/>
  <c r="S180" i="27"/>
  <c r="S174" i="27"/>
  <c r="S169" i="27"/>
  <c r="S179" i="27"/>
  <c r="S161" i="27"/>
  <c r="S176" i="27"/>
  <c r="S178" i="27"/>
  <c r="S171" i="27"/>
  <c r="S170" i="27"/>
  <c r="S168" i="27"/>
  <c r="S172" i="27"/>
  <c r="S177" i="27"/>
  <c r="S159" i="27"/>
  <c r="S175" i="27"/>
  <c r="S164" i="27"/>
  <c r="S163" i="27"/>
  <c r="S173" i="27"/>
  <c r="H159" i="27"/>
  <c r="J159" i="27"/>
  <c r="D159" i="27"/>
  <c r="N159" i="27"/>
  <c r="L159" i="27"/>
  <c r="L158" i="27"/>
  <c r="D158" i="27"/>
  <c r="F158" i="27"/>
  <c r="F159" i="27"/>
  <c r="J158" i="27"/>
  <c r="N158" i="27"/>
  <c r="H158" i="27"/>
  <c r="T90" i="27"/>
  <c r="M90" i="27"/>
  <c r="T10" i="14"/>
  <c r="AD94" i="27" s="1"/>
  <c r="S8" i="14"/>
  <c r="R8" i="14"/>
  <c r="D168" i="27"/>
  <c r="L162" i="27"/>
  <c r="N180" i="27"/>
  <c r="L174" i="27"/>
  <c r="N162" i="27"/>
  <c r="D177" i="27"/>
  <c r="N169" i="27"/>
  <c r="L166" i="27"/>
  <c r="L177" i="27"/>
  <c r="D161" i="27"/>
  <c r="N166" i="27"/>
  <c r="D170" i="27"/>
  <c r="H175" i="27"/>
  <c r="N178" i="27"/>
  <c r="F180" i="27"/>
  <c r="L170" i="27"/>
  <c r="F169" i="27"/>
  <c r="D180" i="27"/>
  <c r="D162" i="27"/>
  <c r="F165" i="27"/>
  <c r="H164" i="27"/>
  <c r="D167" i="27"/>
  <c r="H165" i="27"/>
  <c r="H176" i="27"/>
  <c r="H172" i="27"/>
  <c r="L164" i="27"/>
  <c r="L163" i="27"/>
  <c r="D176" i="27"/>
  <c r="N164" i="27"/>
  <c r="D169" i="27"/>
  <c r="D179" i="27"/>
  <c r="J171" i="27"/>
  <c r="F174" i="27"/>
  <c r="F173" i="27"/>
  <c r="D164" i="27"/>
  <c r="J178" i="27"/>
  <c r="J179" i="27"/>
  <c r="H166" i="27"/>
  <c r="H163" i="27"/>
  <c r="L175" i="27"/>
  <c r="H180" i="27"/>
  <c r="D166" i="27"/>
  <c r="D172" i="27"/>
  <c r="N177" i="27"/>
  <c r="J168" i="27"/>
  <c r="L172" i="27"/>
  <c r="J162" i="27"/>
  <c r="H170" i="27"/>
  <c r="J177" i="27"/>
  <c r="J174" i="27"/>
  <c r="J175" i="27"/>
  <c r="N163" i="27"/>
  <c r="H167" i="27"/>
  <c r="F179" i="27"/>
  <c r="L167" i="27"/>
  <c r="J164" i="27"/>
  <c r="J180" i="27"/>
  <c r="J167" i="27"/>
  <c r="N171" i="27"/>
  <c r="L173" i="27"/>
  <c r="D173" i="27"/>
  <c r="L178" i="27"/>
  <c r="J169" i="27"/>
  <c r="F163" i="27"/>
  <c r="N170" i="27"/>
  <c r="N173" i="27"/>
  <c r="D165" i="27"/>
  <c r="L168" i="27"/>
  <c r="N165" i="27"/>
  <c r="F168" i="27"/>
  <c r="F178" i="27"/>
  <c r="H174" i="27"/>
  <c r="D175" i="27"/>
  <c r="L161" i="27"/>
  <c r="F162" i="27"/>
  <c r="F175" i="27"/>
  <c r="N161" i="27"/>
  <c r="L165" i="27"/>
  <c r="N167" i="27"/>
  <c r="J163" i="27"/>
  <c r="H169" i="27"/>
  <c r="F170" i="27"/>
  <c r="H171" i="27"/>
  <c r="N175" i="27"/>
  <c r="D178" i="27"/>
  <c r="N168" i="27"/>
  <c r="L176" i="27"/>
  <c r="L169" i="27"/>
  <c r="H179" i="27"/>
  <c r="J173" i="27"/>
  <c r="F166" i="27"/>
  <c r="J165" i="27"/>
  <c r="J161" i="27"/>
  <c r="H162" i="27"/>
  <c r="N174" i="27"/>
  <c r="L179" i="27"/>
  <c r="N172" i="27"/>
  <c r="L171" i="27"/>
  <c r="H168" i="27"/>
  <c r="F167" i="27"/>
  <c r="N179" i="27"/>
  <c r="J176" i="27"/>
  <c r="J166" i="27"/>
  <c r="D171" i="27"/>
  <c r="H161" i="27"/>
  <c r="H178" i="27"/>
  <c r="F177" i="27"/>
  <c r="N176" i="27"/>
  <c r="L180" i="27"/>
  <c r="F171" i="27"/>
  <c r="F176" i="27"/>
  <c r="H173" i="27"/>
  <c r="D174" i="27"/>
  <c r="H177" i="27"/>
  <c r="D163" i="27"/>
  <c r="F172" i="27"/>
  <c r="F164" i="27"/>
  <c r="J170" i="27"/>
  <c r="F161" i="27"/>
  <c r="J172" i="27"/>
  <c r="H160" i="27"/>
  <c r="N160" i="27"/>
  <c r="F160" i="27"/>
  <c r="J160" i="27"/>
  <c r="L160" i="27"/>
  <c r="K9" i="14"/>
  <c r="K8" i="14"/>
  <c r="BV6" i="10"/>
  <c r="BV5" i="10" s="1"/>
  <c r="N10" i="14"/>
  <c r="AE23" i="10"/>
  <c r="AJ18" i="10" l="1"/>
  <c r="BR17" i="10"/>
  <c r="AF17" i="10" s="1"/>
  <c r="S166" i="27"/>
  <c r="AE16" i="10"/>
  <c r="C7" i="14"/>
  <c r="BZ6" i="10"/>
  <c r="BZ5" i="10" s="1"/>
  <c r="P7" i="14"/>
  <c r="AE24" i="10"/>
  <c r="M10" i="14"/>
  <c r="D160" i="27"/>
  <c r="D156" i="27" s="1"/>
  <c r="AD90" i="27"/>
  <c r="S160" i="27"/>
  <c r="S158" i="27"/>
  <c r="L156" i="27"/>
  <c r="H156" i="27"/>
  <c r="F156" i="27"/>
  <c r="N156" i="27"/>
  <c r="J156" i="27"/>
  <c r="BW6" i="10"/>
  <c r="BW5" i="10" s="1"/>
  <c r="AE25" i="10"/>
  <c r="AJ19" i="10" l="1"/>
  <c r="BR18" i="10"/>
  <c r="AF18" i="10" s="1"/>
  <c r="BQ6" i="10"/>
  <c r="BQ5" i="10" s="1"/>
  <c r="BY6" i="10"/>
  <c r="BY5" i="10" s="1"/>
  <c r="BN8" i="10"/>
  <c r="AF8" i="10" s="1"/>
  <c r="A9" i="14"/>
  <c r="AD117" i="27" s="1"/>
  <c r="AD116" i="27" s="1"/>
  <c r="O7" i="14"/>
  <c r="AD58" i="27"/>
  <c r="R57" i="27"/>
  <c r="AB58" i="27"/>
  <c r="V58" i="27"/>
  <c r="H57" i="27"/>
  <c r="F57" i="27"/>
  <c r="AD57" i="27"/>
  <c r="T57" i="27"/>
  <c r="L58" i="27"/>
  <c r="N58" i="27"/>
  <c r="N57" i="27"/>
  <c r="D57" i="27"/>
  <c r="D58" i="27"/>
  <c r="T58" i="27"/>
  <c r="P57" i="27"/>
  <c r="Z58" i="27"/>
  <c r="P58" i="27"/>
  <c r="J57" i="27"/>
  <c r="X57" i="27"/>
  <c r="R58" i="27"/>
  <c r="L57" i="27"/>
  <c r="V57" i="27"/>
  <c r="AB57" i="27"/>
  <c r="F58" i="27"/>
  <c r="X58" i="27"/>
  <c r="H58" i="27"/>
  <c r="Z57" i="27"/>
  <c r="J58" i="27"/>
  <c r="A5" i="14"/>
  <c r="A15" i="14"/>
  <c r="S155" i="27" s="1"/>
  <c r="A11" i="14"/>
  <c r="AD141" i="27" s="1"/>
  <c r="AD140" i="27" s="1"/>
  <c r="A3" i="14"/>
  <c r="V33" i="27"/>
  <c r="T33" i="27"/>
  <c r="R33" i="27"/>
  <c r="T51" i="27"/>
  <c r="V50" i="27"/>
  <c r="T48" i="27"/>
  <c r="V48" i="27"/>
  <c r="T34" i="27"/>
  <c r="V47" i="27"/>
  <c r="R34" i="27"/>
  <c r="R48" i="27"/>
  <c r="R49" i="27"/>
  <c r="V51" i="27"/>
  <c r="T49" i="27"/>
  <c r="R47" i="27"/>
  <c r="R50" i="27"/>
  <c r="V32" i="27"/>
  <c r="V34" i="27"/>
  <c r="R51" i="27"/>
  <c r="R32" i="27"/>
  <c r="T50" i="27"/>
  <c r="T32" i="27"/>
  <c r="V49" i="27"/>
  <c r="T47" i="27"/>
  <c r="AE27" i="10"/>
  <c r="S9" i="14"/>
  <c r="R9" i="14"/>
  <c r="R10" i="14"/>
  <c r="BJ6" i="10"/>
  <c r="BJ5" i="10" s="1"/>
  <c r="CA6" i="10"/>
  <c r="CA5" i="10" s="1"/>
  <c r="AE26" i="10"/>
  <c r="N7" i="14"/>
  <c r="AJ20" i="10" l="1"/>
  <c r="AJ21" i="10" s="1"/>
  <c r="AJ22" i="10" s="1"/>
  <c r="AJ23" i="10" s="1"/>
  <c r="AJ24" i="10" s="1"/>
  <c r="AJ25" i="10" s="1"/>
  <c r="AJ26" i="10" s="1"/>
  <c r="AJ27" i="10" s="1"/>
  <c r="AJ28" i="10" s="1"/>
  <c r="AJ29" i="10" s="1"/>
  <c r="AJ30" i="10" s="1"/>
  <c r="AJ31" i="10" s="1"/>
  <c r="AJ32" i="10" s="1"/>
  <c r="AJ33" i="10" s="1"/>
  <c r="AJ34" i="10" s="1"/>
  <c r="AJ35" i="10" s="1"/>
  <c r="AJ36" i="10" s="1"/>
  <c r="AJ37" i="10" s="1"/>
  <c r="AJ38" i="10" s="1"/>
  <c r="AJ39" i="10" s="1"/>
  <c r="AJ40" i="10" s="1"/>
  <c r="AJ41" i="10" s="1"/>
  <c r="AJ42" i="10" s="1"/>
  <c r="AJ43" i="10" s="1"/>
  <c r="AJ44" i="10" s="1"/>
  <c r="AJ45" i="10" s="1"/>
  <c r="AJ46" i="10" s="1"/>
  <c r="AJ47" i="10" s="1"/>
  <c r="AJ48" i="10" s="1"/>
  <c r="AJ49" i="10" s="1"/>
  <c r="AJ50" i="10" s="1"/>
  <c r="AJ51" i="10" s="1"/>
  <c r="AJ52" i="10" s="1"/>
  <c r="AJ53" i="10" s="1"/>
  <c r="AJ54" i="10" s="1"/>
  <c r="AJ55" i="10" s="1"/>
  <c r="AJ56" i="10" s="1"/>
  <c r="AJ57" i="10" s="1"/>
  <c r="AJ58" i="10" s="1"/>
  <c r="AJ59" i="10" s="1"/>
  <c r="AJ60" i="10" s="1"/>
  <c r="AJ61" i="10" s="1"/>
  <c r="AJ62" i="10" s="1"/>
  <c r="AJ63" i="10" s="1"/>
  <c r="AJ64" i="10" s="1"/>
  <c r="AJ65" i="10" s="1"/>
  <c r="AJ66" i="10" s="1"/>
  <c r="AJ67" i="10" s="1"/>
  <c r="AJ68" i="10" s="1"/>
  <c r="AJ69" i="10" s="1"/>
  <c r="AJ70" i="10" s="1"/>
  <c r="AJ71" i="10" s="1"/>
  <c r="AJ72" i="10" s="1"/>
  <c r="AJ73" i="10" s="1"/>
  <c r="AJ74" i="10" s="1"/>
  <c r="AJ75" i="10" s="1"/>
  <c r="AJ76" i="10" s="1"/>
  <c r="AJ77" i="10" s="1"/>
  <c r="AJ78" i="10" s="1"/>
  <c r="AJ79" i="10" s="1"/>
  <c r="AJ80" i="10" s="1"/>
  <c r="AJ81" i="10" s="1"/>
  <c r="AJ82" i="10" s="1"/>
  <c r="AJ83" i="10" s="1"/>
  <c r="AJ84" i="10" s="1"/>
  <c r="AJ85" i="10" s="1"/>
  <c r="AJ86" i="10" s="1"/>
  <c r="AJ87" i="10" s="1"/>
  <c r="AJ88" i="10" s="1"/>
  <c r="AJ89" i="10" s="1"/>
  <c r="AJ90" i="10" s="1"/>
  <c r="AJ91" i="10" s="1"/>
  <c r="AJ92" i="10" s="1"/>
  <c r="AJ93" i="10" s="1"/>
  <c r="AJ94" i="10" s="1"/>
  <c r="AJ95" i="10" s="1"/>
  <c r="AJ96" i="10" s="1"/>
  <c r="AJ97" i="10" s="1"/>
  <c r="AJ98" i="10" s="1"/>
  <c r="AJ99" i="10" s="1"/>
  <c r="AJ100" i="10" s="1"/>
  <c r="AJ101" i="10" s="1"/>
  <c r="AJ102" i="10" s="1"/>
  <c r="AJ103" i="10" s="1"/>
  <c r="AJ104" i="10" s="1"/>
  <c r="AJ105" i="10" s="1"/>
  <c r="AJ106" i="10" s="1"/>
  <c r="AJ107" i="10" s="1"/>
  <c r="AJ108" i="10" s="1"/>
  <c r="AJ109" i="10" s="1"/>
  <c r="AJ110" i="10" s="1"/>
  <c r="AJ111" i="10" s="1"/>
  <c r="AJ112" i="10" s="1"/>
  <c r="AJ113" i="10" s="1"/>
  <c r="AJ114" i="10" s="1"/>
  <c r="AJ115" i="10" s="1"/>
  <c r="AJ116" i="10" s="1"/>
  <c r="AJ117" i="10" s="1"/>
  <c r="AJ118" i="10" s="1"/>
  <c r="AJ119" i="10" s="1"/>
  <c r="AJ120" i="10" s="1"/>
  <c r="AJ121" i="10" s="1"/>
  <c r="AJ122" i="10" s="1"/>
  <c r="AJ123" i="10" s="1"/>
  <c r="AJ124" i="10" s="1"/>
  <c r="AJ125" i="10" s="1"/>
  <c r="AJ126" i="10" s="1"/>
  <c r="AJ127" i="10" s="1"/>
  <c r="AJ128" i="10" s="1"/>
  <c r="AJ129" i="10" s="1"/>
  <c r="AJ130" i="10" s="1"/>
  <c r="AJ131" i="10" s="1"/>
  <c r="AJ132" i="10" s="1"/>
  <c r="AJ133" i="10" s="1"/>
  <c r="AJ134" i="10" s="1"/>
  <c r="AJ135" i="10" s="1"/>
  <c r="AJ136" i="10" s="1"/>
  <c r="AJ137" i="10" s="1"/>
  <c r="AJ138" i="10" s="1"/>
  <c r="AJ139" i="10" s="1"/>
  <c r="AJ140" i="10" s="1"/>
  <c r="AJ141" i="10" s="1"/>
  <c r="AJ142" i="10" s="1"/>
  <c r="AJ143" i="10" s="1"/>
  <c r="AJ144" i="10" s="1"/>
  <c r="AJ145" i="10" s="1"/>
  <c r="AJ146" i="10" s="1"/>
  <c r="AJ147" i="10" s="1"/>
  <c r="AJ148" i="10" s="1"/>
  <c r="AJ149" i="10" s="1"/>
  <c r="AJ150" i="10" s="1"/>
  <c r="AJ151" i="10" s="1"/>
  <c r="AJ152" i="10" s="1"/>
  <c r="AJ153" i="10" s="1"/>
  <c r="AJ154" i="10" s="1"/>
  <c r="AJ155" i="10" s="1"/>
  <c r="AJ156" i="10" s="1"/>
  <c r="AJ157" i="10" s="1"/>
  <c r="AJ158" i="10" s="1"/>
  <c r="AJ159" i="10" s="1"/>
  <c r="AJ160" i="10" s="1"/>
  <c r="AJ161" i="10" s="1"/>
  <c r="AJ162" i="10" s="1"/>
  <c r="AJ163" i="10" s="1"/>
  <c r="AJ164" i="10" s="1"/>
  <c r="AJ165" i="10" s="1"/>
  <c r="AJ166" i="10" s="1"/>
  <c r="AJ167" i="10" s="1"/>
  <c r="AJ168" i="10" s="1"/>
  <c r="AJ169" i="10" s="1"/>
  <c r="AJ170" i="10" s="1"/>
  <c r="AJ171" i="10" s="1"/>
  <c r="AJ172" i="10" s="1"/>
  <c r="AJ173" i="10" s="1"/>
  <c r="AJ174" i="10" s="1"/>
  <c r="AJ175" i="10" s="1"/>
  <c r="AJ176" i="10" s="1"/>
  <c r="AJ177" i="10" s="1"/>
  <c r="AJ178" i="10" s="1"/>
  <c r="AJ179" i="10" s="1"/>
  <c r="AJ180" i="10" s="1"/>
  <c r="AJ181" i="10" s="1"/>
  <c r="AJ182" i="10" s="1"/>
  <c r="AJ183" i="10" s="1"/>
  <c r="AJ184" i="10" s="1"/>
  <c r="AJ185" i="10" s="1"/>
  <c r="AJ186" i="10" s="1"/>
  <c r="AJ187" i="10" s="1"/>
  <c r="AJ188" i="10" s="1"/>
  <c r="AJ189" i="10" s="1"/>
  <c r="AJ190" i="10" s="1"/>
  <c r="AJ191" i="10" s="1"/>
  <c r="AJ192" i="10" s="1"/>
  <c r="AJ193" i="10" s="1"/>
  <c r="AJ194" i="10" s="1"/>
  <c r="AJ195" i="10" s="1"/>
  <c r="AJ196" i="10" s="1"/>
  <c r="AJ197" i="10" s="1"/>
  <c r="AJ198" i="10" s="1"/>
  <c r="AJ199" i="10" s="1"/>
  <c r="AJ200" i="10" s="1"/>
  <c r="AJ201" i="10" s="1"/>
  <c r="AJ202" i="10" s="1"/>
  <c r="AJ203" i="10" s="1"/>
  <c r="AJ204" i="10" s="1"/>
  <c r="AJ205" i="10" s="1"/>
  <c r="AJ206" i="10" s="1"/>
  <c r="AJ207" i="10" s="1"/>
  <c r="AJ208" i="10" s="1"/>
  <c r="AJ209" i="10" s="1"/>
  <c r="AJ210" i="10" s="1"/>
  <c r="AJ211" i="10" s="1"/>
  <c r="AJ212" i="10" s="1"/>
  <c r="AJ213" i="10" s="1"/>
  <c r="AJ214" i="10" s="1"/>
  <c r="AJ215" i="10" s="1"/>
  <c r="AJ216" i="10" s="1"/>
  <c r="AJ217" i="10" s="1"/>
  <c r="AJ218" i="10" s="1"/>
  <c r="AJ219" i="10" s="1"/>
  <c r="AJ220" i="10" s="1"/>
  <c r="AJ221" i="10" s="1"/>
  <c r="AJ222" i="10" s="1"/>
  <c r="AJ223" i="10" s="1"/>
  <c r="AJ224" i="10" s="1"/>
  <c r="AJ225" i="10" s="1"/>
  <c r="AJ226" i="10" s="1"/>
  <c r="AJ227" i="10" s="1"/>
  <c r="AJ228" i="10" s="1"/>
  <c r="AJ229" i="10" s="1"/>
  <c r="AJ230" i="10" s="1"/>
  <c r="AJ231" i="10" s="1"/>
  <c r="AJ232" i="10" s="1"/>
  <c r="AJ233" i="10" s="1"/>
  <c r="AJ234" i="10" s="1"/>
  <c r="AJ235" i="10" s="1"/>
  <c r="AJ236" i="10" s="1"/>
  <c r="AJ237" i="10" s="1"/>
  <c r="AJ238" i="10" s="1"/>
  <c r="AJ239" i="10" s="1"/>
  <c r="AJ240" i="10" s="1"/>
  <c r="AJ241" i="10" s="1"/>
  <c r="AJ242" i="10" s="1"/>
  <c r="AJ243" i="10" s="1"/>
  <c r="AJ244" i="10" s="1"/>
  <c r="AJ245" i="10" s="1"/>
  <c r="AJ246" i="10" s="1"/>
  <c r="AJ247" i="10" s="1"/>
  <c r="AJ248" i="10" s="1"/>
  <c r="AJ249" i="10" s="1"/>
  <c r="AJ250" i="10" s="1"/>
  <c r="AJ251" i="10" s="1"/>
  <c r="AJ252" i="10" s="1"/>
  <c r="AJ253" i="10" s="1"/>
  <c r="AJ254" i="10" s="1"/>
  <c r="AJ255" i="10" s="1"/>
  <c r="AJ256" i="10" s="1"/>
  <c r="AJ257" i="10" s="1"/>
  <c r="AJ258" i="10" s="1"/>
  <c r="AJ259" i="10" s="1"/>
  <c r="AJ260" i="10" s="1"/>
  <c r="AJ261" i="10" s="1"/>
  <c r="AJ262" i="10" s="1"/>
  <c r="AJ263" i="10" s="1"/>
  <c r="AJ264" i="10" s="1"/>
  <c r="AJ265" i="10" s="1"/>
  <c r="AJ266" i="10" s="1"/>
  <c r="AJ267" i="10" s="1"/>
  <c r="AJ268" i="10" s="1"/>
  <c r="AJ269" i="10" s="1"/>
  <c r="AJ270" i="10" s="1"/>
  <c r="AJ271" i="10" s="1"/>
  <c r="AJ272" i="10" s="1"/>
  <c r="AJ273" i="10" s="1"/>
  <c r="AJ274" i="10" s="1"/>
  <c r="AJ275" i="10" s="1"/>
  <c r="AJ276" i="10" s="1"/>
  <c r="AJ277" i="10" s="1"/>
  <c r="AJ278" i="10" s="1"/>
  <c r="AJ279" i="10" s="1"/>
  <c r="AJ280" i="10" s="1"/>
  <c r="AJ281" i="10" s="1"/>
  <c r="AJ282" i="10" s="1"/>
  <c r="AJ283" i="10" s="1"/>
  <c r="AJ284" i="10" s="1"/>
  <c r="AJ285" i="10" s="1"/>
  <c r="AJ286" i="10" s="1"/>
  <c r="AJ287" i="10" s="1"/>
  <c r="AJ288" i="10" s="1"/>
  <c r="AJ289" i="10" s="1"/>
  <c r="AJ290" i="10" s="1"/>
  <c r="AJ291" i="10" s="1"/>
  <c r="AJ292" i="10" s="1"/>
  <c r="AJ293" i="10" s="1"/>
  <c r="AJ294" i="10" s="1"/>
  <c r="AJ295" i="10" s="1"/>
  <c r="AJ296" i="10" s="1"/>
  <c r="AJ297" i="10" s="1"/>
  <c r="AJ298" i="10" s="1"/>
  <c r="AJ299" i="10" s="1"/>
  <c r="AJ300" i="10" s="1"/>
  <c r="AJ301" i="10" s="1"/>
  <c r="AJ302" i="10" s="1"/>
  <c r="AJ303" i="10" s="1"/>
  <c r="AJ304" i="10" s="1"/>
  <c r="AJ305" i="10" s="1"/>
  <c r="AJ306" i="10" s="1"/>
  <c r="AJ307" i="10" s="1"/>
  <c r="AJ308" i="10" s="1"/>
  <c r="AJ309" i="10" s="1"/>
  <c r="AJ310" i="10" s="1"/>
  <c r="AJ311" i="10" s="1"/>
  <c r="AJ312" i="10" s="1"/>
  <c r="AJ313" i="10" s="1"/>
  <c r="AJ314" i="10" s="1"/>
  <c r="AJ315" i="10" s="1"/>
  <c r="AJ316" i="10" s="1"/>
  <c r="AJ317" i="10" s="1"/>
  <c r="AJ318" i="10" s="1"/>
  <c r="AJ319" i="10" s="1"/>
  <c r="AJ320" i="10" s="1"/>
  <c r="AJ321" i="10" s="1"/>
  <c r="AJ322" i="10" s="1"/>
  <c r="AJ323" i="10" s="1"/>
  <c r="AJ324" i="10" s="1"/>
  <c r="AJ325" i="10" s="1"/>
  <c r="AJ326" i="10" s="1"/>
  <c r="AJ327" i="10" s="1"/>
  <c r="AJ328" i="10" s="1"/>
  <c r="AJ329" i="10" s="1"/>
  <c r="AJ330" i="10" s="1"/>
  <c r="AJ331" i="10" s="1"/>
  <c r="AJ332" i="10" s="1"/>
  <c r="AJ333" i="10" s="1"/>
  <c r="AJ334" i="10" s="1"/>
  <c r="AJ335" i="10" s="1"/>
  <c r="AJ336" i="10" s="1"/>
  <c r="AJ337" i="10" s="1"/>
  <c r="AJ338" i="10" s="1"/>
  <c r="AJ339" i="10" s="1"/>
  <c r="AJ340" i="10" s="1"/>
  <c r="AJ341" i="10" s="1"/>
  <c r="AJ342" i="10" s="1"/>
  <c r="AJ343" i="10" s="1"/>
  <c r="AJ344" i="10" s="1"/>
  <c r="AJ345" i="10" s="1"/>
  <c r="AJ346" i="10" s="1"/>
  <c r="AJ347" i="10" s="1"/>
  <c r="AJ348" i="10" s="1"/>
  <c r="AJ349" i="10" s="1"/>
  <c r="AJ350" i="10" s="1"/>
  <c r="AJ351" i="10" s="1"/>
  <c r="AJ352" i="10" s="1"/>
  <c r="AJ353" i="10" s="1"/>
  <c r="AJ354" i="10" s="1"/>
  <c r="AJ355" i="10" s="1"/>
  <c r="AJ356" i="10" s="1"/>
  <c r="AJ357" i="10" s="1"/>
  <c r="AJ358" i="10" s="1"/>
  <c r="AJ359" i="10" s="1"/>
  <c r="AJ360" i="10" s="1"/>
  <c r="AJ361" i="10" s="1"/>
  <c r="AJ362" i="10" s="1"/>
  <c r="AJ363" i="10" s="1"/>
  <c r="AJ364" i="10" s="1"/>
  <c r="AJ365" i="10" s="1"/>
  <c r="AJ366" i="10" s="1"/>
  <c r="AJ367" i="10" s="1"/>
  <c r="AJ368" i="10" s="1"/>
  <c r="AJ369" i="10" s="1"/>
  <c r="AJ370" i="10" s="1"/>
  <c r="AJ371" i="10" s="1"/>
  <c r="AJ372" i="10" s="1"/>
  <c r="AJ373" i="10" s="1"/>
  <c r="AJ374" i="10" s="1"/>
  <c r="AJ375" i="10" s="1"/>
  <c r="AJ376" i="10" s="1"/>
  <c r="AJ377" i="10" s="1"/>
  <c r="AJ378" i="10" s="1"/>
  <c r="AJ379" i="10" s="1"/>
  <c r="AJ380" i="10" s="1"/>
  <c r="AJ381" i="10" s="1"/>
  <c r="AJ382" i="10" s="1"/>
  <c r="AJ383" i="10" s="1"/>
  <c r="AJ384" i="10" s="1"/>
  <c r="AJ385" i="10" s="1"/>
  <c r="AJ386" i="10" s="1"/>
  <c r="AJ387" i="10" s="1"/>
  <c r="AJ388" i="10" s="1"/>
  <c r="AJ389" i="10" s="1"/>
  <c r="AJ390" i="10" s="1"/>
  <c r="AJ391" i="10" s="1"/>
  <c r="AJ392" i="10" s="1"/>
  <c r="AJ393" i="10" s="1"/>
  <c r="AJ394" i="10" s="1"/>
  <c r="AJ395" i="10" s="1"/>
  <c r="AJ396" i="10" s="1"/>
  <c r="AJ397" i="10" s="1"/>
  <c r="AJ398" i="10" s="1"/>
  <c r="AJ399" i="10" s="1"/>
  <c r="AJ400" i="10" s="1"/>
  <c r="AJ401" i="10" s="1"/>
  <c r="AJ402" i="10" s="1"/>
  <c r="AJ403" i="10" s="1"/>
  <c r="AJ404" i="10" s="1"/>
  <c r="AJ405" i="10" s="1"/>
  <c r="AJ406" i="10" s="1"/>
  <c r="AJ407" i="10" s="1"/>
  <c r="AJ408" i="10" s="1"/>
  <c r="AJ409" i="10" s="1"/>
  <c r="AJ410" i="10" s="1"/>
  <c r="AJ411" i="10" s="1"/>
  <c r="AJ412" i="10" s="1"/>
  <c r="AJ413" i="10" s="1"/>
  <c r="AJ414" i="10" s="1"/>
  <c r="AJ415" i="10" s="1"/>
  <c r="AJ416" i="10" s="1"/>
  <c r="AJ417" i="10" s="1"/>
  <c r="AJ418" i="10" s="1"/>
  <c r="AJ419" i="10" s="1"/>
  <c r="AJ420" i="10" s="1"/>
  <c r="AJ421" i="10" s="1"/>
  <c r="AJ422" i="10" s="1"/>
  <c r="AJ423" i="10" s="1"/>
  <c r="AJ424" i="10" s="1"/>
  <c r="AJ425" i="10" s="1"/>
  <c r="AJ426" i="10" s="1"/>
  <c r="AJ427" i="10" s="1"/>
  <c r="AJ428" i="10" s="1"/>
  <c r="AJ429" i="10" s="1"/>
  <c r="AJ430" i="10" s="1"/>
  <c r="AJ431" i="10" s="1"/>
  <c r="AJ432" i="10" s="1"/>
  <c r="AJ433" i="10" s="1"/>
  <c r="AJ434" i="10" s="1"/>
  <c r="AJ435" i="10" s="1"/>
  <c r="AJ436" i="10" s="1"/>
  <c r="AJ437" i="10" s="1"/>
  <c r="AJ438" i="10" s="1"/>
  <c r="AJ439" i="10" s="1"/>
  <c r="AJ440" i="10" s="1"/>
  <c r="AJ441" i="10" s="1"/>
  <c r="AJ442" i="10" s="1"/>
  <c r="AJ443" i="10" s="1"/>
  <c r="AJ444" i="10" s="1"/>
  <c r="AJ445" i="10" s="1"/>
  <c r="AJ446" i="10" s="1"/>
  <c r="AJ447" i="10" s="1"/>
  <c r="AJ448" i="10" s="1"/>
  <c r="AJ449" i="10" s="1"/>
  <c r="AJ450" i="10" s="1"/>
  <c r="AJ451" i="10" s="1"/>
  <c r="AJ452" i="10" s="1"/>
  <c r="AJ453" i="10" s="1"/>
  <c r="AJ454" i="10" s="1"/>
  <c r="AJ455" i="10" s="1"/>
  <c r="AJ456" i="10" s="1"/>
  <c r="AJ457" i="10" s="1"/>
  <c r="AJ458" i="10" s="1"/>
  <c r="AJ459" i="10" s="1"/>
  <c r="AJ460" i="10" s="1"/>
  <c r="AJ461" i="10" s="1"/>
  <c r="AJ462" i="10" s="1"/>
  <c r="AJ463" i="10" s="1"/>
  <c r="AJ464" i="10" s="1"/>
  <c r="AJ465" i="10" s="1"/>
  <c r="AJ466" i="10" s="1"/>
  <c r="AJ467" i="10" s="1"/>
  <c r="AJ468" i="10" s="1"/>
  <c r="AJ469" i="10" s="1"/>
  <c r="AJ470" i="10" s="1"/>
  <c r="AJ471" i="10" s="1"/>
  <c r="AJ472" i="10" s="1"/>
  <c r="AJ473" i="10" s="1"/>
  <c r="AJ474" i="10" s="1"/>
  <c r="AJ475" i="10" s="1"/>
  <c r="AJ476" i="10" s="1"/>
  <c r="AJ477" i="10" s="1"/>
  <c r="AJ478" i="10" s="1"/>
  <c r="AJ479" i="10" s="1"/>
  <c r="AJ480" i="10" s="1"/>
  <c r="AJ481" i="10" s="1"/>
  <c r="AJ482" i="10" s="1"/>
  <c r="AJ483" i="10" s="1"/>
  <c r="AJ484" i="10" s="1"/>
  <c r="AJ485" i="10" s="1"/>
  <c r="AJ486" i="10" s="1"/>
  <c r="AJ487" i="10" s="1"/>
  <c r="AJ488" i="10" s="1"/>
  <c r="AJ489" i="10" s="1"/>
  <c r="AJ490" i="10" s="1"/>
  <c r="AJ491" i="10" s="1"/>
  <c r="AJ492" i="10" s="1"/>
  <c r="AJ493" i="10" s="1"/>
  <c r="AJ494" i="10" s="1"/>
  <c r="AJ495" i="10" s="1"/>
  <c r="AJ496" i="10" s="1"/>
  <c r="AJ497" i="10" s="1"/>
  <c r="AJ498" i="10" s="1"/>
  <c r="AJ499" i="10" s="1"/>
  <c r="AJ500" i="10" s="1"/>
  <c r="AJ501" i="10" s="1"/>
  <c r="AJ502" i="10" s="1"/>
  <c r="AJ503" i="10" s="1"/>
  <c r="AJ504" i="10" s="1"/>
  <c r="AJ505" i="10" s="1"/>
  <c r="AJ506" i="10" s="1"/>
  <c r="AJ507" i="10" s="1"/>
  <c r="BR19" i="10"/>
  <c r="AF19" i="10" s="1"/>
  <c r="M89" i="27"/>
  <c r="M91" i="27"/>
  <c r="T89" i="27"/>
  <c r="T91" i="27"/>
  <c r="M6" i="14"/>
  <c r="R56" i="27"/>
  <c r="N56" i="27"/>
  <c r="Z56" i="27"/>
  <c r="D56" i="27"/>
  <c r="X48" i="27"/>
  <c r="P56" i="27"/>
  <c r="F56" i="27"/>
  <c r="X56" i="27"/>
  <c r="X33" i="27"/>
  <c r="T56" i="27"/>
  <c r="V56" i="27"/>
  <c r="X34" i="27"/>
  <c r="X51" i="27"/>
  <c r="AD56" i="27"/>
  <c r="X49" i="27"/>
  <c r="X32" i="27"/>
  <c r="J56" i="27"/>
  <c r="AB56" i="27"/>
  <c r="X50" i="27"/>
  <c r="CB6" i="10"/>
  <c r="CB5" i="10" s="1"/>
  <c r="L56" i="27"/>
  <c r="H56" i="27"/>
  <c r="X47" i="27"/>
  <c r="S10" i="14"/>
  <c r="AB90" i="27" s="1"/>
  <c r="Z90" i="27"/>
  <c r="R11" i="14"/>
  <c r="Z91" i="27" s="1"/>
  <c r="S11" i="14"/>
  <c r="M7" i="14"/>
  <c r="N6" i="14"/>
  <c r="BX6" i="10"/>
  <c r="BX5" i="10" s="1"/>
  <c r="R12" i="14" l="1"/>
  <c r="Z92" i="27" s="1"/>
  <c r="AB91" i="27"/>
  <c r="S12" i="14"/>
  <c r="BN6" i="10"/>
  <c r="N8" i="14"/>
  <c r="BN5" i="10" l="1"/>
  <c r="M8" i="14"/>
  <c r="R13" i="14"/>
  <c r="AB92" i="27"/>
  <c r="S14" i="14"/>
  <c r="N9" i="14"/>
  <c r="M9" i="14" l="1"/>
  <c r="Z93" i="27"/>
  <c r="R14" i="14"/>
  <c r="Z94" i="27" s="1"/>
  <c r="AB94" i="27"/>
  <c r="S13" i="14"/>
  <c r="S15" i="14" l="1"/>
  <c r="R15" i="14"/>
  <c r="A13" i="14"/>
  <c r="Z117" i="27" s="1"/>
  <c r="Z116" i="27" s="1"/>
  <c r="AB93" i="27"/>
  <c r="BT6" i="10"/>
  <c r="BT5" i="10" s="1"/>
  <c r="BP6" i="10"/>
  <c r="BP5" i="10" s="1"/>
  <c r="BU6" i="10"/>
  <c r="BU5" i="10" s="1"/>
  <c r="M25" i="3" l="1"/>
  <c r="AB22" i="27" s="1"/>
  <c r="R45" i="27" s="1"/>
  <c r="X45" i="27" s="1"/>
  <c r="N15" i="3"/>
  <c r="AD12" i="27" s="1"/>
  <c r="N25" i="3"/>
  <c r="AD22" i="27" s="1"/>
  <c r="M15" i="3"/>
  <c r="AB12" i="27" s="1"/>
  <c r="R35" i="27" s="1"/>
  <c r="X35" i="27" s="1"/>
  <c r="M16" i="3"/>
  <c r="AB13" i="27" s="1"/>
  <c r="R36" i="27" s="1"/>
  <c r="X36" i="27" s="1"/>
  <c r="M17" i="3"/>
  <c r="AB14" i="27" s="1"/>
  <c r="R37" i="27" s="1"/>
  <c r="X37" i="27" s="1"/>
  <c r="N21" i="3"/>
  <c r="AD18" i="27" s="1"/>
  <c r="N20" i="3"/>
  <c r="AD17" i="27" s="1"/>
  <c r="N18" i="3"/>
  <c r="AD15" i="27" s="1"/>
  <c r="N24" i="3"/>
  <c r="AD21" i="27" s="1"/>
  <c r="N22" i="3"/>
  <c r="AD19" i="27" s="1"/>
  <c r="N23" i="3"/>
  <c r="AD20" i="27" s="1"/>
  <c r="N19" i="3"/>
  <c r="AD16" i="27" s="1"/>
  <c r="N16" i="3"/>
  <c r="AD13" i="27" s="1"/>
  <c r="N17" i="3"/>
  <c r="AD14" i="27" s="1"/>
  <c r="M23" i="3"/>
  <c r="AB20" i="27" s="1"/>
  <c r="R43" i="27" s="1"/>
  <c r="X43" i="27" s="1"/>
  <c r="M20" i="3"/>
  <c r="AB17" i="27" s="1"/>
  <c r="R40" i="27" s="1"/>
  <c r="X40" i="27" s="1"/>
  <c r="M18" i="3"/>
  <c r="AB15" i="27" s="1"/>
  <c r="R38" i="27" s="1"/>
  <c r="X38" i="27" s="1"/>
  <c r="M22" i="3"/>
  <c r="AB19" i="27" s="1"/>
  <c r="R42" i="27" s="1"/>
  <c r="X42" i="27" s="1"/>
  <c r="M21" i="3"/>
  <c r="AB18" i="27" s="1"/>
  <c r="R41" i="27" s="1"/>
  <c r="X41" i="27" s="1"/>
  <c r="M24" i="3"/>
  <c r="AB21" i="27" s="1"/>
  <c r="R44" i="27" s="1"/>
  <c r="X44" i="27" s="1"/>
  <c r="M19" i="3"/>
  <c r="AB16" i="27" s="1"/>
  <c r="R39" i="27" s="1"/>
  <c r="X39" i="27" s="1"/>
  <c r="BG6" i="10" l="1"/>
  <c r="AD6" i="27"/>
  <c r="AD7" i="27"/>
  <c r="N14" i="3"/>
  <c r="M14" i="3"/>
  <c r="M8" i="3" s="1"/>
  <c r="BR6" i="10" l="1"/>
  <c r="BR5" i="10" s="1"/>
  <c r="BG5" i="10"/>
  <c r="AD3" i="27"/>
  <c r="O4" i="10" l="1"/>
  <c r="AD142" i="27"/>
  <c r="S153" i="27" s="1"/>
  <c r="J155" i="27" l="1"/>
  <c r="F155" i="27"/>
  <c r="L155" i="27"/>
  <c r="S154" i="27"/>
  <c r="N155" i="27"/>
  <c r="D155" i="27"/>
  <c r="H155" i="27"/>
</calcChain>
</file>

<file path=xl/sharedStrings.xml><?xml version="1.0" encoding="utf-8"?>
<sst xmlns="http://schemas.openxmlformats.org/spreadsheetml/2006/main" count="2882" uniqueCount="1133">
  <si>
    <t>01 -</t>
  </si>
  <si>
    <t>02 -</t>
  </si>
  <si>
    <t>03 -</t>
  </si>
  <si>
    <t>04 -</t>
  </si>
  <si>
    <t>05 -</t>
  </si>
  <si>
    <t>06 -</t>
  </si>
  <si>
    <t>07 -</t>
  </si>
  <si>
    <t>O GO para Fábricas de Desenvolvimento só pode ocorrer se as condições abaixo estiverem atendidas:</t>
  </si>
  <si>
    <t>08 -</t>
  </si>
  <si>
    <t>09 -</t>
  </si>
  <si>
    <t>10 -</t>
  </si>
  <si>
    <t>Relação das Posições IM:</t>
  </si>
  <si>
    <t>Posição IM</t>
  </si>
  <si>
    <t>Descrição</t>
  </si>
  <si>
    <t>BAU</t>
  </si>
  <si>
    <t>Business As Usual, ou seja, são os investimentos necessários para manter o funcionamento de TI, independente de variação na quantidade de clientes. Ex.: Atualização do parque de microinformática, atualização de licenças de software, atualizações do parque de hardware em geral.</t>
  </si>
  <si>
    <t>Evolutivas</t>
  </si>
  <si>
    <t>Os investimentos necessários para novas funcionalidades em sistemas existentes.</t>
  </si>
  <si>
    <t>Estruturantes</t>
  </si>
  <si>
    <t>Os investimentos necessários para construir a nova arquitetura de TI. Ex.: Unificação do SAP, construção de novo Data Center.</t>
  </si>
  <si>
    <t>Clientes Externos</t>
  </si>
  <si>
    <t>Os investimentos necessários para atender a um contrato específico de prestação de serviços pela Oi. Ex.: Negócio de Cyber Data Center fechado.</t>
  </si>
  <si>
    <t>Projetos Especiais</t>
  </si>
  <si>
    <t>Os  investimentos necessários para projetos definidos como especiais por TI. Ex.: Cloud.</t>
  </si>
  <si>
    <t>Produtos/ Ofertas/  Canais</t>
  </si>
  <si>
    <t>Produtos / Ofertas</t>
  </si>
  <si>
    <t>Implantação de projetos que visam a expansão de portfólio e o desenvolvimento de novos produtos/ofertas.</t>
  </si>
  <si>
    <t>Canais de Atendimento</t>
  </si>
  <si>
    <t>Canais de Venda</t>
  </si>
  <si>
    <t>Obrigações</t>
  </si>
  <si>
    <t>Outras Obrigações</t>
  </si>
  <si>
    <t>Demais obrigações da ANATEL, incluindo as relativas a novo Regulamento do SMP.</t>
  </si>
  <si>
    <t>Nome do Projeto</t>
  </si>
  <si>
    <t>Valor Solicitado (R$)</t>
  </si>
  <si>
    <t>Data do Comitê Priorização</t>
  </si>
  <si>
    <t>Baseline</t>
  </si>
  <si>
    <t>Mês/Ano da Entrega</t>
  </si>
  <si>
    <t>Escopo do Projeto</t>
  </si>
  <si>
    <t>Accenture - Testes</t>
  </si>
  <si>
    <t>Segmento de Mercado</t>
  </si>
  <si>
    <t>TV</t>
  </si>
  <si>
    <t>Valor Total do Projeto</t>
  </si>
  <si>
    <t>Tipo de Custo</t>
  </si>
  <si>
    <t>Defesa da Necessidade</t>
  </si>
  <si>
    <t>Diretoria Solicitante (Cliente)</t>
  </si>
  <si>
    <t>Gestor Solicitante (Cliente)</t>
  </si>
  <si>
    <t>Impacto Ambiental</t>
  </si>
  <si>
    <t xml:space="preserve">Pesquisa e Desenvolvimento </t>
  </si>
  <si>
    <t>Risco de Não Fazer</t>
  </si>
  <si>
    <t>OBJETIVO</t>
  </si>
  <si>
    <t>Impacto Geral</t>
  </si>
  <si>
    <t>Outros Impactos
(Operacional, Financeiro, Benefícios, etc.)</t>
  </si>
  <si>
    <t>Projeto-Proposta</t>
  </si>
  <si>
    <t>Projeto</t>
  </si>
  <si>
    <t>Classificação</t>
  </si>
  <si>
    <t>Sistema</t>
  </si>
  <si>
    <t>Valor</t>
  </si>
  <si>
    <t>Contrato</t>
  </si>
  <si>
    <t>Mensalização</t>
  </si>
  <si>
    <t>Proposta</t>
  </si>
  <si>
    <t>SERVIÇOS</t>
  </si>
  <si>
    <t>Teradata</t>
  </si>
  <si>
    <t/>
  </si>
  <si>
    <t>&lt; DEFINIR &gt;</t>
  </si>
  <si>
    <t>Objetivo</t>
  </si>
  <si>
    <t>OBS</t>
  </si>
  <si>
    <t>Ano Base</t>
  </si>
  <si>
    <t>Empresa Oi</t>
  </si>
  <si>
    <t>SIGLA</t>
  </si>
  <si>
    <t>Região</t>
  </si>
  <si>
    <t>PRIORIZACAO</t>
  </si>
  <si>
    <t>ENTREGA</t>
  </si>
  <si>
    <t>TLM</t>
  </si>
  <si>
    <t>JÁ IMPLEMENTADO</t>
  </si>
  <si>
    <t>NÃO ELEGÍVEL</t>
  </si>
  <si>
    <t>OUTROS ANOS</t>
  </si>
  <si>
    <t>BrTCM - Metrorede</t>
  </si>
  <si>
    <t>BrTCM</t>
  </si>
  <si>
    <t>PGA</t>
  </si>
  <si>
    <t>R1 PAGGO</t>
  </si>
  <si>
    <t>Próximos Anos</t>
  </si>
  <si>
    <t>A Ficha consolidada não muda o ano por ser estática</t>
  </si>
  <si>
    <t>&lt;Novo Sistema&gt;</t>
  </si>
  <si>
    <t>Não pode ser removido</t>
  </si>
  <si>
    <t>(OI R2) ACCESS7</t>
  </si>
  <si>
    <t>(OI R2) DW</t>
  </si>
  <si>
    <t>(OI R2) GPAB</t>
  </si>
  <si>
    <t>(OI R2) LEGADOS FT</t>
  </si>
  <si>
    <t>(OI R2) MULTICONFERÊNCIA</t>
  </si>
  <si>
    <t>(OI R2) SABRE</t>
  </si>
  <si>
    <t>(OI R2) SAT</t>
  </si>
  <si>
    <t>(OI R2) SGRO</t>
  </si>
  <si>
    <t>(OI R2) SLM</t>
  </si>
  <si>
    <t>(OI R2) SSR</t>
  </si>
  <si>
    <t>(OI R2) VIP REPORT</t>
  </si>
  <si>
    <t>ACM</t>
  </si>
  <si>
    <t>ADMINISTRADOR DE TARIFAS MÓVEL</t>
  </si>
  <si>
    <t>AGENDA COMPARTILHADA</t>
  </si>
  <si>
    <t>ARS CGS</t>
  </si>
  <si>
    <t>BAC</t>
  </si>
  <si>
    <t>BASE FRIA AC</t>
  </si>
  <si>
    <t>CCURE-SAFE</t>
  </si>
  <si>
    <t>CDI</t>
  </si>
  <si>
    <t>CIREX</t>
  </si>
  <si>
    <t>CLICK</t>
  </si>
  <si>
    <t>CMS</t>
  </si>
  <si>
    <t>COMPONENTE VAS</t>
  </si>
  <si>
    <t>CRB</t>
  </si>
  <si>
    <t>DAF</t>
  </si>
  <si>
    <t>DATACARE</t>
  </si>
  <si>
    <t>FATBB</t>
  </si>
  <si>
    <t>FERRAMENTA DE RECUPERAÇÃO</t>
  </si>
  <si>
    <t>FLEXLM</t>
  </si>
  <si>
    <t>GAD</t>
  </si>
  <si>
    <t>GATEWAY DE PORTABILIDADE</t>
  </si>
  <si>
    <t>GCOB</t>
  </si>
  <si>
    <t>GEFI</t>
  </si>
  <si>
    <t>GEOPLEX</t>
  </si>
  <si>
    <t>GPM</t>
  </si>
  <si>
    <t>GPS WEB</t>
  </si>
  <si>
    <t>GRIF</t>
  </si>
  <si>
    <t>GRP</t>
  </si>
  <si>
    <t>IASOX</t>
  </si>
  <si>
    <t>IBPMS</t>
  </si>
  <si>
    <t>JMAP</t>
  </si>
  <si>
    <t>MESOX</t>
  </si>
  <si>
    <t>NDS</t>
  </si>
  <si>
    <t>NETWIN</t>
  </si>
  <si>
    <t>OCS</t>
  </si>
  <si>
    <t>OMR</t>
  </si>
  <si>
    <t>OPENLM</t>
  </si>
  <si>
    <t>OPL OI</t>
  </si>
  <si>
    <t>PARC</t>
  </si>
  <si>
    <t>PNET</t>
  </si>
  <si>
    <t>PRISMA</t>
  </si>
  <si>
    <t>RATV</t>
  </si>
  <si>
    <t>ROAMBROKER</t>
  </si>
  <si>
    <t>SAOSC</t>
  </si>
  <si>
    <t>SCPO</t>
  </si>
  <si>
    <t>SEDO</t>
  </si>
  <si>
    <t>SEFE</t>
  </si>
  <si>
    <t>SEI</t>
  </si>
  <si>
    <t>SERVCEL</t>
  </si>
  <si>
    <t>SFA-SIEBEL8</t>
  </si>
  <si>
    <t>SGE PLANTA EXTERNA</t>
  </si>
  <si>
    <t>SGIS</t>
  </si>
  <si>
    <t>SIAF</t>
  </si>
  <si>
    <t>SIDARA</t>
  </si>
  <si>
    <t>SIGA</t>
  </si>
  <si>
    <t>SIGNS</t>
  </si>
  <si>
    <t>SINNWEB</t>
  </si>
  <si>
    <t>SINODC</t>
  </si>
  <si>
    <t>SISCONFIG</t>
  </si>
  <si>
    <t>SISRAF - MPN</t>
  </si>
  <si>
    <t>SISTERM</t>
  </si>
  <si>
    <t>SOLMAN</t>
  </si>
  <si>
    <t>SSR</t>
  </si>
  <si>
    <t>STPCI</t>
  </si>
  <si>
    <t>STV</t>
  </si>
  <si>
    <t>TANGRAM</t>
  </si>
  <si>
    <t>THS</t>
  </si>
  <si>
    <t>TMART</t>
  </si>
  <si>
    <t>TRADUTOR</t>
  </si>
  <si>
    <t>TRANSACT</t>
  </si>
  <si>
    <t>TRUSTY</t>
  </si>
  <si>
    <t>TVAS</t>
  </si>
  <si>
    <t>UNITE</t>
  </si>
  <si>
    <t>VIGIA</t>
  </si>
  <si>
    <t>Empresa</t>
  </si>
  <si>
    <t>Nome do Baseline</t>
  </si>
  <si>
    <t>Nome Reduzido</t>
  </si>
  <si>
    <t>Torre</t>
  </si>
  <si>
    <t>Itens Fixos - Não devem ser Excluídos</t>
  </si>
  <si>
    <t>3CON</t>
  </si>
  <si>
    <t>ACCENTURE</t>
  </si>
  <si>
    <t>IV</t>
  </si>
  <si>
    <t>II</t>
  </si>
  <si>
    <t>ASGA</t>
  </si>
  <si>
    <t>III</t>
  </si>
  <si>
    <t>VI</t>
  </si>
  <si>
    <t>Cleartech</t>
  </si>
  <si>
    <t>CLEARTECH</t>
  </si>
  <si>
    <t>CPqD</t>
  </si>
  <si>
    <t>Disys</t>
  </si>
  <si>
    <t>DISYS</t>
  </si>
  <si>
    <t>EXPERIAN</t>
  </si>
  <si>
    <t>GLOBAL WEB</t>
  </si>
  <si>
    <t>HP</t>
  </si>
  <si>
    <t>IBM - Torre I - Faturamento e Mediação</t>
  </si>
  <si>
    <t>IBM</t>
  </si>
  <si>
    <t>I</t>
  </si>
  <si>
    <t>IBM - Torre VII - BI</t>
  </si>
  <si>
    <t>VII</t>
  </si>
  <si>
    <t>IFactory</t>
  </si>
  <si>
    <t xml:space="preserve">LG </t>
  </si>
  <si>
    <t>LG</t>
  </si>
  <si>
    <t>LG (Norber)</t>
  </si>
  <si>
    <t>AITEC</t>
  </si>
  <si>
    <t>LINK - Teste Integrado</t>
  </si>
  <si>
    <t>Metatron</t>
  </si>
  <si>
    <t>METATRON</t>
  </si>
  <si>
    <t>Objective</t>
  </si>
  <si>
    <t>OBJECTIVE</t>
  </si>
  <si>
    <t>ORACLE</t>
  </si>
  <si>
    <t>Perlink</t>
  </si>
  <si>
    <t>PERLINK</t>
  </si>
  <si>
    <t>PTI</t>
  </si>
  <si>
    <t>PROCWORK</t>
  </si>
  <si>
    <t>SUNTECH</t>
  </si>
  <si>
    <t>TI Métricas</t>
  </si>
  <si>
    <t>Triad</t>
  </si>
  <si>
    <t>WeDo</t>
  </si>
  <si>
    <t>WEDO</t>
  </si>
  <si>
    <t>FOI do Projeto:</t>
  </si>
  <si>
    <t>Proposta / Solicitação</t>
  </si>
  <si>
    <t>Valor Solicitado</t>
  </si>
  <si>
    <t>Fornecedor</t>
  </si>
  <si>
    <t>Valor Proposta</t>
  </si>
  <si>
    <t>Nome do Item</t>
  </si>
  <si>
    <t>Valor do Item</t>
  </si>
  <si>
    <t>Fornecedor RC</t>
  </si>
  <si>
    <t>FOI de Baseline:</t>
  </si>
  <si>
    <t>GO para Fábrica</t>
  </si>
  <si>
    <t>Criar RC</t>
  </si>
  <si>
    <t>Métrica</t>
  </si>
  <si>
    <t>BL</t>
  </si>
  <si>
    <t>Sistema / Módulo</t>
  </si>
  <si>
    <t>Horas</t>
  </si>
  <si>
    <t>Valor HH</t>
  </si>
  <si>
    <t>%</t>
  </si>
  <si>
    <t>GO sem Fabrica</t>
  </si>
  <si>
    <t>CHAVE METRICA</t>
  </si>
  <si>
    <t>Fornecedores</t>
  </si>
  <si>
    <t>Escopo</t>
  </si>
  <si>
    <t>FOI do Projeto</t>
  </si>
  <si>
    <t>Memória de Cálculo</t>
  </si>
  <si>
    <t>Gestor Solicitante</t>
  </si>
  <si>
    <t>INFRAESTRUTURA</t>
  </si>
  <si>
    <t>TOTAL %</t>
  </si>
  <si>
    <t>TOTAL R$</t>
  </si>
  <si>
    <t>Unidade de Negócio</t>
  </si>
  <si>
    <t>Tipo</t>
  </si>
  <si>
    <t>Nome Projeto</t>
  </si>
  <si>
    <t>FOI FICHA</t>
  </si>
  <si>
    <t>TORRE</t>
  </si>
  <si>
    <t>REGIAO</t>
  </si>
  <si>
    <t>Milestone</t>
  </si>
  <si>
    <t>Valor do Milestone</t>
  </si>
  <si>
    <t>CHAVE PROP.</t>
  </si>
  <si>
    <t>CHAVE PROJ.</t>
  </si>
  <si>
    <t>Milestone Incompleto</t>
  </si>
  <si>
    <t>Marco Repetido</t>
  </si>
  <si>
    <t>Validações</t>
  </si>
  <si>
    <t>Milestone em Baseline</t>
  </si>
  <si>
    <t>Nome Baseline</t>
  </si>
  <si>
    <t>Marco sem Mensaliz.</t>
  </si>
  <si>
    <t>CLASSIF</t>
  </si>
  <si>
    <t>EMPRESA OI</t>
  </si>
  <si>
    <t>Oi Fixa R1</t>
  </si>
  <si>
    <t>Oi Móvel S.A.</t>
  </si>
  <si>
    <t>BTSA Fixa R2</t>
  </si>
  <si>
    <t>BTSA</t>
  </si>
  <si>
    <t>PAGGO</t>
  </si>
  <si>
    <t>Responsável (N3)</t>
  </si>
  <si>
    <t>CRIAR RC</t>
  </si>
  <si>
    <t>CONTRATO</t>
  </si>
  <si>
    <t>SISTEMA</t>
  </si>
  <si>
    <t>HORAS</t>
  </si>
  <si>
    <t>TAXA HH</t>
  </si>
  <si>
    <t>Qtde Horas</t>
  </si>
  <si>
    <t>CORTE</t>
  </si>
  <si>
    <t>Prioridade Global</t>
  </si>
  <si>
    <t>Origem do FOI</t>
  </si>
  <si>
    <t>SMPE</t>
  </si>
  <si>
    <t>Serviços</t>
  </si>
  <si>
    <t>Desenvolvimento Não Baseline</t>
  </si>
  <si>
    <t>MÓVEL</t>
  </si>
  <si>
    <t>Nome do PDF de Custo Final</t>
  </si>
  <si>
    <t>Descrição / Memória de Cálculo da Aquisição de INFRAESTRUTURA</t>
  </si>
  <si>
    <t>11 -</t>
  </si>
  <si>
    <t>Validade</t>
  </si>
  <si>
    <t>Accenture - Fábrica de Testes</t>
  </si>
  <si>
    <t>N/A</t>
  </si>
  <si>
    <t>Empresa N/A em Linha não Baseline</t>
  </si>
  <si>
    <t>Diretoria Solicitante</t>
  </si>
  <si>
    <t>CONTA EMPRESA</t>
  </si>
  <si>
    <t>RAID IP FIXA</t>
  </si>
  <si>
    <t>RAID FR MÓVEL</t>
  </si>
  <si>
    <t>RAID IP MÓVEL</t>
  </si>
  <si>
    <t>DW CADASTRO</t>
  </si>
  <si>
    <t>DW FINANCEIRO</t>
  </si>
  <si>
    <t>DW TRÁFEGO</t>
  </si>
  <si>
    <t>CPL</t>
  </si>
  <si>
    <t>EASY-IRPJ</t>
  </si>
  <si>
    <t>PORTAL DE GENTE</t>
  </si>
  <si>
    <t>FTM - CONTROLE DE AÇÕES</t>
  </si>
  <si>
    <t>TAD - SISTEMA DE CONTROLE DE TERMINAIS ADMINISTRATIVOS</t>
  </si>
  <si>
    <t>SISJUR - SISTEMA JURÍDICO</t>
  </si>
  <si>
    <t>MEDIAÇÃO FIXA - COMUNICAÇÃO DE DADOS</t>
  </si>
  <si>
    <t>MEDIAÇÃO FIXA - 134 (OIFO)</t>
  </si>
  <si>
    <t>EMISSÃO DE 2º VIA NO PORTAL</t>
  </si>
  <si>
    <t>(OI R2) DETRAF</t>
  </si>
  <si>
    <t>SAS-BI</t>
  </si>
  <si>
    <t>SAF</t>
  </si>
  <si>
    <t>RECORRÊNCIA ANATEL</t>
  </si>
  <si>
    <t>SRT</t>
  </si>
  <si>
    <t>ESPAÇO JÓIA</t>
  </si>
  <si>
    <t>MEDIAÇÃO FIXA - CALLING CARD - SCF7</t>
  </si>
  <si>
    <t>MEDIAÇÃO FIXA - CALL COMPLETE (ITA3)</t>
  </si>
  <si>
    <t>TCE</t>
  </si>
  <si>
    <t>SCT - SISTEMA DE CONTROLE DE TAREFAS</t>
  </si>
  <si>
    <t>GF</t>
  </si>
  <si>
    <t>GCR</t>
  </si>
  <si>
    <t>SCA</t>
  </si>
  <si>
    <t>PORTAL OI</t>
  </si>
  <si>
    <t>SUBSCRITORES</t>
  </si>
  <si>
    <t>MEDIAÇÃO FIXA - LOCAL (UBL2)</t>
  </si>
  <si>
    <t>ESCOBS / SD2</t>
  </si>
  <si>
    <t>SPJ</t>
  </si>
  <si>
    <t>CBILL</t>
  </si>
  <si>
    <t>FPW</t>
  </si>
  <si>
    <t>GESTÃO DE TREINAMENTO</t>
  </si>
  <si>
    <t>(OI R2) SFA</t>
  </si>
  <si>
    <t>SIEBEL</t>
  </si>
  <si>
    <t>PRÉ-PAGO AMAZONIA</t>
  </si>
  <si>
    <t>GESTÃO DE TERMINAIS DA FIXA</t>
  </si>
  <si>
    <t>PORTAL DE MIGRAÇÃO BRT</t>
  </si>
  <si>
    <t>(OI R2) ASAP</t>
  </si>
  <si>
    <t>(OI R2) FIX</t>
  </si>
  <si>
    <t>(OI R2) FPW BRTCC</t>
  </si>
  <si>
    <t>(OI R2) GDBO</t>
  </si>
  <si>
    <t>(OI R2) MASC</t>
  </si>
  <si>
    <t>(OI R2) OBJECTEL</t>
  </si>
  <si>
    <t>(OI R2) OMS</t>
  </si>
  <si>
    <t>(OI R2) PORTAL DE GOVERNANÇA</t>
  </si>
  <si>
    <t>(OI R2) PORTAL DE OUVIDORIA</t>
  </si>
  <si>
    <t>(OI R2) PREÇOS E TARIFAS - PET</t>
  </si>
  <si>
    <t>RAID-RC</t>
  </si>
  <si>
    <t>SCFTUP</t>
  </si>
  <si>
    <t>(OI R2) SCO</t>
  </si>
  <si>
    <t>(OI R2) SCR</t>
  </si>
  <si>
    <t>(OI R2) SGF</t>
  </si>
  <si>
    <t>(OI R2) SISGEN</t>
  </si>
  <si>
    <t>(OI R2) SISWEB</t>
  </si>
  <si>
    <t>(OI R2) SQAF</t>
  </si>
  <si>
    <t>(OI R2) SRA</t>
  </si>
  <si>
    <t>(OI R2) STRAUSS</t>
  </si>
  <si>
    <t>(OI R2) CDR-VIEW</t>
  </si>
  <si>
    <t>GIM</t>
  </si>
  <si>
    <t>GI</t>
  </si>
  <si>
    <t>(OI R2) SGTP</t>
  </si>
  <si>
    <t>TERUS - TARIFAÇÃO</t>
  </si>
  <si>
    <t>GESTÃO DE TARIFAÇÃO FIXA (GTF)</t>
  </si>
  <si>
    <t>(OI R2) RAID EC</t>
  </si>
  <si>
    <t>(OI R2) ALGE</t>
  </si>
  <si>
    <t>(OI R2) CIINPP</t>
  </si>
  <si>
    <t>(OI R2) SAC</t>
  </si>
  <si>
    <t>(OI R2) PORTAL CONVERGENTE</t>
  </si>
  <si>
    <t>(OI R2) SPART</t>
  </si>
  <si>
    <t>CANAL DE DENÚNCIAS - ADMINSTRATIVO</t>
  </si>
  <si>
    <t>(OI R2) ACW</t>
  </si>
  <si>
    <t>(OI R2) PORTAL RH BRTCC</t>
  </si>
  <si>
    <t>SAP-BW</t>
  </si>
  <si>
    <t>SAP-PORTAL</t>
  </si>
  <si>
    <t>(OI R2) SRE</t>
  </si>
  <si>
    <t>BUSCA 102</t>
  </si>
  <si>
    <t>BO-DW</t>
  </si>
  <si>
    <t>CONSULTA SMS JURIDICO</t>
  </si>
  <si>
    <t>INFORMÁTICA - INTEGRAÇÃO</t>
  </si>
  <si>
    <t>OI CARTÃO</t>
  </si>
  <si>
    <t>GDE</t>
  </si>
  <si>
    <t>MEDIAÇÃO FIXA - 102</t>
  </si>
  <si>
    <t>PAINEL_IN86</t>
  </si>
  <si>
    <t>MEDIAÇÃO FIXA DE NEGÓCIOS</t>
  </si>
  <si>
    <t>MEDIAÇÃO FIXA DE TERCEIROS (MAINFRAME)</t>
  </si>
  <si>
    <t>SGD</t>
  </si>
  <si>
    <t>MEDIAÇÃO MÓVEL - ACRS</t>
  </si>
  <si>
    <t>MEDIAÇÃO MÓVEL - PRE-FILTRO</t>
  </si>
  <si>
    <t>HYPERION NOVA OI- ORÇAMENTO CONTROLADORIA</t>
  </si>
  <si>
    <t>HYPERION NOVA OI- ORÇAMENTO CORPORATIVO</t>
  </si>
  <si>
    <t>PORTAL DA ARQUITETURA</t>
  </si>
  <si>
    <t>FPW PONTO</t>
  </si>
  <si>
    <t>SISPROC - SISTEMA DE PROCURAÇÕES</t>
  </si>
  <si>
    <t>SIGRI - SISTEMA DE GESTÃO DE RELACIONAMENTO INSTITUCIONAL</t>
  </si>
  <si>
    <t>TERADATA INTERCONEXÃO</t>
  </si>
  <si>
    <t>ABC / ABD</t>
  </si>
  <si>
    <t>PRIDE</t>
  </si>
  <si>
    <t>PW. SPED PIS COFINS</t>
  </si>
  <si>
    <t>FPW PONTO BRTCC</t>
  </si>
  <si>
    <t>FPWBI QIVIEW</t>
  </si>
  <si>
    <t>SINN DTH</t>
  </si>
  <si>
    <t>SCP</t>
  </si>
  <si>
    <t>MEDIAÇÃO FIXA - PRÉ-FILTRO</t>
  </si>
  <si>
    <t>BEWEB-OI</t>
  </si>
  <si>
    <t>BDA-OI</t>
  </si>
  <si>
    <t>SAP-SPP</t>
  </si>
  <si>
    <t>ACCESS MANAGER</t>
  </si>
  <si>
    <t>RAID-UC</t>
  </si>
  <si>
    <t>RAID-PI</t>
  </si>
  <si>
    <t>REPASSE VAS</t>
  </si>
  <si>
    <t>Fornecedor Invalido</t>
  </si>
  <si>
    <t>Sistema Invalido</t>
  </si>
  <si>
    <t>Empresa Invalida</t>
  </si>
  <si>
    <t>Mensalisação Invalida</t>
  </si>
  <si>
    <t>Tipo Solicitação</t>
  </si>
  <si>
    <t>PDF de OG de Infra</t>
  </si>
  <si>
    <t>Descrição Aquisição</t>
  </si>
  <si>
    <t>Total Ficha</t>
  </si>
  <si>
    <t>Processo RC</t>
  </si>
  <si>
    <t>AsGa</t>
  </si>
  <si>
    <t>Software Express</t>
  </si>
  <si>
    <t>Accenture - Torre II - CRM</t>
  </si>
  <si>
    <t>Global Web em R2</t>
  </si>
  <si>
    <t>CSC</t>
  </si>
  <si>
    <t>CSC Brasil</t>
  </si>
  <si>
    <t>IBLABS</t>
  </si>
  <si>
    <t>VP Consulting (IBLABS)</t>
  </si>
  <si>
    <t>Custo Final</t>
  </si>
  <si>
    <t>Macroestimativa</t>
  </si>
  <si>
    <t>Bens de Capitalização Direta</t>
  </si>
  <si>
    <t>Legal / Obrigatório</t>
  </si>
  <si>
    <t>Atacado</t>
  </si>
  <si>
    <t>Corporativo</t>
  </si>
  <si>
    <t>Empresarial</t>
  </si>
  <si>
    <t>Varejo</t>
  </si>
  <si>
    <t>Não Alocável</t>
  </si>
  <si>
    <t>Reduz Custo</t>
  </si>
  <si>
    <t>Obrigação</t>
  </si>
  <si>
    <t>Melhora Qualidade</t>
  </si>
  <si>
    <t>Aumenta Receita</t>
  </si>
  <si>
    <t>Contratações Spot</t>
  </si>
  <si>
    <t>Fábrica FSW com Baseline</t>
  </si>
  <si>
    <t>Tipo de Solicitação</t>
  </si>
  <si>
    <t>i</t>
  </si>
  <si>
    <t>Total Baseline</t>
  </si>
  <si>
    <t>ID_FICHA</t>
  </si>
  <si>
    <t>Nome Solicitação</t>
  </si>
  <si>
    <t>Solicitante</t>
  </si>
  <si>
    <t>Nome do FOI</t>
  </si>
  <si>
    <t>FOI Doador</t>
  </si>
  <si>
    <t>Dt. Comitê Priorização</t>
  </si>
  <si>
    <t>Período Entrega</t>
  </si>
  <si>
    <t>Gerente TI</t>
  </si>
  <si>
    <t>Pesquisa e Desenv.</t>
  </si>
  <si>
    <t>Outros Impactos</t>
  </si>
  <si>
    <t>Total Projeto</t>
  </si>
  <si>
    <t>Total Projeto Ano</t>
  </si>
  <si>
    <t>Link - Teste Integrado</t>
  </si>
  <si>
    <t>Infra</t>
  </si>
  <si>
    <t>Ficha Nº</t>
  </si>
  <si>
    <t>Subprojeto</t>
  </si>
  <si>
    <t>Responsável Preenchimento</t>
  </si>
  <si>
    <t>Sistema / Frente</t>
  </si>
  <si>
    <t>»Tabela de Mensalização</t>
  </si>
  <si>
    <t>Ano muda automaticamente:</t>
  </si>
  <si>
    <t>»Tabela de Priorização</t>
  </si>
  <si>
    <t>»Tabela de Entrega</t>
  </si>
  <si>
    <t>Serv</t>
  </si>
  <si>
    <t>O “Nome do Projeto” deve ser preenchido sem o código do projeto.  O projeto é um só, independente da quantidade de subprojetos cadastrados no Clarity.</t>
  </si>
  <si>
    <t>A Lista de Mensalização deve ser preenchida com o planejamento de milestones de pagamento, sem linhas em branco apenas para solicitações cujo orçamento esteja associado ao FOI do projeto.
Prefira sempre preencher este campo com fórmula referenciando o total da proposta.</t>
  </si>
  <si>
    <t>DIGICADE</t>
  </si>
  <si>
    <t>Capgemini</t>
  </si>
  <si>
    <t>ANO_FICHA</t>
  </si>
  <si>
    <t>MEMORIA CALCULO</t>
  </si>
  <si>
    <t>LISTA PROJETO</t>
  </si>
  <si>
    <t>LISTA FORNECEDOR</t>
  </si>
  <si>
    <t>&lt;Não se Aplica&gt;</t>
  </si>
  <si>
    <t>Itens Importados do Clarity</t>
  </si>
  <si>
    <t>Itens Adicionados pela Ger. Orçamento</t>
  </si>
  <si>
    <t>(OI R2) 102 - ONLINE</t>
  </si>
  <si>
    <t>(OI R2) 102 EXCLUSIVO</t>
  </si>
  <si>
    <t>(OI R2) BRTJUR</t>
  </si>
  <si>
    <t>(OI R2) CLARIFY - AMBIENTE OPEN</t>
  </si>
  <si>
    <t>(OI R2) CLARIFY - AMBIENTE WEB</t>
  </si>
  <si>
    <t>(OI R2) CPM</t>
  </si>
  <si>
    <t>(OI R2) CRE</t>
  </si>
  <si>
    <t>(OI R2) DETRAF WEB</t>
  </si>
  <si>
    <t>(OI R2) DOC1</t>
  </si>
  <si>
    <t>(OI R2) EAI</t>
  </si>
  <si>
    <t>(OI R2) E-BILLING</t>
  </si>
  <si>
    <t>(OI R2) EBPP</t>
  </si>
  <si>
    <t>(OI R2) ENTIREX</t>
  </si>
  <si>
    <t>(OI R2) FLX</t>
  </si>
  <si>
    <t>(OI R2) FRETES</t>
  </si>
  <si>
    <t>(OI R2) GEA</t>
  </si>
  <si>
    <t>(OI R2) GECO</t>
  </si>
  <si>
    <t>(OI R2) GED</t>
  </si>
  <si>
    <t>(OI R2) G-OTA (SIMBROWSER)</t>
  </si>
  <si>
    <t>(OI R2) GPP</t>
  </si>
  <si>
    <t>(OI R2) IDDF - INDICADORES</t>
  </si>
  <si>
    <t>(OI R2) LIGAÇÕES 0300</t>
  </si>
  <si>
    <t>(OI R2) MICROSIGA</t>
  </si>
  <si>
    <t>(OI R2) MXDR - ACRS</t>
  </si>
  <si>
    <t>(OI R2) MXDR - BMP</t>
  </si>
  <si>
    <t>(OI R2) MXDR - PORTAL DE FALHAS DE BILHETES</t>
  </si>
  <si>
    <t>(OI R2) NOTANET NF-E</t>
  </si>
  <si>
    <t>(OI R2) PATROL</t>
  </si>
  <si>
    <t>(OI R2) PATROL WEB</t>
  </si>
  <si>
    <t>(OI R2) PLANWEB</t>
  </si>
  <si>
    <t>(OI R2) PROCONT</t>
  </si>
  <si>
    <t>(OI R2) RAID PI</t>
  </si>
  <si>
    <t>(OI R2) SAF</t>
  </si>
  <si>
    <t>(OI R2) SAG</t>
  </si>
  <si>
    <t>(OI R2) SAGRE/TUP</t>
  </si>
  <si>
    <t>(OI R2) SCB</t>
  </si>
  <si>
    <t>(OI R2) SCVR</t>
  </si>
  <si>
    <t>(OI R2) SERVCEL</t>
  </si>
  <si>
    <t>(OI R2) SIAC</t>
  </si>
  <si>
    <t>(OI R2) SIAF</t>
  </si>
  <si>
    <t>(OI R2) SID</t>
  </si>
  <si>
    <t>(OI R2) SPG</t>
  </si>
  <si>
    <t>(OI R2) STC</t>
  </si>
  <si>
    <t>(OI R2) TRANSACT</t>
  </si>
  <si>
    <t>(OI R2) UNIPRO</t>
  </si>
  <si>
    <t>(OI R2) VIP CNG</t>
  </si>
  <si>
    <t>(OI R2) WPP</t>
  </si>
  <si>
    <t>102 - AXLWIN</t>
  </si>
  <si>
    <t>ALDSP - ORACLE DATA SERVICES</t>
  </si>
  <si>
    <t>ALER - ORACLE AQUALOGIC SERVICE REPOSITORY</t>
  </si>
  <si>
    <t>ALSB - ORACLE ENTERPRISE SERVICE BUS</t>
  </si>
  <si>
    <t>ALSR - ORACLE AQUALOGIC SERVICE REGISTRY</t>
  </si>
  <si>
    <t>ANGRA</t>
  </si>
  <si>
    <t>ARBOR</t>
  </si>
  <si>
    <t>AUTORIZADOS</t>
  </si>
  <si>
    <t>BARRAMENTO VAS</t>
  </si>
  <si>
    <t>BASE MORNA AC</t>
  </si>
  <si>
    <t>BCO</t>
  </si>
  <si>
    <t>BDC</t>
  </si>
  <si>
    <t>BDMUB</t>
  </si>
  <si>
    <t>BEWEB-BRTCC</t>
  </si>
  <si>
    <t>BLL</t>
  </si>
  <si>
    <t>BOA</t>
  </si>
  <si>
    <t>BROADCAST VAS</t>
  </si>
  <si>
    <t>BW R1</t>
  </si>
  <si>
    <t>BW R2</t>
  </si>
  <si>
    <t>CADOP</t>
  </si>
  <si>
    <t>CEMI</t>
  </si>
  <si>
    <t>CHC</t>
  </si>
  <si>
    <t>CIC - ESCADINHA</t>
  </si>
  <si>
    <t>CLARITYPPM</t>
  </si>
  <si>
    <t>CONECTOR PORTABILIDADE</t>
  </si>
  <si>
    <t>CONSULTA PERFIL ELÉTRICO</t>
  </si>
  <si>
    <t>DW-LISTAS</t>
  </si>
  <si>
    <t>EBILINGWEB</t>
  </si>
  <si>
    <t>E-CHANNEL</t>
  </si>
  <si>
    <t>ENTIREX</t>
  </si>
  <si>
    <t>FGC - FATURAMENTO</t>
  </si>
  <si>
    <t>FGP - OI</t>
  </si>
  <si>
    <t>FICHA FINANCEIRA</t>
  </si>
  <si>
    <t>FORTUNA</t>
  </si>
  <si>
    <t>FORTUNA - BIT</t>
  </si>
  <si>
    <t>FORTUNA - FTM</t>
  </si>
  <si>
    <t>FORTUNA - OMS</t>
  </si>
  <si>
    <t>FORTUNA - SCA</t>
  </si>
  <si>
    <t>FORTUNA - VTS</t>
  </si>
  <si>
    <t>FRONTEND UNICO DE SVA - FEU</t>
  </si>
  <si>
    <t>GEOMEDIA</t>
  </si>
  <si>
    <t>GERENCIADOR DE INTERFACE MAINFRAME</t>
  </si>
  <si>
    <t>GIA CORPORATIVO</t>
  </si>
  <si>
    <t>GIA PARCEIRO</t>
  </si>
  <si>
    <t>GIP</t>
  </si>
  <si>
    <t>GRANITE</t>
  </si>
  <si>
    <t>HPFMS</t>
  </si>
  <si>
    <t>HYPERION - HFM</t>
  </si>
  <si>
    <t>HYPERION NOVA OI</t>
  </si>
  <si>
    <t>ICS</t>
  </si>
  <si>
    <t>IGF</t>
  </si>
  <si>
    <t>INFORME DE RENDIMENTOS</t>
  </si>
  <si>
    <t>INSITE</t>
  </si>
  <si>
    <t>INTERATIVA</t>
  </si>
  <si>
    <t>KANNEL</t>
  </si>
  <si>
    <t>LOADER BLACKLIST</t>
  </si>
  <si>
    <t>LOJA DE SERVIÇOS ( LSV )</t>
  </si>
  <si>
    <t>MCL-GCC</t>
  </si>
  <si>
    <t>MEDIACAO FIXA - 144</t>
  </si>
  <si>
    <t>MEGAPROMO</t>
  </si>
  <si>
    <t>MENU OI</t>
  </si>
  <si>
    <t>MESSAGE GATEWAY</t>
  </si>
  <si>
    <t>MNO</t>
  </si>
  <si>
    <t>MSG</t>
  </si>
  <si>
    <t>NBA-DSM</t>
  </si>
  <si>
    <t>NBA-NBAA</t>
  </si>
  <si>
    <t>NEOGRID</t>
  </si>
  <si>
    <t>NOTA FISCAL ELETRONICA</t>
  </si>
  <si>
    <t>OI ATENDE</t>
  </si>
  <si>
    <t>OI GESTOR</t>
  </si>
  <si>
    <t>OI LEGAL</t>
  </si>
  <si>
    <t>OI TORPEDO</t>
  </si>
  <si>
    <t>OI VENDE</t>
  </si>
  <si>
    <t>ORACLE BAM</t>
  </si>
  <si>
    <t>OUTLIERS</t>
  </si>
  <si>
    <t>PADA</t>
  </si>
  <si>
    <t>PAINEL DE PORTABILIDADE NUMÉRICA</t>
  </si>
  <si>
    <t>PARC BAIXA</t>
  </si>
  <si>
    <t>PORTAL CORPORATIVO</t>
  </si>
  <si>
    <t>PORTAL CSC</t>
  </si>
  <si>
    <t>PORTAL RA</t>
  </si>
  <si>
    <t>PORTAL SAP</t>
  </si>
  <si>
    <t>PORTAL SLA</t>
  </si>
  <si>
    <t>PORTAL SLA ADM FINANCEIRA</t>
  </si>
  <si>
    <t>PORTAL VAS</t>
  </si>
  <si>
    <t>PREPAGOBDO</t>
  </si>
  <si>
    <t>PRTLNEGR2</t>
  </si>
  <si>
    <t>PSB - R1</t>
  </si>
  <si>
    <t>PSB - R2</t>
  </si>
  <si>
    <t>PVA</t>
  </si>
  <si>
    <t>PW. SVA - IN86</t>
  </si>
  <si>
    <t>PW.SPED FISCAL</t>
  </si>
  <si>
    <t>PWX - INFORMATICA POWER EXCHANGE</t>
  </si>
  <si>
    <t>QUIZ SMS</t>
  </si>
  <si>
    <t>RAID MARGEM</t>
  </si>
  <si>
    <t>RELOP</t>
  </si>
  <si>
    <t>RONDA ACESSO</t>
  </si>
  <si>
    <t>SALCOM-II</t>
  </si>
  <si>
    <t>SAN SCREEN</t>
  </si>
  <si>
    <t>SAP-BPC</t>
  </si>
  <si>
    <t>SAP-ECC</t>
  </si>
  <si>
    <t>SAP-MDM</t>
  </si>
  <si>
    <t>SAP-MOBILE</t>
  </si>
  <si>
    <t>SASCAMPAIGN</t>
  </si>
  <si>
    <t>SATMAIL</t>
  </si>
  <si>
    <t>SCF1</t>
  </si>
  <si>
    <t>SCOM</t>
  </si>
  <si>
    <t>SGVS</t>
  </si>
  <si>
    <t>SIEBEL 8</t>
  </si>
  <si>
    <t>SIEBEL INFORMACIONAL</t>
  </si>
  <si>
    <t>SIEBEL MARKETING</t>
  </si>
  <si>
    <t>SIMCARD LOADER (OTA)</t>
  </si>
  <si>
    <t>SIMULADOR DE PLANOS FIXO E MÓVEL</t>
  </si>
  <si>
    <t>SINN CABO</t>
  </si>
  <si>
    <t>SIS FALHAS</t>
  </si>
  <si>
    <t>SISGEN BRASIL</t>
  </si>
  <si>
    <t>SISRAF - ATENDIMENTO DE CONTA</t>
  </si>
  <si>
    <t>SISRAF - CADASTRO DE FATURAMENTO</t>
  </si>
  <si>
    <t>SISRAF - CO-BILLING FISCAL</t>
  </si>
  <si>
    <t>SISRAF - CONTA CUSTOMIZADA</t>
  </si>
  <si>
    <t>SISRAF - DESMEMBRAMENTO DE CONTAS</t>
  </si>
  <si>
    <t>SISRAF - EXTRATOR STIC</t>
  </si>
  <si>
    <t>SISRAF - FATURAMENTO</t>
  </si>
  <si>
    <t>SISRAF - FISCAL</t>
  </si>
  <si>
    <t>SISRAF - PARCELAMENTO</t>
  </si>
  <si>
    <t>SISRAF - SEGUNDA VIA DE CONTA</t>
  </si>
  <si>
    <t>SISRAF - SISRED</t>
  </si>
  <si>
    <t>SISTEMA DE APOIO AO SATI</t>
  </si>
  <si>
    <t>SPG</t>
  </si>
  <si>
    <t>SPREAD</t>
  </si>
  <si>
    <t>STC DADOS</t>
  </si>
  <si>
    <t>STC VOZ</t>
  </si>
  <si>
    <t>STI ORIGINAL</t>
  </si>
  <si>
    <t>SYSTEM ARCHITECT - SA</t>
  </si>
  <si>
    <t>TABLEAU</t>
  </si>
  <si>
    <t>TERUS - TERMINAIS</t>
  </si>
  <si>
    <t>TUP.COM</t>
  </si>
  <si>
    <t>URA FIXA</t>
  </si>
  <si>
    <t>VASPROXY</t>
  </si>
  <si>
    <t>VIGNETTE</t>
  </si>
  <si>
    <t>VITRIA</t>
  </si>
  <si>
    <t>Subprojeto
(Clarity PPM)</t>
  </si>
  <si>
    <t>Capgemini - Torre III SAP</t>
  </si>
  <si>
    <t>AF Associada</t>
  </si>
  <si>
    <t>ID Proposta</t>
  </si>
  <si>
    <t>Nome do Responsável</t>
  </si>
  <si>
    <t>ID Aprovação Financeira</t>
  </si>
  <si>
    <t>Código Proposta</t>
  </si>
  <si>
    <t>Código AF</t>
  </si>
  <si>
    <t>ID Apr. Financeira (AF)</t>
  </si>
  <si>
    <t>Subprojeto Invalido</t>
  </si>
  <si>
    <t>Empresa OI em Baseline</t>
  </si>
  <si>
    <t>PROJETO-PROPOSTA PK</t>
  </si>
  <si>
    <t>Validações a Partir da coluna BB =&gt;</t>
  </si>
  <si>
    <t>DADOS ADICIONAIS</t>
  </si>
  <si>
    <t>ID AF</t>
  </si>
  <si>
    <t>ID Subprojeto</t>
  </si>
  <si>
    <t>IBM - Torre VII - Informatica</t>
  </si>
  <si>
    <t>Oracle (CRM Cloud)</t>
  </si>
  <si>
    <t>Capgemini - Torre III</t>
  </si>
  <si>
    <t>Global Web Outsourcing (R2)</t>
  </si>
  <si>
    <t>3 Elos</t>
  </si>
  <si>
    <t>Macroestimativa (R$)</t>
  </si>
  <si>
    <t>Nilram</t>
  </si>
  <si>
    <t>Suntech</t>
  </si>
  <si>
    <t>Prockwork (Sonda)</t>
  </si>
  <si>
    <t>ARS</t>
  </si>
  <si>
    <t>LEGENDA</t>
  </si>
  <si>
    <t>FAST TRACK</t>
  </si>
  <si>
    <t>Capgemini - Torre VI Multiplataformas</t>
  </si>
  <si>
    <t>Estimativa com proposta Clarity</t>
  </si>
  <si>
    <t>GO sem proposta Clarity</t>
  </si>
  <si>
    <t>Capgemini - Torre VI</t>
  </si>
  <si>
    <t>TQI</t>
  </si>
  <si>
    <t>DEMANDA</t>
  </si>
  <si>
    <t>PROJETO</t>
  </si>
  <si>
    <t>PROJETO DE INFRA</t>
  </si>
  <si>
    <t>% DS</t>
  </si>
  <si>
    <t>%TI</t>
  </si>
  <si>
    <t>%PRD</t>
  </si>
  <si>
    <t>Projeto
(Clarity PPM)</t>
  </si>
  <si>
    <t>Valor Solicitado (com descontos)</t>
  </si>
  <si>
    <t>Validação de HH descontinuada para permitir aplicação de descontos - =SE(E(P7="";Q7="");0;SE(P7*Q7&lt;&gt;R7;1;0))</t>
  </si>
  <si>
    <t>LISTA SUBPROJETO</t>
  </si>
  <si>
    <t>% Milestone</t>
  </si>
  <si>
    <t>Fornecedor da Infra</t>
  </si>
  <si>
    <t>Realizar em (mmm/aaaa)</t>
  </si>
  <si>
    <t>N2</t>
  </si>
  <si>
    <t>Ângelo Coelho da Silva Neto</t>
  </si>
  <si>
    <t>Administrativo e Financeiro</t>
  </si>
  <si>
    <t>Auditoria Interna</t>
  </si>
  <si>
    <t>Gente e Gestão</t>
  </si>
  <si>
    <t>Negócios B2B</t>
  </si>
  <si>
    <t>Comunicação Corporativa</t>
  </si>
  <si>
    <t>Operações</t>
  </si>
  <si>
    <t>Estratégia e Novos Negócios</t>
  </si>
  <si>
    <t>Relacionamento com Clientes</t>
  </si>
  <si>
    <t>Finanças Corporativas</t>
  </si>
  <si>
    <t>Jurídica</t>
  </si>
  <si>
    <t>Relações Institucionais e Regulamentação</t>
  </si>
  <si>
    <t>FOI</t>
  </si>
  <si>
    <t>4600043369*</t>
  </si>
  <si>
    <t>4600043366*</t>
  </si>
  <si>
    <t>4600045294*</t>
  </si>
  <si>
    <t>4600045951*</t>
  </si>
  <si>
    <t>4600041956*</t>
  </si>
  <si>
    <t>4600042486*</t>
  </si>
  <si>
    <t>4600042487*</t>
  </si>
  <si>
    <t>4600045832*</t>
  </si>
  <si>
    <t>4600043151*</t>
  </si>
  <si>
    <t>ADDM</t>
  </si>
  <si>
    <t>CLICK - MUA</t>
  </si>
  <si>
    <t>CLOUD</t>
  </si>
  <si>
    <t>CMDB</t>
  </si>
  <si>
    <t>CMDB - INTERFACE</t>
  </si>
  <si>
    <t>CMDB - PORTAL</t>
  </si>
  <si>
    <t>DIMENSIONS</t>
  </si>
  <si>
    <t>e-CDR</t>
  </si>
  <si>
    <t>E-HEALTH AR</t>
  </si>
  <si>
    <t>FGC - ARRECADACAO</t>
  </si>
  <si>
    <t>FGC - CONTESTACAO</t>
  </si>
  <si>
    <t>FME Server</t>
  </si>
  <si>
    <t>FORTUNA - ArqOs</t>
  </si>
  <si>
    <t>FORTUNA - Customer Care</t>
  </si>
  <si>
    <t>GED</t>
  </si>
  <si>
    <t>GEONET</t>
  </si>
  <si>
    <t>GEOSITE</t>
  </si>
  <si>
    <t>GESTÃO DE ACESSOS</t>
  </si>
  <si>
    <t>GESTÃO DE SENHAS</t>
  </si>
  <si>
    <t>HLPDSKOI</t>
  </si>
  <si>
    <t>HP OPENVIEW</t>
  </si>
  <si>
    <t>IDS</t>
  </si>
  <si>
    <t>ILMT</t>
  </si>
  <si>
    <t>ITSM</t>
  </si>
  <si>
    <t>MapaRI</t>
  </si>
  <si>
    <t>MEDIACAO FIXA - LDI (SCF4)</t>
  </si>
  <si>
    <t>MEDIACAO FIXA - LDN (SCF2)</t>
  </si>
  <si>
    <t>MEDIACAO FIXA - MM</t>
  </si>
  <si>
    <t>MEDIACAO MOVEL - MM</t>
  </si>
  <si>
    <t>MINITAB</t>
  </si>
  <si>
    <t>NA - Network Ativactor</t>
  </si>
  <si>
    <t>NBA</t>
  </si>
  <si>
    <t>NDSCLIENTE</t>
  </si>
  <si>
    <t>NDSDIRCORP</t>
  </si>
  <si>
    <t>NDSINTERNO</t>
  </si>
  <si>
    <t>NDSMINHAOI</t>
  </si>
  <si>
    <t>NEMESIS</t>
  </si>
  <si>
    <t>NF-PREPAGO</t>
  </si>
  <si>
    <t>OI CONTROLLER</t>
  </si>
  <si>
    <t>(OI R2) ACCESS MANAGER</t>
  </si>
  <si>
    <t>(OI R2) ACCESS MANAGER - CLIENTES</t>
  </si>
  <si>
    <t>(OI R2) ACCESS MANAGER - INTRANET</t>
  </si>
  <si>
    <t>(OI R2) ACCESS MANAGER - PARCEIROS</t>
  </si>
  <si>
    <t>(OI R2) DATA QUALITY</t>
  </si>
  <si>
    <t>(OI R2) GENEVA - TARIFACAO E FATURAMENTO</t>
  </si>
  <si>
    <t>(OI R2) ICHAIN</t>
  </si>
  <si>
    <t>(OI R2) PORTAL GID</t>
  </si>
  <si>
    <t>(OI R2) SAP</t>
  </si>
  <si>
    <t>OM</t>
  </si>
  <si>
    <t>OSvC</t>
  </si>
  <si>
    <t>PAC - TARIFAÇÃO REDE PACOTES</t>
  </si>
  <si>
    <t>PORTAL METAS</t>
  </si>
  <si>
    <t>PW. SPED CONTABIL</t>
  </si>
  <si>
    <t>PW.SATI - SOLUCOES FISCAIS</t>
  </si>
  <si>
    <t>QUALITY CENTER - QC10</t>
  </si>
  <si>
    <t>RECARGA AUTOMATICA</t>
  </si>
  <si>
    <t>REQUISITE PRO</t>
  </si>
  <si>
    <t>RMS - TARIFACAO DE REDE MULTISERVICO</t>
  </si>
  <si>
    <t>SAP</t>
  </si>
  <si>
    <t>SDB</t>
  </si>
  <si>
    <t>SENHA UNICA</t>
  </si>
  <si>
    <t>SGC - TARIFACAO CIRCUITOS</t>
  </si>
  <si>
    <t>SGFT</t>
  </si>
  <si>
    <t>SIS ATIVACAO FIXA</t>
  </si>
  <si>
    <t>SIS MOVEL</t>
  </si>
  <si>
    <t>SISRAF - APROPRIACAO</t>
  </si>
  <si>
    <t>SISRAF - ARRECADACAO</t>
  </si>
  <si>
    <t>SISRAF - COBRANCA</t>
  </si>
  <si>
    <t>SISRAF - CONTABILIZACAO</t>
  </si>
  <si>
    <t>SISRAF - CONTESTACAO</t>
  </si>
  <si>
    <t>SISRAF - FATURAMENTO CAMARA DE RETENCAO</t>
  </si>
  <si>
    <t>SISRAF - TARIFACAO</t>
  </si>
  <si>
    <t>SISTEMA APOIO ITOC</t>
  </si>
  <si>
    <t>SOC</t>
  </si>
  <si>
    <t>SOM - Service Order Management</t>
  </si>
  <si>
    <t>SPOTFIRE</t>
  </si>
  <si>
    <t>SVOi</t>
  </si>
  <si>
    <t>TARIFACAO REDE INTELIGENTE</t>
  </si>
  <si>
    <t>SQUADRA</t>
  </si>
  <si>
    <t>Squadra - Torre IV - OSS - Grupo 1</t>
  </si>
  <si>
    <t>Global Web (R2)</t>
  </si>
  <si>
    <t>IBM - Torre IV - OSS - Grupo 2</t>
  </si>
  <si>
    <t>Fornecedor Clarity</t>
  </si>
  <si>
    <t>Accenture - Torre II</t>
  </si>
  <si>
    <t>Digicade</t>
  </si>
  <si>
    <t>SGF</t>
  </si>
  <si>
    <t>André Luís M. Ituassú</t>
  </si>
  <si>
    <t>FIXA R1</t>
  </si>
  <si>
    <t>FIXA R2</t>
  </si>
  <si>
    <t>Projeto:</t>
  </si>
  <si>
    <t>Linha de Ata</t>
  </si>
  <si>
    <t>Tipo:</t>
  </si>
  <si>
    <t>Duração (meses):</t>
  </si>
  <si>
    <t>Total Baseline:</t>
  </si>
  <si>
    <t>Linha Ata</t>
  </si>
  <si>
    <t>001</t>
  </si>
  <si>
    <t>009</t>
  </si>
  <si>
    <t>011</t>
  </si>
  <si>
    <t>010</t>
  </si>
  <si>
    <t>006</t>
  </si>
  <si>
    <t>Custo Afundado</t>
  </si>
  <si>
    <t>PKE - Causa Cliente</t>
  </si>
  <si>
    <t>PKE - Causa TI</t>
  </si>
  <si>
    <t>PKE - Causa Fornecedor</t>
  </si>
  <si>
    <t>SIGLA DIRETORIA</t>
  </si>
  <si>
    <t>DGAT</t>
  </si>
  <si>
    <t>DSIC</t>
  </si>
  <si>
    <t>DETALHAMENTO (DISTRIBUIÇÃO DA VERBA POR ANO)</t>
  </si>
  <si>
    <t>Desenvolvimento Extra Baseline</t>
  </si>
  <si>
    <t>Total</t>
  </si>
  <si>
    <t>MEMORIA DE CALCULO</t>
  </si>
  <si>
    <t>Aquisições de Serviços, Desenvolvimento e Viagens</t>
  </si>
  <si>
    <t>GO para Fábricas</t>
  </si>
  <si>
    <t>Projeto Pai</t>
  </si>
  <si>
    <t>Descrição / Memória de Cálculo da Aquisição de Infraestrutura</t>
  </si>
  <si>
    <t>Outras Aquisições</t>
  </si>
  <si>
    <t>Subtotal</t>
  </si>
  <si>
    <t>Aquisições de Hardware Software e Facilities</t>
  </si>
  <si>
    <t>Total Extrabaseline</t>
  </si>
  <si>
    <t>Extrabaseline</t>
  </si>
  <si>
    <t>Resp. Preenchimento:</t>
  </si>
  <si>
    <t>ID Projeto</t>
  </si>
  <si>
    <t>Total do Projeto</t>
  </si>
  <si>
    <t>Mês  Comitê</t>
  </si>
  <si>
    <t>Mês Entrega</t>
  </si>
  <si>
    <t>PRIORIZAÇÃO:</t>
  </si>
  <si>
    <t>MENSALIZAÇÃO ( FOI do Projeto - Sem Baseline )</t>
  </si>
  <si>
    <t>TOTAL SOLICITADO</t>
  </si>
  <si>
    <t>Vago</t>
  </si>
  <si>
    <t>ID do Projeto</t>
  </si>
  <si>
    <t>Total deste FOI</t>
  </si>
  <si>
    <t>CAF</t>
  </si>
  <si>
    <t>Lista de Tipo de Custo</t>
  </si>
  <si>
    <t>Prioridade</t>
  </si>
  <si>
    <t>Nome Extrabaseline</t>
  </si>
  <si>
    <t>Accenture - Fábrica de Testes (Extrabaseline)</t>
  </si>
  <si>
    <t>Capgemini - Torre III SAP (Extrabaseline)</t>
  </si>
  <si>
    <t>Capgemini - Torre VI Multiplataformas  (Extrabaseline)</t>
  </si>
  <si>
    <t>IBM - Torre I - Faturamento e Mediação (Extrabaseline)</t>
  </si>
  <si>
    <t>IBM - Torre VII - BI (Extrabaseline)</t>
  </si>
  <si>
    <t>IBM - Torre VII - Informatica (Extrabaseline)</t>
  </si>
  <si>
    <t>LINK - Teste Integrado (Extrabaseline)</t>
  </si>
  <si>
    <t>PTI (Extrabaseline)</t>
  </si>
  <si>
    <t>TOTAIS POR AF DO CLARITY</t>
  </si>
  <si>
    <t>Nome do Recurso</t>
  </si>
  <si>
    <t>Fornecedor Serviço / Fábrica</t>
  </si>
  <si>
    <t>Detalhamento de Propostas, Serviços e Viagens</t>
  </si>
  <si>
    <t>Tipo de GO</t>
  </si>
  <si>
    <t>Aquisição de Infra</t>
  </si>
  <si>
    <t>INFORMAÇÔES DE INFRAESTRUTURA</t>
  </si>
  <si>
    <t>HARDWARE</t>
  </si>
  <si>
    <t>CR - Fornecedor</t>
  </si>
  <si>
    <t>4600046585*</t>
  </si>
  <si>
    <t>Squadra - Torre IV - OSS - Grupo 1 (Extrabaseline)</t>
  </si>
  <si>
    <t>IBM - Torre IV - OSS - Grupo 2 (Extrabaseline)</t>
  </si>
  <si>
    <t>Squadra - Torre IV</t>
  </si>
  <si>
    <t>Diretoria</t>
  </si>
  <si>
    <t>CONTRATAÇÃO DE RECURSO</t>
  </si>
  <si>
    <t>INFORMAÇÕES PARA DESENVOLVIMENTO</t>
  </si>
  <si>
    <t>Versão:</t>
  </si>
  <si>
    <t>PK a partir de Dados Normalizados;</t>
  </si>
  <si>
    <t>J</t>
  </si>
  <si>
    <t>G</t>
  </si>
  <si>
    <t>H</t>
  </si>
  <si>
    <t>K</t>
  </si>
  <si>
    <t>Dados Normalizados - Chaves nas colunas B a D</t>
  </si>
  <si>
    <t>M</t>
  </si>
  <si>
    <t>N</t>
  </si>
  <si>
    <t>O</t>
  </si>
  <si>
    <t>P</t>
  </si>
  <si>
    <t>Q</t>
  </si>
  <si>
    <t>R</t>
  </si>
  <si>
    <t>AA</t>
  </si>
  <si>
    <t>L</t>
  </si>
  <si>
    <t>T</t>
  </si>
  <si>
    <t>FORNECEDOR SERVICO</t>
  </si>
  <si>
    <t>S</t>
  </si>
  <si>
    <t>U</t>
  </si>
  <si>
    <t>W</t>
  </si>
  <si>
    <t>Y</t>
  </si>
  <si>
    <t>Z</t>
  </si>
  <si>
    <t>Dados de Milestones já são Normalizados</t>
  </si>
  <si>
    <t>X</t>
  </si>
  <si>
    <t>SOFTWARE</t>
  </si>
  <si>
    <t>Campo Obrigatório Infra</t>
  </si>
  <si>
    <t>Campo Obrigatorio Desenv</t>
  </si>
  <si>
    <t>Valor HH / Vl. Unitário</t>
  </si>
  <si>
    <t>Horas (sem desconto) / Qtde</t>
  </si>
  <si>
    <t>RC ^ (Baseline + sem Fabrica + Estimativa)</t>
  </si>
  <si>
    <t>Contratação de Recurso em Baseline</t>
  </si>
  <si>
    <t>Classificação Inválida</t>
  </si>
  <si>
    <t>Classificação Impropria</t>
  </si>
  <si>
    <t>Número da Linha</t>
  </si>
  <si>
    <t>Última Linha</t>
  </si>
  <si>
    <t xml:space="preserve">Fábrica </t>
  </si>
  <si>
    <t>Proposta de Infra</t>
  </si>
  <si>
    <t>Fornecedor da Infraestrutura</t>
  </si>
  <si>
    <t>IND BASELINE</t>
  </si>
  <si>
    <t>Nome do Extrabaseline</t>
  </si>
  <si>
    <t>Fornecedor de Infra</t>
  </si>
  <si>
    <t>PK_SUBPROJETO-PROPOSTA</t>
  </si>
  <si>
    <t>Diversos</t>
  </si>
  <si>
    <t>Projeto Princ.</t>
  </si>
  <si>
    <t>ID SUPROJETO</t>
  </si>
  <si>
    <t>ID PROJETO PRINCIPAL</t>
  </si>
  <si>
    <t>Tot. PRJ</t>
  </si>
  <si>
    <t>Total INFRA</t>
  </si>
  <si>
    <t>Nome do PDF da C.F. de Infraestrutura</t>
  </si>
  <si>
    <t>Horas em Serv</t>
  </si>
  <si>
    <t>Horas / Qtd</t>
  </si>
  <si>
    <t>Valor HH / Unit</t>
  </si>
  <si>
    <t>Tipo de Custo Indicado</t>
  </si>
  <si>
    <t>Valor Total</t>
  </si>
  <si>
    <t>Tot. PRJ Baseline</t>
  </si>
  <si>
    <t>DISTRIBUICAO POR EMPRESA</t>
  </si>
  <si>
    <t>BASELINE</t>
  </si>
  <si>
    <t>Data Marco</t>
  </si>
  <si>
    <t>DIR TI</t>
  </si>
  <si>
    <t>Envio "GO"</t>
  </si>
  <si>
    <t>Infraestrutura do Projeto</t>
  </si>
  <si>
    <t>Desenv. FOI do Projeto</t>
  </si>
  <si>
    <t>Total em Infraestrutura</t>
  </si>
  <si>
    <t>Total Não Baseline</t>
  </si>
  <si>
    <t>Ano do Milestone</t>
  </si>
  <si>
    <t>VIAGENS</t>
  </si>
  <si>
    <t>FACILITIES</t>
  </si>
  <si>
    <t>IND-Baseline</t>
  </si>
  <si>
    <t>Infraestrutura</t>
  </si>
  <si>
    <t>Paggo</t>
  </si>
  <si>
    <t>Pessoal de Expansão</t>
  </si>
  <si>
    <t>NÃO</t>
  </si>
  <si>
    <t>4600046584*</t>
  </si>
  <si>
    <t>-</t>
  </si>
  <si>
    <t>A Lista de Proposta de Serviços e/ou Infra devem ser preenchida observando as validações de tela. O documento de Proposta possui indicação de Contrato e Empresa Oi de pagamento.
Caso sua solicitação tenha Homem-Hora e Valor de Homem-Hora, dê preferência a colocar o total da proposta no formato de Fórmula referenciando estes campos para evitar erros de arredondamento.</t>
  </si>
  <si>
    <t>Produtos e Ofertas</t>
  </si>
  <si>
    <t>Sistemas CMS; IB; ICS; RAID UC; RAID PI; RoamBroker; PVA</t>
  </si>
  <si>
    <t>4600047456*</t>
  </si>
  <si>
    <t>ACM, Netwin; SVA; Smart Clound; NAL; Fortuna; M2M</t>
  </si>
  <si>
    <t>Ger. Testes</t>
  </si>
  <si>
    <r>
      <t xml:space="preserve">Se </t>
    </r>
    <r>
      <rPr>
        <b/>
        <u/>
        <sz val="16"/>
        <color theme="1"/>
        <rFont val="Simplon BP Regular"/>
      </rPr>
      <t>não</t>
    </r>
    <r>
      <rPr>
        <sz val="16"/>
        <color theme="1"/>
        <rFont val="Simplon BP Regular"/>
      </rPr>
      <t xml:space="preserve"> houver preenchimento para o campo, este deverá ser preenchido com </t>
    </r>
    <r>
      <rPr>
        <b/>
        <sz val="16"/>
        <color theme="1"/>
        <rFont val="Simplon BP Regular"/>
      </rPr>
      <t>“N/A”</t>
    </r>
    <r>
      <rPr>
        <sz val="16"/>
        <color theme="1"/>
        <rFont val="Simplon BP Regular"/>
      </rPr>
      <t>, para mostrar que não foi ignorado.</t>
    </r>
  </si>
  <si>
    <r>
      <t xml:space="preserve">O </t>
    </r>
    <r>
      <rPr>
        <b/>
        <i/>
        <sz val="16"/>
        <color theme="3"/>
        <rFont val="Simplon BP Regular"/>
      </rPr>
      <t>Formulário de Solicitação de Aprovação de Investimento</t>
    </r>
    <r>
      <rPr>
        <b/>
        <sz val="16"/>
        <color theme="1"/>
        <rFont val="Simplon BP Regular"/>
      </rPr>
      <t xml:space="preserve"> </t>
    </r>
    <r>
      <rPr>
        <sz val="16"/>
        <color theme="1"/>
        <rFont val="Simplon BP Regular"/>
      </rPr>
      <t xml:space="preserve">deve ser preenchido em sua totalidade e ter a Ficha Financeira Gerada. 
Todos os campos possuem texto explicativo em seus rótulos. 
</t>
    </r>
    <r>
      <rPr>
        <b/>
        <sz val="16"/>
        <color theme="1"/>
        <rFont val="Simplon BP Regular"/>
      </rPr>
      <t xml:space="preserve">As macros devem estar habilitadas e você deve estar utilizando Excel 2010 ou superior.
</t>
    </r>
    <r>
      <rPr>
        <sz val="16"/>
        <color theme="1"/>
        <rFont val="Simplon BP Regular"/>
      </rPr>
      <t xml:space="preserve">Clique no símbolo </t>
    </r>
    <r>
      <rPr>
        <b/>
        <sz val="20"/>
        <color rgb="FFFFC000"/>
        <rFont val="Webdings"/>
        <family val="1"/>
        <charset val="2"/>
      </rPr>
      <t>i</t>
    </r>
    <r>
      <rPr>
        <sz val="16"/>
        <color theme="1"/>
        <rFont val="Simplon BP Regular"/>
      </rPr>
      <t xml:space="preserve"> para que uma caixa de descrição da tela seja exibida.</t>
    </r>
  </si>
  <si>
    <t>Enviar um Projeto por e-mail. O campo “Assunto” deve ser preenchido com:  Solicitação em Comitê – Subprojeto PRJ######## (onde ########  é o código  do Subprojeto no Clarity).
Caso a Solicitação não se relacione ao Clarity, Substitua o código pelo Nome da Solicitação.
Caso a Solicitação tenha mais de um subprojeto, coloque DIVERSOS</t>
  </si>
  <si>
    <t>Solicitação de Aprovação de Investimento</t>
  </si>
  <si>
    <t>CR - Cliente</t>
  </si>
  <si>
    <t>CR - TI</t>
  </si>
  <si>
    <t>Tipo de Envio de GO</t>
  </si>
  <si>
    <t>Criar Pedido</t>
  </si>
  <si>
    <t>Indicação de Criação de Pedido Automático só será considerado se atender os seguintes requisitos:</t>
  </si>
  <si>
    <r>
      <rPr>
        <b/>
        <sz val="16"/>
        <rFont val="Simplon BP Regular"/>
      </rPr>
      <t>a)</t>
    </r>
    <r>
      <rPr>
        <sz val="16"/>
        <color theme="1"/>
        <rFont val="Simplon BP Regular"/>
      </rPr>
      <t xml:space="preserve"> Proposta Cadastrada / Aprovada na ferramenta de acompanhamento de projetos. 
</t>
    </r>
    <r>
      <rPr>
        <b/>
        <sz val="16"/>
        <color theme="1"/>
        <rFont val="Simplon BP Regular"/>
      </rPr>
      <t>b)</t>
    </r>
    <r>
      <rPr>
        <sz val="16"/>
        <color theme="1"/>
        <rFont val="Simplon BP Regular"/>
      </rPr>
      <t xml:space="preserve"> Indicação de Fornecedor com contrato vigente e previamente cadastrado.
</t>
    </r>
    <r>
      <rPr>
        <b/>
        <sz val="16"/>
        <color theme="1"/>
        <rFont val="Simplon BP Regular"/>
      </rPr>
      <t>c)</t>
    </r>
    <r>
      <rPr>
        <sz val="16"/>
        <color theme="1"/>
        <rFont val="Simplon BP Regular"/>
      </rPr>
      <t xml:space="preserve"> Não há geração de Pedidos para Baselines utilizando FOI do projeto.</t>
    </r>
  </si>
  <si>
    <r>
      <rPr>
        <b/>
        <sz val="16"/>
        <rFont val="Simplon BP Regular"/>
      </rPr>
      <t>a)</t>
    </r>
    <r>
      <rPr>
        <sz val="16"/>
        <color theme="1"/>
        <rFont val="Simplon BP Regular"/>
      </rPr>
      <t xml:space="preserve"> Proposta Cadastrada / Aprovada pelo Gestor 1 na ferramenta de acompanhamento de projetos com valores corretos e custo superior a zero.
</t>
    </r>
    <r>
      <rPr>
        <b/>
        <sz val="16"/>
        <color theme="1"/>
        <rFont val="Simplon BP Regular"/>
      </rPr>
      <t>b)</t>
    </r>
    <r>
      <rPr>
        <sz val="16"/>
        <color theme="1"/>
        <rFont val="Simplon BP Regular"/>
      </rPr>
      <t xml:space="preserve"> Indicação do GO na Lista de Propostas.
</t>
    </r>
    <r>
      <rPr>
        <b/>
        <sz val="16"/>
        <color theme="1"/>
        <rFont val="Simplon BP Regular"/>
      </rPr>
      <t>c)</t>
    </r>
    <r>
      <rPr>
        <sz val="16"/>
        <color theme="1"/>
        <rFont val="Simplon BP Regular"/>
      </rPr>
      <t xml:space="preserve"> Ficha Aprovada no Comitê referente sua alçada. Caso o Total do projeto seja superior a R$ 1 Milhão o GO ocorrerá apenas após o Comitê de Gestão.
</t>
    </r>
    <r>
      <rPr>
        <b/>
        <sz val="16"/>
        <color theme="1"/>
        <rFont val="Simplon BP Regular"/>
      </rPr>
      <t>d)</t>
    </r>
    <r>
      <rPr>
        <sz val="16"/>
        <color theme="1"/>
        <rFont val="Simplon BP Regular"/>
      </rPr>
      <t xml:space="preserve"> Confirmação da Disponibilização do Orçamento no FOI doado pelo Cliente.</t>
    </r>
  </si>
  <si>
    <t>Projetos que tem por finalidade melhorar o atendimento a clientes. Projetos para retenção, fidelização e atendimento a clientes (software, hardware, desenvolvimento de sistemas, implantação de PA ).</t>
  </si>
  <si>
    <t>Projetos que tem por finalidade criar um canal de venda. Projetos para retenção, fidelização e atendimento a clientes (software, hardware, desenvolvimento de sistemas, implantação de  PDV's).</t>
  </si>
  <si>
    <t>Instruções para o preenchimento do Formulário Aprovação de Investimento</t>
  </si>
  <si>
    <t>ALCINO VIEIRA CARDOSO FILHO</t>
  </si>
  <si>
    <t>ALEXANDRE LUIZ FURTADO DOMINGUES</t>
  </si>
  <si>
    <t>FERNANDA DA SILVA VAQUEIRO</t>
  </si>
  <si>
    <t>GUSTAVO BATOREU VALFRE</t>
  </si>
  <si>
    <t>ISABELA ALONSO RIBEIRO</t>
  </si>
  <si>
    <t>MARCELO COSTA DA ROCHA</t>
  </si>
  <si>
    <t>MARCELO LUIZ CHIERIGATTI</t>
  </si>
  <si>
    <t>MARIA LUCIANE DE ASSIS</t>
  </si>
  <si>
    <t>SANDRO VANDERLEI MILEK</t>
  </si>
  <si>
    <t>FABIO LUIS GLASER</t>
  </si>
  <si>
    <t>JULIO CESAR RIBEIRO DELL ISOLA</t>
  </si>
  <si>
    <t>PEDRO MARQUES DE AZEVEDO</t>
  </si>
  <si>
    <t>PEDRO PAULO DE LYRA ARAUJO</t>
  </si>
  <si>
    <t>ROGERIO BRUCK ELY</t>
  </si>
  <si>
    <t>ROMULO CHAVES RAPOSO</t>
  </si>
  <si>
    <t>TACITO FURTADO SILVA</t>
  </si>
  <si>
    <t>Segmento de Mercado:</t>
  </si>
  <si>
    <t>Vazio</t>
  </si>
  <si>
    <t xml:space="preserve">VOZ OSS </t>
  </si>
  <si>
    <t>Oracle (CRM Cloud - BICS)</t>
  </si>
  <si>
    <t>Novell</t>
  </si>
  <si>
    <t>Valor Total Neste Ano</t>
  </si>
  <si>
    <t>Valor Macroestimativa</t>
  </si>
  <si>
    <t>Diretoria  Solicitante</t>
  </si>
  <si>
    <t>CPM BRAXIS</t>
  </si>
  <si>
    <t>Capgemini (Átimo Fase 2)</t>
  </si>
  <si>
    <t>ODS</t>
  </si>
  <si>
    <t>(OI R2) SIM</t>
  </si>
  <si>
    <t>AGS</t>
  </si>
  <si>
    <t>API PERFIL ELÉTRICO</t>
  </si>
  <si>
    <t>Aspect Gravação Master</t>
  </si>
  <si>
    <t>BMC TrueSight</t>
  </si>
  <si>
    <t>CONNECT DIRECT</t>
  </si>
  <si>
    <t>ERWIN</t>
  </si>
  <si>
    <t>MART</t>
  </si>
  <si>
    <t>NOTIFICADOR SMS</t>
  </si>
  <si>
    <t>OI Visitante</t>
  </si>
  <si>
    <t>PORTAL CCO-TI</t>
  </si>
  <si>
    <t>PORTAL M2M</t>
  </si>
  <si>
    <t>QCALM11</t>
  </si>
  <si>
    <t>SART</t>
  </si>
  <si>
    <t>SERVICE DESK</t>
  </si>
  <si>
    <t>VTAM</t>
  </si>
  <si>
    <t>Segurança da Informação</t>
  </si>
  <si>
    <t>ALESSANDRO DE OLIVEIRA FINTERMAN</t>
  </si>
  <si>
    <t>ROGERIO ALVES DE BARROS</t>
  </si>
  <si>
    <t>Amdocs</t>
  </si>
  <si>
    <t>AMDOCS</t>
  </si>
  <si>
    <t>4600047951*</t>
  </si>
  <si>
    <t>Amdocs (Extrabaseline)</t>
  </si>
  <si>
    <t>VALENTINA NUNES SANTOS PEREIRA</t>
  </si>
  <si>
    <t>LISA</t>
  </si>
  <si>
    <t>SIEBEL WLL / FIBRA</t>
  </si>
  <si>
    <t>&lt; A CONTRATAR &gt;</t>
  </si>
  <si>
    <t>NORBER</t>
  </si>
  <si>
    <t>Fábrica FSW Não Baseline</t>
  </si>
  <si>
    <t>Spot</t>
  </si>
  <si>
    <t>x</t>
  </si>
  <si>
    <t>Validade Expirada</t>
  </si>
  <si>
    <t>CPqD Baseline</t>
  </si>
  <si>
    <t>SGFT, SPART, Texto Fala, VozOSS, SAGRE-TUP, TERUS</t>
  </si>
  <si>
    <t>SSR, SRE, SGRO, CBILL, ALGE, ANGRA</t>
  </si>
  <si>
    <t>CPqD - Sistemas NÃO Baseline</t>
  </si>
  <si>
    <t>Sisjur</t>
  </si>
  <si>
    <t>Experian (Serasa Experian)</t>
  </si>
  <si>
    <t>IB6</t>
  </si>
  <si>
    <r>
      <rPr>
        <b/>
        <sz val="20"/>
        <color theme="7"/>
        <rFont val="Webdings"/>
        <family val="1"/>
        <charset val="2"/>
      </rPr>
      <t>i</t>
    </r>
    <r>
      <rPr>
        <b/>
        <i/>
        <sz val="20"/>
        <color theme="0"/>
        <rFont val="Webdings"/>
        <family val="1"/>
        <charset val="2"/>
      </rPr>
      <t xml:space="preserve"> </t>
    </r>
    <r>
      <rPr>
        <b/>
        <i/>
        <sz val="20"/>
        <color theme="0"/>
        <rFont val="Simplon BP Regular"/>
      </rPr>
      <t>Solicitação de Aprovação de Investimento</t>
    </r>
  </si>
  <si>
    <t>Total:</t>
  </si>
  <si>
    <t>Complemento com Proposta</t>
  </si>
  <si>
    <t>Mensalização - Apenas NÃO Baseline</t>
  </si>
  <si>
    <t>SERGIO DE BARROS FREITAS</t>
  </si>
  <si>
    <t>Anderson Fernandes Santos Rocha</t>
  </si>
  <si>
    <t>RENATA BRUM LOYOLA</t>
  </si>
  <si>
    <t>NETWIN BUILDER</t>
  </si>
  <si>
    <t>Vetotex</t>
  </si>
  <si>
    <t>Accenture - Itens fora da Torre</t>
  </si>
  <si>
    <t>WCC</t>
  </si>
  <si>
    <t>MDM</t>
  </si>
  <si>
    <t>SOTI</t>
  </si>
  <si>
    <t>Sistemas</t>
  </si>
  <si>
    <t>Rede</t>
  </si>
  <si>
    <t>DSIO</t>
  </si>
  <si>
    <t>Luís Augusto Pereira Lopes</t>
  </si>
  <si>
    <t>DDIT</t>
  </si>
  <si>
    <t>Laone Poletto</t>
  </si>
  <si>
    <t>PIIT</t>
  </si>
  <si>
    <t>Gerente (N3) de Sistemas</t>
  </si>
  <si>
    <t>Gerente Sistemas (N3)</t>
  </si>
  <si>
    <t>(Cliente ou Sistemas)  Indicar lista com Área Cliente - FOI - Valor</t>
  </si>
  <si>
    <t>Gerente (N3) Sistemas</t>
  </si>
  <si>
    <t>Gerente N3 Sistemas</t>
  </si>
  <si>
    <t>DPDT</t>
  </si>
  <si>
    <t>DANIEL PEREIRA MARQUES DA SILVA</t>
  </si>
  <si>
    <t>TATIANA DA SILVA ESSABBA</t>
  </si>
  <si>
    <t>Para o Campo FOI do Projeto / Nome do FOI:
- Se usar Orçamento da área de TI, indique o FOI caso já exista. Nos Casos Especiais abaixo, para FOI de TI, o formulário substitui a palavra-chave pelo FOI vigente:
     - Se a demanda for classificada como desenvolvimento de Priorização automática, digite a palavra-chave "BOLSINHA"
     - Se a solicitação utilizar apenas Fábricas pagas por baseline, digite a palavra-chave "BASELINE"
     - Se o projeto for classificado como demanda evolutiva de priorização por comitê, digite a palavra-chave "BOLSÃO"
     - Se for um projeto que necessite a criação de um novo FOI, digite a palavra-Chave "CRIAR"
- Se usar Orçamento de área Cliente, coloque o FOI indicado pelo Cliente
- Se usar Orçamento de TI e de Cliente, indique o FOI da área de Sistemas.</t>
  </si>
  <si>
    <t xml:space="preserve">Para Campo FOI Doador:
- Caso utilize apenas um FOI da área de Sistemas, preencha N/A;
- Caso utilize FOI de área Cliente, liste todos os FOI e a área doadora.
- Caso utilize FOI de Cliente e Sistemas, liste todos os FOI, área doadora e valor a ser consumido.  
- Caso seu projeto necessite aprovação em mais de um FOI, indique o valor que será consumido em cada FOI. </t>
  </si>
  <si>
    <r>
      <t xml:space="preserve">Este formulário deve ser enviado pelo N3 para os destinatários da </t>
    </r>
    <r>
      <rPr>
        <b/>
        <i/>
        <sz val="16"/>
        <color theme="1"/>
        <rFont val="Simplon BP Regular"/>
      </rPr>
      <t>PP-TI Aprovação Capex</t>
    </r>
    <r>
      <rPr>
        <sz val="16"/>
        <color theme="1"/>
        <rFont val="Simplon BP Regular"/>
      </rPr>
      <t xml:space="preserve">. Se esta Ficha for de ajuste para envio de GO e criação de pedido, basta enviá-la para </t>
    </r>
    <r>
      <rPr>
        <b/>
        <i/>
        <sz val="16"/>
        <color theme="1"/>
        <rFont val="Simplon BP Regular"/>
      </rPr>
      <t>LD-TI GO para Fábricas</t>
    </r>
    <r>
      <rPr>
        <sz val="16"/>
        <color theme="1"/>
        <rFont val="Simplon BP Regular"/>
      </rPr>
      <t>.</t>
    </r>
  </si>
  <si>
    <t xml:space="preserve"> Sistemas</t>
  </si>
  <si>
    <t>Proposta com 2 Fabricas</t>
  </si>
  <si>
    <t>GTDS</t>
  </si>
  <si>
    <t>Oracle</t>
  </si>
  <si>
    <t>Oracle (Extrabaseline)</t>
  </si>
  <si>
    <t>LINK - Teste Integrado (Não Baseline)</t>
  </si>
  <si>
    <t>4600043151.</t>
  </si>
  <si>
    <t>Aditivos contratados via processo Spot</t>
  </si>
  <si>
    <t>Itens de Gestão foram incorporados ao contrado de Baseline</t>
  </si>
  <si>
    <t xml:space="preserve">Novell </t>
  </si>
  <si>
    <t>Sistema NetIQ</t>
  </si>
  <si>
    <t>Fábrica FSW Extrabaseline</t>
  </si>
  <si>
    <t>Comverse</t>
  </si>
  <si>
    <t>2017.04</t>
  </si>
  <si>
    <t>PRJ00021292</t>
  </si>
  <si>
    <t>PRJ00021293</t>
  </si>
  <si>
    <t>Batimento Digital RAID-Cadastro Minha Oi</t>
  </si>
  <si>
    <t>Eduardo Pereira Damasceno Lima</t>
  </si>
  <si>
    <t>1) O que estamos aprovando? Aprovação extrabaseline, para elaboração do DSOL, das frentes SISRAF-FATURAMENTO, SISRAF-ARRECADACAO, SAG e SFA. 
2) Qual o fato motivador?  Identificar divergências de informações de cadastro entre o PORTAL OI e os CRMS e entre o PORTAL OI e os FATURAMENTOS
3) Qual a causa desse fato?  Atualmente existem casos em que os dados entre esses sistemas estão divergentes
4) Em relação à causa apontada, há responsabilidade do fornecedor?Não
5) Se estivermos aprovando extra baseline, porque não podemos aguardar espaço ? Foi solicitado prioridade, pela gerência Digital Delivery.
6) Se Prioridade Global &gt;= 200. Porque solicitar aprovação ? A prioridade global está como 49.</t>
  </si>
  <si>
    <t>Continuarão e existir divergências de informações de cadastro, entre o PORTAL OI e os CRMS e entre o PORTAL OI e os FATURAMENTOS</t>
  </si>
  <si>
    <t>Utilizar a ferramenta RAID, para permitir a extração dos dados dos clientes do Portal Minha Oi, para que possam ser comparados e identificados as diferenças de cadastro, entre os CRMs (CDI, SAC, STC, SBL, SINN) e Faturamentos (Arbor, SFA e SISRAF).</t>
  </si>
  <si>
    <t>FLAVIA REGINA DA CRUZ MEIRELLES</t>
  </si>
  <si>
    <t>CRIAR</t>
  </si>
  <si>
    <t>FOI de Sistemas</t>
  </si>
  <si>
    <t>AGO/2017</t>
  </si>
  <si>
    <t>JAN/2018</t>
  </si>
  <si>
    <t>SIM</t>
  </si>
  <si>
    <t>AF00006693</t>
  </si>
  <si>
    <t>PROP00020171</t>
  </si>
  <si>
    <t>MÊS 1</t>
  </si>
  <si>
    <t>MÊS 2</t>
  </si>
  <si>
    <t>MÊS 3</t>
  </si>
  <si>
    <t>SET/2017</t>
  </si>
  <si>
    <t>PROP00020173</t>
  </si>
  <si>
    <t>PROP00020172</t>
  </si>
  <si>
    <t>PROP00020174</t>
  </si>
  <si>
    <t>PRJ00021293.PROP00020171.1</t>
  </si>
  <si>
    <t>PRJ00021293.PROP00020173.1</t>
  </si>
  <si>
    <t>PRJ00021293.PROP00020172.1</t>
  </si>
  <si>
    <t>PRJ00021293.PROP00020174.1</t>
  </si>
  <si>
    <t>AUTOMÁTICO</t>
  </si>
  <si>
    <t>JAN/2017</t>
  </si>
  <si>
    <t>FEV/2017</t>
  </si>
  <si>
    <t>MAR/2017</t>
  </si>
  <si>
    <t>ABR/2017</t>
  </si>
  <si>
    <t>MAI/2017</t>
  </si>
  <si>
    <t>JUN/2017</t>
  </si>
  <si>
    <t>JUL/2017</t>
  </si>
  <si>
    <t>OUT/2017</t>
  </si>
  <si>
    <t>NOV/2017</t>
  </si>
  <si>
    <t>DEZ/2017</t>
  </si>
  <si>
    <t>CRIAR-001</t>
  </si>
  <si>
    <t>CRIAR-010</t>
  </si>
  <si>
    <t>CRIAR-009</t>
  </si>
  <si>
    <t>CRIAR-011</t>
  </si>
  <si>
    <t>CRIAR-006</t>
  </si>
  <si>
    <t xml:space="preserve">PRJ00021293.PROP00020171.1 | Custo Final | SISRAF - FATURAMENTO | IBM - Torre I - Faturamento e Mediação (Extrabaseline) | 30,380h * HH R$88,50 = R$2.688,63
PRJ00021293.PROP00020173.1 | Custo Final | (OI R2) SFA | IBM - Torre I - Faturamento e Mediação (Extrabaseline) | 45,570h * HH R$88,50 = R$4.032,95
PRJ00021293.PROP00020172.1 | Custo Final | SISRAF - ARRECADACAO | IBM - Torre I - Faturamento e Mediação (Extrabaseline) | 45,570h * HH R$88,50 = R$4.032,95
PRJ00021293.PROP00020174.1 | Custo Final | (OI R2) SAG | IBM - Torre I - Faturamento e Mediação (Extrabaseline) | 45,570h * HH R$88,50 = R$4.032,95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</si>
</sst>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_);_(* \(#,##0\);_(* &quot;-&quot;_);_(@_)"/>
    <numFmt numFmtId="165" formatCode="_(* #,##0.00_);_(* \(#,##0.00\);_(* &quot;-&quot;??_);_(@_)"/>
    <numFmt numFmtId="166" formatCode="&quot;R$ &quot;#,##0.00"/>
    <numFmt numFmtId="167" formatCode="0.000"/>
    <numFmt numFmtId="168" formatCode="#,##0.000"/>
    <numFmt numFmtId="169" formatCode="#,##0.0"/>
    <numFmt numFmtId="170" formatCode="_-* #,##0.0_-;\-* #,##0.0_-;_-* &quot;-&quot;?_-;_-@_-"/>
  </numFmts>
  <fonts count="8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name val="Arial"/>
      <family val="2"/>
    </font>
    <font>
      <b/>
      <i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color rgb="FFFF000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rgb="FFFFC000"/>
      <name val="Webdings"/>
      <family val="1"/>
      <charset val="2"/>
    </font>
    <font>
      <b/>
      <sz val="8"/>
      <color rgb="FF7030A0"/>
      <name val="Calibri"/>
      <family val="2"/>
      <scheme val="minor"/>
    </font>
    <font>
      <b/>
      <sz val="10"/>
      <color rgb="FF0070C0"/>
      <name val="Calibri"/>
      <family val="2"/>
      <scheme val="minor"/>
    </font>
    <font>
      <b/>
      <i/>
      <sz val="10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i/>
      <sz val="12"/>
      <color theme="0"/>
      <name val="Calibri"/>
      <family val="2"/>
      <scheme val="minor"/>
    </font>
    <font>
      <b/>
      <sz val="20"/>
      <color theme="7"/>
      <name val="Webdings"/>
      <family val="1"/>
      <charset val="2"/>
    </font>
    <font>
      <b/>
      <sz val="16"/>
      <color rgb="FFFFC000"/>
      <name val="Webdings"/>
      <family val="1"/>
      <charset val="2"/>
    </font>
    <font>
      <sz val="10"/>
      <color rgb="FF0070C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0"/>
      <color theme="8" tint="-0.249977111117893"/>
      <name val="Calibri"/>
      <family val="2"/>
      <scheme val="minor"/>
    </font>
    <font>
      <sz val="11"/>
      <color theme="0"/>
      <name val="Simplon BP Regular"/>
    </font>
    <font>
      <sz val="11"/>
      <color theme="1"/>
      <name val="Simplon BP Regular"/>
    </font>
    <font>
      <b/>
      <i/>
      <sz val="28"/>
      <color theme="0"/>
      <name val="Simplon BP Regular"/>
    </font>
    <font>
      <b/>
      <sz val="16"/>
      <color theme="1"/>
      <name val="Simplon BP Regular"/>
    </font>
    <font>
      <sz val="16"/>
      <color theme="1"/>
      <name val="Simplon BP Regular"/>
    </font>
    <font>
      <b/>
      <i/>
      <sz val="16"/>
      <color theme="3"/>
      <name val="Simplon BP Regular"/>
    </font>
    <font>
      <b/>
      <sz val="11"/>
      <color theme="1"/>
      <name val="Simplon BP Regular"/>
    </font>
    <font>
      <sz val="14"/>
      <color theme="1"/>
      <name val="Simplon BP Regular"/>
    </font>
    <font>
      <b/>
      <u/>
      <sz val="16"/>
      <color theme="1"/>
      <name val="Simplon BP Regular"/>
    </font>
    <font>
      <b/>
      <sz val="16"/>
      <name val="Simplon BP Regular"/>
    </font>
    <font>
      <b/>
      <sz val="16"/>
      <color theme="3"/>
      <name val="Simplon BP Regular"/>
    </font>
    <font>
      <b/>
      <sz val="12"/>
      <color indexed="9"/>
      <name val="Simplon BP Regular"/>
    </font>
    <font>
      <b/>
      <sz val="15"/>
      <color theme="0"/>
      <name val="Simplon BP Regular"/>
    </font>
    <font>
      <b/>
      <sz val="12"/>
      <name val="Simplon BP Regular"/>
    </font>
    <font>
      <sz val="15"/>
      <color theme="1"/>
      <name val="Simplon BP Regular"/>
    </font>
    <font>
      <sz val="12"/>
      <color theme="1"/>
      <name val="Simplon BP Regular"/>
    </font>
    <font>
      <b/>
      <i/>
      <sz val="20"/>
      <color theme="0"/>
      <name val="Simplon BP Regular"/>
    </font>
    <font>
      <b/>
      <i/>
      <sz val="16"/>
      <color theme="0"/>
      <name val="Simplon BP Regular"/>
    </font>
    <font>
      <b/>
      <i/>
      <sz val="8"/>
      <color rgb="FF0070C0"/>
      <name val="Simplon BP Regular"/>
    </font>
    <font>
      <b/>
      <i/>
      <sz val="8"/>
      <color theme="1"/>
      <name val="Simplon BP Regular"/>
    </font>
    <font>
      <b/>
      <i/>
      <sz val="8"/>
      <color rgb="FFFFFF00"/>
      <name val="Simplon BP Regular"/>
    </font>
    <font>
      <b/>
      <i/>
      <sz val="8"/>
      <color rgb="FFC00000"/>
      <name val="Simplon BP Regular"/>
    </font>
    <font>
      <b/>
      <sz val="11"/>
      <color theme="0"/>
      <name val="Simplon BP Regular"/>
    </font>
    <font>
      <b/>
      <i/>
      <sz val="12"/>
      <color rgb="FF0070C0"/>
      <name val="Simplon BP Regular"/>
    </font>
    <font>
      <sz val="14"/>
      <name val="Simplon BP Regular"/>
    </font>
    <font>
      <sz val="8"/>
      <color rgb="FF0070C0"/>
      <name val="Calibri"/>
      <family val="2"/>
      <scheme val="minor"/>
    </font>
    <font>
      <b/>
      <i/>
      <sz val="20"/>
      <color rgb="FF0070C0"/>
      <name val="Simplon BP Regular"/>
    </font>
    <font>
      <b/>
      <i/>
      <sz val="20"/>
      <color rgb="FF00B050"/>
      <name val="Simplon BP Regular"/>
    </font>
    <font>
      <sz val="10"/>
      <color theme="1"/>
      <name val="Simplon BP Regular"/>
    </font>
    <font>
      <i/>
      <sz val="10"/>
      <color rgb="FF00ACAC"/>
      <name val="Simplon BP Regular"/>
    </font>
    <font>
      <b/>
      <i/>
      <sz val="10"/>
      <color theme="1"/>
      <name val="Simplon BP Regular"/>
    </font>
    <font>
      <b/>
      <sz val="10"/>
      <color theme="1"/>
      <name val="Simplon BP Regular"/>
    </font>
    <font>
      <sz val="12"/>
      <color rgb="FF0070C0"/>
      <name val="Simplon BP Regular"/>
    </font>
    <font>
      <sz val="9"/>
      <color theme="1"/>
      <name val="Simplon BP Regular"/>
    </font>
    <font>
      <b/>
      <sz val="10"/>
      <color theme="0"/>
      <name val="Simplon BP Regular"/>
    </font>
    <font>
      <b/>
      <i/>
      <sz val="20"/>
      <color theme="0"/>
      <name val="Webdings"/>
      <family val="1"/>
      <charset val="2"/>
    </font>
    <font>
      <sz val="10"/>
      <name val="Simplon BP Regular"/>
    </font>
    <font>
      <sz val="8"/>
      <name val="Simplon BP Regular"/>
    </font>
    <font>
      <sz val="9"/>
      <color theme="0" tint="-0.499984740745262"/>
      <name val="Simplon BP Regular"/>
    </font>
    <font>
      <sz val="8"/>
      <color theme="0"/>
      <name val="Simplon BP Regular"/>
    </font>
    <font>
      <sz val="8"/>
      <color theme="1"/>
      <name val="Simplon BP Regular"/>
    </font>
    <font>
      <b/>
      <i/>
      <sz val="8"/>
      <color theme="0" tint="-0.499984740745262"/>
      <name val="Simplon BP Regular"/>
    </font>
    <font>
      <b/>
      <sz val="8"/>
      <color rgb="FFFF0000"/>
      <name val="Simplon BP Regular"/>
    </font>
    <font>
      <b/>
      <sz val="8"/>
      <color rgb="FF0070C0"/>
      <name val="Simplon BP Regular"/>
    </font>
    <font>
      <b/>
      <sz val="14"/>
      <color rgb="FFFF0000"/>
      <name val="Simplon BP Regular"/>
    </font>
    <font>
      <b/>
      <sz val="8"/>
      <color theme="1"/>
      <name val="Simplon BP Regular"/>
    </font>
    <font>
      <b/>
      <sz val="8"/>
      <name val="Simplon BP Regular"/>
    </font>
    <font>
      <b/>
      <sz val="8"/>
      <color theme="0"/>
      <name val="Simplon BP Regular"/>
    </font>
    <font>
      <sz val="8"/>
      <color rgb="FF4CAFCC"/>
      <name val="Simplon BP Regular"/>
    </font>
    <font>
      <b/>
      <sz val="8"/>
      <color rgb="FF4CAFCC"/>
      <name val="Simplon BP Regular"/>
    </font>
    <font>
      <b/>
      <i/>
      <sz val="8"/>
      <color theme="0"/>
      <name val="Simplon BP Regular"/>
    </font>
    <font>
      <sz val="8"/>
      <color rgb="FFFF0000"/>
      <name val="Simplon BP Regular"/>
    </font>
    <font>
      <b/>
      <i/>
      <sz val="16"/>
      <color theme="1"/>
      <name val="Simplon BP Regular"/>
    </font>
    <font>
      <sz val="7"/>
      <color theme="1"/>
      <name val="Calibri"/>
      <family val="2"/>
      <scheme val="minor"/>
    </font>
    <font>
      <sz val="6"/>
      <color theme="1"/>
      <name val="Calibri"/>
      <family val="2"/>
      <scheme val="minor"/>
    </font>
  </fonts>
  <fills count="4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BDDEFF"/>
        <bgColor indexed="64"/>
      </patternFill>
    </fill>
    <fill>
      <patternFill patternType="solid">
        <fgColor rgb="FFD9F1FF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1F9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BAF1FE"/>
        <bgColor indexed="64"/>
      </patternFill>
    </fill>
    <fill>
      <patternFill patternType="solid">
        <fgColor rgb="FF7A23CC"/>
        <bgColor indexed="64"/>
      </patternFill>
    </fill>
    <fill>
      <patternFill patternType="solid">
        <fgColor rgb="FF00AFCC"/>
        <bgColor indexed="64"/>
      </patternFill>
    </fill>
    <fill>
      <patternFill patternType="solid">
        <fgColor rgb="FF4CAFCC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CCCC00"/>
        <bgColor indexed="64"/>
      </patternFill>
    </fill>
  </fills>
  <borders count="100">
    <border>
      <left/>
      <right/>
      <top/>
      <bottom/>
      <diagonal/>
    </border>
    <border>
      <left style="thin">
        <color indexed="21"/>
      </left>
      <right style="thin">
        <color indexed="21"/>
      </right>
      <top style="thin">
        <color indexed="2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theme="2" tint="-0.749961851863155"/>
      </right>
      <top style="thin">
        <color theme="2" tint="-0.749961851863155"/>
      </top>
      <bottom style="thin">
        <color theme="2" tint="-0.749961851863155"/>
      </bottom>
      <diagonal/>
    </border>
    <border>
      <left style="thin">
        <color theme="2" tint="-0.749961851863155"/>
      </left>
      <right style="thin">
        <color theme="2" tint="-0.749961851863155"/>
      </right>
      <top style="thin">
        <color theme="2" tint="-0.749961851863155"/>
      </top>
      <bottom style="thin">
        <color theme="2" tint="-0.749961851863155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auto="1"/>
      </right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/>
      <top/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/>
      <top/>
      <bottom style="double">
        <color rgb="FF0070C0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thin">
        <color auto="1"/>
      </right>
      <top style="hair">
        <color indexed="64"/>
      </top>
      <bottom/>
      <diagonal/>
    </border>
    <border>
      <left style="thin">
        <color auto="1"/>
      </left>
      <right/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double">
        <color rgb="FF0070C0"/>
      </top>
      <bottom/>
      <diagonal/>
    </border>
    <border>
      <left style="hair">
        <color auto="1"/>
      </left>
      <right/>
      <top style="double">
        <color rgb="FF0070C0"/>
      </top>
      <bottom/>
      <diagonal/>
    </border>
    <border>
      <left/>
      <right/>
      <top style="double">
        <color rgb="FF0070C0"/>
      </top>
      <bottom/>
      <diagonal/>
    </border>
    <border>
      <left style="hair">
        <color auto="1"/>
      </left>
      <right style="hair">
        <color auto="1"/>
      </right>
      <top style="double">
        <color rgb="FF0070C0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rgb="FF0070C0"/>
      </bottom>
      <diagonal/>
    </border>
    <border>
      <left/>
      <right style="thin">
        <color indexed="64"/>
      </right>
      <top/>
      <bottom style="double">
        <color rgb="FF0070C0"/>
      </bottom>
      <diagonal/>
    </border>
    <border>
      <left style="thin">
        <color indexed="64"/>
      </left>
      <right/>
      <top style="double">
        <color rgb="FF0070C0"/>
      </top>
      <bottom/>
      <diagonal/>
    </border>
    <border>
      <left/>
      <right style="thin">
        <color indexed="64"/>
      </right>
      <top style="double">
        <color rgb="FF0070C0"/>
      </top>
      <bottom/>
      <diagonal/>
    </border>
    <border>
      <left style="hair">
        <color auto="1"/>
      </left>
      <right style="thin">
        <color indexed="64"/>
      </right>
      <top style="hair">
        <color auto="1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double">
        <color theme="4" tint="-0.24994659260841701"/>
      </top>
      <bottom style="thin">
        <color indexed="64"/>
      </bottom>
      <diagonal/>
    </border>
    <border>
      <left/>
      <right/>
      <top style="double">
        <color theme="4" tint="-0.24994659260841701"/>
      </top>
      <bottom style="thin">
        <color indexed="64"/>
      </bottom>
      <diagonal/>
    </border>
    <border>
      <left/>
      <right style="thin">
        <color indexed="64"/>
      </right>
      <top style="double">
        <color theme="4" tint="-0.24994659260841701"/>
      </top>
      <bottom style="thin">
        <color indexed="64"/>
      </bottom>
      <diagonal/>
    </border>
  </borders>
  <cellStyleXfs count="7">
    <xf numFmtId="0" fontId="0" fillId="0" borderId="0"/>
    <xf numFmtId="0" fontId="3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/>
  </cellStyleXfs>
  <cellXfs count="736">
    <xf numFmtId="0" fontId="0" fillId="0" borderId="0" xfId="0"/>
    <xf numFmtId="0" fontId="11" fillId="0" borderId="0" xfId="0" applyFont="1"/>
    <xf numFmtId="49" fontId="11" fillId="9" borderId="21" xfId="0" applyNumberFormat="1" applyFont="1" applyFill="1" applyBorder="1" applyAlignment="1" applyProtection="1">
      <alignment horizontal="left" vertical="center"/>
      <protection locked="0"/>
    </xf>
    <xf numFmtId="0" fontId="0" fillId="8" borderId="22" xfId="0" applyFill="1" applyBorder="1"/>
    <xf numFmtId="2" fontId="11" fillId="10" borderId="21" xfId="0" applyNumberFormat="1" applyFont="1" applyFill="1" applyBorder="1" applyAlignment="1">
      <alignment horizontal="center" vertical="center"/>
    </xf>
    <xf numFmtId="0" fontId="11" fillId="8" borderId="0" xfId="0" applyFont="1" applyFill="1" applyAlignment="1">
      <alignment horizontal="center" vertical="center"/>
    </xf>
    <xf numFmtId="0" fontId="19" fillId="5" borderId="0" xfId="0" applyNumberFormat="1" applyFont="1" applyFill="1" applyAlignment="1">
      <alignment shrinkToFit="1"/>
    </xf>
    <xf numFmtId="0" fontId="10" fillId="6" borderId="0" xfId="0" applyFont="1" applyFill="1" applyBorder="1" applyAlignment="1">
      <alignment horizontal="center" vertical="top" wrapText="1"/>
    </xf>
    <xf numFmtId="0" fontId="10" fillId="6" borderId="0" xfId="0" applyFont="1" applyFill="1" applyBorder="1" applyAlignment="1">
      <alignment horizontal="center" vertical="top"/>
    </xf>
    <xf numFmtId="0" fontId="10" fillId="11" borderId="0" xfId="0" applyFont="1" applyFill="1" applyBorder="1" applyAlignment="1">
      <alignment horizontal="left" vertical="top"/>
    </xf>
    <xf numFmtId="1" fontId="11" fillId="10" borderId="21" xfId="0" applyNumberFormat="1" applyFont="1" applyFill="1" applyBorder="1" applyAlignment="1">
      <alignment horizontal="center" vertical="center"/>
    </xf>
    <xf numFmtId="0" fontId="11" fillId="8" borderId="0" xfId="0" applyFont="1" applyFill="1" applyBorder="1" applyAlignment="1">
      <alignment horizontal="center" vertical="center"/>
    </xf>
    <xf numFmtId="0" fontId="9" fillId="15" borderId="0" xfId="0" applyFont="1" applyFill="1" applyBorder="1" applyAlignment="1">
      <alignment horizontal="center" vertical="top" wrapText="1"/>
    </xf>
    <xf numFmtId="2" fontId="11" fillId="10" borderId="21" xfId="0" applyNumberFormat="1" applyFont="1" applyFill="1" applyBorder="1" applyAlignment="1">
      <alignment horizontal="left" vertical="center"/>
    </xf>
    <xf numFmtId="0" fontId="9" fillId="11" borderId="0" xfId="0" applyNumberFormat="1" applyFont="1" applyFill="1" applyBorder="1" applyAlignment="1">
      <alignment horizontal="center" vertical="top" wrapText="1"/>
    </xf>
    <xf numFmtId="165" fontId="11" fillId="9" borderId="21" xfId="0" applyNumberFormat="1" applyFont="1" applyFill="1" applyBorder="1" applyAlignment="1" applyProtection="1">
      <alignment horizontal="left" vertical="center"/>
      <protection locked="0"/>
    </xf>
    <xf numFmtId="0" fontId="10" fillId="7" borderId="0" xfId="0" applyFont="1" applyFill="1" applyAlignment="1">
      <alignment horizontal="center" vertical="top"/>
    </xf>
    <xf numFmtId="0" fontId="11" fillId="9" borderId="22" xfId="0" applyFont="1" applyFill="1" applyBorder="1" applyAlignment="1">
      <alignment vertical="top"/>
    </xf>
    <xf numFmtId="0" fontId="11" fillId="12" borderId="21" xfId="0" applyFont="1" applyFill="1" applyBorder="1" applyAlignment="1">
      <alignment vertical="top"/>
    </xf>
    <xf numFmtId="0" fontId="11" fillId="12" borderId="22" xfId="0" applyFont="1" applyFill="1" applyBorder="1" applyAlignment="1">
      <alignment vertical="top"/>
    </xf>
    <xf numFmtId="0" fontId="10" fillId="7" borderId="0" xfId="0" applyFont="1" applyFill="1" applyAlignment="1">
      <alignment horizontal="center" vertical="top" wrapText="1"/>
    </xf>
    <xf numFmtId="0" fontId="11" fillId="9" borderId="21" xfId="0" applyFont="1" applyFill="1" applyBorder="1" applyAlignment="1">
      <alignment vertical="top"/>
    </xf>
    <xf numFmtId="0" fontId="11" fillId="0" borderId="0" xfId="0" applyFont="1" applyAlignment="1">
      <alignment vertical="top"/>
    </xf>
    <xf numFmtId="0" fontId="10" fillId="11" borderId="0" xfId="0" applyFont="1" applyFill="1" applyAlignment="1">
      <alignment horizontal="center" vertical="top"/>
    </xf>
    <xf numFmtId="0" fontId="12" fillId="12" borderId="21" xfId="0" applyFont="1" applyFill="1" applyBorder="1" applyAlignment="1">
      <alignment vertical="top"/>
    </xf>
    <xf numFmtId="49" fontId="11" fillId="9" borderId="21" xfId="0" applyNumberFormat="1" applyFont="1" applyFill="1" applyBorder="1" applyAlignment="1">
      <alignment horizontal="left" vertical="top"/>
    </xf>
    <xf numFmtId="0" fontId="13" fillId="9" borderId="15" xfId="0" applyFont="1" applyFill="1" applyBorder="1" applyAlignment="1">
      <alignment horizontal="center" vertical="top"/>
    </xf>
    <xf numFmtId="0" fontId="12" fillId="12" borderId="22" xfId="0" applyFont="1" applyFill="1" applyBorder="1" applyAlignment="1">
      <alignment vertical="top"/>
    </xf>
    <xf numFmtId="0" fontId="10" fillId="11" borderId="0" xfId="0" applyFont="1" applyFill="1" applyBorder="1" applyAlignment="1">
      <alignment horizontal="center" vertical="top"/>
    </xf>
    <xf numFmtId="0" fontId="10" fillId="2" borderId="0" xfId="0" applyFont="1" applyFill="1" applyBorder="1" applyAlignment="1">
      <alignment horizontal="center" vertical="top" wrapText="1"/>
    </xf>
    <xf numFmtId="0" fontId="22" fillId="0" borderId="0" xfId="0" applyFont="1" applyAlignment="1">
      <alignment vertical="top"/>
    </xf>
    <xf numFmtId="0" fontId="11" fillId="5" borderId="0" xfId="0" applyNumberFormat="1" applyFont="1" applyFill="1" applyAlignment="1">
      <alignment horizontal="center" shrinkToFit="1"/>
    </xf>
    <xf numFmtId="1" fontId="11" fillId="10" borderId="21" xfId="0" applyNumberFormat="1" applyFont="1" applyFill="1" applyBorder="1" applyAlignment="1">
      <alignment horizontal="left" vertical="center"/>
    </xf>
    <xf numFmtId="0" fontId="11" fillId="10" borderId="21" xfId="0" applyNumberFormat="1" applyFont="1" applyFill="1" applyBorder="1" applyAlignment="1" applyProtection="1">
      <alignment horizontal="left" vertical="top"/>
    </xf>
    <xf numFmtId="49" fontId="11" fillId="10" borderId="21" xfId="0" applyNumberFormat="1" applyFont="1" applyFill="1" applyBorder="1" applyAlignment="1" applyProtection="1">
      <alignment horizontal="center" vertical="top"/>
    </xf>
    <xf numFmtId="1" fontId="11" fillId="10" borderId="21" xfId="0" applyNumberFormat="1" applyFont="1" applyFill="1" applyBorder="1" applyAlignment="1" applyProtection="1">
      <alignment horizontal="center" vertical="top"/>
    </xf>
    <xf numFmtId="0" fontId="11" fillId="10" borderId="21" xfId="0" applyNumberFormat="1" applyFont="1" applyFill="1" applyBorder="1" applyAlignment="1" applyProtection="1">
      <alignment horizontal="center" vertical="top"/>
    </xf>
    <xf numFmtId="4" fontId="11" fillId="10" borderId="21" xfId="0" applyNumberFormat="1" applyFont="1" applyFill="1" applyBorder="1" applyAlignment="1" applyProtection="1">
      <alignment horizontal="right" vertical="top"/>
    </xf>
    <xf numFmtId="3" fontId="11" fillId="10" borderId="21" xfId="0" applyNumberFormat="1" applyFont="1" applyFill="1" applyBorder="1" applyAlignment="1" applyProtection="1">
      <alignment horizontal="center" vertical="top"/>
    </xf>
    <xf numFmtId="4" fontId="11" fillId="10" borderId="21" xfId="0" applyNumberFormat="1" applyFont="1" applyFill="1" applyBorder="1" applyAlignment="1" applyProtection="1">
      <alignment horizontal="left" vertical="top"/>
    </xf>
    <xf numFmtId="0" fontId="8" fillId="8" borderId="22" xfId="0" applyFont="1" applyFill="1" applyBorder="1"/>
    <xf numFmtId="0" fontId="8" fillId="9" borderId="22" xfId="0" applyFont="1" applyFill="1" applyBorder="1"/>
    <xf numFmtId="0" fontId="8" fillId="24" borderId="22" xfId="0" applyFont="1" applyFill="1" applyBorder="1"/>
    <xf numFmtId="0" fontId="11" fillId="0" borderId="0" xfId="0" applyFont="1" applyProtection="1">
      <protection locked="0"/>
    </xf>
    <xf numFmtId="49" fontId="11" fillId="0" borderId="0" xfId="0" applyNumberFormat="1" applyFont="1" applyProtection="1">
      <protection locked="0"/>
    </xf>
    <xf numFmtId="168" fontId="11" fillId="0" borderId="0" xfId="0" applyNumberFormat="1" applyFont="1" applyProtection="1">
      <protection locked="0"/>
    </xf>
    <xf numFmtId="4" fontId="11" fillId="0" borderId="0" xfId="0" applyNumberFormat="1" applyFont="1" applyProtection="1">
      <protection locked="0"/>
    </xf>
    <xf numFmtId="169" fontId="11" fillId="0" borderId="0" xfId="0" applyNumberFormat="1" applyFont="1" applyProtection="1">
      <protection locked="0"/>
    </xf>
    <xf numFmtId="49" fontId="11" fillId="8" borderId="0" xfId="0" applyNumberFormat="1" applyFont="1" applyFill="1" applyAlignment="1" applyProtection="1">
      <alignment horizontal="center" vertical="center"/>
    </xf>
    <xf numFmtId="49" fontId="16" fillId="7" borderId="23" xfId="0" applyNumberFormat="1" applyFont="1" applyFill="1" applyBorder="1" applyAlignment="1" applyProtection="1">
      <alignment horizontal="center" vertical="top" wrapText="1"/>
    </xf>
    <xf numFmtId="49" fontId="16" fillId="16" borderId="23" xfId="0" applyNumberFormat="1" applyFont="1" applyFill="1" applyBorder="1" applyAlignment="1" applyProtection="1">
      <alignment horizontal="center" vertical="top" wrapText="1"/>
    </xf>
    <xf numFmtId="49" fontId="12" fillId="14" borderId="23" xfId="0" applyNumberFormat="1" applyFont="1" applyFill="1" applyBorder="1" applyAlignment="1" applyProtection="1">
      <alignment horizontal="center" vertical="top" wrapText="1"/>
    </xf>
    <xf numFmtId="0" fontId="16" fillId="16" borderId="23" xfId="0" applyFont="1" applyFill="1" applyBorder="1" applyAlignment="1" applyProtection="1">
      <alignment horizontal="center" vertical="top" wrapText="1"/>
    </xf>
    <xf numFmtId="168" fontId="16" fillId="16" borderId="23" xfId="0" applyNumberFormat="1" applyFont="1" applyFill="1" applyBorder="1" applyAlignment="1" applyProtection="1">
      <alignment horizontal="center" vertical="top" wrapText="1"/>
    </xf>
    <xf numFmtId="4" fontId="16" fillId="16" borderId="23" xfId="0" applyNumberFormat="1" applyFont="1" applyFill="1" applyBorder="1" applyAlignment="1" applyProtection="1">
      <alignment horizontal="center" vertical="top" wrapText="1"/>
    </xf>
    <xf numFmtId="169" fontId="16" fillId="16" borderId="23" xfId="0" applyNumberFormat="1" applyFont="1" applyFill="1" applyBorder="1" applyAlignment="1" applyProtection="1">
      <alignment horizontal="center" vertical="top" wrapText="1"/>
    </xf>
    <xf numFmtId="49" fontId="11" fillId="9" borderId="21" xfId="0" applyNumberFormat="1" applyFont="1" applyFill="1" applyBorder="1" applyAlignment="1" applyProtection="1">
      <alignment horizontal="left" vertical="top" wrapText="1"/>
      <protection locked="0"/>
    </xf>
    <xf numFmtId="49" fontId="11" fillId="12" borderId="21" xfId="0" applyNumberFormat="1" applyFont="1" applyFill="1" applyBorder="1" applyAlignment="1">
      <alignment horizontal="center" vertical="top"/>
    </xf>
    <xf numFmtId="49" fontId="11" fillId="12" borderId="22" xfId="0" applyNumberFormat="1" applyFont="1" applyFill="1" applyBorder="1" applyAlignment="1">
      <alignment horizontal="center" vertical="top"/>
    </xf>
    <xf numFmtId="0" fontId="12" fillId="12" borderId="22" xfId="0" applyFont="1" applyFill="1" applyBorder="1" applyAlignment="1">
      <alignment horizontal="center" vertical="top"/>
    </xf>
    <xf numFmtId="0" fontId="5" fillId="0" borderId="0" xfId="0" applyFont="1" applyAlignment="1">
      <alignment vertical="top"/>
    </xf>
    <xf numFmtId="0" fontId="4" fillId="0" borderId="5" xfId="0" applyFont="1" applyBorder="1" applyAlignment="1">
      <alignment vertical="top"/>
    </xf>
    <xf numFmtId="0" fontId="24" fillId="0" borderId="5" xfId="0" applyFont="1" applyBorder="1" applyAlignment="1">
      <alignment horizontal="center" vertical="top"/>
    </xf>
    <xf numFmtId="0" fontId="5" fillId="0" borderId="5" xfId="0" applyFont="1" applyBorder="1" applyAlignment="1">
      <alignment vertical="top"/>
    </xf>
    <xf numFmtId="0" fontId="6" fillId="0" borderId="0" xfId="0" applyFont="1" applyAlignment="1">
      <alignment vertical="top"/>
    </xf>
    <xf numFmtId="0" fontId="4" fillId="0" borderId="0" xfId="0" applyFont="1" applyAlignment="1">
      <alignment vertical="top"/>
    </xf>
    <xf numFmtId="0" fontId="5" fillId="0" borderId="17" xfId="0" applyFont="1" applyBorder="1" applyAlignment="1">
      <alignment vertical="top"/>
    </xf>
    <xf numFmtId="0" fontId="5" fillId="0" borderId="2" xfId="0" applyFont="1" applyBorder="1" applyAlignment="1">
      <alignment vertical="top"/>
    </xf>
    <xf numFmtId="0" fontId="5" fillId="0" borderId="11" xfId="0" applyFont="1" applyBorder="1" applyAlignment="1">
      <alignment vertical="top"/>
    </xf>
    <xf numFmtId="0" fontId="5" fillId="0" borderId="12" xfId="0" applyFont="1" applyBorder="1" applyAlignment="1">
      <alignment vertical="top"/>
    </xf>
    <xf numFmtId="0" fontId="5" fillId="0" borderId="0" xfId="0" applyFont="1" applyBorder="1" applyAlignment="1">
      <alignment vertical="top"/>
    </xf>
    <xf numFmtId="0" fontId="5" fillId="0" borderId="19" xfId="0" applyFont="1" applyBorder="1" applyAlignment="1">
      <alignment vertical="top"/>
    </xf>
    <xf numFmtId="0" fontId="5" fillId="0" borderId="43" xfId="0" applyFont="1" applyBorder="1" applyAlignment="1">
      <alignment horizontal="center" vertical="top"/>
    </xf>
    <xf numFmtId="0" fontId="5" fillId="0" borderId="0" xfId="0" applyFont="1" applyFill="1" applyBorder="1" applyAlignment="1">
      <alignment vertical="top"/>
    </xf>
    <xf numFmtId="165" fontId="5" fillId="0" borderId="0" xfId="0" applyNumberFormat="1" applyFont="1" applyBorder="1" applyAlignment="1">
      <alignment vertical="top"/>
    </xf>
    <xf numFmtId="0" fontId="20" fillId="0" borderId="0" xfId="0" applyFont="1" applyBorder="1" applyAlignment="1">
      <alignment horizontal="right" vertical="top"/>
    </xf>
    <xf numFmtId="0" fontId="5" fillId="0" borderId="17" xfId="0" applyFont="1" applyFill="1" applyBorder="1" applyAlignment="1">
      <alignment vertical="top"/>
    </xf>
    <xf numFmtId="0" fontId="17" fillId="8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5" fillId="0" borderId="0" xfId="0" applyFont="1" applyBorder="1" applyAlignment="1">
      <alignment vertical="top" wrapText="1"/>
    </xf>
    <xf numFmtId="0" fontId="11" fillId="9" borderId="21" xfId="0" applyNumberFormat="1" applyFont="1" applyFill="1" applyBorder="1" applyAlignment="1" applyProtection="1">
      <alignment horizontal="left" vertical="top"/>
    </xf>
    <xf numFmtId="2" fontId="11" fillId="10" borderId="21" xfId="0" applyNumberFormat="1" applyFont="1" applyFill="1" applyBorder="1" applyAlignment="1">
      <alignment horizontal="right" vertical="center"/>
    </xf>
    <xf numFmtId="0" fontId="9" fillId="11" borderId="0" xfId="0" applyFont="1" applyFill="1" applyAlignment="1">
      <alignment horizontal="center" vertical="top"/>
    </xf>
    <xf numFmtId="1" fontId="11" fillId="9" borderId="21" xfId="0" applyNumberFormat="1" applyFont="1" applyFill="1" applyBorder="1" applyAlignment="1" applyProtection="1">
      <alignment horizontal="center" vertical="top"/>
      <protection locked="0"/>
    </xf>
    <xf numFmtId="0" fontId="5" fillId="9" borderId="0" xfId="0" applyFont="1" applyFill="1" applyAlignment="1" applyProtection="1">
      <alignment vertical="top"/>
      <protection locked="0"/>
    </xf>
    <xf numFmtId="3" fontId="11" fillId="8" borderId="0" xfId="0" applyNumberFormat="1" applyFont="1" applyFill="1" applyAlignment="1">
      <alignment horizontal="center" vertical="center"/>
    </xf>
    <xf numFmtId="1" fontId="11" fillId="37" borderId="0" xfId="0" applyNumberFormat="1" applyFont="1" applyFill="1" applyAlignment="1">
      <alignment horizontal="center" vertical="center"/>
    </xf>
    <xf numFmtId="4" fontId="12" fillId="37" borderId="0" xfId="0" applyNumberFormat="1" applyFont="1" applyFill="1" applyAlignment="1">
      <alignment shrinkToFit="1"/>
    </xf>
    <xf numFmtId="49" fontId="9" fillId="15" borderId="0" xfId="0" applyNumberFormat="1" applyFont="1" applyFill="1" applyBorder="1" applyAlignment="1">
      <alignment horizontal="center" vertical="top" wrapText="1"/>
    </xf>
    <xf numFmtId="49" fontId="0" fillId="0" borderId="0" xfId="0" applyNumberFormat="1"/>
    <xf numFmtId="1" fontId="16" fillId="16" borderId="23" xfId="0" applyNumberFormat="1" applyFont="1" applyFill="1" applyBorder="1" applyAlignment="1" applyProtection="1">
      <alignment horizontal="center" vertical="top"/>
    </xf>
    <xf numFmtId="1" fontId="11" fillId="0" borderId="0" xfId="0" applyNumberFormat="1" applyFont="1" applyProtection="1">
      <protection locked="0"/>
    </xf>
    <xf numFmtId="164" fontId="5" fillId="0" borderId="0" xfId="0" applyNumberFormat="1" applyFont="1" applyAlignment="1">
      <alignment vertical="top"/>
    </xf>
    <xf numFmtId="4" fontId="5" fillId="0" borderId="0" xfId="0" applyNumberFormat="1" applyFont="1" applyAlignment="1">
      <alignment vertical="top"/>
    </xf>
    <xf numFmtId="49" fontId="16" fillId="23" borderId="23" xfId="0" applyNumberFormat="1" applyFont="1" applyFill="1" applyBorder="1" applyAlignment="1" applyProtection="1">
      <alignment horizontal="center" vertical="top"/>
    </xf>
    <xf numFmtId="0" fontId="11" fillId="0" borderId="0" xfId="0" applyFont="1" applyAlignment="1" applyProtection="1">
      <alignment horizontal="center" vertical="top"/>
      <protection locked="0"/>
    </xf>
    <xf numFmtId="0" fontId="18" fillId="0" borderId="0" xfId="0" applyFont="1" applyAlignment="1">
      <alignment vertical="top"/>
    </xf>
    <xf numFmtId="0" fontId="16" fillId="22" borderId="23" xfId="0" applyFont="1" applyFill="1" applyBorder="1" applyAlignment="1" applyProtection="1">
      <alignment horizontal="center" vertical="top"/>
    </xf>
    <xf numFmtId="0" fontId="16" fillId="23" borderId="23" xfId="0" applyFont="1" applyFill="1" applyBorder="1" applyAlignment="1" applyProtection="1">
      <alignment horizontal="center" vertical="top"/>
    </xf>
    <xf numFmtId="0" fontId="16" fillId="23" borderId="43" xfId="0" applyFont="1" applyFill="1" applyBorder="1" applyAlignment="1" applyProtection="1">
      <alignment horizontal="center" vertical="top"/>
    </xf>
    <xf numFmtId="0" fontId="16" fillId="23" borderId="78" xfId="0" applyFont="1" applyFill="1" applyBorder="1" applyAlignment="1" applyProtection="1">
      <alignment horizontal="center" vertical="top"/>
    </xf>
    <xf numFmtId="4" fontId="16" fillId="23" borderId="23" xfId="0" applyNumberFormat="1" applyFont="1" applyFill="1" applyBorder="1" applyAlignment="1" applyProtection="1">
      <alignment horizontal="center" vertical="top"/>
    </xf>
    <xf numFmtId="167" fontId="16" fillId="23" borderId="23" xfId="0" applyNumberFormat="1" applyFont="1" applyFill="1" applyBorder="1" applyAlignment="1" applyProtection="1">
      <alignment horizontal="center" vertical="top"/>
    </xf>
    <xf numFmtId="167" fontId="16" fillId="23" borderId="78" xfId="0" applyNumberFormat="1" applyFont="1" applyFill="1" applyBorder="1" applyAlignment="1" applyProtection="1">
      <alignment horizontal="center" vertical="top"/>
    </xf>
    <xf numFmtId="0" fontId="33" fillId="0" borderId="0" xfId="0" applyFont="1" applyProtection="1">
      <protection locked="0"/>
    </xf>
    <xf numFmtId="0" fontId="34" fillId="0" borderId="0" xfId="0" applyFont="1"/>
    <xf numFmtId="0" fontId="34" fillId="0" borderId="0" xfId="0" applyFont="1" applyProtection="1"/>
    <xf numFmtId="0" fontId="36" fillId="0" borderId="0" xfId="0" applyFont="1" applyAlignment="1" applyProtection="1">
      <alignment horizontal="left" vertical="top"/>
    </xf>
    <xf numFmtId="0" fontId="39" fillId="0" borderId="0" xfId="0" applyFont="1" applyAlignment="1" applyProtection="1">
      <alignment horizontal="left" vertical="top"/>
    </xf>
    <xf numFmtId="0" fontId="40" fillId="0" borderId="0" xfId="0" applyFont="1" applyAlignment="1" applyProtection="1">
      <alignment vertical="top"/>
    </xf>
    <xf numFmtId="0" fontId="34" fillId="0" borderId="0" xfId="0" applyFont="1" applyAlignment="1" applyProtection="1">
      <alignment vertical="top"/>
    </xf>
    <xf numFmtId="0" fontId="43" fillId="0" borderId="0" xfId="0" applyFont="1" applyAlignment="1" applyProtection="1">
      <alignment vertical="center"/>
    </xf>
    <xf numFmtId="0" fontId="40" fillId="0" borderId="0" xfId="0" applyFont="1" applyAlignment="1" applyProtection="1">
      <alignment vertical="center"/>
    </xf>
    <xf numFmtId="0" fontId="46" fillId="3" borderId="3" xfId="1" applyFont="1" applyFill="1" applyBorder="1" applyAlignment="1" applyProtection="1">
      <alignment horizontal="left" vertical="center" wrapText="1" indent="1"/>
    </xf>
    <xf numFmtId="0" fontId="47" fillId="0" borderId="0" xfId="0" applyFont="1" applyProtection="1"/>
    <xf numFmtId="0" fontId="48" fillId="0" borderId="0" xfId="0" applyFont="1" applyProtection="1"/>
    <xf numFmtId="0" fontId="46" fillId="3" borderId="3" xfId="1" applyFont="1" applyFill="1" applyBorder="1" applyAlignment="1" applyProtection="1">
      <alignment horizontal="left" vertical="center" indent="1"/>
    </xf>
    <xf numFmtId="0" fontId="29" fillId="40" borderId="0" xfId="0" applyFont="1" applyFill="1" applyBorder="1" applyAlignment="1">
      <alignment horizontal="center" vertical="center"/>
    </xf>
    <xf numFmtId="0" fontId="50" fillId="40" borderId="0" xfId="0" applyFont="1" applyFill="1" applyBorder="1" applyAlignment="1">
      <alignment vertical="center"/>
    </xf>
    <xf numFmtId="0" fontId="51" fillId="40" borderId="0" xfId="0" applyFont="1" applyFill="1" applyBorder="1" applyAlignment="1"/>
    <xf numFmtId="0" fontId="52" fillId="40" borderId="0" xfId="0" applyFont="1" applyFill="1" applyBorder="1" applyAlignment="1">
      <alignment vertical="center"/>
    </xf>
    <xf numFmtId="0" fontId="53" fillId="40" borderId="0" xfId="0" applyFont="1" applyFill="1" applyBorder="1" applyAlignment="1">
      <alignment horizontal="left" vertical="center"/>
    </xf>
    <xf numFmtId="0" fontId="54" fillId="40" borderId="0" xfId="0" applyFont="1" applyFill="1" applyBorder="1" applyAlignment="1">
      <alignment vertical="center"/>
    </xf>
    <xf numFmtId="0" fontId="36" fillId="0" borderId="5" xfId="0" applyFont="1" applyBorder="1" applyAlignment="1">
      <alignment vertical="top"/>
    </xf>
    <xf numFmtId="37" fontId="44" fillId="40" borderId="1" xfId="1" applyNumberFormat="1" applyFont="1" applyFill="1" applyBorder="1" applyAlignment="1" applyProtection="1">
      <alignment horizontal="center" vertical="center"/>
    </xf>
    <xf numFmtId="0" fontId="18" fillId="41" borderId="37" xfId="0" applyFont="1" applyFill="1" applyBorder="1" applyAlignment="1">
      <alignment vertical="top"/>
    </xf>
    <xf numFmtId="0" fontId="18" fillId="41" borderId="0" xfId="0" applyFont="1" applyFill="1" applyBorder="1" applyAlignment="1">
      <alignment vertical="top"/>
    </xf>
    <xf numFmtId="0" fontId="5" fillId="41" borderId="37" xfId="0" applyFont="1" applyFill="1" applyBorder="1" applyAlignment="1">
      <alignment vertical="top"/>
    </xf>
    <xf numFmtId="0" fontId="5" fillId="41" borderId="0" xfId="0" applyFont="1" applyFill="1" applyBorder="1" applyAlignment="1">
      <alignment vertical="top"/>
    </xf>
    <xf numFmtId="0" fontId="5" fillId="41" borderId="41" xfId="0" applyFont="1" applyFill="1" applyBorder="1" applyAlignment="1">
      <alignment vertical="top"/>
    </xf>
    <xf numFmtId="0" fontId="5" fillId="41" borderId="42" xfId="0" applyFont="1" applyFill="1" applyBorder="1" applyAlignment="1">
      <alignment vertical="top"/>
    </xf>
    <xf numFmtId="0" fontId="5" fillId="0" borderId="18" xfId="0" applyFont="1" applyBorder="1" applyAlignment="1">
      <alignment vertical="top"/>
    </xf>
    <xf numFmtId="165" fontId="5" fillId="0" borderId="2" xfId="0" applyNumberFormat="1" applyFont="1" applyBorder="1" applyAlignment="1">
      <alignment vertical="top"/>
    </xf>
    <xf numFmtId="0" fontId="5" fillId="0" borderId="97" xfId="0" applyFont="1" applyBorder="1" applyAlignment="1">
      <alignment vertical="top"/>
    </xf>
    <xf numFmtId="0" fontId="5" fillId="0" borderId="98" xfId="0" applyFont="1" applyBorder="1" applyAlignment="1">
      <alignment vertical="top"/>
    </xf>
    <xf numFmtId="165" fontId="5" fillId="0" borderId="98" xfId="0" applyNumberFormat="1" applyFont="1" applyBorder="1" applyAlignment="1">
      <alignment vertical="top"/>
    </xf>
    <xf numFmtId="165" fontId="26" fillId="0" borderId="98" xfId="0" applyNumberFormat="1" applyFont="1" applyBorder="1" applyAlignment="1">
      <alignment vertical="top"/>
    </xf>
    <xf numFmtId="165" fontId="23" fillId="0" borderId="98" xfId="0" applyNumberFormat="1" applyFont="1" applyBorder="1" applyAlignment="1">
      <alignment horizontal="right" vertical="top"/>
    </xf>
    <xf numFmtId="0" fontId="56" fillId="0" borderId="14" xfId="0" applyFont="1" applyBorder="1" applyAlignment="1">
      <alignment vertical="top"/>
    </xf>
    <xf numFmtId="0" fontId="56" fillId="0" borderId="17" xfId="0" applyFont="1" applyBorder="1" applyAlignment="1">
      <alignment vertical="top"/>
    </xf>
    <xf numFmtId="166" fontId="57" fillId="3" borderId="4" xfId="2" applyNumberFormat="1" applyFont="1" applyFill="1" applyBorder="1" applyAlignment="1" applyProtection="1">
      <alignment horizontal="left" vertical="center" wrapText="1" indent="1"/>
    </xf>
    <xf numFmtId="0" fontId="40" fillId="0" borderId="0" xfId="0" applyFont="1" applyProtection="1"/>
    <xf numFmtId="49" fontId="11" fillId="37" borderId="21" xfId="0" applyNumberFormat="1" applyFont="1" applyFill="1" applyBorder="1" applyAlignment="1">
      <alignment horizontal="left" vertical="top"/>
    </xf>
    <xf numFmtId="49" fontId="11" fillId="37" borderId="22" xfId="0" applyNumberFormat="1" applyFont="1" applyFill="1" applyBorder="1" applyAlignment="1">
      <alignment vertical="top"/>
    </xf>
    <xf numFmtId="1" fontId="11" fillId="0" borderId="0" xfId="0" applyNumberFormat="1" applyFont="1" applyAlignment="1">
      <alignment horizontal="center" vertical="top"/>
    </xf>
    <xf numFmtId="1" fontId="10" fillId="6" borderId="0" xfId="0" applyNumberFormat="1" applyFont="1" applyFill="1" applyAlignment="1">
      <alignment horizontal="center" vertical="top"/>
    </xf>
    <xf numFmtId="0" fontId="10" fillId="6" borderId="0" xfId="0" applyFont="1" applyFill="1" applyAlignment="1">
      <alignment horizontal="center" vertical="top"/>
    </xf>
    <xf numFmtId="14" fontId="10" fillId="6" borderId="0" xfId="0" applyNumberFormat="1" applyFont="1" applyFill="1" applyAlignment="1">
      <alignment horizontal="center" vertical="top"/>
    </xf>
    <xf numFmtId="14" fontId="11" fillId="0" borderId="0" xfId="0" applyNumberFormat="1" applyFont="1" applyAlignment="1">
      <alignment vertical="top"/>
    </xf>
    <xf numFmtId="0" fontId="11" fillId="0" borderId="0" xfId="0" applyFont="1" applyAlignment="1">
      <alignment horizontal="center" vertical="top"/>
    </xf>
    <xf numFmtId="0" fontId="11" fillId="9" borderId="0" xfId="0" applyFont="1" applyFill="1" applyAlignment="1">
      <alignment vertical="top"/>
    </xf>
    <xf numFmtId="1" fontId="11" fillId="9" borderId="22" xfId="0" applyNumberFormat="1" applyFont="1" applyFill="1" applyBorder="1" applyAlignment="1">
      <alignment horizontal="center" vertical="top"/>
    </xf>
    <xf numFmtId="0" fontId="11" fillId="9" borderId="22" xfId="0" applyFont="1" applyFill="1" applyBorder="1" applyAlignment="1">
      <alignment horizontal="center" vertical="top"/>
    </xf>
    <xf numFmtId="14" fontId="11" fillId="9" borderId="22" xfId="0" applyNumberFormat="1" applyFont="1" applyFill="1" applyBorder="1" applyAlignment="1">
      <alignment vertical="top"/>
    </xf>
    <xf numFmtId="0" fontId="13" fillId="8" borderId="0" xfId="0" applyFont="1" applyFill="1" applyAlignment="1">
      <alignment horizontal="center" vertical="center"/>
    </xf>
    <xf numFmtId="0" fontId="11" fillId="42" borderId="0" xfId="0" applyFont="1" applyFill="1" applyAlignment="1">
      <alignment vertical="top"/>
    </xf>
    <xf numFmtId="0" fontId="11" fillId="13" borderId="0" xfId="0" applyFont="1" applyFill="1" applyAlignment="1">
      <alignment vertical="top"/>
    </xf>
    <xf numFmtId="49" fontId="10" fillId="6" borderId="0" xfId="0" applyNumberFormat="1" applyFont="1" applyFill="1" applyAlignment="1">
      <alignment horizontal="center" vertical="top"/>
    </xf>
    <xf numFmtId="0" fontId="58" fillId="9" borderId="0" xfId="0" applyFont="1" applyFill="1" applyAlignment="1">
      <alignment vertical="top"/>
    </xf>
    <xf numFmtId="49" fontId="11" fillId="9" borderId="22" xfId="0" applyNumberFormat="1" applyFont="1" applyFill="1" applyBorder="1" applyAlignment="1">
      <alignment horizontal="center" vertical="top"/>
    </xf>
    <xf numFmtId="49" fontId="11" fillId="0" borderId="0" xfId="0" applyNumberFormat="1" applyFont="1" applyAlignment="1">
      <alignment horizontal="center" vertical="top"/>
    </xf>
    <xf numFmtId="0" fontId="49" fillId="40" borderId="0" xfId="0" applyFont="1" applyFill="1" applyBorder="1" applyAlignment="1">
      <alignment horizontal="left" vertical="center"/>
    </xf>
    <xf numFmtId="0" fontId="59" fillId="40" borderId="0" xfId="0" applyFont="1" applyFill="1" applyBorder="1" applyAlignment="1">
      <alignment horizontal="left"/>
    </xf>
    <xf numFmtId="0" fontId="60" fillId="40" borderId="0" xfId="0" applyFont="1" applyFill="1" applyBorder="1" applyAlignment="1">
      <alignment vertical="center"/>
    </xf>
    <xf numFmtId="0" fontId="61" fillId="40" borderId="0" xfId="0" applyFont="1" applyFill="1" applyBorder="1"/>
    <xf numFmtId="0" fontId="62" fillId="0" borderId="0" xfId="0" applyFont="1" applyFill="1" applyAlignment="1">
      <alignment horizontal="right" vertical="top"/>
    </xf>
    <xf numFmtId="0" fontId="62" fillId="0" borderId="0" xfId="0" applyFont="1" applyFill="1" applyAlignment="1">
      <alignment vertical="top"/>
    </xf>
    <xf numFmtId="0" fontId="63" fillId="0" borderId="0" xfId="0" applyFont="1" applyAlignment="1">
      <alignment vertical="center"/>
    </xf>
    <xf numFmtId="0" fontId="61" fillId="0" borderId="0" xfId="0" applyFont="1" applyFill="1" applyBorder="1" applyAlignment="1"/>
    <xf numFmtId="0" fontId="61" fillId="29" borderId="6" xfId="0" applyFont="1" applyFill="1" applyBorder="1" applyAlignment="1">
      <alignment horizontal="left" vertical="top"/>
    </xf>
    <xf numFmtId="0" fontId="61" fillId="0" borderId="43" xfId="0" applyFont="1" applyBorder="1" applyAlignment="1" applyProtection="1">
      <alignment vertical="top"/>
      <protection locked="0"/>
    </xf>
    <xf numFmtId="0" fontId="46" fillId="29" borderId="9" xfId="0" applyFont="1" applyFill="1" applyBorder="1" applyAlignment="1">
      <alignment vertical="top"/>
    </xf>
    <xf numFmtId="164" fontId="65" fillId="20" borderId="10" xfId="0" applyNumberFormat="1" applyFont="1" applyFill="1" applyBorder="1" applyAlignment="1" applyProtection="1">
      <alignment horizontal="right"/>
    </xf>
    <xf numFmtId="0" fontId="61" fillId="29" borderId="20" xfId="0" applyFont="1" applyFill="1" applyBorder="1" applyAlignment="1">
      <alignment horizontal="left" vertical="top" shrinkToFit="1"/>
    </xf>
    <xf numFmtId="0" fontId="61" fillId="34" borderId="17" xfId="0" applyFont="1" applyFill="1" applyBorder="1" applyAlignment="1">
      <alignment horizontal="left" vertical="top" indent="1"/>
    </xf>
    <xf numFmtId="164" fontId="61" fillId="20" borderId="2" xfId="0" applyNumberFormat="1" applyFont="1" applyFill="1" applyBorder="1" applyAlignment="1" applyProtection="1">
      <alignment horizontal="right"/>
    </xf>
    <xf numFmtId="0" fontId="61" fillId="0" borderId="0" xfId="0" applyFont="1" applyBorder="1" applyAlignment="1">
      <alignment horizontal="left"/>
    </xf>
    <xf numFmtId="0" fontId="61" fillId="29" borderId="13" xfId="0" applyFont="1" applyFill="1" applyBorder="1" applyAlignment="1">
      <alignment horizontal="left" vertical="top"/>
    </xf>
    <xf numFmtId="0" fontId="61" fillId="0" borderId="43" xfId="0" applyFont="1" applyFill="1" applyBorder="1" applyAlignment="1" applyProtection="1">
      <alignment horizontal="center" vertical="top"/>
      <protection locked="0"/>
    </xf>
    <xf numFmtId="1" fontId="61" fillId="0" borderId="0" xfId="0" applyNumberFormat="1" applyFont="1" applyFill="1" applyBorder="1" applyAlignment="1" applyProtection="1">
      <alignment horizontal="center" vertical="top"/>
      <protection locked="0"/>
    </xf>
    <xf numFmtId="49" fontId="61" fillId="0" borderId="15" xfId="0" applyNumberFormat="1" applyFont="1" applyBorder="1" applyAlignment="1" applyProtection="1">
      <alignment horizontal="center" vertical="center" shrinkToFit="1"/>
      <protection locked="0"/>
    </xf>
    <xf numFmtId="0" fontId="61" fillId="34" borderId="11" xfId="0" applyFont="1" applyFill="1" applyBorder="1" applyAlignment="1">
      <alignment horizontal="left" vertical="top" indent="1"/>
    </xf>
    <xf numFmtId="164" fontId="61" fillId="20" borderId="12" xfId="0" applyNumberFormat="1" applyFont="1" applyFill="1" applyBorder="1" applyAlignment="1" applyProtection="1">
      <alignment horizontal="right"/>
    </xf>
    <xf numFmtId="0" fontId="61" fillId="0" borderId="8" xfId="0" applyFont="1" applyBorder="1" applyAlignment="1" applyProtection="1">
      <alignment vertical="top" shrinkToFit="1"/>
      <protection locked="0"/>
    </xf>
    <xf numFmtId="0" fontId="61" fillId="29" borderId="14" xfId="0" applyFont="1" applyFill="1" applyBorder="1" applyAlignment="1">
      <alignment vertical="top"/>
    </xf>
    <xf numFmtId="164" fontId="61" fillId="0" borderId="43" xfId="0" applyNumberFormat="1" applyFont="1" applyFill="1" applyBorder="1" applyAlignment="1" applyProtection="1">
      <alignment horizontal="right"/>
      <protection locked="0"/>
    </xf>
    <xf numFmtId="0" fontId="61" fillId="29" borderId="20" xfId="0" applyFont="1" applyFill="1" applyBorder="1" applyAlignment="1">
      <alignment horizontal="left" vertical="top"/>
    </xf>
    <xf numFmtId="0" fontId="61" fillId="29" borderId="17" xfId="0" applyFont="1" applyFill="1" applyBorder="1" applyAlignment="1">
      <alignment vertical="top"/>
    </xf>
    <xf numFmtId="0" fontId="61" fillId="29" borderId="11" xfId="0" applyFont="1" applyFill="1" applyBorder="1" applyAlignment="1">
      <alignment vertical="top"/>
    </xf>
    <xf numFmtId="0" fontId="61" fillId="0" borderId="0" xfId="0" applyFont="1" applyFill="1" applyBorder="1"/>
    <xf numFmtId="0" fontId="39" fillId="29" borderId="74" xfId="0" applyFont="1" applyFill="1" applyBorder="1" applyAlignment="1">
      <alignment horizontal="center"/>
    </xf>
    <xf numFmtId="0" fontId="39" fillId="29" borderId="8" xfId="0" applyFont="1" applyFill="1" applyBorder="1" applyAlignment="1">
      <alignment horizontal="center"/>
    </xf>
    <xf numFmtId="0" fontId="34" fillId="0" borderId="8" xfId="0" applyFont="1" applyBorder="1" applyAlignment="1" applyProtection="1">
      <protection locked="0"/>
    </xf>
    <xf numFmtId="0" fontId="39" fillId="29" borderId="43" xfId="0" applyFont="1" applyFill="1" applyBorder="1" applyAlignment="1">
      <alignment vertical="top"/>
    </xf>
    <xf numFmtId="164" fontId="64" fillId="20" borderId="43" xfId="0" applyNumberFormat="1" applyFont="1" applyFill="1" applyBorder="1" applyAlignment="1" applyProtection="1">
      <alignment horizontal="right" vertical="top"/>
    </xf>
    <xf numFmtId="0" fontId="34" fillId="29" borderId="6" xfId="0" applyFont="1" applyFill="1" applyBorder="1" applyAlignment="1" applyProtection="1">
      <alignment shrinkToFit="1"/>
    </xf>
    <xf numFmtId="164" fontId="61" fillId="20" borderId="6" xfId="0" applyNumberFormat="1" applyFont="1" applyFill="1" applyBorder="1" applyAlignment="1" applyProtection="1">
      <alignment horizontal="right"/>
    </xf>
    <xf numFmtId="0" fontId="61" fillId="29" borderId="14" xfId="0" applyFont="1" applyFill="1" applyBorder="1" applyAlignment="1">
      <alignment horizontal="left" vertical="top"/>
    </xf>
    <xf numFmtId="49" fontId="61" fillId="0" borderId="43" xfId="0" applyNumberFormat="1" applyFont="1" applyFill="1" applyBorder="1" applyAlignment="1" applyProtection="1">
      <alignment horizontal="center" vertical="top"/>
      <protection locked="0"/>
    </xf>
    <xf numFmtId="0" fontId="34" fillId="29" borderId="20" xfId="0" applyFont="1" applyFill="1" applyBorder="1" applyAlignment="1" applyProtection="1">
      <alignment shrinkToFit="1"/>
    </xf>
    <xf numFmtId="164" fontId="61" fillId="20" borderId="20" xfId="0" applyNumberFormat="1" applyFont="1" applyFill="1" applyBorder="1" applyAlignment="1" applyProtection="1">
      <alignment horizontal="right"/>
    </xf>
    <xf numFmtId="0" fontId="61" fillId="29" borderId="17" xfId="0" applyFont="1" applyFill="1" applyBorder="1" applyAlignment="1">
      <alignment horizontal="left" vertical="top"/>
    </xf>
    <xf numFmtId="1" fontId="61" fillId="0" borderId="43" xfId="0" applyNumberFormat="1" applyFont="1" applyFill="1" applyBorder="1" applyAlignment="1" applyProtection="1">
      <alignment horizontal="center" vertical="top"/>
      <protection locked="0"/>
    </xf>
    <xf numFmtId="0" fontId="61" fillId="29" borderId="11" xfId="0" applyFont="1" applyFill="1" applyBorder="1" applyAlignment="1">
      <alignment horizontal="left" vertical="top"/>
    </xf>
    <xf numFmtId="0" fontId="61" fillId="0" borderId="15" xfId="0" applyFont="1" applyBorder="1" applyAlignment="1" applyProtection="1">
      <alignment vertical="top"/>
      <protection locked="0"/>
    </xf>
    <xf numFmtId="0" fontId="34" fillId="0" borderId="0" xfId="0" applyFont="1" applyFill="1"/>
    <xf numFmtId="0" fontId="66" fillId="29" borderId="6" xfId="0" applyFont="1" applyFill="1" applyBorder="1" applyAlignment="1">
      <alignment horizontal="left" vertical="top" shrinkToFit="1"/>
    </xf>
    <xf numFmtId="164" fontId="61" fillId="0" borderId="8" xfId="0" applyNumberFormat="1" applyFont="1" applyFill="1" applyBorder="1" applyAlignment="1" applyProtection="1">
      <alignment horizontal="center" vertical="top"/>
      <protection locked="0"/>
    </xf>
    <xf numFmtId="0" fontId="34" fillId="29" borderId="13" xfId="0" applyFont="1" applyFill="1" applyBorder="1" applyAlignment="1" applyProtection="1">
      <alignment shrinkToFit="1"/>
    </xf>
    <xf numFmtId="164" fontId="61" fillId="20" borderId="13" xfId="0" applyNumberFormat="1" applyFont="1" applyFill="1" applyBorder="1" applyAlignment="1" applyProtection="1">
      <alignment horizontal="right"/>
    </xf>
    <xf numFmtId="0" fontId="61" fillId="30" borderId="43" xfId="0" applyFont="1" applyFill="1" applyBorder="1" applyAlignment="1">
      <alignment horizontal="left" vertical="top"/>
    </xf>
    <xf numFmtId="3" fontId="61" fillId="29" borderId="16" xfId="0" applyNumberFormat="1" applyFont="1" applyFill="1" applyBorder="1" applyAlignment="1"/>
    <xf numFmtId="3" fontId="61" fillId="29" borderId="8" xfId="0" applyNumberFormat="1" applyFont="1" applyFill="1" applyBorder="1" applyAlignment="1"/>
    <xf numFmtId="0" fontId="72" fillId="0" borderId="0" xfId="0" applyFont="1" applyFill="1" applyProtection="1">
      <protection locked="0"/>
    </xf>
    <xf numFmtId="0" fontId="73" fillId="0" borderId="0" xfId="0" applyFont="1"/>
    <xf numFmtId="0" fontId="70" fillId="0" borderId="0" xfId="0" applyFont="1"/>
    <xf numFmtId="0" fontId="73" fillId="0" borderId="0" xfId="0" applyFont="1" applyAlignment="1">
      <alignment horizontal="center" vertical="center"/>
    </xf>
    <xf numFmtId="0" fontId="70" fillId="0" borderId="0" xfId="0" applyFont="1" applyFill="1"/>
    <xf numFmtId="0" fontId="74" fillId="0" borderId="0" xfId="0" applyFont="1" applyAlignment="1">
      <alignment vertical="center"/>
    </xf>
    <xf numFmtId="0" fontId="52" fillId="0" borderId="0" xfId="0" applyFont="1" applyAlignment="1">
      <alignment vertical="center"/>
    </xf>
    <xf numFmtId="0" fontId="52" fillId="0" borderId="0" xfId="0" applyFont="1" applyAlignment="1">
      <alignment horizontal="center" vertical="center"/>
    </xf>
    <xf numFmtId="0" fontId="75" fillId="0" borderId="0" xfId="0" applyFont="1" applyAlignment="1"/>
    <xf numFmtId="165" fontId="75" fillId="0" borderId="0" xfId="0" applyNumberFormat="1" applyFont="1" applyAlignment="1"/>
    <xf numFmtId="0" fontId="73" fillId="0" borderId="0" xfId="0" applyFont="1" applyAlignment="1">
      <alignment horizontal="center"/>
    </xf>
    <xf numFmtId="165" fontId="78" fillId="20" borderId="19" xfId="0" applyNumberFormat="1" applyFont="1" applyFill="1" applyBorder="1" applyAlignment="1" applyProtection="1">
      <alignment vertical="top"/>
    </xf>
    <xf numFmtId="0" fontId="70" fillId="0" borderId="0" xfId="0" applyFont="1" applyAlignment="1">
      <alignment horizontal="center"/>
    </xf>
    <xf numFmtId="0" fontId="70" fillId="29" borderId="14" xfId="0" applyFont="1" applyFill="1" applyBorder="1"/>
    <xf numFmtId="0" fontId="70" fillId="29" borderId="19" xfId="0" applyFont="1" applyFill="1" applyBorder="1"/>
    <xf numFmtId="0" fontId="73" fillId="29" borderId="19" xfId="0" applyFont="1" applyFill="1" applyBorder="1"/>
    <xf numFmtId="0" fontId="72" fillId="25" borderId="0" xfId="0" applyFont="1" applyFill="1" applyAlignment="1">
      <alignment horizontal="center" vertical="top" wrapText="1"/>
    </xf>
    <xf numFmtId="0" fontId="72" fillId="11" borderId="0" xfId="0" applyFont="1" applyFill="1" applyAlignment="1">
      <alignment horizontal="center" vertical="top" wrapText="1"/>
    </xf>
    <xf numFmtId="0" fontId="78" fillId="29" borderId="17" xfId="0" applyFont="1" applyFill="1" applyBorder="1" applyAlignment="1">
      <alignment horizontal="center" vertical="top" wrapText="1"/>
    </xf>
    <xf numFmtId="0" fontId="78" fillId="32" borderId="0" xfId="0" applyFont="1" applyFill="1" applyBorder="1" applyAlignment="1">
      <alignment horizontal="center" vertical="top" wrapText="1"/>
    </xf>
    <xf numFmtId="0" fontId="80" fillId="22" borderId="2" xfId="0" applyFont="1" applyFill="1" applyBorder="1" applyAlignment="1">
      <alignment horizontal="center" vertical="top" wrapText="1"/>
    </xf>
    <xf numFmtId="0" fontId="72" fillId="0" borderId="0" xfId="0" applyFont="1" applyFill="1" applyProtection="1"/>
    <xf numFmtId="0" fontId="72" fillId="0" borderId="0" xfId="0" applyNumberFormat="1" applyFont="1" applyFill="1" applyAlignment="1">
      <alignment shrinkToFit="1"/>
    </xf>
    <xf numFmtId="0" fontId="73" fillId="26" borderId="0" xfId="0" applyFont="1" applyFill="1" applyAlignment="1">
      <alignment horizontal="center"/>
    </xf>
    <xf numFmtId="0" fontId="73" fillId="17" borderId="0" xfId="0" applyFont="1" applyFill="1" applyAlignment="1">
      <alignment horizontal="center"/>
    </xf>
    <xf numFmtId="0" fontId="73" fillId="29" borderId="20" xfId="0" applyFont="1" applyFill="1" applyBorder="1" applyAlignment="1">
      <alignment horizontal="center" vertical="center" wrapText="1"/>
    </xf>
    <xf numFmtId="0" fontId="70" fillId="0" borderId="17" xfId="0" applyFont="1" applyFill="1" applyBorder="1" applyAlignment="1" applyProtection="1">
      <alignment horizontal="center" vertical="top" shrinkToFit="1"/>
      <protection locked="0"/>
    </xf>
    <xf numFmtId="49" fontId="73" fillId="0" borderId="20" xfId="0" applyNumberFormat="1" applyFont="1" applyFill="1" applyBorder="1" applyAlignment="1" applyProtection="1">
      <alignment horizontal="center" vertical="top"/>
      <protection locked="0"/>
    </xf>
    <xf numFmtId="49" fontId="73" fillId="0" borderId="20" xfId="0" applyNumberFormat="1" applyFont="1" applyFill="1" applyBorder="1" applyAlignment="1" applyProtection="1">
      <alignment horizontal="left" vertical="top"/>
      <protection locked="0"/>
    </xf>
    <xf numFmtId="1" fontId="73" fillId="0" borderId="20" xfId="0" applyNumberFormat="1" applyFont="1" applyFill="1" applyBorder="1" applyAlignment="1" applyProtection="1">
      <alignment horizontal="center" vertical="top"/>
      <protection locked="0"/>
    </xf>
    <xf numFmtId="0" fontId="73" fillId="0" borderId="20" xfId="0" applyFont="1" applyFill="1" applyBorder="1" applyAlignment="1" applyProtection="1">
      <alignment vertical="top"/>
      <protection locked="0"/>
    </xf>
    <xf numFmtId="0" fontId="73" fillId="0" borderId="20" xfId="0" applyFont="1" applyFill="1" applyBorder="1" applyAlignment="1" applyProtection="1">
      <alignment vertical="top" wrapText="1"/>
      <protection locked="0"/>
    </xf>
    <xf numFmtId="0" fontId="73" fillId="0" borderId="20" xfId="0" applyFont="1" applyFill="1" applyBorder="1" applyAlignment="1" applyProtection="1">
      <alignment horizontal="left" vertical="top" shrinkToFit="1"/>
      <protection locked="0"/>
    </xf>
    <xf numFmtId="0" fontId="70" fillId="21" borderId="17" xfId="0" applyFont="1" applyFill="1" applyBorder="1" applyAlignment="1" applyProtection="1">
      <alignment horizontal="center" vertical="top" shrinkToFit="1"/>
    </xf>
    <xf numFmtId="0" fontId="70" fillId="21" borderId="2" xfId="0" applyFont="1" applyFill="1" applyBorder="1" applyAlignment="1" applyProtection="1">
      <alignment horizontal="center" vertical="top" shrinkToFit="1"/>
    </xf>
    <xf numFmtId="0" fontId="73" fillId="0" borderId="20" xfId="0" applyFont="1" applyFill="1" applyBorder="1" applyAlignment="1" applyProtection="1">
      <alignment vertical="top" shrinkToFit="1"/>
      <protection locked="0"/>
    </xf>
    <xf numFmtId="168" fontId="70" fillId="0" borderId="20" xfId="0" applyNumberFormat="1" applyFont="1" applyFill="1" applyBorder="1" applyAlignment="1" applyProtection="1">
      <alignment vertical="top"/>
      <protection locked="0"/>
    </xf>
    <xf numFmtId="4" fontId="73" fillId="0" borderId="20" xfId="2" applyNumberFormat="1" applyFont="1" applyFill="1" applyBorder="1" applyAlignment="1" applyProtection="1">
      <alignment vertical="top"/>
      <protection locked="0"/>
    </xf>
    <xf numFmtId="4" fontId="73" fillId="0" borderId="17" xfId="2" applyNumberFormat="1" applyFont="1" applyFill="1" applyBorder="1" applyAlignment="1" applyProtection="1">
      <alignment vertical="top"/>
      <protection locked="0"/>
    </xf>
    <xf numFmtId="49" fontId="73" fillId="0" borderId="37" xfId="2" applyNumberFormat="1" applyFont="1" applyFill="1" applyBorder="1" applyAlignment="1" applyProtection="1">
      <alignment vertical="top"/>
      <protection locked="0"/>
    </xf>
    <xf numFmtId="49" fontId="73" fillId="0" borderId="17" xfId="2" applyNumberFormat="1" applyFont="1" applyFill="1" applyBorder="1" applyAlignment="1" applyProtection="1">
      <alignment horizontal="center" vertical="top"/>
      <protection locked="0"/>
    </xf>
    <xf numFmtId="9" fontId="73" fillId="21" borderId="20" xfId="3" applyFont="1" applyFill="1" applyBorder="1" applyAlignment="1" applyProtection="1">
      <alignment horizontal="center" vertical="top"/>
    </xf>
    <xf numFmtId="3" fontId="73" fillId="21" borderId="6" xfId="2" applyNumberFormat="1" applyFont="1" applyFill="1" applyBorder="1" applyAlignment="1" applyProtection="1">
      <alignment horizontal="center" vertical="top"/>
    </xf>
    <xf numFmtId="3" fontId="73" fillId="21" borderId="20" xfId="2" applyNumberFormat="1" applyFont="1" applyFill="1" applyBorder="1" applyAlignment="1" applyProtection="1">
      <alignment horizontal="center" vertical="top"/>
    </xf>
    <xf numFmtId="0" fontId="34" fillId="0" borderId="0" xfId="0" applyFont="1" applyFill="1" applyProtection="1">
      <protection locked="0"/>
    </xf>
    <xf numFmtId="0" fontId="73" fillId="29" borderId="13" xfId="0" applyFont="1" applyFill="1" applyBorder="1" applyAlignment="1">
      <alignment horizontal="center" vertical="center" wrapText="1"/>
    </xf>
    <xf numFmtId="0" fontId="70" fillId="0" borderId="11" xfId="0" applyFont="1" applyFill="1" applyBorder="1" applyAlignment="1" applyProtection="1">
      <alignment horizontal="center" vertical="top" shrinkToFit="1"/>
      <protection locked="0"/>
    </xf>
    <xf numFmtId="49" fontId="73" fillId="0" borderId="13" xfId="0" applyNumberFormat="1" applyFont="1" applyFill="1" applyBorder="1" applyAlignment="1" applyProtection="1">
      <alignment horizontal="center" vertical="top"/>
      <protection locked="0"/>
    </xf>
    <xf numFmtId="49" fontId="73" fillId="0" borderId="13" xfId="0" applyNumberFormat="1" applyFont="1" applyFill="1" applyBorder="1" applyAlignment="1" applyProtection="1">
      <alignment horizontal="left" vertical="top"/>
      <protection locked="0"/>
    </xf>
    <xf numFmtId="1" fontId="73" fillId="0" borderId="13" xfId="0" applyNumberFormat="1" applyFont="1" applyFill="1" applyBorder="1" applyAlignment="1" applyProtection="1">
      <alignment horizontal="center" vertical="top"/>
      <protection locked="0"/>
    </xf>
    <xf numFmtId="0" fontId="73" fillId="0" borderId="13" xfId="0" applyFont="1" applyFill="1" applyBorder="1" applyAlignment="1" applyProtection="1">
      <alignment vertical="top"/>
      <protection locked="0"/>
    </xf>
    <xf numFmtId="0" fontId="73" fillId="0" borderId="13" xfId="0" applyFont="1" applyFill="1" applyBorder="1" applyAlignment="1" applyProtection="1">
      <alignment horizontal="left" vertical="top" shrinkToFit="1"/>
      <protection locked="0"/>
    </xf>
    <xf numFmtId="0" fontId="73" fillId="0" borderId="13" xfId="0" applyFont="1" applyFill="1" applyBorder="1" applyAlignment="1" applyProtection="1">
      <alignment vertical="top" shrinkToFit="1"/>
      <protection locked="0"/>
    </xf>
    <xf numFmtId="168" fontId="70" fillId="0" borderId="13" xfId="0" applyNumberFormat="1" applyFont="1" applyFill="1" applyBorder="1" applyAlignment="1" applyProtection="1">
      <alignment vertical="top"/>
      <protection locked="0"/>
    </xf>
    <xf numFmtId="4" fontId="73" fillId="0" borderId="13" xfId="2" applyNumberFormat="1" applyFont="1" applyFill="1" applyBorder="1" applyAlignment="1" applyProtection="1">
      <alignment vertical="top"/>
      <protection locked="0"/>
    </xf>
    <xf numFmtId="4" fontId="73" fillId="0" borderId="11" xfId="2" applyNumberFormat="1" applyFont="1" applyFill="1" applyBorder="1" applyAlignment="1" applyProtection="1">
      <alignment vertical="top"/>
      <protection locked="0"/>
    </xf>
    <xf numFmtId="49" fontId="73" fillId="0" borderId="38" xfId="2" applyNumberFormat="1" applyFont="1" applyFill="1" applyBorder="1" applyAlignment="1" applyProtection="1">
      <alignment vertical="top"/>
      <protection locked="0"/>
    </xf>
    <xf numFmtId="49" fontId="73" fillId="0" borderId="11" xfId="2" applyNumberFormat="1" applyFont="1" applyFill="1" applyBorder="1" applyAlignment="1" applyProtection="1">
      <alignment horizontal="center" vertical="top"/>
      <protection locked="0"/>
    </xf>
    <xf numFmtId="9" fontId="73" fillId="21" borderId="13" xfId="3" applyFont="1" applyFill="1" applyBorder="1" applyAlignment="1" applyProtection="1">
      <alignment horizontal="center" vertical="top"/>
    </xf>
    <xf numFmtId="3" fontId="73" fillId="21" borderId="13" xfId="2" applyNumberFormat="1" applyFont="1" applyFill="1" applyBorder="1" applyAlignment="1" applyProtection="1">
      <alignment horizontal="center" vertical="top"/>
    </xf>
    <xf numFmtId="0" fontId="73" fillId="0" borderId="0" xfId="0" applyFont="1" applyFill="1"/>
    <xf numFmtId="4" fontId="81" fillId="0" borderId="0" xfId="0" applyNumberFormat="1" applyFont="1" applyFill="1" applyBorder="1" applyAlignment="1" applyProtection="1"/>
    <xf numFmtId="165" fontId="81" fillId="0" borderId="5" xfId="0" applyNumberFormat="1" applyFont="1" applyFill="1" applyBorder="1" applyAlignment="1" applyProtection="1">
      <alignment vertical="top"/>
    </xf>
    <xf numFmtId="0" fontId="73" fillId="0" borderId="0" xfId="0" applyNumberFormat="1" applyFont="1"/>
    <xf numFmtId="0" fontId="73" fillId="0" borderId="0" xfId="0" applyFont="1" applyAlignment="1">
      <alignment horizontal="left"/>
    </xf>
    <xf numFmtId="4" fontId="73" fillId="0" borderId="0" xfId="0" applyNumberFormat="1" applyFont="1"/>
    <xf numFmtId="0" fontId="83" fillId="0" borderId="0" xfId="0" applyFont="1" applyFill="1" applyAlignment="1" applyProtection="1">
      <alignment vertical="center"/>
    </xf>
    <xf numFmtId="2" fontId="73" fillId="0" borderId="0" xfId="0" applyNumberFormat="1" applyFont="1"/>
    <xf numFmtId="0" fontId="78" fillId="8" borderId="80" xfId="0" applyFont="1" applyFill="1" applyBorder="1" applyAlignment="1">
      <alignment horizontal="center" vertical="top" wrapText="1"/>
    </xf>
    <xf numFmtId="0" fontId="73" fillId="0" borderId="0" xfId="0" applyNumberFormat="1" applyFont="1" applyAlignment="1">
      <alignment horizontal="center" vertical="center"/>
    </xf>
    <xf numFmtId="4" fontId="73" fillId="0" borderId="0" xfId="0" applyNumberFormat="1" applyFont="1" applyAlignment="1">
      <alignment horizontal="center" vertical="center"/>
    </xf>
    <xf numFmtId="0" fontId="73" fillId="0" borderId="81" xfId="0" applyFont="1" applyBorder="1" applyAlignment="1">
      <alignment horizontal="center"/>
    </xf>
    <xf numFmtId="0" fontId="84" fillId="0" borderId="43" xfId="0" applyNumberFormat="1" applyFont="1" applyFill="1" applyBorder="1" applyAlignment="1" applyProtection="1">
      <alignment vertical="top"/>
    </xf>
    <xf numFmtId="0" fontId="70" fillId="0" borderId="43" xfId="0" applyFont="1" applyFill="1" applyBorder="1" applyAlignment="1" applyProtection="1">
      <alignment horizontal="center"/>
    </xf>
    <xf numFmtId="0" fontId="72" fillId="7" borderId="0" xfId="0" applyFont="1" applyFill="1" applyAlignment="1">
      <alignment horizontal="center" vertical="top" wrapText="1"/>
    </xf>
    <xf numFmtId="0" fontId="72" fillId="7" borderId="0" xfId="0" applyNumberFormat="1" applyFont="1" applyFill="1" applyAlignment="1">
      <alignment horizontal="center" vertical="top" wrapText="1"/>
    </xf>
    <xf numFmtId="4" fontId="72" fillId="22" borderId="0" xfId="0" applyNumberFormat="1" applyFont="1" applyFill="1" applyAlignment="1">
      <alignment horizontal="center" vertical="top" wrapText="1"/>
    </xf>
    <xf numFmtId="0" fontId="80" fillId="33" borderId="0" xfId="0" applyNumberFormat="1" applyFont="1" applyFill="1" applyBorder="1" applyAlignment="1">
      <alignment horizontal="center" vertical="top" wrapText="1"/>
    </xf>
    <xf numFmtId="0" fontId="78" fillId="35" borderId="0" xfId="0" applyFont="1" applyFill="1" applyBorder="1" applyAlignment="1">
      <alignment horizontal="center" vertical="top" wrapText="1"/>
    </xf>
    <xf numFmtId="0" fontId="72" fillId="18" borderId="0" xfId="0" applyFont="1" applyFill="1" applyAlignment="1">
      <alignment horizontal="center" vertical="top" wrapText="1"/>
    </xf>
    <xf numFmtId="4" fontId="72" fillId="0" borderId="0" xfId="2" applyNumberFormat="1" applyFont="1" applyFill="1" applyBorder="1" applyProtection="1"/>
    <xf numFmtId="165" fontId="73" fillId="34" borderId="0" xfId="0" applyNumberFormat="1" applyFont="1" applyFill="1" applyAlignment="1">
      <alignment horizontal="center"/>
    </xf>
    <xf numFmtId="0" fontId="73" fillId="34" borderId="0" xfId="0" applyNumberFormat="1" applyFont="1" applyFill="1" applyAlignment="1">
      <alignment horizontal="center"/>
    </xf>
    <xf numFmtId="165" fontId="73" fillId="34" borderId="0" xfId="0" applyNumberFormat="1" applyFont="1" applyFill="1" applyAlignment="1">
      <alignment horizontal="left"/>
    </xf>
    <xf numFmtId="2" fontId="73" fillId="34" borderId="0" xfId="0" applyNumberFormat="1" applyFont="1" applyFill="1" applyAlignment="1">
      <alignment horizontal="center"/>
    </xf>
    <xf numFmtId="1" fontId="73" fillId="34" borderId="0" xfId="0" applyNumberFormat="1" applyFont="1" applyFill="1" applyAlignment="1">
      <alignment horizontal="center"/>
    </xf>
    <xf numFmtId="1" fontId="73" fillId="34" borderId="0" xfId="0" applyNumberFormat="1" applyFont="1" applyFill="1" applyAlignment="1">
      <alignment horizontal="left"/>
    </xf>
    <xf numFmtId="167" fontId="73" fillId="34" borderId="0" xfId="0" applyNumberFormat="1" applyFont="1" applyFill="1" applyAlignment="1">
      <alignment horizontal="right"/>
    </xf>
    <xf numFmtId="0" fontId="73" fillId="34" borderId="0" xfId="0" applyNumberFormat="1" applyFont="1" applyFill="1" applyAlignment="1">
      <alignment horizontal="left"/>
    </xf>
    <xf numFmtId="4" fontId="73" fillId="34" borderId="0" xfId="0" applyNumberFormat="1" applyFont="1" applyFill="1" applyAlignment="1">
      <alignment horizontal="center"/>
    </xf>
    <xf numFmtId="0" fontId="73" fillId="21" borderId="0" xfId="0" applyFont="1" applyFill="1" applyAlignment="1">
      <alignment horizontal="center"/>
    </xf>
    <xf numFmtId="0" fontId="73" fillId="24" borderId="0" xfId="0" applyFont="1" applyFill="1" applyAlignment="1">
      <alignment horizontal="center"/>
    </xf>
    <xf numFmtId="0" fontId="73" fillId="24" borderId="0" xfId="0" applyFont="1" applyFill="1" applyAlignment="1">
      <alignment horizontal="center" vertical="center"/>
    </xf>
    <xf numFmtId="0" fontId="70" fillId="24" borderId="0" xfId="0" applyFont="1" applyFill="1" applyAlignment="1">
      <alignment horizontal="center"/>
    </xf>
    <xf numFmtId="0" fontId="80" fillId="33" borderId="7" xfId="0" applyFont="1" applyFill="1" applyBorder="1" applyAlignment="1">
      <alignment horizontal="center" shrinkToFit="1"/>
    </xf>
    <xf numFmtId="0" fontId="73" fillId="29" borderId="0" xfId="0" applyFont="1" applyFill="1" applyBorder="1" applyAlignment="1">
      <alignment horizontal="center" vertical="top" wrapText="1"/>
    </xf>
    <xf numFmtId="0" fontId="73" fillId="32" borderId="0" xfId="0" applyFont="1" applyFill="1" applyBorder="1" applyAlignment="1">
      <alignment horizontal="center" vertical="top" wrapText="1"/>
    </xf>
    <xf numFmtId="0" fontId="72" fillId="33" borderId="0" xfId="0" applyFont="1" applyFill="1" applyBorder="1" applyAlignment="1">
      <alignment horizontal="center" vertical="top" wrapText="1"/>
    </xf>
    <xf numFmtId="0" fontId="70" fillId="30" borderId="0" xfId="0" applyFont="1" applyFill="1" applyBorder="1" applyAlignment="1">
      <alignment horizontal="center" vertical="top" wrapText="1"/>
    </xf>
    <xf numFmtId="0" fontId="70" fillId="30" borderId="0" xfId="0" applyFont="1" applyFill="1" applyBorder="1" applyAlignment="1">
      <alignment horizontal="center" vertical="top"/>
    </xf>
    <xf numFmtId="0" fontId="70" fillId="29" borderId="0" xfId="0" applyFont="1" applyFill="1" applyBorder="1" applyAlignment="1">
      <alignment horizontal="center" vertical="top" wrapText="1"/>
    </xf>
    <xf numFmtId="0" fontId="72" fillId="22" borderId="37" xfId="0" applyFont="1" applyFill="1" applyBorder="1" applyAlignment="1">
      <alignment horizontal="center" vertical="top" wrapText="1"/>
    </xf>
    <xf numFmtId="0" fontId="72" fillId="22" borderId="0" xfId="0" applyFont="1" applyFill="1" applyBorder="1" applyAlignment="1">
      <alignment horizontal="center" vertical="top" wrapText="1"/>
    </xf>
    <xf numFmtId="0" fontId="70" fillId="21" borderId="11" xfId="0" applyFont="1" applyFill="1" applyBorder="1" applyAlignment="1" applyProtection="1">
      <alignment horizontal="center" vertical="top" shrinkToFit="1"/>
    </xf>
    <xf numFmtId="0" fontId="70" fillId="21" borderId="12" xfId="0" applyFont="1" applyFill="1" applyBorder="1" applyAlignment="1" applyProtection="1">
      <alignment horizontal="center" vertical="top" shrinkToFit="1"/>
    </xf>
    <xf numFmtId="0" fontId="11" fillId="8" borderId="0" xfId="0" applyFont="1" applyFill="1" applyAlignment="1" applyProtection="1">
      <alignment horizontal="center" vertical="top"/>
    </xf>
    <xf numFmtId="0" fontId="11" fillId="0" borderId="0" xfId="0" applyFont="1" applyAlignment="1" applyProtection="1">
      <alignment vertical="top"/>
      <protection locked="0"/>
    </xf>
    <xf numFmtId="4" fontId="11" fillId="0" borderId="0" xfId="0" applyNumberFormat="1" applyFont="1" applyAlignment="1" applyProtection="1">
      <alignment vertical="top"/>
      <protection locked="0"/>
    </xf>
    <xf numFmtId="167" fontId="11" fillId="0" borderId="0" xfId="0" applyNumberFormat="1" applyFont="1" applyAlignment="1" applyProtection="1">
      <alignment vertical="top"/>
      <protection locked="0"/>
    </xf>
    <xf numFmtId="167" fontId="11" fillId="0" borderId="0" xfId="0" applyNumberFormat="1" applyFont="1" applyAlignment="1" applyProtection="1">
      <alignment horizontal="center" vertical="top"/>
      <protection locked="0"/>
    </xf>
    <xf numFmtId="49" fontId="11" fillId="0" borderId="0" xfId="0" applyNumberFormat="1" applyFont="1" applyAlignment="1" applyProtection="1">
      <alignment vertical="top"/>
      <protection locked="0"/>
    </xf>
    <xf numFmtId="49" fontId="11" fillId="0" borderId="0" xfId="0" applyNumberFormat="1" applyFont="1" applyAlignment="1" applyProtection="1">
      <alignment horizontal="left" vertical="top" wrapText="1"/>
      <protection locked="0"/>
    </xf>
    <xf numFmtId="49" fontId="11" fillId="0" borderId="0" xfId="0" applyNumberFormat="1" applyFont="1" applyAlignment="1" applyProtection="1">
      <alignment horizontal="left" vertical="top"/>
      <protection locked="0"/>
    </xf>
    <xf numFmtId="49" fontId="10" fillId="6" borderId="0" xfId="0" applyNumberFormat="1" applyFont="1" applyFill="1" applyAlignment="1">
      <alignment horizontal="center" vertical="top" wrapText="1"/>
    </xf>
    <xf numFmtId="0" fontId="86" fillId="0" borderId="0" xfId="0" applyFont="1" applyAlignment="1">
      <alignment horizontal="left" vertical="top" wrapText="1"/>
    </xf>
    <xf numFmtId="49" fontId="87" fillId="9" borderId="58" xfId="0" applyNumberFormat="1" applyFont="1" applyFill="1" applyBorder="1" applyAlignment="1">
      <alignment horizontal="left" vertical="top" wrapText="1"/>
    </xf>
    <xf numFmtId="0" fontId="13" fillId="0" borderId="0" xfId="0" applyFont="1" applyAlignment="1">
      <alignment horizontal="center"/>
    </xf>
    <xf numFmtId="0" fontId="11" fillId="43" borderId="0" xfId="0" applyFont="1" applyFill="1" applyAlignment="1">
      <alignment vertical="top"/>
    </xf>
    <xf numFmtId="0" fontId="19" fillId="9" borderId="0" xfId="0" applyFont="1" applyFill="1" applyAlignment="1">
      <alignment vertical="top"/>
    </xf>
    <xf numFmtId="0" fontId="45" fillId="40" borderId="0" xfId="0" applyFont="1" applyFill="1" applyBorder="1" applyAlignment="1" applyProtection="1">
      <alignment horizontal="center" vertical="center" wrapText="1"/>
    </xf>
    <xf numFmtId="0" fontId="45" fillId="40" borderId="2" xfId="0" applyFont="1" applyFill="1" applyBorder="1" applyAlignment="1" applyProtection="1">
      <alignment horizontal="center" vertical="center" wrapText="1"/>
    </xf>
    <xf numFmtId="0" fontId="45" fillId="39" borderId="0" xfId="1" applyFont="1" applyFill="1" applyBorder="1" applyAlignment="1" applyProtection="1">
      <alignment horizontal="center" vertical="center"/>
    </xf>
    <xf numFmtId="0" fontId="45" fillId="39" borderId="2" xfId="1" applyFont="1" applyFill="1" applyBorder="1" applyAlignment="1" applyProtection="1">
      <alignment horizontal="center" vertical="center"/>
    </xf>
    <xf numFmtId="0" fontId="37" fillId="0" borderId="0" xfId="0" applyFont="1" applyAlignment="1" applyProtection="1">
      <alignment horizontal="left" vertical="top" wrapText="1"/>
    </xf>
    <xf numFmtId="0" fontId="35" fillId="40" borderId="0" xfId="0" applyFont="1" applyFill="1" applyAlignment="1">
      <alignment horizontal="left" vertical="center"/>
    </xf>
    <xf numFmtId="0" fontId="37" fillId="0" borderId="0" xfId="0" applyFont="1" applyAlignment="1" applyProtection="1">
      <alignment horizontal="left" vertical="top"/>
    </xf>
    <xf numFmtId="0" fontId="61" fillId="5" borderId="6" xfId="0" applyFont="1" applyFill="1" applyBorder="1" applyAlignment="1" applyProtection="1">
      <alignment horizontal="left" vertical="top" wrapText="1"/>
      <protection locked="0"/>
    </xf>
    <xf numFmtId="0" fontId="61" fillId="5" borderId="20" xfId="0" applyFont="1" applyFill="1" applyBorder="1" applyAlignment="1" applyProtection="1">
      <alignment horizontal="left" vertical="top" wrapText="1"/>
      <protection locked="0"/>
    </xf>
    <xf numFmtId="0" fontId="61" fillId="5" borderId="13" xfId="0" applyFont="1" applyFill="1" applyBorder="1" applyAlignment="1" applyProtection="1">
      <alignment horizontal="left" vertical="top" wrapText="1"/>
      <protection locked="0"/>
    </xf>
    <xf numFmtId="0" fontId="61" fillId="29" borderId="16" xfId="0" applyFont="1" applyFill="1" applyBorder="1" applyAlignment="1">
      <alignment horizontal="center"/>
    </xf>
    <xf numFmtId="0" fontId="61" fillId="29" borderId="7" xfId="0" applyFont="1" applyFill="1" applyBorder="1" applyAlignment="1">
      <alignment horizontal="center"/>
    </xf>
    <xf numFmtId="0" fontId="61" fillId="29" borderId="8" xfId="0" applyFont="1" applyFill="1" applyBorder="1" applyAlignment="1">
      <alignment horizontal="center"/>
    </xf>
    <xf numFmtId="0" fontId="61" fillId="0" borderId="14" xfId="0" applyFont="1" applyFill="1" applyBorder="1" applyAlignment="1" applyProtection="1">
      <alignment horizontal="left" vertical="top" wrapText="1"/>
      <protection locked="0"/>
    </xf>
    <xf numFmtId="0" fontId="61" fillId="0" borderId="19" xfId="0" applyFont="1" applyFill="1" applyBorder="1" applyAlignment="1" applyProtection="1">
      <alignment horizontal="left" vertical="top" wrapText="1"/>
      <protection locked="0"/>
    </xf>
    <xf numFmtId="0" fontId="61" fillId="0" borderId="18" xfId="0" applyFont="1" applyFill="1" applyBorder="1" applyAlignment="1" applyProtection="1">
      <alignment horizontal="left" vertical="top" wrapText="1"/>
      <protection locked="0"/>
    </xf>
    <xf numFmtId="0" fontId="61" fillId="0" borderId="17" xfId="0" applyFont="1" applyFill="1" applyBorder="1" applyAlignment="1" applyProtection="1">
      <alignment horizontal="left" vertical="top" wrapText="1"/>
      <protection locked="0"/>
    </xf>
    <xf numFmtId="0" fontId="61" fillId="0" borderId="0" xfId="0" applyFont="1" applyFill="1" applyBorder="1" applyAlignment="1" applyProtection="1">
      <alignment horizontal="left" vertical="top" wrapText="1"/>
      <protection locked="0"/>
    </xf>
    <xf numFmtId="0" fontId="61" fillId="0" borderId="2" xfId="0" applyFont="1" applyFill="1" applyBorder="1" applyAlignment="1" applyProtection="1">
      <alignment horizontal="left" vertical="top" wrapText="1"/>
      <protection locked="0"/>
    </xf>
    <xf numFmtId="0" fontId="61" fillId="0" borderId="11" xfId="0" applyFont="1" applyFill="1" applyBorder="1" applyAlignment="1" applyProtection="1">
      <alignment horizontal="left" vertical="top" wrapText="1"/>
      <protection locked="0"/>
    </xf>
    <xf numFmtId="0" fontId="61" fillId="0" borderId="5" xfId="0" applyFont="1" applyFill="1" applyBorder="1" applyAlignment="1" applyProtection="1">
      <alignment horizontal="left" vertical="top" wrapText="1"/>
      <protection locked="0"/>
    </xf>
    <xf numFmtId="0" fontId="61" fillId="0" borderId="12" xfId="0" applyFont="1" applyFill="1" applyBorder="1" applyAlignment="1" applyProtection="1">
      <alignment horizontal="left" vertical="top" wrapText="1"/>
      <protection locked="0"/>
    </xf>
    <xf numFmtId="0" fontId="61" fillId="0" borderId="14" xfId="0" applyFont="1" applyBorder="1" applyAlignment="1" applyProtection="1">
      <alignment horizontal="left" vertical="top" wrapText="1"/>
      <protection locked="0"/>
    </xf>
    <xf numFmtId="0" fontId="61" fillId="0" borderId="18" xfId="0" applyFont="1" applyBorder="1" applyAlignment="1" applyProtection="1">
      <alignment horizontal="left" vertical="top" wrapText="1"/>
      <protection locked="0"/>
    </xf>
    <xf numFmtId="0" fontId="61" fillId="0" borderId="17" xfId="0" applyFont="1" applyBorder="1" applyAlignment="1" applyProtection="1">
      <alignment horizontal="left" vertical="top" wrapText="1"/>
      <protection locked="0"/>
    </xf>
    <xf numFmtId="0" fontId="61" fillId="0" borderId="2" xfId="0" applyFont="1" applyBorder="1" applyAlignment="1" applyProtection="1">
      <alignment horizontal="left" vertical="top" wrapText="1"/>
      <protection locked="0"/>
    </xf>
    <xf numFmtId="0" fontId="61" fillId="0" borderId="11" xfId="0" applyFont="1" applyBorder="1" applyAlignment="1" applyProtection="1">
      <alignment horizontal="left" vertical="top" wrapText="1"/>
      <protection locked="0"/>
    </xf>
    <xf numFmtId="0" fontId="61" fillId="0" borderId="12" xfId="0" applyFont="1" applyBorder="1" applyAlignment="1" applyProtection="1">
      <alignment horizontal="left" vertical="top" wrapText="1"/>
      <protection locked="0"/>
    </xf>
    <xf numFmtId="0" fontId="61" fillId="30" borderId="6" xfId="0" applyFont="1" applyFill="1" applyBorder="1" applyAlignment="1">
      <alignment horizontal="left" vertical="top" wrapText="1"/>
    </xf>
    <xf numFmtId="0" fontId="61" fillId="30" borderId="20" xfId="0" applyFont="1" applyFill="1" applyBorder="1" applyAlignment="1">
      <alignment horizontal="left" vertical="top" wrapText="1"/>
    </xf>
    <xf numFmtId="0" fontId="61" fillId="30" borderId="13" xfId="0" applyFont="1" applyFill="1" applyBorder="1" applyAlignment="1">
      <alignment horizontal="left" vertical="top" wrapText="1"/>
    </xf>
    <xf numFmtId="0" fontId="71" fillId="29" borderId="20" xfId="0" applyFont="1" applyFill="1" applyBorder="1" applyAlignment="1">
      <alignment horizontal="left" vertical="top" wrapText="1"/>
    </xf>
    <xf numFmtId="0" fontId="55" fillId="6" borderId="5" xfId="0" applyFont="1" applyFill="1" applyBorder="1" applyAlignment="1">
      <alignment horizontal="center"/>
    </xf>
    <xf numFmtId="0" fontId="67" fillId="6" borderId="74" xfId="0" applyFont="1" applyFill="1" applyBorder="1" applyAlignment="1">
      <alignment horizontal="center"/>
    </xf>
    <xf numFmtId="0" fontId="67" fillId="6" borderId="7" xfId="0" applyFont="1" applyFill="1" applyBorder="1" applyAlignment="1">
      <alignment horizontal="center"/>
    </xf>
    <xf numFmtId="0" fontId="67" fillId="6" borderId="8" xfId="0" applyFont="1" applyFill="1" applyBorder="1" applyAlignment="1">
      <alignment horizontal="center"/>
    </xf>
    <xf numFmtId="0" fontId="64" fillId="0" borderId="16" xfId="0" applyFont="1" applyBorder="1" applyAlignment="1" applyProtection="1">
      <alignment horizontal="left" vertical="top"/>
      <protection locked="0"/>
    </xf>
    <xf numFmtId="0" fontId="64" fillId="0" borderId="8" xfId="0" applyFont="1" applyBorder="1" applyAlignment="1" applyProtection="1">
      <alignment horizontal="left" vertical="top"/>
      <protection locked="0"/>
    </xf>
    <xf numFmtId="0" fontId="69" fillId="29" borderId="6" xfId="0" applyFont="1" applyFill="1" applyBorder="1" applyAlignment="1">
      <alignment horizontal="center" vertical="center" wrapText="1"/>
    </xf>
    <xf numFmtId="0" fontId="69" fillId="29" borderId="13" xfId="0" applyFont="1" applyFill="1" applyBorder="1" applyAlignment="1">
      <alignment horizontal="center" vertical="center" wrapText="1"/>
    </xf>
    <xf numFmtId="0" fontId="61" fillId="0" borderId="74" xfId="0" applyFont="1" applyBorder="1" applyAlignment="1" applyProtection="1">
      <alignment horizontal="left" vertical="top"/>
      <protection locked="0"/>
    </xf>
    <xf numFmtId="0" fontId="61" fillId="0" borderId="8" xfId="0" applyFont="1" applyBorder="1" applyAlignment="1" applyProtection="1">
      <alignment horizontal="left" vertical="top"/>
      <protection locked="0"/>
    </xf>
    <xf numFmtId="0" fontId="82" fillId="0" borderId="5" xfId="0" applyFont="1" applyFill="1" applyBorder="1" applyAlignment="1">
      <alignment horizontal="right" vertical="top"/>
    </xf>
    <xf numFmtId="0" fontId="80" fillId="22" borderId="79" xfId="0" applyFont="1" applyFill="1" applyBorder="1" applyAlignment="1">
      <alignment horizontal="center" vertical="top" wrapText="1"/>
    </xf>
    <xf numFmtId="0" fontId="80" fillId="22" borderId="7" xfId="0" applyFont="1" applyFill="1" applyBorder="1" applyAlignment="1">
      <alignment horizontal="center" vertical="top" wrapText="1"/>
    </xf>
    <xf numFmtId="0" fontId="80" fillId="22" borderId="8" xfId="0" applyFont="1" applyFill="1" applyBorder="1" applyAlignment="1">
      <alignment horizontal="center" vertical="top" wrapText="1"/>
    </xf>
    <xf numFmtId="0" fontId="79" fillId="32" borderId="7" xfId="0" applyFont="1" applyFill="1" applyBorder="1" applyAlignment="1">
      <alignment horizontal="center"/>
    </xf>
    <xf numFmtId="0" fontId="82" fillId="0" borderId="0" xfId="0" applyFont="1" applyFill="1" applyBorder="1" applyAlignment="1">
      <alignment horizontal="right"/>
    </xf>
    <xf numFmtId="0" fontId="76" fillId="0" borderId="0" xfId="0" applyFont="1" applyFill="1" applyBorder="1" applyAlignment="1">
      <alignment horizontal="right" vertical="top"/>
    </xf>
    <xf numFmtId="0" fontId="78" fillId="30" borderId="7" xfId="0" applyFont="1" applyFill="1" applyBorder="1" applyAlignment="1">
      <alignment horizontal="center" vertical="center"/>
    </xf>
    <xf numFmtId="0" fontId="77" fillId="0" borderId="0" xfId="0" applyFont="1" applyAlignment="1">
      <alignment horizontal="left"/>
    </xf>
    <xf numFmtId="164" fontId="14" fillId="20" borderId="5" xfId="0" applyNumberFormat="1" applyFont="1" applyFill="1" applyBorder="1" applyAlignment="1">
      <alignment horizontal="right" vertical="top"/>
    </xf>
    <xf numFmtId="164" fontId="14" fillId="20" borderId="12" xfId="0" applyNumberFormat="1" applyFont="1" applyFill="1" applyBorder="1" applyAlignment="1">
      <alignment horizontal="right" vertical="top"/>
    </xf>
    <xf numFmtId="0" fontId="14" fillId="5" borderId="17" xfId="0" applyFont="1" applyFill="1" applyBorder="1" applyAlignment="1" applyProtection="1">
      <alignment horizontal="center" vertical="top" shrinkToFit="1"/>
      <protection locked="0"/>
    </xf>
    <xf numFmtId="0" fontId="14" fillId="5" borderId="0" xfId="0" applyFont="1" applyFill="1" applyBorder="1" applyAlignment="1" applyProtection="1">
      <alignment horizontal="center" vertical="top" shrinkToFit="1"/>
      <protection locked="0"/>
    </xf>
    <xf numFmtId="164" fontId="14" fillId="20" borderId="0" xfId="0" applyNumberFormat="1" applyFont="1" applyFill="1" applyBorder="1" applyAlignment="1">
      <alignment horizontal="right" vertical="top"/>
    </xf>
    <xf numFmtId="164" fontId="14" fillId="20" borderId="2" xfId="0" applyNumberFormat="1" applyFont="1" applyFill="1" applyBorder="1" applyAlignment="1">
      <alignment horizontal="right" vertical="top"/>
    </xf>
    <xf numFmtId="0" fontId="14" fillId="36" borderId="29" xfId="0" applyFont="1" applyFill="1" applyBorder="1" applyAlignment="1" applyProtection="1">
      <alignment horizontal="left" vertical="top" shrinkToFit="1"/>
    </xf>
    <xf numFmtId="0" fontId="14" fillId="36" borderId="30" xfId="0" applyFont="1" applyFill="1" applyBorder="1" applyAlignment="1" applyProtection="1">
      <alignment horizontal="left" vertical="top" shrinkToFit="1"/>
    </xf>
    <xf numFmtId="164" fontId="14" fillId="0" borderId="30" xfId="0" applyNumberFormat="1" applyFont="1" applyBorder="1" applyAlignment="1" applyProtection="1">
      <alignment horizontal="center" vertical="top" shrinkToFit="1"/>
    </xf>
    <xf numFmtId="164" fontId="14" fillId="0" borderId="31" xfId="0" applyNumberFormat="1" applyFont="1" applyBorder="1" applyAlignment="1" applyProtection="1">
      <alignment horizontal="center" vertical="top" shrinkToFit="1"/>
    </xf>
    <xf numFmtId="0" fontId="14" fillId="5" borderId="11" xfId="0" applyFont="1" applyFill="1" applyBorder="1" applyAlignment="1" applyProtection="1">
      <alignment horizontal="center" vertical="top" shrinkToFit="1"/>
      <protection locked="0"/>
    </xf>
    <xf numFmtId="0" fontId="14" fillId="5" borderId="5" xfId="0" applyFont="1" applyFill="1" applyBorder="1" applyAlignment="1" applyProtection="1">
      <alignment horizontal="center" vertical="top" shrinkToFit="1"/>
      <protection locked="0"/>
    </xf>
    <xf numFmtId="164" fontId="14" fillId="0" borderId="22" xfId="0" applyNumberFormat="1" applyFont="1" applyBorder="1" applyAlignment="1" applyProtection="1">
      <alignment horizontal="center" vertical="top" shrinkToFit="1"/>
    </xf>
    <xf numFmtId="164" fontId="14" fillId="0" borderId="28" xfId="0" applyNumberFormat="1" applyFont="1" applyBorder="1" applyAlignment="1" applyProtection="1">
      <alignment horizontal="center" vertical="top" shrinkToFit="1"/>
    </xf>
    <xf numFmtId="0" fontId="14" fillId="36" borderId="27" xfId="0" applyFont="1" applyFill="1" applyBorder="1" applyAlignment="1" applyProtection="1">
      <alignment horizontal="left" vertical="top" shrinkToFit="1"/>
    </xf>
    <xf numFmtId="0" fontId="14" fillId="36" borderId="22" xfId="0" applyFont="1" applyFill="1" applyBorder="1" applyAlignment="1" applyProtection="1">
      <alignment horizontal="left" vertical="top" shrinkToFit="1"/>
    </xf>
    <xf numFmtId="49" fontId="12" fillId="0" borderId="14" xfId="0" applyNumberFormat="1" applyFont="1" applyBorder="1" applyAlignment="1" applyProtection="1">
      <alignment horizontal="left" vertical="top" wrapText="1"/>
    </xf>
    <xf numFmtId="49" fontId="12" fillId="0" borderId="19" xfId="0" applyNumberFormat="1" applyFont="1" applyBorder="1" applyAlignment="1" applyProtection="1">
      <alignment horizontal="left" vertical="top" wrapText="1"/>
    </xf>
    <xf numFmtId="49" fontId="12" fillId="0" borderId="18" xfId="0" applyNumberFormat="1" applyFont="1" applyBorder="1" applyAlignment="1" applyProtection="1">
      <alignment horizontal="left" vertical="top" wrapText="1"/>
    </xf>
    <xf numFmtId="49" fontId="12" fillId="0" borderId="17" xfId="0" applyNumberFormat="1" applyFont="1" applyBorder="1" applyAlignment="1" applyProtection="1">
      <alignment horizontal="left" vertical="top" wrapText="1"/>
    </xf>
    <xf numFmtId="49" fontId="12" fillId="0" borderId="0" xfId="0" applyNumberFormat="1" applyFont="1" applyBorder="1" applyAlignment="1" applyProtection="1">
      <alignment horizontal="left" vertical="top" wrapText="1"/>
    </xf>
    <xf numFmtId="49" fontId="12" fillId="0" borderId="2" xfId="0" applyNumberFormat="1" applyFont="1" applyBorder="1" applyAlignment="1" applyProtection="1">
      <alignment horizontal="left" vertical="top" wrapText="1"/>
    </xf>
    <xf numFmtId="49" fontId="12" fillId="0" borderId="11" xfId="0" applyNumberFormat="1" applyFont="1" applyBorder="1" applyAlignment="1" applyProtection="1">
      <alignment horizontal="left" vertical="top" wrapText="1"/>
    </xf>
    <xf numFmtId="49" fontId="12" fillId="0" borderId="5" xfId="0" applyNumberFormat="1" applyFont="1" applyBorder="1" applyAlignment="1" applyProtection="1">
      <alignment horizontal="left" vertical="top" wrapText="1"/>
    </xf>
    <xf numFmtId="49" fontId="12" fillId="0" borderId="12" xfId="0" applyNumberFormat="1" applyFont="1" applyBorder="1" applyAlignment="1" applyProtection="1">
      <alignment horizontal="left" vertical="top" wrapText="1"/>
    </xf>
    <xf numFmtId="164" fontId="14" fillId="20" borderId="19" xfId="0" applyNumberFormat="1" applyFont="1" applyFill="1" applyBorder="1" applyAlignment="1">
      <alignment horizontal="right" vertical="top"/>
    </xf>
    <xf numFmtId="164" fontId="14" fillId="20" borderId="18" xfId="0" applyNumberFormat="1" applyFont="1" applyFill="1" applyBorder="1" applyAlignment="1">
      <alignment horizontal="right" vertical="top"/>
    </xf>
    <xf numFmtId="0" fontId="5" fillId="30" borderId="74" xfId="0" applyFont="1" applyFill="1" applyBorder="1" applyAlignment="1">
      <alignment horizontal="center" vertical="top"/>
    </xf>
    <xf numFmtId="0" fontId="5" fillId="30" borderId="7" xfId="0" applyFont="1" applyFill="1" applyBorder="1" applyAlignment="1">
      <alignment horizontal="center" vertical="top"/>
    </xf>
    <xf numFmtId="0" fontId="5" fillId="30" borderId="8" xfId="0" applyFont="1" applyFill="1" applyBorder="1" applyAlignment="1">
      <alignment horizontal="center" vertical="top"/>
    </xf>
    <xf numFmtId="0" fontId="5" fillId="29" borderId="7" xfId="0" applyFont="1" applyFill="1" applyBorder="1" applyAlignment="1">
      <alignment horizontal="center" vertical="top" shrinkToFit="1"/>
    </xf>
    <xf numFmtId="0" fontId="5" fillId="29" borderId="8" xfId="0" applyFont="1" applyFill="1" applyBorder="1" applyAlignment="1">
      <alignment horizontal="center" vertical="top" shrinkToFit="1"/>
    </xf>
    <xf numFmtId="0" fontId="9" fillId="28" borderId="74" xfId="0" applyFont="1" applyFill="1" applyBorder="1" applyAlignment="1">
      <alignment horizontal="center" vertical="top"/>
    </xf>
    <xf numFmtId="0" fontId="9" fillId="28" borderId="7" xfId="0" applyFont="1" applyFill="1" applyBorder="1" applyAlignment="1">
      <alignment horizontal="center" vertical="top"/>
    </xf>
    <xf numFmtId="0" fontId="9" fillId="28" borderId="8" xfId="0" applyFont="1" applyFill="1" applyBorder="1" applyAlignment="1">
      <alignment horizontal="center" vertical="top"/>
    </xf>
    <xf numFmtId="0" fontId="14" fillId="36" borderId="24" xfId="0" applyFont="1" applyFill="1" applyBorder="1" applyAlignment="1" applyProtection="1">
      <alignment horizontal="left" vertical="top" shrinkToFit="1"/>
    </xf>
    <xf numFmtId="0" fontId="14" fillId="36" borderId="25" xfId="0" applyFont="1" applyFill="1" applyBorder="1" applyAlignment="1" applyProtection="1">
      <alignment horizontal="left" vertical="top" shrinkToFit="1"/>
    </xf>
    <xf numFmtId="164" fontId="14" fillId="0" borderId="25" xfId="0" applyNumberFormat="1" applyFont="1" applyBorder="1" applyAlignment="1" applyProtection="1">
      <alignment horizontal="center" vertical="top" shrinkToFit="1"/>
    </xf>
    <xf numFmtId="164" fontId="14" fillId="0" borderId="26" xfId="0" applyNumberFormat="1" applyFont="1" applyBorder="1" applyAlignment="1" applyProtection="1">
      <alignment horizontal="center" vertical="top" shrinkToFit="1"/>
    </xf>
    <xf numFmtId="0" fontId="14" fillId="5" borderId="14" xfId="0" applyFont="1" applyFill="1" applyBorder="1" applyAlignment="1" applyProtection="1">
      <alignment horizontal="center" vertical="top" shrinkToFit="1"/>
      <protection locked="0"/>
    </xf>
    <xf numFmtId="0" fontId="14" fillId="5" borderId="19" xfId="0" applyFont="1" applyFill="1" applyBorder="1" applyAlignment="1" applyProtection="1">
      <alignment horizontal="center" vertical="top" shrinkToFit="1"/>
      <protection locked="0"/>
    </xf>
    <xf numFmtId="0" fontId="5" fillId="29" borderId="11" xfId="0" applyFont="1" applyFill="1" applyBorder="1" applyAlignment="1">
      <alignment horizontal="center" vertical="top" shrinkToFit="1"/>
    </xf>
    <xf numFmtId="0" fontId="5" fillId="29" borderId="5" xfId="0" applyFont="1" applyFill="1" applyBorder="1" applyAlignment="1">
      <alignment horizontal="center" vertical="top" shrinkToFit="1"/>
    </xf>
    <xf numFmtId="0" fontId="5" fillId="31" borderId="11" xfId="0" applyFont="1" applyFill="1" applyBorder="1" applyAlignment="1">
      <alignment horizontal="center" vertical="top" shrinkToFit="1"/>
    </xf>
    <xf numFmtId="0" fontId="5" fillId="31" borderId="5" xfId="0" applyFont="1" applyFill="1" applyBorder="1" applyAlignment="1">
      <alignment horizontal="center" vertical="top" shrinkToFit="1"/>
    </xf>
    <xf numFmtId="3" fontId="14" fillId="0" borderId="11" xfId="0" applyNumberFormat="1" applyFont="1" applyBorder="1" applyAlignment="1">
      <alignment horizontal="right" vertical="top" shrinkToFit="1"/>
    </xf>
    <xf numFmtId="3" fontId="14" fillId="0" borderId="12" xfId="0" applyNumberFormat="1" applyFont="1" applyBorder="1" applyAlignment="1">
      <alignment horizontal="right" vertical="top" shrinkToFit="1"/>
    </xf>
    <xf numFmtId="0" fontId="5" fillId="29" borderId="17" xfId="0" applyFont="1" applyFill="1" applyBorder="1" applyAlignment="1">
      <alignment horizontal="right" vertical="top" shrinkToFit="1"/>
    </xf>
    <xf numFmtId="0" fontId="5" fillId="29" borderId="0" xfId="0" applyFont="1" applyFill="1" applyBorder="1" applyAlignment="1">
      <alignment horizontal="right" vertical="top" shrinkToFit="1"/>
    </xf>
    <xf numFmtId="3" fontId="14" fillId="0" borderId="0" xfId="0" applyNumberFormat="1" applyFont="1" applyBorder="1" applyAlignment="1">
      <alignment horizontal="right" vertical="top" shrinkToFit="1"/>
    </xf>
    <xf numFmtId="3" fontId="14" fillId="0" borderId="2" xfId="0" applyNumberFormat="1" applyFont="1" applyBorder="1" applyAlignment="1">
      <alignment horizontal="right" vertical="top" shrinkToFit="1"/>
    </xf>
    <xf numFmtId="0" fontId="30" fillId="0" borderId="5" xfId="0" applyFont="1" applyBorder="1" applyAlignment="1">
      <alignment horizontal="center" vertical="top" shrinkToFit="1"/>
    </xf>
    <xf numFmtId="0" fontId="30" fillId="0" borderId="12" xfId="0" applyFont="1" applyBorder="1" applyAlignment="1">
      <alignment horizontal="center" vertical="top" shrinkToFit="1"/>
    </xf>
    <xf numFmtId="0" fontId="5" fillId="31" borderId="17" xfId="0" applyFont="1" applyFill="1" applyBorder="1" applyAlignment="1">
      <alignment horizontal="center" vertical="top" shrinkToFit="1"/>
    </xf>
    <xf numFmtId="0" fontId="5" fillId="31" borderId="0" xfId="0" applyFont="1" applyFill="1" applyBorder="1" applyAlignment="1">
      <alignment horizontal="center" vertical="top" shrinkToFit="1"/>
    </xf>
    <xf numFmtId="3" fontId="14" fillId="0" borderId="17" xfId="0" applyNumberFormat="1" applyFont="1" applyFill="1" applyBorder="1" applyAlignment="1">
      <alignment horizontal="right" vertical="top" shrinkToFit="1"/>
    </xf>
    <xf numFmtId="3" fontId="14" fillId="0" borderId="2" xfId="0" applyNumberFormat="1" applyFont="1" applyFill="1" applyBorder="1" applyAlignment="1">
      <alignment horizontal="right" vertical="top" shrinkToFit="1"/>
    </xf>
    <xf numFmtId="9" fontId="14" fillId="0" borderId="0" xfId="0" applyNumberFormat="1" applyFont="1" applyBorder="1" applyAlignment="1">
      <alignment horizontal="right" vertical="top" shrinkToFit="1"/>
    </xf>
    <xf numFmtId="9" fontId="14" fillId="0" borderId="2" xfId="0" applyNumberFormat="1" applyFont="1" applyBorder="1" applyAlignment="1">
      <alignment horizontal="right" vertical="top" shrinkToFit="1"/>
    </xf>
    <xf numFmtId="0" fontId="30" fillId="0" borderId="19" xfId="0" applyFont="1" applyBorder="1" applyAlignment="1">
      <alignment horizontal="center" vertical="top" shrinkToFit="1"/>
    </xf>
    <xf numFmtId="0" fontId="30" fillId="0" borderId="18" xfId="0" applyFont="1" applyBorder="1" applyAlignment="1">
      <alignment horizontal="center" vertical="top" shrinkToFit="1"/>
    </xf>
    <xf numFmtId="0" fontId="5" fillId="30" borderId="74" xfId="0" applyFont="1" applyFill="1" applyBorder="1" applyAlignment="1">
      <alignment horizontal="left" vertical="top"/>
    </xf>
    <xf numFmtId="0" fontId="5" fillId="30" borderId="7" xfId="0" applyFont="1" applyFill="1" applyBorder="1" applyAlignment="1">
      <alignment horizontal="left" vertical="top"/>
    </xf>
    <xf numFmtId="3" fontId="14" fillId="0" borderId="74" xfId="0" applyNumberFormat="1" applyFont="1" applyBorder="1" applyAlignment="1">
      <alignment horizontal="right" vertical="top" shrinkToFit="1"/>
    </xf>
    <xf numFmtId="3" fontId="14" fillId="0" borderId="8" xfId="0" applyNumberFormat="1" applyFont="1" applyBorder="1" applyAlignment="1">
      <alignment horizontal="right" vertical="top" shrinkToFit="1"/>
    </xf>
    <xf numFmtId="49" fontId="14" fillId="0" borderId="14" xfId="0" applyNumberFormat="1" applyFont="1" applyBorder="1" applyAlignment="1">
      <alignment horizontal="left" vertical="top" wrapText="1"/>
    </xf>
    <xf numFmtId="49" fontId="14" fillId="0" borderId="19" xfId="0" applyNumberFormat="1" applyFont="1" applyBorder="1" applyAlignment="1">
      <alignment horizontal="left" vertical="top" wrapText="1"/>
    </xf>
    <xf numFmtId="49" fontId="14" fillId="0" borderId="18" xfId="0" applyNumberFormat="1" applyFont="1" applyBorder="1" applyAlignment="1">
      <alignment horizontal="left" vertical="top" wrapText="1"/>
    </xf>
    <xf numFmtId="49" fontId="14" fillId="0" borderId="17" xfId="0" applyNumberFormat="1" applyFont="1" applyBorder="1" applyAlignment="1">
      <alignment horizontal="left" vertical="top" wrapText="1"/>
    </xf>
    <xf numFmtId="49" fontId="14" fillId="0" borderId="0" xfId="0" applyNumberFormat="1" applyFont="1" applyBorder="1" applyAlignment="1">
      <alignment horizontal="left" vertical="top" wrapText="1"/>
    </xf>
    <xf numFmtId="49" fontId="14" fillId="0" borderId="2" xfId="0" applyNumberFormat="1" applyFont="1" applyBorder="1" applyAlignment="1">
      <alignment horizontal="left" vertical="top" wrapText="1"/>
    </xf>
    <xf numFmtId="49" fontId="14" fillId="0" borderId="11" xfId="0" applyNumberFormat="1" applyFont="1" applyBorder="1" applyAlignment="1">
      <alignment horizontal="left" vertical="top" wrapText="1"/>
    </xf>
    <xf numFmtId="49" fontId="14" fillId="0" borderId="5" xfId="0" applyNumberFormat="1" applyFont="1" applyBorder="1" applyAlignment="1">
      <alignment horizontal="left" vertical="top" wrapText="1"/>
    </xf>
    <xf numFmtId="49" fontId="14" fillId="0" borderId="12" xfId="0" applyNumberFormat="1" applyFont="1" applyBorder="1" applyAlignment="1">
      <alignment horizontal="left" vertical="top" wrapText="1"/>
    </xf>
    <xf numFmtId="0" fontId="5" fillId="30" borderId="11" xfId="0" applyFont="1" applyFill="1" applyBorder="1" applyAlignment="1">
      <alignment horizontal="left" vertical="top"/>
    </xf>
    <xf numFmtId="0" fontId="5" fillId="30" borderId="5" xfId="0" applyFont="1" applyFill="1" applyBorder="1" applyAlignment="1">
      <alignment horizontal="left" vertical="top"/>
    </xf>
    <xf numFmtId="0" fontId="5" fillId="30" borderId="12" xfId="0" applyFont="1" applyFill="1" applyBorder="1" applyAlignment="1">
      <alignment horizontal="left" vertical="top"/>
    </xf>
    <xf numFmtId="0" fontId="5" fillId="0" borderId="74" xfId="0" applyFont="1" applyBorder="1" applyAlignment="1">
      <alignment horizontal="left" vertical="top"/>
    </xf>
    <xf numFmtId="0" fontId="5" fillId="0" borderId="7" xfId="0" applyFont="1" applyBorder="1" applyAlignment="1">
      <alignment horizontal="left" vertical="top"/>
    </xf>
    <xf numFmtId="0" fontId="5" fillId="0" borderId="8" xfId="0" applyFont="1" applyBorder="1" applyAlignment="1">
      <alignment horizontal="left" vertical="top"/>
    </xf>
    <xf numFmtId="0" fontId="9" fillId="28" borderId="14" xfId="0" applyFont="1" applyFill="1" applyBorder="1" applyAlignment="1">
      <alignment horizontal="center" vertical="top"/>
    </xf>
    <xf numFmtId="0" fontId="9" fillId="28" borderId="19" xfId="0" applyFont="1" applyFill="1" applyBorder="1" applyAlignment="1">
      <alignment horizontal="center" vertical="top"/>
    </xf>
    <xf numFmtId="0" fontId="9" fillId="28" borderId="18" xfId="0" applyFont="1" applyFill="1" applyBorder="1" applyAlignment="1">
      <alignment horizontal="center" vertical="top"/>
    </xf>
    <xf numFmtId="0" fontId="5" fillId="29" borderId="14" xfId="0" applyFont="1" applyFill="1" applyBorder="1" applyAlignment="1">
      <alignment horizontal="center" vertical="top" shrinkToFit="1"/>
    </xf>
    <xf numFmtId="0" fontId="5" fillId="29" borderId="19" xfId="0" applyFont="1" applyFill="1" applyBorder="1" applyAlignment="1">
      <alignment horizontal="center" vertical="top" shrinkToFit="1"/>
    </xf>
    <xf numFmtId="0" fontId="5" fillId="30" borderId="17" xfId="0" applyFont="1" applyFill="1" applyBorder="1" applyAlignment="1">
      <alignment horizontal="left" vertical="top"/>
    </xf>
    <xf numFmtId="0" fontId="5" fillId="30" borderId="0" xfId="0" applyFont="1" applyFill="1" applyBorder="1" applyAlignment="1">
      <alignment horizontal="left" vertical="top"/>
    </xf>
    <xf numFmtId="0" fontId="5" fillId="30" borderId="2" xfId="0" applyFont="1" applyFill="1" applyBorder="1" applyAlignment="1">
      <alignment horizontal="left" vertical="top"/>
    </xf>
    <xf numFmtId="0" fontId="5" fillId="0" borderId="74" xfId="0" applyFont="1" applyBorder="1" applyAlignment="1">
      <alignment horizontal="left" vertical="top" shrinkToFit="1"/>
    </xf>
    <xf numFmtId="0" fontId="5" fillId="0" borderId="7" xfId="0" applyFont="1" applyBorder="1" applyAlignment="1">
      <alignment horizontal="left" vertical="top" shrinkToFit="1"/>
    </xf>
    <xf numFmtId="0" fontId="5" fillId="0" borderId="8" xfId="0" applyFont="1" applyBorder="1" applyAlignment="1">
      <alignment horizontal="left" vertical="top" shrinkToFit="1"/>
    </xf>
    <xf numFmtId="0" fontId="5" fillId="0" borderId="74" xfId="0" applyFont="1" applyBorder="1" applyAlignment="1">
      <alignment horizontal="center" vertical="top"/>
    </xf>
    <xf numFmtId="0" fontId="5" fillId="0" borderId="7" xfId="0" applyFont="1" applyBorder="1" applyAlignment="1">
      <alignment horizontal="center" vertical="top"/>
    </xf>
    <xf numFmtId="0" fontId="5" fillId="0" borderId="8" xfId="0" applyFont="1" applyBorder="1" applyAlignment="1">
      <alignment horizontal="center" vertical="top"/>
    </xf>
    <xf numFmtId="0" fontId="8" fillId="30" borderId="11" xfId="0" applyFont="1" applyFill="1" applyBorder="1" applyAlignment="1">
      <alignment horizontal="left" vertical="top" shrinkToFit="1"/>
    </xf>
    <xf numFmtId="0" fontId="8" fillId="30" borderId="12" xfId="0" applyFont="1" applyFill="1" applyBorder="1" applyAlignment="1">
      <alignment horizontal="left" vertical="top" shrinkToFit="1"/>
    </xf>
    <xf numFmtId="3" fontId="5" fillId="0" borderId="74" xfId="0" applyNumberFormat="1" applyFont="1" applyBorder="1" applyAlignment="1">
      <alignment horizontal="center" vertical="top"/>
    </xf>
    <xf numFmtId="3" fontId="5" fillId="0" borderId="8" xfId="0" applyNumberFormat="1" applyFont="1" applyBorder="1" applyAlignment="1">
      <alignment horizontal="center" vertical="top"/>
    </xf>
    <xf numFmtId="0" fontId="5" fillId="0" borderId="14" xfId="0" applyFont="1" applyBorder="1" applyAlignment="1">
      <alignment horizontal="left" vertical="top"/>
    </xf>
    <xf numFmtId="0" fontId="5" fillId="0" borderId="19" xfId="0" applyFont="1" applyBorder="1" applyAlignment="1">
      <alignment horizontal="left" vertical="top"/>
    </xf>
    <xf numFmtId="0" fontId="5" fillId="0" borderId="17" xfId="0" applyFont="1" applyBorder="1" applyAlignment="1">
      <alignment horizontal="left" vertical="top"/>
    </xf>
    <xf numFmtId="0" fontId="5" fillId="0" borderId="0" xfId="0" applyFont="1" applyBorder="1" applyAlignment="1">
      <alignment horizontal="left" vertical="top"/>
    </xf>
    <xf numFmtId="0" fontId="5" fillId="0" borderId="11" xfId="0" applyFont="1" applyBorder="1" applyAlignment="1">
      <alignment horizontal="left" vertical="top"/>
    </xf>
    <xf numFmtId="0" fontId="5" fillId="0" borderId="5" xfId="0" applyFont="1" applyBorder="1" applyAlignment="1">
      <alignment horizontal="left" vertical="top"/>
    </xf>
    <xf numFmtId="0" fontId="5" fillId="30" borderId="14" xfId="0" applyFont="1" applyFill="1" applyBorder="1" applyAlignment="1">
      <alignment horizontal="left" vertical="top"/>
    </xf>
    <xf numFmtId="0" fontId="5" fillId="30" borderId="19" xfId="0" applyFont="1" applyFill="1" applyBorder="1" applyAlignment="1">
      <alignment horizontal="left" vertical="top"/>
    </xf>
    <xf numFmtId="0" fontId="14" fillId="0" borderId="74" xfId="0" applyFont="1" applyBorder="1" applyAlignment="1">
      <alignment horizontal="center" vertical="top"/>
    </xf>
    <xf numFmtId="0" fontId="14" fillId="0" borderId="7" xfId="0" applyFont="1" applyBorder="1" applyAlignment="1">
      <alignment horizontal="center" vertical="top"/>
    </xf>
    <xf numFmtId="0" fontId="14" fillId="0" borderId="8" xfId="0" applyFont="1" applyBorder="1" applyAlignment="1">
      <alignment horizontal="center" vertical="top"/>
    </xf>
    <xf numFmtId="0" fontId="11" fillId="30" borderId="17" xfId="0" applyFont="1" applyFill="1" applyBorder="1" applyAlignment="1">
      <alignment horizontal="left" vertical="top" wrapText="1"/>
    </xf>
    <xf numFmtId="0" fontId="11" fillId="30" borderId="0" xfId="0" applyFont="1" applyFill="1" applyBorder="1" applyAlignment="1">
      <alignment horizontal="left" vertical="top" wrapText="1"/>
    </xf>
    <xf numFmtId="0" fontId="11" fillId="30" borderId="11" xfId="0" applyFont="1" applyFill="1" applyBorder="1" applyAlignment="1">
      <alignment horizontal="left" vertical="top" wrapText="1"/>
    </xf>
    <xf numFmtId="0" fontId="11" fillId="30" borderId="5" xfId="0" applyFont="1" applyFill="1" applyBorder="1" applyAlignment="1">
      <alignment horizontal="left" vertical="top" wrapText="1"/>
    </xf>
    <xf numFmtId="0" fontId="14" fillId="0" borderId="14" xfId="0" applyNumberFormat="1" applyFont="1" applyBorder="1" applyAlignment="1">
      <alignment horizontal="left" vertical="top" wrapText="1"/>
    </xf>
    <xf numFmtId="0" fontId="14" fillId="0" borderId="19" xfId="0" applyNumberFormat="1" applyFont="1" applyBorder="1" applyAlignment="1">
      <alignment horizontal="left" vertical="top" wrapText="1"/>
    </xf>
    <xf numFmtId="0" fontId="14" fillId="0" borderId="18" xfId="0" applyNumberFormat="1" applyFont="1" applyBorder="1" applyAlignment="1">
      <alignment horizontal="left" vertical="top" wrapText="1"/>
    </xf>
    <xf numFmtId="0" fontId="14" fillId="0" borderId="17" xfId="0" applyNumberFormat="1" applyFont="1" applyBorder="1" applyAlignment="1">
      <alignment horizontal="left" vertical="top" wrapText="1"/>
    </xf>
    <xf numFmtId="0" fontId="14" fillId="0" borderId="0" xfId="0" applyNumberFormat="1" applyFont="1" applyBorder="1" applyAlignment="1">
      <alignment horizontal="left" vertical="top" wrapText="1"/>
    </xf>
    <xf numFmtId="0" fontId="14" fillId="0" borderId="2" xfId="0" applyNumberFormat="1" applyFont="1" applyBorder="1" applyAlignment="1">
      <alignment horizontal="left" vertical="top" wrapText="1"/>
    </xf>
    <xf numFmtId="0" fontId="14" fillId="0" borderId="11" xfId="0" applyNumberFormat="1" applyFont="1" applyBorder="1" applyAlignment="1">
      <alignment horizontal="left" vertical="top" wrapText="1"/>
    </xf>
    <xf numFmtId="0" fontId="14" fillId="0" borderId="5" xfId="0" applyNumberFormat="1" applyFont="1" applyBorder="1" applyAlignment="1">
      <alignment horizontal="left" vertical="top" wrapText="1"/>
    </xf>
    <xf numFmtId="0" fontId="14" fillId="0" borderId="12" xfId="0" applyNumberFormat="1" applyFont="1" applyBorder="1" applyAlignment="1">
      <alignment horizontal="left" vertical="top" wrapText="1"/>
    </xf>
    <xf numFmtId="165" fontId="23" fillId="3" borderId="98" xfId="0" applyNumberFormat="1" applyFont="1" applyFill="1" applyBorder="1" applyAlignment="1">
      <alignment horizontal="center" vertical="top" shrinkToFit="1"/>
    </xf>
    <xf numFmtId="165" fontId="23" fillId="3" borderId="99" xfId="0" applyNumberFormat="1" applyFont="1" applyFill="1" applyBorder="1" applyAlignment="1">
      <alignment horizontal="center" vertical="top" shrinkToFit="1"/>
    </xf>
    <xf numFmtId="0" fontId="55" fillId="41" borderId="74" xfId="0" applyFont="1" applyFill="1" applyBorder="1" applyAlignment="1">
      <alignment horizontal="center" vertical="top"/>
    </xf>
    <xf numFmtId="0" fontId="55" fillId="41" borderId="7" xfId="0" applyFont="1" applyFill="1" applyBorder="1" applyAlignment="1">
      <alignment horizontal="center" vertical="top"/>
    </xf>
    <xf numFmtId="0" fontId="55" fillId="41" borderId="8" xfId="0" applyFont="1" applyFill="1" applyBorder="1" applyAlignment="1">
      <alignment horizontal="center" vertical="top"/>
    </xf>
    <xf numFmtId="0" fontId="5" fillId="30" borderId="18" xfId="0" applyFont="1" applyFill="1" applyBorder="1" applyAlignment="1">
      <alignment horizontal="left" vertical="top"/>
    </xf>
    <xf numFmtId="1" fontId="5" fillId="0" borderId="74" xfId="0" applyNumberFormat="1" applyFont="1" applyBorder="1" applyAlignment="1">
      <alignment horizontal="left" vertical="top"/>
    </xf>
    <xf numFmtId="0" fontId="5" fillId="0" borderId="40" xfId="0" applyFont="1" applyBorder="1" applyAlignment="1">
      <alignment horizontal="left" vertical="top"/>
    </xf>
    <xf numFmtId="165" fontId="5" fillId="0" borderId="58" xfId="0" applyNumberFormat="1" applyFont="1" applyBorder="1" applyAlignment="1">
      <alignment horizontal="left" vertical="top" shrinkToFit="1"/>
    </xf>
    <xf numFmtId="165" fontId="5" fillId="0" borderId="28" xfId="0" applyNumberFormat="1" applyFont="1" applyBorder="1" applyAlignment="1">
      <alignment horizontal="left" vertical="top" shrinkToFit="1"/>
    </xf>
    <xf numFmtId="0" fontId="5" fillId="0" borderId="96" xfId="0" applyFont="1" applyBorder="1" applyAlignment="1">
      <alignment horizontal="center" vertical="top"/>
    </xf>
    <xf numFmtId="0" fontId="5" fillId="0" borderId="40" xfId="0" applyFont="1" applyBorder="1" applyAlignment="1">
      <alignment horizontal="center" vertical="top"/>
    </xf>
    <xf numFmtId="0" fontId="5" fillId="0" borderId="58" xfId="0" applyFont="1" applyBorder="1" applyAlignment="1">
      <alignment horizontal="center" vertical="top"/>
    </xf>
    <xf numFmtId="0" fontId="5" fillId="0" borderId="22" xfId="0" applyFont="1" applyBorder="1" applyAlignment="1">
      <alignment horizontal="center" vertical="top"/>
    </xf>
    <xf numFmtId="0" fontId="5" fillId="0" borderId="65" xfId="0" applyFont="1" applyBorder="1" applyAlignment="1">
      <alignment horizontal="center" vertical="top"/>
    </xf>
    <xf numFmtId="165" fontId="20" fillId="0" borderId="72" xfId="0" applyNumberFormat="1" applyFont="1" applyBorder="1" applyAlignment="1">
      <alignment horizontal="right" vertical="top"/>
    </xf>
    <xf numFmtId="165" fontId="20" fillId="0" borderId="71" xfId="0" applyNumberFormat="1" applyFont="1" applyBorder="1" applyAlignment="1">
      <alignment horizontal="right" vertical="top"/>
    </xf>
    <xf numFmtId="165" fontId="20" fillId="20" borderId="70" xfId="0" applyNumberFormat="1" applyFont="1" applyFill="1" applyBorder="1" applyAlignment="1">
      <alignment horizontal="center" vertical="top" shrinkToFit="1"/>
    </xf>
    <xf numFmtId="165" fontId="20" fillId="20" borderId="76" xfId="0" applyNumberFormat="1" applyFont="1" applyFill="1" applyBorder="1" applyAlignment="1">
      <alignment horizontal="center" vertical="top" shrinkToFit="1"/>
    </xf>
    <xf numFmtId="0" fontId="5" fillId="0" borderId="27" xfId="0" applyFont="1" applyBorder="1" applyAlignment="1">
      <alignment horizontal="center" vertical="top" shrinkToFit="1"/>
    </xf>
    <xf numFmtId="0" fontId="5" fillId="0" borderId="65" xfId="0" applyFont="1" applyBorder="1" applyAlignment="1">
      <alignment horizontal="center" vertical="top" shrinkToFit="1"/>
    </xf>
    <xf numFmtId="0" fontId="5" fillId="0" borderId="58" xfId="0" applyFont="1" applyBorder="1" applyAlignment="1">
      <alignment horizontal="center" vertical="top" shrinkToFit="1"/>
    </xf>
    <xf numFmtId="0" fontId="5" fillId="0" borderId="58" xfId="0" applyFont="1" applyBorder="1" applyAlignment="1">
      <alignment horizontal="left" vertical="top"/>
    </xf>
    <xf numFmtId="0" fontId="5" fillId="0" borderId="22" xfId="0" applyFont="1" applyBorder="1" applyAlignment="1">
      <alignment horizontal="left" vertical="top"/>
    </xf>
    <xf numFmtId="0" fontId="5" fillId="0" borderId="65" xfId="0" applyFont="1" applyBorder="1" applyAlignment="1">
      <alignment horizontal="left" vertical="top"/>
    </xf>
    <xf numFmtId="0" fontId="14" fillId="0" borderId="58" xfId="0" applyFont="1" applyBorder="1" applyAlignment="1">
      <alignment horizontal="left" vertical="top"/>
    </xf>
    <xf numFmtId="0" fontId="14" fillId="0" borderId="22" xfId="0" applyFont="1" applyBorder="1" applyAlignment="1">
      <alignment horizontal="left" vertical="top"/>
    </xf>
    <xf numFmtId="0" fontId="14" fillId="0" borderId="65" xfId="0" applyFont="1" applyBorder="1" applyAlignment="1">
      <alignment horizontal="left" vertical="top"/>
    </xf>
    <xf numFmtId="0" fontId="5" fillId="0" borderId="58" xfId="0" applyFont="1" applyBorder="1" applyAlignment="1">
      <alignment horizontal="left" vertical="top" shrinkToFit="1"/>
    </xf>
    <xf numFmtId="0" fontId="5" fillId="0" borderId="22" xfId="0" applyFont="1" applyBorder="1" applyAlignment="1">
      <alignment horizontal="left" vertical="top" shrinkToFit="1"/>
    </xf>
    <xf numFmtId="0" fontId="5" fillId="0" borderId="65" xfId="0" applyFont="1" applyBorder="1" applyAlignment="1">
      <alignment horizontal="left" vertical="top" shrinkToFit="1"/>
    </xf>
    <xf numFmtId="0" fontId="7" fillId="0" borderId="68" xfId="0" applyFont="1" applyBorder="1" applyAlignment="1">
      <alignment horizontal="center" wrapText="1"/>
    </xf>
    <xf numFmtId="0" fontId="7" fillId="0" borderId="92" xfId="0" applyFont="1" applyBorder="1" applyAlignment="1">
      <alignment horizontal="center" wrapText="1"/>
    </xf>
    <xf numFmtId="0" fontId="5" fillId="0" borderId="93" xfId="0" applyFont="1" applyBorder="1" applyAlignment="1">
      <alignment horizontal="center" vertical="top" shrinkToFit="1"/>
    </xf>
    <xf numFmtId="0" fontId="5" fillId="0" borderId="86" xfId="0" applyFont="1" applyBorder="1" applyAlignment="1">
      <alignment horizontal="center" vertical="top" shrinkToFit="1"/>
    </xf>
    <xf numFmtId="0" fontId="5" fillId="0" borderId="87" xfId="0" applyFont="1" applyBorder="1" applyAlignment="1">
      <alignment horizontal="center" vertical="top" shrinkToFit="1"/>
    </xf>
    <xf numFmtId="0" fontId="5" fillId="0" borderId="87" xfId="0" applyFont="1" applyBorder="1" applyAlignment="1">
      <alignment horizontal="left" vertical="top" shrinkToFit="1"/>
    </xf>
    <xf numFmtId="0" fontId="5" fillId="0" borderId="88" xfId="0" applyFont="1" applyBorder="1" applyAlignment="1">
      <alignment horizontal="left" vertical="top" shrinkToFit="1"/>
    </xf>
    <xf numFmtId="0" fontId="5" fillId="0" borderId="86" xfId="0" applyFont="1" applyBorder="1" applyAlignment="1">
      <alignment horizontal="left" vertical="top" shrinkToFit="1"/>
    </xf>
    <xf numFmtId="0" fontId="14" fillId="0" borderId="87" xfId="0" applyFont="1" applyBorder="1" applyAlignment="1">
      <alignment horizontal="left" vertical="top"/>
    </xf>
    <xf numFmtId="0" fontId="14" fillId="0" borderId="88" xfId="0" applyFont="1" applyBorder="1" applyAlignment="1">
      <alignment horizontal="left" vertical="top"/>
    </xf>
    <xf numFmtId="0" fontId="14" fillId="0" borderId="86" xfId="0" applyFont="1" applyBorder="1" applyAlignment="1">
      <alignment horizontal="left" vertical="top"/>
    </xf>
    <xf numFmtId="0" fontId="5" fillId="0" borderId="89" xfId="0" applyFont="1" applyBorder="1" applyAlignment="1">
      <alignment horizontal="left" vertical="top"/>
    </xf>
    <xf numFmtId="165" fontId="5" fillId="0" borderId="87" xfId="0" applyNumberFormat="1" applyFont="1" applyBorder="1" applyAlignment="1">
      <alignment horizontal="left" vertical="top" shrinkToFit="1"/>
    </xf>
    <xf numFmtId="165" fontId="5" fillId="0" borderId="94" xfId="0" applyNumberFormat="1" applyFont="1" applyBorder="1" applyAlignment="1">
      <alignment horizontal="left" vertical="top" shrinkToFit="1"/>
    </xf>
    <xf numFmtId="165" fontId="5" fillId="0" borderId="69" xfId="0" applyNumberFormat="1" applyFont="1" applyBorder="1" applyAlignment="1">
      <alignment horizontal="left" vertical="top" shrinkToFit="1"/>
    </xf>
    <xf numFmtId="165" fontId="5" fillId="0" borderId="95" xfId="0" applyNumberFormat="1" applyFont="1" applyBorder="1" applyAlignment="1">
      <alignment horizontal="left" vertical="top" shrinkToFit="1"/>
    </xf>
    <xf numFmtId="165" fontId="20" fillId="20" borderId="58" xfId="0" applyNumberFormat="1" applyFont="1" applyFill="1" applyBorder="1" applyAlignment="1">
      <alignment horizontal="center" vertical="top"/>
    </xf>
    <xf numFmtId="165" fontId="20" fillId="20" borderId="65" xfId="0" applyNumberFormat="1" applyFont="1" applyFill="1" applyBorder="1" applyAlignment="1">
      <alignment horizontal="center" vertical="top"/>
    </xf>
    <xf numFmtId="165" fontId="20" fillId="20" borderId="58" xfId="0" applyNumberFormat="1" applyFont="1" applyFill="1" applyBorder="1" applyAlignment="1">
      <alignment horizontal="center" vertical="top" shrinkToFit="1"/>
    </xf>
    <xf numFmtId="165" fontId="20" fillId="20" borderId="28" xfId="0" applyNumberFormat="1" applyFont="1" applyFill="1" applyBorder="1" applyAlignment="1">
      <alignment horizontal="center" vertical="top" shrinkToFit="1"/>
    </xf>
    <xf numFmtId="0" fontId="7" fillId="0" borderId="91" xfId="0" applyFont="1" applyBorder="1" applyAlignment="1">
      <alignment horizontal="center" wrapText="1"/>
    </xf>
    <xf numFmtId="165" fontId="5" fillId="0" borderId="65" xfId="0" applyNumberFormat="1" applyFont="1" applyBorder="1" applyAlignment="1">
      <alignment horizontal="left" vertical="top" shrinkToFit="1"/>
    </xf>
    <xf numFmtId="0" fontId="5" fillId="0" borderId="57" xfId="0" applyFont="1" applyBorder="1" applyAlignment="1">
      <alignment horizontal="center" vertical="top" shrinkToFit="1"/>
    </xf>
    <xf numFmtId="0" fontId="5" fillId="0" borderId="21" xfId="0" applyFont="1" applyBorder="1" applyAlignment="1">
      <alignment horizontal="center" vertical="top" shrinkToFit="1"/>
    </xf>
    <xf numFmtId="0" fontId="5" fillId="0" borderId="40" xfId="0" applyFont="1" applyBorder="1" applyAlignment="1">
      <alignment horizontal="left" vertical="top" shrinkToFit="1"/>
    </xf>
    <xf numFmtId="165" fontId="5" fillId="0" borderId="69" xfId="0" quotePrefix="1" applyNumberFormat="1" applyFont="1" applyBorder="1" applyAlignment="1">
      <alignment horizontal="center" vertical="top" shrinkToFit="1"/>
    </xf>
    <xf numFmtId="165" fontId="5" fillId="0" borderId="69" xfId="0" applyNumberFormat="1" applyFont="1" applyBorder="1" applyAlignment="1">
      <alignment horizontal="center" vertical="top" shrinkToFit="1"/>
    </xf>
    <xf numFmtId="165" fontId="5" fillId="0" borderId="86" xfId="0" applyNumberFormat="1" applyFont="1" applyBorder="1" applyAlignment="1">
      <alignment horizontal="left" vertical="top" shrinkToFit="1"/>
    </xf>
    <xf numFmtId="164" fontId="5" fillId="0" borderId="59" xfId="0" applyNumberFormat="1" applyFont="1" applyBorder="1" applyAlignment="1">
      <alignment horizontal="right" vertical="top"/>
    </xf>
    <xf numFmtId="164" fontId="5" fillId="0" borderId="63" xfId="0" applyNumberFormat="1" applyFont="1" applyBorder="1" applyAlignment="1">
      <alignment horizontal="right" vertical="top"/>
    </xf>
    <xf numFmtId="164" fontId="5" fillId="0" borderId="31" xfId="0" applyNumberFormat="1" applyFont="1" applyBorder="1" applyAlignment="1">
      <alignment horizontal="right" vertical="top"/>
    </xf>
    <xf numFmtId="0" fontId="5" fillId="19" borderId="29" xfId="0" applyFont="1" applyFill="1" applyBorder="1" applyAlignment="1" applyProtection="1">
      <alignment horizontal="left" vertical="top"/>
    </xf>
    <xf numFmtId="0" fontId="5" fillId="19" borderId="63" xfId="0" applyFont="1" applyFill="1" applyBorder="1" applyAlignment="1" applyProtection="1">
      <alignment horizontal="left" vertical="top"/>
    </xf>
    <xf numFmtId="164" fontId="5" fillId="0" borderId="58" xfId="0" applyNumberFormat="1" applyFont="1" applyBorder="1" applyAlignment="1">
      <alignment horizontal="right" vertical="top"/>
    </xf>
    <xf numFmtId="164" fontId="5" fillId="0" borderId="65" xfId="0" applyNumberFormat="1" applyFont="1" applyBorder="1" applyAlignment="1">
      <alignment horizontal="right" vertical="top"/>
    </xf>
    <xf numFmtId="164" fontId="5" fillId="0" borderId="28" xfId="0" applyNumberFormat="1" applyFont="1" applyBorder="1" applyAlignment="1">
      <alignment horizontal="right" vertical="top"/>
    </xf>
    <xf numFmtId="0" fontId="5" fillId="19" borderId="27" xfId="0" applyFont="1" applyFill="1" applyBorder="1" applyAlignment="1" applyProtection="1">
      <alignment horizontal="left" vertical="top"/>
    </xf>
    <xf numFmtId="0" fontId="5" fillId="19" borderId="65" xfId="0" applyFont="1" applyFill="1" applyBorder="1" applyAlignment="1" applyProtection="1">
      <alignment horizontal="left" vertical="top"/>
    </xf>
    <xf numFmtId="164" fontId="5" fillId="0" borderId="83" xfId="0" applyNumberFormat="1" applyFont="1" applyBorder="1" applyAlignment="1">
      <alignment horizontal="right" vertical="top"/>
    </xf>
    <xf numFmtId="164" fontId="5" fillId="0" borderId="85" xfId="0" applyNumberFormat="1" applyFont="1" applyBorder="1" applyAlignment="1">
      <alignment horizontal="right" vertical="top"/>
    </xf>
    <xf numFmtId="164" fontId="5" fillId="0" borderId="84" xfId="0" applyNumberFormat="1" applyFont="1" applyBorder="1" applyAlignment="1">
      <alignment horizontal="right" vertical="top"/>
    </xf>
    <xf numFmtId="164" fontId="5" fillId="19" borderId="59" xfId="0" applyNumberFormat="1" applyFont="1" applyFill="1" applyBorder="1" applyAlignment="1">
      <alignment horizontal="right" vertical="top"/>
    </xf>
    <xf numFmtId="164" fontId="5" fillId="19" borderId="63" xfId="0" applyNumberFormat="1" applyFont="1" applyFill="1" applyBorder="1" applyAlignment="1">
      <alignment horizontal="right" vertical="top"/>
    </xf>
    <xf numFmtId="164" fontId="5" fillId="19" borderId="31" xfId="0" applyNumberFormat="1" applyFont="1" applyFill="1" applyBorder="1" applyAlignment="1">
      <alignment horizontal="right" vertical="top"/>
    </xf>
    <xf numFmtId="0" fontId="5" fillId="19" borderId="44" xfId="0" applyFont="1" applyFill="1" applyBorder="1" applyAlignment="1" applyProtection="1">
      <alignment horizontal="left" vertical="top"/>
    </xf>
    <xf numFmtId="0" fontId="5" fillId="19" borderId="82" xfId="0" applyFont="1" applyFill="1" applyBorder="1" applyAlignment="1" applyProtection="1">
      <alignment horizontal="left" vertical="top"/>
    </xf>
    <xf numFmtId="164" fontId="5" fillId="19" borderId="83" xfId="0" applyNumberFormat="1" applyFont="1" applyFill="1" applyBorder="1" applyAlignment="1">
      <alignment horizontal="right" vertical="top"/>
    </xf>
    <xf numFmtId="164" fontId="5" fillId="19" borderId="84" xfId="0" applyNumberFormat="1" applyFont="1" applyFill="1" applyBorder="1" applyAlignment="1">
      <alignment horizontal="right" vertical="top"/>
    </xf>
    <xf numFmtId="164" fontId="5" fillId="19" borderId="85" xfId="0" applyNumberFormat="1" applyFont="1" applyFill="1" applyBorder="1" applyAlignment="1">
      <alignment horizontal="right" vertical="top"/>
    </xf>
    <xf numFmtId="0" fontId="5" fillId="19" borderId="11" xfId="0" applyFont="1" applyFill="1" applyBorder="1" applyAlignment="1">
      <alignment horizontal="right" vertical="top"/>
    </xf>
    <xf numFmtId="0" fontId="5" fillId="19" borderId="67" xfId="0" applyFont="1" applyFill="1" applyBorder="1" applyAlignment="1">
      <alignment horizontal="right" vertical="top"/>
    </xf>
    <xf numFmtId="164" fontId="5" fillId="27" borderId="90" xfId="0" applyNumberFormat="1" applyFont="1" applyFill="1" applyBorder="1" applyAlignment="1">
      <alignment horizontal="right" vertical="top"/>
    </xf>
    <xf numFmtId="164" fontId="5" fillId="27" borderId="64" xfId="0" applyNumberFormat="1" applyFont="1" applyFill="1" applyBorder="1" applyAlignment="1">
      <alignment horizontal="right" vertical="top"/>
    </xf>
    <xf numFmtId="164" fontId="5" fillId="27" borderId="8" xfId="0" applyNumberFormat="1" applyFont="1" applyFill="1" applyBorder="1" applyAlignment="1">
      <alignment horizontal="right" vertical="top"/>
    </xf>
    <xf numFmtId="0" fontId="5" fillId="19" borderId="14" xfId="0" applyFont="1" applyFill="1" applyBorder="1" applyAlignment="1">
      <alignment horizontal="right" vertical="top"/>
    </xf>
    <xf numFmtId="0" fontId="5" fillId="19" borderId="66" xfId="0" applyFont="1" applyFill="1" applyBorder="1" applyAlignment="1">
      <alignment horizontal="right" vertical="top"/>
    </xf>
    <xf numFmtId="49" fontId="32" fillId="0" borderId="0" xfId="0" applyNumberFormat="1" applyFont="1" applyFill="1" applyBorder="1" applyAlignment="1">
      <alignment horizontal="center" vertical="top"/>
    </xf>
    <xf numFmtId="17" fontId="32" fillId="0" borderId="0" xfId="0" applyNumberFormat="1" applyFont="1" applyFill="1" applyBorder="1" applyAlignment="1">
      <alignment horizontal="center" vertical="top"/>
    </xf>
    <xf numFmtId="17" fontId="32" fillId="0" borderId="2" xfId="0" applyNumberFormat="1" applyFont="1" applyFill="1" applyBorder="1" applyAlignment="1">
      <alignment horizontal="center" vertical="top"/>
    </xf>
    <xf numFmtId="0" fontId="5" fillId="27" borderId="74" xfId="0" applyFont="1" applyFill="1" applyBorder="1" applyAlignment="1">
      <alignment horizontal="right" vertical="top"/>
    </xf>
    <xf numFmtId="0" fontId="5" fillId="27" borderId="64" xfId="0" applyFont="1" applyFill="1" applyBorder="1" applyAlignment="1">
      <alignment horizontal="right" vertical="top"/>
    </xf>
    <xf numFmtId="0" fontId="5" fillId="30" borderId="36" xfId="0" applyFont="1" applyFill="1" applyBorder="1" applyAlignment="1">
      <alignment horizontal="left" vertical="top"/>
    </xf>
    <xf numFmtId="164" fontId="5" fillId="0" borderId="37" xfId="0" applyNumberFormat="1" applyFont="1" applyBorder="1" applyAlignment="1">
      <alignment horizontal="center" vertical="top"/>
    </xf>
    <xf numFmtId="164" fontId="5" fillId="0" borderId="2" xfId="0" applyNumberFormat="1" applyFont="1" applyBorder="1" applyAlignment="1">
      <alignment horizontal="center" vertical="top"/>
    </xf>
    <xf numFmtId="164" fontId="5" fillId="0" borderId="17" xfId="0" applyNumberFormat="1" applyFont="1" applyBorder="1" applyAlignment="1">
      <alignment horizontal="center" vertical="top"/>
    </xf>
    <xf numFmtId="164" fontId="5" fillId="0" borderId="36" xfId="0" applyNumberFormat="1" applyFont="1" applyBorder="1" applyAlignment="1">
      <alignment horizontal="center" vertical="top"/>
    </xf>
    <xf numFmtId="0" fontId="5" fillId="30" borderId="51" xfId="0" applyFont="1" applyFill="1" applyBorder="1" applyAlignment="1">
      <alignment horizontal="left" vertical="top"/>
    </xf>
    <xf numFmtId="0" fontId="5" fillId="30" borderId="42" xfId="0" applyFont="1" applyFill="1" applyBorder="1" applyAlignment="1">
      <alignment horizontal="left" vertical="top"/>
    </xf>
    <xf numFmtId="0" fontId="5" fillId="30" borderId="46" xfId="0" applyFont="1" applyFill="1" applyBorder="1" applyAlignment="1">
      <alignment horizontal="left" vertical="top"/>
    </xf>
    <xf numFmtId="164" fontId="5" fillId="0" borderId="41" xfId="0" applyNumberFormat="1" applyFont="1" applyBorder="1" applyAlignment="1">
      <alignment horizontal="center" vertical="top"/>
    </xf>
    <xf numFmtId="164" fontId="5" fillId="0" borderId="48" xfId="0" applyNumberFormat="1" applyFont="1" applyBorder="1" applyAlignment="1">
      <alignment horizontal="center" vertical="top"/>
    </xf>
    <xf numFmtId="164" fontId="5" fillId="0" borderId="51" xfId="0" applyNumberFormat="1" applyFont="1" applyBorder="1" applyAlignment="1">
      <alignment horizontal="center" vertical="top"/>
    </xf>
    <xf numFmtId="164" fontId="5" fillId="0" borderId="46" xfId="0" applyNumberFormat="1" applyFont="1" applyBorder="1" applyAlignment="1">
      <alignment horizontal="center" vertical="top"/>
    </xf>
    <xf numFmtId="0" fontId="15" fillId="41" borderId="32" xfId="0" applyFont="1" applyFill="1" applyBorder="1" applyAlignment="1">
      <alignment horizontal="center" vertical="top" shrinkToFit="1"/>
    </xf>
    <xf numFmtId="0" fontId="15" fillId="41" borderId="33" xfId="0" applyFont="1" applyFill="1" applyBorder="1" applyAlignment="1">
      <alignment horizontal="center" vertical="top" shrinkToFit="1"/>
    </xf>
    <xf numFmtId="0" fontId="5" fillId="30" borderId="54" xfId="0" applyFont="1" applyFill="1" applyBorder="1" applyAlignment="1">
      <alignment horizontal="left" vertical="top"/>
    </xf>
    <xf numFmtId="0" fontId="5" fillId="30" borderId="33" xfId="0" applyFont="1" applyFill="1" applyBorder="1" applyAlignment="1">
      <alignment horizontal="left" vertical="top"/>
    </xf>
    <xf numFmtId="0" fontId="5" fillId="30" borderId="34" xfId="0" applyFont="1" applyFill="1" applyBorder="1" applyAlignment="1">
      <alignment horizontal="left" vertical="top"/>
    </xf>
    <xf numFmtId="164" fontId="5" fillId="0" borderId="32" xfId="0" applyNumberFormat="1" applyFont="1" applyBorder="1" applyAlignment="1">
      <alignment horizontal="center" vertical="top"/>
    </xf>
    <xf numFmtId="164" fontId="5" fillId="0" borderId="47" xfId="0" applyNumberFormat="1" applyFont="1" applyBorder="1" applyAlignment="1">
      <alignment horizontal="center" vertical="top"/>
    </xf>
    <xf numFmtId="164" fontId="5" fillId="0" borderId="54" xfId="0" applyNumberFormat="1" applyFont="1" applyBorder="1" applyAlignment="1">
      <alignment horizontal="center" vertical="top"/>
    </xf>
    <xf numFmtId="164" fontId="5" fillId="0" borderId="34" xfId="0" applyNumberFormat="1" applyFont="1" applyBorder="1" applyAlignment="1">
      <alignment horizontal="center" vertical="top"/>
    </xf>
    <xf numFmtId="0" fontId="5" fillId="31" borderId="0" xfId="0" applyFont="1" applyFill="1" applyBorder="1" applyAlignment="1">
      <alignment horizontal="left" vertical="top"/>
    </xf>
    <xf numFmtId="0" fontId="5" fillId="31" borderId="36" xfId="0" applyFont="1" applyFill="1" applyBorder="1" applyAlignment="1">
      <alignment horizontal="left" vertical="top"/>
    </xf>
    <xf numFmtId="170" fontId="5" fillId="0" borderId="37" xfId="0" applyNumberFormat="1" applyFont="1" applyBorder="1" applyAlignment="1">
      <alignment horizontal="center" vertical="top"/>
    </xf>
    <xf numFmtId="170" fontId="5" fillId="0" borderId="2" xfId="0" applyNumberFormat="1" applyFont="1" applyBorder="1" applyAlignment="1">
      <alignment horizontal="center" vertical="top"/>
    </xf>
    <xf numFmtId="164" fontId="5" fillId="0" borderId="75" xfId="0" applyNumberFormat="1" applyFont="1" applyBorder="1" applyAlignment="1">
      <alignment horizontal="center" vertical="top"/>
    </xf>
    <xf numFmtId="164" fontId="5" fillId="0" borderId="73" xfId="0" applyNumberFormat="1" applyFont="1" applyBorder="1" applyAlignment="1">
      <alignment horizontal="center" vertical="top"/>
    </xf>
    <xf numFmtId="0" fontId="5" fillId="30" borderId="21" xfId="0" applyFont="1" applyFill="1" applyBorder="1" applyAlignment="1">
      <alignment horizontal="left" vertical="top"/>
    </xf>
    <xf numFmtId="0" fontId="5" fillId="30" borderId="61" xfId="0" applyFont="1" applyFill="1" applyBorder="1" applyAlignment="1">
      <alignment horizontal="left" vertical="top"/>
    </xf>
    <xf numFmtId="164" fontId="5" fillId="0" borderId="57" xfId="0" applyNumberFormat="1" applyFont="1" applyBorder="1" applyAlignment="1">
      <alignment horizontal="center" vertical="top"/>
    </xf>
    <xf numFmtId="164" fontId="5" fillId="0" borderId="56" xfId="0" applyNumberFormat="1" applyFont="1" applyBorder="1" applyAlignment="1">
      <alignment horizontal="center" vertical="top"/>
    </xf>
    <xf numFmtId="164" fontId="5" fillId="0" borderId="61" xfId="0" applyNumberFormat="1" applyFont="1" applyBorder="1" applyAlignment="1">
      <alignment horizontal="center" vertical="top"/>
    </xf>
    <xf numFmtId="164" fontId="5" fillId="0" borderId="55" xfId="0" applyNumberFormat="1" applyFont="1" applyBorder="1" applyAlignment="1">
      <alignment horizontal="center" vertical="top"/>
    </xf>
    <xf numFmtId="0" fontId="27" fillId="41" borderId="0" xfId="0" applyFont="1" applyFill="1" applyBorder="1" applyAlignment="1">
      <alignment horizontal="right" vertical="center" textRotation="90"/>
    </xf>
    <xf numFmtId="0" fontId="5" fillId="31" borderId="72" xfId="0" applyFont="1" applyFill="1" applyBorder="1" applyAlignment="1">
      <alignment horizontal="left" vertical="top"/>
    </xf>
    <xf numFmtId="0" fontId="5" fillId="31" borderId="73" xfId="0" applyFont="1" applyFill="1" applyBorder="1" applyAlignment="1">
      <alignment horizontal="left" vertical="top"/>
    </xf>
    <xf numFmtId="170" fontId="5" fillId="0" borderId="75" xfId="0" applyNumberFormat="1" applyFont="1" applyBorder="1" applyAlignment="1">
      <alignment horizontal="center" vertical="top"/>
    </xf>
    <xf numFmtId="170" fontId="5" fillId="0" borderId="76" xfId="0" applyNumberFormat="1" applyFont="1" applyBorder="1" applyAlignment="1">
      <alignment horizontal="center" vertical="top"/>
    </xf>
    <xf numFmtId="164" fontId="5" fillId="0" borderId="77" xfId="0" applyNumberFormat="1" applyFont="1" applyBorder="1" applyAlignment="1">
      <alignment horizontal="center" vertical="top"/>
    </xf>
    <xf numFmtId="164" fontId="5" fillId="0" borderId="76" xfId="0" applyNumberFormat="1" applyFont="1" applyBorder="1" applyAlignment="1">
      <alignment horizontal="center" vertical="top"/>
    </xf>
    <xf numFmtId="164" fontId="5" fillId="0" borderId="35" xfId="0" applyNumberFormat="1" applyFont="1" applyBorder="1" applyAlignment="1">
      <alignment horizontal="center" vertical="top"/>
    </xf>
    <xf numFmtId="164" fontId="5" fillId="0" borderId="39" xfId="0" applyNumberFormat="1" applyFont="1" applyBorder="1" applyAlignment="1">
      <alignment horizontal="center" vertical="top"/>
    </xf>
    <xf numFmtId="0" fontId="9" fillId="41" borderId="52" xfId="0" applyFont="1" applyFill="1" applyBorder="1" applyAlignment="1">
      <alignment horizontal="center" vertical="top"/>
    </xf>
    <xf numFmtId="0" fontId="9" fillId="41" borderId="62" xfId="0" applyFont="1" applyFill="1" applyBorder="1" applyAlignment="1">
      <alignment horizontal="center" vertical="top"/>
    </xf>
    <xf numFmtId="0" fontId="9" fillId="41" borderId="50" xfId="0" applyFont="1" applyFill="1" applyBorder="1" applyAlignment="1">
      <alignment horizontal="center" vertical="top"/>
    </xf>
    <xf numFmtId="0" fontId="9" fillId="41" borderId="53" xfId="0" applyFont="1" applyFill="1" applyBorder="1" applyAlignment="1">
      <alignment horizontal="center" vertical="top"/>
    </xf>
    <xf numFmtId="0" fontId="18" fillId="41" borderId="32" xfId="0" applyFont="1" applyFill="1" applyBorder="1" applyAlignment="1">
      <alignment horizontal="center" vertical="top"/>
    </xf>
    <xf numFmtId="0" fontId="18" fillId="41" borderId="33" xfId="0" applyFont="1" applyFill="1" applyBorder="1" applyAlignment="1">
      <alignment horizontal="center" vertical="top"/>
    </xf>
    <xf numFmtId="164" fontId="5" fillId="0" borderId="18" xfId="0" applyNumberFormat="1" applyFont="1" applyBorder="1" applyAlignment="1">
      <alignment horizontal="center" vertical="top"/>
    </xf>
    <xf numFmtId="164" fontId="5" fillId="0" borderId="14" xfId="0" applyNumberFormat="1" applyFont="1" applyBorder="1" applyAlignment="1">
      <alignment horizontal="center" vertical="top"/>
    </xf>
    <xf numFmtId="0" fontId="5" fillId="30" borderId="11" xfId="0" applyFont="1" applyFill="1" applyBorder="1" applyAlignment="1">
      <alignment horizontal="left" vertical="top" shrinkToFit="1"/>
    </xf>
    <xf numFmtId="0" fontId="5" fillId="30" borderId="5" xfId="0" applyFont="1" applyFill="1" applyBorder="1" applyAlignment="1">
      <alignment horizontal="left" vertical="top" shrinkToFit="1"/>
    </xf>
    <xf numFmtId="0" fontId="5" fillId="30" borderId="12" xfId="0" applyFont="1" applyFill="1" applyBorder="1" applyAlignment="1">
      <alignment horizontal="left" vertical="top" shrinkToFit="1"/>
    </xf>
    <xf numFmtId="164" fontId="5" fillId="20" borderId="13" xfId="0" applyNumberFormat="1" applyFont="1" applyFill="1" applyBorder="1" applyAlignment="1">
      <alignment horizontal="center" vertical="top"/>
    </xf>
    <xf numFmtId="0" fontId="2" fillId="41" borderId="16" xfId="0" applyFont="1" applyFill="1" applyBorder="1" applyAlignment="1">
      <alignment horizontal="center" vertical="top"/>
    </xf>
    <xf numFmtId="0" fontId="2" fillId="41" borderId="7" xfId="0" applyFont="1" applyFill="1" applyBorder="1" applyAlignment="1">
      <alignment horizontal="center" vertical="top"/>
    </xf>
    <xf numFmtId="0" fontId="2" fillId="41" borderId="8" xfId="0" applyFont="1" applyFill="1" applyBorder="1" applyAlignment="1">
      <alignment horizontal="center" vertical="top"/>
    </xf>
    <xf numFmtId="0" fontId="5" fillId="30" borderId="14" xfId="0" applyFont="1" applyFill="1" applyBorder="1" applyAlignment="1">
      <alignment horizontal="center" vertical="top"/>
    </xf>
    <xf numFmtId="0" fontId="5" fillId="30" borderId="18" xfId="0" applyFont="1" applyFill="1" applyBorder="1" applyAlignment="1">
      <alignment horizontal="center" vertical="top"/>
    </xf>
    <xf numFmtId="49" fontId="5" fillId="0" borderId="16" xfId="0" applyNumberFormat="1" applyFont="1" applyBorder="1" applyAlignment="1">
      <alignment horizontal="center" vertical="top"/>
    </xf>
    <xf numFmtId="49" fontId="5" fillId="0" borderId="7" xfId="0" applyNumberFormat="1" applyFont="1" applyBorder="1" applyAlignment="1">
      <alignment horizontal="center" vertical="top"/>
    </xf>
    <xf numFmtId="49" fontId="5" fillId="0" borderId="8" xfId="0" applyNumberFormat="1" applyFont="1" applyBorder="1" applyAlignment="1">
      <alignment horizontal="center" vertical="top"/>
    </xf>
    <xf numFmtId="0" fontId="25" fillId="30" borderId="19" xfId="0" applyFont="1" applyFill="1" applyBorder="1" applyAlignment="1">
      <alignment horizontal="center" vertical="center"/>
    </xf>
    <xf numFmtId="0" fontId="25" fillId="30" borderId="18" xfId="0" applyFont="1" applyFill="1" applyBorder="1" applyAlignment="1">
      <alignment horizontal="center" vertical="center"/>
    </xf>
    <xf numFmtId="0" fontId="25" fillId="30" borderId="5" xfId="0" applyFont="1" applyFill="1" applyBorder="1" applyAlignment="1">
      <alignment horizontal="center" vertical="center"/>
    </xf>
    <xf numFmtId="0" fontId="25" fillId="30" borderId="12" xfId="0" applyFont="1" applyFill="1" applyBorder="1" applyAlignment="1">
      <alignment horizontal="center" vertical="center"/>
    </xf>
    <xf numFmtId="1" fontId="31" fillId="5" borderId="14" xfId="0" applyNumberFormat="1" applyFont="1" applyFill="1" applyBorder="1" applyAlignment="1">
      <alignment horizontal="center" vertical="center"/>
    </xf>
    <xf numFmtId="0" fontId="31" fillId="5" borderId="18" xfId="0" applyFont="1" applyFill="1" applyBorder="1" applyAlignment="1">
      <alignment horizontal="center" vertical="center"/>
    </xf>
    <xf numFmtId="0" fontId="31" fillId="5" borderId="11" xfId="0" applyFont="1" applyFill="1" applyBorder="1" applyAlignment="1">
      <alignment horizontal="center" vertical="center"/>
    </xf>
    <xf numFmtId="0" fontId="31" fillId="5" borderId="12" xfId="0" applyFont="1" applyFill="1" applyBorder="1" applyAlignment="1">
      <alignment horizontal="center" vertical="center"/>
    </xf>
    <xf numFmtId="0" fontId="5" fillId="30" borderId="11" xfId="0" applyFont="1" applyFill="1" applyBorder="1" applyAlignment="1">
      <alignment horizontal="center" vertical="top"/>
    </xf>
    <xf numFmtId="0" fontId="5" fillId="30" borderId="12" xfId="0" applyFont="1" applyFill="1" applyBorder="1" applyAlignment="1">
      <alignment horizontal="center" vertical="top"/>
    </xf>
    <xf numFmtId="164" fontId="5" fillId="20" borderId="20" xfId="0" applyNumberFormat="1" applyFont="1" applyFill="1" applyBorder="1" applyAlignment="1">
      <alignment horizontal="center" vertical="top"/>
    </xf>
    <xf numFmtId="0" fontId="5" fillId="30" borderId="17" xfId="0" applyFont="1" applyFill="1" applyBorder="1" applyAlignment="1">
      <alignment horizontal="left" vertical="top" shrinkToFit="1"/>
    </xf>
    <xf numFmtId="0" fontId="5" fillId="30" borderId="0" xfId="0" applyFont="1" applyFill="1" applyBorder="1" applyAlignment="1">
      <alignment horizontal="left" vertical="top" shrinkToFit="1"/>
    </xf>
    <xf numFmtId="0" fontId="5" fillId="30" borderId="2" xfId="0" applyFont="1" applyFill="1" applyBorder="1" applyAlignment="1">
      <alignment horizontal="left" vertical="top" shrinkToFit="1"/>
    </xf>
    <xf numFmtId="0" fontId="5" fillId="0" borderId="14" xfId="0" applyFont="1" applyBorder="1" applyAlignment="1">
      <alignment horizontal="left" vertical="top" wrapText="1"/>
    </xf>
    <xf numFmtId="0" fontId="5" fillId="0" borderId="19" xfId="0" applyFont="1" applyBorder="1" applyAlignment="1">
      <alignment horizontal="left" vertical="top" wrapText="1"/>
    </xf>
    <xf numFmtId="0" fontId="5" fillId="0" borderId="18" xfId="0" applyFont="1" applyBorder="1" applyAlignment="1">
      <alignment horizontal="left" vertical="top" wrapText="1"/>
    </xf>
    <xf numFmtId="0" fontId="5" fillId="0" borderId="17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5" fillId="0" borderId="11" xfId="0" applyFont="1" applyBorder="1" applyAlignment="1">
      <alignment horizontal="left" vertical="top" wrapText="1"/>
    </xf>
    <xf numFmtId="0" fontId="5" fillId="0" borderId="5" xfId="0" applyFont="1" applyBorder="1" applyAlignment="1">
      <alignment horizontal="left" vertical="top" wrapText="1"/>
    </xf>
    <xf numFmtId="0" fontId="5" fillId="0" borderId="12" xfId="0" applyFont="1" applyBorder="1" applyAlignment="1">
      <alignment horizontal="left" vertical="top" wrapText="1"/>
    </xf>
    <xf numFmtId="0" fontId="5" fillId="0" borderId="74" xfId="0" applyFont="1" applyBorder="1" applyAlignment="1">
      <alignment vertical="top" shrinkToFit="1"/>
    </xf>
    <xf numFmtId="0" fontId="5" fillId="0" borderId="7" xfId="0" applyFont="1" applyBorder="1" applyAlignment="1">
      <alignment vertical="top" shrinkToFit="1"/>
    </xf>
    <xf numFmtId="0" fontId="5" fillId="0" borderId="8" xfId="0" applyFont="1" applyBorder="1" applyAlignment="1">
      <alignment vertical="top" shrinkToFit="1"/>
    </xf>
    <xf numFmtId="0" fontId="5" fillId="30" borderId="14" xfId="0" applyFont="1" applyFill="1" applyBorder="1" applyAlignment="1">
      <alignment horizontal="left" vertical="top" shrinkToFit="1"/>
    </xf>
    <xf numFmtId="0" fontId="5" fillId="30" borderId="19" xfId="0" applyFont="1" applyFill="1" applyBorder="1" applyAlignment="1">
      <alignment horizontal="left" vertical="top" shrinkToFit="1"/>
    </xf>
    <xf numFmtId="0" fontId="5" fillId="30" borderId="18" xfId="0" applyFont="1" applyFill="1" applyBorder="1" applyAlignment="1">
      <alignment horizontal="left" vertical="top" shrinkToFit="1"/>
    </xf>
    <xf numFmtId="164" fontId="5" fillId="20" borderId="14" xfId="0" applyNumberFormat="1" applyFont="1" applyFill="1" applyBorder="1" applyAlignment="1">
      <alignment horizontal="center" vertical="top"/>
    </xf>
    <xf numFmtId="164" fontId="5" fillId="20" borderId="18" xfId="0" applyNumberFormat="1" applyFont="1" applyFill="1" applyBorder="1" applyAlignment="1">
      <alignment horizontal="center" vertical="top"/>
    </xf>
    <xf numFmtId="0" fontId="23" fillId="0" borderId="19" xfId="0" applyFont="1" applyBorder="1" applyAlignment="1">
      <alignment horizontal="center" vertical="top"/>
    </xf>
    <xf numFmtId="0" fontId="23" fillId="0" borderId="0" xfId="0" applyFont="1" applyBorder="1" applyAlignment="1">
      <alignment horizontal="center" vertical="top"/>
    </xf>
    <xf numFmtId="49" fontId="5" fillId="0" borderId="11" xfId="0" applyNumberFormat="1" applyFont="1" applyBorder="1" applyAlignment="1">
      <alignment horizontal="left" vertical="top" shrinkToFit="1"/>
    </xf>
    <xf numFmtId="0" fontId="5" fillId="0" borderId="5" xfId="0" applyNumberFormat="1" applyFont="1" applyBorder="1" applyAlignment="1">
      <alignment horizontal="left" vertical="top" shrinkToFit="1"/>
    </xf>
    <xf numFmtId="0" fontId="5" fillId="0" borderId="12" xfId="0" applyNumberFormat="1" applyFont="1" applyBorder="1" applyAlignment="1">
      <alignment horizontal="left" vertical="top" shrinkToFit="1"/>
    </xf>
    <xf numFmtId="164" fontId="5" fillId="20" borderId="11" xfId="0" applyNumberFormat="1" applyFont="1" applyFill="1" applyBorder="1" applyAlignment="1">
      <alignment horizontal="center" vertical="top"/>
    </xf>
    <xf numFmtId="164" fontId="5" fillId="20" borderId="12" xfId="0" applyNumberFormat="1" applyFont="1" applyFill="1" applyBorder="1" applyAlignment="1">
      <alignment horizontal="center" vertical="top"/>
    </xf>
    <xf numFmtId="0" fontId="5" fillId="38" borderId="11" xfId="0" applyFont="1" applyFill="1" applyBorder="1" applyAlignment="1">
      <alignment horizontal="left" vertical="top" indent="1"/>
    </xf>
    <xf numFmtId="0" fontId="5" fillId="38" borderId="5" xfId="0" applyFont="1" applyFill="1" applyBorder="1" applyAlignment="1">
      <alignment horizontal="left" vertical="top" indent="1"/>
    </xf>
    <xf numFmtId="0" fontId="5" fillId="38" borderId="12" xfId="0" applyFont="1" applyFill="1" applyBorder="1" applyAlignment="1">
      <alignment horizontal="left" vertical="top" indent="1"/>
    </xf>
    <xf numFmtId="49" fontId="5" fillId="0" borderId="74" xfId="0" applyNumberFormat="1" applyFont="1" applyBorder="1" applyAlignment="1">
      <alignment horizontal="left" vertical="top" wrapText="1"/>
    </xf>
    <xf numFmtId="0" fontId="5" fillId="0" borderId="7" xfId="0" applyNumberFormat="1" applyFont="1" applyBorder="1" applyAlignment="1">
      <alignment horizontal="left" vertical="top" wrapText="1"/>
    </xf>
    <xf numFmtId="0" fontId="5" fillId="0" borderId="8" xfId="0" applyNumberFormat="1" applyFont="1" applyBorder="1" applyAlignment="1">
      <alignment horizontal="left" vertical="top" wrapText="1"/>
    </xf>
    <xf numFmtId="0" fontId="5" fillId="0" borderId="11" xfId="0" applyFont="1" applyBorder="1" applyAlignment="1">
      <alignment horizontal="left" vertical="top" shrinkToFit="1"/>
    </xf>
    <xf numFmtId="0" fontId="5" fillId="0" borderId="5" xfId="0" applyFont="1" applyBorder="1" applyAlignment="1">
      <alignment horizontal="left" vertical="top" shrinkToFit="1"/>
    </xf>
    <xf numFmtId="0" fontId="5" fillId="0" borderId="12" xfId="0" applyFont="1" applyBorder="1" applyAlignment="1">
      <alignment horizontal="left" vertical="top" shrinkToFit="1"/>
    </xf>
    <xf numFmtId="0" fontId="5" fillId="38" borderId="17" xfId="0" applyFont="1" applyFill="1" applyBorder="1" applyAlignment="1">
      <alignment horizontal="left" vertical="top" indent="1"/>
    </xf>
    <xf numFmtId="0" fontId="5" fillId="38" borderId="0" xfId="0" applyFont="1" applyFill="1" applyBorder="1" applyAlignment="1">
      <alignment horizontal="left" vertical="top" indent="1"/>
    </xf>
    <xf numFmtId="0" fontId="5" fillId="38" borderId="2" xfId="0" applyFont="1" applyFill="1" applyBorder="1" applyAlignment="1">
      <alignment horizontal="left" vertical="top" indent="1"/>
    </xf>
    <xf numFmtId="164" fontId="5" fillId="20" borderId="17" xfId="0" applyNumberFormat="1" applyFont="1" applyFill="1" applyBorder="1" applyAlignment="1">
      <alignment horizontal="center" vertical="top"/>
    </xf>
    <xf numFmtId="164" fontId="5" fillId="20" borderId="2" xfId="0" applyNumberFormat="1" applyFont="1" applyFill="1" applyBorder="1" applyAlignment="1">
      <alignment horizontal="center" vertical="top"/>
    </xf>
    <xf numFmtId="164" fontId="32" fillId="20" borderId="60" xfId="0" applyNumberFormat="1" applyFont="1" applyFill="1" applyBorder="1" applyAlignment="1">
      <alignment horizontal="center" vertical="top"/>
    </xf>
    <xf numFmtId="164" fontId="32" fillId="20" borderId="10" xfId="0" applyNumberFormat="1" applyFont="1" applyFill="1" applyBorder="1" applyAlignment="1">
      <alignment horizontal="center" vertical="top"/>
    </xf>
    <xf numFmtId="4" fontId="5" fillId="0" borderId="14" xfId="0" applyNumberFormat="1" applyFont="1" applyBorder="1" applyAlignment="1">
      <alignment horizontal="left" vertical="top"/>
    </xf>
    <xf numFmtId="4" fontId="5" fillId="0" borderId="19" xfId="0" applyNumberFormat="1" applyFont="1" applyBorder="1" applyAlignment="1">
      <alignment horizontal="left" vertical="top"/>
    </xf>
    <xf numFmtId="4" fontId="5" fillId="0" borderId="18" xfId="0" applyNumberFormat="1" applyFont="1" applyBorder="1" applyAlignment="1">
      <alignment horizontal="left" vertical="top"/>
    </xf>
    <xf numFmtId="4" fontId="5" fillId="0" borderId="11" xfId="0" applyNumberFormat="1" applyFont="1" applyBorder="1" applyAlignment="1">
      <alignment horizontal="left" vertical="top"/>
    </xf>
    <xf numFmtId="4" fontId="5" fillId="0" borderId="5" xfId="0" applyNumberFormat="1" applyFont="1" applyBorder="1" applyAlignment="1">
      <alignment horizontal="left" vertical="top"/>
    </xf>
    <xf numFmtId="4" fontId="5" fillId="0" borderId="12" xfId="0" applyNumberFormat="1" applyFont="1" applyBorder="1" applyAlignment="1">
      <alignment horizontal="left" vertical="top"/>
    </xf>
    <xf numFmtId="0" fontId="5" fillId="0" borderId="5" xfId="0" applyFont="1" applyBorder="1" applyAlignment="1">
      <alignment horizontal="right"/>
    </xf>
    <xf numFmtId="1" fontId="23" fillId="0" borderId="5" xfId="0" applyNumberFormat="1" applyFont="1" applyBorder="1" applyAlignment="1">
      <alignment horizontal="left"/>
    </xf>
    <xf numFmtId="0" fontId="6" fillId="30" borderId="16" xfId="0" applyFont="1" applyFill="1" applyBorder="1" applyAlignment="1">
      <alignment horizontal="left" vertical="top"/>
    </xf>
    <xf numFmtId="0" fontId="6" fillId="30" borderId="7" xfId="0" applyFont="1" applyFill="1" applyBorder="1" applyAlignment="1">
      <alignment horizontal="left" vertical="top"/>
    </xf>
    <xf numFmtId="0" fontId="6" fillId="30" borderId="8" xfId="0" applyFont="1" applyFill="1" applyBorder="1" applyAlignment="1">
      <alignment horizontal="left" vertical="top"/>
    </xf>
    <xf numFmtId="1" fontId="6" fillId="0" borderId="14" xfId="0" applyNumberFormat="1" applyFont="1" applyBorder="1" applyAlignment="1">
      <alignment horizontal="left" vertical="top" shrinkToFit="1"/>
    </xf>
    <xf numFmtId="0" fontId="6" fillId="0" borderId="19" xfId="0" applyFont="1" applyBorder="1" applyAlignment="1">
      <alignment horizontal="left" vertical="top" shrinkToFit="1"/>
    </xf>
    <xf numFmtId="0" fontId="6" fillId="0" borderId="18" xfId="0" applyFont="1" applyBorder="1" applyAlignment="1">
      <alignment horizontal="left" vertical="top" shrinkToFit="1"/>
    </xf>
    <xf numFmtId="0" fontId="5" fillId="30" borderId="14" xfId="0" applyFont="1" applyFill="1" applyBorder="1" applyAlignment="1">
      <alignment vertical="top"/>
    </xf>
    <xf numFmtId="0" fontId="5" fillId="30" borderId="19" xfId="0" applyFont="1" applyFill="1" applyBorder="1" applyAlignment="1">
      <alignment vertical="top"/>
    </xf>
    <xf numFmtId="0" fontId="5" fillId="30" borderId="18" xfId="0" applyFont="1" applyFill="1" applyBorder="1" applyAlignment="1">
      <alignment vertical="top"/>
    </xf>
    <xf numFmtId="0" fontId="5" fillId="0" borderId="14" xfId="0" applyFont="1" applyBorder="1" applyAlignment="1">
      <alignment horizontal="left" vertical="top" shrinkToFit="1"/>
    </xf>
    <xf numFmtId="0" fontId="5" fillId="0" borderId="19" xfId="0" applyFont="1" applyBorder="1" applyAlignment="1">
      <alignment horizontal="left" vertical="top" shrinkToFit="1"/>
    </xf>
    <xf numFmtId="0" fontId="5" fillId="0" borderId="18" xfId="0" applyFont="1" applyBorder="1" applyAlignment="1">
      <alignment horizontal="left" vertical="top" shrinkToFit="1"/>
    </xf>
    <xf numFmtId="0" fontId="6" fillId="4" borderId="9" xfId="0" applyFont="1" applyFill="1" applyBorder="1" applyAlignment="1">
      <alignment horizontal="left" vertical="top"/>
    </xf>
    <xf numFmtId="0" fontId="6" fillId="4" borderId="45" xfId="0" applyFont="1" applyFill="1" applyBorder="1" applyAlignment="1">
      <alignment horizontal="left" vertical="top"/>
    </xf>
    <xf numFmtId="0" fontId="6" fillId="4" borderId="49" xfId="0" applyFont="1" applyFill="1" applyBorder="1" applyAlignment="1">
      <alignment horizontal="left" vertical="top"/>
    </xf>
  </cellXfs>
  <cellStyles count="7">
    <cellStyle name="Normal" xfId="0" builtinId="0"/>
    <cellStyle name="Normal 31" xfId="6"/>
    <cellStyle name="Normal_Classificação dos Investimentos 2001 - Versão 16-09" xfId="1"/>
    <cellStyle name="Porcentagem" xfId="3" builtinId="5"/>
    <cellStyle name="Vírgula 2" xfId="2"/>
    <cellStyle name="Vírgula 2 2" xfId="4"/>
    <cellStyle name="Vírgula 2 2 2" xfId="5"/>
  </cellStyles>
  <dxfs count="86"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CCCC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</dxf>
    <dxf>
      <font>
        <color rgb="FFFF0000"/>
      </font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FF99"/>
        </patternFill>
      </fill>
    </dxf>
    <dxf>
      <fill>
        <patternFill>
          <bgColor rgb="FFFF8989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FFFF99"/>
        </patternFill>
      </fill>
    </dxf>
    <dxf>
      <fill>
        <patternFill>
          <fgColor auto="1"/>
          <bgColor rgb="FFFF7C80"/>
        </patternFill>
      </fill>
    </dxf>
  </dxfs>
  <tableStyles count="0" defaultTableStyle="TableStyleMedium2" defaultPivotStyle="PivotStyleLight16"/>
  <colors>
    <mruColors>
      <color rgb="FFFFFF99"/>
      <color rgb="FFCCCC00"/>
      <color rgb="FFFFA7A7"/>
      <color rgb="FFFF7171"/>
      <color rgb="FF4CAFCC"/>
      <color rgb="FF00AFCC"/>
      <color rgb="FF69D170"/>
      <color rgb="FF7A23CC"/>
      <color rgb="FFBAF1FE"/>
      <color rgb="FFE1F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http://sharepoint/tecnologia/0009/Contratos%20FSW/Forms/AllItems.aspx" TargetMode="Externa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'Proposta-Servi&#231;o'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'Proposta-Servi&#231;o'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11058525</xdr:colOff>
          <xdr:row>0</xdr:row>
          <xdr:rowOff>38100</xdr:rowOff>
        </xdr:from>
        <xdr:to>
          <xdr:col>5</xdr:col>
          <xdr:colOff>0</xdr:colOff>
          <xdr:row>0</xdr:row>
          <xdr:rowOff>495300</xdr:rowOff>
        </xdr:to>
        <xdr:sp macro="" textlink="">
          <xdr:nvSpPr>
            <xdr:cNvPr id="1026" name="cmd_LimparTudo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2</xdr:col>
      <xdr:colOff>534737</xdr:colOff>
      <xdr:row>1</xdr:row>
      <xdr:rowOff>301625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0" y="0"/>
          <a:ext cx="947487" cy="889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1428750</xdr:colOff>
      <xdr:row>1</xdr:row>
      <xdr:rowOff>44354</xdr:rowOff>
    </xdr:from>
    <xdr:to>
      <xdr:col>13</xdr:col>
      <xdr:colOff>990821</xdr:colOff>
      <xdr:row>1</xdr:row>
      <xdr:rowOff>415191</xdr:rowOff>
    </xdr:to>
    <xdr:sp macro="[0]!s_ImportarFicha" textlink="">
      <xdr:nvSpPr>
        <xdr:cNvPr id="2" name="Retângulo de cantos arredondados 1" descr="Planilha de Priorização"/>
        <xdr:cNvSpPr/>
      </xdr:nvSpPr>
      <xdr:spPr>
        <a:xfrm>
          <a:off x="13212885" y="105412"/>
          <a:ext cx="2285244" cy="37083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63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0">
              <a:solidFill>
                <a:schemeClr val="lt1"/>
              </a:solidFill>
              <a:latin typeface="Simplon Oi Headline" pitchFamily="2" charset="0"/>
              <a:ea typeface="+mn-ea"/>
              <a:cs typeface="+mn-cs"/>
            </a:rPr>
            <a:t>Importar Solicitação Anterior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445444</xdr:colOff>
      <xdr:row>2</xdr:row>
      <xdr:rowOff>51496</xdr:rowOff>
    </xdr:from>
    <xdr:to>
      <xdr:col>12</xdr:col>
      <xdr:colOff>786777</xdr:colOff>
      <xdr:row>4</xdr:row>
      <xdr:rowOff>63979</xdr:rowOff>
    </xdr:to>
    <xdr:sp macro="[0]!plan_Proposta.cmd_GerarFicha_Click" textlink="">
      <xdr:nvSpPr>
        <xdr:cNvPr id="4" name="Retângulo de cantos arredondados 3" descr="Planilha de Priorização"/>
        <xdr:cNvSpPr/>
      </xdr:nvSpPr>
      <xdr:spPr>
        <a:xfrm>
          <a:off x="9282527" y="506579"/>
          <a:ext cx="1188000" cy="446400"/>
        </a:xfrm>
        <a:prstGeom prst="roundRect">
          <a:avLst/>
        </a:prstGeom>
        <a:solidFill>
          <a:srgbClr val="00B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63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latin typeface="Simplon Oi Headline" pitchFamily="2" charset="0"/>
            </a:rPr>
            <a:t>Gerar</a:t>
          </a:r>
          <a:r>
            <a:rPr lang="pt-BR" sz="1000" b="0" baseline="0">
              <a:latin typeface="Simplon Oi Headline" pitchFamily="2" charset="0"/>
            </a:rPr>
            <a:t> Ficha</a:t>
          </a:r>
          <a:endParaRPr lang="pt-BR" sz="1000" b="0">
            <a:latin typeface="Simplon Oi Headline" pitchFamily="2" charset="0"/>
          </a:endParaRPr>
        </a:p>
      </xdr:txBody>
    </xdr:sp>
    <xdr:clientData/>
  </xdr:twoCellAnchor>
  <xdr:twoCellAnchor>
    <xdr:from>
      <xdr:col>10</xdr:col>
      <xdr:colOff>47330</xdr:colOff>
      <xdr:row>2</xdr:row>
      <xdr:rowOff>51496</xdr:rowOff>
    </xdr:from>
    <xdr:to>
      <xdr:col>11</xdr:col>
      <xdr:colOff>367497</xdr:colOff>
      <xdr:row>4</xdr:row>
      <xdr:rowOff>63979</xdr:rowOff>
    </xdr:to>
    <xdr:sp macro="" textlink="">
      <xdr:nvSpPr>
        <xdr:cNvPr id="6" name="Retângulo de cantos arredondados 5" descr="Planilha de Priorização">
          <a:hlinkClick xmlns:r="http://schemas.openxmlformats.org/officeDocument/2006/relationships" r:id="rId1"/>
        </xdr:cNvPr>
        <xdr:cNvSpPr/>
      </xdr:nvSpPr>
      <xdr:spPr>
        <a:xfrm>
          <a:off x="8016580" y="506579"/>
          <a:ext cx="1188000" cy="44640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63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 baseline="0">
              <a:latin typeface="Simplon Oi Headline" pitchFamily="2" charset="0"/>
            </a:rPr>
            <a:t>Contratos FSW</a:t>
          </a:r>
          <a:endParaRPr lang="pt-BR" sz="1000" b="0">
            <a:latin typeface="Simplon Oi Headline" pitchFamily="2" charset="0"/>
          </a:endParaRPr>
        </a:p>
      </xdr:txBody>
    </xdr:sp>
    <xdr:clientData/>
  </xdr:twoCellAnchor>
  <xdr:twoCellAnchor>
    <xdr:from>
      <xdr:col>6</xdr:col>
      <xdr:colOff>71206</xdr:colOff>
      <xdr:row>2</xdr:row>
      <xdr:rowOff>51496</xdr:rowOff>
    </xdr:from>
    <xdr:to>
      <xdr:col>7</xdr:col>
      <xdr:colOff>505623</xdr:colOff>
      <xdr:row>4</xdr:row>
      <xdr:rowOff>63979</xdr:rowOff>
    </xdr:to>
    <xdr:sp macro="[0]!s_AdicionarLinha_Cliked" textlink="">
      <xdr:nvSpPr>
        <xdr:cNvPr id="2" name="Retângulo de cantos arredondados 1"/>
        <xdr:cNvSpPr/>
      </xdr:nvSpPr>
      <xdr:spPr>
        <a:xfrm>
          <a:off x="4569123" y="506579"/>
          <a:ext cx="1080000" cy="446400"/>
        </a:xfrm>
        <a:prstGeom prst="roundRect">
          <a:avLst/>
        </a:prstGeom>
        <a:solidFill>
          <a:srgbClr val="00ACAC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63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latin typeface="Simplon Oi Headline" pitchFamily="2" charset="0"/>
            </a:rPr>
            <a:t>Adicionar</a:t>
          </a:r>
          <a:r>
            <a:rPr lang="pt-BR" sz="1000" b="0" baseline="0">
              <a:latin typeface="Simplon Oi Headline" pitchFamily="2" charset="0"/>
            </a:rPr>
            <a:t> Linha</a:t>
          </a:r>
          <a:endParaRPr lang="pt-BR" sz="1000" b="0">
            <a:latin typeface="Simplon Oi Headline" pitchFamily="2" charset="0"/>
          </a:endParaRPr>
        </a:p>
      </xdr:txBody>
    </xdr:sp>
    <xdr:clientData/>
  </xdr:twoCellAnchor>
  <xdr:twoCellAnchor>
    <xdr:from>
      <xdr:col>7</xdr:col>
      <xdr:colOff>569931</xdr:colOff>
      <xdr:row>2</xdr:row>
      <xdr:rowOff>51496</xdr:rowOff>
    </xdr:from>
    <xdr:to>
      <xdr:col>9</xdr:col>
      <xdr:colOff>104764</xdr:colOff>
      <xdr:row>4</xdr:row>
      <xdr:rowOff>63979</xdr:rowOff>
    </xdr:to>
    <xdr:sp macro="[0]!s_AdicionarHH_Cliked" textlink="">
      <xdr:nvSpPr>
        <xdr:cNvPr id="5" name="Retângulo de cantos arredondados 4"/>
        <xdr:cNvSpPr/>
      </xdr:nvSpPr>
      <xdr:spPr>
        <a:xfrm>
          <a:off x="5713431" y="506579"/>
          <a:ext cx="1080000" cy="446400"/>
        </a:xfrm>
        <a:prstGeom prst="roundRect">
          <a:avLst/>
        </a:prstGeom>
        <a:solidFill>
          <a:srgbClr val="00ACAC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63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 baseline="0">
              <a:latin typeface="Simplon Oi Headline" pitchFamily="2" charset="0"/>
            </a:rPr>
            <a:t>Nova Taxa HH na Proposta</a:t>
          </a:r>
        </a:p>
      </xdr:txBody>
    </xdr:sp>
    <xdr:clientData/>
  </xdr:twoCellAnchor>
  <xdr:twoCellAnchor>
    <xdr:from>
      <xdr:col>29</xdr:col>
      <xdr:colOff>899582</xdr:colOff>
      <xdr:row>2</xdr:row>
      <xdr:rowOff>52920</xdr:rowOff>
    </xdr:from>
    <xdr:to>
      <xdr:col>30</xdr:col>
      <xdr:colOff>345741</xdr:colOff>
      <xdr:row>4</xdr:row>
      <xdr:rowOff>65403</xdr:rowOff>
    </xdr:to>
    <xdr:sp macro="[0]!plan_Proposta.s_FF_Clicked" textlink="">
      <xdr:nvSpPr>
        <xdr:cNvPr id="7" name="Retângulo de cantos arredondados 6"/>
        <xdr:cNvSpPr/>
      </xdr:nvSpPr>
      <xdr:spPr>
        <a:xfrm>
          <a:off x="27908249" y="508003"/>
          <a:ext cx="398659" cy="446400"/>
        </a:xfrm>
        <a:prstGeom prst="roundRect">
          <a:avLst/>
        </a:prstGeom>
        <a:solidFill>
          <a:srgbClr val="00ACAC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63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 baseline="0">
              <a:sym typeface="Webdings" panose="05030102010509060703" pitchFamily="18" charset="2"/>
            </a:rPr>
            <a:t></a:t>
          </a:r>
          <a:endParaRPr lang="pt-BR" sz="1000" b="1" baseline="0"/>
        </a:p>
      </xdr:txBody>
    </xdr:sp>
    <xdr:clientData/>
  </xdr:twoCellAnchor>
  <xdr:twoCellAnchor>
    <xdr:from>
      <xdr:col>18</xdr:col>
      <xdr:colOff>95247</xdr:colOff>
      <xdr:row>2</xdr:row>
      <xdr:rowOff>63503</xdr:rowOff>
    </xdr:from>
    <xdr:to>
      <xdr:col>18</xdr:col>
      <xdr:colOff>493906</xdr:colOff>
      <xdr:row>4</xdr:row>
      <xdr:rowOff>75986</xdr:rowOff>
    </xdr:to>
    <xdr:sp macro="[0]!plan_Proposta.s_FF_Clicked" textlink="">
      <xdr:nvSpPr>
        <xdr:cNvPr id="8" name="Retângulo de cantos arredondados 7"/>
        <xdr:cNvSpPr/>
      </xdr:nvSpPr>
      <xdr:spPr>
        <a:xfrm>
          <a:off x="14245164" y="518586"/>
          <a:ext cx="398659" cy="446400"/>
        </a:xfrm>
        <a:prstGeom prst="roundRect">
          <a:avLst/>
        </a:prstGeom>
        <a:solidFill>
          <a:srgbClr val="00ACAC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63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 baseline="0">
              <a:sym typeface="Webdings" panose="05030102010509060703" pitchFamily="18" charset="2"/>
            </a:rPr>
            <a:t></a:t>
          </a:r>
          <a:endParaRPr lang="pt-BR" sz="1000" b="1" baseline="0"/>
        </a:p>
      </xdr:txBody>
    </xdr:sp>
    <xdr:clientData/>
  </xdr:twoCellAnchor>
  <xdr:twoCellAnchor>
    <xdr:from>
      <xdr:col>9</xdr:col>
      <xdr:colOff>158751</xdr:colOff>
      <xdr:row>2</xdr:row>
      <xdr:rowOff>52920</xdr:rowOff>
    </xdr:from>
    <xdr:to>
      <xdr:col>9</xdr:col>
      <xdr:colOff>1238751</xdr:colOff>
      <xdr:row>4</xdr:row>
      <xdr:rowOff>65403</xdr:rowOff>
    </xdr:to>
    <xdr:sp macro="[0]!s_ExcluirProposta_Cliked" textlink="">
      <xdr:nvSpPr>
        <xdr:cNvPr id="11" name="Retângulo de cantos arredondados 10"/>
        <xdr:cNvSpPr/>
      </xdr:nvSpPr>
      <xdr:spPr>
        <a:xfrm>
          <a:off x="6847418" y="508003"/>
          <a:ext cx="1080000" cy="446400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63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 baseline="0">
              <a:latin typeface="Simplon Oi Headline" pitchFamily="2" charset="0"/>
            </a:rPr>
            <a:t>Excluir Proposta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42336</xdr:colOff>
      <xdr:row>0</xdr:row>
      <xdr:rowOff>63497</xdr:rowOff>
    </xdr:from>
    <xdr:to>
      <xdr:col>1</xdr:col>
      <xdr:colOff>359836</xdr:colOff>
      <xdr:row>1</xdr:row>
      <xdr:rowOff>179917</xdr:rowOff>
    </xdr:to>
    <xdr:sp macro="" textlink="">
      <xdr:nvSpPr>
        <xdr:cNvPr id="2" name="Fluxograma: Extrair 1">
          <a:hlinkClick xmlns:r="http://schemas.openxmlformats.org/officeDocument/2006/relationships" r:id="rId1"/>
        </xdr:cNvPr>
        <xdr:cNvSpPr/>
      </xdr:nvSpPr>
      <xdr:spPr>
        <a:xfrm rot="16200000">
          <a:off x="128588" y="91545"/>
          <a:ext cx="373595" cy="317500"/>
        </a:xfrm>
        <a:prstGeom prst="flowChartExtract">
          <a:avLst/>
        </a:prstGeom>
        <a:solidFill>
          <a:srgbClr val="4CAFCC"/>
        </a:solidFill>
        <a:ln/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114300</xdr:colOff>
          <xdr:row>0</xdr:row>
          <xdr:rowOff>85725</xdr:rowOff>
        </xdr:from>
        <xdr:to>
          <xdr:col>30</xdr:col>
          <xdr:colOff>428625</xdr:colOff>
          <xdr:row>1</xdr:row>
          <xdr:rowOff>180975</xdr:rowOff>
        </xdr:to>
        <xdr:sp macro="" textlink="">
          <xdr:nvSpPr>
            <xdr:cNvPr id="40961" name="cmd_Lock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24</xdr:row>
          <xdr:rowOff>28575</xdr:rowOff>
        </xdr:from>
        <xdr:to>
          <xdr:col>23</xdr:col>
          <xdr:colOff>85725</xdr:colOff>
          <xdr:row>26</xdr:row>
          <xdr:rowOff>142875</xdr:rowOff>
        </xdr:to>
        <xdr:sp macro="" textlink="">
          <xdr:nvSpPr>
            <xdr:cNvPr id="40962" name="cmd_Pintar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29</xdr:col>
      <xdr:colOff>139926</xdr:colOff>
      <xdr:row>0</xdr:row>
      <xdr:rowOff>123265</xdr:rowOff>
    </xdr:from>
    <xdr:to>
      <xdr:col>30</xdr:col>
      <xdr:colOff>39810</xdr:colOff>
      <xdr:row>1</xdr:row>
      <xdr:rowOff>160618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36651" y="123265"/>
          <a:ext cx="318984" cy="29452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42336</xdr:colOff>
      <xdr:row>0</xdr:row>
      <xdr:rowOff>63497</xdr:rowOff>
    </xdr:from>
    <xdr:to>
      <xdr:col>1</xdr:col>
      <xdr:colOff>359836</xdr:colOff>
      <xdr:row>1</xdr:row>
      <xdr:rowOff>179917</xdr:rowOff>
    </xdr:to>
    <xdr:sp macro="" textlink="">
      <xdr:nvSpPr>
        <xdr:cNvPr id="3" name="Fluxograma: Extrair 2">
          <a:hlinkClick xmlns:r="http://schemas.openxmlformats.org/officeDocument/2006/relationships" r:id="rId1"/>
        </xdr:cNvPr>
        <xdr:cNvSpPr/>
      </xdr:nvSpPr>
      <xdr:spPr>
        <a:xfrm rot="16200000">
          <a:off x="123826" y="96307"/>
          <a:ext cx="383120" cy="317500"/>
        </a:xfrm>
        <a:prstGeom prst="flowChartExtract">
          <a:avLst/>
        </a:prstGeom>
        <a:solidFill>
          <a:srgbClr val="4CAFCC"/>
        </a:solidFill>
        <a:ln/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114300</xdr:colOff>
          <xdr:row>0</xdr:row>
          <xdr:rowOff>85725</xdr:rowOff>
        </xdr:from>
        <xdr:to>
          <xdr:col>30</xdr:col>
          <xdr:colOff>428625</xdr:colOff>
          <xdr:row>1</xdr:row>
          <xdr:rowOff>180975</xdr:rowOff>
        </xdr:to>
        <xdr:sp macro="" textlink="">
          <xdr:nvSpPr>
            <xdr:cNvPr id="4097" name="cmd_Lock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24</xdr:row>
          <xdr:rowOff>28575</xdr:rowOff>
        </xdr:from>
        <xdr:to>
          <xdr:col>23</xdr:col>
          <xdr:colOff>85725</xdr:colOff>
          <xdr:row>26</xdr:row>
          <xdr:rowOff>142875</xdr:rowOff>
        </xdr:to>
        <xdr:sp macro="" textlink="">
          <xdr:nvSpPr>
            <xdr:cNvPr id="4098" name="cmd_Pintar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29</xdr:col>
      <xdr:colOff>139926</xdr:colOff>
      <xdr:row>0</xdr:row>
      <xdr:rowOff>123265</xdr:rowOff>
    </xdr:from>
    <xdr:to>
      <xdr:col>30</xdr:col>
      <xdr:colOff>39810</xdr:colOff>
      <xdr:row>1</xdr:row>
      <xdr:rowOff>160618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17308" y="123265"/>
          <a:ext cx="314502" cy="29508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0</xdr:row>
          <xdr:rowOff>19050</xdr:rowOff>
        </xdr:from>
        <xdr:to>
          <xdr:col>14</xdr:col>
          <xdr:colOff>352425</xdr:colOff>
          <xdr:row>0</xdr:row>
          <xdr:rowOff>333375</xdr:rowOff>
        </xdr:to>
        <xdr:sp macro="" textlink="">
          <xdr:nvSpPr>
            <xdr:cNvPr id="20481" name="cmd_Lock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_Help">
    <tabColor rgb="FFFFFF00"/>
  </sheetPr>
  <dimension ref="A1:F54"/>
  <sheetViews>
    <sheetView showGridLines="0" showRowColHeaders="0" zoomScale="60" zoomScaleNormal="60" workbookViewId="0">
      <pane ySplit="2" topLeftCell="A3" activePane="bottomLeft" state="frozen"/>
      <selection activeCell="D51" sqref="D51"/>
      <selection pane="bottomLeft" activeCell="D1" sqref="D1:E2"/>
    </sheetView>
  </sheetViews>
  <sheetFormatPr defaultColWidth="0" defaultRowHeight="15" customHeight="1" zeroHeight="1" x14ac:dyDescent="0.25"/>
  <cols>
    <col min="1" max="1" width="3.85546875" customWidth="1"/>
    <col min="2" max="2" width="6.28515625" customWidth="1"/>
    <col min="3" max="3" width="11.140625" customWidth="1"/>
    <col min="4" max="4" width="30" customWidth="1"/>
    <col min="5" max="5" width="172.5703125" customWidth="1"/>
    <col min="6" max="6" width="2.5703125" customWidth="1"/>
    <col min="7" max="16384" width="9.140625" hidden="1"/>
  </cols>
  <sheetData>
    <row r="1" spans="1:6" ht="46.5" customHeight="1" x14ac:dyDescent="0.25">
      <c r="A1" s="104"/>
      <c r="B1" s="105"/>
      <c r="C1" s="105"/>
      <c r="D1" s="337" t="s">
        <v>978</v>
      </c>
      <c r="E1" s="337"/>
      <c r="F1" s="105"/>
    </row>
    <row r="2" spans="1:6" ht="27.75" customHeight="1" x14ac:dyDescent="0.25">
      <c r="A2" s="105"/>
      <c r="B2" s="105"/>
      <c r="C2" s="105"/>
      <c r="D2" s="337"/>
      <c r="E2" s="337"/>
      <c r="F2" s="105"/>
    </row>
    <row r="3" spans="1:6" ht="15.75" customHeight="1" x14ac:dyDescent="0.25">
      <c r="A3" s="105"/>
      <c r="B3" s="105"/>
      <c r="C3" s="105"/>
      <c r="D3" s="105"/>
      <c r="E3" s="105"/>
      <c r="F3" s="105"/>
    </row>
    <row r="4" spans="1:6" ht="93.75" customHeight="1" x14ac:dyDescent="0.25">
      <c r="A4" s="106"/>
      <c r="B4" s="107" t="s">
        <v>0</v>
      </c>
      <c r="C4" s="336" t="s">
        <v>966</v>
      </c>
      <c r="D4" s="336"/>
      <c r="E4" s="336"/>
      <c r="F4" s="105"/>
    </row>
    <row r="5" spans="1:6" ht="8.25" customHeight="1" x14ac:dyDescent="0.25">
      <c r="A5" s="106"/>
      <c r="B5" s="108"/>
      <c r="C5" s="109"/>
      <c r="D5" s="110"/>
      <c r="E5" s="110"/>
      <c r="F5" s="105"/>
    </row>
    <row r="6" spans="1:6" ht="20.25" x14ac:dyDescent="0.25">
      <c r="A6" s="106"/>
      <c r="B6" s="107" t="s">
        <v>1</v>
      </c>
      <c r="C6" s="336" t="s">
        <v>965</v>
      </c>
      <c r="D6" s="336"/>
      <c r="E6" s="336"/>
      <c r="F6" s="105"/>
    </row>
    <row r="7" spans="1:6" ht="8.25" customHeight="1" x14ac:dyDescent="0.25">
      <c r="A7" s="106"/>
      <c r="B7" s="108"/>
      <c r="C7" s="109"/>
      <c r="D7" s="110"/>
      <c r="E7" s="110"/>
      <c r="F7" s="105"/>
    </row>
    <row r="8" spans="1:6" ht="20.25" x14ac:dyDescent="0.25">
      <c r="A8" s="106"/>
      <c r="B8" s="107" t="s">
        <v>2</v>
      </c>
      <c r="C8" s="336" t="s">
        <v>458</v>
      </c>
      <c r="D8" s="336"/>
      <c r="E8" s="336"/>
      <c r="F8" s="105"/>
    </row>
    <row r="9" spans="1:6" ht="8.25" customHeight="1" x14ac:dyDescent="0.25">
      <c r="A9" s="106"/>
      <c r="B9" s="108"/>
      <c r="C9" s="109"/>
      <c r="D9" s="110"/>
      <c r="E9" s="110"/>
      <c r="F9" s="105"/>
    </row>
    <row r="10" spans="1:6" ht="188.25" customHeight="1" x14ac:dyDescent="0.25">
      <c r="A10" s="106"/>
      <c r="B10" s="107" t="s">
        <v>3</v>
      </c>
      <c r="C10" s="336" t="s">
        <v>1073</v>
      </c>
      <c r="D10" s="338"/>
      <c r="E10" s="338"/>
      <c r="F10" s="105"/>
    </row>
    <row r="11" spans="1:6" ht="8.25" customHeight="1" x14ac:dyDescent="0.25">
      <c r="A11" s="106"/>
      <c r="B11" s="108"/>
      <c r="C11" s="109"/>
      <c r="D11" s="110"/>
      <c r="E11" s="110"/>
      <c r="F11" s="105"/>
    </row>
    <row r="12" spans="1:6" ht="106.5" customHeight="1" x14ac:dyDescent="0.25">
      <c r="A12" s="106"/>
      <c r="B12" s="107" t="s">
        <v>4</v>
      </c>
      <c r="C12" s="336" t="s">
        <v>1074</v>
      </c>
      <c r="D12" s="336"/>
      <c r="E12" s="336"/>
      <c r="F12" s="105"/>
    </row>
    <row r="13" spans="1:6" ht="11.25" customHeight="1" x14ac:dyDescent="0.25">
      <c r="A13" s="106"/>
      <c r="B13" s="108"/>
      <c r="C13" s="109"/>
      <c r="D13" s="110"/>
      <c r="E13" s="110"/>
      <c r="F13" s="105"/>
    </row>
    <row r="14" spans="1:6" ht="90.75" customHeight="1" x14ac:dyDescent="0.25">
      <c r="A14" s="106"/>
      <c r="B14" s="107" t="s">
        <v>5</v>
      </c>
      <c r="C14" s="336" t="s">
        <v>959</v>
      </c>
      <c r="D14" s="336"/>
      <c r="E14" s="336"/>
      <c r="F14" s="105"/>
    </row>
    <row r="15" spans="1:6" ht="8.25" customHeight="1" x14ac:dyDescent="0.25">
      <c r="A15" s="106"/>
      <c r="B15" s="108"/>
      <c r="C15" s="109"/>
      <c r="D15" s="110"/>
      <c r="E15" s="110"/>
      <c r="F15" s="105"/>
    </row>
    <row r="16" spans="1:6" ht="66.75" customHeight="1" x14ac:dyDescent="0.25">
      <c r="A16" s="106"/>
      <c r="B16" s="107" t="s">
        <v>6</v>
      </c>
      <c r="C16" s="336" t="s">
        <v>459</v>
      </c>
      <c r="D16" s="336"/>
      <c r="E16" s="336"/>
      <c r="F16" s="105"/>
    </row>
    <row r="17" spans="1:6" ht="8.25" customHeight="1" x14ac:dyDescent="0.25">
      <c r="A17" s="106"/>
      <c r="B17" s="108"/>
      <c r="C17" s="109"/>
      <c r="D17" s="110"/>
      <c r="E17" s="110"/>
      <c r="F17" s="105"/>
    </row>
    <row r="18" spans="1:6" ht="20.25" x14ac:dyDescent="0.25">
      <c r="A18" s="106"/>
      <c r="B18" s="107" t="s">
        <v>8</v>
      </c>
      <c r="C18" s="336" t="s">
        <v>7</v>
      </c>
      <c r="D18" s="336"/>
      <c r="E18" s="336"/>
      <c r="F18" s="105"/>
    </row>
    <row r="19" spans="1:6" ht="87" customHeight="1" x14ac:dyDescent="0.25">
      <c r="A19" s="106"/>
      <c r="B19" s="107"/>
      <c r="C19" s="336" t="s">
        <v>975</v>
      </c>
      <c r="D19" s="336"/>
      <c r="E19" s="336"/>
      <c r="F19" s="105"/>
    </row>
    <row r="20" spans="1:6" ht="8.25" customHeight="1" x14ac:dyDescent="0.25">
      <c r="A20" s="106"/>
      <c r="B20" s="108"/>
      <c r="C20" s="109"/>
      <c r="D20" s="110"/>
      <c r="E20" s="110"/>
      <c r="F20" s="105"/>
    </row>
    <row r="21" spans="1:6" ht="20.25" x14ac:dyDescent="0.25">
      <c r="A21" s="106"/>
      <c r="B21" s="107" t="s">
        <v>9</v>
      </c>
      <c r="C21" s="336" t="s">
        <v>973</v>
      </c>
      <c r="D21" s="336"/>
      <c r="E21" s="336"/>
      <c r="F21" s="105"/>
    </row>
    <row r="22" spans="1:6" ht="68.25" customHeight="1" x14ac:dyDescent="0.25">
      <c r="A22" s="106"/>
      <c r="B22" s="107"/>
      <c r="C22" s="336" t="s">
        <v>974</v>
      </c>
      <c r="D22" s="336"/>
      <c r="E22" s="336"/>
      <c r="F22" s="105"/>
    </row>
    <row r="23" spans="1:6" ht="8.25" customHeight="1" x14ac:dyDescent="0.25">
      <c r="A23" s="106"/>
      <c r="B23" s="108"/>
      <c r="C23" s="109"/>
      <c r="D23" s="110"/>
      <c r="E23" s="110"/>
      <c r="F23" s="105"/>
    </row>
    <row r="24" spans="1:6" ht="39" customHeight="1" x14ac:dyDescent="0.25">
      <c r="A24" s="106"/>
      <c r="B24" s="107" t="s">
        <v>10</v>
      </c>
      <c r="C24" s="336" t="s">
        <v>1075</v>
      </c>
      <c r="D24" s="336"/>
      <c r="E24" s="336"/>
      <c r="F24" s="105"/>
    </row>
    <row r="25" spans="1:6" ht="8.25" customHeight="1" x14ac:dyDescent="0.25">
      <c r="A25" s="106"/>
      <c r="B25" s="108"/>
      <c r="C25" s="109"/>
      <c r="D25" s="110"/>
      <c r="E25" s="110"/>
      <c r="F25" s="105"/>
    </row>
    <row r="26" spans="1:6" ht="85.5" customHeight="1" x14ac:dyDescent="0.25">
      <c r="A26" s="106"/>
      <c r="B26" s="107" t="s">
        <v>279</v>
      </c>
      <c r="C26" s="336" t="s">
        <v>967</v>
      </c>
      <c r="D26" s="336"/>
      <c r="E26" s="336"/>
      <c r="F26" s="105"/>
    </row>
    <row r="27" spans="1:6" ht="8.25" customHeight="1" x14ac:dyDescent="0.25">
      <c r="A27" s="106"/>
      <c r="B27" s="110"/>
      <c r="C27" s="109"/>
      <c r="D27" s="110"/>
      <c r="E27" s="110"/>
      <c r="F27" s="105"/>
    </row>
    <row r="28" spans="1:6" ht="20.25" x14ac:dyDescent="0.25">
      <c r="A28" s="106"/>
      <c r="B28" s="111" t="s">
        <v>11</v>
      </c>
      <c r="C28" s="106"/>
      <c r="D28" s="106"/>
      <c r="E28" s="106"/>
      <c r="F28" s="105"/>
    </row>
    <row r="29" spans="1:6" ht="12.75" customHeight="1" x14ac:dyDescent="0.25">
      <c r="A29" s="106"/>
      <c r="B29" s="106"/>
      <c r="C29" s="112"/>
      <c r="D29" s="106"/>
      <c r="E29" s="106"/>
      <c r="F29" s="105"/>
    </row>
    <row r="30" spans="1:6" ht="20.25" customHeight="1" x14ac:dyDescent="0.25">
      <c r="A30" s="106"/>
      <c r="B30" s="106"/>
      <c r="C30" s="106"/>
      <c r="D30" s="124" t="s">
        <v>12</v>
      </c>
      <c r="E30" s="124" t="s">
        <v>13</v>
      </c>
      <c r="F30" s="105"/>
    </row>
    <row r="31" spans="1:6" ht="51" customHeight="1" x14ac:dyDescent="0.25">
      <c r="A31" s="106"/>
      <c r="B31" s="332" t="s">
        <v>1076</v>
      </c>
      <c r="C31" s="333"/>
      <c r="D31" s="113" t="s">
        <v>14</v>
      </c>
      <c r="E31" s="140" t="s">
        <v>15</v>
      </c>
      <c r="F31" s="105"/>
    </row>
    <row r="32" spans="1:6" ht="41.1" customHeight="1" x14ac:dyDescent="0.25">
      <c r="A32" s="106"/>
      <c r="B32" s="332"/>
      <c r="C32" s="333"/>
      <c r="D32" s="113" t="s">
        <v>16</v>
      </c>
      <c r="E32" s="140" t="s">
        <v>17</v>
      </c>
      <c r="F32" s="105"/>
    </row>
    <row r="33" spans="1:6" ht="41.1" customHeight="1" x14ac:dyDescent="0.25">
      <c r="A33" s="106"/>
      <c r="B33" s="332"/>
      <c r="C33" s="333"/>
      <c r="D33" s="113" t="s">
        <v>18</v>
      </c>
      <c r="E33" s="140" t="s">
        <v>19</v>
      </c>
      <c r="F33" s="105"/>
    </row>
    <row r="34" spans="1:6" ht="41.1" customHeight="1" x14ac:dyDescent="0.25">
      <c r="A34" s="106"/>
      <c r="B34" s="332"/>
      <c r="C34" s="333"/>
      <c r="D34" s="113" t="s">
        <v>20</v>
      </c>
      <c r="E34" s="140" t="s">
        <v>21</v>
      </c>
      <c r="F34" s="105"/>
    </row>
    <row r="35" spans="1:6" ht="41.1" customHeight="1" x14ac:dyDescent="0.25">
      <c r="A35" s="106"/>
      <c r="B35" s="332"/>
      <c r="C35" s="333"/>
      <c r="D35" s="113" t="s">
        <v>22</v>
      </c>
      <c r="E35" s="140" t="s">
        <v>23</v>
      </c>
      <c r="F35" s="105"/>
    </row>
    <row r="36" spans="1:6" ht="13.5" customHeight="1" x14ac:dyDescent="0.3">
      <c r="A36" s="106"/>
      <c r="B36" s="106"/>
      <c r="C36" s="114"/>
      <c r="D36" s="115"/>
      <c r="E36" s="141"/>
      <c r="F36" s="105"/>
    </row>
    <row r="37" spans="1:6" ht="41.1" customHeight="1" x14ac:dyDescent="0.25">
      <c r="A37" s="106"/>
      <c r="B37" s="332" t="s">
        <v>24</v>
      </c>
      <c r="C37" s="333"/>
      <c r="D37" s="113" t="s">
        <v>25</v>
      </c>
      <c r="E37" s="140" t="s">
        <v>26</v>
      </c>
      <c r="F37" s="105"/>
    </row>
    <row r="38" spans="1:6" ht="41.1" customHeight="1" x14ac:dyDescent="0.25">
      <c r="A38" s="106"/>
      <c r="B38" s="332"/>
      <c r="C38" s="333"/>
      <c r="D38" s="113" t="s">
        <v>27</v>
      </c>
      <c r="E38" s="140" t="s">
        <v>976</v>
      </c>
      <c r="F38" s="105"/>
    </row>
    <row r="39" spans="1:6" ht="41.1" customHeight="1" x14ac:dyDescent="0.25">
      <c r="A39" s="106"/>
      <c r="B39" s="332"/>
      <c r="C39" s="333"/>
      <c r="D39" s="113" t="s">
        <v>28</v>
      </c>
      <c r="E39" s="140" t="s">
        <v>977</v>
      </c>
      <c r="F39" s="105"/>
    </row>
    <row r="40" spans="1:6" ht="13.5" customHeight="1" x14ac:dyDescent="0.3">
      <c r="A40" s="106"/>
      <c r="B40" s="106"/>
      <c r="C40" s="114"/>
      <c r="D40" s="115"/>
      <c r="E40" s="141"/>
      <c r="F40" s="105"/>
    </row>
    <row r="41" spans="1:6" ht="41.1" customHeight="1" x14ac:dyDescent="0.25">
      <c r="A41" s="106"/>
      <c r="B41" s="334" t="s">
        <v>29</v>
      </c>
      <c r="C41" s="335"/>
      <c r="D41" s="116" t="s">
        <v>30</v>
      </c>
      <c r="E41" s="140" t="s">
        <v>31</v>
      </c>
      <c r="F41" s="105"/>
    </row>
    <row r="42" spans="1:6" x14ac:dyDescent="0.25">
      <c r="A42" s="106"/>
      <c r="B42" s="106"/>
      <c r="C42" s="106"/>
      <c r="D42" s="106"/>
      <c r="E42" s="106"/>
      <c r="F42" s="105"/>
    </row>
    <row r="43" spans="1:6" ht="15" hidden="1" customHeight="1" x14ac:dyDescent="0.25">
      <c r="A43" s="105"/>
      <c r="B43" s="105"/>
      <c r="C43" s="105"/>
      <c r="D43" s="105"/>
      <c r="E43" s="105"/>
      <c r="F43" s="105"/>
    </row>
    <row r="44" spans="1:6" ht="15" hidden="1" customHeight="1" x14ac:dyDescent="0.25">
      <c r="A44" s="105"/>
      <c r="B44" s="105"/>
      <c r="C44" s="105"/>
      <c r="D44" s="105"/>
      <c r="E44" s="105"/>
      <c r="F44" s="105"/>
    </row>
    <row r="45" spans="1:6" ht="15" hidden="1" customHeight="1" x14ac:dyDescent="0.25">
      <c r="A45" s="105"/>
      <c r="B45" s="105"/>
      <c r="C45" s="105"/>
      <c r="D45" s="105"/>
      <c r="E45" s="105"/>
      <c r="F45" s="105"/>
    </row>
    <row r="46" spans="1:6" ht="15" hidden="1" customHeight="1" x14ac:dyDescent="0.25">
      <c r="A46" s="105"/>
      <c r="B46" s="105"/>
      <c r="C46" s="105"/>
      <c r="D46" s="105"/>
      <c r="E46" s="105"/>
      <c r="F46" s="105"/>
    </row>
    <row r="47" spans="1:6" ht="15" hidden="1" customHeight="1" x14ac:dyDescent="0.25">
      <c r="A47" s="105"/>
      <c r="B47" s="105"/>
      <c r="C47" s="105"/>
      <c r="D47" s="105"/>
      <c r="E47" s="105"/>
      <c r="F47" s="105"/>
    </row>
    <row r="48" spans="1:6" ht="15" hidden="1" customHeight="1" x14ac:dyDescent="0.25">
      <c r="A48" s="105"/>
      <c r="B48" s="105"/>
      <c r="C48" s="105"/>
      <c r="D48" s="105"/>
      <c r="E48" s="105"/>
      <c r="F48" s="105"/>
    </row>
    <row r="49" spans="1:6" ht="15" hidden="1" customHeight="1" x14ac:dyDescent="0.25">
      <c r="A49" s="105"/>
      <c r="B49" s="105"/>
      <c r="C49" s="105"/>
      <c r="D49" s="105"/>
      <c r="E49" s="105"/>
      <c r="F49" s="105"/>
    </row>
    <row r="50" spans="1:6" ht="15" hidden="1" customHeight="1" x14ac:dyDescent="0.25">
      <c r="A50" s="105"/>
      <c r="B50" s="105"/>
      <c r="C50" s="105"/>
      <c r="D50" s="105"/>
      <c r="E50" s="105"/>
      <c r="F50" s="105"/>
    </row>
    <row r="51" spans="1:6" ht="15" customHeight="1" x14ac:dyDescent="0.25">
      <c r="A51" s="105"/>
      <c r="B51" s="105"/>
      <c r="C51" s="105"/>
      <c r="D51" s="105"/>
      <c r="E51" s="105"/>
      <c r="F51" s="105"/>
    </row>
    <row r="52" spans="1:6" ht="15" customHeight="1" x14ac:dyDescent="0.25">
      <c r="A52" s="105"/>
      <c r="B52" s="105"/>
      <c r="C52" s="105"/>
      <c r="D52" s="105"/>
      <c r="E52" s="105"/>
      <c r="F52" s="105"/>
    </row>
    <row r="53" spans="1:6" ht="15" customHeight="1" x14ac:dyDescent="0.25">
      <c r="A53" s="105"/>
      <c r="B53" s="105"/>
      <c r="C53" s="105"/>
      <c r="D53" s="105"/>
      <c r="E53" s="105"/>
      <c r="F53" s="105"/>
    </row>
    <row r="54" spans="1:6" ht="15" customHeight="1" x14ac:dyDescent="0.25">
      <c r="A54" s="105"/>
      <c r="B54" s="105"/>
      <c r="C54" s="105"/>
      <c r="D54" s="105"/>
      <c r="E54" s="105"/>
      <c r="F54" s="105"/>
    </row>
  </sheetData>
  <sheetProtection algorithmName="SHA-512" hashValue="j5h1WewK+Xz8qS0Ib3HXUXg1ysp7FMMPNRqHlFfbFEngeCt+ZWWhkdUkC3Cqs1Wo5NZg5OtWxiYIPV+KsM6yYA==" saltValue="a8wlxmND5gXeVvPoKZBXIA==" spinCount="100000" sheet="1" objects="1" scenarios="1"/>
  <mergeCells count="17">
    <mergeCell ref="C21:E21"/>
    <mergeCell ref="D1:E2"/>
    <mergeCell ref="C4:E4"/>
    <mergeCell ref="C6:E6"/>
    <mergeCell ref="C8:E8"/>
    <mergeCell ref="C12:E12"/>
    <mergeCell ref="C14:E14"/>
    <mergeCell ref="C16:E16"/>
    <mergeCell ref="C18:E18"/>
    <mergeCell ref="C19:E19"/>
    <mergeCell ref="C10:E10"/>
    <mergeCell ref="B37:C39"/>
    <mergeCell ref="B41:C41"/>
    <mergeCell ref="C22:E22"/>
    <mergeCell ref="C24:E24"/>
    <mergeCell ref="C26:E26"/>
    <mergeCell ref="B31:C35"/>
  </mergeCells>
  <pageMargins left="0.25" right="0.25" top="0.75" bottom="0.75" header="0.3" footer="0.3"/>
  <pageSetup paperSize="9" scale="44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md_LimparTudo">
          <controlPr defaultSize="0" autoLine="0" r:id="rId5">
            <anchor moveWithCells="1">
              <from>
                <xdr:col>4</xdr:col>
                <xdr:colOff>11058525</xdr:colOff>
                <xdr:row>0</xdr:row>
                <xdr:rowOff>38100</xdr:rowOff>
              </from>
              <to>
                <xdr:col>5</xdr:col>
                <xdr:colOff>0</xdr:colOff>
                <xdr:row>0</xdr:row>
                <xdr:rowOff>495300</xdr:rowOff>
              </to>
            </anchor>
          </controlPr>
        </control>
      </mc:Choice>
      <mc:Fallback>
        <control shapeId="1026" r:id="rId4" name="cmd_LimparTud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_Defesa">
    <pageSetUpPr fitToPage="1"/>
  </sheetPr>
  <dimension ref="A1:O50"/>
  <sheetViews>
    <sheetView showGridLines="0" showRowColHeaders="0" zoomScale="79" zoomScaleNormal="79" workbookViewId="0">
      <selection activeCell="M12" sqref="M12"/>
    </sheetView>
  </sheetViews>
  <sheetFormatPr defaultColWidth="0" defaultRowHeight="0" customHeight="1" zeroHeight="1" x14ac:dyDescent="0.25"/>
  <cols>
    <col min="1" max="1" width="1.28515625" style="105" customWidth="1"/>
    <col min="2" max="2" width="14.5703125" style="105" customWidth="1"/>
    <col min="3" max="3" width="14.42578125" style="105" customWidth="1"/>
    <col min="4" max="4" width="1.5703125" style="105" customWidth="1"/>
    <col min="5" max="5" width="25.85546875" style="105" bestFit="1" customWidth="1"/>
    <col min="6" max="6" width="22.7109375" style="105" customWidth="1"/>
    <col min="7" max="7" width="29" style="105" customWidth="1"/>
    <col min="8" max="8" width="1.28515625" style="105" customWidth="1"/>
    <col min="9" max="9" width="26.42578125" style="105" bestFit="1" customWidth="1"/>
    <col min="10" max="10" width="38.140625" style="105" customWidth="1"/>
    <col min="11" max="11" width="1.42578125" style="105" customWidth="1"/>
    <col min="12" max="12" width="24.85546875" style="105" customWidth="1"/>
    <col min="13" max="14" width="16" style="105" customWidth="1"/>
    <col min="15" max="15" width="1.85546875" style="105" customWidth="1"/>
    <col min="16" max="16384" width="9.140625" hidden="1"/>
  </cols>
  <sheetData>
    <row r="1" spans="1:15" ht="3" customHeight="1" x14ac:dyDescent="0.25">
      <c r="A1"/>
      <c r="B1"/>
      <c r="C1"/>
      <c r="D1"/>
      <c r="E1"/>
      <c r="F1"/>
      <c r="G1"/>
      <c r="H1"/>
      <c r="I1"/>
      <c r="J1"/>
      <c r="K1"/>
      <c r="L1"/>
      <c r="M1"/>
      <c r="N1"/>
      <c r="O1"/>
    </row>
    <row r="2" spans="1:15" ht="36.75" customHeight="1" x14ac:dyDescent="0.35">
      <c r="B2" s="161" t="s">
        <v>1045</v>
      </c>
      <c r="C2" s="162"/>
      <c r="D2" s="162"/>
      <c r="E2" s="162"/>
      <c r="F2" s="162"/>
      <c r="G2" s="162"/>
      <c r="H2" s="162"/>
      <c r="I2" s="163"/>
      <c r="J2" s="163"/>
      <c r="K2" s="163"/>
      <c r="L2" s="164"/>
      <c r="M2" s="164"/>
      <c r="N2" s="163"/>
    </row>
    <row r="3" spans="1:15" ht="11.25" customHeight="1" x14ac:dyDescent="0.25">
      <c r="B3" s="165" t="s">
        <v>885</v>
      </c>
      <c r="C3" s="166" t="s">
        <v>1089</v>
      </c>
      <c r="D3" s="167"/>
      <c r="H3" s="167"/>
    </row>
    <row r="4" spans="1:15" ht="3" customHeight="1" thickBot="1" x14ac:dyDescent="0.3">
      <c r="E4" s="167"/>
      <c r="F4" s="167"/>
      <c r="G4" s="167"/>
      <c r="H4" s="167"/>
    </row>
    <row r="5" spans="1:15" ht="16.5" customHeight="1" thickBot="1" x14ac:dyDescent="0.3">
      <c r="A5" s="168"/>
      <c r="B5" s="364" t="s">
        <v>855</v>
      </c>
      <c r="C5" s="364"/>
      <c r="D5" s="168"/>
      <c r="E5" s="169" t="str">
        <f>"Nome " &amp; IF(F7 = "CRIAÇÃO BASELINE", "BASELINE", F7)</f>
        <v>Nome PROJETO</v>
      </c>
      <c r="F5" s="368" t="s">
        <v>1092</v>
      </c>
      <c r="G5" s="369"/>
      <c r="I5" s="169" t="s">
        <v>44</v>
      </c>
      <c r="J5" s="170" t="s">
        <v>1058</v>
      </c>
      <c r="L5" s="171" t="s">
        <v>33</v>
      </c>
      <c r="M5" s="172">
        <f>Propostas!AA5</f>
        <v>14787.465</v>
      </c>
    </row>
    <row r="6" spans="1:15" ht="15" x14ac:dyDescent="0.25">
      <c r="A6" s="168"/>
      <c r="B6" s="370" t="s">
        <v>696</v>
      </c>
      <c r="C6" s="370" t="s">
        <v>657</v>
      </c>
      <c r="D6" s="168"/>
      <c r="E6" s="173" t="s">
        <v>451</v>
      </c>
      <c r="F6" s="368" t="s">
        <v>1093</v>
      </c>
      <c r="G6" s="369"/>
      <c r="I6" s="173" t="s">
        <v>45</v>
      </c>
      <c r="J6" s="170" t="s">
        <v>1097</v>
      </c>
      <c r="L6" s="174" t="s">
        <v>946</v>
      </c>
      <c r="M6" s="175">
        <f>SUMIFS(Propostas!$AA$8:$AA507, Propostas!$V$8:$V$507, 0, Propostas!$G$8:$G$507, "NÃO") + SUMIFS(Propostas!$AA$8:$AA507, Propostas!$V$8:$V$507, 2, Propostas!$G$8:$G$507, "NÃO")</f>
        <v>14787.465</v>
      </c>
      <c r="N6" s="176"/>
    </row>
    <row r="7" spans="1:15" ht="15" customHeight="1" x14ac:dyDescent="0.25">
      <c r="B7" s="371"/>
      <c r="C7" s="371"/>
      <c r="E7" s="177" t="s">
        <v>432</v>
      </c>
      <c r="F7" s="178" t="s">
        <v>691</v>
      </c>
      <c r="I7" s="177" t="s">
        <v>1066</v>
      </c>
      <c r="J7" s="170" t="s">
        <v>982</v>
      </c>
      <c r="K7" s="179"/>
      <c r="L7" s="174" t="s">
        <v>945</v>
      </c>
      <c r="M7" s="175">
        <f>SUMIFS(Propostas!$AA$8:$AA507, Propostas!$V$8:$V$507, 0, Propostas!$G$8:$G$507, "SIM")</f>
        <v>0</v>
      </c>
      <c r="N7" s="176"/>
    </row>
    <row r="8" spans="1:15" ht="15" customHeight="1" x14ac:dyDescent="0.25">
      <c r="B8" s="180" t="s">
        <v>1090</v>
      </c>
      <c r="C8" s="180" t="s">
        <v>1091</v>
      </c>
      <c r="K8" s="179"/>
      <c r="L8" s="181" t="s">
        <v>434</v>
      </c>
      <c r="M8" s="182">
        <f>M14</f>
        <v>0</v>
      </c>
      <c r="N8" s="176"/>
    </row>
    <row r="9" spans="1:15" ht="15" customHeight="1" x14ac:dyDescent="0.25">
      <c r="B9" s="180"/>
      <c r="C9" s="180"/>
      <c r="E9" s="342" t="s">
        <v>37</v>
      </c>
      <c r="F9" s="343"/>
      <c r="G9" s="344"/>
      <c r="I9" s="169" t="s">
        <v>234</v>
      </c>
      <c r="J9" s="183" t="s">
        <v>1098</v>
      </c>
      <c r="L9" s="184" t="s">
        <v>1001</v>
      </c>
      <c r="M9" s="185">
        <v>0</v>
      </c>
    </row>
    <row r="10" spans="1:15" ht="15" customHeight="1" x14ac:dyDescent="0.25">
      <c r="B10" s="180"/>
      <c r="C10" s="180"/>
      <c r="E10" s="345" t="s">
        <v>1096</v>
      </c>
      <c r="F10" s="346"/>
      <c r="G10" s="347"/>
      <c r="I10" s="186" t="s">
        <v>438</v>
      </c>
      <c r="J10" s="183" t="s">
        <v>1091</v>
      </c>
      <c r="L10" s="187" t="s">
        <v>41</v>
      </c>
      <c r="M10" s="185">
        <v>14787</v>
      </c>
    </row>
    <row r="11" spans="1:15" ht="15" customHeight="1" x14ac:dyDescent="0.25">
      <c r="B11" s="180"/>
      <c r="C11" s="180"/>
      <c r="E11" s="348"/>
      <c r="F11" s="349"/>
      <c r="G11" s="350"/>
      <c r="I11" s="186" t="s">
        <v>439</v>
      </c>
      <c r="J11" s="339" t="s">
        <v>282</v>
      </c>
      <c r="L11" s="188" t="s">
        <v>1000</v>
      </c>
      <c r="M11" s="185">
        <v>14787</v>
      </c>
    </row>
    <row r="12" spans="1:15" ht="15" x14ac:dyDescent="0.25">
      <c r="A12" s="189"/>
      <c r="B12" s="180"/>
      <c r="C12" s="180"/>
      <c r="D12" s="189"/>
      <c r="E12" s="348"/>
      <c r="F12" s="349"/>
      <c r="G12" s="350"/>
      <c r="I12" s="363" t="s">
        <v>1067</v>
      </c>
      <c r="J12" s="340"/>
    </row>
    <row r="13" spans="1:15" ht="15" customHeight="1" x14ac:dyDescent="0.25">
      <c r="A13" s="189"/>
      <c r="B13" s="180"/>
      <c r="C13" s="180"/>
      <c r="D13" s="189"/>
      <c r="E13" s="351"/>
      <c r="F13" s="352"/>
      <c r="G13" s="353"/>
      <c r="I13" s="363"/>
      <c r="J13" s="341"/>
      <c r="M13" s="190" t="s">
        <v>35</v>
      </c>
      <c r="N13" s="191" t="s">
        <v>845</v>
      </c>
    </row>
    <row r="14" spans="1:15" ht="15" customHeight="1" x14ac:dyDescent="0.25">
      <c r="B14" s="180"/>
      <c r="C14" s="180"/>
      <c r="E14" s="342" t="s">
        <v>43</v>
      </c>
      <c r="F14" s="343"/>
      <c r="G14" s="344"/>
      <c r="I14" s="177" t="s">
        <v>272</v>
      </c>
      <c r="J14" s="192" t="s">
        <v>1099</v>
      </c>
      <c r="L14" s="193" t="s">
        <v>835</v>
      </c>
      <c r="M14" s="194">
        <f>SUM(M15:M26)</f>
        <v>0</v>
      </c>
      <c r="N14" s="194">
        <f>SUM(N15:N26)</f>
        <v>14787.465</v>
      </c>
    </row>
    <row r="15" spans="1:15" ht="15" customHeight="1" x14ac:dyDescent="0.25">
      <c r="B15" s="180"/>
      <c r="C15" s="180"/>
      <c r="E15" s="345" t="s">
        <v>1094</v>
      </c>
      <c r="F15" s="346"/>
      <c r="G15" s="347"/>
      <c r="L15" s="195" t="s">
        <v>38</v>
      </c>
      <c r="M15" s="196">
        <f>IF(OR($L15 = "", $F$7= "Criação Baseline"),  "", SUMIFS(Propostas!AA:AA,Propostas!AU:AU, $L15))</f>
        <v>0</v>
      </c>
      <c r="N15" s="196">
        <f>IF(OR($L15 = "", $F$7= "Criação Baseline"),  "", SUMIFS(Propostas!AA:AA,Propostas!AV:AV, $L15))</f>
        <v>0</v>
      </c>
    </row>
    <row r="16" spans="1:15" ht="15" x14ac:dyDescent="0.25">
      <c r="B16" s="180"/>
      <c r="C16" s="180"/>
      <c r="E16" s="348"/>
      <c r="F16" s="349"/>
      <c r="G16" s="350"/>
      <c r="I16" s="197" t="s">
        <v>34</v>
      </c>
      <c r="J16" s="198" t="s">
        <v>1100</v>
      </c>
      <c r="L16" s="199" t="s">
        <v>809</v>
      </c>
      <c r="M16" s="200">
        <f>IF(OR($L16 = "", $F$7= "Criação Baseline"),  "", SUMIFS(Propostas!AA:AA,Propostas!AU:AU, $L16))</f>
        <v>0</v>
      </c>
      <c r="N16" s="200">
        <f>IF(OR($L16 = "", $F$7= "Criação Baseline"),  "", SUMIFS(Propostas!AA:AA,Propostas!AV:AV, $L16))</f>
        <v>0</v>
      </c>
    </row>
    <row r="17" spans="1:14" ht="15" x14ac:dyDescent="0.25">
      <c r="B17" s="180"/>
      <c r="C17" s="180"/>
      <c r="E17" s="348"/>
      <c r="F17" s="349"/>
      <c r="G17" s="350"/>
      <c r="I17" s="201" t="s">
        <v>271</v>
      </c>
      <c r="J17" s="202">
        <v>49</v>
      </c>
      <c r="L17" s="199" t="s">
        <v>1025</v>
      </c>
      <c r="M17" s="200">
        <f>IF(OR($L17 = "", $F$7= "Criação Baseline"),  "", SUMIFS(Propostas!AA:AA,Propostas!AU:AU, $L17))</f>
        <v>0</v>
      </c>
      <c r="N17" s="200">
        <f>IF(OR($L17 = "", $F$7= "Criação Baseline"),  "", SUMIFS(Propostas!AA:AA,Propostas!AV:AV, $L17))</f>
        <v>0</v>
      </c>
    </row>
    <row r="18" spans="1:14" ht="15" x14ac:dyDescent="0.25">
      <c r="B18" s="180"/>
      <c r="C18" s="180"/>
      <c r="E18" s="348"/>
      <c r="F18" s="349"/>
      <c r="G18" s="350"/>
      <c r="I18" s="203" t="s">
        <v>36</v>
      </c>
      <c r="J18" s="198" t="s">
        <v>1101</v>
      </c>
      <c r="L18" s="199" t="s">
        <v>675</v>
      </c>
      <c r="M18" s="200">
        <f>IF(OR($L18 = "", $F$7= "Criação Baseline"),  "", SUMIFS(Propostas!AA:AA,Propostas!AU:AU, $L18))</f>
        <v>0</v>
      </c>
      <c r="N18" s="200">
        <f>IF(OR($L18 = "", $F$7= "Criação Baseline"),  "", SUMIFS(Propostas!AA:AA,Propostas!AV:AV, $L18))</f>
        <v>0</v>
      </c>
    </row>
    <row r="19" spans="1:14" ht="15" x14ac:dyDescent="0.25">
      <c r="B19" s="180"/>
      <c r="C19" s="180"/>
      <c r="E19" s="348"/>
      <c r="F19" s="349"/>
      <c r="G19" s="350"/>
      <c r="L19" s="199" t="s">
        <v>688</v>
      </c>
      <c r="M19" s="200">
        <f>IF(OR($L19 = "", $F$7= "Criação Baseline"),  "", SUMIFS(Propostas!AA:AA,Propostas!AU:AU, $L19))</f>
        <v>0</v>
      </c>
      <c r="N19" s="200">
        <f>IF(OR($L19 = "", $F$7= "Criação Baseline"),  "", SUMIFS(Propostas!AA:AA,Propostas!AV:AV, $L19))</f>
        <v>0</v>
      </c>
    </row>
    <row r="20" spans="1:14" ht="15" x14ac:dyDescent="0.25">
      <c r="A20" s="189"/>
      <c r="B20" s="180"/>
      <c r="C20" s="180"/>
      <c r="D20" s="189"/>
      <c r="E20" s="351"/>
      <c r="F20" s="352"/>
      <c r="G20" s="353"/>
      <c r="I20" s="197" t="s">
        <v>39</v>
      </c>
      <c r="J20" s="204" t="s">
        <v>422</v>
      </c>
      <c r="L20" s="199" t="s">
        <v>182</v>
      </c>
      <c r="M20" s="200">
        <f>IF(OR($L20 = "", $F$7= "Criação Baseline"),  "", SUMIFS(Propostas!AA:AA,Propostas!AU:AU, $L20))</f>
        <v>0</v>
      </c>
      <c r="N20" s="200">
        <f>IF(OR($L20 = "", $F$7= "Criação Baseline"),  "", SUMIFS(Propostas!AA:AA,Propostas!AV:AV, $L20))</f>
        <v>0</v>
      </c>
    </row>
    <row r="21" spans="1:14" ht="15" customHeight="1" x14ac:dyDescent="0.25">
      <c r="B21" s="180"/>
      <c r="C21" s="180"/>
      <c r="E21" s="342" t="s">
        <v>48</v>
      </c>
      <c r="F21" s="343"/>
      <c r="G21" s="344"/>
      <c r="I21" s="203" t="s">
        <v>12</v>
      </c>
      <c r="J21" s="204" t="s">
        <v>16</v>
      </c>
      <c r="L21" s="199" t="s">
        <v>189</v>
      </c>
      <c r="M21" s="200">
        <f>IF(OR($L21 = "", $F$7= "Criação Baseline"),  "", SUMIFS(Propostas!AA:AA,Propostas!AU:AU, $L21))</f>
        <v>0</v>
      </c>
      <c r="N21" s="200">
        <f>IF(OR($L21 = "", $F$7= "Criação Baseline"),  "", SUMIFS(Propostas!AA:AA,Propostas!AV:AV, $L21))</f>
        <v>14787.465</v>
      </c>
    </row>
    <row r="22" spans="1:14" ht="15" x14ac:dyDescent="0.25">
      <c r="A22" s="168"/>
      <c r="B22" s="180"/>
      <c r="C22" s="180"/>
      <c r="D22" s="168"/>
      <c r="E22" s="345" t="s">
        <v>1095</v>
      </c>
      <c r="F22" s="346"/>
      <c r="G22" s="347"/>
      <c r="I22" s="205"/>
      <c r="L22" s="199" t="s">
        <v>447</v>
      </c>
      <c r="M22" s="200">
        <f>IF(OR($L22 = "", $F$7= "Criação Baseline"),  "", SUMIFS(Propostas!AA:AA,Propostas!AU:AU, $L22))</f>
        <v>0</v>
      </c>
      <c r="N22" s="200">
        <f>IF(OR($L22 = "", $F$7= "Criação Baseline"),  "", SUMIFS(Propostas!AA:AA,Propostas!AV:AV, $L22))</f>
        <v>0</v>
      </c>
    </row>
    <row r="23" spans="1:14" ht="15" x14ac:dyDescent="0.25">
      <c r="A23" s="168"/>
      <c r="B23" s="180"/>
      <c r="C23" s="180"/>
      <c r="D23" s="168"/>
      <c r="E23" s="348"/>
      <c r="F23" s="349"/>
      <c r="G23" s="350"/>
      <c r="I23" s="206" t="s">
        <v>47</v>
      </c>
      <c r="J23" s="207" t="s">
        <v>956</v>
      </c>
      <c r="L23" s="199" t="s">
        <v>1079</v>
      </c>
      <c r="M23" s="200">
        <f>IF(OR($L23 = "", $F$7= "Criação Baseline"),  "", SUMIFS(Propostas!AA:AA,Propostas!AU:AU, $L23))</f>
        <v>0</v>
      </c>
      <c r="N23" s="200">
        <f>IF(OR($L23 = "", $F$7= "Criação Baseline"),  "", SUMIFS(Propostas!AA:AA,Propostas!AV:AV, $L23))</f>
        <v>0</v>
      </c>
    </row>
    <row r="24" spans="1:14" ht="15" x14ac:dyDescent="0.25">
      <c r="A24" s="168"/>
      <c r="B24" s="180"/>
      <c r="C24" s="180"/>
      <c r="D24" s="168"/>
      <c r="E24" s="348"/>
      <c r="F24" s="349"/>
      <c r="G24" s="350"/>
      <c r="I24" s="177" t="s">
        <v>46</v>
      </c>
      <c r="J24" s="207" t="s">
        <v>956</v>
      </c>
      <c r="L24" s="199" t="s">
        <v>206</v>
      </c>
      <c r="M24" s="200">
        <f>IF(OR($L24 = "", $F$7= "Criação Baseline"),  "", SUMIFS(Propostas!AA:AA,Propostas!AU:AU, $L24))</f>
        <v>0</v>
      </c>
      <c r="N24" s="200">
        <f>IF(OR($L24 = "", $F$7= "Criação Baseline"),  "", SUMIFS(Propostas!AA:AA,Propostas!AV:AV, $L24))</f>
        <v>0</v>
      </c>
    </row>
    <row r="25" spans="1:14" ht="15" x14ac:dyDescent="0.25">
      <c r="A25" s="168"/>
      <c r="B25" s="180"/>
      <c r="C25" s="180"/>
      <c r="D25" s="168"/>
      <c r="E25" s="351"/>
      <c r="F25" s="352"/>
      <c r="G25" s="353"/>
      <c r="L25" s="199" t="s">
        <v>881</v>
      </c>
      <c r="M25" s="200">
        <f>IF(OR($L25 = "", $F$7= "Criação Baseline"),  "", SUMIFS(Propostas!AA:AA,Propostas!AU:AU, $L25))</f>
        <v>0</v>
      </c>
      <c r="N25" s="200">
        <f>IF(OR($L25 = "", $F$7= "Criação Baseline"),  "", SUMIFS(Propostas!AA:AA,Propostas!AV:AV, $L25))</f>
        <v>0</v>
      </c>
    </row>
    <row r="26" spans="1:14" ht="15" x14ac:dyDescent="0.25">
      <c r="A26" s="168"/>
      <c r="B26" s="180"/>
      <c r="C26" s="180"/>
      <c r="D26" s="168"/>
      <c r="L26" s="208"/>
      <c r="M26" s="209" t="str">
        <f>IF(OR($L26 = "", $F$7= "Criação Baseline"),  "", SUMIFS(Propostas!AA:AA,Propostas!AU:AU, $L26))</f>
        <v/>
      </c>
      <c r="N26" s="209" t="str">
        <f>IF(OR($L26 = "", $F$7= "Criação Baseline"),  "", SUMIFS(Propostas!AA:AA,Propostas!AV:AV, $L26))</f>
        <v/>
      </c>
    </row>
    <row r="27" spans="1:14" ht="15" customHeight="1" x14ac:dyDescent="0.25">
      <c r="A27" s="168"/>
      <c r="B27" s="180"/>
      <c r="C27" s="180"/>
      <c r="D27" s="168"/>
      <c r="E27" s="365" t="s">
        <v>49</v>
      </c>
      <c r="F27" s="366"/>
      <c r="G27" s="367"/>
    </row>
    <row r="28" spans="1:14" ht="15" x14ac:dyDescent="0.25">
      <c r="A28" s="168"/>
      <c r="B28" s="180"/>
      <c r="C28" s="180"/>
      <c r="D28" s="168"/>
      <c r="E28" s="210" t="s">
        <v>50</v>
      </c>
      <c r="F28" s="372" t="s">
        <v>428</v>
      </c>
      <c r="G28" s="373"/>
    </row>
    <row r="29" spans="1:14" ht="15" customHeight="1" x14ac:dyDescent="0.25">
      <c r="A29" s="168"/>
      <c r="B29" s="180"/>
      <c r="C29" s="180"/>
      <c r="D29" s="168"/>
      <c r="E29" s="360" t="s">
        <v>51</v>
      </c>
      <c r="F29" s="354" t="s">
        <v>282</v>
      </c>
      <c r="G29" s="355"/>
      <c r="N29" s="176"/>
    </row>
    <row r="30" spans="1:14" ht="15" x14ac:dyDescent="0.25">
      <c r="A30" s="168"/>
      <c r="B30" s="180"/>
      <c r="C30" s="180"/>
      <c r="D30" s="168"/>
      <c r="E30" s="361"/>
      <c r="F30" s="356"/>
      <c r="G30" s="357"/>
      <c r="N30" s="176"/>
    </row>
    <row r="31" spans="1:14" ht="15" x14ac:dyDescent="0.25">
      <c r="A31" s="168"/>
      <c r="B31" s="211">
        <f xml:space="preserve">  COUNTA(C8:C30)</f>
        <v>1</v>
      </c>
      <c r="C31" s="212" t="str">
        <f xml:space="preserve"> IF($B$31 &lt;= 1, "Subprojeto", "Subprojetos")</f>
        <v>Subprojeto</v>
      </c>
      <c r="D31" s="168"/>
      <c r="E31" s="362"/>
      <c r="F31" s="358"/>
      <c r="G31" s="359"/>
      <c r="N31" s="176"/>
    </row>
    <row r="32" spans="1:14" ht="6" customHeight="1" x14ac:dyDescent="0.25">
      <c r="A32" s="168"/>
      <c r="B32" s="168"/>
      <c r="C32" s="168"/>
      <c r="D32" s="168"/>
    </row>
    <row r="33" ht="15" hidden="1" customHeight="1" x14ac:dyDescent="0.25"/>
    <row r="34" ht="15" hidden="1" customHeight="1" x14ac:dyDescent="0.25"/>
    <row r="35" ht="15" hidden="1" customHeight="1" x14ac:dyDescent="0.25"/>
    <row r="36" ht="15" hidden="1" customHeight="1" x14ac:dyDescent="0.25"/>
    <row r="37" ht="15" hidden="1" customHeight="1" x14ac:dyDescent="0.25"/>
    <row r="38" ht="15" hidden="1" customHeight="1" x14ac:dyDescent="0.25"/>
    <row r="39" ht="15" hidden="1" customHeight="1" x14ac:dyDescent="0.25"/>
    <row r="40" ht="15" hidden="1" customHeight="1" x14ac:dyDescent="0.25"/>
    <row r="41" ht="15" hidden="1" customHeight="1" x14ac:dyDescent="0.25"/>
    <row r="42" ht="15" hidden="1" customHeight="1" x14ac:dyDescent="0.25"/>
    <row r="43" ht="15" hidden="1" customHeight="1" x14ac:dyDescent="0.25"/>
    <row r="44" ht="15" hidden="1" customHeight="1" x14ac:dyDescent="0.25"/>
    <row r="45" ht="15" hidden="1" customHeight="1" x14ac:dyDescent="0.25"/>
    <row r="46" ht="15" hidden="1" customHeight="1" x14ac:dyDescent="0.25"/>
    <row r="47" ht="15" hidden="1" customHeight="1" x14ac:dyDescent="0.25"/>
    <row r="48" ht="0" hidden="1" customHeight="1" x14ac:dyDescent="0.25"/>
    <row r="49" ht="0" hidden="1" customHeight="1" x14ac:dyDescent="0.25"/>
    <row r="50" ht="0" hidden="1" customHeight="1" x14ac:dyDescent="0.25"/>
  </sheetData>
  <sheetProtection password="EC5E" sheet="1" objects="1" scenarios="1"/>
  <dataConsolidate link="1"/>
  <mergeCells count="17">
    <mergeCell ref="F29:G31"/>
    <mergeCell ref="E29:E31"/>
    <mergeCell ref="I12:I13"/>
    <mergeCell ref="B5:C5"/>
    <mergeCell ref="E27:G27"/>
    <mergeCell ref="F6:G6"/>
    <mergeCell ref="E22:G25"/>
    <mergeCell ref="E9:G9"/>
    <mergeCell ref="F5:G5"/>
    <mergeCell ref="C6:C7"/>
    <mergeCell ref="B6:B7"/>
    <mergeCell ref="F28:G28"/>
    <mergeCell ref="J11:J13"/>
    <mergeCell ref="E21:G21"/>
    <mergeCell ref="E10:G13"/>
    <mergeCell ref="E14:G14"/>
    <mergeCell ref="E15:G20"/>
  </mergeCells>
  <dataValidations xWindow="606" yWindow="306" count="45">
    <dataValidation type="textLength" operator="lessThanOrEqual" allowBlank="1" showInputMessage="1" showErrorMessage="1" errorTitle="Aprovação de Investimento" error="Digite o Código do STI ou do Clarity PPM. Este código deve ser de, no máximo 25 caracteres._x000a_Se Não se aplica a esta solicitação digite N/A no primeiro item" sqref="B8:C30">
      <formula1>25</formula1>
    </dataValidation>
    <dataValidation allowBlank="1" showInputMessage="1" showErrorMessage="1" prompt="Nome do Responsável por esta Solicitação." sqref="E6"/>
    <dataValidation allowBlank="1" showInputMessage="1" showErrorMessage="1" prompt="FOI de outras diretorias que irá financiar o Orçamento que será disponibilizado no FOI deste projeto._x000a__x000a_Caso tenha mais de um Doador, indicar na estrutura a seguir:_x000a_Área Cliente - Código do FOI - Valor" sqref="I11"/>
    <dataValidation allowBlank="1" showInputMessage="1" showErrorMessage="1" promptTitle="A solicitação pode ser:" prompt="●FAST TRACK: Desenv. &lt;= 16h, priorizado automaticamente_x000a_●DEMANDA: Desenv. &lt;= 500h, priorizado automaticamente_x000a_●PROJETO: Desenv. &gt; 500h, priorizados por Comitê_x000a_●INFRA: Aquisição de Infra, sem desenvolvimento_x000a_●CRIAÇÃO DE BASELINE: Uso Interno Ger. Orçamento" sqref="E7"/>
    <dataValidation allowBlank="1" showInputMessage="1" showErrorMessage="1" prompt="Indique o Mês/Ano em que o Projeto foi priorizado no Comitê de Priorização._x000a__x000a_Esta Informação está disponível nos dados do Projeto no Clarity PPM." sqref="I16"/>
    <dataValidation allowBlank="1" showInputMessage="1" showErrorMessage="1" prompt="Indique o número da Prioridade Global indicado no Comitê de priorização._x000a__x000a_Esta Informação está disponível nos dados do Projeto no Clarity PPM." sqref="I17"/>
    <dataValidation allowBlank="1" showInputMessage="1" showErrorMessage="1" prompt="Indique o Mês/Ano em que a entrega está prevista ou foi realizada. (Pré-Candidatura)_x000a__x000a_Esta Informação está disponível nos dados do Subprojeto no Clarity PPM." sqref="I18"/>
    <dataValidation allowBlank="1" showInputMessage="1" showErrorMessage="1" prompt="Indique se o Projeto implica em Impacto Ambiental" sqref="I24"/>
    <dataValidation allowBlank="1" showInputMessage="1" showErrorMessage="1" prompt="Indique se o Projeto Implica em Pesquisa e Desenvolvimento" sqref="I23"/>
    <dataValidation allowBlank="1" showInputMessage="1" showErrorMessage="1" prompt="Digite os Códigos de todos os Subprojetos do Clarity relacionados a esta solicitação de aprovação de investimentos._x000a__x000a_Caso esta solicitação não se relacione a nenhum subprojeto do Clarity, digite NA na primeira linha." sqref="C6:C7"/>
    <dataValidation allowBlank="1" showInputMessage="1" showErrorMessage="1" promptTitle="Valor Total do Projeto" prompt="Some o Total desta ficha com o total de todas as fichas anteriores a esta, se existir, incluindo anos anteriores" sqref="L10"/>
    <dataValidation allowBlank="1" showInputMessage="1" showErrorMessage="1" promptTitle="Valor Total Neste Ano" prompt="Some o valor desta ficha a todas as fichas anteriores deste projeto defendidas no Ano Orçamentário desta ficha._x000a_" sqref="L11"/>
    <dataValidation allowBlank="1" showInputMessage="1" showErrorMessage="1" prompt="Diretoria da área Cliente, que solicitou o projeto." sqref="I5"/>
    <dataValidation allowBlank="1" showInputMessage="1" showErrorMessage="1" prompt="Gestor da Área Solicitante do Projeto" sqref="I6"/>
    <dataValidation allowBlank="1" showInputMessage="1" showErrorMessage="1" prompt="Gerente N3 de TI da área executora do projeto._x000a__x000a_O Gerente N3 é o responsável pelo envio e pela defesa no Comitê de Investimento" sqref="I7"/>
    <dataValidation allowBlank="1" showInputMessage="1" showErrorMessage="1" prompt="Classificação do Segmento de Mercado que o projeto possui._x000a__x000a_Esta informação tem origem no cadastro da ferramenta FOI e é exigida pela Controladoria." sqref="I20"/>
    <dataValidation allowBlank="1" showInputMessage="1" showErrorMessage="1" prompt="Classificação da Posição de Investiment Managment (IM) que indica o tipo de priorização do investimento na companhia." sqref="I21"/>
    <dataValidation allowBlank="1" showInputMessage="1" showErrorMessage="1" prompt="Referenciar o Impacto Geral mais Perceptivel." sqref="E28"/>
    <dataValidation allowBlank="1" showInputMessage="1" showErrorMessage="1" prompt="Referenciar Impactos adicionais com a implantação do projeto, sejam eles do ponto de vista operacional, financeiro, benefícios esperados entre outros." sqref="E29"/>
    <dataValidation type="list" allowBlank="1" showInputMessage="1" showErrorMessage="1" sqref="J14">
      <formula1>"FOI de Sistemas, FOI de Cliente, FOI de Sistemas e Cliente"</formula1>
    </dataValidation>
    <dataValidation allowBlank="1" showInputMessage="1" showErrorMessage="1" promptTitle="Valor Solicitado" prompt="Somatório automático das informações referente a Infraestrutura, Desenvolvimento / Serviços e Baseline. É o valor que será defendido nesta ficha." sqref="L5"/>
    <dataValidation allowBlank="1" showInputMessage="1" showErrorMessage="1" prompt="Total no FOI do projeto é um somatório automático das informações referente a Infraestrutura, Desenvolvimento / Serviços e Baseline" sqref="L6"/>
    <dataValidation allowBlank="1" showInputMessage="1" showErrorMessage="1" prompt="Indique que Tipo de FOI o projeto utiliza:_x000a__x000a_FOI de TI:  Desesenvolvimento ou Infra isolado_x000a_FOI de TI - Infra + Desenv:  Desenvolvimento com Infra_x000a_FOI de Cliente:  com FOI Doador do Cliente_x000a_FOI de Cliente e TI:  Mais de 1 FOI Doador mesclando TI e Cliente" sqref="I14"/>
    <dataValidation type="textLength" allowBlank="1" showInputMessage="1" showErrorMessage="1" errorTitle="Solicitação de Aprovação" error="Digite o Nome do FOI do projeto, ou CRIAR caso ainda não possua FOI." sqref="J10">
      <formula1>1</formula1>
      <formula2>40</formula2>
    </dataValidation>
    <dataValidation type="textLength" operator="lessThanOrEqual" allowBlank="1" showInputMessage="1" showErrorMessage="1" error="Este texto possui limite de 20 Caracteres" sqref="K7:K8 J17">
      <formula1>20</formula1>
    </dataValidation>
    <dataValidation type="textLength" operator="lessThanOrEqual" allowBlank="1" showInputMessage="1" showErrorMessage="1" errorTitle="Aprovação de Investimento" error="O Nome do Gestor Solicitante deve possuir no máximo 80 Caracteres." sqref="J6">
      <formula1>80</formula1>
    </dataValidation>
    <dataValidation type="textLength" operator="lessThanOrEqual" allowBlank="1" showInputMessage="1" showErrorMessage="1" error="Risco de Não Fazer deve ser um texto de no máximo 500 caracteres." sqref="E22">
      <formula1>500</formula1>
    </dataValidation>
    <dataValidation allowBlank="1" showInputMessage="1" showErrorMessage="1" prompt="Nesta tela você deve preencher todos os campos disponíveis com informações da Solicitação e da defesa na necessidade no Comitê de Investimento de TI." sqref="B2"/>
    <dataValidation allowBlank="1" showInputMessage="1" showErrorMessage="1" promptTitle="Valor Macroestimativa" prompt="Valor da macroestimativa feita no início do Subprojeto, indicado no Clarity PPM._x000a__x000a_Caso o subprojeto não possua macroestimativa, ou não se aplique, digite zero." sqref="L9"/>
    <dataValidation allowBlank="1" showInputMessage="1" showErrorMessage="1" prompt="Total Infraestrutura é um somatório automático das informações referente a despesas de Infraestrutura_x000a__x000a_Se a Origem do FOI for um projeto de Desenvolvimento + Infra ele será incluído no FOI Unificado de Infra senão será incluído no FOI do projeto." sqref="L7:L8"/>
    <dataValidation allowBlank="1" showInputMessage="1" showErrorMessage="1" prompt="Nome do Projeto Principal, limitado a 40 Caracteres, para cadastro no SAP._x000a__x000a_Caso a ficha não envolva nenhum projeto cadastrado no Clarity, coloque uma definição da Necessidade Solicitada." sqref="E5"/>
    <dataValidation type="list" allowBlank="1" showInputMessage="1" showErrorMessage="1" sqref="J23:J24">
      <formula1>"SIM,NÃO"</formula1>
    </dataValidation>
    <dataValidation allowBlank="1" showInputMessage="1" showErrorMessage="1" prompt="Nome do FOI utilizado. Ele pode ser diferente do nome do projeto._x000a__x000a_Caso o projeto não possua um FOI previamente estabelecido, digite CRIAR" sqref="I10"/>
    <dataValidation allowBlank="1" showInputMessage="1" showErrorMessage="1" prompt="Digite os Códigos de todos os Projetos do Clarity relacionados a esta solicitação de aprovação de investimentos._x000a__x000a_Caso esta solicitação não se relacione a nenhum subprojeto do Clarity, digite NA na primeira linha." sqref="B6:B7"/>
    <dataValidation allowBlank="1" showInputMessage="1" showErrorMessage="1" prompt="Soma das informações referente ao Baseline da empresa indicada._x000a__x000a_Valores solicitados em baseline não serão carregado do FOI do projeto, mas devem ser solicitados._x000a__x000a_Estes valores são Detalhados na Aba de &quot;Proposta-Serviços&quot;." sqref="M13"/>
    <dataValidation type="textLength" allowBlank="1" showInputMessage="1" showErrorMessage="1" errorTitle="Solicitação de Aprocação" error="Outros impactos do Objetivo deve ser um texto de até 500 Caracteres." sqref="F29">
      <formula1>2</formula1>
      <formula2>500</formula2>
    </dataValidation>
    <dataValidation type="whole" operator="greaterThanOrEqual" allowBlank="1" showInputMessage="1" showErrorMessage="1" sqref="M9:M11">
      <formula1>0</formula1>
    </dataValidation>
    <dataValidation type="textLength" operator="lessThanOrEqual" allowBlank="1" showInputMessage="1" showErrorMessage="1" errorTitle="Solicitação de Aprocação" error="Escopo tem um limite de 1000 Caracteres." sqref="E10:G13">
      <formula1>1000</formula1>
    </dataValidation>
    <dataValidation type="textLength" operator="lessThanOrEqual" allowBlank="1" showInputMessage="1" showErrorMessage="1" errorTitle="Solicitação de Aprocação" error="Defesa da Necessidade deve ser um texto de no máximo 1000 caracteres." sqref="E15">
      <formula1>1000</formula1>
    </dataValidation>
    <dataValidation allowBlank="1" showInputMessage="1" showErrorMessage="1" promptTitle="Defesa da Necessidade" prompt="O preenhimento deve atender as questões padões pré-exibidas." sqref="E14:G14"/>
    <dataValidation allowBlank="1" showInputMessage="1" showErrorMessage="1" prompt="Detalhamento do escopo do projeto._x000a__x000a_Esta informação pode ser obtida na ferramenta de Gestão de Projetos." sqref="E9:G9"/>
    <dataValidation allowBlank="1" showInputMessage="1" showErrorMessage="1" prompt="Implicações decorrente de uma eventual não aprovação desta necessidade" sqref="E21:G21"/>
    <dataValidation type="textLength" operator="lessThanOrEqual" allowBlank="1" showInputMessage="1" showErrorMessage="1" errorTitle="Solicitação de Aprovação" error="Este Campo tem limite de 40 Caracteres" sqref="F5:G6">
      <formula1>40</formula1>
    </dataValidation>
    <dataValidation allowBlank="1" showInputMessage="1" showErrorMessage="1" prompt="Soma das informações referente ao extrabaseline da empresa indicada._x000a__x000a_Valores solicitados em extrabaseline serão carregado do FOI do projeto, devem possuir detalhamento de propostas Aba de &quot;Proposta-Serviços&quot;." sqref="N13"/>
    <dataValidation allowBlank="1" showInputMessage="1" showErrorMessage="1" prompt="Código do FOI  do Projeto onde o Orçamento deve ser carregado._x000a_Caso não possua um FOI previamente estabelecido:_x000a_- Se projeto &gt; 500h, priorizado em Comitê, digite BOLSÃO_x000a_- Se Demanda &lt;=500h, Priorização automatica, BOLSINHA_x000a_- Se outros Casos, CRIAR" sqref="I9"/>
  </dataValidations>
  <pageMargins left="0.25" right="0.25" top="0.75" bottom="0.75" header="0.3" footer="0.3"/>
  <pageSetup paperSize="9" scale="71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606" yWindow="306" count="8">
        <x14:dataValidation type="list" allowBlank="1" showInputMessage="1" showErrorMessage="1">
          <x14:formula1>
            <xm:f>OFFSET( TABELAS!$G:$G, 1, 0, COUNTA( TABELAS!$G:$G)-1,1 )</xm:f>
          </x14:formula1>
          <xm:sqref>J21</xm:sqref>
        </x14:dataValidation>
        <x14:dataValidation type="list" allowBlank="1" showInputMessage="1" showErrorMessage="1">
          <x14:formula1>
            <xm:f>OFFSET( TABELAS!$I:$I, 1, 0, COUNTA( TABELAS!$I:$I)-1,1 )</xm:f>
          </x14:formula1>
          <xm:sqref>J20</xm:sqref>
        </x14:dataValidation>
        <x14:dataValidation type="list" allowBlank="1" showInputMessage="1" showErrorMessage="1">
          <x14:formula1>
            <xm:f>OFFSET( TABELAS!$M:$M, 1, 0, COUNTA( TABELAS!$M:$M)-1,1 )</xm:f>
          </x14:formula1>
          <xm:sqref>J7</xm:sqref>
        </x14:dataValidation>
        <x14:dataValidation type="list" allowBlank="1" showInputMessage="1" showErrorMessage="1">
          <x14:formula1>
            <xm:f>TABELAS!$Y$2:$Y$28</xm:f>
          </x14:formula1>
          <xm:sqref>J16</xm:sqref>
        </x14:dataValidation>
        <x14:dataValidation type="list" allowBlank="1" showInputMessage="1" showErrorMessage="1">
          <x14:formula1>
            <xm:f>OFFSET( TABELAS!$A:$A, 1, 0, COUNTA( TABELAS!$A:$A)-1,1 )</xm:f>
          </x14:formula1>
          <xm:sqref>F7</xm:sqref>
        </x14:dataValidation>
        <x14:dataValidation type="list" allowBlank="1" showInputMessage="1" showErrorMessage="1">
          <x14:formula1>
            <xm:f>OFFSET( TABELAS!$C:$C, 1, 0, COUNTA( TABELAS!$C:$C)-1,1 )</xm:f>
          </x14:formula1>
          <xm:sqref>J5</xm:sqref>
        </x14:dataValidation>
        <x14:dataValidation type="list" allowBlank="1" showInputMessage="1" showErrorMessage="1">
          <x14:formula1>
            <xm:f>TABELAS!$AA$2:$AA$28</xm:f>
          </x14:formula1>
          <xm:sqref>J18</xm:sqref>
        </x14:dataValidation>
        <x14:dataValidation type="list" allowBlank="1" showInputMessage="1" showErrorMessage="1">
          <x14:formula1>
            <xm:f>TABELAS!$K$2:$K$6</xm:f>
          </x14:formula1>
          <xm:sqref>F28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_Proposta"/>
  <dimension ref="A1:CK510"/>
  <sheetViews>
    <sheetView showGridLines="0" showRowColHeaders="0" zoomScaleNormal="100" workbookViewId="0">
      <pane xSplit="14" ySplit="7" topLeftCell="X8" activePane="bottomRight" state="frozen"/>
      <selection activeCell="D51" sqref="D51"/>
      <selection pane="topRight" activeCell="D51" sqref="D51"/>
      <selection pane="bottomLeft" activeCell="D51" sqref="D51"/>
      <selection pane="bottomRight" activeCell="G8" sqref="G8"/>
    </sheetView>
  </sheetViews>
  <sheetFormatPr defaultColWidth="0" defaultRowHeight="11.25" zeroHeight="1" x14ac:dyDescent="0.2"/>
  <cols>
    <col min="1" max="1" width="1.5703125" style="273" customWidth="1"/>
    <col min="2" max="2" width="26.5703125" style="214" hidden="1" customWidth="1"/>
    <col min="3" max="4" width="12.85546875" style="214" hidden="1" customWidth="1"/>
    <col min="5" max="5" width="8.28515625" style="214" hidden="1" customWidth="1"/>
    <col min="6" max="6" width="4.140625" style="214" customWidth="1"/>
    <col min="7" max="7" width="9.7109375" style="214" customWidth="1"/>
    <col min="8" max="8" width="15.28515625" style="214" customWidth="1"/>
    <col min="9" max="9" width="8" style="214" customWidth="1"/>
    <col min="10" max="10" width="19.140625" style="214" customWidth="1"/>
    <col min="11" max="11" width="13" style="214" customWidth="1"/>
    <col min="12" max="12" width="12.7109375" style="214" customWidth="1"/>
    <col min="13" max="13" width="13" style="214" customWidth="1"/>
    <col min="14" max="14" width="9.28515625" style="214" hidden="1" customWidth="1"/>
    <col min="15" max="15" width="14" style="214" customWidth="1"/>
    <col min="16" max="18" width="30.85546875" style="214" customWidth="1"/>
    <col min="19" max="19" width="27" style="214" customWidth="1"/>
    <col min="20" max="20" width="35.85546875" style="214" customWidth="1"/>
    <col min="21" max="21" width="10.5703125" style="214" customWidth="1"/>
    <col min="22" max="22" width="3.42578125" style="214" customWidth="1"/>
    <col min="23" max="23" width="36.7109375" style="214" customWidth="1"/>
    <col min="24" max="24" width="15" style="214" customWidth="1"/>
    <col min="25" max="25" width="11.42578125" style="214" customWidth="1"/>
    <col min="26" max="26" width="11" style="214" customWidth="1"/>
    <col min="27" max="27" width="15.5703125" style="214" customWidth="1"/>
    <col min="28" max="28" width="13" style="214" customWidth="1"/>
    <col min="29" max="29" width="13.140625" style="214" customWidth="1"/>
    <col min="30" max="30" width="14.28515625" style="214" customWidth="1"/>
    <col min="31" max="31" width="6.5703125" style="214" customWidth="1"/>
    <col min="32" max="32" width="3.42578125" style="214" customWidth="1"/>
    <col min="33" max="33" width="1.5703125" style="214" customWidth="1"/>
    <col min="34" max="34" width="8.7109375" style="214" hidden="1" customWidth="1"/>
    <col min="35" max="35" width="9.5703125" style="214" hidden="1" customWidth="1"/>
    <col min="36" max="36" width="9.140625" style="276" hidden="1" customWidth="1"/>
    <col min="37" max="37" width="14.85546875" style="214" hidden="1" customWidth="1"/>
    <col min="38" max="38" width="12.5703125" style="214" hidden="1" customWidth="1"/>
    <col min="39" max="39" width="9.140625" style="214" hidden="1" customWidth="1"/>
    <col min="40" max="40" width="11" style="214" hidden="1" customWidth="1"/>
    <col min="41" max="41" width="10.7109375" style="214" hidden="1" customWidth="1"/>
    <col min="42" max="42" width="19.5703125" style="214" hidden="1" customWidth="1"/>
    <col min="43" max="43" width="14.5703125" style="277" hidden="1" customWidth="1"/>
    <col min="44" max="44" width="10.7109375" style="214" hidden="1" customWidth="1"/>
    <col min="45" max="45" width="9.140625" style="214" hidden="1" customWidth="1"/>
    <col min="46" max="46" width="10.42578125" style="214" hidden="1" customWidth="1"/>
    <col min="47" max="47" width="16.42578125" style="214" hidden="1" customWidth="1"/>
    <col min="48" max="48" width="16.7109375" style="214" hidden="1" customWidth="1"/>
    <col min="49" max="49" width="8.42578125" style="278" hidden="1" customWidth="1"/>
    <col min="50" max="50" width="16.7109375" style="276" hidden="1" customWidth="1"/>
    <col min="51" max="53" width="16.7109375" style="214" hidden="1" customWidth="1"/>
    <col min="54" max="57" width="7.7109375" style="214" hidden="1" customWidth="1"/>
    <col min="58" max="58" width="9.7109375" style="214" hidden="1" customWidth="1"/>
    <col min="59" max="59" width="9.85546875" style="214" hidden="1" customWidth="1"/>
    <col min="60" max="62" width="9.140625" style="214" hidden="1" customWidth="1"/>
    <col min="63" max="63" width="8.85546875" style="214" hidden="1" customWidth="1"/>
    <col min="64" max="65" width="9.140625" style="214" hidden="1" customWidth="1"/>
    <col min="66" max="66" width="10" style="214" hidden="1" customWidth="1"/>
    <col min="67" max="69" width="9.140625" style="214" hidden="1" customWidth="1"/>
    <col min="70" max="70" width="12" style="214" hidden="1" customWidth="1"/>
    <col min="71" max="71" width="7.5703125" style="214" hidden="1" customWidth="1"/>
    <col min="72" max="77" width="9.140625" style="214" hidden="1" customWidth="1"/>
    <col min="78" max="78" width="10.5703125" style="214" hidden="1" customWidth="1"/>
    <col min="79" max="80" width="11" style="214" hidden="1" customWidth="1"/>
    <col min="81" max="88" width="9.140625" style="214" hidden="1" customWidth="1"/>
    <col min="89" max="89" width="7" style="214" hidden="1" customWidth="1"/>
    <col min="90" max="16384" width="9.140625" style="214" hidden="1"/>
  </cols>
  <sheetData>
    <row r="1" spans="1:82" ht="7.5" customHeight="1" x14ac:dyDescent="0.2">
      <c r="A1" s="213">
        <v>1</v>
      </c>
      <c r="F1" s="215"/>
      <c r="G1" s="215"/>
      <c r="T1" s="216"/>
      <c r="AG1" s="234"/>
    </row>
    <row r="2" spans="1:82" ht="28.5" customHeight="1" x14ac:dyDescent="0.2">
      <c r="A2" s="217"/>
      <c r="F2" s="117" t="s">
        <v>433</v>
      </c>
      <c r="G2" s="118" t="s">
        <v>872</v>
      </c>
      <c r="H2" s="119"/>
      <c r="I2" s="120"/>
      <c r="J2" s="120"/>
      <c r="K2" s="120"/>
      <c r="L2" s="120"/>
      <c r="M2" s="120"/>
      <c r="N2" s="120"/>
      <c r="O2" s="120"/>
      <c r="P2" s="120"/>
      <c r="Q2" s="120"/>
      <c r="R2" s="120"/>
      <c r="S2" s="121"/>
      <c r="T2" s="121"/>
      <c r="U2" s="121"/>
      <c r="V2" s="121"/>
      <c r="W2" s="121"/>
      <c r="X2" s="122"/>
      <c r="Y2" s="122"/>
      <c r="Z2" s="122"/>
      <c r="AA2" s="122"/>
      <c r="AB2" s="120"/>
      <c r="AC2" s="120"/>
      <c r="AD2" s="120"/>
      <c r="AE2" s="120"/>
      <c r="AG2" s="234"/>
      <c r="AH2" s="214" t="s">
        <v>669</v>
      </c>
      <c r="BK2" s="278"/>
      <c r="CB2" s="214" t="s">
        <v>698</v>
      </c>
    </row>
    <row r="3" spans="1:82" ht="12" thickBot="1" x14ac:dyDescent="0.25">
      <c r="A3" s="217"/>
      <c r="B3" s="215" t="s">
        <v>886</v>
      </c>
      <c r="F3" s="215"/>
      <c r="G3" s="215"/>
      <c r="H3" s="218"/>
      <c r="I3" s="219"/>
      <c r="J3" s="219"/>
      <c r="K3" s="219"/>
      <c r="L3" s="219"/>
      <c r="M3" s="219"/>
      <c r="N3" s="219"/>
      <c r="O3" s="219"/>
      <c r="P3" s="219"/>
      <c r="Q3" s="219"/>
      <c r="R3" s="219"/>
      <c r="S3" s="219"/>
      <c r="T3" s="220"/>
      <c r="W3" s="221"/>
      <c r="Y3" s="379" t="s">
        <v>213</v>
      </c>
      <c r="Z3" s="379"/>
      <c r="AA3" s="274">
        <f>SUMIFS($AA$8:$AA$507, $G$8:$G$507, "NÃO", $V$8:$V$507, 0) +
   SUMIFS($AA$8:$AA$507, $G$8:$G$507, "NÃO", $V$8:$V$507, 2)+
  SUMIFS($AA$8:$AA$507, $G$8:$G$507, "SIM")</f>
        <v>14787.465</v>
      </c>
      <c r="AF3" s="219"/>
      <c r="AG3" s="279"/>
      <c r="AH3" s="214" t="s">
        <v>891</v>
      </c>
      <c r="AN3" s="278"/>
      <c r="AW3" s="278" t="s">
        <v>907</v>
      </c>
      <c r="BJ3" s="280"/>
      <c r="BK3" s="278"/>
      <c r="BL3" s="278"/>
    </row>
    <row r="4" spans="1:82" ht="22.5" customHeight="1" x14ac:dyDescent="0.25">
      <c r="A4" s="217"/>
      <c r="F4" s="215"/>
      <c r="G4" s="215"/>
      <c r="O4" s="382" t="str">
        <f>IF(ISERR(SUM(BF6:CD6)), "", IF(SUM(BF6:CD6) = 0, "", "Atenção: Pendências de Preenchimento. Clique Aqui"))</f>
        <v/>
      </c>
      <c r="P4" s="382"/>
      <c r="Q4" s="382"/>
      <c r="R4" s="382"/>
      <c r="T4" s="216"/>
      <c r="W4" s="221"/>
      <c r="X4" s="222"/>
      <c r="Y4" s="374" t="s">
        <v>221</v>
      </c>
      <c r="Z4" s="374"/>
      <c r="AA4" s="275">
        <f>SUMIFS($AA$8:$AA507, $V$8:$V$507, 1)</f>
        <v>0</v>
      </c>
      <c r="AC4" s="221"/>
      <c r="AG4" s="234"/>
      <c r="BB4" s="281" t="s">
        <v>919</v>
      </c>
      <c r="BF4" s="214" t="s">
        <v>252</v>
      </c>
    </row>
    <row r="5" spans="1:82" ht="12" thickBot="1" x14ac:dyDescent="0.25">
      <c r="A5" s="217"/>
      <c r="C5" s="223">
        <v>11</v>
      </c>
      <c r="D5" s="223">
        <v>13</v>
      </c>
      <c r="E5" s="223">
        <v>14</v>
      </c>
      <c r="F5" s="215"/>
      <c r="G5" s="215"/>
      <c r="T5" s="216"/>
      <c r="W5" s="221"/>
      <c r="X5" s="221"/>
      <c r="Y5" s="380" t="s">
        <v>1046</v>
      </c>
      <c r="Z5" s="380"/>
      <c r="AA5" s="224">
        <f>SUBTOTAL(109, $AA$8:$AA$507)</f>
        <v>14787.465</v>
      </c>
      <c r="AC5" s="221"/>
      <c r="AG5" s="234"/>
      <c r="AH5" s="216">
        <v>7</v>
      </c>
      <c r="AI5" s="216">
        <v>8</v>
      </c>
      <c r="AJ5" s="282">
        <v>9</v>
      </c>
      <c r="AK5" s="216">
        <v>10</v>
      </c>
      <c r="AL5" s="216">
        <v>12</v>
      </c>
      <c r="AM5" s="216">
        <v>15</v>
      </c>
      <c r="AN5" s="216">
        <v>24</v>
      </c>
      <c r="AO5" s="216">
        <v>21</v>
      </c>
      <c r="AP5" s="216">
        <v>20</v>
      </c>
      <c r="AQ5" s="216">
        <v>23</v>
      </c>
      <c r="AR5" s="216">
        <v>25</v>
      </c>
      <c r="AS5" s="216">
        <v>26</v>
      </c>
      <c r="AT5" s="216">
        <v>27</v>
      </c>
      <c r="AU5" s="216"/>
      <c r="AV5" s="216"/>
      <c r="AW5" s="283"/>
      <c r="AX5" s="282">
        <v>19</v>
      </c>
      <c r="AY5" s="216">
        <v>16</v>
      </c>
      <c r="AZ5" s="216">
        <v>17</v>
      </c>
      <c r="BA5" s="216">
        <v>18</v>
      </c>
      <c r="BB5" s="284">
        <f>LARGE($BB8:$BB507,1)</f>
        <v>19</v>
      </c>
      <c r="BF5" s="285" t="str">
        <f>IF(BF6 &lt;&gt; 0, "Solicitações de Infraestrutura com campos obrigatórios em branco.", "")</f>
        <v/>
      </c>
      <c r="BG5" s="285" t="str">
        <f>IF(BG6 &lt;&gt; 0, "Solicitações de Desenvolvimento/Serviços com campos obrigatórios em branco.", "")</f>
        <v/>
      </c>
      <c r="BH5" s="285" t="str">
        <f>IF(BH6 &lt;&gt; 0, "Subprojeto Digitado Não Consta na Lista de Subprojetos.","")</f>
        <v/>
      </c>
      <c r="BI5" s="285" t="str">
        <f>IF(BI6 &lt;&gt; 0, "Digite corretamente o Código da Proposta.","")</f>
        <v/>
      </c>
      <c r="BJ5" s="285" t="str">
        <f>IF(BJ6 &lt;&gt; 0, "Digite Corretamente o Código da Aprovação Financeira do Clarity.","")</f>
        <v/>
      </c>
      <c r="BK5" s="285" t="str">
        <f>IF(BK6 &lt;&gt; 0, "Item de Mensalização com nome Repetido.","")</f>
        <v/>
      </c>
      <c r="BL5" s="285" t="str">
        <f>IF(BL6 &lt;&gt; 0, "Indique informações do marco de pagamento.","")</f>
        <v/>
      </c>
      <c r="BM5" s="285" t="str">
        <f>IF(BM6 &lt;&gt; 0, "Período de Mensalisação Digitado não é Válido. Selecione na Lista.","")</f>
        <v/>
      </c>
      <c r="BN5" s="285" t="str">
        <f>IF(BN6 &lt;&gt; 0, "Soma dos Valores dos milestones não é igual ao Total Solicitado.","")</f>
        <v/>
      </c>
      <c r="BO5" s="285" t="str">
        <f>IF(BO6 &lt;&gt; 0, "Não detalhe Mensalização em propostas de Fábricas com Baseline.","")</f>
        <v/>
      </c>
      <c r="BP5" s="285" t="str">
        <f>IF(BP6 &lt;&gt; 0, "Não é possível solicitar GO para Desenvolvimento em proposta sem Fábrica.", "")</f>
        <v/>
      </c>
      <c r="BQ5" s="285" t="str">
        <f>IF(BQ6 &lt;&gt; 0, "Apenas propostas aprovadas no Clarity podem ter GO enviado.","")</f>
        <v/>
      </c>
      <c r="BR5" s="285" t="str">
        <f>IF(BR6 &lt;&gt; 0, "Não solicite Criação de RC em propostas estimadas, Baseline ou sem Fábrica.", "")</f>
        <v/>
      </c>
      <c r="BS5" s="285" t="str">
        <f>IF(BS6 &lt;&gt; 0, "Para Proposta de Baseline, deve ser indicado empresa 'N/A'", "")</f>
        <v/>
      </c>
      <c r="BT5" s="285" t="str">
        <f>IF(BT6 &lt;&gt; 0, "Fábrica de Software digitada não consta na Lista. Selecione na Lista","")</f>
        <v/>
      </c>
      <c r="BU5" s="285" t="str">
        <f>IF(BU6 &lt;&gt; 0, "Contrato da Global Web pertence obrigatoriamente a Empresa da R2.","")</f>
        <v/>
      </c>
      <c r="BV5" s="285" t="str">
        <f>IF(BV6 &lt;&gt; 0, "Empresa OI Digitado não é Válido. Selecione na Lista.","")</f>
        <v/>
      </c>
      <c r="BW5" s="285" t="str">
        <f>IF(BW6 &lt;&gt; 0, "'Empresa N/A só pode ser escolhida em Propostas de Baseline.", "")</f>
        <v/>
      </c>
      <c r="BX5" s="285" t="str">
        <f>IF(BX6 &lt;&gt; 0, "Sistema Digitado não é Válido. Selecione na Lista.","")</f>
        <v/>
      </c>
      <c r="BY5" s="285" t="str">
        <f>IF(BY6 &lt;&gt; 0, "Estimativas não possuem propostas fechadas. Use um código iniciado por ME-","")</f>
        <v/>
      </c>
      <c r="BZ5" s="285" t="str">
        <f>IF(BZ6 &lt;&gt; 0, "Não é permitido Contratação de Recursos em Contratos de Baseline.", "")</f>
        <v/>
      </c>
      <c r="CA5" s="285" t="str">
        <f>IF(CA6 &lt;&gt; 0, "Classificação de Gasto não Cadastrada. Selecione na Lista.", "")</f>
        <v/>
      </c>
      <c r="CB5" s="285" t="str">
        <f>IF(CB6 &lt;&gt; 0, "Aquisição de Infra em proposta de Serviço.","")</f>
        <v/>
      </c>
      <c r="CC5" s="285" t="str">
        <f>IF(CC6 &lt;&gt; 0, "Complemento de Saldo deve ser obrigatóriamente uma Estimativa.","")</f>
        <v/>
      </c>
      <c r="CD5" s="285" t="str">
        <f>IF(CD6 &lt;&gt; 0, "Você está indicando 2 fábricas para mesma proposta.","")</f>
        <v/>
      </c>
    </row>
    <row r="6" spans="1:82" x14ac:dyDescent="0.2">
      <c r="A6" s="217"/>
      <c r="C6" s="225" t="s">
        <v>890</v>
      </c>
      <c r="D6" s="223" t="s">
        <v>892</v>
      </c>
      <c r="E6" s="223" t="s">
        <v>893</v>
      </c>
      <c r="F6" s="226"/>
      <c r="G6" s="227"/>
      <c r="H6" s="228"/>
      <c r="I6" s="228"/>
      <c r="J6" s="228"/>
      <c r="K6" s="228"/>
      <c r="L6" s="228"/>
      <c r="M6" s="228"/>
      <c r="N6" s="228"/>
      <c r="O6" s="228"/>
      <c r="P6" s="378" t="s">
        <v>875</v>
      </c>
      <c r="Q6" s="378"/>
      <c r="R6" s="378"/>
      <c r="S6" s="307" t="s">
        <v>883</v>
      </c>
      <c r="T6" s="381" t="s">
        <v>884</v>
      </c>
      <c r="U6" s="381"/>
      <c r="V6" s="381"/>
      <c r="W6" s="381"/>
      <c r="X6" s="228"/>
      <c r="Y6" s="228"/>
      <c r="Z6" s="228"/>
      <c r="AA6" s="228"/>
      <c r="AB6" s="375" t="s">
        <v>1048</v>
      </c>
      <c r="AC6" s="376"/>
      <c r="AD6" s="376"/>
      <c r="AE6" s="377"/>
      <c r="AF6" s="219"/>
      <c r="AG6" s="234"/>
      <c r="AH6" s="216" t="s">
        <v>888</v>
      </c>
      <c r="AI6" s="216" t="s">
        <v>889</v>
      </c>
      <c r="AJ6" s="282" t="s">
        <v>190</v>
      </c>
      <c r="AK6" s="216" t="s">
        <v>887</v>
      </c>
      <c r="AL6" s="216" t="s">
        <v>899</v>
      </c>
      <c r="AM6" s="216" t="s">
        <v>894</v>
      </c>
      <c r="AN6" s="216" t="s">
        <v>908</v>
      </c>
      <c r="AO6" s="216" t="s">
        <v>903</v>
      </c>
      <c r="AP6" s="216" t="s">
        <v>900</v>
      </c>
      <c r="AQ6" s="216" t="s">
        <v>904</v>
      </c>
      <c r="AR6" s="216" t="s">
        <v>905</v>
      </c>
      <c r="AS6" s="216" t="s">
        <v>906</v>
      </c>
      <c r="AT6" s="216" t="s">
        <v>898</v>
      </c>
      <c r="AU6" s="216"/>
      <c r="AV6" s="216"/>
      <c r="AW6" s="283"/>
      <c r="AX6" s="282" t="s">
        <v>902</v>
      </c>
      <c r="AY6" s="216" t="s">
        <v>895</v>
      </c>
      <c r="AZ6" s="216" t="s">
        <v>896</v>
      </c>
      <c r="BA6" s="216" t="s">
        <v>897</v>
      </c>
      <c r="BF6" s="286">
        <f>SUM(BF8:BF507)</f>
        <v>0</v>
      </c>
      <c r="BG6" s="286">
        <f>SUM(BG8:BG507)</f>
        <v>0</v>
      </c>
      <c r="BH6" s="286">
        <f t="shared" ref="BH6:BO6" si="0">SUM(BH8:BH507)</f>
        <v>0</v>
      </c>
      <c r="BI6" s="286">
        <f t="shared" si="0"/>
        <v>0</v>
      </c>
      <c r="BJ6" s="286">
        <f t="shared" si="0"/>
        <v>0</v>
      </c>
      <c r="BK6" s="286">
        <f t="shared" si="0"/>
        <v>0</v>
      </c>
      <c r="BL6" s="286">
        <f t="shared" si="0"/>
        <v>0</v>
      </c>
      <c r="BM6" s="286">
        <f t="shared" si="0"/>
        <v>0</v>
      </c>
      <c r="BN6" s="286">
        <f t="shared" si="0"/>
        <v>0</v>
      </c>
      <c r="BO6" s="286">
        <f t="shared" si="0"/>
        <v>0</v>
      </c>
      <c r="BP6" s="286">
        <f>SUM(BP8:BP507)</f>
        <v>0</v>
      </c>
      <c r="BQ6" s="286">
        <f>SUM(BQ8:BQ507)</f>
        <v>0</v>
      </c>
      <c r="BR6" s="286">
        <f>SUM(BR8:BR507)</f>
        <v>0</v>
      </c>
      <c r="BS6" s="286">
        <f>SUM(BS8:BS507)</f>
        <v>0</v>
      </c>
      <c r="BT6" s="286">
        <f t="shared" ref="BT6:BY6" si="1">SUM(BT8:BT507)</f>
        <v>0</v>
      </c>
      <c r="BU6" s="286">
        <f t="shared" si="1"/>
        <v>0</v>
      </c>
      <c r="BV6" s="286">
        <f t="shared" si="1"/>
        <v>0</v>
      </c>
      <c r="BW6" s="286">
        <f t="shared" si="1"/>
        <v>0</v>
      </c>
      <c r="BX6" s="286">
        <f t="shared" si="1"/>
        <v>0</v>
      </c>
      <c r="BY6" s="286">
        <f t="shared" si="1"/>
        <v>0</v>
      </c>
      <c r="BZ6" s="286">
        <f>SUM(BZ8:BZ507)</f>
        <v>0</v>
      </c>
      <c r="CA6" s="286">
        <f>SUM(CA8:CA507)</f>
        <v>0</v>
      </c>
      <c r="CB6" s="286">
        <f>SUM(CB8:CB507)</f>
        <v>0</v>
      </c>
      <c r="CC6" s="286">
        <f>SUM(CC8:CC507)</f>
        <v>0</v>
      </c>
      <c r="CD6" s="286">
        <f>SUM(CD8:CD507)</f>
        <v>0</v>
      </c>
    </row>
    <row r="7" spans="1:82" ht="45" customHeight="1" x14ac:dyDescent="0.2">
      <c r="A7" s="217"/>
      <c r="B7" s="229" t="s">
        <v>668</v>
      </c>
      <c r="C7" s="230" t="s">
        <v>249</v>
      </c>
      <c r="D7" s="230" t="s">
        <v>248</v>
      </c>
      <c r="E7" s="230" t="s">
        <v>231</v>
      </c>
      <c r="F7" s="231"/>
      <c r="G7" s="308" t="s">
        <v>874</v>
      </c>
      <c r="H7" s="308" t="s">
        <v>971</v>
      </c>
      <c r="I7" s="308" t="s">
        <v>972</v>
      </c>
      <c r="J7" s="308" t="s">
        <v>42</v>
      </c>
      <c r="K7" s="308" t="s">
        <v>657</v>
      </c>
      <c r="L7" s="308" t="s">
        <v>662</v>
      </c>
      <c r="M7" s="308" t="s">
        <v>660</v>
      </c>
      <c r="N7" s="308" t="s">
        <v>996</v>
      </c>
      <c r="O7" s="308" t="s">
        <v>54</v>
      </c>
      <c r="P7" s="309" t="s">
        <v>933</v>
      </c>
      <c r="Q7" s="309" t="s">
        <v>840</v>
      </c>
      <c r="R7" s="309" t="s">
        <v>922</v>
      </c>
      <c r="S7" s="310" t="s">
        <v>870</v>
      </c>
      <c r="T7" s="311" t="s">
        <v>871</v>
      </c>
      <c r="U7" s="312" t="s">
        <v>57</v>
      </c>
      <c r="V7" s="312" t="s">
        <v>225</v>
      </c>
      <c r="W7" s="311" t="s">
        <v>452</v>
      </c>
      <c r="X7" s="313" t="s">
        <v>67</v>
      </c>
      <c r="Y7" s="313" t="s">
        <v>913</v>
      </c>
      <c r="Z7" s="313" t="s">
        <v>912</v>
      </c>
      <c r="AA7" s="313" t="s">
        <v>697</v>
      </c>
      <c r="AB7" s="314" t="s">
        <v>246</v>
      </c>
      <c r="AC7" s="315" t="s">
        <v>702</v>
      </c>
      <c r="AD7" s="315" t="s">
        <v>219</v>
      </c>
      <c r="AE7" s="233" t="s">
        <v>229</v>
      </c>
      <c r="AF7" s="234"/>
      <c r="AG7" s="234"/>
      <c r="AH7" s="287" t="s">
        <v>874</v>
      </c>
      <c r="AI7" s="287" t="s">
        <v>873</v>
      </c>
      <c r="AJ7" s="288" t="s">
        <v>264</v>
      </c>
      <c r="AK7" s="287" t="s">
        <v>42</v>
      </c>
      <c r="AL7" s="287" t="s">
        <v>665</v>
      </c>
      <c r="AM7" s="287" t="s">
        <v>256</v>
      </c>
      <c r="AN7" s="287" t="s">
        <v>257</v>
      </c>
      <c r="AO7" s="287" t="s">
        <v>265</v>
      </c>
      <c r="AP7" s="287" t="s">
        <v>901</v>
      </c>
      <c r="AQ7" s="287" t="s">
        <v>266</v>
      </c>
      <c r="AR7" s="287" t="s">
        <v>267</v>
      </c>
      <c r="AS7" s="287" t="s">
        <v>268</v>
      </c>
      <c r="AT7" s="287" t="s">
        <v>217</v>
      </c>
      <c r="AU7" s="287" t="s">
        <v>254</v>
      </c>
      <c r="AV7" s="287" t="s">
        <v>860</v>
      </c>
      <c r="AW7" s="289" t="s">
        <v>700</v>
      </c>
      <c r="AX7" s="290" t="s">
        <v>870</v>
      </c>
      <c r="AY7" s="232" t="s">
        <v>277</v>
      </c>
      <c r="AZ7" s="232" t="s">
        <v>278</v>
      </c>
      <c r="BA7" s="232" t="s">
        <v>701</v>
      </c>
      <c r="BB7" s="291" t="s">
        <v>918</v>
      </c>
      <c r="BC7" s="291" t="s">
        <v>949</v>
      </c>
      <c r="BD7" s="291" t="s">
        <v>952</v>
      </c>
      <c r="BF7" s="292" t="s">
        <v>910</v>
      </c>
      <c r="BG7" s="292" t="s">
        <v>911</v>
      </c>
      <c r="BH7" s="292" t="s">
        <v>666</v>
      </c>
      <c r="BI7" s="292" t="s">
        <v>663</v>
      </c>
      <c r="BJ7" s="292" t="s">
        <v>664</v>
      </c>
      <c r="BK7" s="292" t="s">
        <v>251</v>
      </c>
      <c r="BL7" s="292" t="s">
        <v>255</v>
      </c>
      <c r="BM7" s="292" t="s">
        <v>403</v>
      </c>
      <c r="BN7" s="292" t="s">
        <v>250</v>
      </c>
      <c r="BO7" s="292" t="s">
        <v>253</v>
      </c>
      <c r="BP7" s="292" t="s">
        <v>230</v>
      </c>
      <c r="BQ7" s="292" t="s">
        <v>687</v>
      </c>
      <c r="BR7" s="292" t="s">
        <v>914</v>
      </c>
      <c r="BS7" s="292" t="s">
        <v>667</v>
      </c>
      <c r="BT7" s="292" t="s">
        <v>400</v>
      </c>
      <c r="BU7" s="292" t="s">
        <v>412</v>
      </c>
      <c r="BV7" s="292" t="s">
        <v>402</v>
      </c>
      <c r="BW7" s="292" t="s">
        <v>283</v>
      </c>
      <c r="BX7" s="292" t="s">
        <v>401</v>
      </c>
      <c r="BY7" s="292" t="s">
        <v>686</v>
      </c>
      <c r="BZ7" s="292" t="s">
        <v>915</v>
      </c>
      <c r="CA7" s="292" t="s">
        <v>916</v>
      </c>
      <c r="CB7" s="292" t="s">
        <v>917</v>
      </c>
      <c r="CC7" s="292" t="s">
        <v>1047</v>
      </c>
      <c r="CD7" s="292" t="s">
        <v>1077</v>
      </c>
    </row>
    <row r="8" spans="1:82" x14ac:dyDescent="0.2">
      <c r="A8" s="235"/>
      <c r="B8" s="236" t="str">
        <f xml:space="preserve"> IF( C8 = "", "", C8 &amp; "." &amp; D8 &amp; "."  &amp; E8)</f>
        <v>PRJ00021293.PROP00020171.1</v>
      </c>
      <c r="C8" s="237" t="str">
        <f t="shared" ref="C8:C71" si="2">IF($K8&lt;&gt;"",$K8, IF($AB8 = "", "", $C7))</f>
        <v>PRJ00021293</v>
      </c>
      <c r="D8" s="237" t="str">
        <f>IF( $C8 = "", "", IF( $M8="", IF(AND($C7=$C8,$G8 = ""), $D7, ""), TEXT($M8,"000")))</f>
        <v>PROP00020171</v>
      </c>
      <c r="E8" s="237">
        <f>IF($C8="", "", COUNTIF($M$8:$M8,$D8))</f>
        <v>1</v>
      </c>
      <c r="F8" s="238">
        <v>1</v>
      </c>
      <c r="G8" s="239" t="s">
        <v>956</v>
      </c>
      <c r="H8" s="240" t="s">
        <v>1102</v>
      </c>
      <c r="I8" s="240" t="s">
        <v>1102</v>
      </c>
      <c r="J8" s="241" t="s">
        <v>417</v>
      </c>
      <c r="K8" s="240" t="s">
        <v>1091</v>
      </c>
      <c r="L8" s="240" t="s">
        <v>1103</v>
      </c>
      <c r="M8" s="240" t="s">
        <v>1104</v>
      </c>
      <c r="N8" s="242"/>
      <c r="O8" s="243" t="s">
        <v>60</v>
      </c>
      <c r="P8" s="243"/>
      <c r="Q8" s="244"/>
      <c r="R8" s="243"/>
      <c r="S8" s="243"/>
      <c r="T8" s="245" t="s">
        <v>864</v>
      </c>
      <c r="U8" s="246">
        <f>IF($T8="", "", VLOOKUP($T8, CONTRATOS!$B:$E, 2, FALSE))</f>
        <v>4600042486</v>
      </c>
      <c r="V8" s="247">
        <f>IF(OR($T8="",TB_DEFESA!$C$2="Criação Baseline"),0,
   IF(VLOOKUP($T8, CONTRATOS!B:E, 3, FALSE)&lt;&gt;"",1,IF(VLOOKUP($T8, CONTRATOS!B:E, 4, FALSE)&lt;&gt;"",2,0)))</f>
        <v>2</v>
      </c>
      <c r="W8" s="248" t="s">
        <v>638</v>
      </c>
      <c r="X8" s="248" t="s">
        <v>258</v>
      </c>
      <c r="Y8" s="249">
        <v>30.38</v>
      </c>
      <c r="Z8" s="250">
        <v>88.5</v>
      </c>
      <c r="AA8" s="251">
        <f xml:space="preserve"> Y8 * Z8</f>
        <v>2688.63</v>
      </c>
      <c r="AB8" s="252" t="s">
        <v>1105</v>
      </c>
      <c r="AC8" s="253" t="s">
        <v>1108</v>
      </c>
      <c r="AD8" s="251">
        <v>896.21</v>
      </c>
      <c r="AE8" s="254">
        <f t="shared" ref="AE8:AE71" si="3">IF(AT8="","",IF(V8=1,1,IF(AT8=0,0,AD8/AT8)))</f>
        <v>0.33333333333333331</v>
      </c>
      <c r="AF8" s="255">
        <f>IF(B8= "", "", IF(SUM($BF8:$CD8) = 0, 0, 1))</f>
        <v>0</v>
      </c>
      <c r="AG8" s="293" t="s">
        <v>62</v>
      </c>
      <c r="AH8" s="294" t="str">
        <f>IF($B8="","", IF( AND($G8="", $B8 = $B7 ), $AH7, $G8))</f>
        <v>NÃO</v>
      </c>
      <c r="AI8" s="294" t="str">
        <f>IF($B8 = "", "",  IF( AND($H8= "", $B8 = $B7 ), $AI7, $H8))</f>
        <v>SIM</v>
      </c>
      <c r="AJ8" s="295" t="str">
        <f>IF(AND($AB8="", $V8=""),"",IF(AND($I8="",$B8=$B7), $AJ7, IF($I8="","",$I8)))</f>
        <v>SIM</v>
      </c>
      <c r="AK8" s="296" t="str">
        <f>IF($B8="", "", IF( AND($J8 = "",$B8=$B7), $AK7, $J8))</f>
        <v>Custo Final</v>
      </c>
      <c r="AL8" s="297" t="str">
        <f>IF( $B8= "", "",  IF( AND($L8= "",$B8=$B7), $AL7, $L8))</f>
        <v>AF00006693</v>
      </c>
      <c r="AM8" s="294" t="str">
        <f>IF( $B8 = "", "",  IF(AND($N8= "",$B8=$B7), $AM7, $O8))</f>
        <v>SERVIÇOS</v>
      </c>
      <c r="AN8" s="294" t="str">
        <f>IF( $B8 = "", "",  IF( AND($X8= "",$B8=$B7), $AN7, $X8))</f>
        <v>Oi Fixa R1</v>
      </c>
      <c r="AO8" s="298">
        <f>IF($B8="", "",  IF( AND($U8= "",$B8=$B7), $AO7, $U8))</f>
        <v>4600042486</v>
      </c>
      <c r="AP8" s="299" t="str">
        <f>IF( $B8 = "", "",  IF( AND($U8= "",$B8=$B7), $AP7, IF($T8 = "", "", $T8)))</f>
        <v>IBM - Torre I - Faturamento e Mediação (Extrabaseline)</v>
      </c>
      <c r="AQ8" s="299" t="str">
        <f>IF($B8="","",IF(AND($W8="",$B8=$B7),$AQ7,IF($W8="","",$W8)))</f>
        <v>SISRAF - FATURAMENTO</v>
      </c>
      <c r="AR8" s="300">
        <f t="shared" ref="AR8:AR71" si="4">IF($B8 = "", "",  IF($Y8= "", IF(ISNUMBER($AR7), $AR7, 0), $Y8))</f>
        <v>30.38</v>
      </c>
      <c r="AS8" s="300">
        <f t="shared" ref="AS8:AS71" si="5">IF($B8 = "", "",  IF($Z8= "", IF(ISNUMBER($AS7), $AS7, 0), $Z8))</f>
        <v>88.5</v>
      </c>
      <c r="AT8" s="294">
        <f t="shared" ref="AT8:AT71" si="6">IF($B8="", "", IF($AA8=0, $AT7, $AA8))</f>
        <v>2688.63</v>
      </c>
      <c r="AU8" s="301" t="str">
        <f>IF(OR($B8="", $AP8= ""),"",IF(VLOOKUP($AP8, CONTRATOS!B:K,3,FALSE)="","",VLOOKUP($AP8, CONTRATOS!B:K, 3,FALSE)))</f>
        <v/>
      </c>
      <c r="AV8" s="301" t="str">
        <f>IF(OR($B8="", $AP8 = ""), "", IF(VLOOKUP($AP8, CONTRATOS!B:K,4,FALSE)="","",VLOOKUP($AP8, CONTRATOS!B:K,4, FALSE)))</f>
        <v>IBM</v>
      </c>
      <c r="AW8" s="302">
        <f t="shared" ref="AW8:AW71" si="7">IF($B8="", "", IF($V8=1, 1, IF( OR($AT8 = "", $AT8=0), 0, $AD8/$AT8)))</f>
        <v>0.33333333333333331</v>
      </c>
      <c r="AX8" s="301" t="str">
        <f t="shared" ref="AX8:AX71" si="8">IF( $B8="", "", IF( $K8="",$AX7, IF($S8 = "", "", $S8)))</f>
        <v/>
      </c>
      <c r="AY8" s="301" t="str">
        <f t="shared" ref="AY8:AY71" si="9">IF( $B8="", "", IF( $K8="",$AY7, IF($P8 = "", "", $P8)))</f>
        <v/>
      </c>
      <c r="AZ8" s="301" t="str">
        <f t="shared" ref="AZ8:AZ71" si="10">IF( $B8="", "", IF( $K8="",$AZ7, IF($Q8 = "", "", $Q8)))</f>
        <v/>
      </c>
      <c r="BA8" s="301" t="str">
        <f t="shared" ref="BA8:BA71" si="11">IF( $B8="", "", IF( $K8="",$BA7, IF($R8 = "", "", $R8)))</f>
        <v/>
      </c>
      <c r="BB8" s="303">
        <f>IF( $B8 = "", 0, ROW($B8))</f>
        <v>8</v>
      </c>
      <c r="BC8" s="303" t="str">
        <f>IF($AC8="","",IF($AC8="Próximos Anos",$AC8,RIGHT($AC8,4)))</f>
        <v>2017</v>
      </c>
      <c r="BD8" s="303">
        <f>IF($B8="", "", IF($B8=$B7, $BD7, $V8))</f>
        <v>2</v>
      </c>
      <c r="BF8" s="304">
        <f>IF( AND($G8="SIM", OR($H8="", $I8="", $J8="", $K8="", $L8="", $M8="", $O8="", $P8="", $Q8="", $R8="", $X8="",  $AA8="", $AB8="", $AC8="", $AD8="")), 1, 0)</f>
        <v>0</v>
      </c>
      <c r="BG8" s="304">
        <f>IF(AND($G8="NÃO", OR($H8="", $I8="", $J8="", $K8="", $L8="", $M8="", $O8="", $T8="", $W8="", $X8="", $AA8="")), 1,
    IF( AND($AH8="NÃO",  $AU8 ="", OR( $AB8="", $AC8="", $AD8="")), 1,
    IF( AND($AH8="NÃO",  $AU8 &lt;&gt; "", OR($AB8&lt;&gt;"", $AC8&lt;&gt;"", $AD8&lt;&gt;"") ), 1, 0 ) ) )</f>
        <v>0</v>
      </c>
      <c r="BH8" s="304">
        <f>IF( $B8="", "", IF(ISNA(VLOOKUP($C8, Defesa!$C$8:$C$30,1,FALSE)),1,0))</f>
        <v>0</v>
      </c>
      <c r="BI8" s="305">
        <f>IF($B8= "", "",  IF(OR($D8 = "N/A", LEFT($D8, 2) = "ME", AND(LEN($D8) = 12, LEFT($D8, 4) = "PROP")), 0, 1))</f>
        <v>0</v>
      </c>
      <c r="BJ8" s="305">
        <f>IF($B8="","",IF(AND($AL8="N/A",LEFT($D8,4)&lt;&gt;"PROP"),0,IF(OR(AND(LEN($AL8)=10,LEFT($AL8,2)="AF",LEFT($AL8,4)&lt;&gt;"AFFT")),0,1)))</f>
        <v>0</v>
      </c>
      <c r="BK8" s="304">
        <f>IF($B8="", "", IF(COUNTIFS($AB:$AB, $AB8,$B:$B, $B8)&gt;1, 1, 0))</f>
        <v>0</v>
      </c>
      <c r="BL8" s="304">
        <f>IF( OR($B8= "",$V8 = 1), 0,  IF( OR($AC8 = "", $AD8="", $AB8=""), 1, 0))</f>
        <v>0</v>
      </c>
      <c r="BM8" s="304">
        <f>IF($AC8="", "", IF(ISNA(VLOOKUP($AC8, TABELAS!$Q:$Q, 1, FALSE)), 1, 0))</f>
        <v>0</v>
      </c>
      <c r="BN8" s="306">
        <f>IF($B8= "", "", IF( SUMIFS($AW:$AW,$C:$C, $C8,$D:$D, $D8,$E:$E, $E8) = 1, 0, 1))</f>
        <v>0</v>
      </c>
      <c r="BO8" s="304">
        <f>IF( $B8 ="", "", IF( AND($V8 = 1, OR( $AC8 &lt;&gt; "", $AB8 &lt;&gt; "", $AD8 &lt;&gt; "")), 1, 0))</f>
        <v>0</v>
      </c>
      <c r="BP8" s="304">
        <f xml:space="preserve"> IF($B8 = "", "", IF(AND( $AI8 = "SIM", $AP8= "&lt; A DEFINIR &gt;"), 1, 0))</f>
        <v>0</v>
      </c>
      <c r="BQ8" s="305">
        <f>IF($B8="", "", IF( AND($AI8="SIM", OR(LEFT($D8,2)="ME", $D8 = "N/A")), 1, 0))</f>
        <v>0</v>
      </c>
      <c r="BR8" s="304">
        <f xml:space="preserve"> IF($B8 = "", "", IF( AND( $AJ8 = "SIM", OR($AP8= "&lt; A DEFINIR &gt;", $V8 = 1, $AI8 = "ESTIMATIVA")), 1, 0))</f>
        <v>0</v>
      </c>
      <c r="BS8" s="304">
        <f xml:space="preserve"> IF(B8 = "", "", IF(AND($X8 &lt;&gt; "N/A",  V8 = 1), 1, 0))</f>
        <v>0</v>
      </c>
      <c r="BT8" s="304">
        <f>IF(OR($B8="", $AH8 = "SIM"), "", IF( ISNA(VLOOKUP($AP8,#REF!, 1, FALSE)), 1, 0))</f>
        <v>0</v>
      </c>
      <c r="BU8" s="304">
        <f>IF($AP8="", "", IF( AND(OR($AO8=4600046592, $U8 = 4600041840), $AN8&lt;&gt; "BTSA Fixa R2"), 1,0))</f>
        <v>0</v>
      </c>
      <c r="BV8" s="304">
        <f>IF( $B8="", "", IF( ISNA(VLOOKUP($AN8, TABELAS!$T$2:$T$9,1,FALSE)), 1, 0))</f>
        <v>0</v>
      </c>
      <c r="BW8" s="304">
        <f xml:space="preserve"> IF($B8 = "", "", IF( AND( $AN8 = "N/A", $V8 = 0), 1, 0) )</f>
        <v>0</v>
      </c>
      <c r="BX8" s="304">
        <f>IF( OR($B8="", $AH8 = "SIM"), "", IF( ISNA( VLOOKUP( $AQ8, SISTEMA!$B:$B, 1, FALSE)), 1, 0))</f>
        <v>0</v>
      </c>
      <c r="BY8" s="305">
        <f>IF( $B8="", "", IF( AND($AI8="ESTIMATIVA", LEFT($D8, 4)="PROP"), 1, 0))</f>
        <v>0</v>
      </c>
      <c r="BZ8" s="305">
        <f>IF( $B8="", "", IF( AND($AX8&lt;&gt;"", $V8 = 1), 1, 0))</f>
        <v>0</v>
      </c>
      <c r="CA8" s="304">
        <f>IF($B8="", "", IF( AND($AM8 &lt;&gt; "SERVIÇOS", $AM8 &lt;&gt; "HARDWARE", $AM8 &lt;&gt; "SOFTWARE", $AM8 &lt;&gt; "FACILITIES", $AM8 &lt;&gt; "VIAGENS"  ), 1, 0))</f>
        <v>0</v>
      </c>
      <c r="CB8" s="305">
        <f>IF( $B8="", "", IF( AND( $AH8 = "NÃO", OR( $AM8 = "SOFTWARE", $AM8 = "HARDWARE", $AM8 = "FACILITIES")), 1, 0))</f>
        <v>0</v>
      </c>
      <c r="CC8" s="305">
        <f>IF( $B8="", "", IF( AND($AI8="COMPLEMENTO", LEFT($D8, 4)="PROP"), 1, 0))</f>
        <v>0</v>
      </c>
      <c r="CD8" s="305">
        <f>IF( $B8="", "", IF( AND($D8=$D7, $AP8 &lt;&gt; $AP7), 1, 0))</f>
        <v>0</v>
      </c>
    </row>
    <row r="9" spans="1:82" x14ac:dyDescent="0.2">
      <c r="A9" s="235"/>
      <c r="B9" s="236" t="str">
        <f t="shared" ref="B9:B72" si="12" xml:space="preserve"> IF( C9 = "", "", C9 &amp; "." &amp; D9 &amp; "."  &amp; E9)</f>
        <v>PRJ00021293.PROP00020171.1</v>
      </c>
      <c r="C9" s="237" t="str">
        <f t="shared" si="2"/>
        <v>PRJ00021293</v>
      </c>
      <c r="D9" s="237" t="str">
        <f t="shared" ref="D9:D72" si="13">IF( $C9 = "", "", IF( $M9="", IF(AND($C8=$C9,$G9 = ""), $D8, ""), TEXT($M9,"000")))</f>
        <v>PROP00020171</v>
      </c>
      <c r="E9" s="237">
        <f>IF($C9="", "", COUNTIF($M$8:$M9,$D9))</f>
        <v>1</v>
      </c>
      <c r="F9" s="238">
        <v>2</v>
      </c>
      <c r="G9" s="239"/>
      <c r="H9" s="240"/>
      <c r="I9" s="240"/>
      <c r="J9" s="241"/>
      <c r="K9" s="240"/>
      <c r="L9" s="240"/>
      <c r="M9" s="240"/>
      <c r="N9" s="242"/>
      <c r="O9" s="243"/>
      <c r="P9" s="243"/>
      <c r="Q9" s="243"/>
      <c r="R9" s="243"/>
      <c r="S9" s="243"/>
      <c r="T9" s="245"/>
      <c r="U9" s="246" t="str">
        <f>IF($T9="", "", VLOOKUP($T9, CONTRATOS!$B:$E, 2, FALSE))</f>
        <v/>
      </c>
      <c r="V9" s="247">
        <f>IF(OR($T9="",TB_DEFESA!$C$2="Criação Baseline"),0,
   IF(VLOOKUP($T9, CONTRATOS!B:E, 3, FALSE)&lt;&gt;"",1,IF(VLOOKUP($T9, CONTRATOS!B:E, 4, FALSE)&lt;&gt;"",2,0)))</f>
        <v>0</v>
      </c>
      <c r="W9" s="248"/>
      <c r="X9" s="248"/>
      <c r="Y9" s="249"/>
      <c r="Z9" s="250"/>
      <c r="AA9" s="251"/>
      <c r="AB9" s="252" t="s">
        <v>1106</v>
      </c>
      <c r="AC9" s="253" t="s">
        <v>1108</v>
      </c>
      <c r="AD9" s="251">
        <v>896.21</v>
      </c>
      <c r="AE9" s="254">
        <f t="shared" si="3"/>
        <v>0.33333333333333331</v>
      </c>
      <c r="AF9" s="256">
        <f t="shared" ref="AF9:AF72" si="14">IF(B9= "", "", IF(SUM($BF9:$CD9) = 0, 0, 1))</f>
        <v>0</v>
      </c>
      <c r="AG9" s="293" t="s">
        <v>62</v>
      </c>
      <c r="AH9" s="294" t="str">
        <f t="shared" ref="AH9:AH72" si="15">IF($B9="","", IF( AND($G9="", $B9 = $B8 ), $AH8, $G9))</f>
        <v>NÃO</v>
      </c>
      <c r="AI9" s="294" t="str">
        <f t="shared" ref="AI9:AI72" si="16">IF($B9 = "", "",  IF( AND($H9= "", $B9 = $B8 ), $AI8, $H9))</f>
        <v>SIM</v>
      </c>
      <c r="AJ9" s="295" t="str">
        <f t="shared" ref="AJ9:AJ72" si="17">IF(AND($AB9="", $V9=""),"",IF(AND($I9="",$B9=$B8), $AJ8, IF($I9="","",$I9)))</f>
        <v>SIM</v>
      </c>
      <c r="AK9" s="296" t="str">
        <f t="shared" ref="AK9:AK72" si="18">IF($B9="", "", IF( AND($J9 = "",$B9=$B8), $AK8, $J9))</f>
        <v>Custo Final</v>
      </c>
      <c r="AL9" s="297" t="str">
        <f t="shared" ref="AL9:AL72" si="19">IF( $B9= "", "",  IF( AND($L9= "",$B9=$B8), $AL8, $L9))</f>
        <v>AF00006693</v>
      </c>
      <c r="AM9" s="294" t="str">
        <f t="shared" ref="AM9:AM72" si="20">IF( $B9 = "", "",  IF(AND($N9= "",$B9=$B8), $AM8, $O9))</f>
        <v>SERVIÇOS</v>
      </c>
      <c r="AN9" s="294" t="str">
        <f t="shared" ref="AN9:AN72" si="21">IF( $B9 = "", "",  IF( AND($X9= "",$B9=$B8), $AN8, $X9))</f>
        <v>Oi Fixa R1</v>
      </c>
      <c r="AO9" s="298">
        <f t="shared" ref="AO9:AO72" si="22">IF($B9="", "",  IF( AND($U9= "",$B9=$B8), $AO8, $U9))</f>
        <v>4600042486</v>
      </c>
      <c r="AP9" s="299" t="str">
        <f t="shared" ref="AP9:AP72" si="23">IF( $B9 = "", "",  IF( AND($U9= "",$B9=$B8), $AP8, IF($T9 = "", "", $T9)))</f>
        <v>IBM - Torre I - Faturamento e Mediação (Extrabaseline)</v>
      </c>
      <c r="AQ9" s="299" t="str">
        <f t="shared" ref="AQ9:AQ72" si="24">IF($B9="","",IF(AND($W9="",$B9=$B8),$AQ8,IF($W9="","",$W9)))</f>
        <v>SISRAF - FATURAMENTO</v>
      </c>
      <c r="AR9" s="300">
        <f t="shared" si="4"/>
        <v>30.38</v>
      </c>
      <c r="AS9" s="300">
        <f t="shared" si="5"/>
        <v>88.5</v>
      </c>
      <c r="AT9" s="294">
        <f t="shared" si="6"/>
        <v>2688.63</v>
      </c>
      <c r="AU9" s="301" t="str">
        <f>IF(OR($B9="", $AP9= ""),"",IF(VLOOKUP($AP9, CONTRATOS!B:K,3,FALSE)="","",VLOOKUP($AP9, CONTRATOS!B:K, 3,FALSE)))</f>
        <v/>
      </c>
      <c r="AV9" s="301" t="str">
        <f>IF(OR($B9="", $AP9 = ""), "", IF(VLOOKUP($AP9, CONTRATOS!B:K,4,FALSE)="","",VLOOKUP($AP9, CONTRATOS!B:K,4, FALSE)))</f>
        <v>IBM</v>
      </c>
      <c r="AW9" s="302">
        <f t="shared" si="7"/>
        <v>0.33333333333333331</v>
      </c>
      <c r="AX9" s="301" t="str">
        <f t="shared" si="8"/>
        <v/>
      </c>
      <c r="AY9" s="301" t="str">
        <f t="shared" si="9"/>
        <v/>
      </c>
      <c r="AZ9" s="301" t="str">
        <f t="shared" si="10"/>
        <v/>
      </c>
      <c r="BA9" s="301" t="str">
        <f t="shared" si="11"/>
        <v/>
      </c>
      <c r="BB9" s="303">
        <f t="shared" ref="BB9:BB72" si="25">IF( $B9 = "", 0, ROW($B9))</f>
        <v>9</v>
      </c>
      <c r="BC9" s="303" t="str">
        <f t="shared" ref="BC9:BC72" si="26">IF($AC9="","",IF($AC9="Próximos Anos",$AC9,RIGHT($AC9,4)))</f>
        <v>2017</v>
      </c>
      <c r="BD9" s="303">
        <f t="shared" ref="BD9:BD72" si="27">IF($B9="", "", IF($B9=$B8, $BD8, $V9))</f>
        <v>2</v>
      </c>
      <c r="BF9" s="304">
        <f t="shared" ref="BF9:BF72" si="28">IF( AND($G9="SIM", OR($H9="", $I9="", $J9="", $K9="", $L9="", $M9="", $O9="", $P9="", $Q9="", $R9="", $X9="",  $AA9="", $AB9="", $AC9="", $AD9="")), 1, 0)</f>
        <v>0</v>
      </c>
      <c r="BG9" s="304">
        <f t="shared" ref="BG9:BG72" si="29">IF(AND($G9="NÃO", OR($H9="", $I9="", $J9="", $K9="", $L9="", $M9="", $O9="", $T9="", $W9="", $X9="", $AA9="")), 1,
    IF( AND($AH9="NÃO",  $AU9 ="", OR( $AB9="", $AC9="", $AD9="")), 1,
    IF( AND($AH9="NÃO",  $AU9 &lt;&gt; "", OR($AB9&lt;&gt;"", $AC9&lt;&gt;"", $AD9&lt;&gt;"") ), 1, 0 ) ) )</f>
        <v>0</v>
      </c>
      <c r="BH9" s="304">
        <f>IF( $B9="", "", IF(ISNA(VLOOKUP($C9, Defesa!$C$8:$C$30,1,FALSE)),1,0))</f>
        <v>0</v>
      </c>
      <c r="BI9" s="305">
        <f t="shared" ref="BI9:BI72" si="30">IF($B9= "", "",  IF(OR($D9 = "N/A", LEFT($D9, 2) = "ME", AND(LEN($D9) = 12, LEFT($D9, 4) = "PROP")), 0, 1))</f>
        <v>0</v>
      </c>
      <c r="BJ9" s="305">
        <f t="shared" ref="BJ9:BJ72" si="31">IF($B9="","",IF(AND($AL9="N/A",LEFT($D9,4)&lt;&gt;"PROP"),0,IF(OR(AND(LEN($AL9)=10,LEFT($AL9,2)="AF",LEFT($AL9,4)&lt;&gt;"AFFT")),0,1)))</f>
        <v>0</v>
      </c>
      <c r="BK9" s="304">
        <f t="shared" ref="BK9:BK72" si="32">IF($B9="", "", IF(COUNTIFS($AB:$AB, $AB9,$B:$B, $B9)&gt;1, 1, 0))</f>
        <v>0</v>
      </c>
      <c r="BL9" s="304">
        <f t="shared" ref="BL9:BL72" si="33">IF( OR($B9= "",$V9 = 1), 0,  IF( OR($AC9 = "", $AD9="", $AB9=""), 1, 0))</f>
        <v>0</v>
      </c>
      <c r="BM9" s="304">
        <f>IF($AC9="", "", IF(ISNA(VLOOKUP($AC9, TABELAS!$Q:$Q, 1, FALSE)), 1, 0))</f>
        <v>0</v>
      </c>
      <c r="BN9" s="306">
        <f t="shared" ref="BN9:BN72" si="34">IF($B9= "", "", IF( SUMIFS($AW:$AW,$C:$C, $C9,$D:$D, $D9,$E:$E, $E9) = 1, 0, 1))</f>
        <v>0</v>
      </c>
      <c r="BO9" s="304">
        <f t="shared" ref="BO9:BO72" si="35">IF( $B9 ="", "", IF( AND($V9 = 1, OR( $AC9 &lt;&gt; "", $AB9 &lt;&gt; "", $AD9 &lt;&gt; "")), 1, 0))</f>
        <v>0</v>
      </c>
      <c r="BP9" s="304">
        <f t="shared" ref="BP9:BP72" si="36" xml:space="preserve"> IF($B9 = "", "", IF(AND( $AI9 = "SIM", $AP9= "&lt; A DEFINIR &gt;"), 1, 0))</f>
        <v>0</v>
      </c>
      <c r="BQ9" s="305">
        <f t="shared" ref="BQ9:BQ72" si="37">IF($B9="", "", IF( AND($AI9="SIM", OR(LEFT($D9,2)="ME", $D9 = "N/A")), 1, 0))</f>
        <v>0</v>
      </c>
      <c r="BR9" s="304">
        <f t="shared" ref="BR9:BR72" si="38" xml:space="preserve"> IF($B9 = "", "", IF( AND( $AJ9 = "SIM", OR($AP9= "&lt; A DEFINIR &gt;", $V9 = 1, $AI9 = "ESTIMATIVA")), 1, 0))</f>
        <v>0</v>
      </c>
      <c r="BS9" s="304">
        <f t="shared" ref="BS9:BS72" si="39" xml:space="preserve"> IF(B9 = "", "", IF(AND($X9 &lt;&gt; "N/A",  V9 = 1), 1, 0))</f>
        <v>0</v>
      </c>
      <c r="BT9" s="304">
        <f>IF(OR($B9="", $AH9 = "SIM"), "", IF( ISNA(VLOOKUP($AP9,#REF!, 1, FALSE)), 1, 0))</f>
        <v>0</v>
      </c>
      <c r="BU9" s="304">
        <f t="shared" ref="BU9:BU72" si="40">IF($AP9="", "", IF( AND(OR($AO9=4600046592, $U9 = 4600041840), $AN9&lt;&gt; "BTSA Fixa R2"), 1,0))</f>
        <v>0</v>
      </c>
      <c r="BV9" s="304">
        <f>IF( $B9="", "", IF( ISNA(VLOOKUP($AN9, TABELAS!$T$2:$T$9,1,FALSE)), 1, 0))</f>
        <v>0</v>
      </c>
      <c r="BW9" s="304">
        <f t="shared" ref="BW9:BW72" si="41" xml:space="preserve"> IF($B9 = "", "", IF( AND( $AN9 = "N/A", $V9 = 0), 1, 0) )</f>
        <v>0</v>
      </c>
      <c r="BX9" s="304">
        <f>IF( OR($B9="", $AH9 = "SIM"), "", IF( ISNA( VLOOKUP( $AQ9, SISTEMA!$B:$B, 1, FALSE)), 1, 0))</f>
        <v>0</v>
      </c>
      <c r="BY9" s="305">
        <f t="shared" ref="BY9:BY72" si="42">IF( $B9="", "", IF( AND($AI9="ESTIMATIVA", LEFT($D9, 4)="PROP"), 1, 0))</f>
        <v>0</v>
      </c>
      <c r="BZ9" s="305">
        <f t="shared" ref="BZ9:BZ72" si="43">IF( $B9="", "", IF( AND($AX9&lt;&gt;"", $V9 = 1), 1, 0))</f>
        <v>0</v>
      </c>
      <c r="CA9" s="304">
        <f t="shared" ref="CA9:CA72" si="44">IF($B9="", "", IF( AND($AM9 &lt;&gt; "SERVIÇOS", $AM9 &lt;&gt; "HARDWARE", $AM9 &lt;&gt; "SOFTWARE", $AM9 &lt;&gt; "FACILITIES", $AM9 &lt;&gt; "VIAGENS"  ), 1, 0))</f>
        <v>0</v>
      </c>
      <c r="CB9" s="305">
        <f t="shared" ref="CB9:CB72" si="45">IF( $B9="", "", IF( AND( $AH9 = "NÃO", OR( $AM9 = "SOFTWARE", $AM9 = "HARDWARE", $AM9 = "FACILITIES")), 1, 0))</f>
        <v>0</v>
      </c>
      <c r="CC9" s="305">
        <f t="shared" ref="CC9:CC72" si="46">IF( $B9="", "", IF( AND($AI9="COMPLEMENTO", LEFT($D9, 4)="PROP"), 1, 0))</f>
        <v>0</v>
      </c>
      <c r="CD9" s="305">
        <f t="shared" ref="CD9:CD72" si="47">IF( $B9="", "", IF( AND($D9=$D8, $AP9 &lt;&gt; $AP8), 1, 0))</f>
        <v>0</v>
      </c>
    </row>
    <row r="10" spans="1:82" x14ac:dyDescent="0.2">
      <c r="A10" s="235"/>
      <c r="B10" s="236" t="str">
        <f t="shared" si="12"/>
        <v>PRJ00021293.PROP00020171.1</v>
      </c>
      <c r="C10" s="237" t="str">
        <f t="shared" si="2"/>
        <v>PRJ00021293</v>
      </c>
      <c r="D10" s="237" t="str">
        <f t="shared" si="13"/>
        <v>PROP00020171</v>
      </c>
      <c r="E10" s="237">
        <f>IF($C10="", "", COUNTIF($M$8:$M10,$D10))</f>
        <v>1</v>
      </c>
      <c r="F10" s="238">
        <v>3</v>
      </c>
      <c r="G10" s="239"/>
      <c r="H10" s="240"/>
      <c r="I10" s="240"/>
      <c r="J10" s="241"/>
      <c r="K10" s="240"/>
      <c r="L10" s="240"/>
      <c r="M10" s="240"/>
      <c r="N10" s="242"/>
      <c r="O10" s="243"/>
      <c r="P10" s="243"/>
      <c r="Q10" s="243"/>
      <c r="R10" s="243"/>
      <c r="S10" s="243"/>
      <c r="T10" s="245"/>
      <c r="U10" s="246" t="str">
        <f>IF($T10="", "", VLOOKUP($T10, CONTRATOS!$B:$E, 2, FALSE))</f>
        <v/>
      </c>
      <c r="V10" s="247">
        <f>IF(OR($T10="",TB_DEFESA!$C$2="Criação Baseline"),0,
   IF(VLOOKUP($T10, CONTRATOS!B:E, 3, FALSE)&lt;&gt;"",1,IF(VLOOKUP($T10, CONTRATOS!B:E, 4, FALSE)&lt;&gt;"",2,0)))</f>
        <v>0</v>
      </c>
      <c r="W10" s="248"/>
      <c r="X10" s="248"/>
      <c r="Y10" s="249"/>
      <c r="Z10" s="250"/>
      <c r="AA10" s="251"/>
      <c r="AB10" s="252" t="s">
        <v>1107</v>
      </c>
      <c r="AC10" s="253" t="s">
        <v>1108</v>
      </c>
      <c r="AD10" s="251">
        <v>896.21</v>
      </c>
      <c r="AE10" s="254">
        <f t="shared" si="3"/>
        <v>0.33333333333333331</v>
      </c>
      <c r="AF10" s="256">
        <f t="shared" si="14"/>
        <v>0</v>
      </c>
      <c r="AG10" s="293" t="s">
        <v>62</v>
      </c>
      <c r="AH10" s="294" t="str">
        <f t="shared" si="15"/>
        <v>NÃO</v>
      </c>
      <c r="AI10" s="294" t="str">
        <f t="shared" si="16"/>
        <v>SIM</v>
      </c>
      <c r="AJ10" s="295" t="str">
        <f t="shared" si="17"/>
        <v>SIM</v>
      </c>
      <c r="AK10" s="296" t="str">
        <f t="shared" si="18"/>
        <v>Custo Final</v>
      </c>
      <c r="AL10" s="297" t="str">
        <f t="shared" si="19"/>
        <v>AF00006693</v>
      </c>
      <c r="AM10" s="294" t="str">
        <f t="shared" si="20"/>
        <v>SERVIÇOS</v>
      </c>
      <c r="AN10" s="294" t="str">
        <f t="shared" si="21"/>
        <v>Oi Fixa R1</v>
      </c>
      <c r="AO10" s="298">
        <f t="shared" si="22"/>
        <v>4600042486</v>
      </c>
      <c r="AP10" s="299" t="str">
        <f t="shared" si="23"/>
        <v>IBM - Torre I - Faturamento e Mediação (Extrabaseline)</v>
      </c>
      <c r="AQ10" s="299" t="str">
        <f t="shared" si="24"/>
        <v>SISRAF - FATURAMENTO</v>
      </c>
      <c r="AR10" s="300">
        <f t="shared" si="4"/>
        <v>30.38</v>
      </c>
      <c r="AS10" s="300">
        <f t="shared" si="5"/>
        <v>88.5</v>
      </c>
      <c r="AT10" s="294">
        <f t="shared" si="6"/>
        <v>2688.63</v>
      </c>
      <c r="AU10" s="301" t="str">
        <f>IF(OR($B10="", $AP10= ""),"",IF(VLOOKUP($AP10, CONTRATOS!B:K,3,FALSE)="","",VLOOKUP($AP10, CONTRATOS!B:K, 3,FALSE)))</f>
        <v/>
      </c>
      <c r="AV10" s="301" t="str">
        <f>IF(OR($B10="", $AP10 = ""), "", IF(VLOOKUP($AP10, CONTRATOS!B:K,4,FALSE)="","",VLOOKUP($AP10, CONTRATOS!B:K,4, FALSE)))</f>
        <v>IBM</v>
      </c>
      <c r="AW10" s="302">
        <f t="shared" si="7"/>
        <v>0.33333333333333331</v>
      </c>
      <c r="AX10" s="301" t="str">
        <f t="shared" si="8"/>
        <v/>
      </c>
      <c r="AY10" s="301" t="str">
        <f t="shared" si="9"/>
        <v/>
      </c>
      <c r="AZ10" s="301" t="str">
        <f t="shared" si="10"/>
        <v/>
      </c>
      <c r="BA10" s="301" t="str">
        <f t="shared" si="11"/>
        <v/>
      </c>
      <c r="BB10" s="303">
        <f t="shared" si="25"/>
        <v>10</v>
      </c>
      <c r="BC10" s="303" t="str">
        <f t="shared" si="26"/>
        <v>2017</v>
      </c>
      <c r="BD10" s="303">
        <f t="shared" si="27"/>
        <v>2</v>
      </c>
      <c r="BF10" s="304">
        <f t="shared" si="28"/>
        <v>0</v>
      </c>
      <c r="BG10" s="304">
        <f t="shared" si="29"/>
        <v>0</v>
      </c>
      <c r="BH10" s="304">
        <f>IF( $B10="", "", IF(ISNA(VLOOKUP($C10, Defesa!$C$8:$C$30,1,FALSE)),1,0))</f>
        <v>0</v>
      </c>
      <c r="BI10" s="305">
        <f t="shared" si="30"/>
        <v>0</v>
      </c>
      <c r="BJ10" s="305">
        <f t="shared" si="31"/>
        <v>0</v>
      </c>
      <c r="BK10" s="304">
        <f t="shared" si="32"/>
        <v>0</v>
      </c>
      <c r="BL10" s="304">
        <f t="shared" si="33"/>
        <v>0</v>
      </c>
      <c r="BM10" s="304">
        <f>IF($AC10="", "", IF(ISNA(VLOOKUP($AC10, TABELAS!$Q:$Q, 1, FALSE)), 1, 0))</f>
        <v>0</v>
      </c>
      <c r="BN10" s="306">
        <f t="shared" si="34"/>
        <v>0</v>
      </c>
      <c r="BO10" s="304">
        <f t="shared" si="35"/>
        <v>0</v>
      </c>
      <c r="BP10" s="304">
        <f t="shared" si="36"/>
        <v>0</v>
      </c>
      <c r="BQ10" s="305">
        <f t="shared" si="37"/>
        <v>0</v>
      </c>
      <c r="BR10" s="304">
        <f t="shared" si="38"/>
        <v>0</v>
      </c>
      <c r="BS10" s="304">
        <f t="shared" si="39"/>
        <v>0</v>
      </c>
      <c r="BT10" s="304">
        <f>IF(OR($B10="", $AH10 = "SIM"), "", IF( ISNA(VLOOKUP($AP10,#REF!, 1, FALSE)), 1, 0))</f>
        <v>0</v>
      </c>
      <c r="BU10" s="304">
        <f t="shared" si="40"/>
        <v>0</v>
      </c>
      <c r="BV10" s="304">
        <f>IF( $B10="", "", IF( ISNA(VLOOKUP($AN10, TABELAS!$T$2:$T$9,1,FALSE)), 1, 0))</f>
        <v>0</v>
      </c>
      <c r="BW10" s="304">
        <f t="shared" si="41"/>
        <v>0</v>
      </c>
      <c r="BX10" s="304">
        <f>IF( OR($B10="", $AH10 = "SIM"), "", IF( ISNA( VLOOKUP( $AQ10, SISTEMA!$B:$B, 1, FALSE)), 1, 0))</f>
        <v>0</v>
      </c>
      <c r="BY10" s="305">
        <f t="shared" si="42"/>
        <v>0</v>
      </c>
      <c r="BZ10" s="305">
        <f t="shared" si="43"/>
        <v>0</v>
      </c>
      <c r="CA10" s="304">
        <f t="shared" si="44"/>
        <v>0</v>
      </c>
      <c r="CB10" s="305">
        <f t="shared" si="45"/>
        <v>0</v>
      </c>
      <c r="CC10" s="305">
        <f t="shared" si="46"/>
        <v>0</v>
      </c>
      <c r="CD10" s="305">
        <f t="shared" si="47"/>
        <v>0</v>
      </c>
    </row>
    <row r="11" spans="1:82" x14ac:dyDescent="0.2">
      <c r="A11" s="235"/>
      <c r="B11" s="236" t="str">
        <f t="shared" si="12"/>
        <v>PRJ00021293.PROP00020173.1</v>
      </c>
      <c r="C11" s="237" t="str">
        <f t="shared" si="2"/>
        <v>PRJ00021293</v>
      </c>
      <c r="D11" s="237" t="str">
        <f t="shared" si="13"/>
        <v>PROP00020173</v>
      </c>
      <c r="E11" s="237">
        <f>IF($C11="", "", COUNTIF($M$8:$M11,$D11))</f>
        <v>1</v>
      </c>
      <c r="F11" s="238">
        <v>4</v>
      </c>
      <c r="G11" s="239" t="s">
        <v>956</v>
      </c>
      <c r="H11" s="240" t="s">
        <v>1102</v>
      </c>
      <c r="I11" s="240" t="s">
        <v>1102</v>
      </c>
      <c r="J11" s="241" t="s">
        <v>417</v>
      </c>
      <c r="K11" s="240" t="s">
        <v>1091</v>
      </c>
      <c r="L11" s="240" t="s">
        <v>1103</v>
      </c>
      <c r="M11" s="240" t="s">
        <v>1109</v>
      </c>
      <c r="N11" s="242"/>
      <c r="O11" s="243" t="s">
        <v>60</v>
      </c>
      <c r="P11" s="243"/>
      <c r="Q11" s="243"/>
      <c r="R11" s="243"/>
      <c r="S11" s="243"/>
      <c r="T11" s="245" t="s">
        <v>864</v>
      </c>
      <c r="U11" s="246">
        <f>IF($T11="", "", VLOOKUP($T11, CONTRATOS!$B:$E, 2, FALSE))</f>
        <v>4600042486</v>
      </c>
      <c r="V11" s="247">
        <f>IF(OR($T11="",TB_DEFESA!$C$2="Criação Baseline"),0,
   IF(VLOOKUP($T11, CONTRATOS!B:E, 3, FALSE)&lt;&gt;"",1,IF(VLOOKUP($T11, CONTRATOS!B:E, 4, FALSE)&lt;&gt;"",2,0)))</f>
        <v>2</v>
      </c>
      <c r="W11" s="248" t="s">
        <v>322</v>
      </c>
      <c r="X11" s="248" t="s">
        <v>260</v>
      </c>
      <c r="Y11" s="249">
        <v>45.57</v>
      </c>
      <c r="Z11" s="250">
        <v>88.5</v>
      </c>
      <c r="AA11" s="251">
        <f xml:space="preserve"> Y11 * Z11</f>
        <v>4032.9450000000002</v>
      </c>
      <c r="AB11" s="252" t="s">
        <v>1105</v>
      </c>
      <c r="AC11" s="253" t="s">
        <v>1108</v>
      </c>
      <c r="AD11" s="251">
        <v>1344.3150000000001</v>
      </c>
      <c r="AE11" s="254">
        <f t="shared" si="3"/>
        <v>0.33333333333333331</v>
      </c>
      <c r="AF11" s="256">
        <f t="shared" si="14"/>
        <v>0</v>
      </c>
      <c r="AG11" s="293" t="s">
        <v>62</v>
      </c>
      <c r="AH11" s="294" t="str">
        <f t="shared" si="15"/>
        <v>NÃO</v>
      </c>
      <c r="AI11" s="294" t="str">
        <f t="shared" si="16"/>
        <v>SIM</v>
      </c>
      <c r="AJ11" s="295" t="str">
        <f t="shared" si="17"/>
        <v>SIM</v>
      </c>
      <c r="AK11" s="296" t="str">
        <f t="shared" si="18"/>
        <v>Custo Final</v>
      </c>
      <c r="AL11" s="297" t="str">
        <f t="shared" si="19"/>
        <v>AF00006693</v>
      </c>
      <c r="AM11" s="294" t="str">
        <f t="shared" si="20"/>
        <v>SERVIÇOS</v>
      </c>
      <c r="AN11" s="294" t="str">
        <f t="shared" si="21"/>
        <v>BTSA Fixa R2</v>
      </c>
      <c r="AO11" s="298">
        <f t="shared" si="22"/>
        <v>4600042486</v>
      </c>
      <c r="AP11" s="299" t="str">
        <f t="shared" si="23"/>
        <v>IBM - Torre I - Faturamento e Mediação (Extrabaseline)</v>
      </c>
      <c r="AQ11" s="299" t="str">
        <f t="shared" si="24"/>
        <v>(OI R2) SFA</v>
      </c>
      <c r="AR11" s="300">
        <f t="shared" si="4"/>
        <v>45.57</v>
      </c>
      <c r="AS11" s="300">
        <f t="shared" si="5"/>
        <v>88.5</v>
      </c>
      <c r="AT11" s="294">
        <f t="shared" si="6"/>
        <v>4032.9450000000002</v>
      </c>
      <c r="AU11" s="301" t="str">
        <f>IF(OR($B11="", $AP11= ""),"",IF(VLOOKUP($AP11, CONTRATOS!B:K,3,FALSE)="","",VLOOKUP($AP11, CONTRATOS!B:K, 3,FALSE)))</f>
        <v/>
      </c>
      <c r="AV11" s="301" t="str">
        <f>IF(OR($B11="", $AP11 = ""), "", IF(VLOOKUP($AP11, CONTRATOS!B:K,4,FALSE)="","",VLOOKUP($AP11, CONTRATOS!B:K,4, FALSE)))</f>
        <v>IBM</v>
      </c>
      <c r="AW11" s="302">
        <f t="shared" si="7"/>
        <v>0.33333333333333331</v>
      </c>
      <c r="AX11" s="301" t="str">
        <f t="shared" si="8"/>
        <v/>
      </c>
      <c r="AY11" s="301" t="str">
        <f t="shared" si="9"/>
        <v/>
      </c>
      <c r="AZ11" s="301" t="str">
        <f t="shared" si="10"/>
        <v/>
      </c>
      <c r="BA11" s="301" t="str">
        <f t="shared" si="11"/>
        <v/>
      </c>
      <c r="BB11" s="303">
        <f t="shared" si="25"/>
        <v>11</v>
      </c>
      <c r="BC11" s="303" t="str">
        <f t="shared" si="26"/>
        <v>2017</v>
      </c>
      <c r="BD11" s="303">
        <f t="shared" si="27"/>
        <v>2</v>
      </c>
      <c r="BF11" s="304">
        <f t="shared" si="28"/>
        <v>0</v>
      </c>
      <c r="BG11" s="304">
        <f t="shared" si="29"/>
        <v>0</v>
      </c>
      <c r="BH11" s="304">
        <f>IF( $B11="", "", IF(ISNA(VLOOKUP($C11, Defesa!$C$8:$C$30,1,FALSE)),1,0))</f>
        <v>0</v>
      </c>
      <c r="BI11" s="305">
        <f t="shared" si="30"/>
        <v>0</v>
      </c>
      <c r="BJ11" s="305">
        <f t="shared" si="31"/>
        <v>0</v>
      </c>
      <c r="BK11" s="304">
        <f t="shared" si="32"/>
        <v>0</v>
      </c>
      <c r="BL11" s="304">
        <f t="shared" si="33"/>
        <v>0</v>
      </c>
      <c r="BM11" s="304">
        <f>IF($AC11="", "", IF(ISNA(VLOOKUP($AC11, TABELAS!$Q:$Q, 1, FALSE)), 1, 0))</f>
        <v>0</v>
      </c>
      <c r="BN11" s="306">
        <f t="shared" si="34"/>
        <v>0</v>
      </c>
      <c r="BO11" s="304">
        <f t="shared" si="35"/>
        <v>0</v>
      </c>
      <c r="BP11" s="304">
        <f t="shared" si="36"/>
        <v>0</v>
      </c>
      <c r="BQ11" s="305">
        <f t="shared" si="37"/>
        <v>0</v>
      </c>
      <c r="BR11" s="304">
        <f t="shared" si="38"/>
        <v>0</v>
      </c>
      <c r="BS11" s="304">
        <f t="shared" si="39"/>
        <v>0</v>
      </c>
      <c r="BT11" s="304">
        <f>IF(OR($B11="", $AH11 = "SIM"), "", IF( ISNA(VLOOKUP($AP11,#REF!, 1, FALSE)), 1, 0))</f>
        <v>0</v>
      </c>
      <c r="BU11" s="304">
        <f t="shared" si="40"/>
        <v>0</v>
      </c>
      <c r="BV11" s="304">
        <f>IF( $B11="", "", IF( ISNA(VLOOKUP($AN11, TABELAS!$T$2:$T$9,1,FALSE)), 1, 0))</f>
        <v>0</v>
      </c>
      <c r="BW11" s="304">
        <f t="shared" si="41"/>
        <v>0</v>
      </c>
      <c r="BX11" s="304">
        <f>IF( OR($B11="", $AH11 = "SIM"), "", IF( ISNA( VLOOKUP( $AQ11, SISTEMA!$B:$B, 1, FALSE)), 1, 0))</f>
        <v>0</v>
      </c>
      <c r="BY11" s="305">
        <f t="shared" si="42"/>
        <v>0</v>
      </c>
      <c r="BZ11" s="305">
        <f t="shared" si="43"/>
        <v>0</v>
      </c>
      <c r="CA11" s="304">
        <f t="shared" si="44"/>
        <v>0</v>
      </c>
      <c r="CB11" s="305">
        <f t="shared" si="45"/>
        <v>0</v>
      </c>
      <c r="CC11" s="305">
        <f t="shared" si="46"/>
        <v>0</v>
      </c>
      <c r="CD11" s="305">
        <f t="shared" si="47"/>
        <v>0</v>
      </c>
    </row>
    <row r="12" spans="1:82" x14ac:dyDescent="0.2">
      <c r="A12" s="235"/>
      <c r="B12" s="236" t="str">
        <f t="shared" si="12"/>
        <v>PRJ00021293.PROP00020173.1</v>
      </c>
      <c r="C12" s="237" t="str">
        <f t="shared" si="2"/>
        <v>PRJ00021293</v>
      </c>
      <c r="D12" s="237" t="str">
        <f t="shared" si="13"/>
        <v>PROP00020173</v>
      </c>
      <c r="E12" s="237">
        <f>IF($C12="", "", COUNTIF($M$8:$M12,$D12))</f>
        <v>1</v>
      </c>
      <c r="F12" s="238">
        <v>5</v>
      </c>
      <c r="G12" s="239"/>
      <c r="H12" s="240"/>
      <c r="I12" s="240"/>
      <c r="J12" s="241"/>
      <c r="K12" s="240"/>
      <c r="L12" s="240"/>
      <c r="M12" s="240"/>
      <c r="N12" s="242"/>
      <c r="O12" s="243"/>
      <c r="P12" s="243"/>
      <c r="Q12" s="243"/>
      <c r="R12" s="243"/>
      <c r="S12" s="243"/>
      <c r="T12" s="245"/>
      <c r="U12" s="246" t="str">
        <f>IF($T12="", "", VLOOKUP($T12, CONTRATOS!$B:$E, 2, FALSE))</f>
        <v/>
      </c>
      <c r="V12" s="247">
        <f>IF(OR($T12="",TB_DEFESA!$C$2="Criação Baseline"),0,
   IF(VLOOKUP($T12, CONTRATOS!B:E, 3, FALSE)&lt;&gt;"",1,IF(VLOOKUP($T12, CONTRATOS!B:E, 4, FALSE)&lt;&gt;"",2,0)))</f>
        <v>0</v>
      </c>
      <c r="W12" s="248"/>
      <c r="X12" s="248"/>
      <c r="Y12" s="249"/>
      <c r="Z12" s="250"/>
      <c r="AA12" s="251"/>
      <c r="AB12" s="252" t="s">
        <v>1106</v>
      </c>
      <c r="AC12" s="253" t="s">
        <v>1108</v>
      </c>
      <c r="AD12" s="251">
        <v>1344.3150000000001</v>
      </c>
      <c r="AE12" s="254">
        <f t="shared" si="3"/>
        <v>0.33333333333333331</v>
      </c>
      <c r="AF12" s="256">
        <f t="shared" si="14"/>
        <v>0</v>
      </c>
      <c r="AG12" s="293" t="s">
        <v>62</v>
      </c>
      <c r="AH12" s="294" t="str">
        <f t="shared" si="15"/>
        <v>NÃO</v>
      </c>
      <c r="AI12" s="294" t="str">
        <f t="shared" si="16"/>
        <v>SIM</v>
      </c>
      <c r="AJ12" s="295" t="str">
        <f t="shared" si="17"/>
        <v>SIM</v>
      </c>
      <c r="AK12" s="296" t="str">
        <f t="shared" si="18"/>
        <v>Custo Final</v>
      </c>
      <c r="AL12" s="297" t="str">
        <f t="shared" si="19"/>
        <v>AF00006693</v>
      </c>
      <c r="AM12" s="294" t="str">
        <f t="shared" si="20"/>
        <v>SERVIÇOS</v>
      </c>
      <c r="AN12" s="294" t="str">
        <f t="shared" si="21"/>
        <v>BTSA Fixa R2</v>
      </c>
      <c r="AO12" s="298">
        <f t="shared" si="22"/>
        <v>4600042486</v>
      </c>
      <c r="AP12" s="299" t="str">
        <f t="shared" si="23"/>
        <v>IBM - Torre I - Faturamento e Mediação (Extrabaseline)</v>
      </c>
      <c r="AQ12" s="299" t="str">
        <f t="shared" si="24"/>
        <v>(OI R2) SFA</v>
      </c>
      <c r="AR12" s="300">
        <f t="shared" si="4"/>
        <v>45.57</v>
      </c>
      <c r="AS12" s="300">
        <f t="shared" si="5"/>
        <v>88.5</v>
      </c>
      <c r="AT12" s="294">
        <f t="shared" si="6"/>
        <v>4032.9450000000002</v>
      </c>
      <c r="AU12" s="301" t="str">
        <f>IF(OR($B12="", $AP12= ""),"",IF(VLOOKUP($AP12, CONTRATOS!B:K,3,FALSE)="","",VLOOKUP($AP12, CONTRATOS!B:K, 3,FALSE)))</f>
        <v/>
      </c>
      <c r="AV12" s="301" t="str">
        <f>IF(OR($B12="", $AP12 = ""), "", IF(VLOOKUP($AP12, CONTRATOS!B:K,4,FALSE)="","",VLOOKUP($AP12, CONTRATOS!B:K,4, FALSE)))</f>
        <v>IBM</v>
      </c>
      <c r="AW12" s="302">
        <f t="shared" si="7"/>
        <v>0.33333333333333331</v>
      </c>
      <c r="AX12" s="301" t="str">
        <f t="shared" si="8"/>
        <v/>
      </c>
      <c r="AY12" s="301" t="str">
        <f t="shared" si="9"/>
        <v/>
      </c>
      <c r="AZ12" s="301" t="str">
        <f t="shared" si="10"/>
        <v/>
      </c>
      <c r="BA12" s="301" t="str">
        <f t="shared" si="11"/>
        <v/>
      </c>
      <c r="BB12" s="303">
        <f t="shared" si="25"/>
        <v>12</v>
      </c>
      <c r="BC12" s="303" t="str">
        <f t="shared" si="26"/>
        <v>2017</v>
      </c>
      <c r="BD12" s="303">
        <f t="shared" si="27"/>
        <v>2</v>
      </c>
      <c r="BF12" s="304">
        <f t="shared" si="28"/>
        <v>0</v>
      </c>
      <c r="BG12" s="304">
        <f t="shared" si="29"/>
        <v>0</v>
      </c>
      <c r="BH12" s="304">
        <f>IF( $B12="", "", IF(ISNA(VLOOKUP($C12, Defesa!$C$8:$C$30,1,FALSE)),1,0))</f>
        <v>0</v>
      </c>
      <c r="BI12" s="305">
        <f t="shared" si="30"/>
        <v>0</v>
      </c>
      <c r="BJ12" s="305">
        <f t="shared" si="31"/>
        <v>0</v>
      </c>
      <c r="BK12" s="304">
        <f t="shared" si="32"/>
        <v>0</v>
      </c>
      <c r="BL12" s="304">
        <f t="shared" si="33"/>
        <v>0</v>
      </c>
      <c r="BM12" s="304">
        <f>IF($AC12="", "", IF(ISNA(VLOOKUP($AC12, TABELAS!$Q:$Q, 1, FALSE)), 1, 0))</f>
        <v>0</v>
      </c>
      <c r="BN12" s="306">
        <f t="shared" si="34"/>
        <v>0</v>
      </c>
      <c r="BO12" s="304">
        <f t="shared" si="35"/>
        <v>0</v>
      </c>
      <c r="BP12" s="304">
        <f t="shared" si="36"/>
        <v>0</v>
      </c>
      <c r="BQ12" s="305">
        <f t="shared" si="37"/>
        <v>0</v>
      </c>
      <c r="BR12" s="304">
        <f t="shared" si="38"/>
        <v>0</v>
      </c>
      <c r="BS12" s="304">
        <f t="shared" si="39"/>
        <v>0</v>
      </c>
      <c r="BT12" s="304">
        <f>IF(OR($B12="", $AH12 = "SIM"), "", IF( ISNA(VLOOKUP($AP12,#REF!, 1, FALSE)), 1, 0))</f>
        <v>0</v>
      </c>
      <c r="BU12" s="304">
        <f t="shared" si="40"/>
        <v>0</v>
      </c>
      <c r="BV12" s="304">
        <f>IF( $B12="", "", IF( ISNA(VLOOKUP($AN12, TABELAS!$T$2:$T$9,1,FALSE)), 1, 0))</f>
        <v>0</v>
      </c>
      <c r="BW12" s="304">
        <f t="shared" si="41"/>
        <v>0</v>
      </c>
      <c r="BX12" s="304">
        <f>IF( OR($B12="", $AH12 = "SIM"), "", IF( ISNA( VLOOKUP( $AQ12, SISTEMA!$B:$B, 1, FALSE)), 1, 0))</f>
        <v>0</v>
      </c>
      <c r="BY12" s="305">
        <f t="shared" si="42"/>
        <v>0</v>
      </c>
      <c r="BZ12" s="305">
        <f t="shared" si="43"/>
        <v>0</v>
      </c>
      <c r="CA12" s="304">
        <f t="shared" si="44"/>
        <v>0</v>
      </c>
      <c r="CB12" s="305">
        <f t="shared" si="45"/>
        <v>0</v>
      </c>
      <c r="CC12" s="305">
        <f t="shared" si="46"/>
        <v>0</v>
      </c>
      <c r="CD12" s="305">
        <f t="shared" si="47"/>
        <v>0</v>
      </c>
    </row>
    <row r="13" spans="1:82" x14ac:dyDescent="0.2">
      <c r="A13" s="235"/>
      <c r="B13" s="236" t="str">
        <f t="shared" si="12"/>
        <v>PRJ00021293.PROP00020173.1</v>
      </c>
      <c r="C13" s="237" t="str">
        <f t="shared" si="2"/>
        <v>PRJ00021293</v>
      </c>
      <c r="D13" s="237" t="str">
        <f t="shared" si="13"/>
        <v>PROP00020173</v>
      </c>
      <c r="E13" s="237">
        <f>IF($C13="", "", COUNTIF($M$8:$M13,$D13))</f>
        <v>1</v>
      </c>
      <c r="F13" s="238">
        <v>6</v>
      </c>
      <c r="G13" s="239"/>
      <c r="H13" s="240"/>
      <c r="I13" s="240"/>
      <c r="J13" s="241"/>
      <c r="K13" s="240"/>
      <c r="L13" s="240"/>
      <c r="M13" s="240"/>
      <c r="N13" s="242"/>
      <c r="O13" s="243"/>
      <c r="P13" s="243"/>
      <c r="Q13" s="243"/>
      <c r="R13" s="243"/>
      <c r="S13" s="243"/>
      <c r="T13" s="245"/>
      <c r="U13" s="246" t="str">
        <f>IF($T13="", "", VLOOKUP($T13, CONTRATOS!$B:$E, 2, FALSE))</f>
        <v/>
      </c>
      <c r="V13" s="247">
        <f>IF(OR($T13="",TB_DEFESA!$C$2="Criação Baseline"),0,
   IF(VLOOKUP($T13, CONTRATOS!B:E, 3, FALSE)&lt;&gt;"",1,IF(VLOOKUP($T13, CONTRATOS!B:E, 4, FALSE)&lt;&gt;"",2,0)))</f>
        <v>0</v>
      </c>
      <c r="W13" s="248"/>
      <c r="X13" s="248"/>
      <c r="Y13" s="249"/>
      <c r="Z13" s="250"/>
      <c r="AA13" s="251"/>
      <c r="AB13" s="252" t="s">
        <v>1107</v>
      </c>
      <c r="AC13" s="253" t="s">
        <v>1108</v>
      </c>
      <c r="AD13" s="251">
        <v>1344.3150000000001</v>
      </c>
      <c r="AE13" s="254">
        <f t="shared" si="3"/>
        <v>0.33333333333333331</v>
      </c>
      <c r="AF13" s="256">
        <f t="shared" si="14"/>
        <v>0</v>
      </c>
      <c r="AG13" s="293" t="s">
        <v>62</v>
      </c>
      <c r="AH13" s="294" t="str">
        <f t="shared" si="15"/>
        <v>NÃO</v>
      </c>
      <c r="AI13" s="294" t="str">
        <f t="shared" si="16"/>
        <v>SIM</v>
      </c>
      <c r="AJ13" s="295" t="str">
        <f t="shared" si="17"/>
        <v>SIM</v>
      </c>
      <c r="AK13" s="296" t="str">
        <f t="shared" si="18"/>
        <v>Custo Final</v>
      </c>
      <c r="AL13" s="297" t="str">
        <f t="shared" si="19"/>
        <v>AF00006693</v>
      </c>
      <c r="AM13" s="294" t="str">
        <f t="shared" si="20"/>
        <v>SERVIÇOS</v>
      </c>
      <c r="AN13" s="294" t="str">
        <f t="shared" si="21"/>
        <v>BTSA Fixa R2</v>
      </c>
      <c r="AO13" s="298">
        <f t="shared" si="22"/>
        <v>4600042486</v>
      </c>
      <c r="AP13" s="299" t="str">
        <f t="shared" si="23"/>
        <v>IBM - Torre I - Faturamento e Mediação (Extrabaseline)</v>
      </c>
      <c r="AQ13" s="299" t="str">
        <f t="shared" si="24"/>
        <v>(OI R2) SFA</v>
      </c>
      <c r="AR13" s="300">
        <f t="shared" si="4"/>
        <v>45.57</v>
      </c>
      <c r="AS13" s="300">
        <f t="shared" si="5"/>
        <v>88.5</v>
      </c>
      <c r="AT13" s="294">
        <f t="shared" si="6"/>
        <v>4032.9450000000002</v>
      </c>
      <c r="AU13" s="301" t="str">
        <f>IF(OR($B13="", $AP13= ""),"",IF(VLOOKUP($AP13, CONTRATOS!B:K,3,FALSE)="","",VLOOKUP($AP13, CONTRATOS!B:K, 3,FALSE)))</f>
        <v/>
      </c>
      <c r="AV13" s="301" t="str">
        <f>IF(OR($B13="", $AP13 = ""), "", IF(VLOOKUP($AP13, CONTRATOS!B:K,4,FALSE)="","",VLOOKUP($AP13, CONTRATOS!B:K,4, FALSE)))</f>
        <v>IBM</v>
      </c>
      <c r="AW13" s="302">
        <f t="shared" si="7"/>
        <v>0.33333333333333331</v>
      </c>
      <c r="AX13" s="301" t="str">
        <f t="shared" si="8"/>
        <v/>
      </c>
      <c r="AY13" s="301" t="str">
        <f t="shared" si="9"/>
        <v/>
      </c>
      <c r="AZ13" s="301" t="str">
        <f t="shared" si="10"/>
        <v/>
      </c>
      <c r="BA13" s="301" t="str">
        <f t="shared" si="11"/>
        <v/>
      </c>
      <c r="BB13" s="303">
        <f t="shared" si="25"/>
        <v>13</v>
      </c>
      <c r="BC13" s="303" t="str">
        <f t="shared" si="26"/>
        <v>2017</v>
      </c>
      <c r="BD13" s="303">
        <f t="shared" si="27"/>
        <v>2</v>
      </c>
      <c r="BF13" s="304">
        <f t="shared" si="28"/>
        <v>0</v>
      </c>
      <c r="BG13" s="304">
        <f t="shared" si="29"/>
        <v>0</v>
      </c>
      <c r="BH13" s="304">
        <f>IF( $B13="", "", IF(ISNA(VLOOKUP($C13, Defesa!$C$8:$C$30,1,FALSE)),1,0))</f>
        <v>0</v>
      </c>
      <c r="BI13" s="305">
        <f t="shared" si="30"/>
        <v>0</v>
      </c>
      <c r="BJ13" s="305">
        <f t="shared" si="31"/>
        <v>0</v>
      </c>
      <c r="BK13" s="304">
        <f t="shared" si="32"/>
        <v>0</v>
      </c>
      <c r="BL13" s="304">
        <f t="shared" si="33"/>
        <v>0</v>
      </c>
      <c r="BM13" s="304">
        <f>IF($AC13="", "", IF(ISNA(VLOOKUP($AC13, TABELAS!$Q:$Q, 1, FALSE)), 1, 0))</f>
        <v>0</v>
      </c>
      <c r="BN13" s="306">
        <f t="shared" si="34"/>
        <v>0</v>
      </c>
      <c r="BO13" s="304">
        <f t="shared" si="35"/>
        <v>0</v>
      </c>
      <c r="BP13" s="304">
        <f t="shared" si="36"/>
        <v>0</v>
      </c>
      <c r="BQ13" s="305">
        <f t="shared" si="37"/>
        <v>0</v>
      </c>
      <c r="BR13" s="304">
        <f t="shared" si="38"/>
        <v>0</v>
      </c>
      <c r="BS13" s="304">
        <f t="shared" si="39"/>
        <v>0</v>
      </c>
      <c r="BT13" s="304">
        <f>IF(OR($B13="", $AH13 = "SIM"), "", IF( ISNA(VLOOKUP($AP13,#REF!, 1, FALSE)), 1, 0))</f>
        <v>0</v>
      </c>
      <c r="BU13" s="304">
        <f t="shared" si="40"/>
        <v>0</v>
      </c>
      <c r="BV13" s="304">
        <f>IF( $B13="", "", IF( ISNA(VLOOKUP($AN13, TABELAS!$T$2:$T$9,1,FALSE)), 1, 0))</f>
        <v>0</v>
      </c>
      <c r="BW13" s="304">
        <f t="shared" si="41"/>
        <v>0</v>
      </c>
      <c r="BX13" s="304">
        <f>IF( OR($B13="", $AH13 = "SIM"), "", IF( ISNA( VLOOKUP( $AQ13, SISTEMA!$B:$B, 1, FALSE)), 1, 0))</f>
        <v>0</v>
      </c>
      <c r="BY13" s="305">
        <f t="shared" si="42"/>
        <v>0</v>
      </c>
      <c r="BZ13" s="305">
        <f t="shared" si="43"/>
        <v>0</v>
      </c>
      <c r="CA13" s="304">
        <f t="shared" si="44"/>
        <v>0</v>
      </c>
      <c r="CB13" s="305">
        <f t="shared" si="45"/>
        <v>0</v>
      </c>
      <c r="CC13" s="305">
        <f t="shared" si="46"/>
        <v>0</v>
      </c>
      <c r="CD13" s="305">
        <f t="shared" si="47"/>
        <v>0</v>
      </c>
    </row>
    <row r="14" spans="1:82" x14ac:dyDescent="0.2">
      <c r="A14" s="235"/>
      <c r="B14" s="236" t="str">
        <f t="shared" si="12"/>
        <v>PRJ00021293.PROP00020172.1</v>
      </c>
      <c r="C14" s="237" t="str">
        <f t="shared" si="2"/>
        <v>PRJ00021293</v>
      </c>
      <c r="D14" s="237" t="str">
        <f t="shared" si="13"/>
        <v>PROP00020172</v>
      </c>
      <c r="E14" s="237">
        <f>IF($C14="", "", COUNTIF($M$8:$M14,$D14))</f>
        <v>1</v>
      </c>
      <c r="F14" s="238">
        <v>7</v>
      </c>
      <c r="G14" s="239" t="s">
        <v>956</v>
      </c>
      <c r="H14" s="240" t="s">
        <v>1102</v>
      </c>
      <c r="I14" s="240" t="s">
        <v>1102</v>
      </c>
      <c r="J14" s="241" t="s">
        <v>417</v>
      </c>
      <c r="K14" s="240" t="s">
        <v>1091</v>
      </c>
      <c r="L14" s="240" t="s">
        <v>1103</v>
      </c>
      <c r="M14" s="240" t="s">
        <v>1110</v>
      </c>
      <c r="N14" s="242"/>
      <c r="O14" s="243" t="s">
        <v>60</v>
      </c>
      <c r="P14" s="243"/>
      <c r="Q14" s="243"/>
      <c r="R14" s="243"/>
      <c r="S14" s="243"/>
      <c r="T14" s="245" t="s">
        <v>864</v>
      </c>
      <c r="U14" s="246">
        <f>IF($T14="", "", VLOOKUP($T14, CONTRATOS!$B:$E, 2, FALSE))</f>
        <v>4600042486</v>
      </c>
      <c r="V14" s="247">
        <f>IF(OR($T14="",TB_DEFESA!$C$2="Criação Baseline"),0,
   IF(VLOOKUP($T14, CONTRATOS!B:E, 3, FALSE)&lt;&gt;"",1,IF(VLOOKUP($T14, CONTRATOS!B:E, 4, FALSE)&lt;&gt;"",2,0)))</f>
        <v>2</v>
      </c>
      <c r="W14" s="248" t="s">
        <v>792</v>
      </c>
      <c r="X14" s="248" t="s">
        <v>258</v>
      </c>
      <c r="Y14" s="249">
        <v>45.57</v>
      </c>
      <c r="Z14" s="250">
        <v>88.5</v>
      </c>
      <c r="AA14" s="251">
        <f xml:space="preserve"> Y14 * Z14</f>
        <v>4032.9450000000002</v>
      </c>
      <c r="AB14" s="252" t="s">
        <v>1105</v>
      </c>
      <c r="AC14" s="253" t="s">
        <v>1108</v>
      </c>
      <c r="AD14" s="251">
        <v>1344.3150000000001</v>
      </c>
      <c r="AE14" s="254">
        <f t="shared" si="3"/>
        <v>0.33333333333333331</v>
      </c>
      <c r="AF14" s="256">
        <f t="shared" si="14"/>
        <v>0</v>
      </c>
      <c r="AG14" s="293" t="s">
        <v>62</v>
      </c>
      <c r="AH14" s="294" t="str">
        <f t="shared" si="15"/>
        <v>NÃO</v>
      </c>
      <c r="AI14" s="294" t="str">
        <f t="shared" si="16"/>
        <v>SIM</v>
      </c>
      <c r="AJ14" s="295" t="str">
        <f t="shared" si="17"/>
        <v>SIM</v>
      </c>
      <c r="AK14" s="296" t="str">
        <f t="shared" si="18"/>
        <v>Custo Final</v>
      </c>
      <c r="AL14" s="297" t="str">
        <f t="shared" si="19"/>
        <v>AF00006693</v>
      </c>
      <c r="AM14" s="294" t="str">
        <f t="shared" si="20"/>
        <v>SERVIÇOS</v>
      </c>
      <c r="AN14" s="294" t="str">
        <f t="shared" si="21"/>
        <v>Oi Fixa R1</v>
      </c>
      <c r="AO14" s="298">
        <f t="shared" si="22"/>
        <v>4600042486</v>
      </c>
      <c r="AP14" s="299" t="str">
        <f t="shared" si="23"/>
        <v>IBM - Torre I - Faturamento e Mediação (Extrabaseline)</v>
      </c>
      <c r="AQ14" s="299" t="str">
        <f t="shared" si="24"/>
        <v>SISRAF - ARRECADACAO</v>
      </c>
      <c r="AR14" s="300">
        <f t="shared" si="4"/>
        <v>45.57</v>
      </c>
      <c r="AS14" s="300">
        <f t="shared" si="5"/>
        <v>88.5</v>
      </c>
      <c r="AT14" s="294">
        <f t="shared" si="6"/>
        <v>4032.9450000000002</v>
      </c>
      <c r="AU14" s="301" t="str">
        <f>IF(OR($B14="", $AP14= ""),"",IF(VLOOKUP($AP14, CONTRATOS!B:K,3,FALSE)="","",VLOOKUP($AP14, CONTRATOS!B:K, 3,FALSE)))</f>
        <v/>
      </c>
      <c r="AV14" s="301" t="str">
        <f>IF(OR($B14="", $AP14 = ""), "", IF(VLOOKUP($AP14, CONTRATOS!B:K,4,FALSE)="","",VLOOKUP($AP14, CONTRATOS!B:K,4, FALSE)))</f>
        <v>IBM</v>
      </c>
      <c r="AW14" s="302">
        <f t="shared" si="7"/>
        <v>0.33333333333333331</v>
      </c>
      <c r="AX14" s="301" t="str">
        <f t="shared" si="8"/>
        <v/>
      </c>
      <c r="AY14" s="301" t="str">
        <f t="shared" si="9"/>
        <v/>
      </c>
      <c r="AZ14" s="301" t="str">
        <f t="shared" si="10"/>
        <v/>
      </c>
      <c r="BA14" s="301" t="str">
        <f t="shared" si="11"/>
        <v/>
      </c>
      <c r="BB14" s="303">
        <f t="shared" si="25"/>
        <v>14</v>
      </c>
      <c r="BC14" s="303" t="str">
        <f t="shared" si="26"/>
        <v>2017</v>
      </c>
      <c r="BD14" s="303">
        <f t="shared" si="27"/>
        <v>2</v>
      </c>
      <c r="BF14" s="304">
        <f t="shared" si="28"/>
        <v>0</v>
      </c>
      <c r="BG14" s="304">
        <f t="shared" si="29"/>
        <v>0</v>
      </c>
      <c r="BH14" s="304">
        <f>IF( $B14="", "", IF(ISNA(VLOOKUP($C14, Defesa!$C$8:$C$30,1,FALSE)),1,0))</f>
        <v>0</v>
      </c>
      <c r="BI14" s="305">
        <f t="shared" si="30"/>
        <v>0</v>
      </c>
      <c r="BJ14" s="305">
        <f t="shared" si="31"/>
        <v>0</v>
      </c>
      <c r="BK14" s="304">
        <f t="shared" si="32"/>
        <v>0</v>
      </c>
      <c r="BL14" s="304">
        <f t="shared" si="33"/>
        <v>0</v>
      </c>
      <c r="BM14" s="304">
        <f>IF($AC14="", "", IF(ISNA(VLOOKUP($AC14, TABELAS!$Q:$Q, 1, FALSE)), 1, 0))</f>
        <v>0</v>
      </c>
      <c r="BN14" s="306">
        <f t="shared" si="34"/>
        <v>0</v>
      </c>
      <c r="BO14" s="304">
        <f t="shared" si="35"/>
        <v>0</v>
      </c>
      <c r="BP14" s="304">
        <f t="shared" si="36"/>
        <v>0</v>
      </c>
      <c r="BQ14" s="305">
        <f t="shared" si="37"/>
        <v>0</v>
      </c>
      <c r="BR14" s="304">
        <f t="shared" si="38"/>
        <v>0</v>
      </c>
      <c r="BS14" s="304">
        <f t="shared" si="39"/>
        <v>0</v>
      </c>
      <c r="BT14" s="304">
        <f>IF(OR($B14="", $AH14 = "SIM"), "", IF( ISNA(VLOOKUP($AP14,#REF!, 1, FALSE)), 1, 0))</f>
        <v>0</v>
      </c>
      <c r="BU14" s="304">
        <f t="shared" si="40"/>
        <v>0</v>
      </c>
      <c r="BV14" s="304">
        <f>IF( $B14="", "", IF( ISNA(VLOOKUP($AN14, TABELAS!$T$2:$T$9,1,FALSE)), 1, 0))</f>
        <v>0</v>
      </c>
      <c r="BW14" s="304">
        <f t="shared" si="41"/>
        <v>0</v>
      </c>
      <c r="BX14" s="304">
        <f>IF( OR($B14="", $AH14 = "SIM"), "", IF( ISNA( VLOOKUP( $AQ14, SISTEMA!$B:$B, 1, FALSE)), 1, 0))</f>
        <v>0</v>
      </c>
      <c r="BY14" s="305">
        <f t="shared" si="42"/>
        <v>0</v>
      </c>
      <c r="BZ14" s="305">
        <f t="shared" si="43"/>
        <v>0</v>
      </c>
      <c r="CA14" s="304">
        <f t="shared" si="44"/>
        <v>0</v>
      </c>
      <c r="CB14" s="305">
        <f t="shared" si="45"/>
        <v>0</v>
      </c>
      <c r="CC14" s="305">
        <f t="shared" si="46"/>
        <v>0</v>
      </c>
      <c r="CD14" s="305">
        <f t="shared" si="47"/>
        <v>0</v>
      </c>
    </row>
    <row r="15" spans="1:82" x14ac:dyDescent="0.2">
      <c r="A15" s="235"/>
      <c r="B15" s="236" t="str">
        <f t="shared" si="12"/>
        <v>PRJ00021293.PROP00020172.1</v>
      </c>
      <c r="C15" s="237" t="str">
        <f t="shared" si="2"/>
        <v>PRJ00021293</v>
      </c>
      <c r="D15" s="237" t="str">
        <f t="shared" si="13"/>
        <v>PROP00020172</v>
      </c>
      <c r="E15" s="237">
        <f>IF($C15="", "", COUNTIF($M$8:$M15,$D15))</f>
        <v>1</v>
      </c>
      <c r="F15" s="238">
        <v>8</v>
      </c>
      <c r="G15" s="239"/>
      <c r="H15" s="240"/>
      <c r="I15" s="240"/>
      <c r="J15" s="241"/>
      <c r="K15" s="240"/>
      <c r="L15" s="240"/>
      <c r="M15" s="240"/>
      <c r="N15" s="242"/>
      <c r="O15" s="243"/>
      <c r="P15" s="243"/>
      <c r="Q15" s="243"/>
      <c r="R15" s="243"/>
      <c r="S15" s="243"/>
      <c r="T15" s="245"/>
      <c r="U15" s="246" t="str">
        <f>IF($T15="", "", VLOOKUP($T15, CONTRATOS!$B:$E, 2, FALSE))</f>
        <v/>
      </c>
      <c r="V15" s="247">
        <f>IF(OR($T15="",TB_DEFESA!$C$2="Criação Baseline"),0,
   IF(VLOOKUP($T15, CONTRATOS!B:E, 3, FALSE)&lt;&gt;"",1,IF(VLOOKUP($T15, CONTRATOS!B:E, 4, FALSE)&lt;&gt;"",2,0)))</f>
        <v>0</v>
      </c>
      <c r="W15" s="248"/>
      <c r="X15" s="248"/>
      <c r="Y15" s="249"/>
      <c r="Z15" s="250"/>
      <c r="AA15" s="251"/>
      <c r="AB15" s="252" t="s">
        <v>1106</v>
      </c>
      <c r="AC15" s="253" t="s">
        <v>1108</v>
      </c>
      <c r="AD15" s="251">
        <v>1344.3150000000001</v>
      </c>
      <c r="AE15" s="254">
        <f t="shared" si="3"/>
        <v>0.33333333333333331</v>
      </c>
      <c r="AF15" s="256">
        <f t="shared" si="14"/>
        <v>0</v>
      </c>
      <c r="AG15" s="293" t="s">
        <v>62</v>
      </c>
      <c r="AH15" s="294" t="str">
        <f t="shared" si="15"/>
        <v>NÃO</v>
      </c>
      <c r="AI15" s="294" t="str">
        <f t="shared" si="16"/>
        <v>SIM</v>
      </c>
      <c r="AJ15" s="295" t="str">
        <f t="shared" si="17"/>
        <v>SIM</v>
      </c>
      <c r="AK15" s="296" t="str">
        <f t="shared" si="18"/>
        <v>Custo Final</v>
      </c>
      <c r="AL15" s="297" t="str">
        <f t="shared" si="19"/>
        <v>AF00006693</v>
      </c>
      <c r="AM15" s="294" t="str">
        <f t="shared" si="20"/>
        <v>SERVIÇOS</v>
      </c>
      <c r="AN15" s="294" t="str">
        <f t="shared" si="21"/>
        <v>Oi Fixa R1</v>
      </c>
      <c r="AO15" s="298">
        <f t="shared" si="22"/>
        <v>4600042486</v>
      </c>
      <c r="AP15" s="299" t="str">
        <f t="shared" si="23"/>
        <v>IBM - Torre I - Faturamento e Mediação (Extrabaseline)</v>
      </c>
      <c r="AQ15" s="299" t="str">
        <f t="shared" si="24"/>
        <v>SISRAF - ARRECADACAO</v>
      </c>
      <c r="AR15" s="300">
        <f t="shared" si="4"/>
        <v>45.57</v>
      </c>
      <c r="AS15" s="300">
        <f t="shared" si="5"/>
        <v>88.5</v>
      </c>
      <c r="AT15" s="294">
        <f t="shared" si="6"/>
        <v>4032.9450000000002</v>
      </c>
      <c r="AU15" s="301" t="str">
        <f>IF(OR($B15="", $AP15= ""),"",IF(VLOOKUP($AP15, CONTRATOS!B:K,3,FALSE)="","",VLOOKUP($AP15, CONTRATOS!B:K, 3,FALSE)))</f>
        <v/>
      </c>
      <c r="AV15" s="301" t="str">
        <f>IF(OR($B15="", $AP15 = ""), "", IF(VLOOKUP($AP15, CONTRATOS!B:K,4,FALSE)="","",VLOOKUP($AP15, CONTRATOS!B:K,4, FALSE)))</f>
        <v>IBM</v>
      </c>
      <c r="AW15" s="302">
        <f t="shared" si="7"/>
        <v>0.33333333333333331</v>
      </c>
      <c r="AX15" s="301" t="str">
        <f t="shared" si="8"/>
        <v/>
      </c>
      <c r="AY15" s="301" t="str">
        <f t="shared" si="9"/>
        <v/>
      </c>
      <c r="AZ15" s="301" t="str">
        <f t="shared" si="10"/>
        <v/>
      </c>
      <c r="BA15" s="301" t="str">
        <f t="shared" si="11"/>
        <v/>
      </c>
      <c r="BB15" s="303">
        <f t="shared" si="25"/>
        <v>15</v>
      </c>
      <c r="BC15" s="303" t="str">
        <f t="shared" si="26"/>
        <v>2017</v>
      </c>
      <c r="BD15" s="303">
        <f t="shared" si="27"/>
        <v>2</v>
      </c>
      <c r="BF15" s="304">
        <f t="shared" si="28"/>
        <v>0</v>
      </c>
      <c r="BG15" s="304">
        <f t="shared" si="29"/>
        <v>0</v>
      </c>
      <c r="BH15" s="304">
        <f>IF( $B15="", "", IF(ISNA(VLOOKUP($C15, Defesa!$C$8:$C$30,1,FALSE)),1,0))</f>
        <v>0</v>
      </c>
      <c r="BI15" s="305">
        <f t="shared" si="30"/>
        <v>0</v>
      </c>
      <c r="BJ15" s="305">
        <f t="shared" si="31"/>
        <v>0</v>
      </c>
      <c r="BK15" s="304">
        <f t="shared" si="32"/>
        <v>0</v>
      </c>
      <c r="BL15" s="304">
        <f t="shared" si="33"/>
        <v>0</v>
      </c>
      <c r="BM15" s="304">
        <f>IF($AC15="", "", IF(ISNA(VLOOKUP($AC15, TABELAS!$Q:$Q, 1, FALSE)), 1, 0))</f>
        <v>0</v>
      </c>
      <c r="BN15" s="306">
        <f t="shared" si="34"/>
        <v>0</v>
      </c>
      <c r="BO15" s="304">
        <f t="shared" si="35"/>
        <v>0</v>
      </c>
      <c r="BP15" s="304">
        <f t="shared" si="36"/>
        <v>0</v>
      </c>
      <c r="BQ15" s="305">
        <f t="shared" si="37"/>
        <v>0</v>
      </c>
      <c r="BR15" s="304">
        <f t="shared" si="38"/>
        <v>0</v>
      </c>
      <c r="BS15" s="304">
        <f t="shared" si="39"/>
        <v>0</v>
      </c>
      <c r="BT15" s="304">
        <f>IF(OR($B15="", $AH15 = "SIM"), "", IF( ISNA(VLOOKUP($AP15,#REF!, 1, FALSE)), 1, 0))</f>
        <v>0</v>
      </c>
      <c r="BU15" s="304">
        <f t="shared" si="40"/>
        <v>0</v>
      </c>
      <c r="BV15" s="304">
        <f>IF( $B15="", "", IF( ISNA(VLOOKUP($AN15, TABELAS!$T$2:$T$9,1,FALSE)), 1, 0))</f>
        <v>0</v>
      </c>
      <c r="BW15" s="304">
        <f t="shared" si="41"/>
        <v>0</v>
      </c>
      <c r="BX15" s="304">
        <f>IF( OR($B15="", $AH15 = "SIM"), "", IF( ISNA( VLOOKUP( $AQ15, SISTEMA!$B:$B, 1, FALSE)), 1, 0))</f>
        <v>0</v>
      </c>
      <c r="BY15" s="305">
        <f t="shared" si="42"/>
        <v>0</v>
      </c>
      <c r="BZ15" s="305">
        <f t="shared" si="43"/>
        <v>0</v>
      </c>
      <c r="CA15" s="304">
        <f t="shared" si="44"/>
        <v>0</v>
      </c>
      <c r="CB15" s="305">
        <f t="shared" si="45"/>
        <v>0</v>
      </c>
      <c r="CC15" s="305">
        <f t="shared" si="46"/>
        <v>0</v>
      </c>
      <c r="CD15" s="305">
        <f t="shared" si="47"/>
        <v>0</v>
      </c>
    </row>
    <row r="16" spans="1:82" x14ac:dyDescent="0.2">
      <c r="A16" s="235"/>
      <c r="B16" s="236" t="str">
        <f t="shared" si="12"/>
        <v>PRJ00021293.PROP00020172.1</v>
      </c>
      <c r="C16" s="237" t="str">
        <f t="shared" si="2"/>
        <v>PRJ00021293</v>
      </c>
      <c r="D16" s="237" t="str">
        <f t="shared" si="13"/>
        <v>PROP00020172</v>
      </c>
      <c r="E16" s="237">
        <f>IF($C16="", "", COUNTIF($M$8:$M16,$D16))</f>
        <v>1</v>
      </c>
      <c r="F16" s="238">
        <v>9</v>
      </c>
      <c r="G16" s="239"/>
      <c r="H16" s="240"/>
      <c r="I16" s="240"/>
      <c r="J16" s="241"/>
      <c r="K16" s="240"/>
      <c r="L16" s="240"/>
      <c r="M16" s="240"/>
      <c r="N16" s="242"/>
      <c r="O16" s="243"/>
      <c r="P16" s="243"/>
      <c r="Q16" s="243"/>
      <c r="R16" s="243"/>
      <c r="S16" s="243"/>
      <c r="T16" s="245"/>
      <c r="U16" s="246" t="str">
        <f>IF($T16="", "", VLOOKUP($T16, CONTRATOS!$B:$E, 2, FALSE))</f>
        <v/>
      </c>
      <c r="V16" s="247">
        <f>IF(OR($T16="",TB_DEFESA!$C$2="Criação Baseline"),0,
   IF(VLOOKUP($T16, CONTRATOS!B:E, 3, FALSE)&lt;&gt;"",1,IF(VLOOKUP($T16, CONTRATOS!B:E, 4, FALSE)&lt;&gt;"",2,0)))</f>
        <v>0</v>
      </c>
      <c r="W16" s="248"/>
      <c r="X16" s="248"/>
      <c r="Y16" s="249"/>
      <c r="Z16" s="250"/>
      <c r="AA16" s="251"/>
      <c r="AB16" s="252" t="s">
        <v>1107</v>
      </c>
      <c r="AC16" s="253" t="s">
        <v>1108</v>
      </c>
      <c r="AD16" s="251">
        <v>1344.3150000000001</v>
      </c>
      <c r="AE16" s="254">
        <f t="shared" si="3"/>
        <v>0.33333333333333331</v>
      </c>
      <c r="AF16" s="256">
        <f t="shared" si="14"/>
        <v>0</v>
      </c>
      <c r="AG16" s="293" t="s">
        <v>62</v>
      </c>
      <c r="AH16" s="294" t="str">
        <f t="shared" si="15"/>
        <v>NÃO</v>
      </c>
      <c r="AI16" s="294" t="str">
        <f t="shared" si="16"/>
        <v>SIM</v>
      </c>
      <c r="AJ16" s="295" t="str">
        <f t="shared" si="17"/>
        <v>SIM</v>
      </c>
      <c r="AK16" s="296" t="str">
        <f t="shared" si="18"/>
        <v>Custo Final</v>
      </c>
      <c r="AL16" s="297" t="str">
        <f t="shared" si="19"/>
        <v>AF00006693</v>
      </c>
      <c r="AM16" s="294" t="str">
        <f t="shared" si="20"/>
        <v>SERVIÇOS</v>
      </c>
      <c r="AN16" s="294" t="str">
        <f t="shared" si="21"/>
        <v>Oi Fixa R1</v>
      </c>
      <c r="AO16" s="298">
        <f t="shared" si="22"/>
        <v>4600042486</v>
      </c>
      <c r="AP16" s="299" t="str">
        <f t="shared" si="23"/>
        <v>IBM - Torre I - Faturamento e Mediação (Extrabaseline)</v>
      </c>
      <c r="AQ16" s="299" t="str">
        <f t="shared" si="24"/>
        <v>SISRAF - ARRECADACAO</v>
      </c>
      <c r="AR16" s="300">
        <f t="shared" si="4"/>
        <v>45.57</v>
      </c>
      <c r="AS16" s="300">
        <f t="shared" si="5"/>
        <v>88.5</v>
      </c>
      <c r="AT16" s="294">
        <f t="shared" si="6"/>
        <v>4032.9450000000002</v>
      </c>
      <c r="AU16" s="301" t="str">
        <f>IF(OR($B16="", $AP16= ""),"",IF(VLOOKUP($AP16, CONTRATOS!B:K,3,FALSE)="","",VLOOKUP($AP16, CONTRATOS!B:K, 3,FALSE)))</f>
        <v/>
      </c>
      <c r="AV16" s="301" t="str">
        <f>IF(OR($B16="", $AP16 = ""), "", IF(VLOOKUP($AP16, CONTRATOS!B:K,4,FALSE)="","",VLOOKUP($AP16, CONTRATOS!B:K,4, FALSE)))</f>
        <v>IBM</v>
      </c>
      <c r="AW16" s="302">
        <f t="shared" si="7"/>
        <v>0.33333333333333331</v>
      </c>
      <c r="AX16" s="301" t="str">
        <f t="shared" si="8"/>
        <v/>
      </c>
      <c r="AY16" s="301" t="str">
        <f t="shared" si="9"/>
        <v/>
      </c>
      <c r="AZ16" s="301" t="str">
        <f t="shared" si="10"/>
        <v/>
      </c>
      <c r="BA16" s="301" t="str">
        <f t="shared" si="11"/>
        <v/>
      </c>
      <c r="BB16" s="303">
        <f t="shared" si="25"/>
        <v>16</v>
      </c>
      <c r="BC16" s="303" t="str">
        <f t="shared" si="26"/>
        <v>2017</v>
      </c>
      <c r="BD16" s="303">
        <f t="shared" si="27"/>
        <v>2</v>
      </c>
      <c r="BF16" s="304">
        <f t="shared" si="28"/>
        <v>0</v>
      </c>
      <c r="BG16" s="304">
        <f t="shared" si="29"/>
        <v>0</v>
      </c>
      <c r="BH16" s="304">
        <f>IF( $B16="", "", IF(ISNA(VLOOKUP($C16, Defesa!$C$8:$C$30,1,FALSE)),1,0))</f>
        <v>0</v>
      </c>
      <c r="BI16" s="305">
        <f t="shared" si="30"/>
        <v>0</v>
      </c>
      <c r="BJ16" s="305">
        <f t="shared" si="31"/>
        <v>0</v>
      </c>
      <c r="BK16" s="304">
        <f t="shared" si="32"/>
        <v>0</v>
      </c>
      <c r="BL16" s="304">
        <f t="shared" si="33"/>
        <v>0</v>
      </c>
      <c r="BM16" s="304">
        <f>IF($AC16="", "", IF(ISNA(VLOOKUP($AC16, TABELAS!$Q:$Q, 1, FALSE)), 1, 0))</f>
        <v>0</v>
      </c>
      <c r="BN16" s="306">
        <f t="shared" si="34"/>
        <v>0</v>
      </c>
      <c r="BO16" s="304">
        <f t="shared" si="35"/>
        <v>0</v>
      </c>
      <c r="BP16" s="304">
        <f t="shared" si="36"/>
        <v>0</v>
      </c>
      <c r="BQ16" s="305">
        <f t="shared" si="37"/>
        <v>0</v>
      </c>
      <c r="BR16" s="304">
        <f t="shared" si="38"/>
        <v>0</v>
      </c>
      <c r="BS16" s="304">
        <f t="shared" si="39"/>
        <v>0</v>
      </c>
      <c r="BT16" s="304">
        <f>IF(OR($B16="", $AH16 = "SIM"), "", IF( ISNA(VLOOKUP($AP16,#REF!, 1, FALSE)), 1, 0))</f>
        <v>0</v>
      </c>
      <c r="BU16" s="304">
        <f t="shared" si="40"/>
        <v>0</v>
      </c>
      <c r="BV16" s="304">
        <f>IF( $B16="", "", IF( ISNA(VLOOKUP($AN16, TABELAS!$T$2:$T$9,1,FALSE)), 1, 0))</f>
        <v>0</v>
      </c>
      <c r="BW16" s="304">
        <f t="shared" si="41"/>
        <v>0</v>
      </c>
      <c r="BX16" s="304">
        <f>IF( OR($B16="", $AH16 = "SIM"), "", IF( ISNA( VLOOKUP( $AQ16, SISTEMA!$B:$B, 1, FALSE)), 1, 0))</f>
        <v>0</v>
      </c>
      <c r="BY16" s="305">
        <f t="shared" si="42"/>
        <v>0</v>
      </c>
      <c r="BZ16" s="305">
        <f t="shared" si="43"/>
        <v>0</v>
      </c>
      <c r="CA16" s="304">
        <f t="shared" si="44"/>
        <v>0</v>
      </c>
      <c r="CB16" s="305">
        <f t="shared" si="45"/>
        <v>0</v>
      </c>
      <c r="CC16" s="305">
        <f t="shared" si="46"/>
        <v>0</v>
      </c>
      <c r="CD16" s="305">
        <f t="shared" si="47"/>
        <v>0</v>
      </c>
    </row>
    <row r="17" spans="1:82" x14ac:dyDescent="0.2">
      <c r="A17" s="235"/>
      <c r="B17" s="236" t="str">
        <f t="shared" si="12"/>
        <v>PRJ00021293.PROP00020174.1</v>
      </c>
      <c r="C17" s="237" t="str">
        <f t="shared" si="2"/>
        <v>PRJ00021293</v>
      </c>
      <c r="D17" s="237" t="str">
        <f t="shared" si="13"/>
        <v>PROP00020174</v>
      </c>
      <c r="E17" s="237">
        <f>IF($C17="", "", COUNTIF($M$8:$M17,$D17))</f>
        <v>1</v>
      </c>
      <c r="F17" s="238">
        <v>10</v>
      </c>
      <c r="G17" s="239" t="s">
        <v>956</v>
      </c>
      <c r="H17" s="240" t="s">
        <v>1102</v>
      </c>
      <c r="I17" s="240" t="s">
        <v>1102</v>
      </c>
      <c r="J17" s="241" t="s">
        <v>417</v>
      </c>
      <c r="K17" s="240" t="s">
        <v>1091</v>
      </c>
      <c r="L17" s="240" t="s">
        <v>1103</v>
      </c>
      <c r="M17" s="240" t="s">
        <v>1111</v>
      </c>
      <c r="N17" s="242"/>
      <c r="O17" s="243" t="s">
        <v>60</v>
      </c>
      <c r="P17" s="243"/>
      <c r="Q17" s="243"/>
      <c r="R17" s="243"/>
      <c r="S17" s="243"/>
      <c r="T17" s="245" t="s">
        <v>864</v>
      </c>
      <c r="U17" s="246">
        <f>IF($T17="", "", VLOOKUP($T17, CONTRATOS!$B:$E, 2, FALSE))</f>
        <v>4600042486</v>
      </c>
      <c r="V17" s="247">
        <f>IF(OR($T17="",TB_DEFESA!$C$2="Criação Baseline"),0,
   IF(VLOOKUP($T17, CONTRATOS!B:E, 3, FALSE)&lt;&gt;"",1,IF(VLOOKUP($T17, CONTRATOS!B:E, 4, FALSE)&lt;&gt;"",2,0)))</f>
        <v>2</v>
      </c>
      <c r="W17" s="248" t="s">
        <v>502</v>
      </c>
      <c r="X17" s="248" t="s">
        <v>260</v>
      </c>
      <c r="Y17" s="249">
        <v>45.57</v>
      </c>
      <c r="Z17" s="250">
        <v>88.5</v>
      </c>
      <c r="AA17" s="251">
        <f xml:space="preserve"> Y17 * Z17</f>
        <v>4032.9450000000002</v>
      </c>
      <c r="AB17" s="252" t="s">
        <v>1105</v>
      </c>
      <c r="AC17" s="253" t="s">
        <v>1108</v>
      </c>
      <c r="AD17" s="251">
        <f>AA17/3</f>
        <v>1344.3150000000001</v>
      </c>
      <c r="AE17" s="254">
        <f t="shared" si="3"/>
        <v>0.33333333333333331</v>
      </c>
      <c r="AF17" s="256">
        <f t="shared" si="14"/>
        <v>0</v>
      </c>
      <c r="AG17" s="293" t="s">
        <v>62</v>
      </c>
      <c r="AH17" s="294" t="str">
        <f t="shared" si="15"/>
        <v>NÃO</v>
      </c>
      <c r="AI17" s="294" t="str">
        <f t="shared" si="16"/>
        <v>SIM</v>
      </c>
      <c r="AJ17" s="295" t="str">
        <f t="shared" si="17"/>
        <v>SIM</v>
      </c>
      <c r="AK17" s="296" t="str">
        <f t="shared" si="18"/>
        <v>Custo Final</v>
      </c>
      <c r="AL17" s="297" t="str">
        <f t="shared" si="19"/>
        <v>AF00006693</v>
      </c>
      <c r="AM17" s="294" t="str">
        <f t="shared" si="20"/>
        <v>SERVIÇOS</v>
      </c>
      <c r="AN17" s="294" t="str">
        <f t="shared" si="21"/>
        <v>BTSA Fixa R2</v>
      </c>
      <c r="AO17" s="298">
        <f t="shared" si="22"/>
        <v>4600042486</v>
      </c>
      <c r="AP17" s="299" t="str">
        <f t="shared" si="23"/>
        <v>IBM - Torre I - Faturamento e Mediação (Extrabaseline)</v>
      </c>
      <c r="AQ17" s="299" t="str">
        <f t="shared" si="24"/>
        <v>(OI R2) SAG</v>
      </c>
      <c r="AR17" s="300">
        <f t="shared" si="4"/>
        <v>45.57</v>
      </c>
      <c r="AS17" s="300">
        <f t="shared" si="5"/>
        <v>88.5</v>
      </c>
      <c r="AT17" s="294">
        <f t="shared" si="6"/>
        <v>4032.9450000000002</v>
      </c>
      <c r="AU17" s="301" t="str">
        <f>IF(OR($B17="", $AP17= ""),"",IF(VLOOKUP($AP17, CONTRATOS!B:K,3,FALSE)="","",VLOOKUP($AP17, CONTRATOS!B:K, 3,FALSE)))</f>
        <v/>
      </c>
      <c r="AV17" s="301" t="str">
        <f>IF(OR($B17="", $AP17 = ""), "", IF(VLOOKUP($AP17, CONTRATOS!B:K,4,FALSE)="","",VLOOKUP($AP17, CONTRATOS!B:K,4, FALSE)))</f>
        <v>IBM</v>
      </c>
      <c r="AW17" s="302">
        <f t="shared" si="7"/>
        <v>0.33333333333333331</v>
      </c>
      <c r="AX17" s="301" t="str">
        <f t="shared" si="8"/>
        <v/>
      </c>
      <c r="AY17" s="301" t="str">
        <f t="shared" si="9"/>
        <v/>
      </c>
      <c r="AZ17" s="301" t="str">
        <f t="shared" si="10"/>
        <v/>
      </c>
      <c r="BA17" s="301" t="str">
        <f t="shared" si="11"/>
        <v/>
      </c>
      <c r="BB17" s="303">
        <f t="shared" si="25"/>
        <v>17</v>
      </c>
      <c r="BC17" s="303" t="str">
        <f t="shared" si="26"/>
        <v>2017</v>
      </c>
      <c r="BD17" s="303">
        <f t="shared" si="27"/>
        <v>2</v>
      </c>
      <c r="BF17" s="304">
        <f t="shared" si="28"/>
        <v>0</v>
      </c>
      <c r="BG17" s="304">
        <f t="shared" si="29"/>
        <v>0</v>
      </c>
      <c r="BH17" s="304">
        <f>IF( $B17="", "", IF(ISNA(VLOOKUP($C17, Defesa!$C$8:$C$30,1,FALSE)),1,0))</f>
        <v>0</v>
      </c>
      <c r="BI17" s="305">
        <f t="shared" si="30"/>
        <v>0</v>
      </c>
      <c r="BJ17" s="305">
        <f t="shared" si="31"/>
        <v>0</v>
      </c>
      <c r="BK17" s="304">
        <f t="shared" si="32"/>
        <v>0</v>
      </c>
      <c r="BL17" s="304">
        <f t="shared" si="33"/>
        <v>0</v>
      </c>
      <c r="BM17" s="304">
        <f>IF($AC17="", "", IF(ISNA(VLOOKUP($AC17, TABELAS!$Q:$Q, 1, FALSE)), 1, 0))</f>
        <v>0</v>
      </c>
      <c r="BN17" s="306">
        <f t="shared" si="34"/>
        <v>0</v>
      </c>
      <c r="BO17" s="304">
        <f t="shared" si="35"/>
        <v>0</v>
      </c>
      <c r="BP17" s="304">
        <f t="shared" si="36"/>
        <v>0</v>
      </c>
      <c r="BQ17" s="305">
        <f t="shared" si="37"/>
        <v>0</v>
      </c>
      <c r="BR17" s="304">
        <f t="shared" si="38"/>
        <v>0</v>
      </c>
      <c r="BS17" s="304">
        <f t="shared" si="39"/>
        <v>0</v>
      </c>
      <c r="BT17" s="304">
        <f>IF(OR($B17="", $AH17 = "SIM"), "", IF( ISNA(VLOOKUP($AP17,#REF!, 1, FALSE)), 1, 0))</f>
        <v>0</v>
      </c>
      <c r="BU17" s="304">
        <f t="shared" si="40"/>
        <v>0</v>
      </c>
      <c r="BV17" s="304">
        <f>IF( $B17="", "", IF( ISNA(VLOOKUP($AN17, TABELAS!$T$2:$T$9,1,FALSE)), 1, 0))</f>
        <v>0</v>
      </c>
      <c r="BW17" s="304">
        <f t="shared" si="41"/>
        <v>0</v>
      </c>
      <c r="BX17" s="304">
        <f>IF( OR($B17="", $AH17 = "SIM"), "", IF( ISNA( VLOOKUP( $AQ17, SISTEMA!$B:$B, 1, FALSE)), 1, 0))</f>
        <v>0</v>
      </c>
      <c r="BY17" s="305">
        <f t="shared" si="42"/>
        <v>0</v>
      </c>
      <c r="BZ17" s="305">
        <f t="shared" si="43"/>
        <v>0</v>
      </c>
      <c r="CA17" s="304">
        <f t="shared" si="44"/>
        <v>0</v>
      </c>
      <c r="CB17" s="305">
        <f t="shared" si="45"/>
        <v>0</v>
      </c>
      <c r="CC17" s="305">
        <f t="shared" si="46"/>
        <v>0</v>
      </c>
      <c r="CD17" s="305">
        <f t="shared" si="47"/>
        <v>0</v>
      </c>
    </row>
    <row r="18" spans="1:82" x14ac:dyDescent="0.2">
      <c r="A18" s="235"/>
      <c r="B18" s="236" t="str">
        <f t="shared" si="12"/>
        <v>PRJ00021293.PROP00020174.1</v>
      </c>
      <c r="C18" s="237" t="str">
        <f t="shared" si="2"/>
        <v>PRJ00021293</v>
      </c>
      <c r="D18" s="237" t="str">
        <f t="shared" si="13"/>
        <v>PROP00020174</v>
      </c>
      <c r="E18" s="237">
        <f>IF($C18="", "", COUNTIF($M$8:$M18,$D18))</f>
        <v>1</v>
      </c>
      <c r="F18" s="238">
        <v>11</v>
      </c>
      <c r="G18" s="239"/>
      <c r="H18" s="240"/>
      <c r="I18" s="240"/>
      <c r="J18" s="241"/>
      <c r="K18" s="240"/>
      <c r="L18" s="240"/>
      <c r="M18" s="240"/>
      <c r="N18" s="242"/>
      <c r="O18" s="243"/>
      <c r="P18" s="243"/>
      <c r="Q18" s="243"/>
      <c r="R18" s="243"/>
      <c r="S18" s="243"/>
      <c r="T18" s="245"/>
      <c r="U18" s="246" t="str">
        <f>IF($T18="", "", VLOOKUP($T18, CONTRATOS!$B:$E, 2, FALSE))</f>
        <v/>
      </c>
      <c r="V18" s="247">
        <f>IF(OR($T18="",TB_DEFESA!$C$2="Criação Baseline"),0,
   IF(VLOOKUP($T18, CONTRATOS!B:E, 3, FALSE)&lt;&gt;"",1,IF(VLOOKUP($T18, CONTRATOS!B:E, 4, FALSE)&lt;&gt;"",2,0)))</f>
        <v>0</v>
      </c>
      <c r="W18" s="248"/>
      <c r="X18" s="248"/>
      <c r="Y18" s="249"/>
      <c r="Z18" s="250"/>
      <c r="AA18" s="251"/>
      <c r="AB18" s="252" t="s">
        <v>1106</v>
      </c>
      <c r="AC18" s="253" t="s">
        <v>1108</v>
      </c>
      <c r="AD18" s="251">
        <v>1344.3150000000001</v>
      </c>
      <c r="AE18" s="254">
        <f t="shared" si="3"/>
        <v>0.33333333333333331</v>
      </c>
      <c r="AF18" s="256">
        <f t="shared" si="14"/>
        <v>0</v>
      </c>
      <c r="AG18" s="293" t="s">
        <v>62</v>
      </c>
      <c r="AH18" s="294" t="str">
        <f t="shared" si="15"/>
        <v>NÃO</v>
      </c>
      <c r="AI18" s="294" t="str">
        <f t="shared" si="16"/>
        <v>SIM</v>
      </c>
      <c r="AJ18" s="295" t="str">
        <f t="shared" si="17"/>
        <v>SIM</v>
      </c>
      <c r="AK18" s="296" t="str">
        <f t="shared" si="18"/>
        <v>Custo Final</v>
      </c>
      <c r="AL18" s="297" t="str">
        <f t="shared" si="19"/>
        <v>AF00006693</v>
      </c>
      <c r="AM18" s="294" t="str">
        <f t="shared" si="20"/>
        <v>SERVIÇOS</v>
      </c>
      <c r="AN18" s="294" t="str">
        <f t="shared" si="21"/>
        <v>BTSA Fixa R2</v>
      </c>
      <c r="AO18" s="298">
        <f t="shared" si="22"/>
        <v>4600042486</v>
      </c>
      <c r="AP18" s="299" t="str">
        <f t="shared" si="23"/>
        <v>IBM - Torre I - Faturamento e Mediação (Extrabaseline)</v>
      </c>
      <c r="AQ18" s="299" t="str">
        <f t="shared" si="24"/>
        <v>(OI R2) SAG</v>
      </c>
      <c r="AR18" s="300">
        <f t="shared" si="4"/>
        <v>45.57</v>
      </c>
      <c r="AS18" s="300">
        <f t="shared" si="5"/>
        <v>88.5</v>
      </c>
      <c r="AT18" s="294">
        <f t="shared" si="6"/>
        <v>4032.9450000000002</v>
      </c>
      <c r="AU18" s="301" t="str">
        <f>IF(OR($B18="", $AP18= ""),"",IF(VLOOKUP($AP18, CONTRATOS!B:K,3,FALSE)="","",VLOOKUP($AP18, CONTRATOS!B:K, 3,FALSE)))</f>
        <v/>
      </c>
      <c r="AV18" s="301" t="str">
        <f>IF(OR($B18="", $AP18 = ""), "", IF(VLOOKUP($AP18, CONTRATOS!B:K,4,FALSE)="","",VLOOKUP($AP18, CONTRATOS!B:K,4, FALSE)))</f>
        <v>IBM</v>
      </c>
      <c r="AW18" s="302">
        <f t="shared" si="7"/>
        <v>0.33333333333333331</v>
      </c>
      <c r="AX18" s="301" t="str">
        <f t="shared" si="8"/>
        <v/>
      </c>
      <c r="AY18" s="301" t="str">
        <f t="shared" si="9"/>
        <v/>
      </c>
      <c r="AZ18" s="301" t="str">
        <f t="shared" si="10"/>
        <v/>
      </c>
      <c r="BA18" s="301" t="str">
        <f t="shared" si="11"/>
        <v/>
      </c>
      <c r="BB18" s="303">
        <f t="shared" si="25"/>
        <v>18</v>
      </c>
      <c r="BC18" s="303" t="str">
        <f t="shared" si="26"/>
        <v>2017</v>
      </c>
      <c r="BD18" s="303">
        <f t="shared" si="27"/>
        <v>2</v>
      </c>
      <c r="BF18" s="304">
        <f t="shared" si="28"/>
        <v>0</v>
      </c>
      <c r="BG18" s="304">
        <f t="shared" si="29"/>
        <v>0</v>
      </c>
      <c r="BH18" s="304">
        <f>IF( $B18="", "", IF(ISNA(VLOOKUP($C18, Defesa!$C$8:$C$30,1,FALSE)),1,0))</f>
        <v>0</v>
      </c>
      <c r="BI18" s="305">
        <f t="shared" si="30"/>
        <v>0</v>
      </c>
      <c r="BJ18" s="305">
        <f t="shared" si="31"/>
        <v>0</v>
      </c>
      <c r="BK18" s="304">
        <f t="shared" si="32"/>
        <v>0</v>
      </c>
      <c r="BL18" s="304">
        <f t="shared" si="33"/>
        <v>0</v>
      </c>
      <c r="BM18" s="304">
        <f>IF($AC18="", "", IF(ISNA(VLOOKUP($AC18, TABELAS!$Q:$Q, 1, FALSE)), 1, 0))</f>
        <v>0</v>
      </c>
      <c r="BN18" s="306">
        <f t="shared" si="34"/>
        <v>0</v>
      </c>
      <c r="BO18" s="304">
        <f t="shared" si="35"/>
        <v>0</v>
      </c>
      <c r="BP18" s="304">
        <f t="shared" si="36"/>
        <v>0</v>
      </c>
      <c r="BQ18" s="305">
        <f t="shared" si="37"/>
        <v>0</v>
      </c>
      <c r="BR18" s="304">
        <f t="shared" si="38"/>
        <v>0</v>
      </c>
      <c r="BS18" s="304">
        <f t="shared" si="39"/>
        <v>0</v>
      </c>
      <c r="BT18" s="304">
        <f>IF(OR($B18="", $AH18 = "SIM"), "", IF( ISNA(VLOOKUP($AP18,#REF!, 1, FALSE)), 1, 0))</f>
        <v>0</v>
      </c>
      <c r="BU18" s="304">
        <f t="shared" si="40"/>
        <v>0</v>
      </c>
      <c r="BV18" s="304">
        <f>IF( $B18="", "", IF( ISNA(VLOOKUP($AN18, TABELAS!$T$2:$T$9,1,FALSE)), 1, 0))</f>
        <v>0</v>
      </c>
      <c r="BW18" s="304">
        <f t="shared" si="41"/>
        <v>0</v>
      </c>
      <c r="BX18" s="304">
        <f>IF( OR($B18="", $AH18 = "SIM"), "", IF( ISNA( VLOOKUP( $AQ18, SISTEMA!$B:$B, 1, FALSE)), 1, 0))</f>
        <v>0</v>
      </c>
      <c r="BY18" s="305">
        <f t="shared" si="42"/>
        <v>0</v>
      </c>
      <c r="BZ18" s="305">
        <f t="shared" si="43"/>
        <v>0</v>
      </c>
      <c r="CA18" s="304">
        <f t="shared" si="44"/>
        <v>0</v>
      </c>
      <c r="CB18" s="305">
        <f t="shared" si="45"/>
        <v>0</v>
      </c>
      <c r="CC18" s="305">
        <f t="shared" si="46"/>
        <v>0</v>
      </c>
      <c r="CD18" s="305">
        <f t="shared" si="47"/>
        <v>0</v>
      </c>
    </row>
    <row r="19" spans="1:82" x14ac:dyDescent="0.2">
      <c r="A19" s="235"/>
      <c r="B19" s="236" t="str">
        <f t="shared" si="12"/>
        <v>PRJ00021293.PROP00020174.1</v>
      </c>
      <c r="C19" s="237" t="str">
        <f t="shared" si="2"/>
        <v>PRJ00021293</v>
      </c>
      <c r="D19" s="237" t="str">
        <f t="shared" si="13"/>
        <v>PROP00020174</v>
      </c>
      <c r="E19" s="237">
        <f>IF($C19="", "", COUNTIF($M$8:$M19,$D19))</f>
        <v>1</v>
      </c>
      <c r="F19" s="238">
        <v>12</v>
      </c>
      <c r="G19" s="239"/>
      <c r="H19" s="240"/>
      <c r="I19" s="240"/>
      <c r="J19" s="241"/>
      <c r="K19" s="240"/>
      <c r="L19" s="240"/>
      <c r="M19" s="240"/>
      <c r="N19" s="242"/>
      <c r="O19" s="243"/>
      <c r="P19" s="243"/>
      <c r="Q19" s="243"/>
      <c r="R19" s="243"/>
      <c r="S19" s="243"/>
      <c r="T19" s="245"/>
      <c r="U19" s="246" t="str">
        <f>IF($T19="", "", VLOOKUP($T19, CONTRATOS!$B:$E, 2, FALSE))</f>
        <v/>
      </c>
      <c r="V19" s="247">
        <f>IF(OR($T19="",TB_DEFESA!$C$2="Criação Baseline"),0,
   IF(VLOOKUP($T19, CONTRATOS!B:E, 3, FALSE)&lt;&gt;"",1,IF(VLOOKUP($T19, CONTRATOS!B:E, 4, FALSE)&lt;&gt;"",2,0)))</f>
        <v>0</v>
      </c>
      <c r="W19" s="248"/>
      <c r="X19" s="248"/>
      <c r="Y19" s="249"/>
      <c r="Z19" s="250"/>
      <c r="AA19" s="251"/>
      <c r="AB19" s="252" t="s">
        <v>1107</v>
      </c>
      <c r="AC19" s="253" t="s">
        <v>1108</v>
      </c>
      <c r="AD19" s="251">
        <v>1344.3150000000001</v>
      </c>
      <c r="AE19" s="254">
        <f t="shared" si="3"/>
        <v>0.33333333333333331</v>
      </c>
      <c r="AF19" s="256">
        <f t="shared" si="14"/>
        <v>0</v>
      </c>
      <c r="AG19" s="293" t="s">
        <v>62</v>
      </c>
      <c r="AH19" s="294" t="str">
        <f t="shared" si="15"/>
        <v>NÃO</v>
      </c>
      <c r="AI19" s="294" t="str">
        <f t="shared" si="16"/>
        <v>SIM</v>
      </c>
      <c r="AJ19" s="295" t="str">
        <f t="shared" si="17"/>
        <v>SIM</v>
      </c>
      <c r="AK19" s="296" t="str">
        <f t="shared" si="18"/>
        <v>Custo Final</v>
      </c>
      <c r="AL19" s="297" t="str">
        <f t="shared" si="19"/>
        <v>AF00006693</v>
      </c>
      <c r="AM19" s="294" t="str">
        <f t="shared" si="20"/>
        <v>SERVIÇOS</v>
      </c>
      <c r="AN19" s="294" t="str">
        <f t="shared" si="21"/>
        <v>BTSA Fixa R2</v>
      </c>
      <c r="AO19" s="298">
        <f t="shared" si="22"/>
        <v>4600042486</v>
      </c>
      <c r="AP19" s="299" t="str">
        <f t="shared" si="23"/>
        <v>IBM - Torre I - Faturamento e Mediação (Extrabaseline)</v>
      </c>
      <c r="AQ19" s="299" t="str">
        <f t="shared" si="24"/>
        <v>(OI R2) SAG</v>
      </c>
      <c r="AR19" s="300">
        <f t="shared" si="4"/>
        <v>45.57</v>
      </c>
      <c r="AS19" s="300">
        <f t="shared" si="5"/>
        <v>88.5</v>
      </c>
      <c r="AT19" s="294">
        <f t="shared" si="6"/>
        <v>4032.9450000000002</v>
      </c>
      <c r="AU19" s="301" t="str">
        <f>IF(OR($B19="", $AP19= ""),"",IF(VLOOKUP($AP19, CONTRATOS!B:K,3,FALSE)="","",VLOOKUP($AP19, CONTRATOS!B:K, 3,FALSE)))</f>
        <v/>
      </c>
      <c r="AV19" s="301" t="str">
        <f>IF(OR($B19="", $AP19 = ""), "", IF(VLOOKUP($AP19, CONTRATOS!B:K,4,FALSE)="","",VLOOKUP($AP19, CONTRATOS!B:K,4, FALSE)))</f>
        <v>IBM</v>
      </c>
      <c r="AW19" s="302">
        <f t="shared" si="7"/>
        <v>0.33333333333333331</v>
      </c>
      <c r="AX19" s="301" t="str">
        <f t="shared" si="8"/>
        <v/>
      </c>
      <c r="AY19" s="301" t="str">
        <f t="shared" si="9"/>
        <v/>
      </c>
      <c r="AZ19" s="301" t="str">
        <f t="shared" si="10"/>
        <v/>
      </c>
      <c r="BA19" s="301" t="str">
        <f t="shared" si="11"/>
        <v/>
      </c>
      <c r="BB19" s="303">
        <f t="shared" si="25"/>
        <v>19</v>
      </c>
      <c r="BC19" s="303" t="str">
        <f t="shared" si="26"/>
        <v>2017</v>
      </c>
      <c r="BD19" s="303">
        <f t="shared" si="27"/>
        <v>2</v>
      </c>
      <c r="BF19" s="304">
        <f t="shared" si="28"/>
        <v>0</v>
      </c>
      <c r="BG19" s="304">
        <f t="shared" si="29"/>
        <v>0</v>
      </c>
      <c r="BH19" s="304">
        <f>IF( $B19="", "", IF(ISNA(VLOOKUP($C19, Defesa!$C$8:$C$30,1,FALSE)),1,0))</f>
        <v>0</v>
      </c>
      <c r="BI19" s="305">
        <f t="shared" si="30"/>
        <v>0</v>
      </c>
      <c r="BJ19" s="305">
        <f t="shared" si="31"/>
        <v>0</v>
      </c>
      <c r="BK19" s="304">
        <f t="shared" si="32"/>
        <v>0</v>
      </c>
      <c r="BL19" s="304">
        <f t="shared" si="33"/>
        <v>0</v>
      </c>
      <c r="BM19" s="304">
        <f>IF($AC19="", "", IF(ISNA(VLOOKUP($AC19, TABELAS!$Q:$Q, 1, FALSE)), 1, 0))</f>
        <v>0</v>
      </c>
      <c r="BN19" s="306">
        <f t="shared" si="34"/>
        <v>0</v>
      </c>
      <c r="BO19" s="304">
        <f t="shared" si="35"/>
        <v>0</v>
      </c>
      <c r="BP19" s="304">
        <f t="shared" si="36"/>
        <v>0</v>
      </c>
      <c r="BQ19" s="305">
        <f t="shared" si="37"/>
        <v>0</v>
      </c>
      <c r="BR19" s="304">
        <f t="shared" si="38"/>
        <v>0</v>
      </c>
      <c r="BS19" s="304">
        <f t="shared" si="39"/>
        <v>0</v>
      </c>
      <c r="BT19" s="304">
        <f>IF(OR($B19="", $AH19 = "SIM"), "", IF( ISNA(VLOOKUP($AP19,#REF!, 1, FALSE)), 1, 0))</f>
        <v>0</v>
      </c>
      <c r="BU19" s="304">
        <f t="shared" si="40"/>
        <v>0</v>
      </c>
      <c r="BV19" s="304">
        <f>IF( $B19="", "", IF( ISNA(VLOOKUP($AN19, TABELAS!$T$2:$T$9,1,FALSE)), 1, 0))</f>
        <v>0</v>
      </c>
      <c r="BW19" s="304">
        <f t="shared" si="41"/>
        <v>0</v>
      </c>
      <c r="BX19" s="304">
        <f>IF( OR($B19="", $AH19 = "SIM"), "", IF( ISNA( VLOOKUP( $AQ19, SISTEMA!$B:$B, 1, FALSE)), 1, 0))</f>
        <v>0</v>
      </c>
      <c r="BY19" s="305">
        <f t="shared" si="42"/>
        <v>0</v>
      </c>
      <c r="BZ19" s="305">
        <f t="shared" si="43"/>
        <v>0</v>
      </c>
      <c r="CA19" s="304">
        <f t="shared" si="44"/>
        <v>0</v>
      </c>
      <c r="CB19" s="305">
        <f t="shared" si="45"/>
        <v>0</v>
      </c>
      <c r="CC19" s="305">
        <f t="shared" si="46"/>
        <v>0</v>
      </c>
      <c r="CD19" s="305">
        <f t="shared" si="47"/>
        <v>0</v>
      </c>
    </row>
    <row r="20" spans="1:82" x14ac:dyDescent="0.2">
      <c r="A20" s="235"/>
      <c r="B20" s="236" t="str">
        <f t="shared" si="12"/>
        <v/>
      </c>
      <c r="C20" s="237" t="str">
        <f t="shared" si="2"/>
        <v/>
      </c>
      <c r="D20" s="237" t="str">
        <f t="shared" si="13"/>
        <v/>
      </c>
      <c r="E20" s="237" t="str">
        <f>IF($C20="", "", COUNTIF($M$8:$M20,$D20))</f>
        <v/>
      </c>
      <c r="F20" s="238">
        <v>13</v>
      </c>
      <c r="G20" s="239"/>
      <c r="H20" s="240"/>
      <c r="I20" s="240"/>
      <c r="J20" s="241"/>
      <c r="K20" s="240"/>
      <c r="L20" s="240"/>
      <c r="M20" s="240"/>
      <c r="N20" s="242"/>
      <c r="O20" s="243"/>
      <c r="P20" s="243"/>
      <c r="Q20" s="243"/>
      <c r="R20" s="243"/>
      <c r="S20" s="243"/>
      <c r="T20" s="245"/>
      <c r="U20" s="246" t="str">
        <f>IF($T20="", "", VLOOKUP($T20, CONTRATOS!$B:$E, 2, FALSE))</f>
        <v/>
      </c>
      <c r="V20" s="247">
        <f>IF(OR($T20="",TB_DEFESA!$C$2="Criação Baseline"),0,
   IF(VLOOKUP($T20, CONTRATOS!B:E, 3, FALSE)&lt;&gt;"",1,IF(VLOOKUP($T20, CONTRATOS!B:E, 4, FALSE)&lt;&gt;"",2,0)))</f>
        <v>0</v>
      </c>
      <c r="W20" s="248"/>
      <c r="X20" s="248"/>
      <c r="Y20" s="249"/>
      <c r="Z20" s="250"/>
      <c r="AA20" s="251"/>
      <c r="AB20" s="252"/>
      <c r="AC20" s="253"/>
      <c r="AD20" s="251"/>
      <c r="AE20" s="254" t="str">
        <f t="shared" si="3"/>
        <v/>
      </c>
      <c r="AF20" s="256" t="str">
        <f t="shared" si="14"/>
        <v/>
      </c>
      <c r="AG20" s="293" t="s">
        <v>62</v>
      </c>
      <c r="AH20" s="294" t="str">
        <f t="shared" si="15"/>
        <v/>
      </c>
      <c r="AI20" s="294" t="str">
        <f t="shared" si="16"/>
        <v/>
      </c>
      <c r="AJ20" s="295" t="str">
        <f t="shared" si="17"/>
        <v/>
      </c>
      <c r="AK20" s="296" t="str">
        <f t="shared" si="18"/>
        <v/>
      </c>
      <c r="AL20" s="297" t="str">
        <f t="shared" si="19"/>
        <v/>
      </c>
      <c r="AM20" s="294" t="str">
        <f t="shared" si="20"/>
        <v/>
      </c>
      <c r="AN20" s="294" t="str">
        <f t="shared" si="21"/>
        <v/>
      </c>
      <c r="AO20" s="298" t="str">
        <f t="shared" si="22"/>
        <v/>
      </c>
      <c r="AP20" s="299" t="str">
        <f t="shared" si="23"/>
        <v/>
      </c>
      <c r="AQ20" s="299" t="str">
        <f t="shared" si="24"/>
        <v/>
      </c>
      <c r="AR20" s="300" t="str">
        <f t="shared" si="4"/>
        <v/>
      </c>
      <c r="AS20" s="300" t="str">
        <f t="shared" si="5"/>
        <v/>
      </c>
      <c r="AT20" s="294" t="str">
        <f t="shared" si="6"/>
        <v/>
      </c>
      <c r="AU20" s="301" t="str">
        <f>IF(OR($B20="", $AP20= ""),"",IF(VLOOKUP($AP20, CONTRATOS!B:K,3,FALSE)="","",VLOOKUP($AP20, CONTRATOS!B:K, 3,FALSE)))</f>
        <v/>
      </c>
      <c r="AV20" s="301" t="str">
        <f>IF(OR($B20="", $AP20 = ""), "", IF(VLOOKUP($AP20, CONTRATOS!B:K,4,FALSE)="","",VLOOKUP($AP20, CONTRATOS!B:K,4, FALSE)))</f>
        <v/>
      </c>
      <c r="AW20" s="302" t="str">
        <f t="shared" si="7"/>
        <v/>
      </c>
      <c r="AX20" s="301" t="str">
        <f t="shared" si="8"/>
        <v/>
      </c>
      <c r="AY20" s="301" t="str">
        <f t="shared" si="9"/>
        <v/>
      </c>
      <c r="AZ20" s="301" t="str">
        <f t="shared" si="10"/>
        <v/>
      </c>
      <c r="BA20" s="301" t="str">
        <f t="shared" si="11"/>
        <v/>
      </c>
      <c r="BB20" s="303">
        <f t="shared" si="25"/>
        <v>0</v>
      </c>
      <c r="BC20" s="303" t="str">
        <f t="shared" si="26"/>
        <v/>
      </c>
      <c r="BD20" s="303" t="str">
        <f t="shared" si="27"/>
        <v/>
      </c>
      <c r="BF20" s="304">
        <f t="shared" si="28"/>
        <v>0</v>
      </c>
      <c r="BG20" s="304">
        <f t="shared" si="29"/>
        <v>0</v>
      </c>
      <c r="BH20" s="304" t="str">
        <f>IF( $B20="", "", IF(ISNA(VLOOKUP($C20, Defesa!$C$8:$C$30,1,FALSE)),1,0))</f>
        <v/>
      </c>
      <c r="BI20" s="305" t="str">
        <f t="shared" si="30"/>
        <v/>
      </c>
      <c r="BJ20" s="305" t="str">
        <f t="shared" si="31"/>
        <v/>
      </c>
      <c r="BK20" s="304" t="str">
        <f t="shared" si="32"/>
        <v/>
      </c>
      <c r="BL20" s="304">
        <f t="shared" si="33"/>
        <v>0</v>
      </c>
      <c r="BM20" s="304" t="str">
        <f>IF($AC20="", "", IF(ISNA(VLOOKUP($AC20, TABELAS!$Q:$Q, 1, FALSE)), 1, 0))</f>
        <v/>
      </c>
      <c r="BN20" s="306" t="str">
        <f t="shared" si="34"/>
        <v/>
      </c>
      <c r="BO20" s="304" t="str">
        <f t="shared" si="35"/>
        <v/>
      </c>
      <c r="BP20" s="304" t="str">
        <f t="shared" si="36"/>
        <v/>
      </c>
      <c r="BQ20" s="305" t="str">
        <f t="shared" si="37"/>
        <v/>
      </c>
      <c r="BR20" s="304" t="str">
        <f t="shared" si="38"/>
        <v/>
      </c>
      <c r="BS20" s="304" t="str">
        <f t="shared" si="39"/>
        <v/>
      </c>
      <c r="BT20" s="304" t="str">
        <f>IF(OR($B20="", $AH20 = "SIM"), "", IF( ISNA(VLOOKUP($AP20,#REF!, 1, FALSE)), 1, 0))</f>
        <v/>
      </c>
      <c r="BU20" s="304" t="str">
        <f t="shared" si="40"/>
        <v/>
      </c>
      <c r="BV20" s="304" t="str">
        <f>IF( $B20="", "", IF( ISNA(VLOOKUP($AN20, TABELAS!$T$2:$T$9,1,FALSE)), 1, 0))</f>
        <v/>
      </c>
      <c r="BW20" s="304" t="str">
        <f t="shared" si="41"/>
        <v/>
      </c>
      <c r="BX20" s="304" t="str">
        <f>IF( OR($B20="", $AH20 = "SIM"), "", IF( ISNA( VLOOKUP( $AQ20, SISTEMA!$B:$B, 1, FALSE)), 1, 0))</f>
        <v/>
      </c>
      <c r="BY20" s="305" t="str">
        <f t="shared" si="42"/>
        <v/>
      </c>
      <c r="BZ20" s="305" t="str">
        <f t="shared" si="43"/>
        <v/>
      </c>
      <c r="CA20" s="304" t="str">
        <f t="shared" si="44"/>
        <v/>
      </c>
      <c r="CB20" s="305" t="str">
        <f t="shared" si="45"/>
        <v/>
      </c>
      <c r="CC20" s="305" t="str">
        <f t="shared" si="46"/>
        <v/>
      </c>
      <c r="CD20" s="305" t="str">
        <f t="shared" si="47"/>
        <v/>
      </c>
    </row>
    <row r="21" spans="1:82" x14ac:dyDescent="0.2">
      <c r="A21" s="235"/>
      <c r="B21" s="236" t="str">
        <f t="shared" si="12"/>
        <v/>
      </c>
      <c r="C21" s="237" t="str">
        <f t="shared" si="2"/>
        <v/>
      </c>
      <c r="D21" s="237" t="str">
        <f t="shared" si="13"/>
        <v/>
      </c>
      <c r="E21" s="237" t="str">
        <f>IF($C21="", "", COUNTIF($M$8:$M21,$D21))</f>
        <v/>
      </c>
      <c r="F21" s="238">
        <v>14</v>
      </c>
      <c r="G21" s="239"/>
      <c r="H21" s="240"/>
      <c r="I21" s="240"/>
      <c r="J21" s="241"/>
      <c r="K21" s="240"/>
      <c r="L21" s="240"/>
      <c r="M21" s="240"/>
      <c r="N21" s="242"/>
      <c r="O21" s="243"/>
      <c r="P21" s="243"/>
      <c r="Q21" s="243"/>
      <c r="R21" s="243"/>
      <c r="S21" s="243"/>
      <c r="T21" s="245"/>
      <c r="U21" s="246" t="str">
        <f>IF($T21="", "", VLOOKUP($T21, CONTRATOS!$B:$E, 2, FALSE))</f>
        <v/>
      </c>
      <c r="V21" s="247">
        <f>IF(OR($T21="",TB_DEFESA!$C$2="Criação Baseline"),0,
   IF(VLOOKUP($T21, CONTRATOS!B:E, 3, FALSE)&lt;&gt;"",1,IF(VLOOKUP($T21, CONTRATOS!B:E, 4, FALSE)&lt;&gt;"",2,0)))</f>
        <v>0</v>
      </c>
      <c r="W21" s="248"/>
      <c r="X21" s="248"/>
      <c r="Y21" s="249"/>
      <c r="Z21" s="250"/>
      <c r="AA21" s="251"/>
      <c r="AB21" s="252"/>
      <c r="AC21" s="253"/>
      <c r="AD21" s="251"/>
      <c r="AE21" s="254" t="str">
        <f t="shared" si="3"/>
        <v/>
      </c>
      <c r="AF21" s="256" t="str">
        <f t="shared" si="14"/>
        <v/>
      </c>
      <c r="AG21" s="293" t="s">
        <v>62</v>
      </c>
      <c r="AH21" s="294" t="str">
        <f t="shared" si="15"/>
        <v/>
      </c>
      <c r="AI21" s="294" t="str">
        <f t="shared" si="16"/>
        <v/>
      </c>
      <c r="AJ21" s="295" t="str">
        <f t="shared" si="17"/>
        <v/>
      </c>
      <c r="AK21" s="296" t="str">
        <f t="shared" si="18"/>
        <v/>
      </c>
      <c r="AL21" s="297" t="str">
        <f t="shared" si="19"/>
        <v/>
      </c>
      <c r="AM21" s="294" t="str">
        <f t="shared" si="20"/>
        <v/>
      </c>
      <c r="AN21" s="294" t="str">
        <f t="shared" si="21"/>
        <v/>
      </c>
      <c r="AO21" s="298" t="str">
        <f t="shared" si="22"/>
        <v/>
      </c>
      <c r="AP21" s="299" t="str">
        <f t="shared" si="23"/>
        <v/>
      </c>
      <c r="AQ21" s="299" t="str">
        <f t="shared" si="24"/>
        <v/>
      </c>
      <c r="AR21" s="300" t="str">
        <f t="shared" si="4"/>
        <v/>
      </c>
      <c r="AS21" s="300" t="str">
        <f t="shared" si="5"/>
        <v/>
      </c>
      <c r="AT21" s="294" t="str">
        <f t="shared" si="6"/>
        <v/>
      </c>
      <c r="AU21" s="301" t="str">
        <f>IF(OR($B21="", $AP21= ""),"",IF(VLOOKUP($AP21, CONTRATOS!B:K,3,FALSE)="","",VLOOKUP($AP21, CONTRATOS!B:K, 3,FALSE)))</f>
        <v/>
      </c>
      <c r="AV21" s="301" t="str">
        <f>IF(OR($B21="", $AP21 = ""), "", IF(VLOOKUP($AP21, CONTRATOS!B:K,4,FALSE)="","",VLOOKUP($AP21, CONTRATOS!B:K,4, FALSE)))</f>
        <v/>
      </c>
      <c r="AW21" s="302" t="str">
        <f t="shared" si="7"/>
        <v/>
      </c>
      <c r="AX21" s="301" t="str">
        <f t="shared" si="8"/>
        <v/>
      </c>
      <c r="AY21" s="301" t="str">
        <f t="shared" si="9"/>
        <v/>
      </c>
      <c r="AZ21" s="301" t="str">
        <f t="shared" si="10"/>
        <v/>
      </c>
      <c r="BA21" s="301" t="str">
        <f t="shared" si="11"/>
        <v/>
      </c>
      <c r="BB21" s="303">
        <f t="shared" si="25"/>
        <v>0</v>
      </c>
      <c r="BC21" s="303" t="str">
        <f t="shared" si="26"/>
        <v/>
      </c>
      <c r="BD21" s="303" t="str">
        <f t="shared" si="27"/>
        <v/>
      </c>
      <c r="BF21" s="304">
        <f t="shared" si="28"/>
        <v>0</v>
      </c>
      <c r="BG21" s="304">
        <f t="shared" si="29"/>
        <v>0</v>
      </c>
      <c r="BH21" s="304" t="str">
        <f>IF( $B21="", "", IF(ISNA(VLOOKUP($C21, Defesa!$C$8:$C$30,1,FALSE)),1,0))</f>
        <v/>
      </c>
      <c r="BI21" s="305" t="str">
        <f t="shared" si="30"/>
        <v/>
      </c>
      <c r="BJ21" s="305" t="str">
        <f t="shared" si="31"/>
        <v/>
      </c>
      <c r="BK21" s="304" t="str">
        <f t="shared" si="32"/>
        <v/>
      </c>
      <c r="BL21" s="304">
        <f t="shared" si="33"/>
        <v>0</v>
      </c>
      <c r="BM21" s="304" t="str">
        <f>IF($AC21="", "", IF(ISNA(VLOOKUP($AC21, TABELAS!$Q:$Q, 1, FALSE)), 1, 0))</f>
        <v/>
      </c>
      <c r="BN21" s="306" t="str">
        <f t="shared" si="34"/>
        <v/>
      </c>
      <c r="BO21" s="304" t="str">
        <f t="shared" si="35"/>
        <v/>
      </c>
      <c r="BP21" s="304" t="str">
        <f t="shared" si="36"/>
        <v/>
      </c>
      <c r="BQ21" s="305" t="str">
        <f t="shared" si="37"/>
        <v/>
      </c>
      <c r="BR21" s="304" t="str">
        <f t="shared" si="38"/>
        <v/>
      </c>
      <c r="BS21" s="304" t="str">
        <f t="shared" si="39"/>
        <v/>
      </c>
      <c r="BT21" s="304" t="str">
        <f>IF(OR($B21="", $AH21 = "SIM"), "", IF( ISNA(VLOOKUP($AP21,#REF!, 1, FALSE)), 1, 0))</f>
        <v/>
      </c>
      <c r="BU21" s="304" t="str">
        <f t="shared" si="40"/>
        <v/>
      </c>
      <c r="BV21" s="304" t="str">
        <f>IF( $B21="", "", IF( ISNA(VLOOKUP($AN21, TABELAS!$T$2:$T$9,1,FALSE)), 1, 0))</f>
        <v/>
      </c>
      <c r="BW21" s="304" t="str">
        <f t="shared" si="41"/>
        <v/>
      </c>
      <c r="BX21" s="304" t="str">
        <f>IF( OR($B21="", $AH21 = "SIM"), "", IF( ISNA( VLOOKUP( $AQ21, SISTEMA!$B:$B, 1, FALSE)), 1, 0))</f>
        <v/>
      </c>
      <c r="BY21" s="305" t="str">
        <f t="shared" si="42"/>
        <v/>
      </c>
      <c r="BZ21" s="305" t="str">
        <f t="shared" si="43"/>
        <v/>
      </c>
      <c r="CA21" s="304" t="str">
        <f t="shared" si="44"/>
        <v/>
      </c>
      <c r="CB21" s="305" t="str">
        <f t="shared" si="45"/>
        <v/>
      </c>
      <c r="CC21" s="305" t="str">
        <f t="shared" si="46"/>
        <v/>
      </c>
      <c r="CD21" s="305" t="str">
        <f t="shared" si="47"/>
        <v/>
      </c>
    </row>
    <row r="22" spans="1:82" x14ac:dyDescent="0.2">
      <c r="A22" s="235"/>
      <c r="B22" s="236" t="str">
        <f t="shared" si="12"/>
        <v/>
      </c>
      <c r="C22" s="237" t="str">
        <f t="shared" si="2"/>
        <v/>
      </c>
      <c r="D22" s="237" t="str">
        <f t="shared" si="13"/>
        <v/>
      </c>
      <c r="E22" s="237" t="str">
        <f>IF($C22="", "", COUNTIF($M$8:$M22,$D22))</f>
        <v/>
      </c>
      <c r="F22" s="238">
        <v>15</v>
      </c>
      <c r="G22" s="239"/>
      <c r="H22" s="240"/>
      <c r="I22" s="240"/>
      <c r="J22" s="241"/>
      <c r="K22" s="240"/>
      <c r="L22" s="240"/>
      <c r="M22" s="240"/>
      <c r="N22" s="242"/>
      <c r="O22" s="243"/>
      <c r="P22" s="243"/>
      <c r="Q22" s="243"/>
      <c r="R22" s="243"/>
      <c r="S22" s="243"/>
      <c r="T22" s="245"/>
      <c r="U22" s="246" t="str">
        <f>IF($T22="", "", VLOOKUP($T22, CONTRATOS!$B:$E, 2, FALSE))</f>
        <v/>
      </c>
      <c r="V22" s="247">
        <f>IF(OR($T22="",TB_DEFESA!$C$2="Criação Baseline"),0,
   IF(VLOOKUP($T22, CONTRATOS!B:E, 3, FALSE)&lt;&gt;"",1,IF(VLOOKUP($T22, CONTRATOS!B:E, 4, FALSE)&lt;&gt;"",2,0)))</f>
        <v>0</v>
      </c>
      <c r="W22" s="248"/>
      <c r="X22" s="248"/>
      <c r="Y22" s="249"/>
      <c r="Z22" s="250"/>
      <c r="AA22" s="251"/>
      <c r="AB22" s="252"/>
      <c r="AC22" s="253"/>
      <c r="AD22" s="251"/>
      <c r="AE22" s="254" t="str">
        <f t="shared" si="3"/>
        <v/>
      </c>
      <c r="AF22" s="256" t="str">
        <f t="shared" si="14"/>
        <v/>
      </c>
      <c r="AG22" s="293" t="s">
        <v>62</v>
      </c>
      <c r="AH22" s="294" t="str">
        <f t="shared" si="15"/>
        <v/>
      </c>
      <c r="AI22" s="294" t="str">
        <f t="shared" si="16"/>
        <v/>
      </c>
      <c r="AJ22" s="295" t="str">
        <f t="shared" si="17"/>
        <v/>
      </c>
      <c r="AK22" s="296" t="str">
        <f t="shared" si="18"/>
        <v/>
      </c>
      <c r="AL22" s="297" t="str">
        <f t="shared" si="19"/>
        <v/>
      </c>
      <c r="AM22" s="294" t="str">
        <f t="shared" si="20"/>
        <v/>
      </c>
      <c r="AN22" s="294" t="str">
        <f t="shared" si="21"/>
        <v/>
      </c>
      <c r="AO22" s="298" t="str">
        <f t="shared" si="22"/>
        <v/>
      </c>
      <c r="AP22" s="299" t="str">
        <f t="shared" si="23"/>
        <v/>
      </c>
      <c r="AQ22" s="299" t="str">
        <f t="shared" si="24"/>
        <v/>
      </c>
      <c r="AR22" s="300" t="str">
        <f t="shared" si="4"/>
        <v/>
      </c>
      <c r="AS22" s="300" t="str">
        <f t="shared" si="5"/>
        <v/>
      </c>
      <c r="AT22" s="294" t="str">
        <f t="shared" si="6"/>
        <v/>
      </c>
      <c r="AU22" s="301" t="str">
        <f>IF(OR($B22="", $AP22= ""),"",IF(VLOOKUP($AP22, CONTRATOS!B:K,3,FALSE)="","",VLOOKUP($AP22, CONTRATOS!B:K, 3,FALSE)))</f>
        <v/>
      </c>
      <c r="AV22" s="301" t="str">
        <f>IF(OR($B22="", $AP22 = ""), "", IF(VLOOKUP($AP22, CONTRATOS!B:K,4,FALSE)="","",VLOOKUP($AP22, CONTRATOS!B:K,4, FALSE)))</f>
        <v/>
      </c>
      <c r="AW22" s="302" t="str">
        <f t="shared" si="7"/>
        <v/>
      </c>
      <c r="AX22" s="301" t="str">
        <f t="shared" si="8"/>
        <v/>
      </c>
      <c r="AY22" s="301" t="str">
        <f t="shared" si="9"/>
        <v/>
      </c>
      <c r="AZ22" s="301" t="str">
        <f t="shared" si="10"/>
        <v/>
      </c>
      <c r="BA22" s="301" t="str">
        <f t="shared" si="11"/>
        <v/>
      </c>
      <c r="BB22" s="303">
        <f t="shared" si="25"/>
        <v>0</v>
      </c>
      <c r="BC22" s="303" t="str">
        <f t="shared" si="26"/>
        <v/>
      </c>
      <c r="BD22" s="303" t="str">
        <f t="shared" si="27"/>
        <v/>
      </c>
      <c r="BF22" s="304">
        <f t="shared" si="28"/>
        <v>0</v>
      </c>
      <c r="BG22" s="304">
        <f t="shared" si="29"/>
        <v>0</v>
      </c>
      <c r="BH22" s="304" t="str">
        <f>IF( $B22="", "", IF(ISNA(VLOOKUP($C22, Defesa!$C$8:$C$30,1,FALSE)),1,0))</f>
        <v/>
      </c>
      <c r="BI22" s="305" t="str">
        <f t="shared" si="30"/>
        <v/>
      </c>
      <c r="BJ22" s="305" t="str">
        <f t="shared" si="31"/>
        <v/>
      </c>
      <c r="BK22" s="304" t="str">
        <f t="shared" si="32"/>
        <v/>
      </c>
      <c r="BL22" s="304">
        <f t="shared" si="33"/>
        <v>0</v>
      </c>
      <c r="BM22" s="304" t="str">
        <f>IF($AC22="", "", IF(ISNA(VLOOKUP($AC22, TABELAS!$Q:$Q, 1, FALSE)), 1, 0))</f>
        <v/>
      </c>
      <c r="BN22" s="306" t="str">
        <f t="shared" si="34"/>
        <v/>
      </c>
      <c r="BO22" s="304" t="str">
        <f t="shared" si="35"/>
        <v/>
      </c>
      <c r="BP22" s="304" t="str">
        <f t="shared" si="36"/>
        <v/>
      </c>
      <c r="BQ22" s="305" t="str">
        <f t="shared" si="37"/>
        <v/>
      </c>
      <c r="BR22" s="304" t="str">
        <f t="shared" si="38"/>
        <v/>
      </c>
      <c r="BS22" s="304" t="str">
        <f t="shared" si="39"/>
        <v/>
      </c>
      <c r="BT22" s="304" t="str">
        <f>IF(OR($B22="", $AH22 = "SIM"), "", IF( ISNA(VLOOKUP($AP22,#REF!, 1, FALSE)), 1, 0))</f>
        <v/>
      </c>
      <c r="BU22" s="304" t="str">
        <f t="shared" si="40"/>
        <v/>
      </c>
      <c r="BV22" s="304" t="str">
        <f>IF( $B22="", "", IF( ISNA(VLOOKUP($AN22, TABELAS!$T$2:$T$9,1,FALSE)), 1, 0))</f>
        <v/>
      </c>
      <c r="BW22" s="304" t="str">
        <f t="shared" si="41"/>
        <v/>
      </c>
      <c r="BX22" s="304" t="str">
        <f>IF( OR($B22="", $AH22 = "SIM"), "", IF( ISNA( VLOOKUP( $AQ22, SISTEMA!$B:$B, 1, FALSE)), 1, 0))</f>
        <v/>
      </c>
      <c r="BY22" s="305" t="str">
        <f t="shared" si="42"/>
        <v/>
      </c>
      <c r="BZ22" s="305" t="str">
        <f t="shared" si="43"/>
        <v/>
      </c>
      <c r="CA22" s="304" t="str">
        <f t="shared" si="44"/>
        <v/>
      </c>
      <c r="CB22" s="305" t="str">
        <f t="shared" si="45"/>
        <v/>
      </c>
      <c r="CC22" s="305" t="str">
        <f t="shared" si="46"/>
        <v/>
      </c>
      <c r="CD22" s="305" t="str">
        <f t="shared" si="47"/>
        <v/>
      </c>
    </row>
    <row r="23" spans="1:82" x14ac:dyDescent="0.2">
      <c r="A23" s="235"/>
      <c r="B23" s="236" t="str">
        <f t="shared" si="12"/>
        <v/>
      </c>
      <c r="C23" s="237" t="str">
        <f t="shared" si="2"/>
        <v/>
      </c>
      <c r="D23" s="237" t="str">
        <f t="shared" si="13"/>
        <v/>
      </c>
      <c r="E23" s="237" t="str">
        <f>IF($C23="", "", COUNTIF($M$8:$M23,$D23))</f>
        <v/>
      </c>
      <c r="F23" s="238">
        <v>16</v>
      </c>
      <c r="G23" s="239"/>
      <c r="H23" s="240"/>
      <c r="I23" s="240"/>
      <c r="J23" s="241"/>
      <c r="K23" s="240"/>
      <c r="L23" s="240"/>
      <c r="M23" s="240"/>
      <c r="N23" s="242"/>
      <c r="O23" s="243"/>
      <c r="P23" s="243"/>
      <c r="Q23" s="243"/>
      <c r="R23" s="243"/>
      <c r="S23" s="243"/>
      <c r="T23" s="245"/>
      <c r="U23" s="246" t="str">
        <f>IF($T23="", "", VLOOKUP($T23, CONTRATOS!$B:$E, 2, FALSE))</f>
        <v/>
      </c>
      <c r="V23" s="247">
        <f>IF(OR($T23="",TB_DEFESA!$C$2="Criação Baseline"),0,
   IF(VLOOKUP($T23, CONTRATOS!B:E, 3, FALSE)&lt;&gt;"",1,IF(VLOOKUP($T23, CONTRATOS!B:E, 4, FALSE)&lt;&gt;"",2,0)))</f>
        <v>0</v>
      </c>
      <c r="W23" s="248"/>
      <c r="X23" s="248"/>
      <c r="Y23" s="249"/>
      <c r="Z23" s="250"/>
      <c r="AA23" s="251"/>
      <c r="AB23" s="252"/>
      <c r="AC23" s="253"/>
      <c r="AD23" s="251"/>
      <c r="AE23" s="254" t="str">
        <f t="shared" si="3"/>
        <v/>
      </c>
      <c r="AF23" s="256" t="str">
        <f t="shared" si="14"/>
        <v/>
      </c>
      <c r="AG23" s="293" t="s">
        <v>62</v>
      </c>
      <c r="AH23" s="294" t="str">
        <f t="shared" si="15"/>
        <v/>
      </c>
      <c r="AI23" s="294" t="str">
        <f t="shared" si="16"/>
        <v/>
      </c>
      <c r="AJ23" s="295" t="str">
        <f t="shared" si="17"/>
        <v/>
      </c>
      <c r="AK23" s="296" t="str">
        <f t="shared" si="18"/>
        <v/>
      </c>
      <c r="AL23" s="297" t="str">
        <f t="shared" si="19"/>
        <v/>
      </c>
      <c r="AM23" s="294" t="str">
        <f t="shared" si="20"/>
        <v/>
      </c>
      <c r="AN23" s="294" t="str">
        <f t="shared" si="21"/>
        <v/>
      </c>
      <c r="AO23" s="298" t="str">
        <f t="shared" si="22"/>
        <v/>
      </c>
      <c r="AP23" s="299" t="str">
        <f t="shared" si="23"/>
        <v/>
      </c>
      <c r="AQ23" s="299" t="str">
        <f t="shared" si="24"/>
        <v/>
      </c>
      <c r="AR23" s="300" t="str">
        <f t="shared" si="4"/>
        <v/>
      </c>
      <c r="AS23" s="300" t="str">
        <f t="shared" si="5"/>
        <v/>
      </c>
      <c r="AT23" s="294" t="str">
        <f t="shared" si="6"/>
        <v/>
      </c>
      <c r="AU23" s="301" t="str">
        <f>IF(OR($B23="", $AP23= ""),"",IF(VLOOKUP($AP23, CONTRATOS!B:K,3,FALSE)="","",VLOOKUP($AP23, CONTRATOS!B:K, 3,FALSE)))</f>
        <v/>
      </c>
      <c r="AV23" s="301" t="str">
        <f>IF(OR($B23="", $AP23 = ""), "", IF(VLOOKUP($AP23, CONTRATOS!B:K,4,FALSE)="","",VLOOKUP($AP23, CONTRATOS!B:K,4, FALSE)))</f>
        <v/>
      </c>
      <c r="AW23" s="302" t="str">
        <f t="shared" si="7"/>
        <v/>
      </c>
      <c r="AX23" s="301" t="str">
        <f t="shared" si="8"/>
        <v/>
      </c>
      <c r="AY23" s="301" t="str">
        <f t="shared" si="9"/>
        <v/>
      </c>
      <c r="AZ23" s="301" t="str">
        <f t="shared" si="10"/>
        <v/>
      </c>
      <c r="BA23" s="301" t="str">
        <f t="shared" si="11"/>
        <v/>
      </c>
      <c r="BB23" s="303">
        <f t="shared" si="25"/>
        <v>0</v>
      </c>
      <c r="BC23" s="303" t="str">
        <f t="shared" si="26"/>
        <v/>
      </c>
      <c r="BD23" s="303" t="str">
        <f t="shared" si="27"/>
        <v/>
      </c>
      <c r="BF23" s="304">
        <f t="shared" si="28"/>
        <v>0</v>
      </c>
      <c r="BG23" s="304">
        <f t="shared" si="29"/>
        <v>0</v>
      </c>
      <c r="BH23" s="304" t="str">
        <f>IF( $B23="", "", IF(ISNA(VLOOKUP($C23, Defesa!$C$8:$C$30,1,FALSE)),1,0))</f>
        <v/>
      </c>
      <c r="BI23" s="305" t="str">
        <f t="shared" si="30"/>
        <v/>
      </c>
      <c r="BJ23" s="305" t="str">
        <f t="shared" si="31"/>
        <v/>
      </c>
      <c r="BK23" s="304" t="str">
        <f t="shared" si="32"/>
        <v/>
      </c>
      <c r="BL23" s="304">
        <f t="shared" si="33"/>
        <v>0</v>
      </c>
      <c r="BM23" s="304" t="str">
        <f>IF($AC23="", "", IF(ISNA(VLOOKUP($AC23, TABELAS!$Q:$Q, 1, FALSE)), 1, 0))</f>
        <v/>
      </c>
      <c r="BN23" s="306" t="str">
        <f t="shared" si="34"/>
        <v/>
      </c>
      <c r="BO23" s="304" t="str">
        <f t="shared" si="35"/>
        <v/>
      </c>
      <c r="BP23" s="304" t="str">
        <f t="shared" si="36"/>
        <v/>
      </c>
      <c r="BQ23" s="305" t="str">
        <f t="shared" si="37"/>
        <v/>
      </c>
      <c r="BR23" s="304" t="str">
        <f t="shared" si="38"/>
        <v/>
      </c>
      <c r="BS23" s="304" t="str">
        <f t="shared" si="39"/>
        <v/>
      </c>
      <c r="BT23" s="304" t="str">
        <f>IF(OR($B23="", $AH23 = "SIM"), "", IF( ISNA(VLOOKUP($AP23,#REF!, 1, FALSE)), 1, 0))</f>
        <v/>
      </c>
      <c r="BU23" s="304" t="str">
        <f t="shared" si="40"/>
        <v/>
      </c>
      <c r="BV23" s="304" t="str">
        <f>IF( $B23="", "", IF( ISNA(VLOOKUP($AN23, TABELAS!$T$2:$T$9,1,FALSE)), 1, 0))</f>
        <v/>
      </c>
      <c r="BW23" s="304" t="str">
        <f t="shared" si="41"/>
        <v/>
      </c>
      <c r="BX23" s="304" t="str">
        <f>IF( OR($B23="", $AH23 = "SIM"), "", IF( ISNA( VLOOKUP( $AQ23, SISTEMA!$B:$B, 1, FALSE)), 1, 0))</f>
        <v/>
      </c>
      <c r="BY23" s="305" t="str">
        <f t="shared" si="42"/>
        <v/>
      </c>
      <c r="BZ23" s="305" t="str">
        <f t="shared" si="43"/>
        <v/>
      </c>
      <c r="CA23" s="304" t="str">
        <f t="shared" si="44"/>
        <v/>
      </c>
      <c r="CB23" s="305" t="str">
        <f t="shared" si="45"/>
        <v/>
      </c>
      <c r="CC23" s="305" t="str">
        <f t="shared" si="46"/>
        <v/>
      </c>
      <c r="CD23" s="305" t="str">
        <f t="shared" si="47"/>
        <v/>
      </c>
    </row>
    <row r="24" spans="1:82" x14ac:dyDescent="0.2">
      <c r="A24" s="235"/>
      <c r="B24" s="236" t="str">
        <f t="shared" si="12"/>
        <v/>
      </c>
      <c r="C24" s="237" t="str">
        <f t="shared" si="2"/>
        <v/>
      </c>
      <c r="D24" s="237" t="str">
        <f t="shared" si="13"/>
        <v/>
      </c>
      <c r="E24" s="237" t="str">
        <f>IF($C24="", "", COUNTIF($M$8:$M24,$D24))</f>
        <v/>
      </c>
      <c r="F24" s="238">
        <v>17</v>
      </c>
      <c r="G24" s="239"/>
      <c r="H24" s="240"/>
      <c r="I24" s="240"/>
      <c r="J24" s="241"/>
      <c r="K24" s="240"/>
      <c r="L24" s="240"/>
      <c r="M24" s="240"/>
      <c r="N24" s="242"/>
      <c r="O24" s="243"/>
      <c r="P24" s="243"/>
      <c r="Q24" s="243"/>
      <c r="R24" s="243"/>
      <c r="S24" s="243"/>
      <c r="T24" s="245"/>
      <c r="U24" s="246" t="str">
        <f>IF($T24="", "", VLOOKUP($T24, CONTRATOS!$B:$E, 2, FALSE))</f>
        <v/>
      </c>
      <c r="V24" s="247">
        <f>IF(OR($T24="",TB_DEFESA!$C$2="Criação Baseline"),0,
   IF(VLOOKUP($T24, CONTRATOS!B:E, 3, FALSE)&lt;&gt;"",1,IF(VLOOKUP($T24, CONTRATOS!B:E, 4, FALSE)&lt;&gt;"",2,0)))</f>
        <v>0</v>
      </c>
      <c r="W24" s="248"/>
      <c r="X24" s="248"/>
      <c r="Y24" s="249"/>
      <c r="Z24" s="250"/>
      <c r="AA24" s="251"/>
      <c r="AB24" s="252"/>
      <c r="AC24" s="253"/>
      <c r="AD24" s="251"/>
      <c r="AE24" s="254" t="str">
        <f t="shared" si="3"/>
        <v/>
      </c>
      <c r="AF24" s="256" t="str">
        <f t="shared" si="14"/>
        <v/>
      </c>
      <c r="AG24" s="293" t="s">
        <v>62</v>
      </c>
      <c r="AH24" s="294" t="str">
        <f t="shared" si="15"/>
        <v/>
      </c>
      <c r="AI24" s="294" t="str">
        <f t="shared" si="16"/>
        <v/>
      </c>
      <c r="AJ24" s="295" t="str">
        <f t="shared" si="17"/>
        <v/>
      </c>
      <c r="AK24" s="296" t="str">
        <f t="shared" si="18"/>
        <v/>
      </c>
      <c r="AL24" s="297" t="str">
        <f t="shared" si="19"/>
        <v/>
      </c>
      <c r="AM24" s="294" t="str">
        <f t="shared" si="20"/>
        <v/>
      </c>
      <c r="AN24" s="294" t="str">
        <f t="shared" si="21"/>
        <v/>
      </c>
      <c r="AO24" s="298" t="str">
        <f t="shared" si="22"/>
        <v/>
      </c>
      <c r="AP24" s="299" t="str">
        <f t="shared" si="23"/>
        <v/>
      </c>
      <c r="AQ24" s="299" t="str">
        <f t="shared" si="24"/>
        <v/>
      </c>
      <c r="AR24" s="300" t="str">
        <f t="shared" si="4"/>
        <v/>
      </c>
      <c r="AS24" s="300" t="str">
        <f t="shared" si="5"/>
        <v/>
      </c>
      <c r="AT24" s="294" t="str">
        <f t="shared" si="6"/>
        <v/>
      </c>
      <c r="AU24" s="301" t="str">
        <f>IF(OR($B24="", $AP24= ""),"",IF(VLOOKUP($AP24, CONTRATOS!B:K,3,FALSE)="","",VLOOKUP($AP24, CONTRATOS!B:K, 3,FALSE)))</f>
        <v/>
      </c>
      <c r="AV24" s="301" t="str">
        <f>IF(OR($B24="", $AP24 = ""), "", IF(VLOOKUP($AP24, CONTRATOS!B:K,4,FALSE)="","",VLOOKUP($AP24, CONTRATOS!B:K,4, FALSE)))</f>
        <v/>
      </c>
      <c r="AW24" s="302" t="str">
        <f t="shared" si="7"/>
        <v/>
      </c>
      <c r="AX24" s="301" t="str">
        <f t="shared" si="8"/>
        <v/>
      </c>
      <c r="AY24" s="301" t="str">
        <f t="shared" si="9"/>
        <v/>
      </c>
      <c r="AZ24" s="301" t="str">
        <f t="shared" si="10"/>
        <v/>
      </c>
      <c r="BA24" s="301" t="str">
        <f t="shared" si="11"/>
        <v/>
      </c>
      <c r="BB24" s="303">
        <f t="shared" si="25"/>
        <v>0</v>
      </c>
      <c r="BC24" s="303" t="str">
        <f t="shared" si="26"/>
        <v/>
      </c>
      <c r="BD24" s="303" t="str">
        <f t="shared" si="27"/>
        <v/>
      </c>
      <c r="BF24" s="304">
        <f t="shared" si="28"/>
        <v>0</v>
      </c>
      <c r="BG24" s="304">
        <f t="shared" si="29"/>
        <v>0</v>
      </c>
      <c r="BH24" s="304" t="str">
        <f>IF( $B24="", "", IF(ISNA(VLOOKUP($C24, Defesa!$C$8:$C$30,1,FALSE)),1,0))</f>
        <v/>
      </c>
      <c r="BI24" s="305" t="str">
        <f t="shared" si="30"/>
        <v/>
      </c>
      <c r="BJ24" s="305" t="str">
        <f t="shared" si="31"/>
        <v/>
      </c>
      <c r="BK24" s="304" t="str">
        <f t="shared" si="32"/>
        <v/>
      </c>
      <c r="BL24" s="304">
        <f t="shared" si="33"/>
        <v>0</v>
      </c>
      <c r="BM24" s="304" t="str">
        <f>IF($AC24="", "", IF(ISNA(VLOOKUP($AC24, TABELAS!$Q:$Q, 1, FALSE)), 1, 0))</f>
        <v/>
      </c>
      <c r="BN24" s="306" t="str">
        <f t="shared" si="34"/>
        <v/>
      </c>
      <c r="BO24" s="304" t="str">
        <f t="shared" si="35"/>
        <v/>
      </c>
      <c r="BP24" s="304" t="str">
        <f t="shared" si="36"/>
        <v/>
      </c>
      <c r="BQ24" s="305" t="str">
        <f t="shared" si="37"/>
        <v/>
      </c>
      <c r="BR24" s="304" t="str">
        <f t="shared" si="38"/>
        <v/>
      </c>
      <c r="BS24" s="304" t="str">
        <f t="shared" si="39"/>
        <v/>
      </c>
      <c r="BT24" s="304" t="str">
        <f>IF(OR($B24="", $AH24 = "SIM"), "", IF( ISNA(VLOOKUP($AP24,#REF!, 1, FALSE)), 1, 0))</f>
        <v/>
      </c>
      <c r="BU24" s="304" t="str">
        <f t="shared" si="40"/>
        <v/>
      </c>
      <c r="BV24" s="304" t="str">
        <f>IF( $B24="", "", IF( ISNA(VLOOKUP($AN24, TABELAS!$T$2:$T$9,1,FALSE)), 1, 0))</f>
        <v/>
      </c>
      <c r="BW24" s="304" t="str">
        <f t="shared" si="41"/>
        <v/>
      </c>
      <c r="BX24" s="304" t="str">
        <f>IF( OR($B24="", $AH24 = "SIM"), "", IF( ISNA( VLOOKUP( $AQ24, SISTEMA!$B:$B, 1, FALSE)), 1, 0))</f>
        <v/>
      </c>
      <c r="BY24" s="305" t="str">
        <f t="shared" si="42"/>
        <v/>
      </c>
      <c r="BZ24" s="305" t="str">
        <f t="shared" si="43"/>
        <v/>
      </c>
      <c r="CA24" s="304" t="str">
        <f t="shared" si="44"/>
        <v/>
      </c>
      <c r="CB24" s="305" t="str">
        <f t="shared" si="45"/>
        <v/>
      </c>
      <c r="CC24" s="305" t="str">
        <f t="shared" si="46"/>
        <v/>
      </c>
      <c r="CD24" s="305" t="str">
        <f t="shared" si="47"/>
        <v/>
      </c>
    </row>
    <row r="25" spans="1:82" x14ac:dyDescent="0.2">
      <c r="A25" s="235"/>
      <c r="B25" s="236" t="str">
        <f t="shared" si="12"/>
        <v/>
      </c>
      <c r="C25" s="237" t="str">
        <f t="shared" si="2"/>
        <v/>
      </c>
      <c r="D25" s="237" t="str">
        <f t="shared" si="13"/>
        <v/>
      </c>
      <c r="E25" s="237" t="str">
        <f>IF($C25="", "", COUNTIF($M$8:$M25,$D25))</f>
        <v/>
      </c>
      <c r="F25" s="238">
        <v>18</v>
      </c>
      <c r="G25" s="239"/>
      <c r="H25" s="240"/>
      <c r="I25" s="240"/>
      <c r="J25" s="241"/>
      <c r="K25" s="240"/>
      <c r="L25" s="240"/>
      <c r="M25" s="240"/>
      <c r="N25" s="242"/>
      <c r="O25" s="243"/>
      <c r="P25" s="243"/>
      <c r="Q25" s="243"/>
      <c r="R25" s="243"/>
      <c r="S25" s="243"/>
      <c r="T25" s="245"/>
      <c r="U25" s="246" t="str">
        <f>IF($T25="", "", VLOOKUP($T25, CONTRATOS!$B:$E, 2, FALSE))</f>
        <v/>
      </c>
      <c r="V25" s="247">
        <f>IF(OR($T25="",TB_DEFESA!$C$2="Criação Baseline"),0,
   IF(VLOOKUP($T25, CONTRATOS!B:E, 3, FALSE)&lt;&gt;"",1,IF(VLOOKUP($T25, CONTRATOS!B:E, 4, FALSE)&lt;&gt;"",2,0)))</f>
        <v>0</v>
      </c>
      <c r="W25" s="248"/>
      <c r="X25" s="248"/>
      <c r="Y25" s="249"/>
      <c r="Z25" s="250"/>
      <c r="AA25" s="251"/>
      <c r="AB25" s="252"/>
      <c r="AC25" s="253"/>
      <c r="AD25" s="251"/>
      <c r="AE25" s="254" t="str">
        <f t="shared" si="3"/>
        <v/>
      </c>
      <c r="AF25" s="256" t="str">
        <f t="shared" si="14"/>
        <v/>
      </c>
      <c r="AG25" s="293" t="s">
        <v>62</v>
      </c>
      <c r="AH25" s="294" t="str">
        <f t="shared" si="15"/>
        <v/>
      </c>
      <c r="AI25" s="294" t="str">
        <f t="shared" si="16"/>
        <v/>
      </c>
      <c r="AJ25" s="295" t="str">
        <f t="shared" si="17"/>
        <v/>
      </c>
      <c r="AK25" s="296" t="str">
        <f t="shared" si="18"/>
        <v/>
      </c>
      <c r="AL25" s="297" t="str">
        <f t="shared" si="19"/>
        <v/>
      </c>
      <c r="AM25" s="294" t="str">
        <f t="shared" si="20"/>
        <v/>
      </c>
      <c r="AN25" s="294" t="str">
        <f t="shared" si="21"/>
        <v/>
      </c>
      <c r="AO25" s="298" t="str">
        <f t="shared" si="22"/>
        <v/>
      </c>
      <c r="AP25" s="299" t="str">
        <f t="shared" si="23"/>
        <v/>
      </c>
      <c r="AQ25" s="299" t="str">
        <f t="shared" si="24"/>
        <v/>
      </c>
      <c r="AR25" s="300" t="str">
        <f t="shared" si="4"/>
        <v/>
      </c>
      <c r="AS25" s="300" t="str">
        <f t="shared" si="5"/>
        <v/>
      </c>
      <c r="AT25" s="294" t="str">
        <f t="shared" si="6"/>
        <v/>
      </c>
      <c r="AU25" s="301" t="str">
        <f>IF(OR($B25="", $AP25= ""),"",IF(VLOOKUP($AP25, CONTRATOS!B:K,3,FALSE)="","",VLOOKUP($AP25, CONTRATOS!B:K, 3,FALSE)))</f>
        <v/>
      </c>
      <c r="AV25" s="301" t="str">
        <f>IF(OR($B25="", $AP25 = ""), "", IF(VLOOKUP($AP25, CONTRATOS!B:K,4,FALSE)="","",VLOOKUP($AP25, CONTRATOS!B:K,4, FALSE)))</f>
        <v/>
      </c>
      <c r="AW25" s="302" t="str">
        <f t="shared" si="7"/>
        <v/>
      </c>
      <c r="AX25" s="301" t="str">
        <f t="shared" si="8"/>
        <v/>
      </c>
      <c r="AY25" s="301" t="str">
        <f t="shared" si="9"/>
        <v/>
      </c>
      <c r="AZ25" s="301" t="str">
        <f t="shared" si="10"/>
        <v/>
      </c>
      <c r="BA25" s="301" t="str">
        <f t="shared" si="11"/>
        <v/>
      </c>
      <c r="BB25" s="303">
        <f t="shared" si="25"/>
        <v>0</v>
      </c>
      <c r="BC25" s="303" t="str">
        <f t="shared" si="26"/>
        <v/>
      </c>
      <c r="BD25" s="303" t="str">
        <f t="shared" si="27"/>
        <v/>
      </c>
      <c r="BF25" s="304">
        <f t="shared" si="28"/>
        <v>0</v>
      </c>
      <c r="BG25" s="304">
        <f t="shared" si="29"/>
        <v>0</v>
      </c>
      <c r="BH25" s="304" t="str">
        <f>IF( $B25="", "", IF(ISNA(VLOOKUP($C25, Defesa!$C$8:$C$30,1,FALSE)),1,0))</f>
        <v/>
      </c>
      <c r="BI25" s="305" t="str">
        <f t="shared" si="30"/>
        <v/>
      </c>
      <c r="BJ25" s="305" t="str">
        <f t="shared" si="31"/>
        <v/>
      </c>
      <c r="BK25" s="304" t="str">
        <f t="shared" si="32"/>
        <v/>
      </c>
      <c r="BL25" s="304">
        <f t="shared" si="33"/>
        <v>0</v>
      </c>
      <c r="BM25" s="304" t="str">
        <f>IF($AC25="", "", IF(ISNA(VLOOKUP($AC25, TABELAS!$Q:$Q, 1, FALSE)), 1, 0))</f>
        <v/>
      </c>
      <c r="BN25" s="306" t="str">
        <f t="shared" si="34"/>
        <v/>
      </c>
      <c r="BO25" s="304" t="str">
        <f t="shared" si="35"/>
        <v/>
      </c>
      <c r="BP25" s="304" t="str">
        <f t="shared" si="36"/>
        <v/>
      </c>
      <c r="BQ25" s="305" t="str">
        <f t="shared" si="37"/>
        <v/>
      </c>
      <c r="BR25" s="304" t="str">
        <f t="shared" si="38"/>
        <v/>
      </c>
      <c r="BS25" s="304" t="str">
        <f t="shared" si="39"/>
        <v/>
      </c>
      <c r="BT25" s="304" t="str">
        <f>IF(OR($B25="", $AH25 = "SIM"), "", IF( ISNA(VLOOKUP($AP25,#REF!, 1, FALSE)), 1, 0))</f>
        <v/>
      </c>
      <c r="BU25" s="304" t="str">
        <f t="shared" si="40"/>
        <v/>
      </c>
      <c r="BV25" s="304" t="str">
        <f>IF( $B25="", "", IF( ISNA(VLOOKUP($AN25, TABELAS!$T$2:$T$9,1,FALSE)), 1, 0))</f>
        <v/>
      </c>
      <c r="BW25" s="304" t="str">
        <f t="shared" si="41"/>
        <v/>
      </c>
      <c r="BX25" s="304" t="str">
        <f>IF( OR($B25="", $AH25 = "SIM"), "", IF( ISNA( VLOOKUP( $AQ25, SISTEMA!$B:$B, 1, FALSE)), 1, 0))</f>
        <v/>
      </c>
      <c r="BY25" s="305" t="str">
        <f t="shared" si="42"/>
        <v/>
      </c>
      <c r="BZ25" s="305" t="str">
        <f t="shared" si="43"/>
        <v/>
      </c>
      <c r="CA25" s="304" t="str">
        <f t="shared" si="44"/>
        <v/>
      </c>
      <c r="CB25" s="305" t="str">
        <f t="shared" si="45"/>
        <v/>
      </c>
      <c r="CC25" s="305" t="str">
        <f t="shared" si="46"/>
        <v/>
      </c>
      <c r="CD25" s="305" t="str">
        <f t="shared" si="47"/>
        <v/>
      </c>
    </row>
    <row r="26" spans="1:82" x14ac:dyDescent="0.2">
      <c r="A26" s="235"/>
      <c r="B26" s="236" t="str">
        <f t="shared" si="12"/>
        <v/>
      </c>
      <c r="C26" s="237" t="str">
        <f t="shared" si="2"/>
        <v/>
      </c>
      <c r="D26" s="237" t="str">
        <f t="shared" si="13"/>
        <v/>
      </c>
      <c r="E26" s="237" t="str">
        <f>IF($C26="", "", COUNTIF($M$8:$M26,$D26))</f>
        <v/>
      </c>
      <c r="F26" s="238">
        <v>19</v>
      </c>
      <c r="G26" s="239"/>
      <c r="H26" s="240"/>
      <c r="I26" s="240"/>
      <c r="J26" s="241"/>
      <c r="K26" s="240"/>
      <c r="L26" s="240"/>
      <c r="M26" s="240"/>
      <c r="N26" s="242"/>
      <c r="O26" s="243"/>
      <c r="P26" s="243"/>
      <c r="Q26" s="243"/>
      <c r="R26" s="243"/>
      <c r="S26" s="243"/>
      <c r="T26" s="245"/>
      <c r="U26" s="246" t="str">
        <f>IF($T26="", "", VLOOKUP($T26, CONTRATOS!$B:$E, 2, FALSE))</f>
        <v/>
      </c>
      <c r="V26" s="247">
        <f>IF(OR($T26="",TB_DEFESA!$C$2="Criação Baseline"),0,
   IF(VLOOKUP($T26, CONTRATOS!B:E, 3, FALSE)&lt;&gt;"",1,IF(VLOOKUP($T26, CONTRATOS!B:E, 4, FALSE)&lt;&gt;"",2,0)))</f>
        <v>0</v>
      </c>
      <c r="W26" s="248"/>
      <c r="X26" s="248"/>
      <c r="Y26" s="249"/>
      <c r="Z26" s="250"/>
      <c r="AA26" s="251"/>
      <c r="AB26" s="252"/>
      <c r="AC26" s="253"/>
      <c r="AD26" s="251"/>
      <c r="AE26" s="254" t="str">
        <f t="shared" si="3"/>
        <v/>
      </c>
      <c r="AF26" s="256" t="str">
        <f t="shared" si="14"/>
        <v/>
      </c>
      <c r="AG26" s="293" t="s">
        <v>62</v>
      </c>
      <c r="AH26" s="294" t="str">
        <f t="shared" si="15"/>
        <v/>
      </c>
      <c r="AI26" s="294" t="str">
        <f t="shared" si="16"/>
        <v/>
      </c>
      <c r="AJ26" s="295" t="str">
        <f t="shared" si="17"/>
        <v/>
      </c>
      <c r="AK26" s="296" t="str">
        <f t="shared" si="18"/>
        <v/>
      </c>
      <c r="AL26" s="297" t="str">
        <f t="shared" si="19"/>
        <v/>
      </c>
      <c r="AM26" s="294" t="str">
        <f t="shared" si="20"/>
        <v/>
      </c>
      <c r="AN26" s="294" t="str">
        <f t="shared" si="21"/>
        <v/>
      </c>
      <c r="AO26" s="298" t="str">
        <f t="shared" si="22"/>
        <v/>
      </c>
      <c r="AP26" s="299" t="str">
        <f t="shared" si="23"/>
        <v/>
      </c>
      <c r="AQ26" s="299" t="str">
        <f t="shared" si="24"/>
        <v/>
      </c>
      <c r="AR26" s="300" t="str">
        <f t="shared" si="4"/>
        <v/>
      </c>
      <c r="AS26" s="300" t="str">
        <f t="shared" si="5"/>
        <v/>
      </c>
      <c r="AT26" s="294" t="str">
        <f t="shared" si="6"/>
        <v/>
      </c>
      <c r="AU26" s="301" t="str">
        <f>IF(OR($B26="", $AP26= ""),"",IF(VLOOKUP($AP26, CONTRATOS!B:K,3,FALSE)="","",VLOOKUP($AP26, CONTRATOS!B:K, 3,FALSE)))</f>
        <v/>
      </c>
      <c r="AV26" s="301" t="str">
        <f>IF(OR($B26="", $AP26 = ""), "", IF(VLOOKUP($AP26, CONTRATOS!B:K,4,FALSE)="","",VLOOKUP($AP26, CONTRATOS!B:K,4, FALSE)))</f>
        <v/>
      </c>
      <c r="AW26" s="302" t="str">
        <f t="shared" si="7"/>
        <v/>
      </c>
      <c r="AX26" s="301" t="str">
        <f t="shared" si="8"/>
        <v/>
      </c>
      <c r="AY26" s="301" t="str">
        <f t="shared" si="9"/>
        <v/>
      </c>
      <c r="AZ26" s="301" t="str">
        <f t="shared" si="10"/>
        <v/>
      </c>
      <c r="BA26" s="301" t="str">
        <f t="shared" si="11"/>
        <v/>
      </c>
      <c r="BB26" s="303">
        <f t="shared" si="25"/>
        <v>0</v>
      </c>
      <c r="BC26" s="303" t="str">
        <f t="shared" si="26"/>
        <v/>
      </c>
      <c r="BD26" s="303" t="str">
        <f t="shared" si="27"/>
        <v/>
      </c>
      <c r="BF26" s="304">
        <f t="shared" si="28"/>
        <v>0</v>
      </c>
      <c r="BG26" s="304">
        <f t="shared" si="29"/>
        <v>0</v>
      </c>
      <c r="BH26" s="304" t="str">
        <f>IF( $B26="", "", IF(ISNA(VLOOKUP($C26, Defesa!$C$8:$C$30,1,FALSE)),1,0))</f>
        <v/>
      </c>
      <c r="BI26" s="305" t="str">
        <f t="shared" si="30"/>
        <v/>
      </c>
      <c r="BJ26" s="305" t="str">
        <f t="shared" si="31"/>
        <v/>
      </c>
      <c r="BK26" s="304" t="str">
        <f t="shared" si="32"/>
        <v/>
      </c>
      <c r="BL26" s="304">
        <f t="shared" si="33"/>
        <v>0</v>
      </c>
      <c r="BM26" s="304" t="str">
        <f>IF($AC26="", "", IF(ISNA(VLOOKUP($AC26, TABELAS!$Q:$Q, 1, FALSE)), 1, 0))</f>
        <v/>
      </c>
      <c r="BN26" s="306" t="str">
        <f t="shared" si="34"/>
        <v/>
      </c>
      <c r="BO26" s="304" t="str">
        <f t="shared" si="35"/>
        <v/>
      </c>
      <c r="BP26" s="304" t="str">
        <f t="shared" si="36"/>
        <v/>
      </c>
      <c r="BQ26" s="305" t="str">
        <f t="shared" si="37"/>
        <v/>
      </c>
      <c r="BR26" s="304" t="str">
        <f t="shared" si="38"/>
        <v/>
      </c>
      <c r="BS26" s="304" t="str">
        <f t="shared" si="39"/>
        <v/>
      </c>
      <c r="BT26" s="304" t="str">
        <f>IF(OR($B26="", $AH26 = "SIM"), "", IF( ISNA(VLOOKUP($AP26,#REF!, 1, FALSE)), 1, 0))</f>
        <v/>
      </c>
      <c r="BU26" s="304" t="str">
        <f t="shared" si="40"/>
        <v/>
      </c>
      <c r="BV26" s="304" t="str">
        <f>IF( $B26="", "", IF( ISNA(VLOOKUP($AN26, TABELAS!$T$2:$T$9,1,FALSE)), 1, 0))</f>
        <v/>
      </c>
      <c r="BW26" s="304" t="str">
        <f t="shared" si="41"/>
        <v/>
      </c>
      <c r="BX26" s="304" t="str">
        <f>IF( OR($B26="", $AH26 = "SIM"), "", IF( ISNA( VLOOKUP( $AQ26, SISTEMA!$B:$B, 1, FALSE)), 1, 0))</f>
        <v/>
      </c>
      <c r="BY26" s="305" t="str">
        <f t="shared" si="42"/>
        <v/>
      </c>
      <c r="BZ26" s="305" t="str">
        <f t="shared" si="43"/>
        <v/>
      </c>
      <c r="CA26" s="304" t="str">
        <f t="shared" si="44"/>
        <v/>
      </c>
      <c r="CB26" s="305" t="str">
        <f t="shared" si="45"/>
        <v/>
      </c>
      <c r="CC26" s="305" t="str">
        <f t="shared" si="46"/>
        <v/>
      </c>
      <c r="CD26" s="305" t="str">
        <f t="shared" si="47"/>
        <v/>
      </c>
    </row>
    <row r="27" spans="1:82" x14ac:dyDescent="0.2">
      <c r="A27" s="235"/>
      <c r="B27" s="236" t="str">
        <f t="shared" si="12"/>
        <v/>
      </c>
      <c r="C27" s="237" t="str">
        <f t="shared" si="2"/>
        <v/>
      </c>
      <c r="D27" s="237" t="str">
        <f t="shared" si="13"/>
        <v/>
      </c>
      <c r="E27" s="237" t="str">
        <f>IF($C27="", "", COUNTIF($M$8:$M27,$D27))</f>
        <v/>
      </c>
      <c r="F27" s="238">
        <v>20</v>
      </c>
      <c r="G27" s="239"/>
      <c r="H27" s="240"/>
      <c r="I27" s="240"/>
      <c r="J27" s="241"/>
      <c r="K27" s="240"/>
      <c r="L27" s="240"/>
      <c r="M27" s="240"/>
      <c r="N27" s="242"/>
      <c r="O27" s="243"/>
      <c r="P27" s="243"/>
      <c r="Q27" s="243"/>
      <c r="R27" s="243"/>
      <c r="S27" s="243"/>
      <c r="T27" s="245"/>
      <c r="U27" s="246" t="str">
        <f>IF($T27="", "", VLOOKUP($T27, CONTRATOS!$B:$E, 2, FALSE))</f>
        <v/>
      </c>
      <c r="V27" s="247">
        <f>IF(OR($T27="",TB_DEFESA!$C$2="Criação Baseline"),0,
   IF(VLOOKUP($T27, CONTRATOS!B:E, 3, FALSE)&lt;&gt;"",1,IF(VLOOKUP($T27, CONTRATOS!B:E, 4, FALSE)&lt;&gt;"",2,0)))</f>
        <v>0</v>
      </c>
      <c r="W27" s="248"/>
      <c r="X27" s="248"/>
      <c r="Y27" s="249"/>
      <c r="Z27" s="250"/>
      <c r="AA27" s="251"/>
      <c r="AB27" s="252"/>
      <c r="AC27" s="253"/>
      <c r="AD27" s="251"/>
      <c r="AE27" s="254" t="str">
        <f t="shared" si="3"/>
        <v/>
      </c>
      <c r="AF27" s="256" t="str">
        <f t="shared" si="14"/>
        <v/>
      </c>
      <c r="AG27" s="293" t="s">
        <v>62</v>
      </c>
      <c r="AH27" s="294" t="str">
        <f t="shared" si="15"/>
        <v/>
      </c>
      <c r="AI27" s="294" t="str">
        <f t="shared" si="16"/>
        <v/>
      </c>
      <c r="AJ27" s="295" t="str">
        <f t="shared" si="17"/>
        <v/>
      </c>
      <c r="AK27" s="296" t="str">
        <f t="shared" si="18"/>
        <v/>
      </c>
      <c r="AL27" s="297" t="str">
        <f t="shared" si="19"/>
        <v/>
      </c>
      <c r="AM27" s="294" t="str">
        <f t="shared" si="20"/>
        <v/>
      </c>
      <c r="AN27" s="294" t="str">
        <f t="shared" si="21"/>
        <v/>
      </c>
      <c r="AO27" s="298" t="str">
        <f t="shared" si="22"/>
        <v/>
      </c>
      <c r="AP27" s="299" t="str">
        <f t="shared" si="23"/>
        <v/>
      </c>
      <c r="AQ27" s="299" t="str">
        <f t="shared" si="24"/>
        <v/>
      </c>
      <c r="AR27" s="300" t="str">
        <f t="shared" si="4"/>
        <v/>
      </c>
      <c r="AS27" s="300" t="str">
        <f t="shared" si="5"/>
        <v/>
      </c>
      <c r="AT27" s="294" t="str">
        <f t="shared" si="6"/>
        <v/>
      </c>
      <c r="AU27" s="301" t="str">
        <f>IF(OR($B27="", $AP27= ""),"",IF(VLOOKUP($AP27, CONTRATOS!B:K,3,FALSE)="","",VLOOKUP($AP27, CONTRATOS!B:K, 3,FALSE)))</f>
        <v/>
      </c>
      <c r="AV27" s="301" t="str">
        <f>IF(OR($B27="", $AP27 = ""), "", IF(VLOOKUP($AP27, CONTRATOS!B:K,4,FALSE)="","",VLOOKUP($AP27, CONTRATOS!B:K,4, FALSE)))</f>
        <v/>
      </c>
      <c r="AW27" s="302" t="str">
        <f t="shared" si="7"/>
        <v/>
      </c>
      <c r="AX27" s="301" t="str">
        <f t="shared" si="8"/>
        <v/>
      </c>
      <c r="AY27" s="301" t="str">
        <f t="shared" si="9"/>
        <v/>
      </c>
      <c r="AZ27" s="301" t="str">
        <f t="shared" si="10"/>
        <v/>
      </c>
      <c r="BA27" s="301" t="str">
        <f t="shared" si="11"/>
        <v/>
      </c>
      <c r="BB27" s="303">
        <f t="shared" si="25"/>
        <v>0</v>
      </c>
      <c r="BC27" s="303" t="str">
        <f t="shared" si="26"/>
        <v/>
      </c>
      <c r="BD27" s="303" t="str">
        <f t="shared" si="27"/>
        <v/>
      </c>
      <c r="BF27" s="304">
        <f t="shared" si="28"/>
        <v>0</v>
      </c>
      <c r="BG27" s="304">
        <f t="shared" si="29"/>
        <v>0</v>
      </c>
      <c r="BH27" s="304" t="str">
        <f>IF( $B27="", "", IF(ISNA(VLOOKUP($C27, Defesa!$C$8:$C$30,1,FALSE)),1,0))</f>
        <v/>
      </c>
      <c r="BI27" s="305" t="str">
        <f t="shared" si="30"/>
        <v/>
      </c>
      <c r="BJ27" s="305" t="str">
        <f t="shared" si="31"/>
        <v/>
      </c>
      <c r="BK27" s="304" t="str">
        <f t="shared" si="32"/>
        <v/>
      </c>
      <c r="BL27" s="304">
        <f t="shared" si="33"/>
        <v>0</v>
      </c>
      <c r="BM27" s="304" t="str">
        <f>IF($AC27="", "", IF(ISNA(VLOOKUP($AC27, TABELAS!$Q:$Q, 1, FALSE)), 1, 0))</f>
        <v/>
      </c>
      <c r="BN27" s="306" t="str">
        <f t="shared" si="34"/>
        <v/>
      </c>
      <c r="BO27" s="304" t="str">
        <f t="shared" si="35"/>
        <v/>
      </c>
      <c r="BP27" s="304" t="str">
        <f t="shared" si="36"/>
        <v/>
      </c>
      <c r="BQ27" s="305" t="str">
        <f t="shared" si="37"/>
        <v/>
      </c>
      <c r="BR27" s="304" t="str">
        <f t="shared" si="38"/>
        <v/>
      </c>
      <c r="BS27" s="304" t="str">
        <f t="shared" si="39"/>
        <v/>
      </c>
      <c r="BT27" s="304" t="str">
        <f>IF(OR($B27="", $AH27 = "SIM"), "", IF( ISNA(VLOOKUP($AP27,#REF!, 1, FALSE)), 1, 0))</f>
        <v/>
      </c>
      <c r="BU27" s="304" t="str">
        <f t="shared" si="40"/>
        <v/>
      </c>
      <c r="BV27" s="304" t="str">
        <f>IF( $B27="", "", IF( ISNA(VLOOKUP($AN27, TABELAS!$T$2:$T$9,1,FALSE)), 1, 0))</f>
        <v/>
      </c>
      <c r="BW27" s="304" t="str">
        <f t="shared" si="41"/>
        <v/>
      </c>
      <c r="BX27" s="304" t="str">
        <f>IF( OR($B27="", $AH27 = "SIM"), "", IF( ISNA( VLOOKUP( $AQ27, SISTEMA!$B:$B, 1, FALSE)), 1, 0))</f>
        <v/>
      </c>
      <c r="BY27" s="305" t="str">
        <f t="shared" si="42"/>
        <v/>
      </c>
      <c r="BZ27" s="305" t="str">
        <f t="shared" si="43"/>
        <v/>
      </c>
      <c r="CA27" s="304" t="str">
        <f t="shared" si="44"/>
        <v/>
      </c>
      <c r="CB27" s="305" t="str">
        <f t="shared" si="45"/>
        <v/>
      </c>
      <c r="CC27" s="305" t="str">
        <f t="shared" si="46"/>
        <v/>
      </c>
      <c r="CD27" s="305" t="str">
        <f t="shared" si="47"/>
        <v/>
      </c>
    </row>
    <row r="28" spans="1:82" x14ac:dyDescent="0.2">
      <c r="A28" s="235"/>
      <c r="B28" s="236" t="str">
        <f t="shared" si="12"/>
        <v/>
      </c>
      <c r="C28" s="237" t="str">
        <f t="shared" si="2"/>
        <v/>
      </c>
      <c r="D28" s="237" t="str">
        <f t="shared" si="13"/>
        <v/>
      </c>
      <c r="E28" s="237" t="str">
        <f>IF($C28="", "", COUNTIF($M$8:$M28,$D28))</f>
        <v/>
      </c>
      <c r="F28" s="238">
        <v>21</v>
      </c>
      <c r="G28" s="239"/>
      <c r="H28" s="240"/>
      <c r="I28" s="240"/>
      <c r="J28" s="241"/>
      <c r="K28" s="240"/>
      <c r="L28" s="240"/>
      <c r="M28" s="240"/>
      <c r="N28" s="242"/>
      <c r="O28" s="243"/>
      <c r="P28" s="243"/>
      <c r="Q28" s="243"/>
      <c r="R28" s="243"/>
      <c r="S28" s="243"/>
      <c r="T28" s="245"/>
      <c r="U28" s="246" t="str">
        <f>IF($T28="", "", VLOOKUP($T28, CONTRATOS!$B:$E, 2, FALSE))</f>
        <v/>
      </c>
      <c r="V28" s="247">
        <f>IF(OR($T28="",TB_DEFESA!$C$2="Criação Baseline"),0,
   IF(VLOOKUP($T28, CONTRATOS!B:E, 3, FALSE)&lt;&gt;"",1,IF(VLOOKUP($T28, CONTRATOS!B:E, 4, FALSE)&lt;&gt;"",2,0)))</f>
        <v>0</v>
      </c>
      <c r="W28" s="248"/>
      <c r="X28" s="248"/>
      <c r="Y28" s="249"/>
      <c r="Z28" s="250"/>
      <c r="AA28" s="251"/>
      <c r="AB28" s="252"/>
      <c r="AC28" s="253"/>
      <c r="AD28" s="251"/>
      <c r="AE28" s="254" t="str">
        <f t="shared" si="3"/>
        <v/>
      </c>
      <c r="AF28" s="256" t="str">
        <f t="shared" si="14"/>
        <v/>
      </c>
      <c r="AG28" s="293" t="s">
        <v>62</v>
      </c>
      <c r="AH28" s="294" t="str">
        <f t="shared" si="15"/>
        <v/>
      </c>
      <c r="AI28" s="294" t="str">
        <f t="shared" si="16"/>
        <v/>
      </c>
      <c r="AJ28" s="295" t="str">
        <f t="shared" si="17"/>
        <v/>
      </c>
      <c r="AK28" s="296" t="str">
        <f t="shared" si="18"/>
        <v/>
      </c>
      <c r="AL28" s="297" t="str">
        <f t="shared" si="19"/>
        <v/>
      </c>
      <c r="AM28" s="294" t="str">
        <f t="shared" si="20"/>
        <v/>
      </c>
      <c r="AN28" s="294" t="str">
        <f t="shared" si="21"/>
        <v/>
      </c>
      <c r="AO28" s="298" t="str">
        <f t="shared" si="22"/>
        <v/>
      </c>
      <c r="AP28" s="299" t="str">
        <f t="shared" si="23"/>
        <v/>
      </c>
      <c r="AQ28" s="299" t="str">
        <f t="shared" si="24"/>
        <v/>
      </c>
      <c r="AR28" s="300" t="str">
        <f t="shared" si="4"/>
        <v/>
      </c>
      <c r="AS28" s="300" t="str">
        <f t="shared" si="5"/>
        <v/>
      </c>
      <c r="AT28" s="294" t="str">
        <f t="shared" si="6"/>
        <v/>
      </c>
      <c r="AU28" s="301" t="str">
        <f>IF(OR($B28="", $AP28= ""),"",IF(VLOOKUP($AP28, CONTRATOS!B:K,3,FALSE)="","",VLOOKUP($AP28, CONTRATOS!B:K, 3,FALSE)))</f>
        <v/>
      </c>
      <c r="AV28" s="301" t="str">
        <f>IF(OR($B28="", $AP28 = ""), "", IF(VLOOKUP($AP28, CONTRATOS!B:K,4,FALSE)="","",VLOOKUP($AP28, CONTRATOS!B:K,4, FALSE)))</f>
        <v/>
      </c>
      <c r="AW28" s="302" t="str">
        <f t="shared" si="7"/>
        <v/>
      </c>
      <c r="AX28" s="301" t="str">
        <f t="shared" si="8"/>
        <v/>
      </c>
      <c r="AY28" s="301" t="str">
        <f t="shared" si="9"/>
        <v/>
      </c>
      <c r="AZ28" s="301" t="str">
        <f t="shared" si="10"/>
        <v/>
      </c>
      <c r="BA28" s="301" t="str">
        <f t="shared" si="11"/>
        <v/>
      </c>
      <c r="BB28" s="303">
        <f t="shared" si="25"/>
        <v>0</v>
      </c>
      <c r="BC28" s="303" t="str">
        <f t="shared" si="26"/>
        <v/>
      </c>
      <c r="BD28" s="303" t="str">
        <f t="shared" si="27"/>
        <v/>
      </c>
      <c r="BF28" s="304">
        <f t="shared" si="28"/>
        <v>0</v>
      </c>
      <c r="BG28" s="304">
        <f t="shared" si="29"/>
        <v>0</v>
      </c>
      <c r="BH28" s="304" t="str">
        <f>IF( $B28="", "", IF(ISNA(VLOOKUP($C28, Defesa!$C$8:$C$30,1,FALSE)),1,0))</f>
        <v/>
      </c>
      <c r="BI28" s="305" t="str">
        <f t="shared" si="30"/>
        <v/>
      </c>
      <c r="BJ28" s="305" t="str">
        <f t="shared" si="31"/>
        <v/>
      </c>
      <c r="BK28" s="304" t="str">
        <f t="shared" si="32"/>
        <v/>
      </c>
      <c r="BL28" s="304">
        <f t="shared" si="33"/>
        <v>0</v>
      </c>
      <c r="BM28" s="304" t="str">
        <f>IF($AC28="", "", IF(ISNA(VLOOKUP($AC28, TABELAS!$Q:$Q, 1, FALSE)), 1, 0))</f>
        <v/>
      </c>
      <c r="BN28" s="306" t="str">
        <f t="shared" si="34"/>
        <v/>
      </c>
      <c r="BO28" s="304" t="str">
        <f t="shared" si="35"/>
        <v/>
      </c>
      <c r="BP28" s="304" t="str">
        <f t="shared" si="36"/>
        <v/>
      </c>
      <c r="BQ28" s="305" t="str">
        <f t="shared" si="37"/>
        <v/>
      </c>
      <c r="BR28" s="304" t="str">
        <f t="shared" si="38"/>
        <v/>
      </c>
      <c r="BS28" s="304" t="str">
        <f t="shared" si="39"/>
        <v/>
      </c>
      <c r="BT28" s="304" t="str">
        <f>IF(OR($B28="", $AH28 = "SIM"), "", IF( ISNA(VLOOKUP($AP28,#REF!, 1, FALSE)), 1, 0))</f>
        <v/>
      </c>
      <c r="BU28" s="304" t="str">
        <f t="shared" si="40"/>
        <v/>
      </c>
      <c r="BV28" s="304" t="str">
        <f>IF( $B28="", "", IF( ISNA(VLOOKUP($AN28, TABELAS!$T$2:$T$9,1,FALSE)), 1, 0))</f>
        <v/>
      </c>
      <c r="BW28" s="304" t="str">
        <f t="shared" si="41"/>
        <v/>
      </c>
      <c r="BX28" s="304" t="str">
        <f>IF( OR($B28="", $AH28 = "SIM"), "", IF( ISNA( VLOOKUP( $AQ28, SISTEMA!$B:$B, 1, FALSE)), 1, 0))</f>
        <v/>
      </c>
      <c r="BY28" s="305" t="str">
        <f t="shared" si="42"/>
        <v/>
      </c>
      <c r="BZ28" s="305" t="str">
        <f t="shared" si="43"/>
        <v/>
      </c>
      <c r="CA28" s="304" t="str">
        <f t="shared" si="44"/>
        <v/>
      </c>
      <c r="CB28" s="305" t="str">
        <f t="shared" si="45"/>
        <v/>
      </c>
      <c r="CC28" s="305" t="str">
        <f t="shared" si="46"/>
        <v/>
      </c>
      <c r="CD28" s="305" t="str">
        <f t="shared" si="47"/>
        <v/>
      </c>
    </row>
    <row r="29" spans="1:82" x14ac:dyDescent="0.2">
      <c r="A29" s="235"/>
      <c r="B29" s="236" t="str">
        <f t="shared" si="12"/>
        <v/>
      </c>
      <c r="C29" s="237" t="str">
        <f t="shared" si="2"/>
        <v/>
      </c>
      <c r="D29" s="237" t="str">
        <f t="shared" si="13"/>
        <v/>
      </c>
      <c r="E29" s="237" t="str">
        <f>IF($C29="", "", COUNTIF($M$8:$M29,$D29))</f>
        <v/>
      </c>
      <c r="F29" s="238">
        <v>22</v>
      </c>
      <c r="G29" s="239"/>
      <c r="H29" s="240"/>
      <c r="I29" s="240"/>
      <c r="J29" s="241"/>
      <c r="K29" s="240"/>
      <c r="L29" s="240"/>
      <c r="M29" s="240"/>
      <c r="N29" s="242"/>
      <c r="O29" s="243"/>
      <c r="P29" s="243"/>
      <c r="Q29" s="243"/>
      <c r="R29" s="243"/>
      <c r="S29" s="243"/>
      <c r="T29" s="245"/>
      <c r="U29" s="246" t="str">
        <f>IF($T29="", "", VLOOKUP($T29, CONTRATOS!$B:$E, 2, FALSE))</f>
        <v/>
      </c>
      <c r="V29" s="247">
        <f>IF(OR($T29="",TB_DEFESA!$C$2="Criação Baseline"),0,
   IF(VLOOKUP($T29, CONTRATOS!B:E, 3, FALSE)&lt;&gt;"",1,IF(VLOOKUP($T29, CONTRATOS!B:E, 4, FALSE)&lt;&gt;"",2,0)))</f>
        <v>0</v>
      </c>
      <c r="W29" s="248"/>
      <c r="X29" s="248"/>
      <c r="Y29" s="249"/>
      <c r="Z29" s="250"/>
      <c r="AA29" s="251"/>
      <c r="AB29" s="252"/>
      <c r="AC29" s="253"/>
      <c r="AD29" s="251"/>
      <c r="AE29" s="254" t="str">
        <f t="shared" si="3"/>
        <v/>
      </c>
      <c r="AF29" s="256" t="str">
        <f t="shared" si="14"/>
        <v/>
      </c>
      <c r="AG29" s="293" t="s">
        <v>62</v>
      </c>
      <c r="AH29" s="294" t="str">
        <f t="shared" si="15"/>
        <v/>
      </c>
      <c r="AI29" s="294" t="str">
        <f t="shared" si="16"/>
        <v/>
      </c>
      <c r="AJ29" s="295" t="str">
        <f t="shared" si="17"/>
        <v/>
      </c>
      <c r="AK29" s="296" t="str">
        <f t="shared" si="18"/>
        <v/>
      </c>
      <c r="AL29" s="297" t="str">
        <f t="shared" si="19"/>
        <v/>
      </c>
      <c r="AM29" s="294" t="str">
        <f t="shared" si="20"/>
        <v/>
      </c>
      <c r="AN29" s="294" t="str">
        <f t="shared" si="21"/>
        <v/>
      </c>
      <c r="AO29" s="298" t="str">
        <f t="shared" si="22"/>
        <v/>
      </c>
      <c r="AP29" s="299" t="str">
        <f t="shared" si="23"/>
        <v/>
      </c>
      <c r="AQ29" s="299" t="str">
        <f t="shared" si="24"/>
        <v/>
      </c>
      <c r="AR29" s="300" t="str">
        <f t="shared" si="4"/>
        <v/>
      </c>
      <c r="AS29" s="300" t="str">
        <f t="shared" si="5"/>
        <v/>
      </c>
      <c r="AT29" s="294" t="str">
        <f t="shared" si="6"/>
        <v/>
      </c>
      <c r="AU29" s="301" t="str">
        <f>IF(OR($B29="", $AP29= ""),"",IF(VLOOKUP($AP29, CONTRATOS!B:K,3,FALSE)="","",VLOOKUP($AP29, CONTRATOS!B:K, 3,FALSE)))</f>
        <v/>
      </c>
      <c r="AV29" s="301" t="str">
        <f>IF(OR($B29="", $AP29 = ""), "", IF(VLOOKUP($AP29, CONTRATOS!B:K,4,FALSE)="","",VLOOKUP($AP29, CONTRATOS!B:K,4, FALSE)))</f>
        <v/>
      </c>
      <c r="AW29" s="302" t="str">
        <f t="shared" si="7"/>
        <v/>
      </c>
      <c r="AX29" s="301" t="str">
        <f t="shared" si="8"/>
        <v/>
      </c>
      <c r="AY29" s="301" t="str">
        <f t="shared" si="9"/>
        <v/>
      </c>
      <c r="AZ29" s="301" t="str">
        <f t="shared" si="10"/>
        <v/>
      </c>
      <c r="BA29" s="301" t="str">
        <f t="shared" si="11"/>
        <v/>
      </c>
      <c r="BB29" s="303">
        <f t="shared" si="25"/>
        <v>0</v>
      </c>
      <c r="BC29" s="303" t="str">
        <f t="shared" si="26"/>
        <v/>
      </c>
      <c r="BD29" s="303" t="str">
        <f t="shared" si="27"/>
        <v/>
      </c>
      <c r="BF29" s="304">
        <f t="shared" si="28"/>
        <v>0</v>
      </c>
      <c r="BG29" s="304">
        <f t="shared" si="29"/>
        <v>0</v>
      </c>
      <c r="BH29" s="304" t="str">
        <f>IF( $B29="", "", IF(ISNA(VLOOKUP($C29, Defesa!$C$8:$C$30,1,FALSE)),1,0))</f>
        <v/>
      </c>
      <c r="BI29" s="305" t="str">
        <f t="shared" si="30"/>
        <v/>
      </c>
      <c r="BJ29" s="305" t="str">
        <f t="shared" si="31"/>
        <v/>
      </c>
      <c r="BK29" s="304" t="str">
        <f t="shared" si="32"/>
        <v/>
      </c>
      <c r="BL29" s="304">
        <f t="shared" si="33"/>
        <v>0</v>
      </c>
      <c r="BM29" s="304" t="str">
        <f>IF($AC29="", "", IF(ISNA(VLOOKUP($AC29, TABELAS!$Q:$Q, 1, FALSE)), 1, 0))</f>
        <v/>
      </c>
      <c r="BN29" s="306" t="str">
        <f t="shared" si="34"/>
        <v/>
      </c>
      <c r="BO29" s="304" t="str">
        <f t="shared" si="35"/>
        <v/>
      </c>
      <c r="BP29" s="304" t="str">
        <f t="shared" si="36"/>
        <v/>
      </c>
      <c r="BQ29" s="305" t="str">
        <f t="shared" si="37"/>
        <v/>
      </c>
      <c r="BR29" s="304" t="str">
        <f t="shared" si="38"/>
        <v/>
      </c>
      <c r="BS29" s="304" t="str">
        <f t="shared" si="39"/>
        <v/>
      </c>
      <c r="BT29" s="304" t="str">
        <f>IF(OR($B29="", $AH29 = "SIM"), "", IF( ISNA(VLOOKUP($AP29,#REF!, 1, FALSE)), 1, 0))</f>
        <v/>
      </c>
      <c r="BU29" s="304" t="str">
        <f t="shared" si="40"/>
        <v/>
      </c>
      <c r="BV29" s="304" t="str">
        <f>IF( $B29="", "", IF( ISNA(VLOOKUP($AN29, TABELAS!$T$2:$T$9,1,FALSE)), 1, 0))</f>
        <v/>
      </c>
      <c r="BW29" s="304" t="str">
        <f t="shared" si="41"/>
        <v/>
      </c>
      <c r="BX29" s="304" t="str">
        <f>IF( OR($B29="", $AH29 = "SIM"), "", IF( ISNA( VLOOKUP( $AQ29, SISTEMA!$B:$B, 1, FALSE)), 1, 0))</f>
        <v/>
      </c>
      <c r="BY29" s="305" t="str">
        <f t="shared" si="42"/>
        <v/>
      </c>
      <c r="BZ29" s="305" t="str">
        <f t="shared" si="43"/>
        <v/>
      </c>
      <c r="CA29" s="304" t="str">
        <f t="shared" si="44"/>
        <v/>
      </c>
      <c r="CB29" s="305" t="str">
        <f t="shared" si="45"/>
        <v/>
      </c>
      <c r="CC29" s="305" t="str">
        <f t="shared" si="46"/>
        <v/>
      </c>
      <c r="CD29" s="305" t="str">
        <f t="shared" si="47"/>
        <v/>
      </c>
    </row>
    <row r="30" spans="1:82" x14ac:dyDescent="0.2">
      <c r="A30" s="235"/>
      <c r="B30" s="236" t="str">
        <f t="shared" si="12"/>
        <v/>
      </c>
      <c r="C30" s="237" t="str">
        <f t="shared" si="2"/>
        <v/>
      </c>
      <c r="D30" s="237" t="str">
        <f t="shared" si="13"/>
        <v/>
      </c>
      <c r="E30" s="237" t="str">
        <f>IF($C30="", "", COUNTIF($M$8:$M30,$D30))</f>
        <v/>
      </c>
      <c r="F30" s="238">
        <v>23</v>
      </c>
      <c r="G30" s="239"/>
      <c r="H30" s="240"/>
      <c r="I30" s="240"/>
      <c r="J30" s="241"/>
      <c r="K30" s="240"/>
      <c r="L30" s="240"/>
      <c r="M30" s="240"/>
      <c r="N30" s="242"/>
      <c r="O30" s="243"/>
      <c r="P30" s="243"/>
      <c r="Q30" s="243"/>
      <c r="R30" s="243"/>
      <c r="S30" s="243"/>
      <c r="T30" s="245"/>
      <c r="U30" s="246" t="str">
        <f>IF($T30="", "", VLOOKUP($T30, CONTRATOS!$B:$E, 2, FALSE))</f>
        <v/>
      </c>
      <c r="V30" s="247">
        <f>IF(OR($T30="",TB_DEFESA!$C$2="Criação Baseline"),0,
   IF(VLOOKUP($T30, CONTRATOS!B:E, 3, FALSE)&lt;&gt;"",1,IF(VLOOKUP($T30, CONTRATOS!B:E, 4, FALSE)&lt;&gt;"",2,0)))</f>
        <v>0</v>
      </c>
      <c r="W30" s="248"/>
      <c r="X30" s="248"/>
      <c r="Y30" s="249"/>
      <c r="Z30" s="250"/>
      <c r="AA30" s="251"/>
      <c r="AB30" s="252"/>
      <c r="AC30" s="253"/>
      <c r="AD30" s="251"/>
      <c r="AE30" s="254" t="str">
        <f t="shared" si="3"/>
        <v/>
      </c>
      <c r="AF30" s="256" t="str">
        <f t="shared" si="14"/>
        <v/>
      </c>
      <c r="AG30" s="293" t="s">
        <v>62</v>
      </c>
      <c r="AH30" s="294" t="str">
        <f t="shared" si="15"/>
        <v/>
      </c>
      <c r="AI30" s="294" t="str">
        <f t="shared" si="16"/>
        <v/>
      </c>
      <c r="AJ30" s="295" t="str">
        <f t="shared" si="17"/>
        <v/>
      </c>
      <c r="AK30" s="296" t="str">
        <f t="shared" si="18"/>
        <v/>
      </c>
      <c r="AL30" s="297" t="str">
        <f t="shared" si="19"/>
        <v/>
      </c>
      <c r="AM30" s="294" t="str">
        <f t="shared" si="20"/>
        <v/>
      </c>
      <c r="AN30" s="294" t="str">
        <f t="shared" si="21"/>
        <v/>
      </c>
      <c r="AO30" s="298" t="str">
        <f t="shared" si="22"/>
        <v/>
      </c>
      <c r="AP30" s="299" t="str">
        <f t="shared" si="23"/>
        <v/>
      </c>
      <c r="AQ30" s="299" t="str">
        <f t="shared" si="24"/>
        <v/>
      </c>
      <c r="AR30" s="300" t="str">
        <f t="shared" si="4"/>
        <v/>
      </c>
      <c r="AS30" s="300" t="str">
        <f t="shared" si="5"/>
        <v/>
      </c>
      <c r="AT30" s="294" t="str">
        <f t="shared" si="6"/>
        <v/>
      </c>
      <c r="AU30" s="301" t="str">
        <f>IF(OR($B30="", $AP30= ""),"",IF(VLOOKUP($AP30, CONTRATOS!B:K,3,FALSE)="","",VLOOKUP($AP30, CONTRATOS!B:K, 3,FALSE)))</f>
        <v/>
      </c>
      <c r="AV30" s="301" t="str">
        <f>IF(OR($B30="", $AP30 = ""), "", IF(VLOOKUP($AP30, CONTRATOS!B:K,4,FALSE)="","",VLOOKUP($AP30, CONTRATOS!B:K,4, FALSE)))</f>
        <v/>
      </c>
      <c r="AW30" s="302" t="str">
        <f t="shared" si="7"/>
        <v/>
      </c>
      <c r="AX30" s="301" t="str">
        <f t="shared" si="8"/>
        <v/>
      </c>
      <c r="AY30" s="301" t="str">
        <f t="shared" si="9"/>
        <v/>
      </c>
      <c r="AZ30" s="301" t="str">
        <f t="shared" si="10"/>
        <v/>
      </c>
      <c r="BA30" s="301" t="str">
        <f t="shared" si="11"/>
        <v/>
      </c>
      <c r="BB30" s="303">
        <f t="shared" si="25"/>
        <v>0</v>
      </c>
      <c r="BC30" s="303" t="str">
        <f t="shared" si="26"/>
        <v/>
      </c>
      <c r="BD30" s="303" t="str">
        <f t="shared" si="27"/>
        <v/>
      </c>
      <c r="BF30" s="304">
        <f t="shared" si="28"/>
        <v>0</v>
      </c>
      <c r="BG30" s="304">
        <f t="shared" si="29"/>
        <v>0</v>
      </c>
      <c r="BH30" s="304" t="str">
        <f>IF( $B30="", "", IF(ISNA(VLOOKUP($C30, Defesa!$C$8:$C$30,1,FALSE)),1,0))</f>
        <v/>
      </c>
      <c r="BI30" s="305" t="str">
        <f t="shared" si="30"/>
        <v/>
      </c>
      <c r="BJ30" s="305" t="str">
        <f t="shared" si="31"/>
        <v/>
      </c>
      <c r="BK30" s="304" t="str">
        <f t="shared" si="32"/>
        <v/>
      </c>
      <c r="BL30" s="304">
        <f t="shared" si="33"/>
        <v>0</v>
      </c>
      <c r="BM30" s="304" t="str">
        <f>IF($AC30="", "", IF(ISNA(VLOOKUP($AC30, TABELAS!$Q:$Q, 1, FALSE)), 1, 0))</f>
        <v/>
      </c>
      <c r="BN30" s="306" t="str">
        <f t="shared" si="34"/>
        <v/>
      </c>
      <c r="BO30" s="304" t="str">
        <f t="shared" si="35"/>
        <v/>
      </c>
      <c r="BP30" s="304" t="str">
        <f t="shared" si="36"/>
        <v/>
      </c>
      <c r="BQ30" s="305" t="str">
        <f t="shared" si="37"/>
        <v/>
      </c>
      <c r="BR30" s="304" t="str">
        <f t="shared" si="38"/>
        <v/>
      </c>
      <c r="BS30" s="304" t="str">
        <f t="shared" si="39"/>
        <v/>
      </c>
      <c r="BT30" s="304" t="str">
        <f>IF(OR($B30="", $AH30 = "SIM"), "", IF( ISNA(VLOOKUP($AP30,#REF!, 1, FALSE)), 1, 0))</f>
        <v/>
      </c>
      <c r="BU30" s="304" t="str">
        <f t="shared" si="40"/>
        <v/>
      </c>
      <c r="BV30" s="304" t="str">
        <f>IF( $B30="", "", IF( ISNA(VLOOKUP($AN30, TABELAS!$T$2:$T$9,1,FALSE)), 1, 0))</f>
        <v/>
      </c>
      <c r="BW30" s="304" t="str">
        <f t="shared" si="41"/>
        <v/>
      </c>
      <c r="BX30" s="304" t="str">
        <f>IF( OR($B30="", $AH30 = "SIM"), "", IF( ISNA( VLOOKUP( $AQ30, SISTEMA!$B:$B, 1, FALSE)), 1, 0))</f>
        <v/>
      </c>
      <c r="BY30" s="305" t="str">
        <f t="shared" si="42"/>
        <v/>
      </c>
      <c r="BZ30" s="305" t="str">
        <f t="shared" si="43"/>
        <v/>
      </c>
      <c r="CA30" s="304" t="str">
        <f t="shared" si="44"/>
        <v/>
      </c>
      <c r="CB30" s="305" t="str">
        <f t="shared" si="45"/>
        <v/>
      </c>
      <c r="CC30" s="305" t="str">
        <f t="shared" si="46"/>
        <v/>
      </c>
      <c r="CD30" s="305" t="str">
        <f t="shared" si="47"/>
        <v/>
      </c>
    </row>
    <row r="31" spans="1:82" ht="14.25" x14ac:dyDescent="0.2">
      <c r="A31" s="235"/>
      <c r="B31" s="236" t="str">
        <f t="shared" si="12"/>
        <v/>
      </c>
      <c r="C31" s="237" t="str">
        <f t="shared" si="2"/>
        <v/>
      </c>
      <c r="D31" s="237" t="str">
        <f t="shared" si="13"/>
        <v/>
      </c>
      <c r="E31" s="237" t="str">
        <f>IF($C31="", "", COUNTIF($M$8:$M31,$D31))</f>
        <v/>
      </c>
      <c r="F31" s="238">
        <v>24</v>
      </c>
      <c r="G31" s="239"/>
      <c r="H31" s="240"/>
      <c r="I31" s="240"/>
      <c r="J31" s="241"/>
      <c r="K31" s="240"/>
      <c r="L31" s="240"/>
      <c r="M31" s="240"/>
      <c r="N31" s="242"/>
      <c r="O31" s="243"/>
      <c r="P31" s="243"/>
      <c r="Q31" s="243"/>
      <c r="R31" s="243"/>
      <c r="S31" s="243"/>
      <c r="T31" s="245"/>
      <c r="U31" s="246" t="str">
        <f>IF($T31="", "", VLOOKUP($T31, CONTRATOS!$B:$E, 2, FALSE))</f>
        <v/>
      </c>
      <c r="V31" s="247">
        <f>IF(OR($T31="",TB_DEFESA!$C$2="Criação Baseline"),0,
   IF(VLOOKUP($T31, CONTRATOS!B:E, 3, FALSE)&lt;&gt;"",1,IF(VLOOKUP($T31, CONTRATOS!B:E, 4, FALSE)&lt;&gt;"",2,0)))</f>
        <v>0</v>
      </c>
      <c r="W31" s="257"/>
      <c r="X31" s="248"/>
      <c r="Y31" s="249"/>
      <c r="Z31" s="250"/>
      <c r="AA31" s="251"/>
      <c r="AB31" s="252"/>
      <c r="AC31" s="253"/>
      <c r="AD31" s="251"/>
      <c r="AE31" s="254" t="str">
        <f t="shared" si="3"/>
        <v/>
      </c>
      <c r="AF31" s="256" t="str">
        <f t="shared" si="14"/>
        <v/>
      </c>
      <c r="AG31" s="293" t="s">
        <v>62</v>
      </c>
      <c r="AH31" s="294" t="str">
        <f t="shared" si="15"/>
        <v/>
      </c>
      <c r="AI31" s="294" t="str">
        <f t="shared" si="16"/>
        <v/>
      </c>
      <c r="AJ31" s="295" t="str">
        <f t="shared" si="17"/>
        <v/>
      </c>
      <c r="AK31" s="296" t="str">
        <f t="shared" si="18"/>
        <v/>
      </c>
      <c r="AL31" s="297" t="str">
        <f t="shared" si="19"/>
        <v/>
      </c>
      <c r="AM31" s="294" t="str">
        <f t="shared" si="20"/>
        <v/>
      </c>
      <c r="AN31" s="294" t="str">
        <f t="shared" si="21"/>
        <v/>
      </c>
      <c r="AO31" s="298" t="str">
        <f t="shared" si="22"/>
        <v/>
      </c>
      <c r="AP31" s="299" t="str">
        <f t="shared" si="23"/>
        <v/>
      </c>
      <c r="AQ31" s="299" t="str">
        <f t="shared" si="24"/>
        <v/>
      </c>
      <c r="AR31" s="300" t="str">
        <f t="shared" si="4"/>
        <v/>
      </c>
      <c r="AS31" s="300" t="str">
        <f t="shared" si="5"/>
        <v/>
      </c>
      <c r="AT31" s="294" t="str">
        <f t="shared" si="6"/>
        <v/>
      </c>
      <c r="AU31" s="301" t="str">
        <f>IF(OR($B31="", $AP31= ""),"",IF(VLOOKUP($AP31, CONTRATOS!B:K,3,FALSE)="","",VLOOKUP($AP31, CONTRATOS!B:K, 3,FALSE)))</f>
        <v/>
      </c>
      <c r="AV31" s="301" t="str">
        <f>IF(OR($B31="", $AP31 = ""), "", IF(VLOOKUP($AP31, CONTRATOS!B:K,4,FALSE)="","",VLOOKUP($AP31, CONTRATOS!B:K,4, FALSE)))</f>
        <v/>
      </c>
      <c r="AW31" s="302" t="str">
        <f t="shared" si="7"/>
        <v/>
      </c>
      <c r="AX31" s="301" t="str">
        <f t="shared" si="8"/>
        <v/>
      </c>
      <c r="AY31" s="301" t="str">
        <f t="shared" si="9"/>
        <v/>
      </c>
      <c r="AZ31" s="301" t="str">
        <f t="shared" si="10"/>
        <v/>
      </c>
      <c r="BA31" s="301" t="str">
        <f t="shared" si="11"/>
        <v/>
      </c>
      <c r="BB31" s="303">
        <f t="shared" si="25"/>
        <v>0</v>
      </c>
      <c r="BC31" s="303" t="str">
        <f t="shared" si="26"/>
        <v/>
      </c>
      <c r="BD31" s="303" t="str">
        <f t="shared" si="27"/>
        <v/>
      </c>
      <c r="BF31" s="304">
        <f t="shared" si="28"/>
        <v>0</v>
      </c>
      <c r="BG31" s="304">
        <f t="shared" si="29"/>
        <v>0</v>
      </c>
      <c r="BH31" s="304" t="str">
        <f>IF( $B31="", "", IF(ISNA(VLOOKUP($C31, Defesa!$C$8:$C$30,1,FALSE)),1,0))</f>
        <v/>
      </c>
      <c r="BI31" s="305" t="str">
        <f t="shared" si="30"/>
        <v/>
      </c>
      <c r="BJ31" s="305" t="str">
        <f t="shared" si="31"/>
        <v/>
      </c>
      <c r="BK31" s="304" t="str">
        <f t="shared" si="32"/>
        <v/>
      </c>
      <c r="BL31" s="304">
        <f t="shared" si="33"/>
        <v>0</v>
      </c>
      <c r="BM31" s="304" t="str">
        <f>IF($AC31="", "", IF(ISNA(VLOOKUP($AC31, TABELAS!$Q:$Q, 1, FALSE)), 1, 0))</f>
        <v/>
      </c>
      <c r="BN31" s="306" t="str">
        <f t="shared" si="34"/>
        <v/>
      </c>
      <c r="BO31" s="304" t="str">
        <f t="shared" si="35"/>
        <v/>
      </c>
      <c r="BP31" s="304" t="str">
        <f t="shared" si="36"/>
        <v/>
      </c>
      <c r="BQ31" s="305" t="str">
        <f t="shared" si="37"/>
        <v/>
      </c>
      <c r="BR31" s="304" t="str">
        <f t="shared" si="38"/>
        <v/>
      </c>
      <c r="BS31" s="304" t="str">
        <f t="shared" si="39"/>
        <v/>
      </c>
      <c r="BT31" s="304" t="str">
        <f>IF(OR($B31="", $AH31 = "SIM"), "", IF( ISNA(VLOOKUP($AP31,#REF!, 1, FALSE)), 1, 0))</f>
        <v/>
      </c>
      <c r="BU31" s="304" t="str">
        <f t="shared" si="40"/>
        <v/>
      </c>
      <c r="BV31" s="304" t="str">
        <f>IF( $B31="", "", IF( ISNA(VLOOKUP($AN31, TABELAS!$T$2:$T$9,1,FALSE)), 1, 0))</f>
        <v/>
      </c>
      <c r="BW31" s="304" t="str">
        <f t="shared" si="41"/>
        <v/>
      </c>
      <c r="BX31" s="304" t="str">
        <f>IF( OR($B31="", $AH31 = "SIM"), "", IF( ISNA( VLOOKUP( $AQ31, SISTEMA!$B:$B, 1, FALSE)), 1, 0))</f>
        <v/>
      </c>
      <c r="BY31" s="305" t="str">
        <f t="shared" si="42"/>
        <v/>
      </c>
      <c r="BZ31" s="305" t="str">
        <f t="shared" si="43"/>
        <v/>
      </c>
      <c r="CA31" s="304" t="str">
        <f t="shared" si="44"/>
        <v/>
      </c>
      <c r="CB31" s="305" t="str">
        <f t="shared" si="45"/>
        <v/>
      </c>
      <c r="CC31" s="305" t="str">
        <f t="shared" si="46"/>
        <v/>
      </c>
      <c r="CD31" s="305" t="str">
        <f t="shared" si="47"/>
        <v/>
      </c>
    </row>
    <row r="32" spans="1:82" x14ac:dyDescent="0.2">
      <c r="A32" s="235"/>
      <c r="B32" s="236" t="str">
        <f t="shared" si="12"/>
        <v/>
      </c>
      <c r="C32" s="237" t="str">
        <f t="shared" si="2"/>
        <v/>
      </c>
      <c r="D32" s="237" t="str">
        <f t="shared" si="13"/>
        <v/>
      </c>
      <c r="E32" s="237" t="str">
        <f>IF($C32="", "", COUNTIF($M$8:$M32,$D32))</f>
        <v/>
      </c>
      <c r="F32" s="238">
        <v>25</v>
      </c>
      <c r="G32" s="239"/>
      <c r="H32" s="240"/>
      <c r="I32" s="240"/>
      <c r="J32" s="241"/>
      <c r="K32" s="240"/>
      <c r="L32" s="240"/>
      <c r="M32" s="240"/>
      <c r="N32" s="242"/>
      <c r="O32" s="243"/>
      <c r="P32" s="243"/>
      <c r="Q32" s="243"/>
      <c r="R32" s="243"/>
      <c r="S32" s="243"/>
      <c r="T32" s="245"/>
      <c r="U32" s="246" t="str">
        <f>IF($T32="", "", VLOOKUP($T32, CONTRATOS!$B:$E, 2, FALSE))</f>
        <v/>
      </c>
      <c r="V32" s="247">
        <f>IF(OR($T32="",TB_DEFESA!$C$2="Criação Baseline"),0,
   IF(VLOOKUP($T32, CONTRATOS!B:E, 3, FALSE)&lt;&gt;"",1,IF(VLOOKUP($T32, CONTRATOS!B:E, 4, FALSE)&lt;&gt;"",2,0)))</f>
        <v>0</v>
      </c>
      <c r="W32" s="248"/>
      <c r="X32" s="248"/>
      <c r="Y32" s="249"/>
      <c r="Z32" s="250"/>
      <c r="AA32" s="251"/>
      <c r="AB32" s="252"/>
      <c r="AC32" s="253"/>
      <c r="AD32" s="251"/>
      <c r="AE32" s="254" t="str">
        <f t="shared" si="3"/>
        <v/>
      </c>
      <c r="AF32" s="256" t="str">
        <f t="shared" si="14"/>
        <v/>
      </c>
      <c r="AG32" s="293" t="s">
        <v>62</v>
      </c>
      <c r="AH32" s="294" t="str">
        <f t="shared" si="15"/>
        <v/>
      </c>
      <c r="AI32" s="294" t="str">
        <f t="shared" si="16"/>
        <v/>
      </c>
      <c r="AJ32" s="295" t="str">
        <f t="shared" si="17"/>
        <v/>
      </c>
      <c r="AK32" s="296" t="str">
        <f t="shared" si="18"/>
        <v/>
      </c>
      <c r="AL32" s="297" t="str">
        <f t="shared" si="19"/>
        <v/>
      </c>
      <c r="AM32" s="294" t="str">
        <f t="shared" si="20"/>
        <v/>
      </c>
      <c r="AN32" s="294" t="str">
        <f t="shared" si="21"/>
        <v/>
      </c>
      <c r="AO32" s="298" t="str">
        <f t="shared" si="22"/>
        <v/>
      </c>
      <c r="AP32" s="299" t="str">
        <f t="shared" si="23"/>
        <v/>
      </c>
      <c r="AQ32" s="299" t="str">
        <f t="shared" si="24"/>
        <v/>
      </c>
      <c r="AR32" s="300" t="str">
        <f t="shared" si="4"/>
        <v/>
      </c>
      <c r="AS32" s="300" t="str">
        <f t="shared" si="5"/>
        <v/>
      </c>
      <c r="AT32" s="294" t="str">
        <f t="shared" si="6"/>
        <v/>
      </c>
      <c r="AU32" s="301" t="str">
        <f>IF(OR($B32="", $AP32= ""),"",IF(VLOOKUP($AP32, CONTRATOS!B:K,3,FALSE)="","",VLOOKUP($AP32, CONTRATOS!B:K, 3,FALSE)))</f>
        <v/>
      </c>
      <c r="AV32" s="301" t="str">
        <f>IF(OR($B32="", $AP32 = ""), "", IF(VLOOKUP($AP32, CONTRATOS!B:K,4,FALSE)="","",VLOOKUP($AP32, CONTRATOS!B:K,4, FALSE)))</f>
        <v/>
      </c>
      <c r="AW32" s="302" t="str">
        <f t="shared" si="7"/>
        <v/>
      </c>
      <c r="AX32" s="301" t="str">
        <f t="shared" si="8"/>
        <v/>
      </c>
      <c r="AY32" s="301" t="str">
        <f t="shared" si="9"/>
        <v/>
      </c>
      <c r="AZ32" s="301" t="str">
        <f t="shared" si="10"/>
        <v/>
      </c>
      <c r="BA32" s="301" t="str">
        <f t="shared" si="11"/>
        <v/>
      </c>
      <c r="BB32" s="303">
        <f t="shared" si="25"/>
        <v>0</v>
      </c>
      <c r="BC32" s="303" t="str">
        <f t="shared" si="26"/>
        <v/>
      </c>
      <c r="BD32" s="303" t="str">
        <f t="shared" si="27"/>
        <v/>
      </c>
      <c r="BF32" s="304">
        <f t="shared" si="28"/>
        <v>0</v>
      </c>
      <c r="BG32" s="304">
        <f t="shared" si="29"/>
        <v>0</v>
      </c>
      <c r="BH32" s="304" t="str">
        <f>IF( $B32="", "", IF(ISNA(VLOOKUP($C32, Defesa!$C$8:$C$30,1,FALSE)),1,0))</f>
        <v/>
      </c>
      <c r="BI32" s="305" t="str">
        <f t="shared" si="30"/>
        <v/>
      </c>
      <c r="BJ32" s="305" t="str">
        <f t="shared" si="31"/>
        <v/>
      </c>
      <c r="BK32" s="304" t="str">
        <f t="shared" si="32"/>
        <v/>
      </c>
      <c r="BL32" s="304">
        <f t="shared" si="33"/>
        <v>0</v>
      </c>
      <c r="BM32" s="304" t="str">
        <f>IF($AC32="", "", IF(ISNA(VLOOKUP($AC32, TABELAS!$Q:$Q, 1, FALSE)), 1, 0))</f>
        <v/>
      </c>
      <c r="BN32" s="306" t="str">
        <f t="shared" si="34"/>
        <v/>
      </c>
      <c r="BO32" s="304" t="str">
        <f t="shared" si="35"/>
        <v/>
      </c>
      <c r="BP32" s="304" t="str">
        <f t="shared" si="36"/>
        <v/>
      </c>
      <c r="BQ32" s="305" t="str">
        <f t="shared" si="37"/>
        <v/>
      </c>
      <c r="BR32" s="304" t="str">
        <f t="shared" si="38"/>
        <v/>
      </c>
      <c r="BS32" s="304" t="str">
        <f t="shared" si="39"/>
        <v/>
      </c>
      <c r="BT32" s="304" t="str">
        <f>IF(OR($B32="", $AH32 = "SIM"), "", IF( ISNA(VLOOKUP($AP32,#REF!, 1, FALSE)), 1, 0))</f>
        <v/>
      </c>
      <c r="BU32" s="304" t="str">
        <f t="shared" si="40"/>
        <v/>
      </c>
      <c r="BV32" s="304" t="str">
        <f>IF( $B32="", "", IF( ISNA(VLOOKUP($AN32, TABELAS!$T$2:$T$9,1,FALSE)), 1, 0))</f>
        <v/>
      </c>
      <c r="BW32" s="304" t="str">
        <f t="shared" si="41"/>
        <v/>
      </c>
      <c r="BX32" s="304" t="str">
        <f>IF( OR($B32="", $AH32 = "SIM"), "", IF( ISNA( VLOOKUP( $AQ32, SISTEMA!$B:$B, 1, FALSE)), 1, 0))</f>
        <v/>
      </c>
      <c r="BY32" s="305" t="str">
        <f t="shared" si="42"/>
        <v/>
      </c>
      <c r="BZ32" s="305" t="str">
        <f t="shared" si="43"/>
        <v/>
      </c>
      <c r="CA32" s="304" t="str">
        <f t="shared" si="44"/>
        <v/>
      </c>
      <c r="CB32" s="305" t="str">
        <f t="shared" si="45"/>
        <v/>
      </c>
      <c r="CC32" s="305" t="str">
        <f t="shared" si="46"/>
        <v/>
      </c>
      <c r="CD32" s="305" t="str">
        <f t="shared" si="47"/>
        <v/>
      </c>
    </row>
    <row r="33" spans="1:82" x14ac:dyDescent="0.2">
      <c r="A33" s="235"/>
      <c r="B33" s="236" t="str">
        <f t="shared" si="12"/>
        <v/>
      </c>
      <c r="C33" s="237" t="str">
        <f t="shared" si="2"/>
        <v/>
      </c>
      <c r="D33" s="237" t="str">
        <f t="shared" si="13"/>
        <v/>
      </c>
      <c r="E33" s="237" t="str">
        <f>IF($C33="", "", COUNTIF($M$8:$M33,$D33))</f>
        <v/>
      </c>
      <c r="F33" s="238">
        <v>26</v>
      </c>
      <c r="G33" s="239"/>
      <c r="H33" s="240"/>
      <c r="I33" s="240"/>
      <c r="J33" s="241"/>
      <c r="K33" s="240"/>
      <c r="L33" s="240"/>
      <c r="M33" s="240"/>
      <c r="N33" s="242"/>
      <c r="O33" s="243"/>
      <c r="P33" s="243"/>
      <c r="Q33" s="243"/>
      <c r="R33" s="243"/>
      <c r="S33" s="243"/>
      <c r="T33" s="245"/>
      <c r="U33" s="246" t="str">
        <f>IF($T33="", "", VLOOKUP($T33, CONTRATOS!$B:$E, 2, FALSE))</f>
        <v/>
      </c>
      <c r="V33" s="247">
        <f>IF(OR($T33="",TB_DEFESA!$C$2="Criação Baseline"),0,
   IF(VLOOKUP($T33, CONTRATOS!B:E, 3, FALSE)&lt;&gt;"",1,IF(VLOOKUP($T33, CONTRATOS!B:E, 4, FALSE)&lt;&gt;"",2,0)))</f>
        <v>0</v>
      </c>
      <c r="W33" s="248"/>
      <c r="X33" s="248"/>
      <c r="Y33" s="249"/>
      <c r="Z33" s="250"/>
      <c r="AA33" s="251"/>
      <c r="AB33" s="252"/>
      <c r="AC33" s="253"/>
      <c r="AD33" s="251"/>
      <c r="AE33" s="254" t="str">
        <f t="shared" si="3"/>
        <v/>
      </c>
      <c r="AF33" s="256" t="str">
        <f t="shared" si="14"/>
        <v/>
      </c>
      <c r="AG33" s="293" t="s">
        <v>62</v>
      </c>
      <c r="AH33" s="294" t="str">
        <f t="shared" si="15"/>
        <v/>
      </c>
      <c r="AI33" s="294" t="str">
        <f t="shared" si="16"/>
        <v/>
      </c>
      <c r="AJ33" s="295" t="str">
        <f t="shared" si="17"/>
        <v/>
      </c>
      <c r="AK33" s="296" t="str">
        <f t="shared" si="18"/>
        <v/>
      </c>
      <c r="AL33" s="297" t="str">
        <f t="shared" si="19"/>
        <v/>
      </c>
      <c r="AM33" s="294" t="str">
        <f t="shared" si="20"/>
        <v/>
      </c>
      <c r="AN33" s="294" t="str">
        <f t="shared" si="21"/>
        <v/>
      </c>
      <c r="AO33" s="298" t="str">
        <f t="shared" si="22"/>
        <v/>
      </c>
      <c r="AP33" s="299" t="str">
        <f t="shared" si="23"/>
        <v/>
      </c>
      <c r="AQ33" s="299" t="str">
        <f t="shared" si="24"/>
        <v/>
      </c>
      <c r="AR33" s="300" t="str">
        <f t="shared" si="4"/>
        <v/>
      </c>
      <c r="AS33" s="300" t="str">
        <f t="shared" si="5"/>
        <v/>
      </c>
      <c r="AT33" s="294" t="str">
        <f t="shared" si="6"/>
        <v/>
      </c>
      <c r="AU33" s="301" t="str">
        <f>IF(OR($B33="", $AP33= ""),"",IF(VLOOKUP($AP33, CONTRATOS!B:K,3,FALSE)="","",VLOOKUP($AP33, CONTRATOS!B:K, 3,FALSE)))</f>
        <v/>
      </c>
      <c r="AV33" s="301" t="str">
        <f>IF(OR($B33="", $AP33 = ""), "", IF(VLOOKUP($AP33, CONTRATOS!B:K,4,FALSE)="","",VLOOKUP($AP33, CONTRATOS!B:K,4, FALSE)))</f>
        <v/>
      </c>
      <c r="AW33" s="302" t="str">
        <f t="shared" si="7"/>
        <v/>
      </c>
      <c r="AX33" s="301" t="str">
        <f t="shared" si="8"/>
        <v/>
      </c>
      <c r="AY33" s="301" t="str">
        <f t="shared" si="9"/>
        <v/>
      </c>
      <c r="AZ33" s="301" t="str">
        <f t="shared" si="10"/>
        <v/>
      </c>
      <c r="BA33" s="301" t="str">
        <f t="shared" si="11"/>
        <v/>
      </c>
      <c r="BB33" s="303">
        <f t="shared" si="25"/>
        <v>0</v>
      </c>
      <c r="BC33" s="303" t="str">
        <f t="shared" si="26"/>
        <v/>
      </c>
      <c r="BD33" s="303" t="str">
        <f t="shared" si="27"/>
        <v/>
      </c>
      <c r="BF33" s="304">
        <f t="shared" si="28"/>
        <v>0</v>
      </c>
      <c r="BG33" s="304">
        <f t="shared" si="29"/>
        <v>0</v>
      </c>
      <c r="BH33" s="304" t="str">
        <f>IF( $B33="", "", IF(ISNA(VLOOKUP($C33, Defesa!$C$8:$C$30,1,FALSE)),1,0))</f>
        <v/>
      </c>
      <c r="BI33" s="305" t="str">
        <f t="shared" si="30"/>
        <v/>
      </c>
      <c r="BJ33" s="305" t="str">
        <f t="shared" si="31"/>
        <v/>
      </c>
      <c r="BK33" s="304" t="str">
        <f t="shared" si="32"/>
        <v/>
      </c>
      <c r="BL33" s="304">
        <f t="shared" si="33"/>
        <v>0</v>
      </c>
      <c r="BM33" s="304" t="str">
        <f>IF($AC33="", "", IF(ISNA(VLOOKUP($AC33, TABELAS!$Q:$Q, 1, FALSE)), 1, 0))</f>
        <v/>
      </c>
      <c r="BN33" s="306" t="str">
        <f t="shared" si="34"/>
        <v/>
      </c>
      <c r="BO33" s="304" t="str">
        <f t="shared" si="35"/>
        <v/>
      </c>
      <c r="BP33" s="304" t="str">
        <f t="shared" si="36"/>
        <v/>
      </c>
      <c r="BQ33" s="305" t="str">
        <f t="shared" si="37"/>
        <v/>
      </c>
      <c r="BR33" s="304" t="str">
        <f t="shared" si="38"/>
        <v/>
      </c>
      <c r="BS33" s="304" t="str">
        <f t="shared" si="39"/>
        <v/>
      </c>
      <c r="BT33" s="304" t="str">
        <f>IF(OR($B33="", $AH33 = "SIM"), "", IF( ISNA(VLOOKUP($AP33,#REF!, 1, FALSE)), 1, 0))</f>
        <v/>
      </c>
      <c r="BU33" s="304" t="str">
        <f t="shared" si="40"/>
        <v/>
      </c>
      <c r="BV33" s="304" t="str">
        <f>IF( $B33="", "", IF( ISNA(VLOOKUP($AN33, TABELAS!$T$2:$T$9,1,FALSE)), 1, 0))</f>
        <v/>
      </c>
      <c r="BW33" s="304" t="str">
        <f t="shared" si="41"/>
        <v/>
      </c>
      <c r="BX33" s="304" t="str">
        <f>IF( OR($B33="", $AH33 = "SIM"), "", IF( ISNA( VLOOKUP( $AQ33, SISTEMA!$B:$B, 1, FALSE)), 1, 0))</f>
        <v/>
      </c>
      <c r="BY33" s="305" t="str">
        <f t="shared" si="42"/>
        <v/>
      </c>
      <c r="BZ33" s="305" t="str">
        <f t="shared" si="43"/>
        <v/>
      </c>
      <c r="CA33" s="304" t="str">
        <f t="shared" si="44"/>
        <v/>
      </c>
      <c r="CB33" s="305" t="str">
        <f t="shared" si="45"/>
        <v/>
      </c>
      <c r="CC33" s="305" t="str">
        <f t="shared" si="46"/>
        <v/>
      </c>
      <c r="CD33" s="305" t="str">
        <f t="shared" si="47"/>
        <v/>
      </c>
    </row>
    <row r="34" spans="1:82" x14ac:dyDescent="0.2">
      <c r="A34" s="235"/>
      <c r="B34" s="236" t="str">
        <f t="shared" si="12"/>
        <v/>
      </c>
      <c r="C34" s="237" t="str">
        <f t="shared" si="2"/>
        <v/>
      </c>
      <c r="D34" s="237" t="str">
        <f t="shared" si="13"/>
        <v/>
      </c>
      <c r="E34" s="237" t="str">
        <f>IF($C34="", "", COUNTIF($M$8:$M34,$D34))</f>
        <v/>
      </c>
      <c r="F34" s="238">
        <v>27</v>
      </c>
      <c r="G34" s="239"/>
      <c r="H34" s="240"/>
      <c r="I34" s="240"/>
      <c r="J34" s="241"/>
      <c r="K34" s="240"/>
      <c r="L34" s="240"/>
      <c r="M34" s="240"/>
      <c r="N34" s="242"/>
      <c r="O34" s="243"/>
      <c r="P34" s="243"/>
      <c r="Q34" s="243"/>
      <c r="R34" s="243"/>
      <c r="S34" s="243"/>
      <c r="T34" s="245"/>
      <c r="U34" s="246" t="str">
        <f>IF($T34="", "", VLOOKUP($T34, CONTRATOS!$B:$E, 2, FALSE))</f>
        <v/>
      </c>
      <c r="V34" s="247">
        <f>IF(OR($T34="",TB_DEFESA!$C$2="Criação Baseline"),0,
   IF(VLOOKUP($T34, CONTRATOS!B:E, 3, FALSE)&lt;&gt;"",1,IF(VLOOKUP($T34, CONTRATOS!B:E, 4, FALSE)&lt;&gt;"",2,0)))</f>
        <v>0</v>
      </c>
      <c r="W34" s="248"/>
      <c r="X34" s="248"/>
      <c r="Y34" s="249"/>
      <c r="Z34" s="250"/>
      <c r="AA34" s="251"/>
      <c r="AB34" s="252"/>
      <c r="AC34" s="253"/>
      <c r="AD34" s="251"/>
      <c r="AE34" s="254" t="str">
        <f t="shared" si="3"/>
        <v/>
      </c>
      <c r="AF34" s="256" t="str">
        <f t="shared" si="14"/>
        <v/>
      </c>
      <c r="AG34" s="293" t="s">
        <v>62</v>
      </c>
      <c r="AH34" s="294" t="str">
        <f t="shared" si="15"/>
        <v/>
      </c>
      <c r="AI34" s="294" t="str">
        <f t="shared" si="16"/>
        <v/>
      </c>
      <c r="AJ34" s="295" t="str">
        <f t="shared" si="17"/>
        <v/>
      </c>
      <c r="AK34" s="296" t="str">
        <f t="shared" si="18"/>
        <v/>
      </c>
      <c r="AL34" s="297" t="str">
        <f t="shared" si="19"/>
        <v/>
      </c>
      <c r="AM34" s="294" t="str">
        <f t="shared" si="20"/>
        <v/>
      </c>
      <c r="AN34" s="294" t="str">
        <f t="shared" si="21"/>
        <v/>
      </c>
      <c r="AO34" s="298" t="str">
        <f t="shared" si="22"/>
        <v/>
      </c>
      <c r="AP34" s="299" t="str">
        <f t="shared" si="23"/>
        <v/>
      </c>
      <c r="AQ34" s="299" t="str">
        <f t="shared" si="24"/>
        <v/>
      </c>
      <c r="AR34" s="300" t="str">
        <f t="shared" si="4"/>
        <v/>
      </c>
      <c r="AS34" s="300" t="str">
        <f t="shared" si="5"/>
        <v/>
      </c>
      <c r="AT34" s="294" t="str">
        <f t="shared" si="6"/>
        <v/>
      </c>
      <c r="AU34" s="301" t="str">
        <f>IF(OR($B34="", $AP34= ""),"",IF(VLOOKUP($AP34, CONTRATOS!B:K,3,FALSE)="","",VLOOKUP($AP34, CONTRATOS!B:K, 3,FALSE)))</f>
        <v/>
      </c>
      <c r="AV34" s="301" t="str">
        <f>IF(OR($B34="", $AP34 = ""), "", IF(VLOOKUP($AP34, CONTRATOS!B:K,4,FALSE)="","",VLOOKUP($AP34, CONTRATOS!B:K,4, FALSE)))</f>
        <v/>
      </c>
      <c r="AW34" s="302" t="str">
        <f t="shared" si="7"/>
        <v/>
      </c>
      <c r="AX34" s="301" t="str">
        <f t="shared" si="8"/>
        <v/>
      </c>
      <c r="AY34" s="301" t="str">
        <f t="shared" si="9"/>
        <v/>
      </c>
      <c r="AZ34" s="301" t="str">
        <f t="shared" si="10"/>
        <v/>
      </c>
      <c r="BA34" s="301" t="str">
        <f t="shared" si="11"/>
        <v/>
      </c>
      <c r="BB34" s="303">
        <f t="shared" si="25"/>
        <v>0</v>
      </c>
      <c r="BC34" s="303" t="str">
        <f t="shared" si="26"/>
        <v/>
      </c>
      <c r="BD34" s="303" t="str">
        <f t="shared" si="27"/>
        <v/>
      </c>
      <c r="BF34" s="304">
        <f t="shared" si="28"/>
        <v>0</v>
      </c>
      <c r="BG34" s="304">
        <f t="shared" si="29"/>
        <v>0</v>
      </c>
      <c r="BH34" s="304" t="str">
        <f>IF( $B34="", "", IF(ISNA(VLOOKUP($C34, Defesa!$C$8:$C$30,1,FALSE)),1,0))</f>
        <v/>
      </c>
      <c r="BI34" s="305" t="str">
        <f t="shared" si="30"/>
        <v/>
      </c>
      <c r="BJ34" s="305" t="str">
        <f t="shared" si="31"/>
        <v/>
      </c>
      <c r="BK34" s="304" t="str">
        <f t="shared" si="32"/>
        <v/>
      </c>
      <c r="BL34" s="304">
        <f t="shared" si="33"/>
        <v>0</v>
      </c>
      <c r="BM34" s="304" t="str">
        <f>IF($AC34="", "", IF(ISNA(VLOOKUP($AC34, TABELAS!$Q:$Q, 1, FALSE)), 1, 0))</f>
        <v/>
      </c>
      <c r="BN34" s="306" t="str">
        <f t="shared" si="34"/>
        <v/>
      </c>
      <c r="BO34" s="304" t="str">
        <f t="shared" si="35"/>
        <v/>
      </c>
      <c r="BP34" s="304" t="str">
        <f t="shared" si="36"/>
        <v/>
      </c>
      <c r="BQ34" s="305" t="str">
        <f t="shared" si="37"/>
        <v/>
      </c>
      <c r="BR34" s="304" t="str">
        <f t="shared" si="38"/>
        <v/>
      </c>
      <c r="BS34" s="304" t="str">
        <f t="shared" si="39"/>
        <v/>
      </c>
      <c r="BT34" s="304" t="str">
        <f>IF(OR($B34="", $AH34 = "SIM"), "", IF( ISNA(VLOOKUP($AP34,#REF!, 1, FALSE)), 1, 0))</f>
        <v/>
      </c>
      <c r="BU34" s="304" t="str">
        <f t="shared" si="40"/>
        <v/>
      </c>
      <c r="BV34" s="304" t="str">
        <f>IF( $B34="", "", IF( ISNA(VLOOKUP($AN34, TABELAS!$T$2:$T$9,1,FALSE)), 1, 0))</f>
        <v/>
      </c>
      <c r="BW34" s="304" t="str">
        <f t="shared" si="41"/>
        <v/>
      </c>
      <c r="BX34" s="304" t="str">
        <f>IF( OR($B34="", $AH34 = "SIM"), "", IF( ISNA( VLOOKUP( $AQ34, SISTEMA!$B:$B, 1, FALSE)), 1, 0))</f>
        <v/>
      </c>
      <c r="BY34" s="305" t="str">
        <f t="shared" si="42"/>
        <v/>
      </c>
      <c r="BZ34" s="305" t="str">
        <f t="shared" si="43"/>
        <v/>
      </c>
      <c r="CA34" s="304" t="str">
        <f t="shared" si="44"/>
        <v/>
      </c>
      <c r="CB34" s="305" t="str">
        <f t="shared" si="45"/>
        <v/>
      </c>
      <c r="CC34" s="305" t="str">
        <f t="shared" si="46"/>
        <v/>
      </c>
      <c r="CD34" s="305" t="str">
        <f t="shared" si="47"/>
        <v/>
      </c>
    </row>
    <row r="35" spans="1:82" x14ac:dyDescent="0.2">
      <c r="A35" s="235"/>
      <c r="B35" s="236" t="str">
        <f t="shared" si="12"/>
        <v/>
      </c>
      <c r="C35" s="237" t="str">
        <f t="shared" si="2"/>
        <v/>
      </c>
      <c r="D35" s="237" t="str">
        <f t="shared" si="13"/>
        <v/>
      </c>
      <c r="E35" s="237" t="str">
        <f>IF($C35="", "", COUNTIF($M$8:$M35,$D35))</f>
        <v/>
      </c>
      <c r="F35" s="238">
        <v>28</v>
      </c>
      <c r="G35" s="239"/>
      <c r="H35" s="240"/>
      <c r="I35" s="240"/>
      <c r="J35" s="241"/>
      <c r="K35" s="240"/>
      <c r="L35" s="240"/>
      <c r="M35" s="240"/>
      <c r="N35" s="242"/>
      <c r="O35" s="243"/>
      <c r="P35" s="243"/>
      <c r="Q35" s="243"/>
      <c r="R35" s="243"/>
      <c r="S35" s="243"/>
      <c r="T35" s="245"/>
      <c r="U35" s="246" t="str">
        <f>IF($T35="", "", VLOOKUP($T35, CONTRATOS!$B:$E, 2, FALSE))</f>
        <v/>
      </c>
      <c r="V35" s="247">
        <f>IF(OR($T35="",TB_DEFESA!$C$2="Criação Baseline"),0,
   IF(VLOOKUP($T35, CONTRATOS!B:E, 3, FALSE)&lt;&gt;"",1,IF(VLOOKUP($T35, CONTRATOS!B:E, 4, FALSE)&lt;&gt;"",2,0)))</f>
        <v>0</v>
      </c>
      <c r="W35" s="248"/>
      <c r="X35" s="248"/>
      <c r="Y35" s="249"/>
      <c r="Z35" s="250"/>
      <c r="AA35" s="251"/>
      <c r="AB35" s="252"/>
      <c r="AC35" s="253"/>
      <c r="AD35" s="251"/>
      <c r="AE35" s="254" t="str">
        <f t="shared" si="3"/>
        <v/>
      </c>
      <c r="AF35" s="256" t="str">
        <f t="shared" si="14"/>
        <v/>
      </c>
      <c r="AG35" s="293" t="s">
        <v>62</v>
      </c>
      <c r="AH35" s="294" t="str">
        <f t="shared" si="15"/>
        <v/>
      </c>
      <c r="AI35" s="294" t="str">
        <f t="shared" si="16"/>
        <v/>
      </c>
      <c r="AJ35" s="295" t="str">
        <f t="shared" si="17"/>
        <v/>
      </c>
      <c r="AK35" s="296" t="str">
        <f t="shared" si="18"/>
        <v/>
      </c>
      <c r="AL35" s="297" t="str">
        <f t="shared" si="19"/>
        <v/>
      </c>
      <c r="AM35" s="294" t="str">
        <f t="shared" si="20"/>
        <v/>
      </c>
      <c r="AN35" s="294" t="str">
        <f t="shared" si="21"/>
        <v/>
      </c>
      <c r="AO35" s="298" t="str">
        <f t="shared" si="22"/>
        <v/>
      </c>
      <c r="AP35" s="299" t="str">
        <f t="shared" si="23"/>
        <v/>
      </c>
      <c r="AQ35" s="299" t="str">
        <f t="shared" si="24"/>
        <v/>
      </c>
      <c r="AR35" s="300" t="str">
        <f t="shared" si="4"/>
        <v/>
      </c>
      <c r="AS35" s="300" t="str">
        <f t="shared" si="5"/>
        <v/>
      </c>
      <c r="AT35" s="294" t="str">
        <f t="shared" si="6"/>
        <v/>
      </c>
      <c r="AU35" s="301" t="str">
        <f>IF(OR($B35="", $AP35= ""),"",IF(VLOOKUP($AP35, CONTRATOS!B:K,3,FALSE)="","",VLOOKUP($AP35, CONTRATOS!B:K, 3,FALSE)))</f>
        <v/>
      </c>
      <c r="AV35" s="301" t="str">
        <f>IF(OR($B35="", $AP35 = ""), "", IF(VLOOKUP($AP35, CONTRATOS!B:K,4,FALSE)="","",VLOOKUP($AP35, CONTRATOS!B:K,4, FALSE)))</f>
        <v/>
      </c>
      <c r="AW35" s="302" t="str">
        <f t="shared" si="7"/>
        <v/>
      </c>
      <c r="AX35" s="301" t="str">
        <f t="shared" si="8"/>
        <v/>
      </c>
      <c r="AY35" s="301" t="str">
        <f t="shared" si="9"/>
        <v/>
      </c>
      <c r="AZ35" s="301" t="str">
        <f t="shared" si="10"/>
        <v/>
      </c>
      <c r="BA35" s="301" t="str">
        <f t="shared" si="11"/>
        <v/>
      </c>
      <c r="BB35" s="303">
        <f t="shared" si="25"/>
        <v>0</v>
      </c>
      <c r="BC35" s="303" t="str">
        <f t="shared" si="26"/>
        <v/>
      </c>
      <c r="BD35" s="303" t="str">
        <f t="shared" si="27"/>
        <v/>
      </c>
      <c r="BF35" s="304">
        <f t="shared" si="28"/>
        <v>0</v>
      </c>
      <c r="BG35" s="304">
        <f t="shared" si="29"/>
        <v>0</v>
      </c>
      <c r="BH35" s="304" t="str">
        <f>IF( $B35="", "", IF(ISNA(VLOOKUP($C35, Defesa!$C$8:$C$30,1,FALSE)),1,0))</f>
        <v/>
      </c>
      <c r="BI35" s="305" t="str">
        <f t="shared" si="30"/>
        <v/>
      </c>
      <c r="BJ35" s="305" t="str">
        <f t="shared" si="31"/>
        <v/>
      </c>
      <c r="BK35" s="304" t="str">
        <f t="shared" si="32"/>
        <v/>
      </c>
      <c r="BL35" s="304">
        <f t="shared" si="33"/>
        <v>0</v>
      </c>
      <c r="BM35" s="304" t="str">
        <f>IF($AC35="", "", IF(ISNA(VLOOKUP($AC35, TABELAS!$Q:$Q, 1, FALSE)), 1, 0))</f>
        <v/>
      </c>
      <c r="BN35" s="306" t="str">
        <f t="shared" si="34"/>
        <v/>
      </c>
      <c r="BO35" s="304" t="str">
        <f t="shared" si="35"/>
        <v/>
      </c>
      <c r="BP35" s="304" t="str">
        <f t="shared" si="36"/>
        <v/>
      </c>
      <c r="BQ35" s="305" t="str">
        <f t="shared" si="37"/>
        <v/>
      </c>
      <c r="BR35" s="304" t="str">
        <f t="shared" si="38"/>
        <v/>
      </c>
      <c r="BS35" s="304" t="str">
        <f t="shared" si="39"/>
        <v/>
      </c>
      <c r="BT35" s="304" t="str">
        <f>IF(OR($B35="", $AH35 = "SIM"), "", IF( ISNA(VLOOKUP($AP35,#REF!, 1, FALSE)), 1, 0))</f>
        <v/>
      </c>
      <c r="BU35" s="304" t="str">
        <f t="shared" si="40"/>
        <v/>
      </c>
      <c r="BV35" s="304" t="str">
        <f>IF( $B35="", "", IF( ISNA(VLOOKUP($AN35, TABELAS!$T$2:$T$9,1,FALSE)), 1, 0))</f>
        <v/>
      </c>
      <c r="BW35" s="304" t="str">
        <f t="shared" si="41"/>
        <v/>
      </c>
      <c r="BX35" s="304" t="str">
        <f>IF( OR($B35="", $AH35 = "SIM"), "", IF( ISNA( VLOOKUP( $AQ35, SISTEMA!$B:$B, 1, FALSE)), 1, 0))</f>
        <v/>
      </c>
      <c r="BY35" s="305" t="str">
        <f t="shared" si="42"/>
        <v/>
      </c>
      <c r="BZ35" s="305" t="str">
        <f t="shared" si="43"/>
        <v/>
      </c>
      <c r="CA35" s="304" t="str">
        <f t="shared" si="44"/>
        <v/>
      </c>
      <c r="CB35" s="305" t="str">
        <f t="shared" si="45"/>
        <v/>
      </c>
      <c r="CC35" s="305" t="str">
        <f t="shared" si="46"/>
        <v/>
      </c>
      <c r="CD35" s="305" t="str">
        <f t="shared" si="47"/>
        <v/>
      </c>
    </row>
    <row r="36" spans="1:82" x14ac:dyDescent="0.2">
      <c r="A36" s="235"/>
      <c r="B36" s="236" t="str">
        <f t="shared" si="12"/>
        <v/>
      </c>
      <c r="C36" s="237" t="str">
        <f t="shared" si="2"/>
        <v/>
      </c>
      <c r="D36" s="237" t="str">
        <f t="shared" si="13"/>
        <v/>
      </c>
      <c r="E36" s="237" t="str">
        <f>IF($C36="", "", COUNTIF($M$8:$M36,$D36))</f>
        <v/>
      </c>
      <c r="F36" s="238">
        <v>29</v>
      </c>
      <c r="G36" s="239"/>
      <c r="H36" s="240"/>
      <c r="I36" s="240"/>
      <c r="J36" s="241"/>
      <c r="K36" s="240"/>
      <c r="L36" s="240"/>
      <c r="M36" s="240"/>
      <c r="N36" s="242"/>
      <c r="O36" s="243"/>
      <c r="P36" s="243"/>
      <c r="Q36" s="243"/>
      <c r="R36" s="243"/>
      <c r="S36" s="243"/>
      <c r="T36" s="245"/>
      <c r="U36" s="246" t="str">
        <f>IF($T36="", "", VLOOKUP($T36, CONTRATOS!$B:$E, 2, FALSE))</f>
        <v/>
      </c>
      <c r="V36" s="247">
        <f>IF(OR($T36="",TB_DEFESA!$C$2="Criação Baseline"),0,
   IF(VLOOKUP($T36, CONTRATOS!B:E, 3, FALSE)&lt;&gt;"",1,IF(VLOOKUP($T36, CONTRATOS!B:E, 4, FALSE)&lt;&gt;"",2,0)))</f>
        <v>0</v>
      </c>
      <c r="W36" s="248"/>
      <c r="X36" s="248"/>
      <c r="Y36" s="249"/>
      <c r="Z36" s="250"/>
      <c r="AA36" s="251"/>
      <c r="AB36" s="252"/>
      <c r="AC36" s="253"/>
      <c r="AD36" s="251"/>
      <c r="AE36" s="254" t="str">
        <f t="shared" si="3"/>
        <v/>
      </c>
      <c r="AF36" s="256" t="str">
        <f t="shared" si="14"/>
        <v/>
      </c>
      <c r="AG36" s="293" t="s">
        <v>62</v>
      </c>
      <c r="AH36" s="294" t="str">
        <f t="shared" si="15"/>
        <v/>
      </c>
      <c r="AI36" s="294" t="str">
        <f t="shared" si="16"/>
        <v/>
      </c>
      <c r="AJ36" s="295" t="str">
        <f t="shared" si="17"/>
        <v/>
      </c>
      <c r="AK36" s="296" t="str">
        <f t="shared" si="18"/>
        <v/>
      </c>
      <c r="AL36" s="297" t="str">
        <f t="shared" si="19"/>
        <v/>
      </c>
      <c r="AM36" s="294" t="str">
        <f t="shared" si="20"/>
        <v/>
      </c>
      <c r="AN36" s="294" t="str">
        <f t="shared" si="21"/>
        <v/>
      </c>
      <c r="AO36" s="298" t="str">
        <f t="shared" si="22"/>
        <v/>
      </c>
      <c r="AP36" s="299" t="str">
        <f t="shared" si="23"/>
        <v/>
      </c>
      <c r="AQ36" s="299" t="str">
        <f t="shared" si="24"/>
        <v/>
      </c>
      <c r="AR36" s="300" t="str">
        <f t="shared" si="4"/>
        <v/>
      </c>
      <c r="AS36" s="300" t="str">
        <f t="shared" si="5"/>
        <v/>
      </c>
      <c r="AT36" s="294" t="str">
        <f t="shared" si="6"/>
        <v/>
      </c>
      <c r="AU36" s="301" t="str">
        <f>IF(OR($B36="", $AP36= ""),"",IF(VLOOKUP($AP36, CONTRATOS!B:K,3,FALSE)="","",VLOOKUP($AP36, CONTRATOS!B:K, 3,FALSE)))</f>
        <v/>
      </c>
      <c r="AV36" s="301" t="str">
        <f>IF(OR($B36="", $AP36 = ""), "", IF(VLOOKUP($AP36, CONTRATOS!B:K,4,FALSE)="","",VLOOKUP($AP36, CONTRATOS!B:K,4, FALSE)))</f>
        <v/>
      </c>
      <c r="AW36" s="302" t="str">
        <f t="shared" si="7"/>
        <v/>
      </c>
      <c r="AX36" s="301" t="str">
        <f t="shared" si="8"/>
        <v/>
      </c>
      <c r="AY36" s="301" t="str">
        <f t="shared" si="9"/>
        <v/>
      </c>
      <c r="AZ36" s="301" t="str">
        <f t="shared" si="10"/>
        <v/>
      </c>
      <c r="BA36" s="301" t="str">
        <f t="shared" si="11"/>
        <v/>
      </c>
      <c r="BB36" s="303">
        <f t="shared" si="25"/>
        <v>0</v>
      </c>
      <c r="BC36" s="303" t="str">
        <f t="shared" si="26"/>
        <v/>
      </c>
      <c r="BD36" s="303" t="str">
        <f t="shared" si="27"/>
        <v/>
      </c>
      <c r="BF36" s="304">
        <f t="shared" si="28"/>
        <v>0</v>
      </c>
      <c r="BG36" s="304">
        <f t="shared" si="29"/>
        <v>0</v>
      </c>
      <c r="BH36" s="304" t="str">
        <f>IF( $B36="", "", IF(ISNA(VLOOKUP($C36, Defesa!$C$8:$C$30,1,FALSE)),1,0))</f>
        <v/>
      </c>
      <c r="BI36" s="305" t="str">
        <f t="shared" si="30"/>
        <v/>
      </c>
      <c r="BJ36" s="305" t="str">
        <f t="shared" si="31"/>
        <v/>
      </c>
      <c r="BK36" s="304" t="str">
        <f t="shared" si="32"/>
        <v/>
      </c>
      <c r="BL36" s="304">
        <f t="shared" si="33"/>
        <v>0</v>
      </c>
      <c r="BM36" s="304" t="str">
        <f>IF($AC36="", "", IF(ISNA(VLOOKUP($AC36, TABELAS!$Q:$Q, 1, FALSE)), 1, 0))</f>
        <v/>
      </c>
      <c r="BN36" s="306" t="str">
        <f t="shared" si="34"/>
        <v/>
      </c>
      <c r="BO36" s="304" t="str">
        <f t="shared" si="35"/>
        <v/>
      </c>
      <c r="BP36" s="304" t="str">
        <f t="shared" si="36"/>
        <v/>
      </c>
      <c r="BQ36" s="305" t="str">
        <f t="shared" si="37"/>
        <v/>
      </c>
      <c r="BR36" s="304" t="str">
        <f t="shared" si="38"/>
        <v/>
      </c>
      <c r="BS36" s="304" t="str">
        <f t="shared" si="39"/>
        <v/>
      </c>
      <c r="BT36" s="304" t="str">
        <f>IF(OR($B36="", $AH36 = "SIM"), "", IF( ISNA(VLOOKUP($AP36,#REF!, 1, FALSE)), 1, 0))</f>
        <v/>
      </c>
      <c r="BU36" s="304" t="str">
        <f t="shared" si="40"/>
        <v/>
      </c>
      <c r="BV36" s="304" t="str">
        <f>IF( $B36="", "", IF( ISNA(VLOOKUP($AN36, TABELAS!$T$2:$T$9,1,FALSE)), 1, 0))</f>
        <v/>
      </c>
      <c r="BW36" s="304" t="str">
        <f t="shared" si="41"/>
        <v/>
      </c>
      <c r="BX36" s="304" t="str">
        <f>IF( OR($B36="", $AH36 = "SIM"), "", IF( ISNA( VLOOKUP( $AQ36, SISTEMA!$B:$B, 1, FALSE)), 1, 0))</f>
        <v/>
      </c>
      <c r="BY36" s="305" t="str">
        <f t="shared" si="42"/>
        <v/>
      </c>
      <c r="BZ36" s="305" t="str">
        <f t="shared" si="43"/>
        <v/>
      </c>
      <c r="CA36" s="304" t="str">
        <f t="shared" si="44"/>
        <v/>
      </c>
      <c r="CB36" s="305" t="str">
        <f t="shared" si="45"/>
        <v/>
      </c>
      <c r="CC36" s="305" t="str">
        <f t="shared" si="46"/>
        <v/>
      </c>
      <c r="CD36" s="305" t="str">
        <f t="shared" si="47"/>
        <v/>
      </c>
    </row>
    <row r="37" spans="1:82" x14ac:dyDescent="0.2">
      <c r="A37" s="235"/>
      <c r="B37" s="236" t="str">
        <f t="shared" si="12"/>
        <v/>
      </c>
      <c r="C37" s="237" t="str">
        <f t="shared" si="2"/>
        <v/>
      </c>
      <c r="D37" s="237" t="str">
        <f t="shared" si="13"/>
        <v/>
      </c>
      <c r="E37" s="237" t="str">
        <f>IF($C37="", "", COUNTIF($M$8:$M37,$D37))</f>
        <v/>
      </c>
      <c r="F37" s="238">
        <v>30</v>
      </c>
      <c r="G37" s="239"/>
      <c r="H37" s="240"/>
      <c r="I37" s="240"/>
      <c r="J37" s="241"/>
      <c r="K37" s="240"/>
      <c r="L37" s="240"/>
      <c r="M37" s="240"/>
      <c r="N37" s="242"/>
      <c r="O37" s="243"/>
      <c r="P37" s="243"/>
      <c r="Q37" s="243"/>
      <c r="R37" s="243"/>
      <c r="S37" s="243"/>
      <c r="T37" s="245"/>
      <c r="U37" s="246" t="str">
        <f>IF($T37="", "", VLOOKUP($T37, CONTRATOS!$B:$E, 2, FALSE))</f>
        <v/>
      </c>
      <c r="V37" s="247">
        <f>IF(OR($T37="",TB_DEFESA!$C$2="Criação Baseline"),0,
   IF(VLOOKUP($T37, CONTRATOS!B:E, 3, FALSE)&lt;&gt;"",1,IF(VLOOKUP($T37, CONTRATOS!B:E, 4, FALSE)&lt;&gt;"",2,0)))</f>
        <v>0</v>
      </c>
      <c r="W37" s="248"/>
      <c r="X37" s="248"/>
      <c r="Y37" s="249"/>
      <c r="Z37" s="250"/>
      <c r="AA37" s="251"/>
      <c r="AB37" s="252"/>
      <c r="AC37" s="253"/>
      <c r="AD37" s="251"/>
      <c r="AE37" s="254" t="str">
        <f t="shared" si="3"/>
        <v/>
      </c>
      <c r="AF37" s="256" t="str">
        <f t="shared" si="14"/>
        <v/>
      </c>
      <c r="AG37" s="293" t="s">
        <v>62</v>
      </c>
      <c r="AH37" s="294" t="str">
        <f t="shared" si="15"/>
        <v/>
      </c>
      <c r="AI37" s="294" t="str">
        <f t="shared" si="16"/>
        <v/>
      </c>
      <c r="AJ37" s="295" t="str">
        <f t="shared" si="17"/>
        <v/>
      </c>
      <c r="AK37" s="296" t="str">
        <f t="shared" si="18"/>
        <v/>
      </c>
      <c r="AL37" s="297" t="str">
        <f t="shared" si="19"/>
        <v/>
      </c>
      <c r="AM37" s="294" t="str">
        <f t="shared" si="20"/>
        <v/>
      </c>
      <c r="AN37" s="294" t="str">
        <f t="shared" si="21"/>
        <v/>
      </c>
      <c r="AO37" s="298" t="str">
        <f t="shared" si="22"/>
        <v/>
      </c>
      <c r="AP37" s="299" t="str">
        <f t="shared" si="23"/>
        <v/>
      </c>
      <c r="AQ37" s="299" t="str">
        <f t="shared" si="24"/>
        <v/>
      </c>
      <c r="AR37" s="300" t="str">
        <f t="shared" si="4"/>
        <v/>
      </c>
      <c r="AS37" s="300" t="str">
        <f t="shared" si="5"/>
        <v/>
      </c>
      <c r="AT37" s="294" t="str">
        <f t="shared" si="6"/>
        <v/>
      </c>
      <c r="AU37" s="301" t="str">
        <f>IF(OR($B37="", $AP37= ""),"",IF(VLOOKUP($AP37, CONTRATOS!B:K,3,FALSE)="","",VLOOKUP($AP37, CONTRATOS!B:K, 3,FALSE)))</f>
        <v/>
      </c>
      <c r="AV37" s="301" t="str">
        <f>IF(OR($B37="", $AP37 = ""), "", IF(VLOOKUP($AP37, CONTRATOS!B:K,4,FALSE)="","",VLOOKUP($AP37, CONTRATOS!B:K,4, FALSE)))</f>
        <v/>
      </c>
      <c r="AW37" s="302" t="str">
        <f t="shared" si="7"/>
        <v/>
      </c>
      <c r="AX37" s="301" t="str">
        <f t="shared" si="8"/>
        <v/>
      </c>
      <c r="AY37" s="301" t="str">
        <f t="shared" si="9"/>
        <v/>
      </c>
      <c r="AZ37" s="301" t="str">
        <f t="shared" si="10"/>
        <v/>
      </c>
      <c r="BA37" s="301" t="str">
        <f t="shared" si="11"/>
        <v/>
      </c>
      <c r="BB37" s="303">
        <f t="shared" si="25"/>
        <v>0</v>
      </c>
      <c r="BC37" s="303" t="str">
        <f t="shared" si="26"/>
        <v/>
      </c>
      <c r="BD37" s="303" t="str">
        <f t="shared" si="27"/>
        <v/>
      </c>
      <c r="BF37" s="304">
        <f t="shared" si="28"/>
        <v>0</v>
      </c>
      <c r="BG37" s="304">
        <f t="shared" si="29"/>
        <v>0</v>
      </c>
      <c r="BH37" s="304" t="str">
        <f>IF( $B37="", "", IF(ISNA(VLOOKUP($C37, Defesa!$C$8:$C$30,1,FALSE)),1,0))</f>
        <v/>
      </c>
      <c r="BI37" s="305" t="str">
        <f t="shared" si="30"/>
        <v/>
      </c>
      <c r="BJ37" s="305" t="str">
        <f t="shared" si="31"/>
        <v/>
      </c>
      <c r="BK37" s="304" t="str">
        <f t="shared" si="32"/>
        <v/>
      </c>
      <c r="BL37" s="304">
        <f t="shared" si="33"/>
        <v>0</v>
      </c>
      <c r="BM37" s="304" t="str">
        <f>IF($AC37="", "", IF(ISNA(VLOOKUP($AC37, TABELAS!$Q:$Q, 1, FALSE)), 1, 0))</f>
        <v/>
      </c>
      <c r="BN37" s="306" t="str">
        <f t="shared" si="34"/>
        <v/>
      </c>
      <c r="BO37" s="304" t="str">
        <f t="shared" si="35"/>
        <v/>
      </c>
      <c r="BP37" s="304" t="str">
        <f t="shared" si="36"/>
        <v/>
      </c>
      <c r="BQ37" s="305" t="str">
        <f t="shared" si="37"/>
        <v/>
      </c>
      <c r="BR37" s="304" t="str">
        <f t="shared" si="38"/>
        <v/>
      </c>
      <c r="BS37" s="304" t="str">
        <f t="shared" si="39"/>
        <v/>
      </c>
      <c r="BT37" s="304" t="str">
        <f>IF(OR($B37="", $AH37 = "SIM"), "", IF( ISNA(VLOOKUP($AP37,#REF!, 1, FALSE)), 1, 0))</f>
        <v/>
      </c>
      <c r="BU37" s="304" t="str">
        <f t="shared" si="40"/>
        <v/>
      </c>
      <c r="BV37" s="304" t="str">
        <f>IF( $B37="", "", IF( ISNA(VLOOKUP($AN37, TABELAS!$T$2:$T$9,1,FALSE)), 1, 0))</f>
        <v/>
      </c>
      <c r="BW37" s="304" t="str">
        <f t="shared" si="41"/>
        <v/>
      </c>
      <c r="BX37" s="304" t="str">
        <f>IF( OR($B37="", $AH37 = "SIM"), "", IF( ISNA( VLOOKUP( $AQ37, SISTEMA!$B:$B, 1, FALSE)), 1, 0))</f>
        <v/>
      </c>
      <c r="BY37" s="305" t="str">
        <f t="shared" si="42"/>
        <v/>
      </c>
      <c r="BZ37" s="305" t="str">
        <f t="shared" si="43"/>
        <v/>
      </c>
      <c r="CA37" s="304" t="str">
        <f t="shared" si="44"/>
        <v/>
      </c>
      <c r="CB37" s="305" t="str">
        <f t="shared" si="45"/>
        <v/>
      </c>
      <c r="CC37" s="305" t="str">
        <f t="shared" si="46"/>
        <v/>
      </c>
      <c r="CD37" s="305" t="str">
        <f t="shared" si="47"/>
        <v/>
      </c>
    </row>
    <row r="38" spans="1:82" x14ac:dyDescent="0.2">
      <c r="A38" s="235"/>
      <c r="B38" s="236" t="str">
        <f t="shared" si="12"/>
        <v/>
      </c>
      <c r="C38" s="237" t="str">
        <f t="shared" si="2"/>
        <v/>
      </c>
      <c r="D38" s="237" t="str">
        <f t="shared" si="13"/>
        <v/>
      </c>
      <c r="E38" s="237" t="str">
        <f>IF($C38="", "", COUNTIF($M$8:$M38,$D38))</f>
        <v/>
      </c>
      <c r="F38" s="238">
        <v>31</v>
      </c>
      <c r="G38" s="239"/>
      <c r="H38" s="240"/>
      <c r="I38" s="240"/>
      <c r="J38" s="241"/>
      <c r="K38" s="240"/>
      <c r="L38" s="240"/>
      <c r="M38" s="240"/>
      <c r="N38" s="242"/>
      <c r="O38" s="243"/>
      <c r="P38" s="243"/>
      <c r="Q38" s="243"/>
      <c r="R38" s="243"/>
      <c r="S38" s="243"/>
      <c r="T38" s="245"/>
      <c r="U38" s="246" t="str">
        <f>IF($T38="", "", VLOOKUP($T38, CONTRATOS!$B:$E, 2, FALSE))</f>
        <v/>
      </c>
      <c r="V38" s="247">
        <f>IF(OR($T38="",TB_DEFESA!$C$2="Criação Baseline"),0,
   IF(VLOOKUP($T38, CONTRATOS!B:E, 3, FALSE)&lt;&gt;"",1,IF(VLOOKUP($T38, CONTRATOS!B:E, 4, FALSE)&lt;&gt;"",2,0)))</f>
        <v>0</v>
      </c>
      <c r="W38" s="248"/>
      <c r="X38" s="248"/>
      <c r="Y38" s="249"/>
      <c r="Z38" s="250"/>
      <c r="AA38" s="251"/>
      <c r="AB38" s="252"/>
      <c r="AC38" s="253"/>
      <c r="AD38" s="251"/>
      <c r="AE38" s="254" t="str">
        <f t="shared" si="3"/>
        <v/>
      </c>
      <c r="AF38" s="256" t="str">
        <f t="shared" si="14"/>
        <v/>
      </c>
      <c r="AG38" s="293" t="s">
        <v>62</v>
      </c>
      <c r="AH38" s="294" t="str">
        <f t="shared" si="15"/>
        <v/>
      </c>
      <c r="AI38" s="294" t="str">
        <f t="shared" si="16"/>
        <v/>
      </c>
      <c r="AJ38" s="295" t="str">
        <f t="shared" si="17"/>
        <v/>
      </c>
      <c r="AK38" s="296" t="str">
        <f t="shared" si="18"/>
        <v/>
      </c>
      <c r="AL38" s="297" t="str">
        <f t="shared" si="19"/>
        <v/>
      </c>
      <c r="AM38" s="294" t="str">
        <f t="shared" si="20"/>
        <v/>
      </c>
      <c r="AN38" s="294" t="str">
        <f t="shared" si="21"/>
        <v/>
      </c>
      <c r="AO38" s="298" t="str">
        <f t="shared" si="22"/>
        <v/>
      </c>
      <c r="AP38" s="299" t="str">
        <f t="shared" si="23"/>
        <v/>
      </c>
      <c r="AQ38" s="299" t="str">
        <f t="shared" si="24"/>
        <v/>
      </c>
      <c r="AR38" s="300" t="str">
        <f t="shared" si="4"/>
        <v/>
      </c>
      <c r="AS38" s="300" t="str">
        <f t="shared" si="5"/>
        <v/>
      </c>
      <c r="AT38" s="294" t="str">
        <f t="shared" si="6"/>
        <v/>
      </c>
      <c r="AU38" s="301" t="str">
        <f>IF(OR($B38="", $AP38= ""),"",IF(VLOOKUP($AP38, CONTRATOS!B:K,3,FALSE)="","",VLOOKUP($AP38, CONTRATOS!B:K, 3,FALSE)))</f>
        <v/>
      </c>
      <c r="AV38" s="301" t="str">
        <f>IF(OR($B38="", $AP38 = ""), "", IF(VLOOKUP($AP38, CONTRATOS!B:K,4,FALSE)="","",VLOOKUP($AP38, CONTRATOS!B:K,4, FALSE)))</f>
        <v/>
      </c>
      <c r="AW38" s="302" t="str">
        <f t="shared" si="7"/>
        <v/>
      </c>
      <c r="AX38" s="301" t="str">
        <f t="shared" si="8"/>
        <v/>
      </c>
      <c r="AY38" s="301" t="str">
        <f t="shared" si="9"/>
        <v/>
      </c>
      <c r="AZ38" s="301" t="str">
        <f t="shared" si="10"/>
        <v/>
      </c>
      <c r="BA38" s="301" t="str">
        <f t="shared" si="11"/>
        <v/>
      </c>
      <c r="BB38" s="303">
        <f t="shared" si="25"/>
        <v>0</v>
      </c>
      <c r="BC38" s="303" t="str">
        <f t="shared" si="26"/>
        <v/>
      </c>
      <c r="BD38" s="303" t="str">
        <f t="shared" si="27"/>
        <v/>
      </c>
      <c r="BF38" s="304">
        <f t="shared" si="28"/>
        <v>0</v>
      </c>
      <c r="BG38" s="304">
        <f t="shared" si="29"/>
        <v>0</v>
      </c>
      <c r="BH38" s="304" t="str">
        <f>IF( $B38="", "", IF(ISNA(VLOOKUP($C38, Defesa!$C$8:$C$30,1,FALSE)),1,0))</f>
        <v/>
      </c>
      <c r="BI38" s="305" t="str">
        <f t="shared" si="30"/>
        <v/>
      </c>
      <c r="BJ38" s="305" t="str">
        <f t="shared" si="31"/>
        <v/>
      </c>
      <c r="BK38" s="304" t="str">
        <f t="shared" si="32"/>
        <v/>
      </c>
      <c r="BL38" s="304">
        <f t="shared" si="33"/>
        <v>0</v>
      </c>
      <c r="BM38" s="304" t="str">
        <f>IF($AC38="", "", IF(ISNA(VLOOKUP($AC38, TABELAS!$Q:$Q, 1, FALSE)), 1, 0))</f>
        <v/>
      </c>
      <c r="BN38" s="306" t="str">
        <f t="shared" si="34"/>
        <v/>
      </c>
      <c r="BO38" s="304" t="str">
        <f t="shared" si="35"/>
        <v/>
      </c>
      <c r="BP38" s="304" t="str">
        <f t="shared" si="36"/>
        <v/>
      </c>
      <c r="BQ38" s="305" t="str">
        <f t="shared" si="37"/>
        <v/>
      </c>
      <c r="BR38" s="304" t="str">
        <f t="shared" si="38"/>
        <v/>
      </c>
      <c r="BS38" s="304" t="str">
        <f t="shared" si="39"/>
        <v/>
      </c>
      <c r="BT38" s="304" t="str">
        <f>IF(OR($B38="", $AH38 = "SIM"), "", IF( ISNA(VLOOKUP($AP38,#REF!, 1, FALSE)), 1, 0))</f>
        <v/>
      </c>
      <c r="BU38" s="304" t="str">
        <f t="shared" si="40"/>
        <v/>
      </c>
      <c r="BV38" s="304" t="str">
        <f>IF( $B38="", "", IF( ISNA(VLOOKUP($AN38, TABELAS!$T$2:$T$9,1,FALSE)), 1, 0))</f>
        <v/>
      </c>
      <c r="BW38" s="304" t="str">
        <f t="shared" si="41"/>
        <v/>
      </c>
      <c r="BX38" s="304" t="str">
        <f>IF( OR($B38="", $AH38 = "SIM"), "", IF( ISNA( VLOOKUP( $AQ38, SISTEMA!$B:$B, 1, FALSE)), 1, 0))</f>
        <v/>
      </c>
      <c r="BY38" s="305" t="str">
        <f t="shared" si="42"/>
        <v/>
      </c>
      <c r="BZ38" s="305" t="str">
        <f t="shared" si="43"/>
        <v/>
      </c>
      <c r="CA38" s="304" t="str">
        <f t="shared" si="44"/>
        <v/>
      </c>
      <c r="CB38" s="305" t="str">
        <f t="shared" si="45"/>
        <v/>
      </c>
      <c r="CC38" s="305" t="str">
        <f t="shared" si="46"/>
        <v/>
      </c>
      <c r="CD38" s="305" t="str">
        <f t="shared" si="47"/>
        <v/>
      </c>
    </row>
    <row r="39" spans="1:82" x14ac:dyDescent="0.2">
      <c r="A39" s="235"/>
      <c r="B39" s="236" t="str">
        <f t="shared" si="12"/>
        <v/>
      </c>
      <c r="C39" s="237" t="str">
        <f t="shared" si="2"/>
        <v/>
      </c>
      <c r="D39" s="237" t="str">
        <f t="shared" si="13"/>
        <v/>
      </c>
      <c r="E39" s="237" t="str">
        <f>IF($C39="", "", COUNTIF($M$8:$M39,$D39))</f>
        <v/>
      </c>
      <c r="F39" s="238">
        <v>32</v>
      </c>
      <c r="G39" s="239"/>
      <c r="H39" s="240"/>
      <c r="I39" s="240"/>
      <c r="J39" s="241"/>
      <c r="K39" s="240"/>
      <c r="L39" s="240"/>
      <c r="M39" s="240"/>
      <c r="N39" s="242"/>
      <c r="O39" s="243"/>
      <c r="P39" s="243"/>
      <c r="Q39" s="243"/>
      <c r="R39" s="243"/>
      <c r="S39" s="243"/>
      <c r="T39" s="245"/>
      <c r="U39" s="246" t="str">
        <f>IF($T39="", "", VLOOKUP($T39, CONTRATOS!$B:$E, 2, FALSE))</f>
        <v/>
      </c>
      <c r="V39" s="247">
        <f>IF(OR($T39="",TB_DEFESA!$C$2="Criação Baseline"),0,
   IF(VLOOKUP($T39, CONTRATOS!B:E, 3, FALSE)&lt;&gt;"",1,IF(VLOOKUP($T39, CONTRATOS!B:E, 4, FALSE)&lt;&gt;"",2,0)))</f>
        <v>0</v>
      </c>
      <c r="W39" s="248"/>
      <c r="X39" s="248"/>
      <c r="Y39" s="249"/>
      <c r="Z39" s="250"/>
      <c r="AA39" s="251"/>
      <c r="AB39" s="252"/>
      <c r="AC39" s="253"/>
      <c r="AD39" s="251"/>
      <c r="AE39" s="254" t="str">
        <f t="shared" si="3"/>
        <v/>
      </c>
      <c r="AF39" s="256" t="str">
        <f t="shared" si="14"/>
        <v/>
      </c>
      <c r="AG39" s="293" t="s">
        <v>62</v>
      </c>
      <c r="AH39" s="294" t="str">
        <f t="shared" si="15"/>
        <v/>
      </c>
      <c r="AI39" s="294" t="str">
        <f t="shared" si="16"/>
        <v/>
      </c>
      <c r="AJ39" s="295" t="str">
        <f t="shared" si="17"/>
        <v/>
      </c>
      <c r="AK39" s="296" t="str">
        <f t="shared" si="18"/>
        <v/>
      </c>
      <c r="AL39" s="297" t="str">
        <f t="shared" si="19"/>
        <v/>
      </c>
      <c r="AM39" s="294" t="str">
        <f t="shared" si="20"/>
        <v/>
      </c>
      <c r="AN39" s="294" t="str">
        <f t="shared" si="21"/>
        <v/>
      </c>
      <c r="AO39" s="298" t="str">
        <f t="shared" si="22"/>
        <v/>
      </c>
      <c r="AP39" s="299" t="str">
        <f t="shared" si="23"/>
        <v/>
      </c>
      <c r="AQ39" s="299" t="str">
        <f t="shared" si="24"/>
        <v/>
      </c>
      <c r="AR39" s="300" t="str">
        <f t="shared" si="4"/>
        <v/>
      </c>
      <c r="AS39" s="300" t="str">
        <f t="shared" si="5"/>
        <v/>
      </c>
      <c r="AT39" s="294" t="str">
        <f t="shared" si="6"/>
        <v/>
      </c>
      <c r="AU39" s="301" t="str">
        <f>IF(OR($B39="", $AP39= ""),"",IF(VLOOKUP($AP39, CONTRATOS!B:K,3,FALSE)="","",VLOOKUP($AP39, CONTRATOS!B:K, 3,FALSE)))</f>
        <v/>
      </c>
      <c r="AV39" s="301" t="str">
        <f>IF(OR($B39="", $AP39 = ""), "", IF(VLOOKUP($AP39, CONTRATOS!B:K,4,FALSE)="","",VLOOKUP($AP39, CONTRATOS!B:K,4, FALSE)))</f>
        <v/>
      </c>
      <c r="AW39" s="302" t="str">
        <f t="shared" si="7"/>
        <v/>
      </c>
      <c r="AX39" s="301" t="str">
        <f t="shared" si="8"/>
        <v/>
      </c>
      <c r="AY39" s="301" t="str">
        <f t="shared" si="9"/>
        <v/>
      </c>
      <c r="AZ39" s="301" t="str">
        <f t="shared" si="10"/>
        <v/>
      </c>
      <c r="BA39" s="301" t="str">
        <f t="shared" si="11"/>
        <v/>
      </c>
      <c r="BB39" s="303">
        <f t="shared" si="25"/>
        <v>0</v>
      </c>
      <c r="BC39" s="303" t="str">
        <f t="shared" si="26"/>
        <v/>
      </c>
      <c r="BD39" s="303" t="str">
        <f t="shared" si="27"/>
        <v/>
      </c>
      <c r="BF39" s="304">
        <f t="shared" si="28"/>
        <v>0</v>
      </c>
      <c r="BG39" s="304">
        <f t="shared" si="29"/>
        <v>0</v>
      </c>
      <c r="BH39" s="304" t="str">
        <f>IF( $B39="", "", IF(ISNA(VLOOKUP($C39, Defesa!$C$8:$C$30,1,FALSE)),1,0))</f>
        <v/>
      </c>
      <c r="BI39" s="305" t="str">
        <f t="shared" si="30"/>
        <v/>
      </c>
      <c r="BJ39" s="305" t="str">
        <f t="shared" si="31"/>
        <v/>
      </c>
      <c r="BK39" s="304" t="str">
        <f t="shared" si="32"/>
        <v/>
      </c>
      <c r="BL39" s="304">
        <f t="shared" si="33"/>
        <v>0</v>
      </c>
      <c r="BM39" s="304" t="str">
        <f>IF($AC39="", "", IF(ISNA(VLOOKUP($AC39, TABELAS!$Q:$Q, 1, FALSE)), 1, 0))</f>
        <v/>
      </c>
      <c r="BN39" s="306" t="str">
        <f t="shared" si="34"/>
        <v/>
      </c>
      <c r="BO39" s="304" t="str">
        <f t="shared" si="35"/>
        <v/>
      </c>
      <c r="BP39" s="304" t="str">
        <f t="shared" si="36"/>
        <v/>
      </c>
      <c r="BQ39" s="305" t="str">
        <f t="shared" si="37"/>
        <v/>
      </c>
      <c r="BR39" s="304" t="str">
        <f t="shared" si="38"/>
        <v/>
      </c>
      <c r="BS39" s="304" t="str">
        <f t="shared" si="39"/>
        <v/>
      </c>
      <c r="BT39" s="304" t="str">
        <f>IF(OR($B39="", $AH39 = "SIM"), "", IF( ISNA(VLOOKUP($AP39,#REF!, 1, FALSE)), 1, 0))</f>
        <v/>
      </c>
      <c r="BU39" s="304" t="str">
        <f t="shared" si="40"/>
        <v/>
      </c>
      <c r="BV39" s="304" t="str">
        <f>IF( $B39="", "", IF( ISNA(VLOOKUP($AN39, TABELAS!$T$2:$T$9,1,FALSE)), 1, 0))</f>
        <v/>
      </c>
      <c r="BW39" s="304" t="str">
        <f t="shared" si="41"/>
        <v/>
      </c>
      <c r="BX39" s="304" t="str">
        <f>IF( OR($B39="", $AH39 = "SIM"), "", IF( ISNA( VLOOKUP( $AQ39, SISTEMA!$B:$B, 1, FALSE)), 1, 0))</f>
        <v/>
      </c>
      <c r="BY39" s="305" t="str">
        <f t="shared" si="42"/>
        <v/>
      </c>
      <c r="BZ39" s="305" t="str">
        <f t="shared" si="43"/>
        <v/>
      </c>
      <c r="CA39" s="304" t="str">
        <f t="shared" si="44"/>
        <v/>
      </c>
      <c r="CB39" s="305" t="str">
        <f t="shared" si="45"/>
        <v/>
      </c>
      <c r="CC39" s="305" t="str">
        <f t="shared" si="46"/>
        <v/>
      </c>
      <c r="CD39" s="305" t="str">
        <f t="shared" si="47"/>
        <v/>
      </c>
    </row>
    <row r="40" spans="1:82" x14ac:dyDescent="0.2">
      <c r="A40" s="235"/>
      <c r="B40" s="236" t="str">
        <f t="shared" si="12"/>
        <v/>
      </c>
      <c r="C40" s="237" t="str">
        <f t="shared" si="2"/>
        <v/>
      </c>
      <c r="D40" s="237" t="str">
        <f t="shared" si="13"/>
        <v/>
      </c>
      <c r="E40" s="237" t="str">
        <f>IF($C40="", "", COUNTIF($M$8:$M40,$D40))</f>
        <v/>
      </c>
      <c r="F40" s="238">
        <v>33</v>
      </c>
      <c r="G40" s="239"/>
      <c r="H40" s="240"/>
      <c r="I40" s="240"/>
      <c r="J40" s="241"/>
      <c r="K40" s="240"/>
      <c r="L40" s="240"/>
      <c r="M40" s="240"/>
      <c r="N40" s="242"/>
      <c r="O40" s="243"/>
      <c r="P40" s="243"/>
      <c r="Q40" s="243"/>
      <c r="R40" s="243"/>
      <c r="S40" s="243"/>
      <c r="T40" s="245"/>
      <c r="U40" s="246" t="str">
        <f>IF($T40="", "", VLOOKUP($T40, CONTRATOS!$B:$E, 2, FALSE))</f>
        <v/>
      </c>
      <c r="V40" s="247">
        <f>IF(OR($T40="",TB_DEFESA!$C$2="Criação Baseline"),0,
   IF(VLOOKUP($T40, CONTRATOS!B:E, 3, FALSE)&lt;&gt;"",1,IF(VLOOKUP($T40, CONTRATOS!B:E, 4, FALSE)&lt;&gt;"",2,0)))</f>
        <v>0</v>
      </c>
      <c r="W40" s="248"/>
      <c r="X40" s="248"/>
      <c r="Y40" s="249"/>
      <c r="Z40" s="250"/>
      <c r="AA40" s="251"/>
      <c r="AB40" s="252"/>
      <c r="AC40" s="253"/>
      <c r="AD40" s="251"/>
      <c r="AE40" s="254" t="str">
        <f t="shared" si="3"/>
        <v/>
      </c>
      <c r="AF40" s="256" t="str">
        <f t="shared" si="14"/>
        <v/>
      </c>
      <c r="AG40" s="293" t="s">
        <v>62</v>
      </c>
      <c r="AH40" s="294" t="str">
        <f t="shared" si="15"/>
        <v/>
      </c>
      <c r="AI40" s="294" t="str">
        <f t="shared" si="16"/>
        <v/>
      </c>
      <c r="AJ40" s="295" t="str">
        <f t="shared" si="17"/>
        <v/>
      </c>
      <c r="AK40" s="296" t="str">
        <f t="shared" si="18"/>
        <v/>
      </c>
      <c r="AL40" s="297" t="str">
        <f t="shared" si="19"/>
        <v/>
      </c>
      <c r="AM40" s="294" t="str">
        <f t="shared" si="20"/>
        <v/>
      </c>
      <c r="AN40" s="294" t="str">
        <f t="shared" si="21"/>
        <v/>
      </c>
      <c r="AO40" s="298" t="str">
        <f t="shared" si="22"/>
        <v/>
      </c>
      <c r="AP40" s="299" t="str">
        <f t="shared" si="23"/>
        <v/>
      </c>
      <c r="AQ40" s="299" t="str">
        <f t="shared" si="24"/>
        <v/>
      </c>
      <c r="AR40" s="300" t="str">
        <f t="shared" si="4"/>
        <v/>
      </c>
      <c r="AS40" s="300" t="str">
        <f t="shared" si="5"/>
        <v/>
      </c>
      <c r="AT40" s="294" t="str">
        <f t="shared" si="6"/>
        <v/>
      </c>
      <c r="AU40" s="301" t="str">
        <f>IF(OR($B40="", $AP40= ""),"",IF(VLOOKUP($AP40, CONTRATOS!B:K,3,FALSE)="","",VLOOKUP($AP40, CONTRATOS!B:K, 3,FALSE)))</f>
        <v/>
      </c>
      <c r="AV40" s="301" t="str">
        <f>IF(OR($B40="", $AP40 = ""), "", IF(VLOOKUP($AP40, CONTRATOS!B:K,4,FALSE)="","",VLOOKUP($AP40, CONTRATOS!B:K,4, FALSE)))</f>
        <v/>
      </c>
      <c r="AW40" s="302" t="str">
        <f t="shared" si="7"/>
        <v/>
      </c>
      <c r="AX40" s="301" t="str">
        <f t="shared" si="8"/>
        <v/>
      </c>
      <c r="AY40" s="301" t="str">
        <f t="shared" si="9"/>
        <v/>
      </c>
      <c r="AZ40" s="301" t="str">
        <f t="shared" si="10"/>
        <v/>
      </c>
      <c r="BA40" s="301" t="str">
        <f t="shared" si="11"/>
        <v/>
      </c>
      <c r="BB40" s="303">
        <f t="shared" si="25"/>
        <v>0</v>
      </c>
      <c r="BC40" s="303" t="str">
        <f t="shared" si="26"/>
        <v/>
      </c>
      <c r="BD40" s="303" t="str">
        <f t="shared" si="27"/>
        <v/>
      </c>
      <c r="BF40" s="304">
        <f t="shared" si="28"/>
        <v>0</v>
      </c>
      <c r="BG40" s="304">
        <f t="shared" si="29"/>
        <v>0</v>
      </c>
      <c r="BH40" s="304" t="str">
        <f>IF( $B40="", "", IF(ISNA(VLOOKUP($C40, Defesa!$C$8:$C$30,1,FALSE)),1,0))</f>
        <v/>
      </c>
      <c r="BI40" s="305" t="str">
        <f t="shared" si="30"/>
        <v/>
      </c>
      <c r="BJ40" s="305" t="str">
        <f t="shared" si="31"/>
        <v/>
      </c>
      <c r="BK40" s="304" t="str">
        <f t="shared" si="32"/>
        <v/>
      </c>
      <c r="BL40" s="304">
        <f t="shared" si="33"/>
        <v>0</v>
      </c>
      <c r="BM40" s="304" t="str">
        <f>IF($AC40="", "", IF(ISNA(VLOOKUP($AC40, TABELAS!$Q:$Q, 1, FALSE)), 1, 0))</f>
        <v/>
      </c>
      <c r="BN40" s="306" t="str">
        <f t="shared" si="34"/>
        <v/>
      </c>
      <c r="BO40" s="304" t="str">
        <f t="shared" si="35"/>
        <v/>
      </c>
      <c r="BP40" s="304" t="str">
        <f t="shared" si="36"/>
        <v/>
      </c>
      <c r="BQ40" s="305" t="str">
        <f t="shared" si="37"/>
        <v/>
      </c>
      <c r="BR40" s="304" t="str">
        <f t="shared" si="38"/>
        <v/>
      </c>
      <c r="BS40" s="304" t="str">
        <f t="shared" si="39"/>
        <v/>
      </c>
      <c r="BT40" s="304" t="str">
        <f>IF(OR($B40="", $AH40 = "SIM"), "", IF( ISNA(VLOOKUP($AP40,#REF!, 1, FALSE)), 1, 0))</f>
        <v/>
      </c>
      <c r="BU40" s="304" t="str">
        <f t="shared" si="40"/>
        <v/>
      </c>
      <c r="BV40" s="304" t="str">
        <f>IF( $B40="", "", IF( ISNA(VLOOKUP($AN40, TABELAS!$T$2:$T$9,1,FALSE)), 1, 0))</f>
        <v/>
      </c>
      <c r="BW40" s="304" t="str">
        <f t="shared" si="41"/>
        <v/>
      </c>
      <c r="BX40" s="304" t="str">
        <f>IF( OR($B40="", $AH40 = "SIM"), "", IF( ISNA( VLOOKUP( $AQ40, SISTEMA!$B:$B, 1, FALSE)), 1, 0))</f>
        <v/>
      </c>
      <c r="BY40" s="305" t="str">
        <f t="shared" si="42"/>
        <v/>
      </c>
      <c r="BZ40" s="305" t="str">
        <f t="shared" si="43"/>
        <v/>
      </c>
      <c r="CA40" s="304" t="str">
        <f t="shared" si="44"/>
        <v/>
      </c>
      <c r="CB40" s="305" t="str">
        <f t="shared" si="45"/>
        <v/>
      </c>
      <c r="CC40" s="305" t="str">
        <f t="shared" si="46"/>
        <v/>
      </c>
      <c r="CD40" s="305" t="str">
        <f t="shared" si="47"/>
        <v/>
      </c>
    </row>
    <row r="41" spans="1:82" x14ac:dyDescent="0.2">
      <c r="A41" s="235"/>
      <c r="B41" s="236" t="str">
        <f t="shared" si="12"/>
        <v/>
      </c>
      <c r="C41" s="237" t="str">
        <f t="shared" si="2"/>
        <v/>
      </c>
      <c r="D41" s="237" t="str">
        <f t="shared" si="13"/>
        <v/>
      </c>
      <c r="E41" s="237" t="str">
        <f>IF($C41="", "", COUNTIF($M$8:$M41,$D41))</f>
        <v/>
      </c>
      <c r="F41" s="238">
        <v>34</v>
      </c>
      <c r="G41" s="239"/>
      <c r="H41" s="240"/>
      <c r="I41" s="240"/>
      <c r="J41" s="241"/>
      <c r="K41" s="240"/>
      <c r="L41" s="240"/>
      <c r="M41" s="240"/>
      <c r="N41" s="242"/>
      <c r="O41" s="243"/>
      <c r="P41" s="243"/>
      <c r="Q41" s="243"/>
      <c r="R41" s="243"/>
      <c r="S41" s="243"/>
      <c r="T41" s="245"/>
      <c r="U41" s="246" t="str">
        <f>IF($T41="", "", VLOOKUP($T41, CONTRATOS!$B:$E, 2, FALSE))</f>
        <v/>
      </c>
      <c r="V41" s="247">
        <f>IF(OR($T41="",TB_DEFESA!$C$2="Criação Baseline"),0,
   IF(VLOOKUP($T41, CONTRATOS!B:E, 3, FALSE)&lt;&gt;"",1,IF(VLOOKUP($T41, CONTRATOS!B:E, 4, FALSE)&lt;&gt;"",2,0)))</f>
        <v>0</v>
      </c>
      <c r="W41" s="248"/>
      <c r="X41" s="248"/>
      <c r="Y41" s="249"/>
      <c r="Z41" s="250"/>
      <c r="AA41" s="251"/>
      <c r="AB41" s="252"/>
      <c r="AC41" s="253"/>
      <c r="AD41" s="251"/>
      <c r="AE41" s="254" t="str">
        <f t="shared" si="3"/>
        <v/>
      </c>
      <c r="AF41" s="256" t="str">
        <f t="shared" si="14"/>
        <v/>
      </c>
      <c r="AG41" s="293" t="s">
        <v>62</v>
      </c>
      <c r="AH41" s="294" t="str">
        <f t="shared" si="15"/>
        <v/>
      </c>
      <c r="AI41" s="294" t="str">
        <f t="shared" si="16"/>
        <v/>
      </c>
      <c r="AJ41" s="295" t="str">
        <f t="shared" si="17"/>
        <v/>
      </c>
      <c r="AK41" s="296" t="str">
        <f t="shared" si="18"/>
        <v/>
      </c>
      <c r="AL41" s="297" t="str">
        <f t="shared" si="19"/>
        <v/>
      </c>
      <c r="AM41" s="294" t="str">
        <f t="shared" si="20"/>
        <v/>
      </c>
      <c r="AN41" s="294" t="str">
        <f t="shared" si="21"/>
        <v/>
      </c>
      <c r="AO41" s="298" t="str">
        <f t="shared" si="22"/>
        <v/>
      </c>
      <c r="AP41" s="299" t="str">
        <f t="shared" si="23"/>
        <v/>
      </c>
      <c r="AQ41" s="299" t="str">
        <f t="shared" si="24"/>
        <v/>
      </c>
      <c r="AR41" s="300" t="str">
        <f t="shared" si="4"/>
        <v/>
      </c>
      <c r="AS41" s="300" t="str">
        <f t="shared" si="5"/>
        <v/>
      </c>
      <c r="AT41" s="294" t="str">
        <f t="shared" si="6"/>
        <v/>
      </c>
      <c r="AU41" s="301" t="str">
        <f>IF(OR($B41="", $AP41= ""),"",IF(VLOOKUP($AP41, CONTRATOS!B:K,3,FALSE)="","",VLOOKUP($AP41, CONTRATOS!B:K, 3,FALSE)))</f>
        <v/>
      </c>
      <c r="AV41" s="301" t="str">
        <f>IF(OR($B41="", $AP41 = ""), "", IF(VLOOKUP($AP41, CONTRATOS!B:K,4,FALSE)="","",VLOOKUP($AP41, CONTRATOS!B:K,4, FALSE)))</f>
        <v/>
      </c>
      <c r="AW41" s="302" t="str">
        <f t="shared" si="7"/>
        <v/>
      </c>
      <c r="AX41" s="301" t="str">
        <f t="shared" si="8"/>
        <v/>
      </c>
      <c r="AY41" s="301" t="str">
        <f t="shared" si="9"/>
        <v/>
      </c>
      <c r="AZ41" s="301" t="str">
        <f t="shared" si="10"/>
        <v/>
      </c>
      <c r="BA41" s="301" t="str">
        <f t="shared" si="11"/>
        <v/>
      </c>
      <c r="BB41" s="303">
        <f t="shared" si="25"/>
        <v>0</v>
      </c>
      <c r="BC41" s="303" t="str">
        <f t="shared" si="26"/>
        <v/>
      </c>
      <c r="BD41" s="303" t="str">
        <f t="shared" si="27"/>
        <v/>
      </c>
      <c r="BF41" s="304">
        <f t="shared" si="28"/>
        <v>0</v>
      </c>
      <c r="BG41" s="304">
        <f t="shared" si="29"/>
        <v>0</v>
      </c>
      <c r="BH41" s="304" t="str">
        <f>IF( $B41="", "", IF(ISNA(VLOOKUP($C41, Defesa!$C$8:$C$30,1,FALSE)),1,0))</f>
        <v/>
      </c>
      <c r="BI41" s="305" t="str">
        <f t="shared" si="30"/>
        <v/>
      </c>
      <c r="BJ41" s="305" t="str">
        <f t="shared" si="31"/>
        <v/>
      </c>
      <c r="BK41" s="304" t="str">
        <f t="shared" si="32"/>
        <v/>
      </c>
      <c r="BL41" s="304">
        <f t="shared" si="33"/>
        <v>0</v>
      </c>
      <c r="BM41" s="304" t="str">
        <f>IF($AC41="", "", IF(ISNA(VLOOKUP($AC41, TABELAS!$Q:$Q, 1, FALSE)), 1, 0))</f>
        <v/>
      </c>
      <c r="BN41" s="306" t="str">
        <f t="shared" si="34"/>
        <v/>
      </c>
      <c r="BO41" s="304" t="str">
        <f t="shared" si="35"/>
        <v/>
      </c>
      <c r="BP41" s="304" t="str">
        <f t="shared" si="36"/>
        <v/>
      </c>
      <c r="BQ41" s="305" t="str">
        <f t="shared" si="37"/>
        <v/>
      </c>
      <c r="BR41" s="304" t="str">
        <f t="shared" si="38"/>
        <v/>
      </c>
      <c r="BS41" s="304" t="str">
        <f t="shared" si="39"/>
        <v/>
      </c>
      <c r="BT41" s="304" t="str">
        <f>IF(OR($B41="", $AH41 = "SIM"), "", IF( ISNA(VLOOKUP($AP41,#REF!, 1, FALSE)), 1, 0))</f>
        <v/>
      </c>
      <c r="BU41" s="304" t="str">
        <f t="shared" si="40"/>
        <v/>
      </c>
      <c r="BV41" s="304" t="str">
        <f>IF( $B41="", "", IF( ISNA(VLOOKUP($AN41, TABELAS!$T$2:$T$9,1,FALSE)), 1, 0))</f>
        <v/>
      </c>
      <c r="BW41" s="304" t="str">
        <f t="shared" si="41"/>
        <v/>
      </c>
      <c r="BX41" s="304" t="str">
        <f>IF( OR($B41="", $AH41 = "SIM"), "", IF( ISNA( VLOOKUP( $AQ41, SISTEMA!$B:$B, 1, FALSE)), 1, 0))</f>
        <v/>
      </c>
      <c r="BY41" s="305" t="str">
        <f t="shared" si="42"/>
        <v/>
      </c>
      <c r="BZ41" s="305" t="str">
        <f t="shared" si="43"/>
        <v/>
      </c>
      <c r="CA41" s="304" t="str">
        <f t="shared" si="44"/>
        <v/>
      </c>
      <c r="CB41" s="305" t="str">
        <f t="shared" si="45"/>
        <v/>
      </c>
      <c r="CC41" s="305" t="str">
        <f t="shared" si="46"/>
        <v/>
      </c>
      <c r="CD41" s="305" t="str">
        <f t="shared" si="47"/>
        <v/>
      </c>
    </row>
    <row r="42" spans="1:82" x14ac:dyDescent="0.2">
      <c r="A42" s="235"/>
      <c r="B42" s="236" t="str">
        <f t="shared" si="12"/>
        <v/>
      </c>
      <c r="C42" s="237" t="str">
        <f t="shared" si="2"/>
        <v/>
      </c>
      <c r="D42" s="237" t="str">
        <f t="shared" si="13"/>
        <v/>
      </c>
      <c r="E42" s="237" t="str">
        <f>IF($C42="", "", COUNTIF($M$8:$M42,$D42))</f>
        <v/>
      </c>
      <c r="F42" s="238">
        <v>35</v>
      </c>
      <c r="G42" s="239"/>
      <c r="H42" s="240"/>
      <c r="I42" s="240"/>
      <c r="J42" s="241"/>
      <c r="K42" s="240"/>
      <c r="L42" s="240"/>
      <c r="M42" s="240"/>
      <c r="N42" s="242"/>
      <c r="O42" s="243"/>
      <c r="P42" s="243"/>
      <c r="Q42" s="243"/>
      <c r="R42" s="243"/>
      <c r="S42" s="243"/>
      <c r="T42" s="245"/>
      <c r="U42" s="246" t="str">
        <f>IF($T42="", "", VLOOKUP($T42, CONTRATOS!$B:$E, 2, FALSE))</f>
        <v/>
      </c>
      <c r="V42" s="247">
        <f>IF(OR($T42="",TB_DEFESA!$C$2="Criação Baseline"),0,
   IF(VLOOKUP($T42, CONTRATOS!B:E, 3, FALSE)&lt;&gt;"",1,IF(VLOOKUP($T42, CONTRATOS!B:E, 4, FALSE)&lt;&gt;"",2,0)))</f>
        <v>0</v>
      </c>
      <c r="W42" s="248"/>
      <c r="X42" s="248"/>
      <c r="Y42" s="249"/>
      <c r="Z42" s="250"/>
      <c r="AA42" s="251"/>
      <c r="AB42" s="252"/>
      <c r="AC42" s="253"/>
      <c r="AD42" s="251"/>
      <c r="AE42" s="254" t="str">
        <f t="shared" si="3"/>
        <v/>
      </c>
      <c r="AF42" s="256" t="str">
        <f t="shared" si="14"/>
        <v/>
      </c>
      <c r="AG42" s="293" t="s">
        <v>62</v>
      </c>
      <c r="AH42" s="294" t="str">
        <f t="shared" si="15"/>
        <v/>
      </c>
      <c r="AI42" s="294" t="str">
        <f t="shared" si="16"/>
        <v/>
      </c>
      <c r="AJ42" s="295" t="str">
        <f t="shared" si="17"/>
        <v/>
      </c>
      <c r="AK42" s="296" t="str">
        <f t="shared" si="18"/>
        <v/>
      </c>
      <c r="AL42" s="297" t="str">
        <f t="shared" si="19"/>
        <v/>
      </c>
      <c r="AM42" s="294" t="str">
        <f t="shared" si="20"/>
        <v/>
      </c>
      <c r="AN42" s="294" t="str">
        <f t="shared" si="21"/>
        <v/>
      </c>
      <c r="AO42" s="298" t="str">
        <f t="shared" si="22"/>
        <v/>
      </c>
      <c r="AP42" s="299" t="str">
        <f t="shared" si="23"/>
        <v/>
      </c>
      <c r="AQ42" s="299" t="str">
        <f t="shared" si="24"/>
        <v/>
      </c>
      <c r="AR42" s="300" t="str">
        <f t="shared" si="4"/>
        <v/>
      </c>
      <c r="AS42" s="300" t="str">
        <f t="shared" si="5"/>
        <v/>
      </c>
      <c r="AT42" s="294" t="str">
        <f t="shared" si="6"/>
        <v/>
      </c>
      <c r="AU42" s="301" t="str">
        <f>IF(OR($B42="", $AP42= ""),"",IF(VLOOKUP($AP42, CONTRATOS!B:K,3,FALSE)="","",VLOOKUP($AP42, CONTRATOS!B:K, 3,FALSE)))</f>
        <v/>
      </c>
      <c r="AV42" s="301" t="str">
        <f>IF(OR($B42="", $AP42 = ""), "", IF(VLOOKUP($AP42, CONTRATOS!B:K,4,FALSE)="","",VLOOKUP($AP42, CONTRATOS!B:K,4, FALSE)))</f>
        <v/>
      </c>
      <c r="AW42" s="302" t="str">
        <f t="shared" si="7"/>
        <v/>
      </c>
      <c r="AX42" s="301" t="str">
        <f t="shared" si="8"/>
        <v/>
      </c>
      <c r="AY42" s="301" t="str">
        <f t="shared" si="9"/>
        <v/>
      </c>
      <c r="AZ42" s="301" t="str">
        <f t="shared" si="10"/>
        <v/>
      </c>
      <c r="BA42" s="301" t="str">
        <f t="shared" si="11"/>
        <v/>
      </c>
      <c r="BB42" s="303">
        <f t="shared" si="25"/>
        <v>0</v>
      </c>
      <c r="BC42" s="303" t="str">
        <f t="shared" si="26"/>
        <v/>
      </c>
      <c r="BD42" s="303" t="str">
        <f t="shared" si="27"/>
        <v/>
      </c>
      <c r="BF42" s="304">
        <f t="shared" si="28"/>
        <v>0</v>
      </c>
      <c r="BG42" s="304">
        <f t="shared" si="29"/>
        <v>0</v>
      </c>
      <c r="BH42" s="304" t="str">
        <f>IF( $B42="", "", IF(ISNA(VLOOKUP($C42, Defesa!$C$8:$C$30,1,FALSE)),1,0))</f>
        <v/>
      </c>
      <c r="BI42" s="305" t="str">
        <f t="shared" si="30"/>
        <v/>
      </c>
      <c r="BJ42" s="305" t="str">
        <f t="shared" si="31"/>
        <v/>
      </c>
      <c r="BK42" s="304" t="str">
        <f t="shared" si="32"/>
        <v/>
      </c>
      <c r="BL42" s="304">
        <f t="shared" si="33"/>
        <v>0</v>
      </c>
      <c r="BM42" s="304" t="str">
        <f>IF($AC42="", "", IF(ISNA(VLOOKUP($AC42, TABELAS!$Q:$Q, 1, FALSE)), 1, 0))</f>
        <v/>
      </c>
      <c r="BN42" s="306" t="str">
        <f t="shared" si="34"/>
        <v/>
      </c>
      <c r="BO42" s="304" t="str">
        <f t="shared" si="35"/>
        <v/>
      </c>
      <c r="BP42" s="304" t="str">
        <f t="shared" si="36"/>
        <v/>
      </c>
      <c r="BQ42" s="305" t="str">
        <f t="shared" si="37"/>
        <v/>
      </c>
      <c r="BR42" s="304" t="str">
        <f t="shared" si="38"/>
        <v/>
      </c>
      <c r="BS42" s="304" t="str">
        <f t="shared" si="39"/>
        <v/>
      </c>
      <c r="BT42" s="304" t="str">
        <f>IF(OR($B42="", $AH42 = "SIM"), "", IF( ISNA(VLOOKUP($AP42,#REF!, 1, FALSE)), 1, 0))</f>
        <v/>
      </c>
      <c r="BU42" s="304" t="str">
        <f t="shared" si="40"/>
        <v/>
      </c>
      <c r="BV42" s="304" t="str">
        <f>IF( $B42="", "", IF( ISNA(VLOOKUP($AN42, TABELAS!$T$2:$T$9,1,FALSE)), 1, 0))</f>
        <v/>
      </c>
      <c r="BW42" s="304" t="str">
        <f t="shared" si="41"/>
        <v/>
      </c>
      <c r="BX42" s="304" t="str">
        <f>IF( OR($B42="", $AH42 = "SIM"), "", IF( ISNA( VLOOKUP( $AQ42, SISTEMA!$B:$B, 1, FALSE)), 1, 0))</f>
        <v/>
      </c>
      <c r="BY42" s="305" t="str">
        <f t="shared" si="42"/>
        <v/>
      </c>
      <c r="BZ42" s="305" t="str">
        <f t="shared" si="43"/>
        <v/>
      </c>
      <c r="CA42" s="304" t="str">
        <f t="shared" si="44"/>
        <v/>
      </c>
      <c r="CB42" s="305" t="str">
        <f t="shared" si="45"/>
        <v/>
      </c>
      <c r="CC42" s="305" t="str">
        <f t="shared" si="46"/>
        <v/>
      </c>
      <c r="CD42" s="305" t="str">
        <f t="shared" si="47"/>
        <v/>
      </c>
    </row>
    <row r="43" spans="1:82" x14ac:dyDescent="0.2">
      <c r="A43" s="235"/>
      <c r="B43" s="236" t="str">
        <f t="shared" si="12"/>
        <v/>
      </c>
      <c r="C43" s="237" t="str">
        <f t="shared" si="2"/>
        <v/>
      </c>
      <c r="D43" s="237" t="str">
        <f t="shared" si="13"/>
        <v/>
      </c>
      <c r="E43" s="237" t="str">
        <f>IF($C43="", "", COUNTIF($M$8:$M43,$D43))</f>
        <v/>
      </c>
      <c r="F43" s="238">
        <v>36</v>
      </c>
      <c r="G43" s="239"/>
      <c r="H43" s="240"/>
      <c r="I43" s="240"/>
      <c r="J43" s="241"/>
      <c r="K43" s="240"/>
      <c r="L43" s="240"/>
      <c r="M43" s="240"/>
      <c r="N43" s="242"/>
      <c r="O43" s="243"/>
      <c r="P43" s="243"/>
      <c r="Q43" s="243"/>
      <c r="R43" s="243"/>
      <c r="S43" s="243"/>
      <c r="T43" s="245"/>
      <c r="U43" s="246" t="str">
        <f>IF($T43="", "", VLOOKUP($T43, CONTRATOS!$B:$E, 2, FALSE))</f>
        <v/>
      </c>
      <c r="V43" s="247">
        <f>IF(OR($T43="",TB_DEFESA!$C$2="Criação Baseline"),0,
   IF(VLOOKUP($T43, CONTRATOS!B:E, 3, FALSE)&lt;&gt;"",1,IF(VLOOKUP($T43, CONTRATOS!B:E, 4, FALSE)&lt;&gt;"",2,0)))</f>
        <v>0</v>
      </c>
      <c r="W43" s="248"/>
      <c r="X43" s="248"/>
      <c r="Y43" s="249"/>
      <c r="Z43" s="250"/>
      <c r="AA43" s="251"/>
      <c r="AB43" s="252"/>
      <c r="AC43" s="253"/>
      <c r="AD43" s="251"/>
      <c r="AE43" s="254" t="str">
        <f t="shared" si="3"/>
        <v/>
      </c>
      <c r="AF43" s="256" t="str">
        <f t="shared" si="14"/>
        <v/>
      </c>
      <c r="AG43" s="293" t="s">
        <v>62</v>
      </c>
      <c r="AH43" s="294" t="str">
        <f t="shared" si="15"/>
        <v/>
      </c>
      <c r="AI43" s="294" t="str">
        <f t="shared" si="16"/>
        <v/>
      </c>
      <c r="AJ43" s="295" t="str">
        <f t="shared" si="17"/>
        <v/>
      </c>
      <c r="AK43" s="296" t="str">
        <f t="shared" si="18"/>
        <v/>
      </c>
      <c r="AL43" s="297" t="str">
        <f t="shared" si="19"/>
        <v/>
      </c>
      <c r="AM43" s="294" t="str">
        <f t="shared" si="20"/>
        <v/>
      </c>
      <c r="AN43" s="294" t="str">
        <f t="shared" si="21"/>
        <v/>
      </c>
      <c r="AO43" s="298" t="str">
        <f t="shared" si="22"/>
        <v/>
      </c>
      <c r="AP43" s="299" t="str">
        <f t="shared" si="23"/>
        <v/>
      </c>
      <c r="AQ43" s="299" t="str">
        <f t="shared" si="24"/>
        <v/>
      </c>
      <c r="AR43" s="300" t="str">
        <f t="shared" si="4"/>
        <v/>
      </c>
      <c r="AS43" s="300" t="str">
        <f t="shared" si="5"/>
        <v/>
      </c>
      <c r="AT43" s="294" t="str">
        <f t="shared" si="6"/>
        <v/>
      </c>
      <c r="AU43" s="301" t="str">
        <f>IF(OR($B43="", $AP43= ""),"",IF(VLOOKUP($AP43, CONTRATOS!B:K,3,FALSE)="","",VLOOKUP($AP43, CONTRATOS!B:K, 3,FALSE)))</f>
        <v/>
      </c>
      <c r="AV43" s="301" t="str">
        <f>IF(OR($B43="", $AP43 = ""), "", IF(VLOOKUP($AP43, CONTRATOS!B:K,4,FALSE)="","",VLOOKUP($AP43, CONTRATOS!B:K,4, FALSE)))</f>
        <v/>
      </c>
      <c r="AW43" s="302" t="str">
        <f t="shared" si="7"/>
        <v/>
      </c>
      <c r="AX43" s="301" t="str">
        <f t="shared" si="8"/>
        <v/>
      </c>
      <c r="AY43" s="301" t="str">
        <f t="shared" si="9"/>
        <v/>
      </c>
      <c r="AZ43" s="301" t="str">
        <f t="shared" si="10"/>
        <v/>
      </c>
      <c r="BA43" s="301" t="str">
        <f t="shared" si="11"/>
        <v/>
      </c>
      <c r="BB43" s="303">
        <f t="shared" si="25"/>
        <v>0</v>
      </c>
      <c r="BC43" s="303" t="str">
        <f t="shared" si="26"/>
        <v/>
      </c>
      <c r="BD43" s="303" t="str">
        <f t="shared" si="27"/>
        <v/>
      </c>
      <c r="BF43" s="304">
        <f t="shared" si="28"/>
        <v>0</v>
      </c>
      <c r="BG43" s="304">
        <f t="shared" si="29"/>
        <v>0</v>
      </c>
      <c r="BH43" s="304" t="str">
        <f>IF( $B43="", "", IF(ISNA(VLOOKUP($C43, Defesa!$C$8:$C$30,1,FALSE)),1,0))</f>
        <v/>
      </c>
      <c r="BI43" s="305" t="str">
        <f t="shared" si="30"/>
        <v/>
      </c>
      <c r="BJ43" s="305" t="str">
        <f t="shared" si="31"/>
        <v/>
      </c>
      <c r="BK43" s="304" t="str">
        <f t="shared" si="32"/>
        <v/>
      </c>
      <c r="BL43" s="304">
        <f t="shared" si="33"/>
        <v>0</v>
      </c>
      <c r="BM43" s="304" t="str">
        <f>IF($AC43="", "", IF(ISNA(VLOOKUP($AC43, TABELAS!$Q:$Q, 1, FALSE)), 1, 0))</f>
        <v/>
      </c>
      <c r="BN43" s="306" t="str">
        <f t="shared" si="34"/>
        <v/>
      </c>
      <c r="BO43" s="304" t="str">
        <f t="shared" si="35"/>
        <v/>
      </c>
      <c r="BP43" s="304" t="str">
        <f t="shared" si="36"/>
        <v/>
      </c>
      <c r="BQ43" s="305" t="str">
        <f t="shared" si="37"/>
        <v/>
      </c>
      <c r="BR43" s="304" t="str">
        <f t="shared" si="38"/>
        <v/>
      </c>
      <c r="BS43" s="304" t="str">
        <f t="shared" si="39"/>
        <v/>
      </c>
      <c r="BT43" s="304" t="str">
        <f>IF(OR($B43="", $AH43 = "SIM"), "", IF( ISNA(VLOOKUP($AP43,#REF!, 1, FALSE)), 1, 0))</f>
        <v/>
      </c>
      <c r="BU43" s="304" t="str">
        <f t="shared" si="40"/>
        <v/>
      </c>
      <c r="BV43" s="304" t="str">
        <f>IF( $B43="", "", IF( ISNA(VLOOKUP($AN43, TABELAS!$T$2:$T$9,1,FALSE)), 1, 0))</f>
        <v/>
      </c>
      <c r="BW43" s="304" t="str">
        <f t="shared" si="41"/>
        <v/>
      </c>
      <c r="BX43" s="304" t="str">
        <f>IF( OR($B43="", $AH43 = "SIM"), "", IF( ISNA( VLOOKUP( $AQ43, SISTEMA!$B:$B, 1, FALSE)), 1, 0))</f>
        <v/>
      </c>
      <c r="BY43" s="305" t="str">
        <f t="shared" si="42"/>
        <v/>
      </c>
      <c r="BZ43" s="305" t="str">
        <f t="shared" si="43"/>
        <v/>
      </c>
      <c r="CA43" s="304" t="str">
        <f t="shared" si="44"/>
        <v/>
      </c>
      <c r="CB43" s="305" t="str">
        <f t="shared" si="45"/>
        <v/>
      </c>
      <c r="CC43" s="305" t="str">
        <f t="shared" si="46"/>
        <v/>
      </c>
      <c r="CD43" s="305" t="str">
        <f t="shared" si="47"/>
        <v/>
      </c>
    </row>
    <row r="44" spans="1:82" x14ac:dyDescent="0.2">
      <c r="A44" s="235"/>
      <c r="B44" s="236" t="str">
        <f t="shared" si="12"/>
        <v/>
      </c>
      <c r="C44" s="237" t="str">
        <f t="shared" si="2"/>
        <v/>
      </c>
      <c r="D44" s="237" t="str">
        <f t="shared" si="13"/>
        <v/>
      </c>
      <c r="E44" s="237" t="str">
        <f>IF($C44="", "", COUNTIF($M$8:$M44,$D44))</f>
        <v/>
      </c>
      <c r="F44" s="238">
        <v>37</v>
      </c>
      <c r="G44" s="239"/>
      <c r="H44" s="240"/>
      <c r="I44" s="240"/>
      <c r="J44" s="241"/>
      <c r="K44" s="240"/>
      <c r="L44" s="240"/>
      <c r="M44" s="240"/>
      <c r="N44" s="242"/>
      <c r="O44" s="243"/>
      <c r="P44" s="243"/>
      <c r="Q44" s="243"/>
      <c r="R44" s="243"/>
      <c r="S44" s="243"/>
      <c r="T44" s="245"/>
      <c r="U44" s="246" t="str">
        <f>IF($T44="", "", VLOOKUP($T44, CONTRATOS!$B:$E, 2, FALSE))</f>
        <v/>
      </c>
      <c r="V44" s="247">
        <f>IF(OR($T44="",TB_DEFESA!$C$2="Criação Baseline"),0,
   IF(VLOOKUP($T44, CONTRATOS!B:E, 3, FALSE)&lt;&gt;"",1,IF(VLOOKUP($T44, CONTRATOS!B:E, 4, FALSE)&lt;&gt;"",2,0)))</f>
        <v>0</v>
      </c>
      <c r="W44" s="248"/>
      <c r="X44" s="248"/>
      <c r="Y44" s="249"/>
      <c r="Z44" s="250"/>
      <c r="AA44" s="251"/>
      <c r="AB44" s="252"/>
      <c r="AC44" s="253"/>
      <c r="AD44" s="251"/>
      <c r="AE44" s="254" t="str">
        <f t="shared" si="3"/>
        <v/>
      </c>
      <c r="AF44" s="256" t="str">
        <f t="shared" si="14"/>
        <v/>
      </c>
      <c r="AG44" s="293" t="s">
        <v>62</v>
      </c>
      <c r="AH44" s="294" t="str">
        <f t="shared" si="15"/>
        <v/>
      </c>
      <c r="AI44" s="294" t="str">
        <f t="shared" si="16"/>
        <v/>
      </c>
      <c r="AJ44" s="295" t="str">
        <f t="shared" si="17"/>
        <v/>
      </c>
      <c r="AK44" s="296" t="str">
        <f t="shared" si="18"/>
        <v/>
      </c>
      <c r="AL44" s="297" t="str">
        <f t="shared" si="19"/>
        <v/>
      </c>
      <c r="AM44" s="294" t="str">
        <f t="shared" si="20"/>
        <v/>
      </c>
      <c r="AN44" s="294" t="str">
        <f t="shared" si="21"/>
        <v/>
      </c>
      <c r="AO44" s="298" t="str">
        <f t="shared" si="22"/>
        <v/>
      </c>
      <c r="AP44" s="299" t="str">
        <f t="shared" si="23"/>
        <v/>
      </c>
      <c r="AQ44" s="299" t="str">
        <f t="shared" si="24"/>
        <v/>
      </c>
      <c r="AR44" s="300" t="str">
        <f t="shared" si="4"/>
        <v/>
      </c>
      <c r="AS44" s="300" t="str">
        <f t="shared" si="5"/>
        <v/>
      </c>
      <c r="AT44" s="294" t="str">
        <f t="shared" si="6"/>
        <v/>
      </c>
      <c r="AU44" s="301" t="str">
        <f>IF(OR($B44="", $AP44= ""),"",IF(VLOOKUP($AP44, CONTRATOS!B:K,3,FALSE)="","",VLOOKUP($AP44, CONTRATOS!B:K, 3,FALSE)))</f>
        <v/>
      </c>
      <c r="AV44" s="301" t="str">
        <f>IF(OR($B44="", $AP44 = ""), "", IF(VLOOKUP($AP44, CONTRATOS!B:K,4,FALSE)="","",VLOOKUP($AP44, CONTRATOS!B:K,4, FALSE)))</f>
        <v/>
      </c>
      <c r="AW44" s="302" t="str">
        <f t="shared" si="7"/>
        <v/>
      </c>
      <c r="AX44" s="301" t="str">
        <f t="shared" si="8"/>
        <v/>
      </c>
      <c r="AY44" s="301" t="str">
        <f t="shared" si="9"/>
        <v/>
      </c>
      <c r="AZ44" s="301" t="str">
        <f t="shared" si="10"/>
        <v/>
      </c>
      <c r="BA44" s="301" t="str">
        <f t="shared" si="11"/>
        <v/>
      </c>
      <c r="BB44" s="303">
        <f t="shared" si="25"/>
        <v>0</v>
      </c>
      <c r="BC44" s="303" t="str">
        <f t="shared" si="26"/>
        <v/>
      </c>
      <c r="BD44" s="303" t="str">
        <f t="shared" si="27"/>
        <v/>
      </c>
      <c r="BF44" s="304">
        <f t="shared" si="28"/>
        <v>0</v>
      </c>
      <c r="BG44" s="304">
        <f t="shared" si="29"/>
        <v>0</v>
      </c>
      <c r="BH44" s="304" t="str">
        <f>IF( $B44="", "", IF(ISNA(VLOOKUP($C44, Defesa!$C$8:$C$30,1,FALSE)),1,0))</f>
        <v/>
      </c>
      <c r="BI44" s="305" t="str">
        <f t="shared" si="30"/>
        <v/>
      </c>
      <c r="BJ44" s="305" t="str">
        <f t="shared" si="31"/>
        <v/>
      </c>
      <c r="BK44" s="304" t="str">
        <f t="shared" si="32"/>
        <v/>
      </c>
      <c r="BL44" s="304">
        <f t="shared" si="33"/>
        <v>0</v>
      </c>
      <c r="BM44" s="304" t="str">
        <f>IF($AC44="", "", IF(ISNA(VLOOKUP($AC44, TABELAS!$Q:$Q, 1, FALSE)), 1, 0))</f>
        <v/>
      </c>
      <c r="BN44" s="306" t="str">
        <f t="shared" si="34"/>
        <v/>
      </c>
      <c r="BO44" s="304" t="str">
        <f t="shared" si="35"/>
        <v/>
      </c>
      <c r="BP44" s="304" t="str">
        <f t="shared" si="36"/>
        <v/>
      </c>
      <c r="BQ44" s="305" t="str">
        <f t="shared" si="37"/>
        <v/>
      </c>
      <c r="BR44" s="304" t="str">
        <f t="shared" si="38"/>
        <v/>
      </c>
      <c r="BS44" s="304" t="str">
        <f t="shared" si="39"/>
        <v/>
      </c>
      <c r="BT44" s="304" t="str">
        <f>IF(OR($B44="", $AH44 = "SIM"), "", IF( ISNA(VLOOKUP($AP44,#REF!, 1, FALSE)), 1, 0))</f>
        <v/>
      </c>
      <c r="BU44" s="304" t="str">
        <f t="shared" si="40"/>
        <v/>
      </c>
      <c r="BV44" s="304" t="str">
        <f>IF( $B44="", "", IF( ISNA(VLOOKUP($AN44, TABELAS!$T$2:$T$9,1,FALSE)), 1, 0))</f>
        <v/>
      </c>
      <c r="BW44" s="304" t="str">
        <f t="shared" si="41"/>
        <v/>
      </c>
      <c r="BX44" s="304" t="str">
        <f>IF( OR($B44="", $AH44 = "SIM"), "", IF( ISNA( VLOOKUP( $AQ44, SISTEMA!$B:$B, 1, FALSE)), 1, 0))</f>
        <v/>
      </c>
      <c r="BY44" s="305" t="str">
        <f t="shared" si="42"/>
        <v/>
      </c>
      <c r="BZ44" s="305" t="str">
        <f t="shared" si="43"/>
        <v/>
      </c>
      <c r="CA44" s="304" t="str">
        <f t="shared" si="44"/>
        <v/>
      </c>
      <c r="CB44" s="305" t="str">
        <f t="shared" si="45"/>
        <v/>
      </c>
      <c r="CC44" s="305" t="str">
        <f t="shared" si="46"/>
        <v/>
      </c>
      <c r="CD44" s="305" t="str">
        <f t="shared" si="47"/>
        <v/>
      </c>
    </row>
    <row r="45" spans="1:82" x14ac:dyDescent="0.2">
      <c r="A45" s="235"/>
      <c r="B45" s="236" t="str">
        <f t="shared" si="12"/>
        <v/>
      </c>
      <c r="C45" s="237" t="str">
        <f t="shared" si="2"/>
        <v/>
      </c>
      <c r="D45" s="237" t="str">
        <f t="shared" si="13"/>
        <v/>
      </c>
      <c r="E45" s="237" t="str">
        <f>IF($C45="", "", COUNTIF($M$8:$M45,$D45))</f>
        <v/>
      </c>
      <c r="F45" s="238">
        <v>38</v>
      </c>
      <c r="G45" s="239"/>
      <c r="H45" s="240"/>
      <c r="I45" s="240"/>
      <c r="J45" s="241"/>
      <c r="K45" s="240"/>
      <c r="L45" s="240"/>
      <c r="M45" s="240"/>
      <c r="N45" s="242"/>
      <c r="O45" s="243"/>
      <c r="P45" s="243"/>
      <c r="Q45" s="243"/>
      <c r="R45" s="243"/>
      <c r="S45" s="243"/>
      <c r="T45" s="245"/>
      <c r="U45" s="246" t="str">
        <f>IF($T45="", "", VLOOKUP($T45, CONTRATOS!$B:$E, 2, FALSE))</f>
        <v/>
      </c>
      <c r="V45" s="247">
        <f>IF(OR($T45="",TB_DEFESA!$C$2="Criação Baseline"),0,
   IF(VLOOKUP($T45, CONTRATOS!B:E, 3, FALSE)&lt;&gt;"",1,IF(VLOOKUP($T45, CONTRATOS!B:E, 4, FALSE)&lt;&gt;"",2,0)))</f>
        <v>0</v>
      </c>
      <c r="W45" s="248"/>
      <c r="X45" s="248"/>
      <c r="Y45" s="249"/>
      <c r="Z45" s="250"/>
      <c r="AA45" s="251"/>
      <c r="AB45" s="252"/>
      <c r="AC45" s="253"/>
      <c r="AD45" s="251"/>
      <c r="AE45" s="254" t="str">
        <f t="shared" si="3"/>
        <v/>
      </c>
      <c r="AF45" s="256" t="str">
        <f t="shared" si="14"/>
        <v/>
      </c>
      <c r="AG45" s="293" t="s">
        <v>62</v>
      </c>
      <c r="AH45" s="294" t="str">
        <f t="shared" si="15"/>
        <v/>
      </c>
      <c r="AI45" s="294" t="str">
        <f t="shared" si="16"/>
        <v/>
      </c>
      <c r="AJ45" s="295" t="str">
        <f t="shared" si="17"/>
        <v/>
      </c>
      <c r="AK45" s="296" t="str">
        <f t="shared" si="18"/>
        <v/>
      </c>
      <c r="AL45" s="297" t="str">
        <f t="shared" si="19"/>
        <v/>
      </c>
      <c r="AM45" s="294" t="str">
        <f t="shared" si="20"/>
        <v/>
      </c>
      <c r="AN45" s="294" t="str">
        <f t="shared" si="21"/>
        <v/>
      </c>
      <c r="AO45" s="298" t="str">
        <f t="shared" si="22"/>
        <v/>
      </c>
      <c r="AP45" s="299" t="str">
        <f t="shared" si="23"/>
        <v/>
      </c>
      <c r="AQ45" s="299" t="str">
        <f t="shared" si="24"/>
        <v/>
      </c>
      <c r="AR45" s="300" t="str">
        <f t="shared" si="4"/>
        <v/>
      </c>
      <c r="AS45" s="300" t="str">
        <f t="shared" si="5"/>
        <v/>
      </c>
      <c r="AT45" s="294" t="str">
        <f t="shared" si="6"/>
        <v/>
      </c>
      <c r="AU45" s="301" t="str">
        <f>IF(OR($B45="", $AP45= ""),"",IF(VLOOKUP($AP45, CONTRATOS!B:K,3,FALSE)="","",VLOOKUP($AP45, CONTRATOS!B:K, 3,FALSE)))</f>
        <v/>
      </c>
      <c r="AV45" s="301" t="str">
        <f>IF(OR($B45="", $AP45 = ""), "", IF(VLOOKUP($AP45, CONTRATOS!B:K,4,FALSE)="","",VLOOKUP($AP45, CONTRATOS!B:K,4, FALSE)))</f>
        <v/>
      </c>
      <c r="AW45" s="302" t="str">
        <f t="shared" si="7"/>
        <v/>
      </c>
      <c r="AX45" s="301" t="str">
        <f t="shared" si="8"/>
        <v/>
      </c>
      <c r="AY45" s="301" t="str">
        <f t="shared" si="9"/>
        <v/>
      </c>
      <c r="AZ45" s="301" t="str">
        <f t="shared" si="10"/>
        <v/>
      </c>
      <c r="BA45" s="301" t="str">
        <f t="shared" si="11"/>
        <v/>
      </c>
      <c r="BB45" s="303">
        <f t="shared" si="25"/>
        <v>0</v>
      </c>
      <c r="BC45" s="303" t="str">
        <f t="shared" si="26"/>
        <v/>
      </c>
      <c r="BD45" s="303" t="str">
        <f t="shared" si="27"/>
        <v/>
      </c>
      <c r="BF45" s="304">
        <f t="shared" si="28"/>
        <v>0</v>
      </c>
      <c r="BG45" s="304">
        <f t="shared" si="29"/>
        <v>0</v>
      </c>
      <c r="BH45" s="304" t="str">
        <f>IF( $B45="", "", IF(ISNA(VLOOKUP($C45, Defesa!$C$8:$C$30,1,FALSE)),1,0))</f>
        <v/>
      </c>
      <c r="BI45" s="305" t="str">
        <f t="shared" si="30"/>
        <v/>
      </c>
      <c r="BJ45" s="305" t="str">
        <f t="shared" si="31"/>
        <v/>
      </c>
      <c r="BK45" s="304" t="str">
        <f t="shared" si="32"/>
        <v/>
      </c>
      <c r="BL45" s="304">
        <f t="shared" si="33"/>
        <v>0</v>
      </c>
      <c r="BM45" s="304" t="str">
        <f>IF($AC45="", "", IF(ISNA(VLOOKUP($AC45, TABELAS!$Q:$Q, 1, FALSE)), 1, 0))</f>
        <v/>
      </c>
      <c r="BN45" s="306" t="str">
        <f t="shared" si="34"/>
        <v/>
      </c>
      <c r="BO45" s="304" t="str">
        <f t="shared" si="35"/>
        <v/>
      </c>
      <c r="BP45" s="304" t="str">
        <f t="shared" si="36"/>
        <v/>
      </c>
      <c r="BQ45" s="305" t="str">
        <f t="shared" si="37"/>
        <v/>
      </c>
      <c r="BR45" s="304" t="str">
        <f t="shared" si="38"/>
        <v/>
      </c>
      <c r="BS45" s="304" t="str">
        <f t="shared" si="39"/>
        <v/>
      </c>
      <c r="BT45" s="304" t="str">
        <f>IF(OR($B45="", $AH45 = "SIM"), "", IF( ISNA(VLOOKUP($AP45,#REF!, 1, FALSE)), 1, 0))</f>
        <v/>
      </c>
      <c r="BU45" s="304" t="str">
        <f t="shared" si="40"/>
        <v/>
      </c>
      <c r="BV45" s="304" t="str">
        <f>IF( $B45="", "", IF( ISNA(VLOOKUP($AN45, TABELAS!$T$2:$T$9,1,FALSE)), 1, 0))</f>
        <v/>
      </c>
      <c r="BW45" s="304" t="str">
        <f t="shared" si="41"/>
        <v/>
      </c>
      <c r="BX45" s="304" t="str">
        <f>IF( OR($B45="", $AH45 = "SIM"), "", IF( ISNA( VLOOKUP( $AQ45, SISTEMA!$B:$B, 1, FALSE)), 1, 0))</f>
        <v/>
      </c>
      <c r="BY45" s="305" t="str">
        <f t="shared" si="42"/>
        <v/>
      </c>
      <c r="BZ45" s="305" t="str">
        <f t="shared" si="43"/>
        <v/>
      </c>
      <c r="CA45" s="304" t="str">
        <f t="shared" si="44"/>
        <v/>
      </c>
      <c r="CB45" s="305" t="str">
        <f t="shared" si="45"/>
        <v/>
      </c>
      <c r="CC45" s="305" t="str">
        <f t="shared" si="46"/>
        <v/>
      </c>
      <c r="CD45" s="305" t="str">
        <f t="shared" si="47"/>
        <v/>
      </c>
    </row>
    <row r="46" spans="1:82" x14ac:dyDescent="0.2">
      <c r="A46" s="235"/>
      <c r="B46" s="236" t="str">
        <f t="shared" si="12"/>
        <v/>
      </c>
      <c r="C46" s="237" t="str">
        <f t="shared" si="2"/>
        <v/>
      </c>
      <c r="D46" s="237" t="str">
        <f t="shared" si="13"/>
        <v/>
      </c>
      <c r="E46" s="237" t="str">
        <f>IF($C46="", "", COUNTIF($M$8:$M46,$D46))</f>
        <v/>
      </c>
      <c r="F46" s="238">
        <v>39</v>
      </c>
      <c r="G46" s="239"/>
      <c r="H46" s="240"/>
      <c r="I46" s="240"/>
      <c r="J46" s="241"/>
      <c r="K46" s="240"/>
      <c r="L46" s="240"/>
      <c r="M46" s="240"/>
      <c r="N46" s="242"/>
      <c r="O46" s="243"/>
      <c r="P46" s="243"/>
      <c r="Q46" s="243"/>
      <c r="R46" s="243"/>
      <c r="S46" s="243"/>
      <c r="T46" s="245"/>
      <c r="U46" s="246" t="str">
        <f>IF($T46="", "", VLOOKUP($T46, CONTRATOS!$B:$E, 2, FALSE))</f>
        <v/>
      </c>
      <c r="V46" s="247">
        <f>IF(OR($T46="",TB_DEFESA!$C$2="Criação Baseline"),0,
   IF(VLOOKUP($T46, CONTRATOS!B:E, 3, FALSE)&lt;&gt;"",1,IF(VLOOKUP($T46, CONTRATOS!B:E, 4, FALSE)&lt;&gt;"",2,0)))</f>
        <v>0</v>
      </c>
      <c r="W46" s="248"/>
      <c r="X46" s="248"/>
      <c r="Y46" s="249"/>
      <c r="Z46" s="250"/>
      <c r="AA46" s="251"/>
      <c r="AB46" s="252"/>
      <c r="AC46" s="253"/>
      <c r="AD46" s="251"/>
      <c r="AE46" s="254" t="str">
        <f t="shared" si="3"/>
        <v/>
      </c>
      <c r="AF46" s="256" t="str">
        <f t="shared" si="14"/>
        <v/>
      </c>
      <c r="AG46" s="293" t="s">
        <v>62</v>
      </c>
      <c r="AH46" s="294" t="str">
        <f t="shared" si="15"/>
        <v/>
      </c>
      <c r="AI46" s="294" t="str">
        <f t="shared" si="16"/>
        <v/>
      </c>
      <c r="AJ46" s="295" t="str">
        <f t="shared" si="17"/>
        <v/>
      </c>
      <c r="AK46" s="296" t="str">
        <f t="shared" si="18"/>
        <v/>
      </c>
      <c r="AL46" s="297" t="str">
        <f t="shared" si="19"/>
        <v/>
      </c>
      <c r="AM46" s="294" t="str">
        <f t="shared" si="20"/>
        <v/>
      </c>
      <c r="AN46" s="294" t="str">
        <f t="shared" si="21"/>
        <v/>
      </c>
      <c r="AO46" s="298" t="str">
        <f t="shared" si="22"/>
        <v/>
      </c>
      <c r="AP46" s="299" t="str">
        <f t="shared" si="23"/>
        <v/>
      </c>
      <c r="AQ46" s="299" t="str">
        <f t="shared" si="24"/>
        <v/>
      </c>
      <c r="AR46" s="300" t="str">
        <f t="shared" si="4"/>
        <v/>
      </c>
      <c r="AS46" s="300" t="str">
        <f t="shared" si="5"/>
        <v/>
      </c>
      <c r="AT46" s="294" t="str">
        <f t="shared" si="6"/>
        <v/>
      </c>
      <c r="AU46" s="301" t="str">
        <f>IF(OR($B46="", $AP46= ""),"",IF(VLOOKUP($AP46, CONTRATOS!B:K,3,FALSE)="","",VLOOKUP($AP46, CONTRATOS!B:K, 3,FALSE)))</f>
        <v/>
      </c>
      <c r="AV46" s="301" t="str">
        <f>IF(OR($B46="", $AP46 = ""), "", IF(VLOOKUP($AP46, CONTRATOS!B:K,4,FALSE)="","",VLOOKUP($AP46, CONTRATOS!B:K,4, FALSE)))</f>
        <v/>
      </c>
      <c r="AW46" s="302" t="str">
        <f t="shared" si="7"/>
        <v/>
      </c>
      <c r="AX46" s="301" t="str">
        <f t="shared" si="8"/>
        <v/>
      </c>
      <c r="AY46" s="301" t="str">
        <f t="shared" si="9"/>
        <v/>
      </c>
      <c r="AZ46" s="301" t="str">
        <f t="shared" si="10"/>
        <v/>
      </c>
      <c r="BA46" s="301" t="str">
        <f t="shared" si="11"/>
        <v/>
      </c>
      <c r="BB46" s="303">
        <f t="shared" si="25"/>
        <v>0</v>
      </c>
      <c r="BC46" s="303" t="str">
        <f t="shared" si="26"/>
        <v/>
      </c>
      <c r="BD46" s="303" t="str">
        <f t="shared" si="27"/>
        <v/>
      </c>
      <c r="BF46" s="304">
        <f t="shared" si="28"/>
        <v>0</v>
      </c>
      <c r="BG46" s="304">
        <f t="shared" si="29"/>
        <v>0</v>
      </c>
      <c r="BH46" s="304" t="str">
        <f>IF( $B46="", "", IF(ISNA(VLOOKUP($C46, Defesa!$C$8:$C$30,1,FALSE)),1,0))</f>
        <v/>
      </c>
      <c r="BI46" s="305" t="str">
        <f t="shared" si="30"/>
        <v/>
      </c>
      <c r="BJ46" s="305" t="str">
        <f t="shared" si="31"/>
        <v/>
      </c>
      <c r="BK46" s="304" t="str">
        <f t="shared" si="32"/>
        <v/>
      </c>
      <c r="BL46" s="304">
        <f t="shared" si="33"/>
        <v>0</v>
      </c>
      <c r="BM46" s="304" t="str">
        <f>IF($AC46="", "", IF(ISNA(VLOOKUP($AC46, TABELAS!$Q:$Q, 1, FALSE)), 1, 0))</f>
        <v/>
      </c>
      <c r="BN46" s="306" t="str">
        <f t="shared" si="34"/>
        <v/>
      </c>
      <c r="BO46" s="304" t="str">
        <f t="shared" si="35"/>
        <v/>
      </c>
      <c r="BP46" s="304" t="str">
        <f t="shared" si="36"/>
        <v/>
      </c>
      <c r="BQ46" s="305" t="str">
        <f t="shared" si="37"/>
        <v/>
      </c>
      <c r="BR46" s="304" t="str">
        <f t="shared" si="38"/>
        <v/>
      </c>
      <c r="BS46" s="304" t="str">
        <f t="shared" si="39"/>
        <v/>
      </c>
      <c r="BT46" s="304" t="str">
        <f>IF(OR($B46="", $AH46 = "SIM"), "", IF( ISNA(VLOOKUP($AP46,#REF!, 1, FALSE)), 1, 0))</f>
        <v/>
      </c>
      <c r="BU46" s="304" t="str">
        <f t="shared" si="40"/>
        <v/>
      </c>
      <c r="BV46" s="304" t="str">
        <f>IF( $B46="", "", IF( ISNA(VLOOKUP($AN46, TABELAS!$T$2:$T$9,1,FALSE)), 1, 0))</f>
        <v/>
      </c>
      <c r="BW46" s="304" t="str">
        <f t="shared" si="41"/>
        <v/>
      </c>
      <c r="BX46" s="304" t="str">
        <f>IF( OR($B46="", $AH46 = "SIM"), "", IF( ISNA( VLOOKUP( $AQ46, SISTEMA!$B:$B, 1, FALSE)), 1, 0))</f>
        <v/>
      </c>
      <c r="BY46" s="305" t="str">
        <f t="shared" si="42"/>
        <v/>
      </c>
      <c r="BZ46" s="305" t="str">
        <f t="shared" si="43"/>
        <v/>
      </c>
      <c r="CA46" s="304" t="str">
        <f t="shared" si="44"/>
        <v/>
      </c>
      <c r="CB46" s="305" t="str">
        <f t="shared" si="45"/>
        <v/>
      </c>
      <c r="CC46" s="305" t="str">
        <f t="shared" si="46"/>
        <v/>
      </c>
      <c r="CD46" s="305" t="str">
        <f t="shared" si="47"/>
        <v/>
      </c>
    </row>
    <row r="47" spans="1:82" x14ac:dyDescent="0.2">
      <c r="A47" s="235"/>
      <c r="B47" s="236" t="str">
        <f t="shared" si="12"/>
        <v/>
      </c>
      <c r="C47" s="237" t="str">
        <f t="shared" si="2"/>
        <v/>
      </c>
      <c r="D47" s="237" t="str">
        <f t="shared" si="13"/>
        <v/>
      </c>
      <c r="E47" s="237" t="str">
        <f>IF($C47="", "", COUNTIF($M$8:$M47,$D47))</f>
        <v/>
      </c>
      <c r="F47" s="238">
        <v>40</v>
      </c>
      <c r="G47" s="239"/>
      <c r="H47" s="240"/>
      <c r="I47" s="240"/>
      <c r="J47" s="241"/>
      <c r="K47" s="240"/>
      <c r="L47" s="240"/>
      <c r="M47" s="240"/>
      <c r="N47" s="242"/>
      <c r="O47" s="243"/>
      <c r="P47" s="243"/>
      <c r="Q47" s="243"/>
      <c r="R47" s="243"/>
      <c r="S47" s="243"/>
      <c r="T47" s="245"/>
      <c r="U47" s="246" t="str">
        <f>IF($T47="", "", VLOOKUP($T47, CONTRATOS!$B:$E, 2, FALSE))</f>
        <v/>
      </c>
      <c r="V47" s="247">
        <f>IF(OR($T47="",TB_DEFESA!$C$2="Criação Baseline"),0,
   IF(VLOOKUP($T47, CONTRATOS!B:E, 3, FALSE)&lt;&gt;"",1,IF(VLOOKUP($T47, CONTRATOS!B:E, 4, FALSE)&lt;&gt;"",2,0)))</f>
        <v>0</v>
      </c>
      <c r="W47" s="248"/>
      <c r="X47" s="248"/>
      <c r="Y47" s="249"/>
      <c r="Z47" s="250"/>
      <c r="AA47" s="251"/>
      <c r="AB47" s="252"/>
      <c r="AC47" s="253"/>
      <c r="AD47" s="251"/>
      <c r="AE47" s="254" t="str">
        <f t="shared" si="3"/>
        <v/>
      </c>
      <c r="AF47" s="256" t="str">
        <f t="shared" si="14"/>
        <v/>
      </c>
      <c r="AG47" s="293" t="s">
        <v>62</v>
      </c>
      <c r="AH47" s="294" t="str">
        <f t="shared" si="15"/>
        <v/>
      </c>
      <c r="AI47" s="294" t="str">
        <f t="shared" si="16"/>
        <v/>
      </c>
      <c r="AJ47" s="295" t="str">
        <f t="shared" si="17"/>
        <v/>
      </c>
      <c r="AK47" s="296" t="str">
        <f t="shared" si="18"/>
        <v/>
      </c>
      <c r="AL47" s="297" t="str">
        <f t="shared" si="19"/>
        <v/>
      </c>
      <c r="AM47" s="294" t="str">
        <f t="shared" si="20"/>
        <v/>
      </c>
      <c r="AN47" s="294" t="str">
        <f t="shared" si="21"/>
        <v/>
      </c>
      <c r="AO47" s="298" t="str">
        <f t="shared" si="22"/>
        <v/>
      </c>
      <c r="AP47" s="299" t="str">
        <f t="shared" si="23"/>
        <v/>
      </c>
      <c r="AQ47" s="299" t="str">
        <f t="shared" si="24"/>
        <v/>
      </c>
      <c r="AR47" s="300" t="str">
        <f t="shared" si="4"/>
        <v/>
      </c>
      <c r="AS47" s="300" t="str">
        <f t="shared" si="5"/>
        <v/>
      </c>
      <c r="AT47" s="294" t="str">
        <f t="shared" si="6"/>
        <v/>
      </c>
      <c r="AU47" s="301" t="str">
        <f>IF(OR($B47="", $AP47= ""),"",IF(VLOOKUP($AP47, CONTRATOS!B:K,3,FALSE)="","",VLOOKUP($AP47, CONTRATOS!B:K, 3,FALSE)))</f>
        <v/>
      </c>
      <c r="AV47" s="301" t="str">
        <f>IF(OR($B47="", $AP47 = ""), "", IF(VLOOKUP($AP47, CONTRATOS!B:K,4,FALSE)="","",VLOOKUP($AP47, CONTRATOS!B:K,4, FALSE)))</f>
        <v/>
      </c>
      <c r="AW47" s="302" t="str">
        <f t="shared" si="7"/>
        <v/>
      </c>
      <c r="AX47" s="301" t="str">
        <f t="shared" si="8"/>
        <v/>
      </c>
      <c r="AY47" s="301" t="str">
        <f t="shared" si="9"/>
        <v/>
      </c>
      <c r="AZ47" s="301" t="str">
        <f t="shared" si="10"/>
        <v/>
      </c>
      <c r="BA47" s="301" t="str">
        <f t="shared" si="11"/>
        <v/>
      </c>
      <c r="BB47" s="303">
        <f t="shared" si="25"/>
        <v>0</v>
      </c>
      <c r="BC47" s="303" t="str">
        <f t="shared" si="26"/>
        <v/>
      </c>
      <c r="BD47" s="303" t="str">
        <f t="shared" si="27"/>
        <v/>
      </c>
      <c r="BF47" s="304">
        <f t="shared" si="28"/>
        <v>0</v>
      </c>
      <c r="BG47" s="304">
        <f t="shared" si="29"/>
        <v>0</v>
      </c>
      <c r="BH47" s="304" t="str">
        <f>IF( $B47="", "", IF(ISNA(VLOOKUP($C47, Defesa!$C$8:$C$30,1,FALSE)),1,0))</f>
        <v/>
      </c>
      <c r="BI47" s="305" t="str">
        <f t="shared" si="30"/>
        <v/>
      </c>
      <c r="BJ47" s="305" t="str">
        <f t="shared" si="31"/>
        <v/>
      </c>
      <c r="BK47" s="304" t="str">
        <f t="shared" si="32"/>
        <v/>
      </c>
      <c r="BL47" s="304">
        <f t="shared" si="33"/>
        <v>0</v>
      </c>
      <c r="BM47" s="304" t="str">
        <f>IF($AC47="", "", IF(ISNA(VLOOKUP($AC47, TABELAS!$Q:$Q, 1, FALSE)), 1, 0))</f>
        <v/>
      </c>
      <c r="BN47" s="306" t="str">
        <f t="shared" si="34"/>
        <v/>
      </c>
      <c r="BO47" s="304" t="str">
        <f t="shared" si="35"/>
        <v/>
      </c>
      <c r="BP47" s="304" t="str">
        <f t="shared" si="36"/>
        <v/>
      </c>
      <c r="BQ47" s="305" t="str">
        <f t="shared" si="37"/>
        <v/>
      </c>
      <c r="BR47" s="304" t="str">
        <f t="shared" si="38"/>
        <v/>
      </c>
      <c r="BS47" s="304" t="str">
        <f t="shared" si="39"/>
        <v/>
      </c>
      <c r="BT47" s="304" t="str">
        <f>IF(OR($B47="", $AH47 = "SIM"), "", IF( ISNA(VLOOKUP($AP47,#REF!, 1, FALSE)), 1, 0))</f>
        <v/>
      </c>
      <c r="BU47" s="304" t="str">
        <f t="shared" si="40"/>
        <v/>
      </c>
      <c r="BV47" s="304" t="str">
        <f>IF( $B47="", "", IF( ISNA(VLOOKUP($AN47, TABELAS!$T$2:$T$9,1,FALSE)), 1, 0))</f>
        <v/>
      </c>
      <c r="BW47" s="304" t="str">
        <f t="shared" si="41"/>
        <v/>
      </c>
      <c r="BX47" s="304" t="str">
        <f>IF( OR($B47="", $AH47 = "SIM"), "", IF( ISNA( VLOOKUP( $AQ47, SISTEMA!$B:$B, 1, FALSE)), 1, 0))</f>
        <v/>
      </c>
      <c r="BY47" s="305" t="str">
        <f t="shared" si="42"/>
        <v/>
      </c>
      <c r="BZ47" s="305" t="str">
        <f t="shared" si="43"/>
        <v/>
      </c>
      <c r="CA47" s="304" t="str">
        <f t="shared" si="44"/>
        <v/>
      </c>
      <c r="CB47" s="305" t="str">
        <f t="shared" si="45"/>
        <v/>
      </c>
      <c r="CC47" s="305" t="str">
        <f t="shared" si="46"/>
        <v/>
      </c>
      <c r="CD47" s="305" t="str">
        <f t="shared" si="47"/>
        <v/>
      </c>
    </row>
    <row r="48" spans="1:82" x14ac:dyDescent="0.2">
      <c r="A48" s="235"/>
      <c r="B48" s="236" t="str">
        <f t="shared" si="12"/>
        <v/>
      </c>
      <c r="C48" s="237" t="str">
        <f t="shared" si="2"/>
        <v/>
      </c>
      <c r="D48" s="237" t="str">
        <f t="shared" si="13"/>
        <v/>
      </c>
      <c r="E48" s="237" t="str">
        <f>IF($C48="", "", COUNTIF($M$8:$M48,$D48))</f>
        <v/>
      </c>
      <c r="F48" s="238">
        <v>41</v>
      </c>
      <c r="G48" s="239"/>
      <c r="H48" s="240"/>
      <c r="I48" s="240"/>
      <c r="J48" s="241"/>
      <c r="K48" s="240"/>
      <c r="L48" s="240"/>
      <c r="M48" s="240"/>
      <c r="N48" s="242"/>
      <c r="O48" s="243"/>
      <c r="P48" s="243"/>
      <c r="Q48" s="243"/>
      <c r="R48" s="243"/>
      <c r="S48" s="243"/>
      <c r="T48" s="245"/>
      <c r="U48" s="246" t="str">
        <f>IF($T48="", "", VLOOKUP($T48, CONTRATOS!$B:$E, 2, FALSE))</f>
        <v/>
      </c>
      <c r="V48" s="247">
        <f>IF(OR($T48="",TB_DEFESA!$C$2="Criação Baseline"),0,
   IF(VLOOKUP($T48, CONTRATOS!B:E, 3, FALSE)&lt;&gt;"",1,IF(VLOOKUP($T48, CONTRATOS!B:E, 4, FALSE)&lt;&gt;"",2,0)))</f>
        <v>0</v>
      </c>
      <c r="W48" s="248"/>
      <c r="X48" s="248"/>
      <c r="Y48" s="249"/>
      <c r="Z48" s="250"/>
      <c r="AA48" s="251"/>
      <c r="AB48" s="252"/>
      <c r="AC48" s="253"/>
      <c r="AD48" s="251"/>
      <c r="AE48" s="254" t="str">
        <f t="shared" si="3"/>
        <v/>
      </c>
      <c r="AF48" s="256" t="str">
        <f t="shared" si="14"/>
        <v/>
      </c>
      <c r="AG48" s="293" t="s">
        <v>62</v>
      </c>
      <c r="AH48" s="294" t="str">
        <f t="shared" si="15"/>
        <v/>
      </c>
      <c r="AI48" s="294" t="str">
        <f t="shared" si="16"/>
        <v/>
      </c>
      <c r="AJ48" s="295" t="str">
        <f t="shared" si="17"/>
        <v/>
      </c>
      <c r="AK48" s="296" t="str">
        <f t="shared" si="18"/>
        <v/>
      </c>
      <c r="AL48" s="297" t="str">
        <f t="shared" si="19"/>
        <v/>
      </c>
      <c r="AM48" s="294" t="str">
        <f t="shared" si="20"/>
        <v/>
      </c>
      <c r="AN48" s="294" t="str">
        <f t="shared" si="21"/>
        <v/>
      </c>
      <c r="AO48" s="298" t="str">
        <f t="shared" si="22"/>
        <v/>
      </c>
      <c r="AP48" s="299" t="str">
        <f t="shared" si="23"/>
        <v/>
      </c>
      <c r="AQ48" s="299" t="str">
        <f t="shared" si="24"/>
        <v/>
      </c>
      <c r="AR48" s="300" t="str">
        <f t="shared" si="4"/>
        <v/>
      </c>
      <c r="AS48" s="300" t="str">
        <f t="shared" si="5"/>
        <v/>
      </c>
      <c r="AT48" s="294" t="str">
        <f t="shared" si="6"/>
        <v/>
      </c>
      <c r="AU48" s="301" t="str">
        <f>IF(OR($B48="", $AP48= ""),"",IF(VLOOKUP($AP48, CONTRATOS!B:K,3,FALSE)="","",VLOOKUP($AP48, CONTRATOS!B:K, 3,FALSE)))</f>
        <v/>
      </c>
      <c r="AV48" s="301" t="str">
        <f>IF(OR($B48="", $AP48 = ""), "", IF(VLOOKUP($AP48, CONTRATOS!B:K,4,FALSE)="","",VLOOKUP($AP48, CONTRATOS!B:K,4, FALSE)))</f>
        <v/>
      </c>
      <c r="AW48" s="302" t="str">
        <f t="shared" si="7"/>
        <v/>
      </c>
      <c r="AX48" s="301" t="str">
        <f t="shared" si="8"/>
        <v/>
      </c>
      <c r="AY48" s="301" t="str">
        <f t="shared" si="9"/>
        <v/>
      </c>
      <c r="AZ48" s="301" t="str">
        <f t="shared" si="10"/>
        <v/>
      </c>
      <c r="BA48" s="301" t="str">
        <f t="shared" si="11"/>
        <v/>
      </c>
      <c r="BB48" s="303">
        <f t="shared" si="25"/>
        <v>0</v>
      </c>
      <c r="BC48" s="303" t="str">
        <f t="shared" si="26"/>
        <v/>
      </c>
      <c r="BD48" s="303" t="str">
        <f t="shared" si="27"/>
        <v/>
      </c>
      <c r="BF48" s="304">
        <f t="shared" si="28"/>
        <v>0</v>
      </c>
      <c r="BG48" s="304">
        <f t="shared" si="29"/>
        <v>0</v>
      </c>
      <c r="BH48" s="304" t="str">
        <f>IF( $B48="", "", IF(ISNA(VLOOKUP($C48, Defesa!$C$8:$C$30,1,FALSE)),1,0))</f>
        <v/>
      </c>
      <c r="BI48" s="305" t="str">
        <f t="shared" si="30"/>
        <v/>
      </c>
      <c r="BJ48" s="305" t="str">
        <f t="shared" si="31"/>
        <v/>
      </c>
      <c r="BK48" s="304" t="str">
        <f t="shared" si="32"/>
        <v/>
      </c>
      <c r="BL48" s="304">
        <f t="shared" si="33"/>
        <v>0</v>
      </c>
      <c r="BM48" s="304" t="str">
        <f>IF($AC48="", "", IF(ISNA(VLOOKUP($AC48, TABELAS!$Q:$Q, 1, FALSE)), 1, 0))</f>
        <v/>
      </c>
      <c r="BN48" s="306" t="str">
        <f t="shared" si="34"/>
        <v/>
      </c>
      <c r="BO48" s="304" t="str">
        <f t="shared" si="35"/>
        <v/>
      </c>
      <c r="BP48" s="304" t="str">
        <f t="shared" si="36"/>
        <v/>
      </c>
      <c r="BQ48" s="305" t="str">
        <f t="shared" si="37"/>
        <v/>
      </c>
      <c r="BR48" s="304" t="str">
        <f t="shared" si="38"/>
        <v/>
      </c>
      <c r="BS48" s="304" t="str">
        <f t="shared" si="39"/>
        <v/>
      </c>
      <c r="BT48" s="304" t="str">
        <f>IF(OR($B48="", $AH48 = "SIM"), "", IF( ISNA(VLOOKUP($AP48,#REF!, 1, FALSE)), 1, 0))</f>
        <v/>
      </c>
      <c r="BU48" s="304" t="str">
        <f t="shared" si="40"/>
        <v/>
      </c>
      <c r="BV48" s="304" t="str">
        <f>IF( $B48="", "", IF( ISNA(VLOOKUP($AN48, TABELAS!$T$2:$T$9,1,FALSE)), 1, 0))</f>
        <v/>
      </c>
      <c r="BW48" s="304" t="str">
        <f t="shared" si="41"/>
        <v/>
      </c>
      <c r="BX48" s="304" t="str">
        <f>IF( OR($B48="", $AH48 = "SIM"), "", IF( ISNA( VLOOKUP( $AQ48, SISTEMA!$B:$B, 1, FALSE)), 1, 0))</f>
        <v/>
      </c>
      <c r="BY48" s="305" t="str">
        <f t="shared" si="42"/>
        <v/>
      </c>
      <c r="BZ48" s="305" t="str">
        <f t="shared" si="43"/>
        <v/>
      </c>
      <c r="CA48" s="304" t="str">
        <f t="shared" si="44"/>
        <v/>
      </c>
      <c r="CB48" s="305" t="str">
        <f t="shared" si="45"/>
        <v/>
      </c>
      <c r="CC48" s="305" t="str">
        <f t="shared" si="46"/>
        <v/>
      </c>
      <c r="CD48" s="305" t="str">
        <f t="shared" si="47"/>
        <v/>
      </c>
    </row>
    <row r="49" spans="1:82" x14ac:dyDescent="0.2">
      <c r="A49" s="235"/>
      <c r="B49" s="236" t="str">
        <f t="shared" si="12"/>
        <v/>
      </c>
      <c r="C49" s="237" t="str">
        <f t="shared" si="2"/>
        <v/>
      </c>
      <c r="D49" s="237" t="str">
        <f t="shared" si="13"/>
        <v/>
      </c>
      <c r="E49" s="237" t="str">
        <f>IF($C49="", "", COUNTIF($M$8:$M49,$D49))</f>
        <v/>
      </c>
      <c r="F49" s="238">
        <v>42</v>
      </c>
      <c r="G49" s="239"/>
      <c r="H49" s="240"/>
      <c r="I49" s="240"/>
      <c r="J49" s="241"/>
      <c r="K49" s="240"/>
      <c r="L49" s="240"/>
      <c r="M49" s="240"/>
      <c r="N49" s="242"/>
      <c r="O49" s="243"/>
      <c r="P49" s="243"/>
      <c r="Q49" s="243"/>
      <c r="R49" s="243"/>
      <c r="S49" s="243"/>
      <c r="T49" s="245"/>
      <c r="U49" s="246" t="str">
        <f>IF($T49="", "", VLOOKUP($T49, CONTRATOS!$B:$E, 2, FALSE))</f>
        <v/>
      </c>
      <c r="V49" s="247">
        <f>IF(OR($T49="",TB_DEFESA!$C$2="Criação Baseline"),0,
   IF(VLOOKUP($T49, CONTRATOS!B:E, 3, FALSE)&lt;&gt;"",1,IF(VLOOKUP($T49, CONTRATOS!B:E, 4, FALSE)&lt;&gt;"",2,0)))</f>
        <v>0</v>
      </c>
      <c r="W49" s="248"/>
      <c r="X49" s="248"/>
      <c r="Y49" s="249"/>
      <c r="Z49" s="250"/>
      <c r="AA49" s="251"/>
      <c r="AB49" s="252"/>
      <c r="AC49" s="253"/>
      <c r="AD49" s="251"/>
      <c r="AE49" s="254" t="str">
        <f t="shared" si="3"/>
        <v/>
      </c>
      <c r="AF49" s="256" t="str">
        <f t="shared" si="14"/>
        <v/>
      </c>
      <c r="AG49" s="293" t="s">
        <v>62</v>
      </c>
      <c r="AH49" s="294" t="str">
        <f t="shared" si="15"/>
        <v/>
      </c>
      <c r="AI49" s="294" t="str">
        <f t="shared" si="16"/>
        <v/>
      </c>
      <c r="AJ49" s="295" t="str">
        <f t="shared" si="17"/>
        <v/>
      </c>
      <c r="AK49" s="296" t="str">
        <f t="shared" si="18"/>
        <v/>
      </c>
      <c r="AL49" s="297" t="str">
        <f t="shared" si="19"/>
        <v/>
      </c>
      <c r="AM49" s="294" t="str">
        <f t="shared" si="20"/>
        <v/>
      </c>
      <c r="AN49" s="294" t="str">
        <f t="shared" si="21"/>
        <v/>
      </c>
      <c r="AO49" s="298" t="str">
        <f t="shared" si="22"/>
        <v/>
      </c>
      <c r="AP49" s="299" t="str">
        <f t="shared" si="23"/>
        <v/>
      </c>
      <c r="AQ49" s="299" t="str">
        <f t="shared" si="24"/>
        <v/>
      </c>
      <c r="AR49" s="300" t="str">
        <f t="shared" si="4"/>
        <v/>
      </c>
      <c r="AS49" s="300" t="str">
        <f t="shared" si="5"/>
        <v/>
      </c>
      <c r="AT49" s="294" t="str">
        <f t="shared" si="6"/>
        <v/>
      </c>
      <c r="AU49" s="301" t="str">
        <f>IF(OR($B49="", $AP49= ""),"",IF(VLOOKUP($AP49, CONTRATOS!B:K,3,FALSE)="","",VLOOKUP($AP49, CONTRATOS!B:K, 3,FALSE)))</f>
        <v/>
      </c>
      <c r="AV49" s="301" t="str">
        <f>IF(OR($B49="", $AP49 = ""), "", IF(VLOOKUP($AP49, CONTRATOS!B:K,4,FALSE)="","",VLOOKUP($AP49, CONTRATOS!B:K,4, FALSE)))</f>
        <v/>
      </c>
      <c r="AW49" s="302" t="str">
        <f t="shared" si="7"/>
        <v/>
      </c>
      <c r="AX49" s="301" t="str">
        <f t="shared" si="8"/>
        <v/>
      </c>
      <c r="AY49" s="301" t="str">
        <f t="shared" si="9"/>
        <v/>
      </c>
      <c r="AZ49" s="301" t="str">
        <f t="shared" si="10"/>
        <v/>
      </c>
      <c r="BA49" s="301" t="str">
        <f t="shared" si="11"/>
        <v/>
      </c>
      <c r="BB49" s="303">
        <f t="shared" si="25"/>
        <v>0</v>
      </c>
      <c r="BC49" s="303" t="str">
        <f t="shared" si="26"/>
        <v/>
      </c>
      <c r="BD49" s="303" t="str">
        <f t="shared" si="27"/>
        <v/>
      </c>
      <c r="BF49" s="304">
        <f t="shared" si="28"/>
        <v>0</v>
      </c>
      <c r="BG49" s="304">
        <f t="shared" si="29"/>
        <v>0</v>
      </c>
      <c r="BH49" s="304" t="str">
        <f>IF( $B49="", "", IF(ISNA(VLOOKUP($C49, Defesa!$C$8:$C$30,1,FALSE)),1,0))</f>
        <v/>
      </c>
      <c r="BI49" s="305" t="str">
        <f t="shared" si="30"/>
        <v/>
      </c>
      <c r="BJ49" s="305" t="str">
        <f t="shared" si="31"/>
        <v/>
      </c>
      <c r="BK49" s="304" t="str">
        <f t="shared" si="32"/>
        <v/>
      </c>
      <c r="BL49" s="304">
        <f t="shared" si="33"/>
        <v>0</v>
      </c>
      <c r="BM49" s="304" t="str">
        <f>IF($AC49="", "", IF(ISNA(VLOOKUP($AC49, TABELAS!$Q:$Q, 1, FALSE)), 1, 0))</f>
        <v/>
      </c>
      <c r="BN49" s="306" t="str">
        <f t="shared" si="34"/>
        <v/>
      </c>
      <c r="BO49" s="304" t="str">
        <f t="shared" si="35"/>
        <v/>
      </c>
      <c r="BP49" s="304" t="str">
        <f t="shared" si="36"/>
        <v/>
      </c>
      <c r="BQ49" s="305" t="str">
        <f t="shared" si="37"/>
        <v/>
      </c>
      <c r="BR49" s="304" t="str">
        <f t="shared" si="38"/>
        <v/>
      </c>
      <c r="BS49" s="304" t="str">
        <f t="shared" si="39"/>
        <v/>
      </c>
      <c r="BT49" s="304" t="str">
        <f>IF(OR($B49="", $AH49 = "SIM"), "", IF( ISNA(VLOOKUP($AP49,#REF!, 1, FALSE)), 1, 0))</f>
        <v/>
      </c>
      <c r="BU49" s="304" t="str">
        <f t="shared" si="40"/>
        <v/>
      </c>
      <c r="BV49" s="304" t="str">
        <f>IF( $B49="", "", IF( ISNA(VLOOKUP($AN49, TABELAS!$T$2:$T$9,1,FALSE)), 1, 0))</f>
        <v/>
      </c>
      <c r="BW49" s="304" t="str">
        <f t="shared" si="41"/>
        <v/>
      </c>
      <c r="BX49" s="304" t="str">
        <f>IF( OR($B49="", $AH49 = "SIM"), "", IF( ISNA( VLOOKUP( $AQ49, SISTEMA!$B:$B, 1, FALSE)), 1, 0))</f>
        <v/>
      </c>
      <c r="BY49" s="305" t="str">
        <f t="shared" si="42"/>
        <v/>
      </c>
      <c r="BZ49" s="305" t="str">
        <f t="shared" si="43"/>
        <v/>
      </c>
      <c r="CA49" s="304" t="str">
        <f t="shared" si="44"/>
        <v/>
      </c>
      <c r="CB49" s="305" t="str">
        <f t="shared" si="45"/>
        <v/>
      </c>
      <c r="CC49" s="305" t="str">
        <f t="shared" si="46"/>
        <v/>
      </c>
      <c r="CD49" s="305" t="str">
        <f t="shared" si="47"/>
        <v/>
      </c>
    </row>
    <row r="50" spans="1:82" x14ac:dyDescent="0.2">
      <c r="A50" s="235"/>
      <c r="B50" s="236" t="str">
        <f t="shared" si="12"/>
        <v/>
      </c>
      <c r="C50" s="237" t="str">
        <f t="shared" si="2"/>
        <v/>
      </c>
      <c r="D50" s="237" t="str">
        <f t="shared" si="13"/>
        <v/>
      </c>
      <c r="E50" s="237" t="str">
        <f>IF($C50="", "", COUNTIF($M$8:$M50,$D50))</f>
        <v/>
      </c>
      <c r="F50" s="238">
        <v>43</v>
      </c>
      <c r="G50" s="239"/>
      <c r="H50" s="240"/>
      <c r="I50" s="240"/>
      <c r="J50" s="241"/>
      <c r="K50" s="240"/>
      <c r="L50" s="240"/>
      <c r="M50" s="240"/>
      <c r="N50" s="242"/>
      <c r="O50" s="243"/>
      <c r="P50" s="243"/>
      <c r="Q50" s="243"/>
      <c r="R50" s="243"/>
      <c r="S50" s="243"/>
      <c r="T50" s="245"/>
      <c r="U50" s="246" t="str">
        <f>IF($T50="", "", VLOOKUP($T50, CONTRATOS!$B:$E, 2, FALSE))</f>
        <v/>
      </c>
      <c r="V50" s="247">
        <f>IF(OR($T50="",TB_DEFESA!$C$2="Criação Baseline"),0,
   IF(VLOOKUP($T50, CONTRATOS!B:E, 3, FALSE)&lt;&gt;"",1,IF(VLOOKUP($T50, CONTRATOS!B:E, 4, FALSE)&lt;&gt;"",2,0)))</f>
        <v>0</v>
      </c>
      <c r="W50" s="248"/>
      <c r="X50" s="248"/>
      <c r="Y50" s="249"/>
      <c r="Z50" s="250"/>
      <c r="AA50" s="251"/>
      <c r="AB50" s="252"/>
      <c r="AC50" s="253"/>
      <c r="AD50" s="251"/>
      <c r="AE50" s="254" t="str">
        <f t="shared" si="3"/>
        <v/>
      </c>
      <c r="AF50" s="256" t="str">
        <f t="shared" si="14"/>
        <v/>
      </c>
      <c r="AG50" s="293" t="s">
        <v>62</v>
      </c>
      <c r="AH50" s="294" t="str">
        <f t="shared" si="15"/>
        <v/>
      </c>
      <c r="AI50" s="294" t="str">
        <f t="shared" si="16"/>
        <v/>
      </c>
      <c r="AJ50" s="295" t="str">
        <f t="shared" si="17"/>
        <v/>
      </c>
      <c r="AK50" s="296" t="str">
        <f t="shared" si="18"/>
        <v/>
      </c>
      <c r="AL50" s="297" t="str">
        <f t="shared" si="19"/>
        <v/>
      </c>
      <c r="AM50" s="294" t="str">
        <f t="shared" si="20"/>
        <v/>
      </c>
      <c r="AN50" s="294" t="str">
        <f t="shared" si="21"/>
        <v/>
      </c>
      <c r="AO50" s="298" t="str">
        <f t="shared" si="22"/>
        <v/>
      </c>
      <c r="AP50" s="299" t="str">
        <f t="shared" si="23"/>
        <v/>
      </c>
      <c r="AQ50" s="299" t="str">
        <f t="shared" si="24"/>
        <v/>
      </c>
      <c r="AR50" s="300" t="str">
        <f t="shared" si="4"/>
        <v/>
      </c>
      <c r="AS50" s="300" t="str">
        <f t="shared" si="5"/>
        <v/>
      </c>
      <c r="AT50" s="294" t="str">
        <f t="shared" si="6"/>
        <v/>
      </c>
      <c r="AU50" s="301" t="str">
        <f>IF(OR($B50="", $AP50= ""),"",IF(VLOOKUP($AP50, CONTRATOS!B:K,3,FALSE)="","",VLOOKUP($AP50, CONTRATOS!B:K, 3,FALSE)))</f>
        <v/>
      </c>
      <c r="AV50" s="301" t="str">
        <f>IF(OR($B50="", $AP50 = ""), "", IF(VLOOKUP($AP50, CONTRATOS!B:K,4,FALSE)="","",VLOOKUP($AP50, CONTRATOS!B:K,4, FALSE)))</f>
        <v/>
      </c>
      <c r="AW50" s="302" t="str">
        <f t="shared" si="7"/>
        <v/>
      </c>
      <c r="AX50" s="301" t="str">
        <f t="shared" si="8"/>
        <v/>
      </c>
      <c r="AY50" s="301" t="str">
        <f t="shared" si="9"/>
        <v/>
      </c>
      <c r="AZ50" s="301" t="str">
        <f t="shared" si="10"/>
        <v/>
      </c>
      <c r="BA50" s="301" t="str">
        <f t="shared" si="11"/>
        <v/>
      </c>
      <c r="BB50" s="303">
        <f t="shared" si="25"/>
        <v>0</v>
      </c>
      <c r="BC50" s="303" t="str">
        <f t="shared" si="26"/>
        <v/>
      </c>
      <c r="BD50" s="303" t="str">
        <f t="shared" si="27"/>
        <v/>
      </c>
      <c r="BF50" s="304">
        <f t="shared" si="28"/>
        <v>0</v>
      </c>
      <c r="BG50" s="304">
        <f t="shared" si="29"/>
        <v>0</v>
      </c>
      <c r="BH50" s="304" t="str">
        <f>IF( $B50="", "", IF(ISNA(VLOOKUP($C50, Defesa!$C$8:$C$30,1,FALSE)),1,0))</f>
        <v/>
      </c>
      <c r="BI50" s="305" t="str">
        <f t="shared" si="30"/>
        <v/>
      </c>
      <c r="BJ50" s="305" t="str">
        <f t="shared" si="31"/>
        <v/>
      </c>
      <c r="BK50" s="304" t="str">
        <f t="shared" si="32"/>
        <v/>
      </c>
      <c r="BL50" s="304">
        <f t="shared" si="33"/>
        <v>0</v>
      </c>
      <c r="BM50" s="304" t="str">
        <f>IF($AC50="", "", IF(ISNA(VLOOKUP($AC50, TABELAS!$Q:$Q, 1, FALSE)), 1, 0))</f>
        <v/>
      </c>
      <c r="BN50" s="306" t="str">
        <f t="shared" si="34"/>
        <v/>
      </c>
      <c r="BO50" s="304" t="str">
        <f t="shared" si="35"/>
        <v/>
      </c>
      <c r="BP50" s="304" t="str">
        <f t="shared" si="36"/>
        <v/>
      </c>
      <c r="BQ50" s="305" t="str">
        <f t="shared" si="37"/>
        <v/>
      </c>
      <c r="BR50" s="304" t="str">
        <f t="shared" si="38"/>
        <v/>
      </c>
      <c r="BS50" s="304" t="str">
        <f t="shared" si="39"/>
        <v/>
      </c>
      <c r="BT50" s="304" t="str">
        <f>IF(OR($B50="", $AH50 = "SIM"), "", IF( ISNA(VLOOKUP($AP50,#REF!, 1, FALSE)), 1, 0))</f>
        <v/>
      </c>
      <c r="BU50" s="304" t="str">
        <f t="shared" si="40"/>
        <v/>
      </c>
      <c r="BV50" s="304" t="str">
        <f>IF( $B50="", "", IF( ISNA(VLOOKUP($AN50, TABELAS!$T$2:$T$9,1,FALSE)), 1, 0))</f>
        <v/>
      </c>
      <c r="BW50" s="304" t="str">
        <f t="shared" si="41"/>
        <v/>
      </c>
      <c r="BX50" s="304" t="str">
        <f>IF( OR($B50="", $AH50 = "SIM"), "", IF( ISNA( VLOOKUP( $AQ50, SISTEMA!$B:$B, 1, FALSE)), 1, 0))</f>
        <v/>
      </c>
      <c r="BY50" s="305" t="str">
        <f t="shared" si="42"/>
        <v/>
      </c>
      <c r="BZ50" s="305" t="str">
        <f t="shared" si="43"/>
        <v/>
      </c>
      <c r="CA50" s="304" t="str">
        <f t="shared" si="44"/>
        <v/>
      </c>
      <c r="CB50" s="305" t="str">
        <f t="shared" si="45"/>
        <v/>
      </c>
      <c r="CC50" s="305" t="str">
        <f t="shared" si="46"/>
        <v/>
      </c>
      <c r="CD50" s="305" t="str">
        <f t="shared" si="47"/>
        <v/>
      </c>
    </row>
    <row r="51" spans="1:82" x14ac:dyDescent="0.2">
      <c r="A51" s="235"/>
      <c r="B51" s="236" t="str">
        <f t="shared" si="12"/>
        <v/>
      </c>
      <c r="C51" s="237" t="str">
        <f t="shared" si="2"/>
        <v/>
      </c>
      <c r="D51" s="237" t="str">
        <f t="shared" si="13"/>
        <v/>
      </c>
      <c r="E51" s="237" t="str">
        <f>IF($C51="", "", COUNTIF($M$8:$M51,$D51))</f>
        <v/>
      </c>
      <c r="F51" s="238">
        <v>44</v>
      </c>
      <c r="G51" s="239"/>
      <c r="H51" s="240"/>
      <c r="I51" s="240"/>
      <c r="J51" s="241"/>
      <c r="K51" s="240"/>
      <c r="L51" s="240"/>
      <c r="M51" s="240"/>
      <c r="N51" s="242"/>
      <c r="O51" s="243"/>
      <c r="P51" s="243"/>
      <c r="Q51" s="243"/>
      <c r="R51" s="243"/>
      <c r="S51" s="243"/>
      <c r="T51" s="245"/>
      <c r="U51" s="246" t="str">
        <f>IF($T51="", "", VLOOKUP($T51, CONTRATOS!$B:$E, 2, FALSE))</f>
        <v/>
      </c>
      <c r="V51" s="247">
        <f>IF(OR($T51="",TB_DEFESA!$C$2="Criação Baseline"),0,
   IF(VLOOKUP($T51, CONTRATOS!B:E, 3, FALSE)&lt;&gt;"",1,IF(VLOOKUP($T51, CONTRATOS!B:E, 4, FALSE)&lt;&gt;"",2,0)))</f>
        <v>0</v>
      </c>
      <c r="W51" s="248"/>
      <c r="X51" s="248"/>
      <c r="Y51" s="249"/>
      <c r="Z51" s="250"/>
      <c r="AA51" s="251"/>
      <c r="AB51" s="252"/>
      <c r="AC51" s="253"/>
      <c r="AD51" s="251"/>
      <c r="AE51" s="254" t="str">
        <f t="shared" si="3"/>
        <v/>
      </c>
      <c r="AF51" s="256" t="str">
        <f t="shared" si="14"/>
        <v/>
      </c>
      <c r="AG51" s="293" t="s">
        <v>62</v>
      </c>
      <c r="AH51" s="294" t="str">
        <f t="shared" si="15"/>
        <v/>
      </c>
      <c r="AI51" s="294" t="str">
        <f t="shared" si="16"/>
        <v/>
      </c>
      <c r="AJ51" s="295" t="str">
        <f t="shared" si="17"/>
        <v/>
      </c>
      <c r="AK51" s="296" t="str">
        <f t="shared" si="18"/>
        <v/>
      </c>
      <c r="AL51" s="297" t="str">
        <f t="shared" si="19"/>
        <v/>
      </c>
      <c r="AM51" s="294" t="str">
        <f t="shared" si="20"/>
        <v/>
      </c>
      <c r="AN51" s="294" t="str">
        <f t="shared" si="21"/>
        <v/>
      </c>
      <c r="AO51" s="298" t="str">
        <f t="shared" si="22"/>
        <v/>
      </c>
      <c r="AP51" s="299" t="str">
        <f t="shared" si="23"/>
        <v/>
      </c>
      <c r="AQ51" s="299" t="str">
        <f t="shared" si="24"/>
        <v/>
      </c>
      <c r="AR51" s="300" t="str">
        <f t="shared" si="4"/>
        <v/>
      </c>
      <c r="AS51" s="300" t="str">
        <f t="shared" si="5"/>
        <v/>
      </c>
      <c r="AT51" s="294" t="str">
        <f t="shared" si="6"/>
        <v/>
      </c>
      <c r="AU51" s="301" t="str">
        <f>IF(OR($B51="", $AP51= ""),"",IF(VLOOKUP($AP51, CONTRATOS!B:K,3,FALSE)="","",VLOOKUP($AP51, CONTRATOS!B:K, 3,FALSE)))</f>
        <v/>
      </c>
      <c r="AV51" s="301" t="str">
        <f>IF(OR($B51="", $AP51 = ""), "", IF(VLOOKUP($AP51, CONTRATOS!B:K,4,FALSE)="","",VLOOKUP($AP51, CONTRATOS!B:K,4, FALSE)))</f>
        <v/>
      </c>
      <c r="AW51" s="302" t="str">
        <f t="shared" si="7"/>
        <v/>
      </c>
      <c r="AX51" s="301" t="str">
        <f t="shared" si="8"/>
        <v/>
      </c>
      <c r="AY51" s="301" t="str">
        <f t="shared" si="9"/>
        <v/>
      </c>
      <c r="AZ51" s="301" t="str">
        <f t="shared" si="10"/>
        <v/>
      </c>
      <c r="BA51" s="301" t="str">
        <f t="shared" si="11"/>
        <v/>
      </c>
      <c r="BB51" s="303">
        <f t="shared" si="25"/>
        <v>0</v>
      </c>
      <c r="BC51" s="303" t="str">
        <f t="shared" si="26"/>
        <v/>
      </c>
      <c r="BD51" s="303" t="str">
        <f t="shared" si="27"/>
        <v/>
      </c>
      <c r="BF51" s="304">
        <f t="shared" si="28"/>
        <v>0</v>
      </c>
      <c r="BG51" s="304">
        <f t="shared" si="29"/>
        <v>0</v>
      </c>
      <c r="BH51" s="304" t="str">
        <f>IF( $B51="", "", IF(ISNA(VLOOKUP($C51, Defesa!$C$8:$C$30,1,FALSE)),1,0))</f>
        <v/>
      </c>
      <c r="BI51" s="305" t="str">
        <f t="shared" si="30"/>
        <v/>
      </c>
      <c r="BJ51" s="305" t="str">
        <f t="shared" si="31"/>
        <v/>
      </c>
      <c r="BK51" s="304" t="str">
        <f t="shared" si="32"/>
        <v/>
      </c>
      <c r="BL51" s="304">
        <f t="shared" si="33"/>
        <v>0</v>
      </c>
      <c r="BM51" s="304" t="str">
        <f>IF($AC51="", "", IF(ISNA(VLOOKUP($AC51, TABELAS!$Q:$Q, 1, FALSE)), 1, 0))</f>
        <v/>
      </c>
      <c r="BN51" s="306" t="str">
        <f t="shared" si="34"/>
        <v/>
      </c>
      <c r="BO51" s="304" t="str">
        <f t="shared" si="35"/>
        <v/>
      </c>
      <c r="BP51" s="304" t="str">
        <f t="shared" si="36"/>
        <v/>
      </c>
      <c r="BQ51" s="305" t="str">
        <f t="shared" si="37"/>
        <v/>
      </c>
      <c r="BR51" s="304" t="str">
        <f t="shared" si="38"/>
        <v/>
      </c>
      <c r="BS51" s="304" t="str">
        <f t="shared" si="39"/>
        <v/>
      </c>
      <c r="BT51" s="304" t="str">
        <f>IF(OR($B51="", $AH51 = "SIM"), "", IF( ISNA(VLOOKUP($AP51,#REF!, 1, FALSE)), 1, 0))</f>
        <v/>
      </c>
      <c r="BU51" s="304" t="str">
        <f t="shared" si="40"/>
        <v/>
      </c>
      <c r="BV51" s="304" t="str">
        <f>IF( $B51="", "", IF( ISNA(VLOOKUP($AN51, TABELAS!$T$2:$T$9,1,FALSE)), 1, 0))</f>
        <v/>
      </c>
      <c r="BW51" s="304" t="str">
        <f t="shared" si="41"/>
        <v/>
      </c>
      <c r="BX51" s="304" t="str">
        <f>IF( OR($B51="", $AH51 = "SIM"), "", IF( ISNA( VLOOKUP( $AQ51, SISTEMA!$B:$B, 1, FALSE)), 1, 0))</f>
        <v/>
      </c>
      <c r="BY51" s="305" t="str">
        <f t="shared" si="42"/>
        <v/>
      </c>
      <c r="BZ51" s="305" t="str">
        <f t="shared" si="43"/>
        <v/>
      </c>
      <c r="CA51" s="304" t="str">
        <f t="shared" si="44"/>
        <v/>
      </c>
      <c r="CB51" s="305" t="str">
        <f t="shared" si="45"/>
        <v/>
      </c>
      <c r="CC51" s="305" t="str">
        <f t="shared" si="46"/>
        <v/>
      </c>
      <c r="CD51" s="305" t="str">
        <f t="shared" si="47"/>
        <v/>
      </c>
    </row>
    <row r="52" spans="1:82" x14ac:dyDescent="0.2">
      <c r="A52" s="235"/>
      <c r="B52" s="236" t="str">
        <f t="shared" si="12"/>
        <v/>
      </c>
      <c r="C52" s="237" t="str">
        <f t="shared" si="2"/>
        <v/>
      </c>
      <c r="D52" s="237" t="str">
        <f t="shared" si="13"/>
        <v/>
      </c>
      <c r="E52" s="237" t="str">
        <f>IF($C52="", "", COUNTIF($M$8:$M52,$D52))</f>
        <v/>
      </c>
      <c r="F52" s="238">
        <v>45</v>
      </c>
      <c r="G52" s="239"/>
      <c r="H52" s="240"/>
      <c r="I52" s="240"/>
      <c r="J52" s="241"/>
      <c r="K52" s="240"/>
      <c r="L52" s="240"/>
      <c r="M52" s="240"/>
      <c r="N52" s="242"/>
      <c r="O52" s="243"/>
      <c r="P52" s="243"/>
      <c r="Q52" s="243"/>
      <c r="R52" s="243"/>
      <c r="S52" s="243"/>
      <c r="T52" s="245"/>
      <c r="U52" s="246" t="str">
        <f>IF($T52="", "", VLOOKUP($T52, CONTRATOS!$B:$E, 2, FALSE))</f>
        <v/>
      </c>
      <c r="V52" s="247">
        <f>IF(OR($T52="",TB_DEFESA!$C$2="Criação Baseline"),0,
   IF(VLOOKUP($T52, CONTRATOS!B:E, 3, FALSE)&lt;&gt;"",1,IF(VLOOKUP($T52, CONTRATOS!B:E, 4, FALSE)&lt;&gt;"",2,0)))</f>
        <v>0</v>
      </c>
      <c r="W52" s="248"/>
      <c r="X52" s="248"/>
      <c r="Y52" s="249"/>
      <c r="Z52" s="250"/>
      <c r="AA52" s="251"/>
      <c r="AB52" s="252"/>
      <c r="AC52" s="253"/>
      <c r="AD52" s="251"/>
      <c r="AE52" s="254" t="str">
        <f t="shared" si="3"/>
        <v/>
      </c>
      <c r="AF52" s="256" t="str">
        <f t="shared" si="14"/>
        <v/>
      </c>
      <c r="AG52" s="293" t="s">
        <v>62</v>
      </c>
      <c r="AH52" s="294" t="str">
        <f t="shared" si="15"/>
        <v/>
      </c>
      <c r="AI52" s="294" t="str">
        <f t="shared" si="16"/>
        <v/>
      </c>
      <c r="AJ52" s="295" t="str">
        <f t="shared" si="17"/>
        <v/>
      </c>
      <c r="AK52" s="296" t="str">
        <f t="shared" si="18"/>
        <v/>
      </c>
      <c r="AL52" s="297" t="str">
        <f t="shared" si="19"/>
        <v/>
      </c>
      <c r="AM52" s="294" t="str">
        <f t="shared" si="20"/>
        <v/>
      </c>
      <c r="AN52" s="294" t="str">
        <f t="shared" si="21"/>
        <v/>
      </c>
      <c r="AO52" s="298" t="str">
        <f t="shared" si="22"/>
        <v/>
      </c>
      <c r="AP52" s="299" t="str">
        <f t="shared" si="23"/>
        <v/>
      </c>
      <c r="AQ52" s="299" t="str">
        <f t="shared" si="24"/>
        <v/>
      </c>
      <c r="AR52" s="300" t="str">
        <f t="shared" si="4"/>
        <v/>
      </c>
      <c r="AS52" s="300" t="str">
        <f t="shared" si="5"/>
        <v/>
      </c>
      <c r="AT52" s="294" t="str">
        <f t="shared" si="6"/>
        <v/>
      </c>
      <c r="AU52" s="301" t="str">
        <f>IF(OR($B52="", $AP52= ""),"",IF(VLOOKUP($AP52, CONTRATOS!B:K,3,FALSE)="","",VLOOKUP($AP52, CONTRATOS!B:K, 3,FALSE)))</f>
        <v/>
      </c>
      <c r="AV52" s="301" t="str">
        <f>IF(OR($B52="", $AP52 = ""), "", IF(VLOOKUP($AP52, CONTRATOS!B:K,4,FALSE)="","",VLOOKUP($AP52, CONTRATOS!B:K,4, FALSE)))</f>
        <v/>
      </c>
      <c r="AW52" s="302" t="str">
        <f t="shared" si="7"/>
        <v/>
      </c>
      <c r="AX52" s="301" t="str">
        <f t="shared" si="8"/>
        <v/>
      </c>
      <c r="AY52" s="301" t="str">
        <f t="shared" si="9"/>
        <v/>
      </c>
      <c r="AZ52" s="301" t="str">
        <f t="shared" si="10"/>
        <v/>
      </c>
      <c r="BA52" s="301" t="str">
        <f t="shared" si="11"/>
        <v/>
      </c>
      <c r="BB52" s="303">
        <f t="shared" si="25"/>
        <v>0</v>
      </c>
      <c r="BC52" s="303" t="str">
        <f t="shared" si="26"/>
        <v/>
      </c>
      <c r="BD52" s="303" t="str">
        <f t="shared" si="27"/>
        <v/>
      </c>
      <c r="BF52" s="304">
        <f t="shared" si="28"/>
        <v>0</v>
      </c>
      <c r="BG52" s="304">
        <f t="shared" si="29"/>
        <v>0</v>
      </c>
      <c r="BH52" s="304" t="str">
        <f>IF( $B52="", "", IF(ISNA(VLOOKUP($C52, Defesa!$C$8:$C$30,1,FALSE)),1,0))</f>
        <v/>
      </c>
      <c r="BI52" s="305" t="str">
        <f t="shared" si="30"/>
        <v/>
      </c>
      <c r="BJ52" s="305" t="str">
        <f t="shared" si="31"/>
        <v/>
      </c>
      <c r="BK52" s="304" t="str">
        <f t="shared" si="32"/>
        <v/>
      </c>
      <c r="BL52" s="304">
        <f t="shared" si="33"/>
        <v>0</v>
      </c>
      <c r="BM52" s="304" t="str">
        <f>IF($AC52="", "", IF(ISNA(VLOOKUP($AC52, TABELAS!$Q:$Q, 1, FALSE)), 1, 0))</f>
        <v/>
      </c>
      <c r="BN52" s="306" t="str">
        <f t="shared" si="34"/>
        <v/>
      </c>
      <c r="BO52" s="304" t="str">
        <f t="shared" si="35"/>
        <v/>
      </c>
      <c r="BP52" s="304" t="str">
        <f t="shared" si="36"/>
        <v/>
      </c>
      <c r="BQ52" s="305" t="str">
        <f t="shared" si="37"/>
        <v/>
      </c>
      <c r="BR52" s="304" t="str">
        <f t="shared" si="38"/>
        <v/>
      </c>
      <c r="BS52" s="304" t="str">
        <f t="shared" si="39"/>
        <v/>
      </c>
      <c r="BT52" s="304" t="str">
        <f>IF(OR($B52="", $AH52 = "SIM"), "", IF( ISNA(VLOOKUP($AP52,#REF!, 1, FALSE)), 1, 0))</f>
        <v/>
      </c>
      <c r="BU52" s="304" t="str">
        <f t="shared" si="40"/>
        <v/>
      </c>
      <c r="BV52" s="304" t="str">
        <f>IF( $B52="", "", IF( ISNA(VLOOKUP($AN52, TABELAS!$T$2:$T$9,1,FALSE)), 1, 0))</f>
        <v/>
      </c>
      <c r="BW52" s="304" t="str">
        <f t="shared" si="41"/>
        <v/>
      </c>
      <c r="BX52" s="304" t="str">
        <f>IF( OR($B52="", $AH52 = "SIM"), "", IF( ISNA( VLOOKUP( $AQ52, SISTEMA!$B:$B, 1, FALSE)), 1, 0))</f>
        <v/>
      </c>
      <c r="BY52" s="305" t="str">
        <f t="shared" si="42"/>
        <v/>
      </c>
      <c r="BZ52" s="305" t="str">
        <f t="shared" si="43"/>
        <v/>
      </c>
      <c r="CA52" s="304" t="str">
        <f t="shared" si="44"/>
        <v/>
      </c>
      <c r="CB52" s="305" t="str">
        <f t="shared" si="45"/>
        <v/>
      </c>
      <c r="CC52" s="305" t="str">
        <f t="shared" si="46"/>
        <v/>
      </c>
      <c r="CD52" s="305" t="str">
        <f t="shared" si="47"/>
        <v/>
      </c>
    </row>
    <row r="53" spans="1:82" x14ac:dyDescent="0.2">
      <c r="A53" s="235"/>
      <c r="B53" s="236" t="str">
        <f t="shared" si="12"/>
        <v/>
      </c>
      <c r="C53" s="237" t="str">
        <f t="shared" si="2"/>
        <v/>
      </c>
      <c r="D53" s="237" t="str">
        <f t="shared" si="13"/>
        <v/>
      </c>
      <c r="E53" s="237" t="str">
        <f>IF($C53="", "", COUNTIF($M$8:$M53,$D53))</f>
        <v/>
      </c>
      <c r="F53" s="238">
        <v>46</v>
      </c>
      <c r="G53" s="239"/>
      <c r="H53" s="240"/>
      <c r="I53" s="240"/>
      <c r="J53" s="241"/>
      <c r="K53" s="240"/>
      <c r="L53" s="240"/>
      <c r="M53" s="240"/>
      <c r="N53" s="242"/>
      <c r="O53" s="243"/>
      <c r="P53" s="243"/>
      <c r="Q53" s="243"/>
      <c r="R53" s="243"/>
      <c r="S53" s="243"/>
      <c r="T53" s="245"/>
      <c r="U53" s="246" t="str">
        <f>IF($T53="", "", VLOOKUP($T53, CONTRATOS!$B:$E, 2, FALSE))</f>
        <v/>
      </c>
      <c r="V53" s="247">
        <f>IF(OR($T53="",TB_DEFESA!$C$2="Criação Baseline"),0,
   IF(VLOOKUP($T53, CONTRATOS!B:E, 3, FALSE)&lt;&gt;"",1,IF(VLOOKUP($T53, CONTRATOS!B:E, 4, FALSE)&lt;&gt;"",2,0)))</f>
        <v>0</v>
      </c>
      <c r="W53" s="248"/>
      <c r="X53" s="248"/>
      <c r="Y53" s="249"/>
      <c r="Z53" s="250"/>
      <c r="AA53" s="251"/>
      <c r="AB53" s="252"/>
      <c r="AC53" s="253"/>
      <c r="AD53" s="251"/>
      <c r="AE53" s="254" t="str">
        <f t="shared" si="3"/>
        <v/>
      </c>
      <c r="AF53" s="256" t="str">
        <f t="shared" si="14"/>
        <v/>
      </c>
      <c r="AG53" s="293" t="s">
        <v>62</v>
      </c>
      <c r="AH53" s="294" t="str">
        <f t="shared" si="15"/>
        <v/>
      </c>
      <c r="AI53" s="294" t="str">
        <f t="shared" si="16"/>
        <v/>
      </c>
      <c r="AJ53" s="295" t="str">
        <f t="shared" si="17"/>
        <v/>
      </c>
      <c r="AK53" s="296" t="str">
        <f t="shared" si="18"/>
        <v/>
      </c>
      <c r="AL53" s="297" t="str">
        <f t="shared" si="19"/>
        <v/>
      </c>
      <c r="AM53" s="294" t="str">
        <f t="shared" si="20"/>
        <v/>
      </c>
      <c r="AN53" s="294" t="str">
        <f t="shared" si="21"/>
        <v/>
      </c>
      <c r="AO53" s="298" t="str">
        <f t="shared" si="22"/>
        <v/>
      </c>
      <c r="AP53" s="299" t="str">
        <f t="shared" si="23"/>
        <v/>
      </c>
      <c r="AQ53" s="299" t="str">
        <f t="shared" si="24"/>
        <v/>
      </c>
      <c r="AR53" s="300" t="str">
        <f t="shared" si="4"/>
        <v/>
      </c>
      <c r="AS53" s="300" t="str">
        <f t="shared" si="5"/>
        <v/>
      </c>
      <c r="AT53" s="294" t="str">
        <f t="shared" si="6"/>
        <v/>
      </c>
      <c r="AU53" s="301" t="str">
        <f>IF(OR($B53="", $AP53= ""),"",IF(VLOOKUP($AP53, CONTRATOS!B:K,3,FALSE)="","",VLOOKUP($AP53, CONTRATOS!B:K, 3,FALSE)))</f>
        <v/>
      </c>
      <c r="AV53" s="301" t="str">
        <f>IF(OR($B53="", $AP53 = ""), "", IF(VLOOKUP($AP53, CONTRATOS!B:K,4,FALSE)="","",VLOOKUP($AP53, CONTRATOS!B:K,4, FALSE)))</f>
        <v/>
      </c>
      <c r="AW53" s="302" t="str">
        <f t="shared" si="7"/>
        <v/>
      </c>
      <c r="AX53" s="301" t="str">
        <f t="shared" si="8"/>
        <v/>
      </c>
      <c r="AY53" s="301" t="str">
        <f t="shared" si="9"/>
        <v/>
      </c>
      <c r="AZ53" s="301" t="str">
        <f t="shared" si="10"/>
        <v/>
      </c>
      <c r="BA53" s="301" t="str">
        <f t="shared" si="11"/>
        <v/>
      </c>
      <c r="BB53" s="303">
        <f t="shared" si="25"/>
        <v>0</v>
      </c>
      <c r="BC53" s="303" t="str">
        <f t="shared" si="26"/>
        <v/>
      </c>
      <c r="BD53" s="303" t="str">
        <f t="shared" si="27"/>
        <v/>
      </c>
      <c r="BF53" s="304">
        <f t="shared" si="28"/>
        <v>0</v>
      </c>
      <c r="BG53" s="304">
        <f t="shared" si="29"/>
        <v>0</v>
      </c>
      <c r="BH53" s="304" t="str">
        <f>IF( $B53="", "", IF(ISNA(VLOOKUP($C53, Defesa!$C$8:$C$30,1,FALSE)),1,0))</f>
        <v/>
      </c>
      <c r="BI53" s="305" t="str">
        <f t="shared" si="30"/>
        <v/>
      </c>
      <c r="BJ53" s="305" t="str">
        <f t="shared" si="31"/>
        <v/>
      </c>
      <c r="BK53" s="304" t="str">
        <f t="shared" si="32"/>
        <v/>
      </c>
      <c r="BL53" s="304">
        <f t="shared" si="33"/>
        <v>0</v>
      </c>
      <c r="BM53" s="304" t="str">
        <f>IF($AC53="", "", IF(ISNA(VLOOKUP($AC53, TABELAS!$Q:$Q, 1, FALSE)), 1, 0))</f>
        <v/>
      </c>
      <c r="BN53" s="306" t="str">
        <f t="shared" si="34"/>
        <v/>
      </c>
      <c r="BO53" s="304" t="str">
        <f t="shared" si="35"/>
        <v/>
      </c>
      <c r="BP53" s="304" t="str">
        <f t="shared" si="36"/>
        <v/>
      </c>
      <c r="BQ53" s="305" t="str">
        <f t="shared" si="37"/>
        <v/>
      </c>
      <c r="BR53" s="304" t="str">
        <f t="shared" si="38"/>
        <v/>
      </c>
      <c r="BS53" s="304" t="str">
        <f t="shared" si="39"/>
        <v/>
      </c>
      <c r="BT53" s="304" t="str">
        <f>IF(OR($B53="", $AH53 = "SIM"), "", IF( ISNA(VLOOKUP($AP53,#REF!, 1, FALSE)), 1, 0))</f>
        <v/>
      </c>
      <c r="BU53" s="304" t="str">
        <f t="shared" si="40"/>
        <v/>
      </c>
      <c r="BV53" s="304" t="str">
        <f>IF( $B53="", "", IF( ISNA(VLOOKUP($AN53, TABELAS!$T$2:$T$9,1,FALSE)), 1, 0))</f>
        <v/>
      </c>
      <c r="BW53" s="304" t="str">
        <f t="shared" si="41"/>
        <v/>
      </c>
      <c r="BX53" s="304" t="str">
        <f>IF( OR($B53="", $AH53 = "SIM"), "", IF( ISNA( VLOOKUP( $AQ53, SISTEMA!$B:$B, 1, FALSE)), 1, 0))</f>
        <v/>
      </c>
      <c r="BY53" s="305" t="str">
        <f t="shared" si="42"/>
        <v/>
      </c>
      <c r="BZ53" s="305" t="str">
        <f t="shared" si="43"/>
        <v/>
      </c>
      <c r="CA53" s="304" t="str">
        <f t="shared" si="44"/>
        <v/>
      </c>
      <c r="CB53" s="305" t="str">
        <f t="shared" si="45"/>
        <v/>
      </c>
      <c r="CC53" s="305" t="str">
        <f t="shared" si="46"/>
        <v/>
      </c>
      <c r="CD53" s="305" t="str">
        <f t="shared" si="47"/>
        <v/>
      </c>
    </row>
    <row r="54" spans="1:82" x14ac:dyDescent="0.2">
      <c r="A54" s="235"/>
      <c r="B54" s="236" t="str">
        <f t="shared" si="12"/>
        <v/>
      </c>
      <c r="C54" s="237" t="str">
        <f t="shared" si="2"/>
        <v/>
      </c>
      <c r="D54" s="237" t="str">
        <f t="shared" si="13"/>
        <v/>
      </c>
      <c r="E54" s="237" t="str">
        <f>IF($C54="", "", COUNTIF($M$8:$M54,$D54))</f>
        <v/>
      </c>
      <c r="F54" s="238">
        <v>47</v>
      </c>
      <c r="G54" s="239"/>
      <c r="H54" s="240"/>
      <c r="I54" s="240"/>
      <c r="J54" s="241"/>
      <c r="K54" s="240"/>
      <c r="L54" s="240"/>
      <c r="M54" s="240"/>
      <c r="N54" s="242"/>
      <c r="O54" s="243"/>
      <c r="P54" s="243"/>
      <c r="Q54" s="243"/>
      <c r="R54" s="243"/>
      <c r="S54" s="243"/>
      <c r="T54" s="245"/>
      <c r="U54" s="246" t="str">
        <f>IF($T54="", "", VLOOKUP($T54, CONTRATOS!$B:$E, 2, FALSE))</f>
        <v/>
      </c>
      <c r="V54" s="247">
        <f>IF(OR($T54="",TB_DEFESA!$C$2="Criação Baseline"),0,
   IF(VLOOKUP($T54, CONTRATOS!B:E, 3, FALSE)&lt;&gt;"",1,IF(VLOOKUP($T54, CONTRATOS!B:E, 4, FALSE)&lt;&gt;"",2,0)))</f>
        <v>0</v>
      </c>
      <c r="W54" s="248"/>
      <c r="X54" s="248"/>
      <c r="Y54" s="249"/>
      <c r="Z54" s="250"/>
      <c r="AA54" s="251"/>
      <c r="AB54" s="252"/>
      <c r="AC54" s="253"/>
      <c r="AD54" s="251"/>
      <c r="AE54" s="254" t="str">
        <f t="shared" si="3"/>
        <v/>
      </c>
      <c r="AF54" s="256" t="str">
        <f t="shared" si="14"/>
        <v/>
      </c>
      <c r="AG54" s="293" t="s">
        <v>62</v>
      </c>
      <c r="AH54" s="294" t="str">
        <f t="shared" si="15"/>
        <v/>
      </c>
      <c r="AI54" s="294" t="str">
        <f t="shared" si="16"/>
        <v/>
      </c>
      <c r="AJ54" s="295" t="str">
        <f t="shared" si="17"/>
        <v/>
      </c>
      <c r="AK54" s="296" t="str">
        <f t="shared" si="18"/>
        <v/>
      </c>
      <c r="AL54" s="297" t="str">
        <f t="shared" si="19"/>
        <v/>
      </c>
      <c r="AM54" s="294" t="str">
        <f t="shared" si="20"/>
        <v/>
      </c>
      <c r="AN54" s="294" t="str">
        <f t="shared" si="21"/>
        <v/>
      </c>
      <c r="AO54" s="298" t="str">
        <f t="shared" si="22"/>
        <v/>
      </c>
      <c r="AP54" s="299" t="str">
        <f t="shared" si="23"/>
        <v/>
      </c>
      <c r="AQ54" s="299" t="str">
        <f t="shared" si="24"/>
        <v/>
      </c>
      <c r="AR54" s="300" t="str">
        <f t="shared" si="4"/>
        <v/>
      </c>
      <c r="AS54" s="300" t="str">
        <f t="shared" si="5"/>
        <v/>
      </c>
      <c r="AT54" s="294" t="str">
        <f t="shared" si="6"/>
        <v/>
      </c>
      <c r="AU54" s="301" t="str">
        <f>IF(OR($B54="", $AP54= ""),"",IF(VLOOKUP($AP54, CONTRATOS!B:K,3,FALSE)="","",VLOOKUP($AP54, CONTRATOS!B:K, 3,FALSE)))</f>
        <v/>
      </c>
      <c r="AV54" s="301" t="str">
        <f>IF(OR($B54="", $AP54 = ""), "", IF(VLOOKUP($AP54, CONTRATOS!B:K,4,FALSE)="","",VLOOKUP($AP54, CONTRATOS!B:K,4, FALSE)))</f>
        <v/>
      </c>
      <c r="AW54" s="302" t="str">
        <f t="shared" si="7"/>
        <v/>
      </c>
      <c r="AX54" s="301" t="str">
        <f t="shared" si="8"/>
        <v/>
      </c>
      <c r="AY54" s="301" t="str">
        <f t="shared" si="9"/>
        <v/>
      </c>
      <c r="AZ54" s="301" t="str">
        <f t="shared" si="10"/>
        <v/>
      </c>
      <c r="BA54" s="301" t="str">
        <f t="shared" si="11"/>
        <v/>
      </c>
      <c r="BB54" s="303">
        <f t="shared" si="25"/>
        <v>0</v>
      </c>
      <c r="BC54" s="303" t="str">
        <f t="shared" si="26"/>
        <v/>
      </c>
      <c r="BD54" s="303" t="str">
        <f t="shared" si="27"/>
        <v/>
      </c>
      <c r="BF54" s="304">
        <f t="shared" si="28"/>
        <v>0</v>
      </c>
      <c r="BG54" s="304">
        <f t="shared" si="29"/>
        <v>0</v>
      </c>
      <c r="BH54" s="304" t="str">
        <f>IF( $B54="", "", IF(ISNA(VLOOKUP($C54, Defesa!$C$8:$C$30,1,FALSE)),1,0))</f>
        <v/>
      </c>
      <c r="BI54" s="305" t="str">
        <f t="shared" si="30"/>
        <v/>
      </c>
      <c r="BJ54" s="305" t="str">
        <f t="shared" si="31"/>
        <v/>
      </c>
      <c r="BK54" s="304" t="str">
        <f t="shared" si="32"/>
        <v/>
      </c>
      <c r="BL54" s="304">
        <f t="shared" si="33"/>
        <v>0</v>
      </c>
      <c r="BM54" s="304" t="str">
        <f>IF($AC54="", "", IF(ISNA(VLOOKUP($AC54, TABELAS!$Q:$Q, 1, FALSE)), 1, 0))</f>
        <v/>
      </c>
      <c r="BN54" s="306" t="str">
        <f t="shared" si="34"/>
        <v/>
      </c>
      <c r="BO54" s="304" t="str">
        <f t="shared" si="35"/>
        <v/>
      </c>
      <c r="BP54" s="304" t="str">
        <f t="shared" si="36"/>
        <v/>
      </c>
      <c r="BQ54" s="305" t="str">
        <f t="shared" si="37"/>
        <v/>
      </c>
      <c r="BR54" s="304" t="str">
        <f t="shared" si="38"/>
        <v/>
      </c>
      <c r="BS54" s="304" t="str">
        <f t="shared" si="39"/>
        <v/>
      </c>
      <c r="BT54" s="304" t="str">
        <f>IF(OR($B54="", $AH54 = "SIM"), "", IF( ISNA(VLOOKUP($AP54,#REF!, 1, FALSE)), 1, 0))</f>
        <v/>
      </c>
      <c r="BU54" s="304" t="str">
        <f t="shared" si="40"/>
        <v/>
      </c>
      <c r="BV54" s="304" t="str">
        <f>IF( $B54="", "", IF( ISNA(VLOOKUP($AN54, TABELAS!$T$2:$T$9,1,FALSE)), 1, 0))</f>
        <v/>
      </c>
      <c r="BW54" s="304" t="str">
        <f t="shared" si="41"/>
        <v/>
      </c>
      <c r="BX54" s="304" t="str">
        <f>IF( OR($B54="", $AH54 = "SIM"), "", IF( ISNA( VLOOKUP( $AQ54, SISTEMA!$B:$B, 1, FALSE)), 1, 0))</f>
        <v/>
      </c>
      <c r="BY54" s="305" t="str">
        <f t="shared" si="42"/>
        <v/>
      </c>
      <c r="BZ54" s="305" t="str">
        <f t="shared" si="43"/>
        <v/>
      </c>
      <c r="CA54" s="304" t="str">
        <f t="shared" si="44"/>
        <v/>
      </c>
      <c r="CB54" s="305" t="str">
        <f t="shared" si="45"/>
        <v/>
      </c>
      <c r="CC54" s="305" t="str">
        <f t="shared" si="46"/>
        <v/>
      </c>
      <c r="CD54" s="305" t="str">
        <f t="shared" si="47"/>
        <v/>
      </c>
    </row>
    <row r="55" spans="1:82" x14ac:dyDescent="0.2">
      <c r="A55" s="235"/>
      <c r="B55" s="236" t="str">
        <f t="shared" si="12"/>
        <v/>
      </c>
      <c r="C55" s="237" t="str">
        <f t="shared" si="2"/>
        <v/>
      </c>
      <c r="D55" s="237" t="str">
        <f t="shared" si="13"/>
        <v/>
      </c>
      <c r="E55" s="237" t="str">
        <f>IF($C55="", "", COUNTIF($M$8:$M55,$D55))</f>
        <v/>
      </c>
      <c r="F55" s="238">
        <v>48</v>
      </c>
      <c r="G55" s="239"/>
      <c r="H55" s="240"/>
      <c r="I55" s="240"/>
      <c r="J55" s="241"/>
      <c r="K55" s="240"/>
      <c r="L55" s="240"/>
      <c r="M55" s="240"/>
      <c r="N55" s="242"/>
      <c r="O55" s="243"/>
      <c r="P55" s="243"/>
      <c r="Q55" s="243"/>
      <c r="R55" s="243"/>
      <c r="S55" s="243"/>
      <c r="T55" s="245"/>
      <c r="U55" s="246" t="str">
        <f>IF($T55="", "", VLOOKUP($T55, CONTRATOS!$B:$E, 2, FALSE))</f>
        <v/>
      </c>
      <c r="V55" s="247">
        <f>IF(OR($T55="",TB_DEFESA!$C$2="Criação Baseline"),0,
   IF(VLOOKUP($T55, CONTRATOS!B:E, 3, FALSE)&lt;&gt;"",1,IF(VLOOKUP($T55, CONTRATOS!B:E, 4, FALSE)&lt;&gt;"",2,0)))</f>
        <v>0</v>
      </c>
      <c r="W55" s="248"/>
      <c r="X55" s="248"/>
      <c r="Y55" s="249"/>
      <c r="Z55" s="250"/>
      <c r="AA55" s="251"/>
      <c r="AB55" s="252"/>
      <c r="AC55" s="253"/>
      <c r="AD55" s="251"/>
      <c r="AE55" s="254" t="str">
        <f t="shared" si="3"/>
        <v/>
      </c>
      <c r="AF55" s="256" t="str">
        <f t="shared" si="14"/>
        <v/>
      </c>
      <c r="AG55" s="293" t="s">
        <v>62</v>
      </c>
      <c r="AH55" s="294" t="str">
        <f t="shared" si="15"/>
        <v/>
      </c>
      <c r="AI55" s="294" t="str">
        <f t="shared" si="16"/>
        <v/>
      </c>
      <c r="AJ55" s="295" t="str">
        <f t="shared" si="17"/>
        <v/>
      </c>
      <c r="AK55" s="296" t="str">
        <f t="shared" si="18"/>
        <v/>
      </c>
      <c r="AL55" s="297" t="str">
        <f t="shared" si="19"/>
        <v/>
      </c>
      <c r="AM55" s="294" t="str">
        <f t="shared" si="20"/>
        <v/>
      </c>
      <c r="AN55" s="294" t="str">
        <f t="shared" si="21"/>
        <v/>
      </c>
      <c r="AO55" s="298" t="str">
        <f t="shared" si="22"/>
        <v/>
      </c>
      <c r="AP55" s="299" t="str">
        <f t="shared" si="23"/>
        <v/>
      </c>
      <c r="AQ55" s="299" t="str">
        <f t="shared" si="24"/>
        <v/>
      </c>
      <c r="AR55" s="300" t="str">
        <f t="shared" si="4"/>
        <v/>
      </c>
      <c r="AS55" s="300" t="str">
        <f t="shared" si="5"/>
        <v/>
      </c>
      <c r="AT55" s="294" t="str">
        <f t="shared" si="6"/>
        <v/>
      </c>
      <c r="AU55" s="301" t="str">
        <f>IF(OR($B55="", $AP55= ""),"",IF(VLOOKUP($AP55, CONTRATOS!B:K,3,FALSE)="","",VLOOKUP($AP55, CONTRATOS!B:K, 3,FALSE)))</f>
        <v/>
      </c>
      <c r="AV55" s="301" t="str">
        <f>IF(OR($B55="", $AP55 = ""), "", IF(VLOOKUP($AP55, CONTRATOS!B:K,4,FALSE)="","",VLOOKUP($AP55, CONTRATOS!B:K,4, FALSE)))</f>
        <v/>
      </c>
      <c r="AW55" s="302" t="str">
        <f t="shared" si="7"/>
        <v/>
      </c>
      <c r="AX55" s="301" t="str">
        <f t="shared" si="8"/>
        <v/>
      </c>
      <c r="AY55" s="301" t="str">
        <f t="shared" si="9"/>
        <v/>
      </c>
      <c r="AZ55" s="301" t="str">
        <f t="shared" si="10"/>
        <v/>
      </c>
      <c r="BA55" s="301" t="str">
        <f t="shared" si="11"/>
        <v/>
      </c>
      <c r="BB55" s="303">
        <f t="shared" si="25"/>
        <v>0</v>
      </c>
      <c r="BC55" s="303" t="str">
        <f t="shared" si="26"/>
        <v/>
      </c>
      <c r="BD55" s="303" t="str">
        <f t="shared" si="27"/>
        <v/>
      </c>
      <c r="BF55" s="304">
        <f t="shared" si="28"/>
        <v>0</v>
      </c>
      <c r="BG55" s="304">
        <f t="shared" si="29"/>
        <v>0</v>
      </c>
      <c r="BH55" s="304" t="str">
        <f>IF( $B55="", "", IF(ISNA(VLOOKUP($C55, Defesa!$C$8:$C$30,1,FALSE)),1,0))</f>
        <v/>
      </c>
      <c r="BI55" s="305" t="str">
        <f t="shared" si="30"/>
        <v/>
      </c>
      <c r="BJ55" s="305" t="str">
        <f t="shared" si="31"/>
        <v/>
      </c>
      <c r="BK55" s="304" t="str">
        <f t="shared" si="32"/>
        <v/>
      </c>
      <c r="BL55" s="304">
        <f t="shared" si="33"/>
        <v>0</v>
      </c>
      <c r="BM55" s="304" t="str">
        <f>IF($AC55="", "", IF(ISNA(VLOOKUP($AC55, TABELAS!$Q:$Q, 1, FALSE)), 1, 0))</f>
        <v/>
      </c>
      <c r="BN55" s="306" t="str">
        <f t="shared" si="34"/>
        <v/>
      </c>
      <c r="BO55" s="304" t="str">
        <f t="shared" si="35"/>
        <v/>
      </c>
      <c r="BP55" s="304" t="str">
        <f t="shared" si="36"/>
        <v/>
      </c>
      <c r="BQ55" s="305" t="str">
        <f t="shared" si="37"/>
        <v/>
      </c>
      <c r="BR55" s="304" t="str">
        <f t="shared" si="38"/>
        <v/>
      </c>
      <c r="BS55" s="304" t="str">
        <f t="shared" si="39"/>
        <v/>
      </c>
      <c r="BT55" s="304" t="str">
        <f>IF(OR($B55="", $AH55 = "SIM"), "", IF( ISNA(VLOOKUP($AP55,#REF!, 1, FALSE)), 1, 0))</f>
        <v/>
      </c>
      <c r="BU55" s="304" t="str">
        <f t="shared" si="40"/>
        <v/>
      </c>
      <c r="BV55" s="304" t="str">
        <f>IF( $B55="", "", IF( ISNA(VLOOKUP($AN55, TABELAS!$T$2:$T$9,1,FALSE)), 1, 0))</f>
        <v/>
      </c>
      <c r="BW55" s="304" t="str">
        <f t="shared" si="41"/>
        <v/>
      </c>
      <c r="BX55" s="304" t="str">
        <f>IF( OR($B55="", $AH55 = "SIM"), "", IF( ISNA( VLOOKUP( $AQ55, SISTEMA!$B:$B, 1, FALSE)), 1, 0))</f>
        <v/>
      </c>
      <c r="BY55" s="305" t="str">
        <f t="shared" si="42"/>
        <v/>
      </c>
      <c r="BZ55" s="305" t="str">
        <f t="shared" si="43"/>
        <v/>
      </c>
      <c r="CA55" s="304" t="str">
        <f t="shared" si="44"/>
        <v/>
      </c>
      <c r="CB55" s="305" t="str">
        <f t="shared" si="45"/>
        <v/>
      </c>
      <c r="CC55" s="305" t="str">
        <f t="shared" si="46"/>
        <v/>
      </c>
      <c r="CD55" s="305" t="str">
        <f t="shared" si="47"/>
        <v/>
      </c>
    </row>
    <row r="56" spans="1:82" x14ac:dyDescent="0.2">
      <c r="A56" s="235"/>
      <c r="B56" s="236" t="str">
        <f t="shared" si="12"/>
        <v/>
      </c>
      <c r="C56" s="237" t="str">
        <f t="shared" si="2"/>
        <v/>
      </c>
      <c r="D56" s="237" t="str">
        <f t="shared" si="13"/>
        <v/>
      </c>
      <c r="E56" s="237" t="str">
        <f>IF($C56="", "", COUNTIF($M$8:$M56,$D56))</f>
        <v/>
      </c>
      <c r="F56" s="238">
        <v>49</v>
      </c>
      <c r="G56" s="239"/>
      <c r="H56" s="240"/>
      <c r="I56" s="240"/>
      <c r="J56" s="241"/>
      <c r="K56" s="240"/>
      <c r="L56" s="240"/>
      <c r="M56" s="240"/>
      <c r="N56" s="242"/>
      <c r="O56" s="243"/>
      <c r="P56" s="243"/>
      <c r="Q56" s="243"/>
      <c r="R56" s="243"/>
      <c r="S56" s="243"/>
      <c r="T56" s="245"/>
      <c r="U56" s="246" t="str">
        <f>IF($T56="", "", VLOOKUP($T56, CONTRATOS!$B:$E, 2, FALSE))</f>
        <v/>
      </c>
      <c r="V56" s="247">
        <f>IF(OR($T56="",TB_DEFESA!$C$2="Criação Baseline"),0,
   IF(VLOOKUP($T56, CONTRATOS!B:E, 3, FALSE)&lt;&gt;"",1,IF(VLOOKUP($T56, CONTRATOS!B:E, 4, FALSE)&lt;&gt;"",2,0)))</f>
        <v>0</v>
      </c>
      <c r="W56" s="248"/>
      <c r="X56" s="248"/>
      <c r="Y56" s="249"/>
      <c r="Z56" s="250"/>
      <c r="AA56" s="251"/>
      <c r="AB56" s="252"/>
      <c r="AC56" s="253"/>
      <c r="AD56" s="251"/>
      <c r="AE56" s="254" t="str">
        <f t="shared" si="3"/>
        <v/>
      </c>
      <c r="AF56" s="256" t="str">
        <f t="shared" si="14"/>
        <v/>
      </c>
      <c r="AG56" s="293" t="s">
        <v>62</v>
      </c>
      <c r="AH56" s="294" t="str">
        <f t="shared" si="15"/>
        <v/>
      </c>
      <c r="AI56" s="294" t="str">
        <f t="shared" si="16"/>
        <v/>
      </c>
      <c r="AJ56" s="295" t="str">
        <f t="shared" si="17"/>
        <v/>
      </c>
      <c r="AK56" s="296" t="str">
        <f t="shared" si="18"/>
        <v/>
      </c>
      <c r="AL56" s="297" t="str">
        <f t="shared" si="19"/>
        <v/>
      </c>
      <c r="AM56" s="294" t="str">
        <f t="shared" si="20"/>
        <v/>
      </c>
      <c r="AN56" s="294" t="str">
        <f t="shared" si="21"/>
        <v/>
      </c>
      <c r="AO56" s="298" t="str">
        <f t="shared" si="22"/>
        <v/>
      </c>
      <c r="AP56" s="299" t="str">
        <f t="shared" si="23"/>
        <v/>
      </c>
      <c r="AQ56" s="299" t="str">
        <f t="shared" si="24"/>
        <v/>
      </c>
      <c r="AR56" s="300" t="str">
        <f t="shared" si="4"/>
        <v/>
      </c>
      <c r="AS56" s="300" t="str">
        <f t="shared" si="5"/>
        <v/>
      </c>
      <c r="AT56" s="294" t="str">
        <f t="shared" si="6"/>
        <v/>
      </c>
      <c r="AU56" s="301" t="str">
        <f>IF(OR($B56="", $AP56= ""),"",IF(VLOOKUP($AP56, CONTRATOS!B:K,3,FALSE)="","",VLOOKUP($AP56, CONTRATOS!B:K, 3,FALSE)))</f>
        <v/>
      </c>
      <c r="AV56" s="301" t="str">
        <f>IF(OR($B56="", $AP56 = ""), "", IF(VLOOKUP($AP56, CONTRATOS!B:K,4,FALSE)="","",VLOOKUP($AP56, CONTRATOS!B:K,4, FALSE)))</f>
        <v/>
      </c>
      <c r="AW56" s="302" t="str">
        <f t="shared" si="7"/>
        <v/>
      </c>
      <c r="AX56" s="301" t="str">
        <f t="shared" si="8"/>
        <v/>
      </c>
      <c r="AY56" s="301" t="str">
        <f t="shared" si="9"/>
        <v/>
      </c>
      <c r="AZ56" s="301" t="str">
        <f t="shared" si="10"/>
        <v/>
      </c>
      <c r="BA56" s="301" t="str">
        <f t="shared" si="11"/>
        <v/>
      </c>
      <c r="BB56" s="303">
        <f t="shared" si="25"/>
        <v>0</v>
      </c>
      <c r="BC56" s="303" t="str">
        <f t="shared" si="26"/>
        <v/>
      </c>
      <c r="BD56" s="303" t="str">
        <f t="shared" si="27"/>
        <v/>
      </c>
      <c r="BF56" s="304">
        <f t="shared" si="28"/>
        <v>0</v>
      </c>
      <c r="BG56" s="304">
        <f t="shared" si="29"/>
        <v>0</v>
      </c>
      <c r="BH56" s="304" t="str">
        <f>IF( $B56="", "", IF(ISNA(VLOOKUP($C56, Defesa!$C$8:$C$30,1,FALSE)),1,0))</f>
        <v/>
      </c>
      <c r="BI56" s="305" t="str">
        <f t="shared" si="30"/>
        <v/>
      </c>
      <c r="BJ56" s="305" t="str">
        <f t="shared" si="31"/>
        <v/>
      </c>
      <c r="BK56" s="304" t="str">
        <f t="shared" si="32"/>
        <v/>
      </c>
      <c r="BL56" s="304">
        <f t="shared" si="33"/>
        <v>0</v>
      </c>
      <c r="BM56" s="304" t="str">
        <f>IF($AC56="", "", IF(ISNA(VLOOKUP($AC56, TABELAS!$Q:$Q, 1, FALSE)), 1, 0))</f>
        <v/>
      </c>
      <c r="BN56" s="306" t="str">
        <f t="shared" si="34"/>
        <v/>
      </c>
      <c r="BO56" s="304" t="str">
        <f t="shared" si="35"/>
        <v/>
      </c>
      <c r="BP56" s="304" t="str">
        <f t="shared" si="36"/>
        <v/>
      </c>
      <c r="BQ56" s="305" t="str">
        <f t="shared" si="37"/>
        <v/>
      </c>
      <c r="BR56" s="304" t="str">
        <f t="shared" si="38"/>
        <v/>
      </c>
      <c r="BS56" s="304" t="str">
        <f t="shared" si="39"/>
        <v/>
      </c>
      <c r="BT56" s="304" t="str">
        <f>IF(OR($B56="", $AH56 = "SIM"), "", IF( ISNA(VLOOKUP($AP56,#REF!, 1, FALSE)), 1, 0))</f>
        <v/>
      </c>
      <c r="BU56" s="304" t="str">
        <f t="shared" si="40"/>
        <v/>
      </c>
      <c r="BV56" s="304" t="str">
        <f>IF( $B56="", "", IF( ISNA(VLOOKUP($AN56, TABELAS!$T$2:$T$9,1,FALSE)), 1, 0))</f>
        <v/>
      </c>
      <c r="BW56" s="304" t="str">
        <f t="shared" si="41"/>
        <v/>
      </c>
      <c r="BX56" s="304" t="str">
        <f>IF( OR($B56="", $AH56 = "SIM"), "", IF( ISNA( VLOOKUP( $AQ56, SISTEMA!$B:$B, 1, FALSE)), 1, 0))</f>
        <v/>
      </c>
      <c r="BY56" s="305" t="str">
        <f t="shared" si="42"/>
        <v/>
      </c>
      <c r="BZ56" s="305" t="str">
        <f t="shared" si="43"/>
        <v/>
      </c>
      <c r="CA56" s="304" t="str">
        <f t="shared" si="44"/>
        <v/>
      </c>
      <c r="CB56" s="305" t="str">
        <f t="shared" si="45"/>
        <v/>
      </c>
      <c r="CC56" s="305" t="str">
        <f t="shared" si="46"/>
        <v/>
      </c>
      <c r="CD56" s="305" t="str">
        <f t="shared" si="47"/>
        <v/>
      </c>
    </row>
    <row r="57" spans="1:82" x14ac:dyDescent="0.2">
      <c r="A57" s="235"/>
      <c r="B57" s="236" t="str">
        <f t="shared" si="12"/>
        <v/>
      </c>
      <c r="C57" s="237" t="str">
        <f t="shared" si="2"/>
        <v/>
      </c>
      <c r="D57" s="237" t="str">
        <f t="shared" si="13"/>
        <v/>
      </c>
      <c r="E57" s="237" t="str">
        <f>IF($C57="", "", COUNTIF($M$8:$M57,$D57))</f>
        <v/>
      </c>
      <c r="F57" s="238">
        <v>50</v>
      </c>
      <c r="G57" s="239"/>
      <c r="H57" s="240"/>
      <c r="I57" s="240"/>
      <c r="J57" s="241"/>
      <c r="K57" s="240"/>
      <c r="L57" s="240"/>
      <c r="M57" s="240"/>
      <c r="N57" s="242"/>
      <c r="O57" s="243"/>
      <c r="P57" s="243"/>
      <c r="Q57" s="243"/>
      <c r="R57" s="243"/>
      <c r="S57" s="243"/>
      <c r="T57" s="245"/>
      <c r="U57" s="246" t="str">
        <f>IF($T57="", "", VLOOKUP($T57, CONTRATOS!$B:$E, 2, FALSE))</f>
        <v/>
      </c>
      <c r="V57" s="247">
        <f>IF(OR($T57="",TB_DEFESA!$C$2="Criação Baseline"),0,
   IF(VLOOKUP($T57, CONTRATOS!B:E, 3, FALSE)&lt;&gt;"",1,IF(VLOOKUP($T57, CONTRATOS!B:E, 4, FALSE)&lt;&gt;"",2,0)))</f>
        <v>0</v>
      </c>
      <c r="W57" s="248"/>
      <c r="X57" s="248"/>
      <c r="Y57" s="249"/>
      <c r="Z57" s="250"/>
      <c r="AA57" s="251"/>
      <c r="AB57" s="252"/>
      <c r="AC57" s="253"/>
      <c r="AD57" s="251"/>
      <c r="AE57" s="254" t="str">
        <f t="shared" si="3"/>
        <v/>
      </c>
      <c r="AF57" s="256" t="str">
        <f t="shared" si="14"/>
        <v/>
      </c>
      <c r="AG57" s="293" t="s">
        <v>62</v>
      </c>
      <c r="AH57" s="294" t="str">
        <f t="shared" si="15"/>
        <v/>
      </c>
      <c r="AI57" s="294" t="str">
        <f t="shared" si="16"/>
        <v/>
      </c>
      <c r="AJ57" s="295" t="str">
        <f t="shared" si="17"/>
        <v/>
      </c>
      <c r="AK57" s="296" t="str">
        <f t="shared" si="18"/>
        <v/>
      </c>
      <c r="AL57" s="297" t="str">
        <f t="shared" si="19"/>
        <v/>
      </c>
      <c r="AM57" s="294" t="str">
        <f t="shared" si="20"/>
        <v/>
      </c>
      <c r="AN57" s="294" t="str">
        <f t="shared" si="21"/>
        <v/>
      </c>
      <c r="AO57" s="298" t="str">
        <f t="shared" si="22"/>
        <v/>
      </c>
      <c r="AP57" s="299" t="str">
        <f t="shared" si="23"/>
        <v/>
      </c>
      <c r="AQ57" s="299" t="str">
        <f t="shared" si="24"/>
        <v/>
      </c>
      <c r="AR57" s="300" t="str">
        <f t="shared" si="4"/>
        <v/>
      </c>
      <c r="AS57" s="300" t="str">
        <f t="shared" si="5"/>
        <v/>
      </c>
      <c r="AT57" s="294" t="str">
        <f t="shared" si="6"/>
        <v/>
      </c>
      <c r="AU57" s="301" t="str">
        <f>IF(OR($B57="", $AP57= ""),"",IF(VLOOKUP($AP57, CONTRATOS!B:K,3,FALSE)="","",VLOOKUP($AP57, CONTRATOS!B:K, 3,FALSE)))</f>
        <v/>
      </c>
      <c r="AV57" s="301" t="str">
        <f>IF(OR($B57="", $AP57 = ""), "", IF(VLOOKUP($AP57, CONTRATOS!B:K,4,FALSE)="","",VLOOKUP($AP57, CONTRATOS!B:K,4, FALSE)))</f>
        <v/>
      </c>
      <c r="AW57" s="302" t="str">
        <f t="shared" si="7"/>
        <v/>
      </c>
      <c r="AX57" s="301" t="str">
        <f t="shared" si="8"/>
        <v/>
      </c>
      <c r="AY57" s="301" t="str">
        <f t="shared" si="9"/>
        <v/>
      </c>
      <c r="AZ57" s="301" t="str">
        <f t="shared" si="10"/>
        <v/>
      </c>
      <c r="BA57" s="301" t="str">
        <f t="shared" si="11"/>
        <v/>
      </c>
      <c r="BB57" s="303">
        <f t="shared" si="25"/>
        <v>0</v>
      </c>
      <c r="BC57" s="303" t="str">
        <f t="shared" si="26"/>
        <v/>
      </c>
      <c r="BD57" s="303" t="str">
        <f t="shared" si="27"/>
        <v/>
      </c>
      <c r="BF57" s="304">
        <f t="shared" si="28"/>
        <v>0</v>
      </c>
      <c r="BG57" s="304">
        <f t="shared" si="29"/>
        <v>0</v>
      </c>
      <c r="BH57" s="304" t="str">
        <f>IF( $B57="", "", IF(ISNA(VLOOKUP($C57, Defesa!$C$8:$C$30,1,FALSE)),1,0))</f>
        <v/>
      </c>
      <c r="BI57" s="305" t="str">
        <f t="shared" si="30"/>
        <v/>
      </c>
      <c r="BJ57" s="305" t="str">
        <f t="shared" si="31"/>
        <v/>
      </c>
      <c r="BK57" s="304" t="str">
        <f t="shared" si="32"/>
        <v/>
      </c>
      <c r="BL57" s="304">
        <f t="shared" si="33"/>
        <v>0</v>
      </c>
      <c r="BM57" s="304" t="str">
        <f>IF($AC57="", "", IF(ISNA(VLOOKUP($AC57, TABELAS!$Q:$Q, 1, FALSE)), 1, 0))</f>
        <v/>
      </c>
      <c r="BN57" s="306" t="str">
        <f t="shared" si="34"/>
        <v/>
      </c>
      <c r="BO57" s="304" t="str">
        <f t="shared" si="35"/>
        <v/>
      </c>
      <c r="BP57" s="304" t="str">
        <f t="shared" si="36"/>
        <v/>
      </c>
      <c r="BQ57" s="305" t="str">
        <f t="shared" si="37"/>
        <v/>
      </c>
      <c r="BR57" s="304" t="str">
        <f t="shared" si="38"/>
        <v/>
      </c>
      <c r="BS57" s="304" t="str">
        <f t="shared" si="39"/>
        <v/>
      </c>
      <c r="BT57" s="304" t="str">
        <f>IF(OR($B57="", $AH57 = "SIM"), "", IF( ISNA(VLOOKUP($AP57,#REF!, 1, FALSE)), 1, 0))</f>
        <v/>
      </c>
      <c r="BU57" s="304" t="str">
        <f t="shared" si="40"/>
        <v/>
      </c>
      <c r="BV57" s="304" t="str">
        <f>IF( $B57="", "", IF( ISNA(VLOOKUP($AN57, TABELAS!$T$2:$T$9,1,FALSE)), 1, 0))</f>
        <v/>
      </c>
      <c r="BW57" s="304" t="str">
        <f t="shared" si="41"/>
        <v/>
      </c>
      <c r="BX57" s="304" t="str">
        <f>IF( OR($B57="", $AH57 = "SIM"), "", IF( ISNA( VLOOKUP( $AQ57, SISTEMA!$B:$B, 1, FALSE)), 1, 0))</f>
        <v/>
      </c>
      <c r="BY57" s="305" t="str">
        <f t="shared" si="42"/>
        <v/>
      </c>
      <c r="BZ57" s="305" t="str">
        <f t="shared" si="43"/>
        <v/>
      </c>
      <c r="CA57" s="304" t="str">
        <f t="shared" si="44"/>
        <v/>
      </c>
      <c r="CB57" s="305" t="str">
        <f t="shared" si="45"/>
        <v/>
      </c>
      <c r="CC57" s="305" t="str">
        <f t="shared" si="46"/>
        <v/>
      </c>
      <c r="CD57" s="305" t="str">
        <f t="shared" si="47"/>
        <v/>
      </c>
    </row>
    <row r="58" spans="1:82" x14ac:dyDescent="0.2">
      <c r="A58" s="235"/>
      <c r="B58" s="236" t="str">
        <f t="shared" si="12"/>
        <v/>
      </c>
      <c r="C58" s="237" t="str">
        <f t="shared" si="2"/>
        <v/>
      </c>
      <c r="D58" s="237" t="str">
        <f t="shared" si="13"/>
        <v/>
      </c>
      <c r="E58" s="237" t="str">
        <f>IF($C58="", "", COUNTIF($M$8:$M58,$D58))</f>
        <v/>
      </c>
      <c r="F58" s="238">
        <v>51</v>
      </c>
      <c r="G58" s="239"/>
      <c r="H58" s="240"/>
      <c r="I58" s="240"/>
      <c r="J58" s="241"/>
      <c r="K58" s="240"/>
      <c r="L58" s="240"/>
      <c r="M58" s="240"/>
      <c r="N58" s="242"/>
      <c r="O58" s="243"/>
      <c r="P58" s="243"/>
      <c r="Q58" s="243"/>
      <c r="R58" s="243"/>
      <c r="S58" s="243"/>
      <c r="T58" s="245"/>
      <c r="U58" s="246" t="str">
        <f>IF($T58="", "", VLOOKUP($T58, CONTRATOS!$B:$E, 2, FALSE))</f>
        <v/>
      </c>
      <c r="V58" s="247">
        <f>IF(OR($T58="",TB_DEFESA!$C$2="Criação Baseline"),0,
   IF(VLOOKUP($T58, CONTRATOS!B:E, 3, FALSE)&lt;&gt;"",1,IF(VLOOKUP($T58, CONTRATOS!B:E, 4, FALSE)&lt;&gt;"",2,0)))</f>
        <v>0</v>
      </c>
      <c r="W58" s="248"/>
      <c r="X58" s="248"/>
      <c r="Y58" s="249"/>
      <c r="Z58" s="250"/>
      <c r="AA58" s="251"/>
      <c r="AB58" s="252"/>
      <c r="AC58" s="253"/>
      <c r="AD58" s="251"/>
      <c r="AE58" s="254" t="str">
        <f t="shared" si="3"/>
        <v/>
      </c>
      <c r="AF58" s="256" t="str">
        <f t="shared" si="14"/>
        <v/>
      </c>
      <c r="AG58" s="293" t="s">
        <v>62</v>
      </c>
      <c r="AH58" s="294" t="str">
        <f t="shared" si="15"/>
        <v/>
      </c>
      <c r="AI58" s="294" t="str">
        <f t="shared" si="16"/>
        <v/>
      </c>
      <c r="AJ58" s="295" t="str">
        <f t="shared" si="17"/>
        <v/>
      </c>
      <c r="AK58" s="296" t="str">
        <f t="shared" si="18"/>
        <v/>
      </c>
      <c r="AL58" s="297" t="str">
        <f t="shared" si="19"/>
        <v/>
      </c>
      <c r="AM58" s="294" t="str">
        <f t="shared" si="20"/>
        <v/>
      </c>
      <c r="AN58" s="294" t="str">
        <f t="shared" si="21"/>
        <v/>
      </c>
      <c r="AO58" s="298" t="str">
        <f t="shared" si="22"/>
        <v/>
      </c>
      <c r="AP58" s="299" t="str">
        <f t="shared" si="23"/>
        <v/>
      </c>
      <c r="AQ58" s="299" t="str">
        <f t="shared" si="24"/>
        <v/>
      </c>
      <c r="AR58" s="300" t="str">
        <f t="shared" si="4"/>
        <v/>
      </c>
      <c r="AS58" s="300" t="str">
        <f t="shared" si="5"/>
        <v/>
      </c>
      <c r="AT58" s="294" t="str">
        <f t="shared" si="6"/>
        <v/>
      </c>
      <c r="AU58" s="301" t="str">
        <f>IF(OR($B58="", $AP58= ""),"",IF(VLOOKUP($AP58, CONTRATOS!B:K,3,FALSE)="","",VLOOKUP($AP58, CONTRATOS!B:K, 3,FALSE)))</f>
        <v/>
      </c>
      <c r="AV58" s="301" t="str">
        <f>IF(OR($B58="", $AP58 = ""), "", IF(VLOOKUP($AP58, CONTRATOS!B:K,4,FALSE)="","",VLOOKUP($AP58, CONTRATOS!B:K,4, FALSE)))</f>
        <v/>
      </c>
      <c r="AW58" s="302" t="str">
        <f t="shared" si="7"/>
        <v/>
      </c>
      <c r="AX58" s="301" t="str">
        <f t="shared" si="8"/>
        <v/>
      </c>
      <c r="AY58" s="301" t="str">
        <f t="shared" si="9"/>
        <v/>
      </c>
      <c r="AZ58" s="301" t="str">
        <f t="shared" si="10"/>
        <v/>
      </c>
      <c r="BA58" s="301" t="str">
        <f t="shared" si="11"/>
        <v/>
      </c>
      <c r="BB58" s="303">
        <f t="shared" si="25"/>
        <v>0</v>
      </c>
      <c r="BC58" s="303" t="str">
        <f t="shared" si="26"/>
        <v/>
      </c>
      <c r="BD58" s="303" t="str">
        <f t="shared" si="27"/>
        <v/>
      </c>
      <c r="BF58" s="304">
        <f t="shared" si="28"/>
        <v>0</v>
      </c>
      <c r="BG58" s="304">
        <f t="shared" si="29"/>
        <v>0</v>
      </c>
      <c r="BH58" s="304" t="str">
        <f>IF( $B58="", "", IF(ISNA(VLOOKUP($C58, Defesa!$C$8:$C$30,1,FALSE)),1,0))</f>
        <v/>
      </c>
      <c r="BI58" s="305" t="str">
        <f t="shared" si="30"/>
        <v/>
      </c>
      <c r="BJ58" s="305" t="str">
        <f t="shared" si="31"/>
        <v/>
      </c>
      <c r="BK58" s="304" t="str">
        <f t="shared" si="32"/>
        <v/>
      </c>
      <c r="BL58" s="304">
        <f t="shared" si="33"/>
        <v>0</v>
      </c>
      <c r="BM58" s="304" t="str">
        <f>IF($AC58="", "", IF(ISNA(VLOOKUP($AC58, TABELAS!$Q:$Q, 1, FALSE)), 1, 0))</f>
        <v/>
      </c>
      <c r="BN58" s="306" t="str">
        <f t="shared" si="34"/>
        <v/>
      </c>
      <c r="BO58" s="304" t="str">
        <f t="shared" si="35"/>
        <v/>
      </c>
      <c r="BP58" s="304" t="str">
        <f t="shared" si="36"/>
        <v/>
      </c>
      <c r="BQ58" s="305" t="str">
        <f t="shared" si="37"/>
        <v/>
      </c>
      <c r="BR58" s="304" t="str">
        <f t="shared" si="38"/>
        <v/>
      </c>
      <c r="BS58" s="304" t="str">
        <f t="shared" si="39"/>
        <v/>
      </c>
      <c r="BT58" s="304" t="str">
        <f>IF(OR($B58="", $AH58 = "SIM"), "", IF( ISNA(VLOOKUP($AP58,#REF!, 1, FALSE)), 1, 0))</f>
        <v/>
      </c>
      <c r="BU58" s="304" t="str">
        <f t="shared" si="40"/>
        <v/>
      </c>
      <c r="BV58" s="304" t="str">
        <f>IF( $B58="", "", IF( ISNA(VLOOKUP($AN58, TABELAS!$T$2:$T$9,1,FALSE)), 1, 0))</f>
        <v/>
      </c>
      <c r="BW58" s="304" t="str">
        <f t="shared" si="41"/>
        <v/>
      </c>
      <c r="BX58" s="304" t="str">
        <f>IF( OR($B58="", $AH58 = "SIM"), "", IF( ISNA( VLOOKUP( $AQ58, SISTEMA!$B:$B, 1, FALSE)), 1, 0))</f>
        <v/>
      </c>
      <c r="BY58" s="305" t="str">
        <f t="shared" si="42"/>
        <v/>
      </c>
      <c r="BZ58" s="305" t="str">
        <f t="shared" si="43"/>
        <v/>
      </c>
      <c r="CA58" s="304" t="str">
        <f t="shared" si="44"/>
        <v/>
      </c>
      <c r="CB58" s="305" t="str">
        <f t="shared" si="45"/>
        <v/>
      </c>
      <c r="CC58" s="305" t="str">
        <f t="shared" si="46"/>
        <v/>
      </c>
      <c r="CD58" s="305" t="str">
        <f t="shared" si="47"/>
        <v/>
      </c>
    </row>
    <row r="59" spans="1:82" x14ac:dyDescent="0.2">
      <c r="A59" s="235"/>
      <c r="B59" s="236" t="str">
        <f t="shared" si="12"/>
        <v/>
      </c>
      <c r="C59" s="237" t="str">
        <f t="shared" si="2"/>
        <v/>
      </c>
      <c r="D59" s="237" t="str">
        <f t="shared" si="13"/>
        <v/>
      </c>
      <c r="E59" s="237" t="str">
        <f>IF($C59="", "", COUNTIF($M$8:$M59,$D59))</f>
        <v/>
      </c>
      <c r="F59" s="238">
        <v>52</v>
      </c>
      <c r="G59" s="239"/>
      <c r="H59" s="240"/>
      <c r="I59" s="240"/>
      <c r="J59" s="241"/>
      <c r="K59" s="240"/>
      <c r="L59" s="240"/>
      <c r="M59" s="240"/>
      <c r="N59" s="242"/>
      <c r="O59" s="243"/>
      <c r="P59" s="243"/>
      <c r="Q59" s="243"/>
      <c r="R59" s="243"/>
      <c r="S59" s="243"/>
      <c r="T59" s="245"/>
      <c r="U59" s="246" t="str">
        <f>IF($T59="", "", VLOOKUP($T59, CONTRATOS!$B:$E, 2, FALSE))</f>
        <v/>
      </c>
      <c r="V59" s="247">
        <f>IF(OR($T59="",TB_DEFESA!$C$2="Criação Baseline"),0,
   IF(VLOOKUP($T59, CONTRATOS!B:E, 3, FALSE)&lt;&gt;"",1,IF(VLOOKUP($T59, CONTRATOS!B:E, 4, FALSE)&lt;&gt;"",2,0)))</f>
        <v>0</v>
      </c>
      <c r="W59" s="248"/>
      <c r="X59" s="248"/>
      <c r="Y59" s="249"/>
      <c r="Z59" s="250"/>
      <c r="AA59" s="251"/>
      <c r="AB59" s="252"/>
      <c r="AC59" s="253"/>
      <c r="AD59" s="251"/>
      <c r="AE59" s="254" t="str">
        <f t="shared" si="3"/>
        <v/>
      </c>
      <c r="AF59" s="256" t="str">
        <f t="shared" si="14"/>
        <v/>
      </c>
      <c r="AG59" s="293" t="s">
        <v>62</v>
      </c>
      <c r="AH59" s="294" t="str">
        <f t="shared" si="15"/>
        <v/>
      </c>
      <c r="AI59" s="294" t="str">
        <f t="shared" si="16"/>
        <v/>
      </c>
      <c r="AJ59" s="295" t="str">
        <f t="shared" si="17"/>
        <v/>
      </c>
      <c r="AK59" s="296" t="str">
        <f t="shared" si="18"/>
        <v/>
      </c>
      <c r="AL59" s="297" t="str">
        <f t="shared" si="19"/>
        <v/>
      </c>
      <c r="AM59" s="294" t="str">
        <f t="shared" si="20"/>
        <v/>
      </c>
      <c r="AN59" s="294" t="str">
        <f t="shared" si="21"/>
        <v/>
      </c>
      <c r="AO59" s="298" t="str">
        <f t="shared" si="22"/>
        <v/>
      </c>
      <c r="AP59" s="299" t="str">
        <f t="shared" si="23"/>
        <v/>
      </c>
      <c r="AQ59" s="299" t="str">
        <f t="shared" si="24"/>
        <v/>
      </c>
      <c r="AR59" s="300" t="str">
        <f t="shared" si="4"/>
        <v/>
      </c>
      <c r="AS59" s="300" t="str">
        <f t="shared" si="5"/>
        <v/>
      </c>
      <c r="AT59" s="294" t="str">
        <f t="shared" si="6"/>
        <v/>
      </c>
      <c r="AU59" s="301" t="str">
        <f>IF(OR($B59="", $AP59= ""),"",IF(VLOOKUP($AP59, CONTRATOS!B:K,3,FALSE)="","",VLOOKUP($AP59, CONTRATOS!B:K, 3,FALSE)))</f>
        <v/>
      </c>
      <c r="AV59" s="301" t="str">
        <f>IF(OR($B59="", $AP59 = ""), "", IF(VLOOKUP($AP59, CONTRATOS!B:K,4,FALSE)="","",VLOOKUP($AP59, CONTRATOS!B:K,4, FALSE)))</f>
        <v/>
      </c>
      <c r="AW59" s="302" t="str">
        <f t="shared" si="7"/>
        <v/>
      </c>
      <c r="AX59" s="301" t="str">
        <f t="shared" si="8"/>
        <v/>
      </c>
      <c r="AY59" s="301" t="str">
        <f t="shared" si="9"/>
        <v/>
      </c>
      <c r="AZ59" s="301" t="str">
        <f t="shared" si="10"/>
        <v/>
      </c>
      <c r="BA59" s="301" t="str">
        <f t="shared" si="11"/>
        <v/>
      </c>
      <c r="BB59" s="303">
        <f t="shared" si="25"/>
        <v>0</v>
      </c>
      <c r="BC59" s="303" t="str">
        <f t="shared" si="26"/>
        <v/>
      </c>
      <c r="BD59" s="303" t="str">
        <f t="shared" si="27"/>
        <v/>
      </c>
      <c r="BF59" s="304">
        <f t="shared" si="28"/>
        <v>0</v>
      </c>
      <c r="BG59" s="304">
        <f t="shared" si="29"/>
        <v>0</v>
      </c>
      <c r="BH59" s="304" t="str">
        <f>IF( $B59="", "", IF(ISNA(VLOOKUP($C59, Defesa!$C$8:$C$30,1,FALSE)),1,0))</f>
        <v/>
      </c>
      <c r="BI59" s="305" t="str">
        <f t="shared" si="30"/>
        <v/>
      </c>
      <c r="BJ59" s="305" t="str">
        <f t="shared" si="31"/>
        <v/>
      </c>
      <c r="BK59" s="304" t="str">
        <f t="shared" si="32"/>
        <v/>
      </c>
      <c r="BL59" s="304">
        <f t="shared" si="33"/>
        <v>0</v>
      </c>
      <c r="BM59" s="304" t="str">
        <f>IF($AC59="", "", IF(ISNA(VLOOKUP($AC59, TABELAS!$Q:$Q, 1, FALSE)), 1, 0))</f>
        <v/>
      </c>
      <c r="BN59" s="306" t="str">
        <f t="shared" si="34"/>
        <v/>
      </c>
      <c r="BO59" s="304" t="str">
        <f t="shared" si="35"/>
        <v/>
      </c>
      <c r="BP59" s="304" t="str">
        <f t="shared" si="36"/>
        <v/>
      </c>
      <c r="BQ59" s="305" t="str">
        <f t="shared" si="37"/>
        <v/>
      </c>
      <c r="BR59" s="304" t="str">
        <f t="shared" si="38"/>
        <v/>
      </c>
      <c r="BS59" s="304" t="str">
        <f t="shared" si="39"/>
        <v/>
      </c>
      <c r="BT59" s="304" t="str">
        <f>IF(OR($B59="", $AH59 = "SIM"), "", IF( ISNA(VLOOKUP($AP59,#REF!, 1, FALSE)), 1, 0))</f>
        <v/>
      </c>
      <c r="BU59" s="304" t="str">
        <f t="shared" si="40"/>
        <v/>
      </c>
      <c r="BV59" s="304" t="str">
        <f>IF( $B59="", "", IF( ISNA(VLOOKUP($AN59, TABELAS!$T$2:$T$9,1,FALSE)), 1, 0))</f>
        <v/>
      </c>
      <c r="BW59" s="304" t="str">
        <f t="shared" si="41"/>
        <v/>
      </c>
      <c r="BX59" s="304" t="str">
        <f>IF( OR($B59="", $AH59 = "SIM"), "", IF( ISNA( VLOOKUP( $AQ59, SISTEMA!$B:$B, 1, FALSE)), 1, 0))</f>
        <v/>
      </c>
      <c r="BY59" s="305" t="str">
        <f t="shared" si="42"/>
        <v/>
      </c>
      <c r="BZ59" s="305" t="str">
        <f t="shared" si="43"/>
        <v/>
      </c>
      <c r="CA59" s="304" t="str">
        <f t="shared" si="44"/>
        <v/>
      </c>
      <c r="CB59" s="305" t="str">
        <f t="shared" si="45"/>
        <v/>
      </c>
      <c r="CC59" s="305" t="str">
        <f t="shared" si="46"/>
        <v/>
      </c>
      <c r="CD59" s="305" t="str">
        <f t="shared" si="47"/>
        <v/>
      </c>
    </row>
    <row r="60" spans="1:82" x14ac:dyDescent="0.2">
      <c r="A60" s="235"/>
      <c r="B60" s="236" t="str">
        <f t="shared" si="12"/>
        <v/>
      </c>
      <c r="C60" s="237" t="str">
        <f t="shared" si="2"/>
        <v/>
      </c>
      <c r="D60" s="237" t="str">
        <f t="shared" si="13"/>
        <v/>
      </c>
      <c r="E60" s="237" t="str">
        <f>IF($C60="", "", COUNTIF($M$8:$M60,$D60))</f>
        <v/>
      </c>
      <c r="F60" s="238">
        <v>53</v>
      </c>
      <c r="G60" s="239"/>
      <c r="H60" s="240"/>
      <c r="I60" s="240"/>
      <c r="J60" s="241"/>
      <c r="K60" s="240"/>
      <c r="L60" s="240"/>
      <c r="M60" s="240"/>
      <c r="N60" s="242"/>
      <c r="O60" s="243"/>
      <c r="P60" s="243"/>
      <c r="Q60" s="243"/>
      <c r="R60" s="243"/>
      <c r="S60" s="243"/>
      <c r="T60" s="245"/>
      <c r="U60" s="246" t="str">
        <f>IF($T60="", "", VLOOKUP($T60, CONTRATOS!$B:$E, 2, FALSE))</f>
        <v/>
      </c>
      <c r="V60" s="247">
        <f>IF(OR($T60="",TB_DEFESA!$C$2="Criação Baseline"),0,
   IF(VLOOKUP($T60, CONTRATOS!B:E, 3, FALSE)&lt;&gt;"",1,IF(VLOOKUP($T60, CONTRATOS!B:E, 4, FALSE)&lt;&gt;"",2,0)))</f>
        <v>0</v>
      </c>
      <c r="W60" s="248"/>
      <c r="X60" s="248"/>
      <c r="Y60" s="249"/>
      <c r="Z60" s="250"/>
      <c r="AA60" s="251"/>
      <c r="AB60" s="252"/>
      <c r="AC60" s="253"/>
      <c r="AD60" s="251"/>
      <c r="AE60" s="254" t="str">
        <f t="shared" si="3"/>
        <v/>
      </c>
      <c r="AF60" s="256" t="str">
        <f t="shared" si="14"/>
        <v/>
      </c>
      <c r="AG60" s="293" t="s">
        <v>62</v>
      </c>
      <c r="AH60" s="294" t="str">
        <f t="shared" si="15"/>
        <v/>
      </c>
      <c r="AI60" s="294" t="str">
        <f t="shared" si="16"/>
        <v/>
      </c>
      <c r="AJ60" s="295" t="str">
        <f t="shared" si="17"/>
        <v/>
      </c>
      <c r="AK60" s="296" t="str">
        <f t="shared" si="18"/>
        <v/>
      </c>
      <c r="AL60" s="297" t="str">
        <f t="shared" si="19"/>
        <v/>
      </c>
      <c r="AM60" s="294" t="str">
        <f t="shared" si="20"/>
        <v/>
      </c>
      <c r="AN60" s="294" t="str">
        <f t="shared" si="21"/>
        <v/>
      </c>
      <c r="AO60" s="298" t="str">
        <f t="shared" si="22"/>
        <v/>
      </c>
      <c r="AP60" s="299" t="str">
        <f t="shared" si="23"/>
        <v/>
      </c>
      <c r="AQ60" s="299" t="str">
        <f t="shared" si="24"/>
        <v/>
      </c>
      <c r="AR60" s="300" t="str">
        <f t="shared" si="4"/>
        <v/>
      </c>
      <c r="AS60" s="300" t="str">
        <f t="shared" si="5"/>
        <v/>
      </c>
      <c r="AT60" s="294" t="str">
        <f t="shared" si="6"/>
        <v/>
      </c>
      <c r="AU60" s="301" t="str">
        <f>IF(OR($B60="", $AP60= ""),"",IF(VLOOKUP($AP60, CONTRATOS!B:K,3,FALSE)="","",VLOOKUP($AP60, CONTRATOS!B:K, 3,FALSE)))</f>
        <v/>
      </c>
      <c r="AV60" s="301" t="str">
        <f>IF(OR($B60="", $AP60 = ""), "", IF(VLOOKUP($AP60, CONTRATOS!B:K,4,FALSE)="","",VLOOKUP($AP60, CONTRATOS!B:K,4, FALSE)))</f>
        <v/>
      </c>
      <c r="AW60" s="302" t="str">
        <f t="shared" si="7"/>
        <v/>
      </c>
      <c r="AX60" s="301" t="str">
        <f t="shared" si="8"/>
        <v/>
      </c>
      <c r="AY60" s="301" t="str">
        <f t="shared" si="9"/>
        <v/>
      </c>
      <c r="AZ60" s="301" t="str">
        <f t="shared" si="10"/>
        <v/>
      </c>
      <c r="BA60" s="301" t="str">
        <f t="shared" si="11"/>
        <v/>
      </c>
      <c r="BB60" s="303">
        <f t="shared" si="25"/>
        <v>0</v>
      </c>
      <c r="BC60" s="303" t="str">
        <f t="shared" si="26"/>
        <v/>
      </c>
      <c r="BD60" s="303" t="str">
        <f t="shared" si="27"/>
        <v/>
      </c>
      <c r="BF60" s="304">
        <f t="shared" si="28"/>
        <v>0</v>
      </c>
      <c r="BG60" s="304">
        <f t="shared" si="29"/>
        <v>0</v>
      </c>
      <c r="BH60" s="304" t="str">
        <f>IF( $B60="", "", IF(ISNA(VLOOKUP($C60, Defesa!$C$8:$C$30,1,FALSE)),1,0))</f>
        <v/>
      </c>
      <c r="BI60" s="305" t="str">
        <f t="shared" si="30"/>
        <v/>
      </c>
      <c r="BJ60" s="305" t="str">
        <f t="shared" si="31"/>
        <v/>
      </c>
      <c r="BK60" s="304" t="str">
        <f t="shared" si="32"/>
        <v/>
      </c>
      <c r="BL60" s="304">
        <f t="shared" si="33"/>
        <v>0</v>
      </c>
      <c r="BM60" s="304" t="str">
        <f>IF($AC60="", "", IF(ISNA(VLOOKUP($AC60, TABELAS!$Q:$Q, 1, FALSE)), 1, 0))</f>
        <v/>
      </c>
      <c r="BN60" s="306" t="str">
        <f t="shared" si="34"/>
        <v/>
      </c>
      <c r="BO60" s="304" t="str">
        <f t="shared" si="35"/>
        <v/>
      </c>
      <c r="BP60" s="304" t="str">
        <f t="shared" si="36"/>
        <v/>
      </c>
      <c r="BQ60" s="305" t="str">
        <f t="shared" si="37"/>
        <v/>
      </c>
      <c r="BR60" s="304" t="str">
        <f t="shared" si="38"/>
        <v/>
      </c>
      <c r="BS60" s="304" t="str">
        <f t="shared" si="39"/>
        <v/>
      </c>
      <c r="BT60" s="304" t="str">
        <f>IF(OR($B60="", $AH60 = "SIM"), "", IF( ISNA(VLOOKUP($AP60,#REF!, 1, FALSE)), 1, 0))</f>
        <v/>
      </c>
      <c r="BU60" s="304" t="str">
        <f t="shared" si="40"/>
        <v/>
      </c>
      <c r="BV60" s="304" t="str">
        <f>IF( $B60="", "", IF( ISNA(VLOOKUP($AN60, TABELAS!$T$2:$T$9,1,FALSE)), 1, 0))</f>
        <v/>
      </c>
      <c r="BW60" s="304" t="str">
        <f t="shared" si="41"/>
        <v/>
      </c>
      <c r="BX60" s="304" t="str">
        <f>IF( OR($B60="", $AH60 = "SIM"), "", IF( ISNA( VLOOKUP( $AQ60, SISTEMA!$B:$B, 1, FALSE)), 1, 0))</f>
        <v/>
      </c>
      <c r="BY60" s="305" t="str">
        <f t="shared" si="42"/>
        <v/>
      </c>
      <c r="BZ60" s="305" t="str">
        <f t="shared" si="43"/>
        <v/>
      </c>
      <c r="CA60" s="304" t="str">
        <f t="shared" si="44"/>
        <v/>
      </c>
      <c r="CB60" s="305" t="str">
        <f t="shared" si="45"/>
        <v/>
      </c>
      <c r="CC60" s="305" t="str">
        <f t="shared" si="46"/>
        <v/>
      </c>
      <c r="CD60" s="305" t="str">
        <f t="shared" si="47"/>
        <v/>
      </c>
    </row>
    <row r="61" spans="1:82" x14ac:dyDescent="0.2">
      <c r="A61" s="235"/>
      <c r="B61" s="236" t="str">
        <f t="shared" si="12"/>
        <v/>
      </c>
      <c r="C61" s="237" t="str">
        <f t="shared" si="2"/>
        <v/>
      </c>
      <c r="D61" s="237" t="str">
        <f t="shared" si="13"/>
        <v/>
      </c>
      <c r="E61" s="237" t="str">
        <f>IF($C61="", "", COUNTIF($M$8:$M61,$D61))</f>
        <v/>
      </c>
      <c r="F61" s="238">
        <v>54</v>
      </c>
      <c r="G61" s="239"/>
      <c r="H61" s="240"/>
      <c r="I61" s="240"/>
      <c r="J61" s="241"/>
      <c r="K61" s="240"/>
      <c r="L61" s="240"/>
      <c r="M61" s="240"/>
      <c r="N61" s="242"/>
      <c r="O61" s="243"/>
      <c r="P61" s="243"/>
      <c r="Q61" s="243"/>
      <c r="R61" s="243"/>
      <c r="S61" s="243"/>
      <c r="T61" s="245"/>
      <c r="U61" s="246" t="str">
        <f>IF($T61="", "", VLOOKUP($T61, CONTRATOS!$B:$E, 2, FALSE))</f>
        <v/>
      </c>
      <c r="V61" s="247">
        <f>IF(OR($T61="",TB_DEFESA!$C$2="Criação Baseline"),0,
   IF(VLOOKUP($T61, CONTRATOS!B:E, 3, FALSE)&lt;&gt;"",1,IF(VLOOKUP($T61, CONTRATOS!B:E, 4, FALSE)&lt;&gt;"",2,0)))</f>
        <v>0</v>
      </c>
      <c r="W61" s="248"/>
      <c r="X61" s="248"/>
      <c r="Y61" s="249"/>
      <c r="Z61" s="250"/>
      <c r="AA61" s="251"/>
      <c r="AB61" s="252"/>
      <c r="AC61" s="253"/>
      <c r="AD61" s="251"/>
      <c r="AE61" s="254" t="str">
        <f t="shared" si="3"/>
        <v/>
      </c>
      <c r="AF61" s="256" t="str">
        <f t="shared" si="14"/>
        <v/>
      </c>
      <c r="AG61" s="293" t="s">
        <v>62</v>
      </c>
      <c r="AH61" s="294" t="str">
        <f t="shared" si="15"/>
        <v/>
      </c>
      <c r="AI61" s="294" t="str">
        <f t="shared" si="16"/>
        <v/>
      </c>
      <c r="AJ61" s="295" t="str">
        <f t="shared" si="17"/>
        <v/>
      </c>
      <c r="AK61" s="296" t="str">
        <f t="shared" si="18"/>
        <v/>
      </c>
      <c r="AL61" s="297" t="str">
        <f t="shared" si="19"/>
        <v/>
      </c>
      <c r="AM61" s="294" t="str">
        <f t="shared" si="20"/>
        <v/>
      </c>
      <c r="AN61" s="294" t="str">
        <f t="shared" si="21"/>
        <v/>
      </c>
      <c r="AO61" s="298" t="str">
        <f t="shared" si="22"/>
        <v/>
      </c>
      <c r="AP61" s="299" t="str">
        <f t="shared" si="23"/>
        <v/>
      </c>
      <c r="AQ61" s="299" t="str">
        <f t="shared" si="24"/>
        <v/>
      </c>
      <c r="AR61" s="300" t="str">
        <f t="shared" si="4"/>
        <v/>
      </c>
      <c r="AS61" s="300" t="str">
        <f t="shared" si="5"/>
        <v/>
      </c>
      <c r="AT61" s="294" t="str">
        <f t="shared" si="6"/>
        <v/>
      </c>
      <c r="AU61" s="301" t="str">
        <f>IF(OR($B61="", $AP61= ""),"",IF(VLOOKUP($AP61, CONTRATOS!B:K,3,FALSE)="","",VLOOKUP($AP61, CONTRATOS!B:K, 3,FALSE)))</f>
        <v/>
      </c>
      <c r="AV61" s="301" t="str">
        <f>IF(OR($B61="", $AP61 = ""), "", IF(VLOOKUP($AP61, CONTRATOS!B:K,4,FALSE)="","",VLOOKUP($AP61, CONTRATOS!B:K,4, FALSE)))</f>
        <v/>
      </c>
      <c r="AW61" s="302" t="str">
        <f t="shared" si="7"/>
        <v/>
      </c>
      <c r="AX61" s="301" t="str">
        <f t="shared" si="8"/>
        <v/>
      </c>
      <c r="AY61" s="301" t="str">
        <f t="shared" si="9"/>
        <v/>
      </c>
      <c r="AZ61" s="301" t="str">
        <f t="shared" si="10"/>
        <v/>
      </c>
      <c r="BA61" s="301" t="str">
        <f t="shared" si="11"/>
        <v/>
      </c>
      <c r="BB61" s="303">
        <f t="shared" si="25"/>
        <v>0</v>
      </c>
      <c r="BC61" s="303" t="str">
        <f t="shared" si="26"/>
        <v/>
      </c>
      <c r="BD61" s="303" t="str">
        <f t="shared" si="27"/>
        <v/>
      </c>
      <c r="BF61" s="304">
        <f t="shared" si="28"/>
        <v>0</v>
      </c>
      <c r="BG61" s="304">
        <f t="shared" si="29"/>
        <v>0</v>
      </c>
      <c r="BH61" s="304" t="str">
        <f>IF( $B61="", "", IF(ISNA(VLOOKUP($C61, Defesa!$C$8:$C$30,1,FALSE)),1,0))</f>
        <v/>
      </c>
      <c r="BI61" s="305" t="str">
        <f t="shared" si="30"/>
        <v/>
      </c>
      <c r="BJ61" s="305" t="str">
        <f t="shared" si="31"/>
        <v/>
      </c>
      <c r="BK61" s="304" t="str">
        <f t="shared" si="32"/>
        <v/>
      </c>
      <c r="BL61" s="304">
        <f t="shared" si="33"/>
        <v>0</v>
      </c>
      <c r="BM61" s="304" t="str">
        <f>IF($AC61="", "", IF(ISNA(VLOOKUP($AC61, TABELAS!$Q:$Q, 1, FALSE)), 1, 0))</f>
        <v/>
      </c>
      <c r="BN61" s="306" t="str">
        <f t="shared" si="34"/>
        <v/>
      </c>
      <c r="BO61" s="304" t="str">
        <f t="shared" si="35"/>
        <v/>
      </c>
      <c r="BP61" s="304" t="str">
        <f t="shared" si="36"/>
        <v/>
      </c>
      <c r="BQ61" s="305" t="str">
        <f t="shared" si="37"/>
        <v/>
      </c>
      <c r="BR61" s="304" t="str">
        <f t="shared" si="38"/>
        <v/>
      </c>
      <c r="BS61" s="304" t="str">
        <f t="shared" si="39"/>
        <v/>
      </c>
      <c r="BT61" s="304" t="str">
        <f>IF(OR($B61="", $AH61 = "SIM"), "", IF( ISNA(VLOOKUP($AP61,#REF!, 1, FALSE)), 1, 0))</f>
        <v/>
      </c>
      <c r="BU61" s="304" t="str">
        <f t="shared" si="40"/>
        <v/>
      </c>
      <c r="BV61" s="304" t="str">
        <f>IF( $B61="", "", IF( ISNA(VLOOKUP($AN61, TABELAS!$T$2:$T$9,1,FALSE)), 1, 0))</f>
        <v/>
      </c>
      <c r="BW61" s="304" t="str">
        <f t="shared" si="41"/>
        <v/>
      </c>
      <c r="BX61" s="304" t="str">
        <f>IF( OR($B61="", $AH61 = "SIM"), "", IF( ISNA( VLOOKUP( $AQ61, SISTEMA!$B:$B, 1, FALSE)), 1, 0))</f>
        <v/>
      </c>
      <c r="BY61" s="305" t="str">
        <f t="shared" si="42"/>
        <v/>
      </c>
      <c r="BZ61" s="305" t="str">
        <f t="shared" si="43"/>
        <v/>
      </c>
      <c r="CA61" s="304" t="str">
        <f t="shared" si="44"/>
        <v/>
      </c>
      <c r="CB61" s="305" t="str">
        <f t="shared" si="45"/>
        <v/>
      </c>
      <c r="CC61" s="305" t="str">
        <f t="shared" si="46"/>
        <v/>
      </c>
      <c r="CD61" s="305" t="str">
        <f t="shared" si="47"/>
        <v/>
      </c>
    </row>
    <row r="62" spans="1:82" x14ac:dyDescent="0.2">
      <c r="A62" s="235"/>
      <c r="B62" s="236" t="str">
        <f t="shared" si="12"/>
        <v/>
      </c>
      <c r="C62" s="237" t="str">
        <f t="shared" si="2"/>
        <v/>
      </c>
      <c r="D62" s="237" t="str">
        <f t="shared" si="13"/>
        <v/>
      </c>
      <c r="E62" s="237" t="str">
        <f>IF($C62="", "", COUNTIF($M$8:$M62,$D62))</f>
        <v/>
      </c>
      <c r="F62" s="238">
        <v>55</v>
      </c>
      <c r="G62" s="239"/>
      <c r="H62" s="240"/>
      <c r="I62" s="240"/>
      <c r="J62" s="241"/>
      <c r="K62" s="240"/>
      <c r="L62" s="240"/>
      <c r="M62" s="240"/>
      <c r="N62" s="242"/>
      <c r="O62" s="243"/>
      <c r="P62" s="243"/>
      <c r="Q62" s="243"/>
      <c r="R62" s="243"/>
      <c r="S62" s="243"/>
      <c r="T62" s="245"/>
      <c r="U62" s="246" t="str">
        <f>IF($T62="", "", VLOOKUP($T62, CONTRATOS!$B:$E, 2, FALSE))</f>
        <v/>
      </c>
      <c r="V62" s="247">
        <f>IF(OR($T62="",TB_DEFESA!$C$2="Criação Baseline"),0,
   IF(VLOOKUP($T62, CONTRATOS!B:E, 3, FALSE)&lt;&gt;"",1,IF(VLOOKUP($T62, CONTRATOS!B:E, 4, FALSE)&lt;&gt;"",2,0)))</f>
        <v>0</v>
      </c>
      <c r="W62" s="248"/>
      <c r="X62" s="248"/>
      <c r="Y62" s="249"/>
      <c r="Z62" s="250"/>
      <c r="AA62" s="251"/>
      <c r="AB62" s="252"/>
      <c r="AC62" s="253"/>
      <c r="AD62" s="251"/>
      <c r="AE62" s="254" t="str">
        <f t="shared" si="3"/>
        <v/>
      </c>
      <c r="AF62" s="256" t="str">
        <f t="shared" si="14"/>
        <v/>
      </c>
      <c r="AG62" s="293" t="s">
        <v>62</v>
      </c>
      <c r="AH62" s="294" t="str">
        <f t="shared" si="15"/>
        <v/>
      </c>
      <c r="AI62" s="294" t="str">
        <f t="shared" si="16"/>
        <v/>
      </c>
      <c r="AJ62" s="295" t="str">
        <f t="shared" si="17"/>
        <v/>
      </c>
      <c r="AK62" s="296" t="str">
        <f t="shared" si="18"/>
        <v/>
      </c>
      <c r="AL62" s="297" t="str">
        <f t="shared" si="19"/>
        <v/>
      </c>
      <c r="AM62" s="294" t="str">
        <f t="shared" si="20"/>
        <v/>
      </c>
      <c r="AN62" s="294" t="str">
        <f t="shared" si="21"/>
        <v/>
      </c>
      <c r="AO62" s="298" t="str">
        <f t="shared" si="22"/>
        <v/>
      </c>
      <c r="AP62" s="299" t="str">
        <f t="shared" si="23"/>
        <v/>
      </c>
      <c r="AQ62" s="299" t="str">
        <f t="shared" si="24"/>
        <v/>
      </c>
      <c r="AR62" s="300" t="str">
        <f t="shared" si="4"/>
        <v/>
      </c>
      <c r="AS62" s="300" t="str">
        <f t="shared" si="5"/>
        <v/>
      </c>
      <c r="AT62" s="294" t="str">
        <f t="shared" si="6"/>
        <v/>
      </c>
      <c r="AU62" s="301" t="str">
        <f>IF(OR($B62="", $AP62= ""),"",IF(VLOOKUP($AP62, CONTRATOS!B:K,3,FALSE)="","",VLOOKUP($AP62, CONTRATOS!B:K, 3,FALSE)))</f>
        <v/>
      </c>
      <c r="AV62" s="301" t="str">
        <f>IF(OR($B62="", $AP62 = ""), "", IF(VLOOKUP($AP62, CONTRATOS!B:K,4,FALSE)="","",VLOOKUP($AP62, CONTRATOS!B:K,4, FALSE)))</f>
        <v/>
      </c>
      <c r="AW62" s="302" t="str">
        <f t="shared" si="7"/>
        <v/>
      </c>
      <c r="AX62" s="301" t="str">
        <f t="shared" si="8"/>
        <v/>
      </c>
      <c r="AY62" s="301" t="str">
        <f t="shared" si="9"/>
        <v/>
      </c>
      <c r="AZ62" s="301" t="str">
        <f t="shared" si="10"/>
        <v/>
      </c>
      <c r="BA62" s="301" t="str">
        <f t="shared" si="11"/>
        <v/>
      </c>
      <c r="BB62" s="303">
        <f t="shared" si="25"/>
        <v>0</v>
      </c>
      <c r="BC62" s="303" t="str">
        <f t="shared" si="26"/>
        <v/>
      </c>
      <c r="BD62" s="303" t="str">
        <f t="shared" si="27"/>
        <v/>
      </c>
      <c r="BF62" s="304">
        <f t="shared" si="28"/>
        <v>0</v>
      </c>
      <c r="BG62" s="304">
        <f t="shared" si="29"/>
        <v>0</v>
      </c>
      <c r="BH62" s="304" t="str">
        <f>IF( $B62="", "", IF(ISNA(VLOOKUP($C62, Defesa!$C$8:$C$30,1,FALSE)),1,0))</f>
        <v/>
      </c>
      <c r="BI62" s="305" t="str">
        <f t="shared" si="30"/>
        <v/>
      </c>
      <c r="BJ62" s="305" t="str">
        <f t="shared" si="31"/>
        <v/>
      </c>
      <c r="BK62" s="304" t="str">
        <f t="shared" si="32"/>
        <v/>
      </c>
      <c r="BL62" s="304">
        <f t="shared" si="33"/>
        <v>0</v>
      </c>
      <c r="BM62" s="304" t="str">
        <f>IF($AC62="", "", IF(ISNA(VLOOKUP($AC62, TABELAS!$Q:$Q, 1, FALSE)), 1, 0))</f>
        <v/>
      </c>
      <c r="BN62" s="306" t="str">
        <f t="shared" si="34"/>
        <v/>
      </c>
      <c r="BO62" s="304" t="str">
        <f t="shared" si="35"/>
        <v/>
      </c>
      <c r="BP62" s="304" t="str">
        <f t="shared" si="36"/>
        <v/>
      </c>
      <c r="BQ62" s="305" t="str">
        <f t="shared" si="37"/>
        <v/>
      </c>
      <c r="BR62" s="304" t="str">
        <f t="shared" si="38"/>
        <v/>
      </c>
      <c r="BS62" s="304" t="str">
        <f t="shared" si="39"/>
        <v/>
      </c>
      <c r="BT62" s="304" t="str">
        <f>IF(OR($B62="", $AH62 = "SIM"), "", IF( ISNA(VLOOKUP($AP62,#REF!, 1, FALSE)), 1, 0))</f>
        <v/>
      </c>
      <c r="BU62" s="304" t="str">
        <f t="shared" si="40"/>
        <v/>
      </c>
      <c r="BV62" s="304" t="str">
        <f>IF( $B62="", "", IF( ISNA(VLOOKUP($AN62, TABELAS!$T$2:$T$9,1,FALSE)), 1, 0))</f>
        <v/>
      </c>
      <c r="BW62" s="304" t="str">
        <f t="shared" si="41"/>
        <v/>
      </c>
      <c r="BX62" s="304" t="str">
        <f>IF( OR($B62="", $AH62 = "SIM"), "", IF( ISNA( VLOOKUP( $AQ62, SISTEMA!$B:$B, 1, FALSE)), 1, 0))</f>
        <v/>
      </c>
      <c r="BY62" s="305" t="str">
        <f t="shared" si="42"/>
        <v/>
      </c>
      <c r="BZ62" s="305" t="str">
        <f t="shared" si="43"/>
        <v/>
      </c>
      <c r="CA62" s="304" t="str">
        <f t="shared" si="44"/>
        <v/>
      </c>
      <c r="CB62" s="305" t="str">
        <f t="shared" si="45"/>
        <v/>
      </c>
      <c r="CC62" s="305" t="str">
        <f t="shared" si="46"/>
        <v/>
      </c>
      <c r="CD62" s="305" t="str">
        <f t="shared" si="47"/>
        <v/>
      </c>
    </row>
    <row r="63" spans="1:82" x14ac:dyDescent="0.2">
      <c r="A63" s="235"/>
      <c r="B63" s="236" t="str">
        <f t="shared" si="12"/>
        <v/>
      </c>
      <c r="C63" s="237" t="str">
        <f t="shared" si="2"/>
        <v/>
      </c>
      <c r="D63" s="237" t="str">
        <f t="shared" si="13"/>
        <v/>
      </c>
      <c r="E63" s="237" t="str">
        <f>IF($C63="", "", COUNTIF($M$8:$M63,$D63))</f>
        <v/>
      </c>
      <c r="F63" s="238">
        <v>56</v>
      </c>
      <c r="G63" s="239"/>
      <c r="H63" s="240"/>
      <c r="I63" s="240"/>
      <c r="J63" s="241"/>
      <c r="K63" s="240"/>
      <c r="L63" s="240"/>
      <c r="M63" s="240"/>
      <c r="N63" s="242"/>
      <c r="O63" s="243"/>
      <c r="P63" s="243"/>
      <c r="Q63" s="243"/>
      <c r="R63" s="243"/>
      <c r="S63" s="243"/>
      <c r="T63" s="245"/>
      <c r="U63" s="246" t="str">
        <f>IF($T63="", "", VLOOKUP($T63, CONTRATOS!$B:$E, 2, FALSE))</f>
        <v/>
      </c>
      <c r="V63" s="247">
        <f>IF(OR($T63="",TB_DEFESA!$C$2="Criação Baseline"),0,
   IF(VLOOKUP($T63, CONTRATOS!B:E, 3, FALSE)&lt;&gt;"",1,IF(VLOOKUP($T63, CONTRATOS!B:E, 4, FALSE)&lt;&gt;"",2,0)))</f>
        <v>0</v>
      </c>
      <c r="W63" s="248"/>
      <c r="X63" s="248"/>
      <c r="Y63" s="249"/>
      <c r="Z63" s="250"/>
      <c r="AA63" s="251"/>
      <c r="AB63" s="252"/>
      <c r="AC63" s="253"/>
      <c r="AD63" s="251"/>
      <c r="AE63" s="254" t="str">
        <f t="shared" si="3"/>
        <v/>
      </c>
      <c r="AF63" s="256" t="str">
        <f t="shared" si="14"/>
        <v/>
      </c>
      <c r="AG63" s="293" t="s">
        <v>62</v>
      </c>
      <c r="AH63" s="294" t="str">
        <f t="shared" si="15"/>
        <v/>
      </c>
      <c r="AI63" s="294" t="str">
        <f t="shared" si="16"/>
        <v/>
      </c>
      <c r="AJ63" s="295" t="str">
        <f t="shared" si="17"/>
        <v/>
      </c>
      <c r="AK63" s="296" t="str">
        <f t="shared" si="18"/>
        <v/>
      </c>
      <c r="AL63" s="297" t="str">
        <f t="shared" si="19"/>
        <v/>
      </c>
      <c r="AM63" s="294" t="str">
        <f t="shared" si="20"/>
        <v/>
      </c>
      <c r="AN63" s="294" t="str">
        <f t="shared" si="21"/>
        <v/>
      </c>
      <c r="AO63" s="298" t="str">
        <f t="shared" si="22"/>
        <v/>
      </c>
      <c r="AP63" s="299" t="str">
        <f t="shared" si="23"/>
        <v/>
      </c>
      <c r="AQ63" s="299" t="str">
        <f t="shared" si="24"/>
        <v/>
      </c>
      <c r="AR63" s="300" t="str">
        <f t="shared" si="4"/>
        <v/>
      </c>
      <c r="AS63" s="300" t="str">
        <f t="shared" si="5"/>
        <v/>
      </c>
      <c r="AT63" s="294" t="str">
        <f t="shared" si="6"/>
        <v/>
      </c>
      <c r="AU63" s="301" t="str">
        <f>IF(OR($B63="", $AP63= ""),"",IF(VLOOKUP($AP63, CONTRATOS!B:K,3,FALSE)="","",VLOOKUP($AP63, CONTRATOS!B:K, 3,FALSE)))</f>
        <v/>
      </c>
      <c r="AV63" s="301" t="str">
        <f>IF(OR($B63="", $AP63 = ""), "", IF(VLOOKUP($AP63, CONTRATOS!B:K,4,FALSE)="","",VLOOKUP($AP63, CONTRATOS!B:K,4, FALSE)))</f>
        <v/>
      </c>
      <c r="AW63" s="302" t="str">
        <f t="shared" si="7"/>
        <v/>
      </c>
      <c r="AX63" s="301" t="str">
        <f t="shared" si="8"/>
        <v/>
      </c>
      <c r="AY63" s="301" t="str">
        <f t="shared" si="9"/>
        <v/>
      </c>
      <c r="AZ63" s="301" t="str">
        <f t="shared" si="10"/>
        <v/>
      </c>
      <c r="BA63" s="301" t="str">
        <f t="shared" si="11"/>
        <v/>
      </c>
      <c r="BB63" s="303">
        <f t="shared" si="25"/>
        <v>0</v>
      </c>
      <c r="BC63" s="303" t="str">
        <f t="shared" si="26"/>
        <v/>
      </c>
      <c r="BD63" s="303" t="str">
        <f t="shared" si="27"/>
        <v/>
      </c>
      <c r="BF63" s="304">
        <f t="shared" si="28"/>
        <v>0</v>
      </c>
      <c r="BG63" s="304">
        <f t="shared" si="29"/>
        <v>0</v>
      </c>
      <c r="BH63" s="304" t="str">
        <f>IF( $B63="", "", IF(ISNA(VLOOKUP($C63, Defesa!$C$8:$C$30,1,FALSE)),1,0))</f>
        <v/>
      </c>
      <c r="BI63" s="305" t="str">
        <f t="shared" si="30"/>
        <v/>
      </c>
      <c r="BJ63" s="305" t="str">
        <f t="shared" si="31"/>
        <v/>
      </c>
      <c r="BK63" s="304" t="str">
        <f t="shared" si="32"/>
        <v/>
      </c>
      <c r="BL63" s="304">
        <f t="shared" si="33"/>
        <v>0</v>
      </c>
      <c r="BM63" s="304" t="str">
        <f>IF($AC63="", "", IF(ISNA(VLOOKUP($AC63, TABELAS!$Q:$Q, 1, FALSE)), 1, 0))</f>
        <v/>
      </c>
      <c r="BN63" s="306" t="str">
        <f t="shared" si="34"/>
        <v/>
      </c>
      <c r="BO63" s="304" t="str">
        <f t="shared" si="35"/>
        <v/>
      </c>
      <c r="BP63" s="304" t="str">
        <f t="shared" si="36"/>
        <v/>
      </c>
      <c r="BQ63" s="305" t="str">
        <f t="shared" si="37"/>
        <v/>
      </c>
      <c r="BR63" s="304" t="str">
        <f t="shared" si="38"/>
        <v/>
      </c>
      <c r="BS63" s="304" t="str">
        <f t="shared" si="39"/>
        <v/>
      </c>
      <c r="BT63" s="304" t="str">
        <f>IF(OR($B63="", $AH63 = "SIM"), "", IF( ISNA(VLOOKUP($AP63,#REF!, 1, FALSE)), 1, 0))</f>
        <v/>
      </c>
      <c r="BU63" s="304" t="str">
        <f t="shared" si="40"/>
        <v/>
      </c>
      <c r="BV63" s="304" t="str">
        <f>IF( $B63="", "", IF( ISNA(VLOOKUP($AN63, TABELAS!$T$2:$T$9,1,FALSE)), 1, 0))</f>
        <v/>
      </c>
      <c r="BW63" s="304" t="str">
        <f t="shared" si="41"/>
        <v/>
      </c>
      <c r="BX63" s="304" t="str">
        <f>IF( OR($B63="", $AH63 = "SIM"), "", IF( ISNA( VLOOKUP( $AQ63, SISTEMA!$B:$B, 1, FALSE)), 1, 0))</f>
        <v/>
      </c>
      <c r="BY63" s="305" t="str">
        <f t="shared" si="42"/>
        <v/>
      </c>
      <c r="BZ63" s="305" t="str">
        <f t="shared" si="43"/>
        <v/>
      </c>
      <c r="CA63" s="304" t="str">
        <f t="shared" si="44"/>
        <v/>
      </c>
      <c r="CB63" s="305" t="str">
        <f t="shared" si="45"/>
        <v/>
      </c>
      <c r="CC63" s="305" t="str">
        <f t="shared" si="46"/>
        <v/>
      </c>
      <c r="CD63" s="305" t="str">
        <f t="shared" si="47"/>
        <v/>
      </c>
    </row>
    <row r="64" spans="1:82" x14ac:dyDescent="0.2">
      <c r="A64" s="235"/>
      <c r="B64" s="236" t="str">
        <f t="shared" si="12"/>
        <v/>
      </c>
      <c r="C64" s="237" t="str">
        <f t="shared" si="2"/>
        <v/>
      </c>
      <c r="D64" s="237" t="str">
        <f t="shared" si="13"/>
        <v/>
      </c>
      <c r="E64" s="237" t="str">
        <f>IF($C64="", "", COUNTIF($M$8:$M64,$D64))</f>
        <v/>
      </c>
      <c r="F64" s="238">
        <v>57</v>
      </c>
      <c r="G64" s="239"/>
      <c r="H64" s="240"/>
      <c r="I64" s="240"/>
      <c r="J64" s="241"/>
      <c r="K64" s="240"/>
      <c r="L64" s="240"/>
      <c r="M64" s="240"/>
      <c r="N64" s="242"/>
      <c r="O64" s="243"/>
      <c r="P64" s="243"/>
      <c r="Q64" s="243"/>
      <c r="R64" s="243"/>
      <c r="S64" s="243"/>
      <c r="T64" s="245"/>
      <c r="U64" s="246" t="str">
        <f>IF($T64="", "", VLOOKUP($T64, CONTRATOS!$B:$E, 2, FALSE))</f>
        <v/>
      </c>
      <c r="V64" s="247">
        <f>IF(OR($T64="",TB_DEFESA!$C$2="Criação Baseline"),0,
   IF(VLOOKUP($T64, CONTRATOS!B:E, 3, FALSE)&lt;&gt;"",1,IF(VLOOKUP($T64, CONTRATOS!B:E, 4, FALSE)&lt;&gt;"",2,0)))</f>
        <v>0</v>
      </c>
      <c r="W64" s="248"/>
      <c r="X64" s="248"/>
      <c r="Y64" s="249"/>
      <c r="Z64" s="250"/>
      <c r="AA64" s="251"/>
      <c r="AB64" s="252"/>
      <c r="AC64" s="253"/>
      <c r="AD64" s="251"/>
      <c r="AE64" s="254" t="str">
        <f t="shared" si="3"/>
        <v/>
      </c>
      <c r="AF64" s="256" t="str">
        <f t="shared" si="14"/>
        <v/>
      </c>
      <c r="AG64" s="293" t="s">
        <v>62</v>
      </c>
      <c r="AH64" s="294" t="str">
        <f t="shared" si="15"/>
        <v/>
      </c>
      <c r="AI64" s="294" t="str">
        <f t="shared" si="16"/>
        <v/>
      </c>
      <c r="AJ64" s="295" t="str">
        <f t="shared" si="17"/>
        <v/>
      </c>
      <c r="AK64" s="296" t="str">
        <f t="shared" si="18"/>
        <v/>
      </c>
      <c r="AL64" s="297" t="str">
        <f t="shared" si="19"/>
        <v/>
      </c>
      <c r="AM64" s="294" t="str">
        <f t="shared" si="20"/>
        <v/>
      </c>
      <c r="AN64" s="294" t="str">
        <f t="shared" si="21"/>
        <v/>
      </c>
      <c r="AO64" s="298" t="str">
        <f t="shared" si="22"/>
        <v/>
      </c>
      <c r="AP64" s="299" t="str">
        <f t="shared" si="23"/>
        <v/>
      </c>
      <c r="AQ64" s="299" t="str">
        <f t="shared" si="24"/>
        <v/>
      </c>
      <c r="AR64" s="300" t="str">
        <f t="shared" si="4"/>
        <v/>
      </c>
      <c r="AS64" s="300" t="str">
        <f t="shared" si="5"/>
        <v/>
      </c>
      <c r="AT64" s="294" t="str">
        <f t="shared" si="6"/>
        <v/>
      </c>
      <c r="AU64" s="301" t="str">
        <f>IF(OR($B64="", $AP64= ""),"",IF(VLOOKUP($AP64, CONTRATOS!B:K,3,FALSE)="","",VLOOKUP($AP64, CONTRATOS!B:K, 3,FALSE)))</f>
        <v/>
      </c>
      <c r="AV64" s="301" t="str">
        <f>IF(OR($B64="", $AP64 = ""), "", IF(VLOOKUP($AP64, CONTRATOS!B:K,4,FALSE)="","",VLOOKUP($AP64, CONTRATOS!B:K,4, FALSE)))</f>
        <v/>
      </c>
      <c r="AW64" s="302" t="str">
        <f t="shared" si="7"/>
        <v/>
      </c>
      <c r="AX64" s="301" t="str">
        <f t="shared" si="8"/>
        <v/>
      </c>
      <c r="AY64" s="301" t="str">
        <f t="shared" si="9"/>
        <v/>
      </c>
      <c r="AZ64" s="301" t="str">
        <f t="shared" si="10"/>
        <v/>
      </c>
      <c r="BA64" s="301" t="str">
        <f t="shared" si="11"/>
        <v/>
      </c>
      <c r="BB64" s="303">
        <f t="shared" si="25"/>
        <v>0</v>
      </c>
      <c r="BC64" s="303" t="str">
        <f t="shared" si="26"/>
        <v/>
      </c>
      <c r="BD64" s="303" t="str">
        <f t="shared" si="27"/>
        <v/>
      </c>
      <c r="BF64" s="304">
        <f t="shared" si="28"/>
        <v>0</v>
      </c>
      <c r="BG64" s="304">
        <f t="shared" si="29"/>
        <v>0</v>
      </c>
      <c r="BH64" s="304" t="str">
        <f>IF( $B64="", "", IF(ISNA(VLOOKUP($C64, Defesa!$C$8:$C$30,1,FALSE)),1,0))</f>
        <v/>
      </c>
      <c r="BI64" s="305" t="str">
        <f t="shared" si="30"/>
        <v/>
      </c>
      <c r="BJ64" s="305" t="str">
        <f t="shared" si="31"/>
        <v/>
      </c>
      <c r="BK64" s="304" t="str">
        <f t="shared" si="32"/>
        <v/>
      </c>
      <c r="BL64" s="304">
        <f t="shared" si="33"/>
        <v>0</v>
      </c>
      <c r="BM64" s="304" t="str">
        <f>IF($AC64="", "", IF(ISNA(VLOOKUP($AC64, TABELAS!$Q:$Q, 1, FALSE)), 1, 0))</f>
        <v/>
      </c>
      <c r="BN64" s="306" t="str">
        <f t="shared" si="34"/>
        <v/>
      </c>
      <c r="BO64" s="304" t="str">
        <f t="shared" si="35"/>
        <v/>
      </c>
      <c r="BP64" s="304" t="str">
        <f t="shared" si="36"/>
        <v/>
      </c>
      <c r="BQ64" s="305" t="str">
        <f t="shared" si="37"/>
        <v/>
      </c>
      <c r="BR64" s="304" t="str">
        <f t="shared" si="38"/>
        <v/>
      </c>
      <c r="BS64" s="304" t="str">
        <f t="shared" si="39"/>
        <v/>
      </c>
      <c r="BT64" s="304" t="str">
        <f>IF(OR($B64="", $AH64 = "SIM"), "", IF( ISNA(VLOOKUP($AP64,#REF!, 1, FALSE)), 1, 0))</f>
        <v/>
      </c>
      <c r="BU64" s="304" t="str">
        <f t="shared" si="40"/>
        <v/>
      </c>
      <c r="BV64" s="304" t="str">
        <f>IF( $B64="", "", IF( ISNA(VLOOKUP($AN64, TABELAS!$T$2:$T$9,1,FALSE)), 1, 0))</f>
        <v/>
      </c>
      <c r="BW64" s="304" t="str">
        <f t="shared" si="41"/>
        <v/>
      </c>
      <c r="BX64" s="304" t="str">
        <f>IF( OR($B64="", $AH64 = "SIM"), "", IF( ISNA( VLOOKUP( $AQ64, SISTEMA!$B:$B, 1, FALSE)), 1, 0))</f>
        <v/>
      </c>
      <c r="BY64" s="305" t="str">
        <f t="shared" si="42"/>
        <v/>
      </c>
      <c r="BZ64" s="305" t="str">
        <f t="shared" si="43"/>
        <v/>
      </c>
      <c r="CA64" s="304" t="str">
        <f t="shared" si="44"/>
        <v/>
      </c>
      <c r="CB64" s="305" t="str">
        <f t="shared" si="45"/>
        <v/>
      </c>
      <c r="CC64" s="305" t="str">
        <f t="shared" si="46"/>
        <v/>
      </c>
      <c r="CD64" s="305" t="str">
        <f t="shared" si="47"/>
        <v/>
      </c>
    </row>
    <row r="65" spans="1:82" x14ac:dyDescent="0.2">
      <c r="A65" s="235"/>
      <c r="B65" s="236" t="str">
        <f t="shared" si="12"/>
        <v/>
      </c>
      <c r="C65" s="237" t="str">
        <f t="shared" si="2"/>
        <v/>
      </c>
      <c r="D65" s="237" t="str">
        <f t="shared" si="13"/>
        <v/>
      </c>
      <c r="E65" s="237" t="str">
        <f>IF($C65="", "", COUNTIF($M$8:$M65,$D65))</f>
        <v/>
      </c>
      <c r="F65" s="238">
        <v>58</v>
      </c>
      <c r="G65" s="239"/>
      <c r="H65" s="240"/>
      <c r="I65" s="240"/>
      <c r="J65" s="241"/>
      <c r="K65" s="240"/>
      <c r="L65" s="240"/>
      <c r="M65" s="240"/>
      <c r="N65" s="242"/>
      <c r="O65" s="243"/>
      <c r="P65" s="243"/>
      <c r="Q65" s="243"/>
      <c r="R65" s="243"/>
      <c r="S65" s="243"/>
      <c r="T65" s="245"/>
      <c r="U65" s="246" t="str">
        <f>IF($T65="", "", VLOOKUP($T65, CONTRATOS!$B:$E, 2, FALSE))</f>
        <v/>
      </c>
      <c r="V65" s="247">
        <f>IF(OR($T65="",TB_DEFESA!$C$2="Criação Baseline"),0,
   IF(VLOOKUP($T65, CONTRATOS!B:E, 3, FALSE)&lt;&gt;"",1,IF(VLOOKUP($T65, CONTRATOS!B:E, 4, FALSE)&lt;&gt;"",2,0)))</f>
        <v>0</v>
      </c>
      <c r="W65" s="248"/>
      <c r="X65" s="248"/>
      <c r="Y65" s="249"/>
      <c r="Z65" s="250"/>
      <c r="AA65" s="251"/>
      <c r="AB65" s="252"/>
      <c r="AC65" s="253"/>
      <c r="AD65" s="251"/>
      <c r="AE65" s="254" t="str">
        <f t="shared" si="3"/>
        <v/>
      </c>
      <c r="AF65" s="256" t="str">
        <f t="shared" si="14"/>
        <v/>
      </c>
      <c r="AG65" s="293" t="s">
        <v>62</v>
      </c>
      <c r="AH65" s="294" t="str">
        <f t="shared" si="15"/>
        <v/>
      </c>
      <c r="AI65" s="294" t="str">
        <f t="shared" si="16"/>
        <v/>
      </c>
      <c r="AJ65" s="295" t="str">
        <f t="shared" si="17"/>
        <v/>
      </c>
      <c r="AK65" s="296" t="str">
        <f t="shared" si="18"/>
        <v/>
      </c>
      <c r="AL65" s="297" t="str">
        <f t="shared" si="19"/>
        <v/>
      </c>
      <c r="AM65" s="294" t="str">
        <f t="shared" si="20"/>
        <v/>
      </c>
      <c r="AN65" s="294" t="str">
        <f t="shared" si="21"/>
        <v/>
      </c>
      <c r="AO65" s="298" t="str">
        <f t="shared" si="22"/>
        <v/>
      </c>
      <c r="AP65" s="299" t="str">
        <f t="shared" si="23"/>
        <v/>
      </c>
      <c r="AQ65" s="299" t="str">
        <f t="shared" si="24"/>
        <v/>
      </c>
      <c r="AR65" s="300" t="str">
        <f t="shared" si="4"/>
        <v/>
      </c>
      <c r="AS65" s="300" t="str">
        <f t="shared" si="5"/>
        <v/>
      </c>
      <c r="AT65" s="294" t="str">
        <f t="shared" si="6"/>
        <v/>
      </c>
      <c r="AU65" s="301" t="str">
        <f>IF(OR($B65="", $AP65= ""),"",IF(VLOOKUP($AP65, CONTRATOS!B:K,3,FALSE)="","",VLOOKUP($AP65, CONTRATOS!B:K, 3,FALSE)))</f>
        <v/>
      </c>
      <c r="AV65" s="301" t="str">
        <f>IF(OR($B65="", $AP65 = ""), "", IF(VLOOKUP($AP65, CONTRATOS!B:K,4,FALSE)="","",VLOOKUP($AP65, CONTRATOS!B:K,4, FALSE)))</f>
        <v/>
      </c>
      <c r="AW65" s="302" t="str">
        <f t="shared" si="7"/>
        <v/>
      </c>
      <c r="AX65" s="301" t="str">
        <f t="shared" si="8"/>
        <v/>
      </c>
      <c r="AY65" s="301" t="str">
        <f t="shared" si="9"/>
        <v/>
      </c>
      <c r="AZ65" s="301" t="str">
        <f t="shared" si="10"/>
        <v/>
      </c>
      <c r="BA65" s="301" t="str">
        <f t="shared" si="11"/>
        <v/>
      </c>
      <c r="BB65" s="303">
        <f t="shared" si="25"/>
        <v>0</v>
      </c>
      <c r="BC65" s="303" t="str">
        <f t="shared" si="26"/>
        <v/>
      </c>
      <c r="BD65" s="303" t="str">
        <f t="shared" si="27"/>
        <v/>
      </c>
      <c r="BF65" s="304">
        <f t="shared" si="28"/>
        <v>0</v>
      </c>
      <c r="BG65" s="304">
        <f t="shared" si="29"/>
        <v>0</v>
      </c>
      <c r="BH65" s="304" t="str">
        <f>IF( $B65="", "", IF(ISNA(VLOOKUP($C65, Defesa!$C$8:$C$30,1,FALSE)),1,0))</f>
        <v/>
      </c>
      <c r="BI65" s="305" t="str">
        <f t="shared" si="30"/>
        <v/>
      </c>
      <c r="BJ65" s="305" t="str">
        <f t="shared" si="31"/>
        <v/>
      </c>
      <c r="BK65" s="304" t="str">
        <f t="shared" si="32"/>
        <v/>
      </c>
      <c r="BL65" s="304">
        <f t="shared" si="33"/>
        <v>0</v>
      </c>
      <c r="BM65" s="304" t="str">
        <f>IF($AC65="", "", IF(ISNA(VLOOKUP($AC65, TABELAS!$Q:$Q, 1, FALSE)), 1, 0))</f>
        <v/>
      </c>
      <c r="BN65" s="306" t="str">
        <f t="shared" si="34"/>
        <v/>
      </c>
      <c r="BO65" s="304" t="str">
        <f t="shared" si="35"/>
        <v/>
      </c>
      <c r="BP65" s="304" t="str">
        <f t="shared" si="36"/>
        <v/>
      </c>
      <c r="BQ65" s="305" t="str">
        <f t="shared" si="37"/>
        <v/>
      </c>
      <c r="BR65" s="304" t="str">
        <f t="shared" si="38"/>
        <v/>
      </c>
      <c r="BS65" s="304" t="str">
        <f t="shared" si="39"/>
        <v/>
      </c>
      <c r="BT65" s="304" t="str">
        <f>IF(OR($B65="", $AH65 = "SIM"), "", IF( ISNA(VLOOKUP($AP65,#REF!, 1, FALSE)), 1, 0))</f>
        <v/>
      </c>
      <c r="BU65" s="304" t="str">
        <f t="shared" si="40"/>
        <v/>
      </c>
      <c r="BV65" s="304" t="str">
        <f>IF( $B65="", "", IF( ISNA(VLOOKUP($AN65, TABELAS!$T$2:$T$9,1,FALSE)), 1, 0))</f>
        <v/>
      </c>
      <c r="BW65" s="304" t="str">
        <f t="shared" si="41"/>
        <v/>
      </c>
      <c r="BX65" s="304" t="str">
        <f>IF( OR($B65="", $AH65 = "SIM"), "", IF( ISNA( VLOOKUP( $AQ65, SISTEMA!$B:$B, 1, FALSE)), 1, 0))</f>
        <v/>
      </c>
      <c r="BY65" s="305" t="str">
        <f t="shared" si="42"/>
        <v/>
      </c>
      <c r="BZ65" s="305" t="str">
        <f t="shared" si="43"/>
        <v/>
      </c>
      <c r="CA65" s="304" t="str">
        <f t="shared" si="44"/>
        <v/>
      </c>
      <c r="CB65" s="305" t="str">
        <f t="shared" si="45"/>
        <v/>
      </c>
      <c r="CC65" s="305" t="str">
        <f t="shared" si="46"/>
        <v/>
      </c>
      <c r="CD65" s="305" t="str">
        <f t="shared" si="47"/>
        <v/>
      </c>
    </row>
    <row r="66" spans="1:82" x14ac:dyDescent="0.2">
      <c r="A66" s="235"/>
      <c r="B66" s="236" t="str">
        <f t="shared" si="12"/>
        <v/>
      </c>
      <c r="C66" s="237" t="str">
        <f t="shared" si="2"/>
        <v/>
      </c>
      <c r="D66" s="237" t="str">
        <f t="shared" si="13"/>
        <v/>
      </c>
      <c r="E66" s="237" t="str">
        <f>IF($C66="", "", COUNTIF($M$8:$M66,$D66))</f>
        <v/>
      </c>
      <c r="F66" s="238">
        <v>59</v>
      </c>
      <c r="G66" s="239"/>
      <c r="H66" s="240"/>
      <c r="I66" s="240"/>
      <c r="J66" s="241"/>
      <c r="K66" s="240"/>
      <c r="L66" s="240"/>
      <c r="M66" s="240"/>
      <c r="N66" s="242"/>
      <c r="O66" s="243"/>
      <c r="P66" s="243"/>
      <c r="Q66" s="243"/>
      <c r="R66" s="243"/>
      <c r="S66" s="243"/>
      <c r="T66" s="245"/>
      <c r="U66" s="246" t="str">
        <f>IF($T66="", "", VLOOKUP($T66, CONTRATOS!$B:$E, 2, FALSE))</f>
        <v/>
      </c>
      <c r="V66" s="247">
        <f>IF(OR($T66="",TB_DEFESA!$C$2="Criação Baseline"),0,
   IF(VLOOKUP($T66, CONTRATOS!B:E, 3, FALSE)&lt;&gt;"",1,IF(VLOOKUP($T66, CONTRATOS!B:E, 4, FALSE)&lt;&gt;"",2,0)))</f>
        <v>0</v>
      </c>
      <c r="W66" s="248"/>
      <c r="X66" s="248"/>
      <c r="Y66" s="249"/>
      <c r="Z66" s="250"/>
      <c r="AA66" s="251"/>
      <c r="AB66" s="252"/>
      <c r="AC66" s="253"/>
      <c r="AD66" s="251"/>
      <c r="AE66" s="254" t="str">
        <f t="shared" si="3"/>
        <v/>
      </c>
      <c r="AF66" s="256" t="str">
        <f t="shared" si="14"/>
        <v/>
      </c>
      <c r="AG66" s="293" t="s">
        <v>62</v>
      </c>
      <c r="AH66" s="294" t="str">
        <f t="shared" si="15"/>
        <v/>
      </c>
      <c r="AI66" s="294" t="str">
        <f t="shared" si="16"/>
        <v/>
      </c>
      <c r="AJ66" s="295" t="str">
        <f t="shared" si="17"/>
        <v/>
      </c>
      <c r="AK66" s="296" t="str">
        <f t="shared" si="18"/>
        <v/>
      </c>
      <c r="AL66" s="297" t="str">
        <f t="shared" si="19"/>
        <v/>
      </c>
      <c r="AM66" s="294" t="str">
        <f t="shared" si="20"/>
        <v/>
      </c>
      <c r="AN66" s="294" t="str">
        <f t="shared" si="21"/>
        <v/>
      </c>
      <c r="AO66" s="298" t="str">
        <f t="shared" si="22"/>
        <v/>
      </c>
      <c r="AP66" s="299" t="str">
        <f t="shared" si="23"/>
        <v/>
      </c>
      <c r="AQ66" s="299" t="str">
        <f t="shared" si="24"/>
        <v/>
      </c>
      <c r="AR66" s="300" t="str">
        <f t="shared" si="4"/>
        <v/>
      </c>
      <c r="AS66" s="300" t="str">
        <f t="shared" si="5"/>
        <v/>
      </c>
      <c r="AT66" s="294" t="str">
        <f t="shared" si="6"/>
        <v/>
      </c>
      <c r="AU66" s="301" t="str">
        <f>IF(OR($B66="", $AP66= ""),"",IF(VLOOKUP($AP66, CONTRATOS!B:K,3,FALSE)="","",VLOOKUP($AP66, CONTRATOS!B:K, 3,FALSE)))</f>
        <v/>
      </c>
      <c r="AV66" s="301" t="str">
        <f>IF(OR($B66="", $AP66 = ""), "", IF(VLOOKUP($AP66, CONTRATOS!B:K,4,FALSE)="","",VLOOKUP($AP66, CONTRATOS!B:K,4, FALSE)))</f>
        <v/>
      </c>
      <c r="AW66" s="302" t="str">
        <f t="shared" si="7"/>
        <v/>
      </c>
      <c r="AX66" s="301" t="str">
        <f t="shared" si="8"/>
        <v/>
      </c>
      <c r="AY66" s="301" t="str">
        <f t="shared" si="9"/>
        <v/>
      </c>
      <c r="AZ66" s="301" t="str">
        <f t="shared" si="10"/>
        <v/>
      </c>
      <c r="BA66" s="301" t="str">
        <f t="shared" si="11"/>
        <v/>
      </c>
      <c r="BB66" s="303">
        <f t="shared" si="25"/>
        <v>0</v>
      </c>
      <c r="BC66" s="303" t="str">
        <f t="shared" si="26"/>
        <v/>
      </c>
      <c r="BD66" s="303" t="str">
        <f t="shared" si="27"/>
        <v/>
      </c>
      <c r="BF66" s="304">
        <f t="shared" si="28"/>
        <v>0</v>
      </c>
      <c r="BG66" s="304">
        <f t="shared" si="29"/>
        <v>0</v>
      </c>
      <c r="BH66" s="304" t="str">
        <f>IF( $B66="", "", IF(ISNA(VLOOKUP($C66, Defesa!$C$8:$C$30,1,FALSE)),1,0))</f>
        <v/>
      </c>
      <c r="BI66" s="305" t="str">
        <f t="shared" si="30"/>
        <v/>
      </c>
      <c r="BJ66" s="305" t="str">
        <f t="shared" si="31"/>
        <v/>
      </c>
      <c r="BK66" s="304" t="str">
        <f t="shared" si="32"/>
        <v/>
      </c>
      <c r="BL66" s="304">
        <f t="shared" si="33"/>
        <v>0</v>
      </c>
      <c r="BM66" s="304" t="str">
        <f>IF($AC66="", "", IF(ISNA(VLOOKUP($AC66, TABELAS!$Q:$Q, 1, FALSE)), 1, 0))</f>
        <v/>
      </c>
      <c r="BN66" s="306" t="str">
        <f t="shared" si="34"/>
        <v/>
      </c>
      <c r="BO66" s="304" t="str">
        <f t="shared" si="35"/>
        <v/>
      </c>
      <c r="BP66" s="304" t="str">
        <f t="shared" si="36"/>
        <v/>
      </c>
      <c r="BQ66" s="305" t="str">
        <f t="shared" si="37"/>
        <v/>
      </c>
      <c r="BR66" s="304" t="str">
        <f t="shared" si="38"/>
        <v/>
      </c>
      <c r="BS66" s="304" t="str">
        <f t="shared" si="39"/>
        <v/>
      </c>
      <c r="BT66" s="304" t="str">
        <f>IF(OR($B66="", $AH66 = "SIM"), "", IF( ISNA(VLOOKUP($AP66,#REF!, 1, FALSE)), 1, 0))</f>
        <v/>
      </c>
      <c r="BU66" s="304" t="str">
        <f t="shared" si="40"/>
        <v/>
      </c>
      <c r="BV66" s="304" t="str">
        <f>IF( $B66="", "", IF( ISNA(VLOOKUP($AN66, TABELAS!$T$2:$T$9,1,FALSE)), 1, 0))</f>
        <v/>
      </c>
      <c r="BW66" s="304" t="str">
        <f t="shared" si="41"/>
        <v/>
      </c>
      <c r="BX66" s="304" t="str">
        <f>IF( OR($B66="", $AH66 = "SIM"), "", IF( ISNA( VLOOKUP( $AQ66, SISTEMA!$B:$B, 1, FALSE)), 1, 0))</f>
        <v/>
      </c>
      <c r="BY66" s="305" t="str">
        <f t="shared" si="42"/>
        <v/>
      </c>
      <c r="BZ66" s="305" t="str">
        <f t="shared" si="43"/>
        <v/>
      </c>
      <c r="CA66" s="304" t="str">
        <f t="shared" si="44"/>
        <v/>
      </c>
      <c r="CB66" s="305" t="str">
        <f t="shared" si="45"/>
        <v/>
      </c>
      <c r="CC66" s="305" t="str">
        <f t="shared" si="46"/>
        <v/>
      </c>
      <c r="CD66" s="305" t="str">
        <f t="shared" si="47"/>
        <v/>
      </c>
    </row>
    <row r="67" spans="1:82" x14ac:dyDescent="0.2">
      <c r="A67" s="235"/>
      <c r="B67" s="236" t="str">
        <f t="shared" si="12"/>
        <v/>
      </c>
      <c r="C67" s="237" t="str">
        <f t="shared" si="2"/>
        <v/>
      </c>
      <c r="D67" s="237" t="str">
        <f t="shared" si="13"/>
        <v/>
      </c>
      <c r="E67" s="237" t="str">
        <f>IF($C67="", "", COUNTIF($M$8:$M67,$D67))</f>
        <v/>
      </c>
      <c r="F67" s="238">
        <v>60</v>
      </c>
      <c r="G67" s="239"/>
      <c r="H67" s="240"/>
      <c r="I67" s="240"/>
      <c r="J67" s="241"/>
      <c r="K67" s="240"/>
      <c r="L67" s="240"/>
      <c r="M67" s="240"/>
      <c r="N67" s="242"/>
      <c r="O67" s="243"/>
      <c r="P67" s="243"/>
      <c r="Q67" s="243"/>
      <c r="R67" s="243"/>
      <c r="S67" s="243"/>
      <c r="T67" s="245"/>
      <c r="U67" s="246" t="str">
        <f>IF($T67="", "", VLOOKUP($T67, CONTRATOS!$B:$E, 2, FALSE))</f>
        <v/>
      </c>
      <c r="V67" s="247">
        <f>IF(OR($T67="",TB_DEFESA!$C$2="Criação Baseline"),0,
   IF(VLOOKUP($T67, CONTRATOS!B:E, 3, FALSE)&lt;&gt;"",1,IF(VLOOKUP($T67, CONTRATOS!B:E, 4, FALSE)&lt;&gt;"",2,0)))</f>
        <v>0</v>
      </c>
      <c r="W67" s="248"/>
      <c r="X67" s="248"/>
      <c r="Y67" s="249"/>
      <c r="Z67" s="250"/>
      <c r="AA67" s="251"/>
      <c r="AB67" s="252"/>
      <c r="AC67" s="253"/>
      <c r="AD67" s="251"/>
      <c r="AE67" s="254" t="str">
        <f t="shared" si="3"/>
        <v/>
      </c>
      <c r="AF67" s="256" t="str">
        <f t="shared" si="14"/>
        <v/>
      </c>
      <c r="AG67" s="293" t="s">
        <v>62</v>
      </c>
      <c r="AH67" s="294" t="str">
        <f t="shared" si="15"/>
        <v/>
      </c>
      <c r="AI67" s="294" t="str">
        <f t="shared" si="16"/>
        <v/>
      </c>
      <c r="AJ67" s="295" t="str">
        <f t="shared" si="17"/>
        <v/>
      </c>
      <c r="AK67" s="296" t="str">
        <f t="shared" si="18"/>
        <v/>
      </c>
      <c r="AL67" s="297" t="str">
        <f t="shared" si="19"/>
        <v/>
      </c>
      <c r="AM67" s="294" t="str">
        <f t="shared" si="20"/>
        <v/>
      </c>
      <c r="AN67" s="294" t="str">
        <f t="shared" si="21"/>
        <v/>
      </c>
      <c r="AO67" s="298" t="str">
        <f t="shared" si="22"/>
        <v/>
      </c>
      <c r="AP67" s="299" t="str">
        <f t="shared" si="23"/>
        <v/>
      </c>
      <c r="AQ67" s="299" t="str">
        <f t="shared" si="24"/>
        <v/>
      </c>
      <c r="AR67" s="300" t="str">
        <f t="shared" si="4"/>
        <v/>
      </c>
      <c r="AS67" s="300" t="str">
        <f t="shared" si="5"/>
        <v/>
      </c>
      <c r="AT67" s="294" t="str">
        <f t="shared" si="6"/>
        <v/>
      </c>
      <c r="AU67" s="301" t="str">
        <f>IF(OR($B67="", $AP67= ""),"",IF(VLOOKUP($AP67, CONTRATOS!B:K,3,FALSE)="","",VLOOKUP($AP67, CONTRATOS!B:K, 3,FALSE)))</f>
        <v/>
      </c>
      <c r="AV67" s="301" t="str">
        <f>IF(OR($B67="", $AP67 = ""), "", IF(VLOOKUP($AP67, CONTRATOS!B:K,4,FALSE)="","",VLOOKUP($AP67, CONTRATOS!B:K,4, FALSE)))</f>
        <v/>
      </c>
      <c r="AW67" s="302" t="str">
        <f t="shared" si="7"/>
        <v/>
      </c>
      <c r="AX67" s="301" t="str">
        <f t="shared" si="8"/>
        <v/>
      </c>
      <c r="AY67" s="301" t="str">
        <f t="shared" si="9"/>
        <v/>
      </c>
      <c r="AZ67" s="301" t="str">
        <f t="shared" si="10"/>
        <v/>
      </c>
      <c r="BA67" s="301" t="str">
        <f t="shared" si="11"/>
        <v/>
      </c>
      <c r="BB67" s="303">
        <f t="shared" si="25"/>
        <v>0</v>
      </c>
      <c r="BC67" s="303" t="str">
        <f t="shared" si="26"/>
        <v/>
      </c>
      <c r="BD67" s="303" t="str">
        <f t="shared" si="27"/>
        <v/>
      </c>
      <c r="BF67" s="304">
        <f t="shared" si="28"/>
        <v>0</v>
      </c>
      <c r="BG67" s="304">
        <f t="shared" si="29"/>
        <v>0</v>
      </c>
      <c r="BH67" s="304" t="str">
        <f>IF( $B67="", "", IF(ISNA(VLOOKUP($C67, Defesa!$C$8:$C$30,1,FALSE)),1,0))</f>
        <v/>
      </c>
      <c r="BI67" s="305" t="str">
        <f t="shared" si="30"/>
        <v/>
      </c>
      <c r="BJ67" s="305" t="str">
        <f t="shared" si="31"/>
        <v/>
      </c>
      <c r="BK67" s="304" t="str">
        <f t="shared" si="32"/>
        <v/>
      </c>
      <c r="BL67" s="304">
        <f t="shared" si="33"/>
        <v>0</v>
      </c>
      <c r="BM67" s="304" t="str">
        <f>IF($AC67="", "", IF(ISNA(VLOOKUP($AC67, TABELAS!$Q:$Q, 1, FALSE)), 1, 0))</f>
        <v/>
      </c>
      <c r="BN67" s="306" t="str">
        <f t="shared" si="34"/>
        <v/>
      </c>
      <c r="BO67" s="304" t="str">
        <f t="shared" si="35"/>
        <v/>
      </c>
      <c r="BP67" s="304" t="str">
        <f t="shared" si="36"/>
        <v/>
      </c>
      <c r="BQ67" s="305" t="str">
        <f t="shared" si="37"/>
        <v/>
      </c>
      <c r="BR67" s="304" t="str">
        <f t="shared" si="38"/>
        <v/>
      </c>
      <c r="BS67" s="304" t="str">
        <f t="shared" si="39"/>
        <v/>
      </c>
      <c r="BT67" s="304" t="str">
        <f>IF(OR($B67="", $AH67 = "SIM"), "", IF( ISNA(VLOOKUP($AP67,#REF!, 1, FALSE)), 1, 0))</f>
        <v/>
      </c>
      <c r="BU67" s="304" t="str">
        <f t="shared" si="40"/>
        <v/>
      </c>
      <c r="BV67" s="304" t="str">
        <f>IF( $B67="", "", IF( ISNA(VLOOKUP($AN67, TABELAS!$T$2:$T$9,1,FALSE)), 1, 0))</f>
        <v/>
      </c>
      <c r="BW67" s="304" t="str">
        <f t="shared" si="41"/>
        <v/>
      </c>
      <c r="BX67" s="304" t="str">
        <f>IF( OR($B67="", $AH67 = "SIM"), "", IF( ISNA( VLOOKUP( $AQ67, SISTEMA!$B:$B, 1, FALSE)), 1, 0))</f>
        <v/>
      </c>
      <c r="BY67" s="305" t="str">
        <f t="shared" si="42"/>
        <v/>
      </c>
      <c r="BZ67" s="305" t="str">
        <f t="shared" si="43"/>
        <v/>
      </c>
      <c r="CA67" s="304" t="str">
        <f t="shared" si="44"/>
        <v/>
      </c>
      <c r="CB67" s="305" t="str">
        <f t="shared" si="45"/>
        <v/>
      </c>
      <c r="CC67" s="305" t="str">
        <f t="shared" si="46"/>
        <v/>
      </c>
      <c r="CD67" s="305" t="str">
        <f t="shared" si="47"/>
        <v/>
      </c>
    </row>
    <row r="68" spans="1:82" x14ac:dyDescent="0.2">
      <c r="A68" s="235"/>
      <c r="B68" s="236" t="str">
        <f t="shared" si="12"/>
        <v/>
      </c>
      <c r="C68" s="237" t="str">
        <f t="shared" si="2"/>
        <v/>
      </c>
      <c r="D68" s="237" t="str">
        <f t="shared" si="13"/>
        <v/>
      </c>
      <c r="E68" s="237" t="str">
        <f>IF($C68="", "", COUNTIF($M$8:$M68,$D68))</f>
        <v/>
      </c>
      <c r="F68" s="238">
        <v>61</v>
      </c>
      <c r="G68" s="239"/>
      <c r="H68" s="240"/>
      <c r="I68" s="240"/>
      <c r="J68" s="241"/>
      <c r="K68" s="240"/>
      <c r="L68" s="240"/>
      <c r="M68" s="240"/>
      <c r="N68" s="242"/>
      <c r="O68" s="243"/>
      <c r="P68" s="243"/>
      <c r="Q68" s="243"/>
      <c r="R68" s="243"/>
      <c r="S68" s="243"/>
      <c r="T68" s="245"/>
      <c r="U68" s="246" t="str">
        <f>IF($T68="", "", VLOOKUP($T68, CONTRATOS!$B:$E, 2, FALSE))</f>
        <v/>
      </c>
      <c r="V68" s="247">
        <f>IF(OR($T68="",TB_DEFESA!$C$2="Criação Baseline"),0,
   IF(VLOOKUP($T68, CONTRATOS!B:E, 3, FALSE)&lt;&gt;"",1,IF(VLOOKUP($T68, CONTRATOS!B:E, 4, FALSE)&lt;&gt;"",2,0)))</f>
        <v>0</v>
      </c>
      <c r="W68" s="248"/>
      <c r="X68" s="248"/>
      <c r="Y68" s="249"/>
      <c r="Z68" s="250"/>
      <c r="AA68" s="251"/>
      <c r="AB68" s="252"/>
      <c r="AC68" s="253"/>
      <c r="AD68" s="251"/>
      <c r="AE68" s="254" t="str">
        <f t="shared" si="3"/>
        <v/>
      </c>
      <c r="AF68" s="256" t="str">
        <f t="shared" si="14"/>
        <v/>
      </c>
      <c r="AG68" s="293" t="s">
        <v>62</v>
      </c>
      <c r="AH68" s="294" t="str">
        <f t="shared" si="15"/>
        <v/>
      </c>
      <c r="AI68" s="294" t="str">
        <f t="shared" si="16"/>
        <v/>
      </c>
      <c r="AJ68" s="295" t="str">
        <f t="shared" si="17"/>
        <v/>
      </c>
      <c r="AK68" s="296" t="str">
        <f t="shared" si="18"/>
        <v/>
      </c>
      <c r="AL68" s="297" t="str">
        <f t="shared" si="19"/>
        <v/>
      </c>
      <c r="AM68" s="294" t="str">
        <f t="shared" si="20"/>
        <v/>
      </c>
      <c r="AN68" s="294" t="str">
        <f t="shared" si="21"/>
        <v/>
      </c>
      <c r="AO68" s="298" t="str">
        <f t="shared" si="22"/>
        <v/>
      </c>
      <c r="AP68" s="299" t="str">
        <f t="shared" si="23"/>
        <v/>
      </c>
      <c r="AQ68" s="299" t="str">
        <f t="shared" si="24"/>
        <v/>
      </c>
      <c r="AR68" s="300" t="str">
        <f t="shared" si="4"/>
        <v/>
      </c>
      <c r="AS68" s="300" t="str">
        <f t="shared" si="5"/>
        <v/>
      </c>
      <c r="AT68" s="294" t="str">
        <f t="shared" si="6"/>
        <v/>
      </c>
      <c r="AU68" s="301" t="str">
        <f>IF(OR($B68="", $AP68= ""),"",IF(VLOOKUP($AP68, CONTRATOS!B:K,3,FALSE)="","",VLOOKUP($AP68, CONTRATOS!B:K, 3,FALSE)))</f>
        <v/>
      </c>
      <c r="AV68" s="301" t="str">
        <f>IF(OR($B68="", $AP68 = ""), "", IF(VLOOKUP($AP68, CONTRATOS!B:K,4,FALSE)="","",VLOOKUP($AP68, CONTRATOS!B:K,4, FALSE)))</f>
        <v/>
      </c>
      <c r="AW68" s="302" t="str">
        <f t="shared" si="7"/>
        <v/>
      </c>
      <c r="AX68" s="301" t="str">
        <f t="shared" si="8"/>
        <v/>
      </c>
      <c r="AY68" s="301" t="str">
        <f t="shared" si="9"/>
        <v/>
      </c>
      <c r="AZ68" s="301" t="str">
        <f t="shared" si="10"/>
        <v/>
      </c>
      <c r="BA68" s="301" t="str">
        <f t="shared" si="11"/>
        <v/>
      </c>
      <c r="BB68" s="303">
        <f t="shared" si="25"/>
        <v>0</v>
      </c>
      <c r="BC68" s="303" t="str">
        <f t="shared" si="26"/>
        <v/>
      </c>
      <c r="BD68" s="303" t="str">
        <f t="shared" si="27"/>
        <v/>
      </c>
      <c r="BF68" s="304">
        <f t="shared" si="28"/>
        <v>0</v>
      </c>
      <c r="BG68" s="304">
        <f t="shared" si="29"/>
        <v>0</v>
      </c>
      <c r="BH68" s="304" t="str">
        <f>IF( $B68="", "", IF(ISNA(VLOOKUP($C68, Defesa!$C$8:$C$30,1,FALSE)),1,0))</f>
        <v/>
      </c>
      <c r="BI68" s="305" t="str">
        <f t="shared" si="30"/>
        <v/>
      </c>
      <c r="BJ68" s="305" t="str">
        <f t="shared" si="31"/>
        <v/>
      </c>
      <c r="BK68" s="304" t="str">
        <f t="shared" si="32"/>
        <v/>
      </c>
      <c r="BL68" s="304">
        <f t="shared" si="33"/>
        <v>0</v>
      </c>
      <c r="BM68" s="304" t="str">
        <f>IF($AC68="", "", IF(ISNA(VLOOKUP($AC68, TABELAS!$Q:$Q, 1, FALSE)), 1, 0))</f>
        <v/>
      </c>
      <c r="BN68" s="306" t="str">
        <f t="shared" si="34"/>
        <v/>
      </c>
      <c r="BO68" s="304" t="str">
        <f t="shared" si="35"/>
        <v/>
      </c>
      <c r="BP68" s="304" t="str">
        <f t="shared" si="36"/>
        <v/>
      </c>
      <c r="BQ68" s="305" t="str">
        <f t="shared" si="37"/>
        <v/>
      </c>
      <c r="BR68" s="304" t="str">
        <f t="shared" si="38"/>
        <v/>
      </c>
      <c r="BS68" s="304" t="str">
        <f t="shared" si="39"/>
        <v/>
      </c>
      <c r="BT68" s="304" t="str">
        <f>IF(OR($B68="", $AH68 = "SIM"), "", IF( ISNA(VLOOKUP($AP68,#REF!, 1, FALSE)), 1, 0))</f>
        <v/>
      </c>
      <c r="BU68" s="304" t="str">
        <f t="shared" si="40"/>
        <v/>
      </c>
      <c r="BV68" s="304" t="str">
        <f>IF( $B68="", "", IF( ISNA(VLOOKUP($AN68, TABELAS!$T$2:$T$9,1,FALSE)), 1, 0))</f>
        <v/>
      </c>
      <c r="BW68" s="304" t="str">
        <f t="shared" si="41"/>
        <v/>
      </c>
      <c r="BX68" s="304" t="str">
        <f>IF( OR($B68="", $AH68 = "SIM"), "", IF( ISNA( VLOOKUP( $AQ68, SISTEMA!$B:$B, 1, FALSE)), 1, 0))</f>
        <v/>
      </c>
      <c r="BY68" s="305" t="str">
        <f t="shared" si="42"/>
        <v/>
      </c>
      <c r="BZ68" s="305" t="str">
        <f t="shared" si="43"/>
        <v/>
      </c>
      <c r="CA68" s="304" t="str">
        <f t="shared" si="44"/>
        <v/>
      </c>
      <c r="CB68" s="305" t="str">
        <f t="shared" si="45"/>
        <v/>
      </c>
      <c r="CC68" s="305" t="str">
        <f t="shared" si="46"/>
        <v/>
      </c>
      <c r="CD68" s="305" t="str">
        <f t="shared" si="47"/>
        <v/>
      </c>
    </row>
    <row r="69" spans="1:82" x14ac:dyDescent="0.2">
      <c r="A69" s="235"/>
      <c r="B69" s="236" t="str">
        <f t="shared" si="12"/>
        <v/>
      </c>
      <c r="C69" s="237" t="str">
        <f t="shared" si="2"/>
        <v/>
      </c>
      <c r="D69" s="237" t="str">
        <f t="shared" si="13"/>
        <v/>
      </c>
      <c r="E69" s="237" t="str">
        <f>IF($C69="", "", COUNTIF($M$8:$M69,$D69))</f>
        <v/>
      </c>
      <c r="F69" s="238">
        <v>62</v>
      </c>
      <c r="G69" s="239"/>
      <c r="H69" s="240"/>
      <c r="I69" s="240"/>
      <c r="J69" s="241"/>
      <c r="K69" s="240"/>
      <c r="L69" s="240"/>
      <c r="M69" s="240"/>
      <c r="N69" s="242"/>
      <c r="O69" s="243"/>
      <c r="P69" s="243"/>
      <c r="Q69" s="243"/>
      <c r="R69" s="243"/>
      <c r="S69" s="243"/>
      <c r="T69" s="245"/>
      <c r="U69" s="246" t="str">
        <f>IF($T69="", "", VLOOKUP($T69, CONTRATOS!$B:$E, 2, FALSE))</f>
        <v/>
      </c>
      <c r="V69" s="247">
        <f>IF(OR($T69="",TB_DEFESA!$C$2="Criação Baseline"),0,
   IF(VLOOKUP($T69, CONTRATOS!B:E, 3, FALSE)&lt;&gt;"",1,IF(VLOOKUP($T69, CONTRATOS!B:E, 4, FALSE)&lt;&gt;"",2,0)))</f>
        <v>0</v>
      </c>
      <c r="W69" s="248"/>
      <c r="X69" s="248"/>
      <c r="Y69" s="249"/>
      <c r="Z69" s="250"/>
      <c r="AA69" s="251"/>
      <c r="AB69" s="252"/>
      <c r="AC69" s="253"/>
      <c r="AD69" s="251"/>
      <c r="AE69" s="254" t="str">
        <f t="shared" si="3"/>
        <v/>
      </c>
      <c r="AF69" s="256" t="str">
        <f t="shared" si="14"/>
        <v/>
      </c>
      <c r="AG69" s="293" t="s">
        <v>62</v>
      </c>
      <c r="AH69" s="294" t="str">
        <f t="shared" si="15"/>
        <v/>
      </c>
      <c r="AI69" s="294" t="str">
        <f t="shared" si="16"/>
        <v/>
      </c>
      <c r="AJ69" s="295" t="str">
        <f t="shared" si="17"/>
        <v/>
      </c>
      <c r="AK69" s="296" t="str">
        <f t="shared" si="18"/>
        <v/>
      </c>
      <c r="AL69" s="297" t="str">
        <f t="shared" si="19"/>
        <v/>
      </c>
      <c r="AM69" s="294" t="str">
        <f t="shared" si="20"/>
        <v/>
      </c>
      <c r="AN69" s="294" t="str">
        <f t="shared" si="21"/>
        <v/>
      </c>
      <c r="AO69" s="298" t="str">
        <f t="shared" si="22"/>
        <v/>
      </c>
      <c r="AP69" s="299" t="str">
        <f t="shared" si="23"/>
        <v/>
      </c>
      <c r="AQ69" s="299" t="str">
        <f t="shared" si="24"/>
        <v/>
      </c>
      <c r="AR69" s="300" t="str">
        <f t="shared" si="4"/>
        <v/>
      </c>
      <c r="AS69" s="300" t="str">
        <f t="shared" si="5"/>
        <v/>
      </c>
      <c r="AT69" s="294" t="str">
        <f t="shared" si="6"/>
        <v/>
      </c>
      <c r="AU69" s="301" t="str">
        <f>IF(OR($B69="", $AP69= ""),"",IF(VLOOKUP($AP69, CONTRATOS!B:K,3,FALSE)="","",VLOOKUP($AP69, CONTRATOS!B:K, 3,FALSE)))</f>
        <v/>
      </c>
      <c r="AV69" s="301" t="str">
        <f>IF(OR($B69="", $AP69 = ""), "", IF(VLOOKUP($AP69, CONTRATOS!B:K,4,FALSE)="","",VLOOKUP($AP69, CONTRATOS!B:K,4, FALSE)))</f>
        <v/>
      </c>
      <c r="AW69" s="302" t="str">
        <f t="shared" si="7"/>
        <v/>
      </c>
      <c r="AX69" s="301" t="str">
        <f t="shared" si="8"/>
        <v/>
      </c>
      <c r="AY69" s="301" t="str">
        <f t="shared" si="9"/>
        <v/>
      </c>
      <c r="AZ69" s="301" t="str">
        <f t="shared" si="10"/>
        <v/>
      </c>
      <c r="BA69" s="301" t="str">
        <f t="shared" si="11"/>
        <v/>
      </c>
      <c r="BB69" s="303">
        <f t="shared" si="25"/>
        <v>0</v>
      </c>
      <c r="BC69" s="303" t="str">
        <f t="shared" si="26"/>
        <v/>
      </c>
      <c r="BD69" s="303" t="str">
        <f t="shared" si="27"/>
        <v/>
      </c>
      <c r="BF69" s="304">
        <f t="shared" si="28"/>
        <v>0</v>
      </c>
      <c r="BG69" s="304">
        <f t="shared" si="29"/>
        <v>0</v>
      </c>
      <c r="BH69" s="304" t="str">
        <f>IF( $B69="", "", IF(ISNA(VLOOKUP($C69, Defesa!$C$8:$C$30,1,FALSE)),1,0))</f>
        <v/>
      </c>
      <c r="BI69" s="305" t="str">
        <f t="shared" si="30"/>
        <v/>
      </c>
      <c r="BJ69" s="305" t="str">
        <f t="shared" si="31"/>
        <v/>
      </c>
      <c r="BK69" s="304" t="str">
        <f t="shared" si="32"/>
        <v/>
      </c>
      <c r="BL69" s="304">
        <f t="shared" si="33"/>
        <v>0</v>
      </c>
      <c r="BM69" s="304" t="str">
        <f>IF($AC69="", "", IF(ISNA(VLOOKUP($AC69, TABELAS!$Q:$Q, 1, FALSE)), 1, 0))</f>
        <v/>
      </c>
      <c r="BN69" s="306" t="str">
        <f t="shared" si="34"/>
        <v/>
      </c>
      <c r="BO69" s="304" t="str">
        <f t="shared" si="35"/>
        <v/>
      </c>
      <c r="BP69" s="304" t="str">
        <f t="shared" si="36"/>
        <v/>
      </c>
      <c r="BQ69" s="305" t="str">
        <f t="shared" si="37"/>
        <v/>
      </c>
      <c r="BR69" s="304" t="str">
        <f t="shared" si="38"/>
        <v/>
      </c>
      <c r="BS69" s="304" t="str">
        <f t="shared" si="39"/>
        <v/>
      </c>
      <c r="BT69" s="304" t="str">
        <f>IF(OR($B69="", $AH69 = "SIM"), "", IF( ISNA(VLOOKUP($AP69,#REF!, 1, FALSE)), 1, 0))</f>
        <v/>
      </c>
      <c r="BU69" s="304" t="str">
        <f t="shared" si="40"/>
        <v/>
      </c>
      <c r="BV69" s="304" t="str">
        <f>IF( $B69="", "", IF( ISNA(VLOOKUP($AN69, TABELAS!$T$2:$T$9,1,FALSE)), 1, 0))</f>
        <v/>
      </c>
      <c r="BW69" s="304" t="str">
        <f t="shared" si="41"/>
        <v/>
      </c>
      <c r="BX69" s="304" t="str">
        <f>IF( OR($B69="", $AH69 = "SIM"), "", IF( ISNA( VLOOKUP( $AQ69, SISTEMA!$B:$B, 1, FALSE)), 1, 0))</f>
        <v/>
      </c>
      <c r="BY69" s="305" t="str">
        <f t="shared" si="42"/>
        <v/>
      </c>
      <c r="BZ69" s="305" t="str">
        <f t="shared" si="43"/>
        <v/>
      </c>
      <c r="CA69" s="304" t="str">
        <f t="shared" si="44"/>
        <v/>
      </c>
      <c r="CB69" s="305" t="str">
        <f t="shared" si="45"/>
        <v/>
      </c>
      <c r="CC69" s="305" t="str">
        <f t="shared" si="46"/>
        <v/>
      </c>
      <c r="CD69" s="305" t="str">
        <f t="shared" si="47"/>
        <v/>
      </c>
    </row>
    <row r="70" spans="1:82" x14ac:dyDescent="0.2">
      <c r="A70" s="235"/>
      <c r="B70" s="236" t="str">
        <f t="shared" si="12"/>
        <v/>
      </c>
      <c r="C70" s="237" t="str">
        <f t="shared" si="2"/>
        <v/>
      </c>
      <c r="D70" s="237" t="str">
        <f t="shared" si="13"/>
        <v/>
      </c>
      <c r="E70" s="237" t="str">
        <f>IF($C70="", "", COUNTIF($M$8:$M70,$D70))</f>
        <v/>
      </c>
      <c r="F70" s="238">
        <v>63</v>
      </c>
      <c r="G70" s="239"/>
      <c r="H70" s="240"/>
      <c r="I70" s="240"/>
      <c r="J70" s="241"/>
      <c r="K70" s="240"/>
      <c r="L70" s="240"/>
      <c r="M70" s="240"/>
      <c r="N70" s="242"/>
      <c r="O70" s="243"/>
      <c r="P70" s="243"/>
      <c r="Q70" s="243"/>
      <c r="R70" s="243"/>
      <c r="S70" s="243"/>
      <c r="T70" s="245"/>
      <c r="U70" s="246" t="str">
        <f>IF($T70="", "", VLOOKUP($T70, CONTRATOS!$B:$E, 2, FALSE))</f>
        <v/>
      </c>
      <c r="V70" s="247">
        <f>IF(OR($T70="",TB_DEFESA!$C$2="Criação Baseline"),0,
   IF(VLOOKUP($T70, CONTRATOS!B:E, 3, FALSE)&lt;&gt;"",1,IF(VLOOKUP($T70, CONTRATOS!B:E, 4, FALSE)&lt;&gt;"",2,0)))</f>
        <v>0</v>
      </c>
      <c r="W70" s="248"/>
      <c r="X70" s="248"/>
      <c r="Y70" s="249"/>
      <c r="Z70" s="250"/>
      <c r="AA70" s="251"/>
      <c r="AB70" s="252"/>
      <c r="AC70" s="253"/>
      <c r="AD70" s="251"/>
      <c r="AE70" s="254" t="str">
        <f t="shared" si="3"/>
        <v/>
      </c>
      <c r="AF70" s="256" t="str">
        <f t="shared" si="14"/>
        <v/>
      </c>
      <c r="AG70" s="293" t="s">
        <v>62</v>
      </c>
      <c r="AH70" s="294" t="str">
        <f t="shared" si="15"/>
        <v/>
      </c>
      <c r="AI70" s="294" t="str">
        <f t="shared" si="16"/>
        <v/>
      </c>
      <c r="AJ70" s="295" t="str">
        <f t="shared" si="17"/>
        <v/>
      </c>
      <c r="AK70" s="296" t="str">
        <f t="shared" si="18"/>
        <v/>
      </c>
      <c r="AL70" s="297" t="str">
        <f t="shared" si="19"/>
        <v/>
      </c>
      <c r="AM70" s="294" t="str">
        <f t="shared" si="20"/>
        <v/>
      </c>
      <c r="AN70" s="294" t="str">
        <f t="shared" si="21"/>
        <v/>
      </c>
      <c r="AO70" s="298" t="str">
        <f t="shared" si="22"/>
        <v/>
      </c>
      <c r="AP70" s="299" t="str">
        <f t="shared" si="23"/>
        <v/>
      </c>
      <c r="AQ70" s="299" t="str">
        <f t="shared" si="24"/>
        <v/>
      </c>
      <c r="AR70" s="300" t="str">
        <f t="shared" si="4"/>
        <v/>
      </c>
      <c r="AS70" s="300" t="str">
        <f t="shared" si="5"/>
        <v/>
      </c>
      <c r="AT70" s="294" t="str">
        <f t="shared" si="6"/>
        <v/>
      </c>
      <c r="AU70" s="301" t="str">
        <f>IF(OR($B70="", $AP70= ""),"",IF(VLOOKUP($AP70, CONTRATOS!B:K,3,FALSE)="","",VLOOKUP($AP70, CONTRATOS!B:K, 3,FALSE)))</f>
        <v/>
      </c>
      <c r="AV70" s="301" t="str">
        <f>IF(OR($B70="", $AP70 = ""), "", IF(VLOOKUP($AP70, CONTRATOS!B:K,4,FALSE)="","",VLOOKUP($AP70, CONTRATOS!B:K,4, FALSE)))</f>
        <v/>
      </c>
      <c r="AW70" s="302" t="str">
        <f t="shared" si="7"/>
        <v/>
      </c>
      <c r="AX70" s="301" t="str">
        <f t="shared" si="8"/>
        <v/>
      </c>
      <c r="AY70" s="301" t="str">
        <f t="shared" si="9"/>
        <v/>
      </c>
      <c r="AZ70" s="301" t="str">
        <f t="shared" si="10"/>
        <v/>
      </c>
      <c r="BA70" s="301" t="str">
        <f t="shared" si="11"/>
        <v/>
      </c>
      <c r="BB70" s="303">
        <f t="shared" si="25"/>
        <v>0</v>
      </c>
      <c r="BC70" s="303" t="str">
        <f t="shared" si="26"/>
        <v/>
      </c>
      <c r="BD70" s="303" t="str">
        <f t="shared" si="27"/>
        <v/>
      </c>
      <c r="BF70" s="304">
        <f t="shared" si="28"/>
        <v>0</v>
      </c>
      <c r="BG70" s="304">
        <f t="shared" si="29"/>
        <v>0</v>
      </c>
      <c r="BH70" s="304" t="str">
        <f>IF( $B70="", "", IF(ISNA(VLOOKUP($C70, Defesa!$C$8:$C$30,1,FALSE)),1,0))</f>
        <v/>
      </c>
      <c r="BI70" s="305" t="str">
        <f t="shared" si="30"/>
        <v/>
      </c>
      <c r="BJ70" s="305" t="str">
        <f t="shared" si="31"/>
        <v/>
      </c>
      <c r="BK70" s="304" t="str">
        <f t="shared" si="32"/>
        <v/>
      </c>
      <c r="BL70" s="304">
        <f t="shared" si="33"/>
        <v>0</v>
      </c>
      <c r="BM70" s="304" t="str">
        <f>IF($AC70="", "", IF(ISNA(VLOOKUP($AC70, TABELAS!$Q:$Q, 1, FALSE)), 1, 0))</f>
        <v/>
      </c>
      <c r="BN70" s="306" t="str">
        <f t="shared" si="34"/>
        <v/>
      </c>
      <c r="BO70" s="304" t="str">
        <f t="shared" si="35"/>
        <v/>
      </c>
      <c r="BP70" s="304" t="str">
        <f t="shared" si="36"/>
        <v/>
      </c>
      <c r="BQ70" s="305" t="str">
        <f t="shared" si="37"/>
        <v/>
      </c>
      <c r="BR70" s="304" t="str">
        <f t="shared" si="38"/>
        <v/>
      </c>
      <c r="BS70" s="304" t="str">
        <f t="shared" si="39"/>
        <v/>
      </c>
      <c r="BT70" s="304" t="str">
        <f>IF(OR($B70="", $AH70 = "SIM"), "", IF( ISNA(VLOOKUP($AP70,#REF!, 1, FALSE)), 1, 0))</f>
        <v/>
      </c>
      <c r="BU70" s="304" t="str">
        <f t="shared" si="40"/>
        <v/>
      </c>
      <c r="BV70" s="304" t="str">
        <f>IF( $B70="", "", IF( ISNA(VLOOKUP($AN70, TABELAS!$T$2:$T$9,1,FALSE)), 1, 0))</f>
        <v/>
      </c>
      <c r="BW70" s="304" t="str">
        <f t="shared" si="41"/>
        <v/>
      </c>
      <c r="BX70" s="304" t="str">
        <f>IF( OR($B70="", $AH70 = "SIM"), "", IF( ISNA( VLOOKUP( $AQ70, SISTEMA!$B:$B, 1, FALSE)), 1, 0))</f>
        <v/>
      </c>
      <c r="BY70" s="305" t="str">
        <f t="shared" si="42"/>
        <v/>
      </c>
      <c r="BZ70" s="305" t="str">
        <f t="shared" si="43"/>
        <v/>
      </c>
      <c r="CA70" s="304" t="str">
        <f t="shared" si="44"/>
        <v/>
      </c>
      <c r="CB70" s="305" t="str">
        <f t="shared" si="45"/>
        <v/>
      </c>
      <c r="CC70" s="305" t="str">
        <f t="shared" si="46"/>
        <v/>
      </c>
      <c r="CD70" s="305" t="str">
        <f t="shared" si="47"/>
        <v/>
      </c>
    </row>
    <row r="71" spans="1:82" x14ac:dyDescent="0.2">
      <c r="A71" s="235"/>
      <c r="B71" s="236" t="str">
        <f t="shared" si="12"/>
        <v/>
      </c>
      <c r="C71" s="237" t="str">
        <f t="shared" si="2"/>
        <v/>
      </c>
      <c r="D71" s="237" t="str">
        <f t="shared" si="13"/>
        <v/>
      </c>
      <c r="E71" s="237" t="str">
        <f>IF($C71="", "", COUNTIF($M$8:$M71,$D71))</f>
        <v/>
      </c>
      <c r="F71" s="238">
        <v>64</v>
      </c>
      <c r="G71" s="239"/>
      <c r="H71" s="240"/>
      <c r="I71" s="240"/>
      <c r="J71" s="241"/>
      <c r="K71" s="240"/>
      <c r="L71" s="240"/>
      <c r="M71" s="240"/>
      <c r="N71" s="242"/>
      <c r="O71" s="243"/>
      <c r="P71" s="243"/>
      <c r="Q71" s="243"/>
      <c r="R71" s="243"/>
      <c r="S71" s="243"/>
      <c r="T71" s="245"/>
      <c r="U71" s="246" t="str">
        <f>IF($T71="", "", VLOOKUP($T71, CONTRATOS!$B:$E, 2, FALSE))</f>
        <v/>
      </c>
      <c r="V71" s="247">
        <f>IF(OR($T71="",TB_DEFESA!$C$2="Criação Baseline"),0,
   IF(VLOOKUP($T71, CONTRATOS!B:E, 3, FALSE)&lt;&gt;"",1,IF(VLOOKUP($T71, CONTRATOS!B:E, 4, FALSE)&lt;&gt;"",2,0)))</f>
        <v>0</v>
      </c>
      <c r="W71" s="248"/>
      <c r="X71" s="248"/>
      <c r="Y71" s="249"/>
      <c r="Z71" s="250"/>
      <c r="AA71" s="251"/>
      <c r="AB71" s="252"/>
      <c r="AC71" s="253"/>
      <c r="AD71" s="251"/>
      <c r="AE71" s="254" t="str">
        <f t="shared" si="3"/>
        <v/>
      </c>
      <c r="AF71" s="256" t="str">
        <f t="shared" si="14"/>
        <v/>
      </c>
      <c r="AG71" s="293" t="s">
        <v>62</v>
      </c>
      <c r="AH71" s="294" t="str">
        <f t="shared" si="15"/>
        <v/>
      </c>
      <c r="AI71" s="294" t="str">
        <f t="shared" si="16"/>
        <v/>
      </c>
      <c r="AJ71" s="295" t="str">
        <f t="shared" si="17"/>
        <v/>
      </c>
      <c r="AK71" s="296" t="str">
        <f t="shared" si="18"/>
        <v/>
      </c>
      <c r="AL71" s="297" t="str">
        <f t="shared" si="19"/>
        <v/>
      </c>
      <c r="AM71" s="294" t="str">
        <f t="shared" si="20"/>
        <v/>
      </c>
      <c r="AN71" s="294" t="str">
        <f t="shared" si="21"/>
        <v/>
      </c>
      <c r="AO71" s="298" t="str">
        <f t="shared" si="22"/>
        <v/>
      </c>
      <c r="AP71" s="299" t="str">
        <f t="shared" si="23"/>
        <v/>
      </c>
      <c r="AQ71" s="299" t="str">
        <f t="shared" si="24"/>
        <v/>
      </c>
      <c r="AR71" s="300" t="str">
        <f t="shared" si="4"/>
        <v/>
      </c>
      <c r="AS71" s="300" t="str">
        <f t="shared" si="5"/>
        <v/>
      </c>
      <c r="AT71" s="294" t="str">
        <f t="shared" si="6"/>
        <v/>
      </c>
      <c r="AU71" s="301" t="str">
        <f>IF(OR($B71="", $AP71= ""),"",IF(VLOOKUP($AP71, CONTRATOS!B:K,3,FALSE)="","",VLOOKUP($AP71, CONTRATOS!B:K, 3,FALSE)))</f>
        <v/>
      </c>
      <c r="AV71" s="301" t="str">
        <f>IF(OR($B71="", $AP71 = ""), "", IF(VLOOKUP($AP71, CONTRATOS!B:K,4,FALSE)="","",VLOOKUP($AP71, CONTRATOS!B:K,4, FALSE)))</f>
        <v/>
      </c>
      <c r="AW71" s="302" t="str">
        <f t="shared" si="7"/>
        <v/>
      </c>
      <c r="AX71" s="301" t="str">
        <f t="shared" si="8"/>
        <v/>
      </c>
      <c r="AY71" s="301" t="str">
        <f t="shared" si="9"/>
        <v/>
      </c>
      <c r="AZ71" s="301" t="str">
        <f t="shared" si="10"/>
        <v/>
      </c>
      <c r="BA71" s="301" t="str">
        <f t="shared" si="11"/>
        <v/>
      </c>
      <c r="BB71" s="303">
        <f t="shared" si="25"/>
        <v>0</v>
      </c>
      <c r="BC71" s="303" t="str">
        <f t="shared" si="26"/>
        <v/>
      </c>
      <c r="BD71" s="303" t="str">
        <f t="shared" si="27"/>
        <v/>
      </c>
      <c r="BF71" s="304">
        <f t="shared" si="28"/>
        <v>0</v>
      </c>
      <c r="BG71" s="304">
        <f t="shared" si="29"/>
        <v>0</v>
      </c>
      <c r="BH71" s="304" t="str">
        <f>IF( $B71="", "", IF(ISNA(VLOOKUP($C71, Defesa!$C$8:$C$30,1,FALSE)),1,0))</f>
        <v/>
      </c>
      <c r="BI71" s="305" t="str">
        <f t="shared" si="30"/>
        <v/>
      </c>
      <c r="BJ71" s="305" t="str">
        <f t="shared" si="31"/>
        <v/>
      </c>
      <c r="BK71" s="304" t="str">
        <f t="shared" si="32"/>
        <v/>
      </c>
      <c r="BL71" s="304">
        <f t="shared" si="33"/>
        <v>0</v>
      </c>
      <c r="BM71" s="304" t="str">
        <f>IF($AC71="", "", IF(ISNA(VLOOKUP($AC71, TABELAS!$Q:$Q, 1, FALSE)), 1, 0))</f>
        <v/>
      </c>
      <c r="BN71" s="306" t="str">
        <f t="shared" si="34"/>
        <v/>
      </c>
      <c r="BO71" s="304" t="str">
        <f t="shared" si="35"/>
        <v/>
      </c>
      <c r="BP71" s="304" t="str">
        <f t="shared" si="36"/>
        <v/>
      </c>
      <c r="BQ71" s="305" t="str">
        <f t="shared" si="37"/>
        <v/>
      </c>
      <c r="BR71" s="304" t="str">
        <f t="shared" si="38"/>
        <v/>
      </c>
      <c r="BS71" s="304" t="str">
        <f t="shared" si="39"/>
        <v/>
      </c>
      <c r="BT71" s="304" t="str">
        <f>IF(OR($B71="", $AH71 = "SIM"), "", IF( ISNA(VLOOKUP($AP71,#REF!, 1, FALSE)), 1, 0))</f>
        <v/>
      </c>
      <c r="BU71" s="304" t="str">
        <f t="shared" si="40"/>
        <v/>
      </c>
      <c r="BV71" s="304" t="str">
        <f>IF( $B71="", "", IF( ISNA(VLOOKUP($AN71, TABELAS!$T$2:$T$9,1,FALSE)), 1, 0))</f>
        <v/>
      </c>
      <c r="BW71" s="304" t="str">
        <f t="shared" si="41"/>
        <v/>
      </c>
      <c r="BX71" s="304" t="str">
        <f>IF( OR($B71="", $AH71 = "SIM"), "", IF( ISNA( VLOOKUP( $AQ71, SISTEMA!$B:$B, 1, FALSE)), 1, 0))</f>
        <v/>
      </c>
      <c r="BY71" s="305" t="str">
        <f t="shared" si="42"/>
        <v/>
      </c>
      <c r="BZ71" s="305" t="str">
        <f t="shared" si="43"/>
        <v/>
      </c>
      <c r="CA71" s="304" t="str">
        <f t="shared" si="44"/>
        <v/>
      </c>
      <c r="CB71" s="305" t="str">
        <f t="shared" si="45"/>
        <v/>
      </c>
      <c r="CC71" s="305" t="str">
        <f t="shared" si="46"/>
        <v/>
      </c>
      <c r="CD71" s="305" t="str">
        <f t="shared" si="47"/>
        <v/>
      </c>
    </row>
    <row r="72" spans="1:82" x14ac:dyDescent="0.2">
      <c r="A72" s="235"/>
      <c r="B72" s="236" t="str">
        <f t="shared" si="12"/>
        <v/>
      </c>
      <c r="C72" s="237" t="str">
        <f t="shared" ref="C72:C135" si="48">IF($K72&lt;&gt;"",$K72, IF($AB72 = "", "", $C71))</f>
        <v/>
      </c>
      <c r="D72" s="237" t="str">
        <f t="shared" si="13"/>
        <v/>
      </c>
      <c r="E72" s="237" t="str">
        <f>IF($C72="", "", COUNTIF($M$8:$M72,$D72))</f>
        <v/>
      </c>
      <c r="F72" s="238">
        <v>65</v>
      </c>
      <c r="G72" s="239"/>
      <c r="H72" s="240"/>
      <c r="I72" s="240"/>
      <c r="J72" s="241"/>
      <c r="K72" s="240"/>
      <c r="L72" s="240"/>
      <c r="M72" s="240"/>
      <c r="N72" s="242"/>
      <c r="O72" s="243"/>
      <c r="P72" s="243"/>
      <c r="Q72" s="243"/>
      <c r="R72" s="243"/>
      <c r="S72" s="243"/>
      <c r="T72" s="245"/>
      <c r="U72" s="246" t="str">
        <f>IF($T72="", "", VLOOKUP($T72, CONTRATOS!$B:$E, 2, FALSE))</f>
        <v/>
      </c>
      <c r="V72" s="247">
        <f>IF(OR($T72="",TB_DEFESA!$C$2="Criação Baseline"),0,
   IF(VLOOKUP($T72, CONTRATOS!B:E, 3, FALSE)&lt;&gt;"",1,IF(VLOOKUP($T72, CONTRATOS!B:E, 4, FALSE)&lt;&gt;"",2,0)))</f>
        <v>0</v>
      </c>
      <c r="W72" s="248"/>
      <c r="X72" s="248"/>
      <c r="Y72" s="249"/>
      <c r="Z72" s="250"/>
      <c r="AA72" s="251"/>
      <c r="AB72" s="252"/>
      <c r="AC72" s="253"/>
      <c r="AD72" s="251"/>
      <c r="AE72" s="254" t="str">
        <f t="shared" ref="AE72:AE135" si="49">IF(AT72="","",IF(V72=1,1,IF(AT72=0,0,AD72/AT72)))</f>
        <v/>
      </c>
      <c r="AF72" s="256" t="str">
        <f t="shared" si="14"/>
        <v/>
      </c>
      <c r="AG72" s="293" t="s">
        <v>62</v>
      </c>
      <c r="AH72" s="294" t="str">
        <f t="shared" si="15"/>
        <v/>
      </c>
      <c r="AI72" s="294" t="str">
        <f t="shared" si="16"/>
        <v/>
      </c>
      <c r="AJ72" s="295" t="str">
        <f t="shared" si="17"/>
        <v/>
      </c>
      <c r="AK72" s="296" t="str">
        <f t="shared" si="18"/>
        <v/>
      </c>
      <c r="AL72" s="297" t="str">
        <f t="shared" si="19"/>
        <v/>
      </c>
      <c r="AM72" s="294" t="str">
        <f t="shared" si="20"/>
        <v/>
      </c>
      <c r="AN72" s="294" t="str">
        <f t="shared" si="21"/>
        <v/>
      </c>
      <c r="AO72" s="298" t="str">
        <f t="shared" si="22"/>
        <v/>
      </c>
      <c r="AP72" s="299" t="str">
        <f t="shared" si="23"/>
        <v/>
      </c>
      <c r="AQ72" s="299" t="str">
        <f t="shared" si="24"/>
        <v/>
      </c>
      <c r="AR72" s="300" t="str">
        <f t="shared" ref="AR72:AR135" si="50">IF($B72 = "", "",  IF($Y72= "", IF(ISNUMBER($AR71), $AR71, 0), $Y72))</f>
        <v/>
      </c>
      <c r="AS72" s="300" t="str">
        <f t="shared" ref="AS72:AS135" si="51">IF($B72 = "", "",  IF($Z72= "", IF(ISNUMBER($AS71), $AS71, 0), $Z72))</f>
        <v/>
      </c>
      <c r="AT72" s="294" t="str">
        <f t="shared" ref="AT72:AT135" si="52">IF($B72="", "", IF($AA72=0, $AT71, $AA72))</f>
        <v/>
      </c>
      <c r="AU72" s="301" t="str">
        <f>IF(OR($B72="", $AP72= ""),"",IF(VLOOKUP($AP72, CONTRATOS!B:K,3,FALSE)="","",VLOOKUP($AP72, CONTRATOS!B:K, 3,FALSE)))</f>
        <v/>
      </c>
      <c r="AV72" s="301" t="str">
        <f>IF(OR($B72="", $AP72 = ""), "", IF(VLOOKUP($AP72, CONTRATOS!B:K,4,FALSE)="","",VLOOKUP($AP72, CONTRATOS!B:K,4, FALSE)))</f>
        <v/>
      </c>
      <c r="AW72" s="302" t="str">
        <f t="shared" ref="AW72:AW135" si="53">IF($B72="", "", IF($V72=1, 1, IF( OR($AT72 = "", $AT72=0), 0, $AD72/$AT72)))</f>
        <v/>
      </c>
      <c r="AX72" s="301" t="str">
        <f t="shared" ref="AX72:AX135" si="54">IF( $B72="", "", IF( $K72="",$AX71, IF($S72 = "", "", $S72)))</f>
        <v/>
      </c>
      <c r="AY72" s="301" t="str">
        <f t="shared" ref="AY72:AY135" si="55">IF( $B72="", "", IF( $K72="",$AY71, IF($P72 = "", "", $P72)))</f>
        <v/>
      </c>
      <c r="AZ72" s="301" t="str">
        <f t="shared" ref="AZ72:AZ135" si="56">IF( $B72="", "", IF( $K72="",$AZ71, IF($Q72 = "", "", $Q72)))</f>
        <v/>
      </c>
      <c r="BA72" s="301" t="str">
        <f t="shared" ref="BA72:BA135" si="57">IF( $B72="", "", IF( $K72="",$BA71, IF($R72 = "", "", $R72)))</f>
        <v/>
      </c>
      <c r="BB72" s="303">
        <f t="shared" si="25"/>
        <v>0</v>
      </c>
      <c r="BC72" s="303" t="str">
        <f t="shared" si="26"/>
        <v/>
      </c>
      <c r="BD72" s="303" t="str">
        <f t="shared" si="27"/>
        <v/>
      </c>
      <c r="BF72" s="304">
        <f t="shared" si="28"/>
        <v>0</v>
      </c>
      <c r="BG72" s="304">
        <f t="shared" si="29"/>
        <v>0</v>
      </c>
      <c r="BH72" s="304" t="str">
        <f>IF( $B72="", "", IF(ISNA(VLOOKUP($C72, Defesa!$C$8:$C$30,1,FALSE)),1,0))</f>
        <v/>
      </c>
      <c r="BI72" s="305" t="str">
        <f t="shared" si="30"/>
        <v/>
      </c>
      <c r="BJ72" s="305" t="str">
        <f t="shared" si="31"/>
        <v/>
      </c>
      <c r="BK72" s="304" t="str">
        <f t="shared" si="32"/>
        <v/>
      </c>
      <c r="BL72" s="304">
        <f t="shared" si="33"/>
        <v>0</v>
      </c>
      <c r="BM72" s="304" t="str">
        <f>IF($AC72="", "", IF(ISNA(VLOOKUP($AC72, TABELAS!$Q:$Q, 1, FALSE)), 1, 0))</f>
        <v/>
      </c>
      <c r="BN72" s="306" t="str">
        <f t="shared" si="34"/>
        <v/>
      </c>
      <c r="BO72" s="304" t="str">
        <f t="shared" si="35"/>
        <v/>
      </c>
      <c r="BP72" s="304" t="str">
        <f t="shared" si="36"/>
        <v/>
      </c>
      <c r="BQ72" s="305" t="str">
        <f t="shared" si="37"/>
        <v/>
      </c>
      <c r="BR72" s="304" t="str">
        <f t="shared" si="38"/>
        <v/>
      </c>
      <c r="BS72" s="304" t="str">
        <f t="shared" si="39"/>
        <v/>
      </c>
      <c r="BT72" s="304" t="str">
        <f>IF(OR($B72="", $AH72 = "SIM"), "", IF( ISNA(VLOOKUP($AP72,#REF!, 1, FALSE)), 1, 0))</f>
        <v/>
      </c>
      <c r="BU72" s="304" t="str">
        <f t="shared" si="40"/>
        <v/>
      </c>
      <c r="BV72" s="304" t="str">
        <f>IF( $B72="", "", IF( ISNA(VLOOKUP($AN72, TABELAS!$T$2:$T$9,1,FALSE)), 1, 0))</f>
        <v/>
      </c>
      <c r="BW72" s="304" t="str">
        <f t="shared" si="41"/>
        <v/>
      </c>
      <c r="BX72" s="304" t="str">
        <f>IF( OR($B72="", $AH72 = "SIM"), "", IF( ISNA( VLOOKUP( $AQ72, SISTEMA!$B:$B, 1, FALSE)), 1, 0))</f>
        <v/>
      </c>
      <c r="BY72" s="305" t="str">
        <f t="shared" si="42"/>
        <v/>
      </c>
      <c r="BZ72" s="305" t="str">
        <f t="shared" si="43"/>
        <v/>
      </c>
      <c r="CA72" s="304" t="str">
        <f t="shared" si="44"/>
        <v/>
      </c>
      <c r="CB72" s="305" t="str">
        <f t="shared" si="45"/>
        <v/>
      </c>
      <c r="CC72" s="305" t="str">
        <f t="shared" si="46"/>
        <v/>
      </c>
      <c r="CD72" s="305" t="str">
        <f t="shared" si="47"/>
        <v/>
      </c>
    </row>
    <row r="73" spans="1:82" x14ac:dyDescent="0.2">
      <c r="A73" s="235"/>
      <c r="B73" s="236" t="str">
        <f t="shared" ref="B73:B136" si="58" xml:space="preserve"> IF( C73 = "", "", C73 &amp; "." &amp; D73 &amp; "."  &amp; E73)</f>
        <v/>
      </c>
      <c r="C73" s="237" t="str">
        <f t="shared" si="48"/>
        <v/>
      </c>
      <c r="D73" s="237" t="str">
        <f t="shared" ref="D73:D136" si="59">IF( $C73 = "", "", IF( $M73="", IF(AND($C72=$C73,$G73 = ""), $D72, ""), TEXT($M73,"000")))</f>
        <v/>
      </c>
      <c r="E73" s="237" t="str">
        <f>IF($C73="", "", COUNTIF($M$8:$M73,$D73))</f>
        <v/>
      </c>
      <c r="F73" s="238">
        <v>66</v>
      </c>
      <c r="G73" s="239"/>
      <c r="H73" s="240"/>
      <c r="I73" s="240"/>
      <c r="J73" s="241"/>
      <c r="K73" s="240"/>
      <c r="L73" s="240"/>
      <c r="M73" s="240"/>
      <c r="N73" s="242"/>
      <c r="O73" s="243"/>
      <c r="P73" s="243"/>
      <c r="Q73" s="243"/>
      <c r="R73" s="243"/>
      <c r="S73" s="243"/>
      <c r="T73" s="245"/>
      <c r="U73" s="246" t="str">
        <f>IF($T73="", "", VLOOKUP($T73, CONTRATOS!$B:$E, 2, FALSE))</f>
        <v/>
      </c>
      <c r="V73" s="247">
        <f>IF(OR($T73="",TB_DEFESA!$C$2="Criação Baseline"),0,
   IF(VLOOKUP($T73, CONTRATOS!B:E, 3, FALSE)&lt;&gt;"",1,IF(VLOOKUP($T73, CONTRATOS!B:E, 4, FALSE)&lt;&gt;"",2,0)))</f>
        <v>0</v>
      </c>
      <c r="W73" s="248"/>
      <c r="X73" s="248"/>
      <c r="Y73" s="249"/>
      <c r="Z73" s="250"/>
      <c r="AA73" s="251"/>
      <c r="AB73" s="252"/>
      <c r="AC73" s="253"/>
      <c r="AD73" s="251"/>
      <c r="AE73" s="254" t="str">
        <f t="shared" si="49"/>
        <v/>
      </c>
      <c r="AF73" s="256" t="str">
        <f t="shared" ref="AF73:AF136" si="60">IF(B73= "", "", IF(SUM($BF73:$CD73) = 0, 0, 1))</f>
        <v/>
      </c>
      <c r="AG73" s="293" t="s">
        <v>62</v>
      </c>
      <c r="AH73" s="294" t="str">
        <f t="shared" ref="AH73:AH136" si="61">IF($B73="","", IF( AND($G73="", $B73 = $B72 ), $AH72, $G73))</f>
        <v/>
      </c>
      <c r="AI73" s="294" t="str">
        <f t="shared" ref="AI73:AI136" si="62">IF($B73 = "", "",  IF( AND($H73= "", $B73 = $B72 ), $AI72, $H73))</f>
        <v/>
      </c>
      <c r="AJ73" s="295" t="str">
        <f t="shared" ref="AJ73:AJ136" si="63">IF(AND($AB73="", $V73=""),"",IF(AND($I73="",$B73=$B72), $AJ72, IF($I73="","",$I73)))</f>
        <v/>
      </c>
      <c r="AK73" s="296" t="str">
        <f t="shared" ref="AK73:AK136" si="64">IF($B73="", "", IF( AND($J73 = "",$B73=$B72), $AK72, $J73))</f>
        <v/>
      </c>
      <c r="AL73" s="297" t="str">
        <f t="shared" ref="AL73:AL136" si="65">IF( $B73= "", "",  IF( AND($L73= "",$B73=$B72), $AL72, $L73))</f>
        <v/>
      </c>
      <c r="AM73" s="294" t="str">
        <f t="shared" ref="AM73:AM136" si="66">IF( $B73 = "", "",  IF(AND($N73= "",$B73=$B72), $AM72, $O73))</f>
        <v/>
      </c>
      <c r="AN73" s="294" t="str">
        <f t="shared" ref="AN73:AN136" si="67">IF( $B73 = "", "",  IF( AND($X73= "",$B73=$B72), $AN72, $X73))</f>
        <v/>
      </c>
      <c r="AO73" s="298" t="str">
        <f t="shared" ref="AO73:AO136" si="68">IF($B73="", "",  IF( AND($U73= "",$B73=$B72), $AO72, $U73))</f>
        <v/>
      </c>
      <c r="AP73" s="299" t="str">
        <f t="shared" ref="AP73:AP136" si="69">IF( $B73 = "", "",  IF( AND($U73= "",$B73=$B72), $AP72, IF($T73 = "", "", $T73)))</f>
        <v/>
      </c>
      <c r="AQ73" s="299" t="str">
        <f t="shared" ref="AQ73:AQ136" si="70">IF($B73="","",IF(AND($W73="",$B73=$B72),$AQ72,IF($W73="","",$W73)))</f>
        <v/>
      </c>
      <c r="AR73" s="300" t="str">
        <f t="shared" si="50"/>
        <v/>
      </c>
      <c r="AS73" s="300" t="str">
        <f t="shared" si="51"/>
        <v/>
      </c>
      <c r="AT73" s="294" t="str">
        <f t="shared" si="52"/>
        <v/>
      </c>
      <c r="AU73" s="301" t="str">
        <f>IF(OR($B73="", $AP73= ""),"",IF(VLOOKUP($AP73, CONTRATOS!B:K,3,FALSE)="","",VLOOKUP($AP73, CONTRATOS!B:K, 3,FALSE)))</f>
        <v/>
      </c>
      <c r="AV73" s="301" t="str">
        <f>IF(OR($B73="", $AP73 = ""), "", IF(VLOOKUP($AP73, CONTRATOS!B:K,4,FALSE)="","",VLOOKUP($AP73, CONTRATOS!B:K,4, FALSE)))</f>
        <v/>
      </c>
      <c r="AW73" s="302" t="str">
        <f t="shared" si="53"/>
        <v/>
      </c>
      <c r="AX73" s="301" t="str">
        <f t="shared" si="54"/>
        <v/>
      </c>
      <c r="AY73" s="301" t="str">
        <f t="shared" si="55"/>
        <v/>
      </c>
      <c r="AZ73" s="301" t="str">
        <f t="shared" si="56"/>
        <v/>
      </c>
      <c r="BA73" s="301" t="str">
        <f t="shared" si="57"/>
        <v/>
      </c>
      <c r="BB73" s="303">
        <f t="shared" ref="BB73:BB136" si="71">IF( $B73 = "", 0, ROW($B73))</f>
        <v>0</v>
      </c>
      <c r="BC73" s="303" t="str">
        <f t="shared" ref="BC73:BC136" si="72">IF($AC73="","",IF($AC73="Próximos Anos",$AC73,RIGHT($AC73,4)))</f>
        <v/>
      </c>
      <c r="BD73" s="303" t="str">
        <f t="shared" ref="BD73:BD136" si="73">IF($B73="", "", IF($B73=$B72, $BD72, $V73))</f>
        <v/>
      </c>
      <c r="BF73" s="304">
        <f t="shared" ref="BF73:BF136" si="74">IF( AND($G73="SIM", OR($H73="", $I73="", $J73="", $K73="", $L73="", $M73="", $O73="", $P73="", $Q73="", $R73="", $X73="",  $AA73="", $AB73="", $AC73="", $AD73="")), 1, 0)</f>
        <v>0</v>
      </c>
      <c r="BG73" s="304">
        <f t="shared" ref="BG73:BG136" si="75">IF(AND($G73="NÃO", OR($H73="", $I73="", $J73="", $K73="", $L73="", $M73="", $O73="", $T73="", $W73="", $X73="", $AA73="")), 1,
    IF( AND($AH73="NÃO",  $AU73 ="", OR( $AB73="", $AC73="", $AD73="")), 1,
    IF( AND($AH73="NÃO",  $AU73 &lt;&gt; "", OR($AB73&lt;&gt;"", $AC73&lt;&gt;"", $AD73&lt;&gt;"") ), 1, 0 ) ) )</f>
        <v>0</v>
      </c>
      <c r="BH73" s="304" t="str">
        <f>IF( $B73="", "", IF(ISNA(VLOOKUP($C73, Defesa!$C$8:$C$30,1,FALSE)),1,0))</f>
        <v/>
      </c>
      <c r="BI73" s="305" t="str">
        <f t="shared" ref="BI73:BI136" si="76">IF($B73= "", "",  IF(OR($D73 = "N/A", LEFT($D73, 2) = "ME", AND(LEN($D73) = 12, LEFT($D73, 4) = "PROP")), 0, 1))</f>
        <v/>
      </c>
      <c r="BJ73" s="305" t="str">
        <f t="shared" ref="BJ73:BJ136" si="77">IF($B73="","",IF(AND($AL73="N/A",LEFT($D73,4)&lt;&gt;"PROP"),0,IF(OR(AND(LEN($AL73)=10,LEFT($AL73,2)="AF",LEFT($AL73,4)&lt;&gt;"AFFT")),0,1)))</f>
        <v/>
      </c>
      <c r="BK73" s="304" t="str">
        <f t="shared" ref="BK73:BK136" si="78">IF($B73="", "", IF(COUNTIFS($AB:$AB, $AB73,$B:$B, $B73)&gt;1, 1, 0))</f>
        <v/>
      </c>
      <c r="BL73" s="304">
        <f t="shared" ref="BL73:BL136" si="79">IF( OR($B73= "",$V73 = 1), 0,  IF( OR($AC73 = "", $AD73="", $AB73=""), 1, 0))</f>
        <v>0</v>
      </c>
      <c r="BM73" s="304" t="str">
        <f>IF($AC73="", "", IF(ISNA(VLOOKUP($AC73, TABELAS!$Q:$Q, 1, FALSE)), 1, 0))</f>
        <v/>
      </c>
      <c r="BN73" s="306" t="str">
        <f t="shared" ref="BN73:BN136" si="80">IF($B73= "", "", IF( SUMIFS($AW:$AW,$C:$C, $C73,$D:$D, $D73,$E:$E, $E73) = 1, 0, 1))</f>
        <v/>
      </c>
      <c r="BO73" s="304" t="str">
        <f t="shared" ref="BO73:BO136" si="81">IF( $B73 ="", "", IF( AND($V73 = 1, OR( $AC73 &lt;&gt; "", $AB73 &lt;&gt; "", $AD73 &lt;&gt; "")), 1, 0))</f>
        <v/>
      </c>
      <c r="BP73" s="304" t="str">
        <f t="shared" ref="BP73:BP136" si="82" xml:space="preserve"> IF($B73 = "", "", IF(AND( $AI73 = "SIM", $AP73= "&lt; A DEFINIR &gt;"), 1, 0))</f>
        <v/>
      </c>
      <c r="BQ73" s="305" t="str">
        <f t="shared" ref="BQ73:BQ136" si="83">IF($B73="", "", IF( AND($AI73="SIM", OR(LEFT($D73,2)="ME", $D73 = "N/A")), 1, 0))</f>
        <v/>
      </c>
      <c r="BR73" s="304" t="str">
        <f t="shared" ref="BR73:BR136" si="84" xml:space="preserve"> IF($B73 = "", "", IF( AND( $AJ73 = "SIM", OR($AP73= "&lt; A DEFINIR &gt;", $V73 = 1, $AI73 = "ESTIMATIVA")), 1, 0))</f>
        <v/>
      </c>
      <c r="BS73" s="304" t="str">
        <f t="shared" ref="BS73:BS136" si="85" xml:space="preserve"> IF(B73 = "", "", IF(AND($X73 &lt;&gt; "N/A",  V73 = 1), 1, 0))</f>
        <v/>
      </c>
      <c r="BT73" s="304" t="str">
        <f>IF(OR($B73="", $AH73 = "SIM"), "", IF( ISNA(VLOOKUP($AP73,#REF!, 1, FALSE)), 1, 0))</f>
        <v/>
      </c>
      <c r="BU73" s="304" t="str">
        <f t="shared" ref="BU73:BU136" si="86">IF($AP73="", "", IF( AND(OR($AO73=4600046592, $U73 = 4600041840), $AN73&lt;&gt; "BTSA Fixa R2"), 1,0))</f>
        <v/>
      </c>
      <c r="BV73" s="304" t="str">
        <f>IF( $B73="", "", IF( ISNA(VLOOKUP($AN73, TABELAS!$T$2:$T$9,1,FALSE)), 1, 0))</f>
        <v/>
      </c>
      <c r="BW73" s="304" t="str">
        <f t="shared" ref="BW73:BW136" si="87" xml:space="preserve"> IF($B73 = "", "", IF( AND( $AN73 = "N/A", $V73 = 0), 1, 0) )</f>
        <v/>
      </c>
      <c r="BX73" s="304" t="str">
        <f>IF( OR($B73="", $AH73 = "SIM"), "", IF( ISNA( VLOOKUP( $AQ73, SISTEMA!$B:$B, 1, FALSE)), 1, 0))</f>
        <v/>
      </c>
      <c r="BY73" s="305" t="str">
        <f t="shared" ref="BY73:BY136" si="88">IF( $B73="", "", IF( AND($AI73="ESTIMATIVA", LEFT($D73, 4)="PROP"), 1, 0))</f>
        <v/>
      </c>
      <c r="BZ73" s="305" t="str">
        <f t="shared" ref="BZ73:BZ136" si="89">IF( $B73="", "", IF( AND($AX73&lt;&gt;"", $V73 = 1), 1, 0))</f>
        <v/>
      </c>
      <c r="CA73" s="304" t="str">
        <f t="shared" ref="CA73:CA136" si="90">IF($B73="", "", IF( AND($AM73 &lt;&gt; "SERVIÇOS", $AM73 &lt;&gt; "HARDWARE", $AM73 &lt;&gt; "SOFTWARE", $AM73 &lt;&gt; "FACILITIES", $AM73 &lt;&gt; "VIAGENS"  ), 1, 0))</f>
        <v/>
      </c>
      <c r="CB73" s="305" t="str">
        <f t="shared" ref="CB73:CB136" si="91">IF( $B73="", "", IF( AND( $AH73 = "NÃO", OR( $AM73 = "SOFTWARE", $AM73 = "HARDWARE", $AM73 = "FACILITIES")), 1, 0))</f>
        <v/>
      </c>
      <c r="CC73" s="305" t="str">
        <f t="shared" ref="CC73:CC136" si="92">IF( $B73="", "", IF( AND($AI73="COMPLEMENTO", LEFT($D73, 4)="PROP"), 1, 0))</f>
        <v/>
      </c>
      <c r="CD73" s="305" t="str">
        <f t="shared" ref="CD73:CD136" si="93">IF( $B73="", "", IF( AND($D73=$D72, $AP73 &lt;&gt; $AP72), 1, 0))</f>
        <v/>
      </c>
    </row>
    <row r="74" spans="1:82" x14ac:dyDescent="0.2">
      <c r="A74" s="235"/>
      <c r="B74" s="236" t="str">
        <f t="shared" si="58"/>
        <v/>
      </c>
      <c r="C74" s="237" t="str">
        <f t="shared" si="48"/>
        <v/>
      </c>
      <c r="D74" s="237" t="str">
        <f t="shared" si="59"/>
        <v/>
      </c>
      <c r="E74" s="237" t="str">
        <f>IF($C74="", "", COUNTIF($M$8:$M74,$D74))</f>
        <v/>
      </c>
      <c r="F74" s="238">
        <v>67</v>
      </c>
      <c r="G74" s="239"/>
      <c r="H74" s="240"/>
      <c r="I74" s="240"/>
      <c r="J74" s="241"/>
      <c r="K74" s="240"/>
      <c r="L74" s="240"/>
      <c r="M74" s="240"/>
      <c r="N74" s="242"/>
      <c r="O74" s="243"/>
      <c r="P74" s="243"/>
      <c r="Q74" s="243"/>
      <c r="R74" s="243"/>
      <c r="S74" s="243"/>
      <c r="T74" s="245"/>
      <c r="U74" s="246" t="str">
        <f>IF($T74="", "", VLOOKUP($T74, CONTRATOS!$B:$E, 2, FALSE))</f>
        <v/>
      </c>
      <c r="V74" s="247">
        <f>IF(OR($T74="",TB_DEFESA!$C$2="Criação Baseline"),0,
   IF(VLOOKUP($T74, CONTRATOS!B:E, 3, FALSE)&lt;&gt;"",1,IF(VLOOKUP($T74, CONTRATOS!B:E, 4, FALSE)&lt;&gt;"",2,0)))</f>
        <v>0</v>
      </c>
      <c r="W74" s="248"/>
      <c r="X74" s="248"/>
      <c r="Y74" s="249"/>
      <c r="Z74" s="250"/>
      <c r="AA74" s="251"/>
      <c r="AB74" s="252"/>
      <c r="AC74" s="253"/>
      <c r="AD74" s="251"/>
      <c r="AE74" s="254" t="str">
        <f t="shared" si="49"/>
        <v/>
      </c>
      <c r="AF74" s="256" t="str">
        <f t="shared" si="60"/>
        <v/>
      </c>
      <c r="AG74" s="293" t="s">
        <v>62</v>
      </c>
      <c r="AH74" s="294" t="str">
        <f t="shared" si="61"/>
        <v/>
      </c>
      <c r="AI74" s="294" t="str">
        <f t="shared" si="62"/>
        <v/>
      </c>
      <c r="AJ74" s="295" t="str">
        <f t="shared" si="63"/>
        <v/>
      </c>
      <c r="AK74" s="296" t="str">
        <f t="shared" si="64"/>
        <v/>
      </c>
      <c r="AL74" s="297" t="str">
        <f t="shared" si="65"/>
        <v/>
      </c>
      <c r="AM74" s="294" t="str">
        <f t="shared" si="66"/>
        <v/>
      </c>
      <c r="AN74" s="294" t="str">
        <f t="shared" si="67"/>
        <v/>
      </c>
      <c r="AO74" s="298" t="str">
        <f t="shared" si="68"/>
        <v/>
      </c>
      <c r="AP74" s="299" t="str">
        <f t="shared" si="69"/>
        <v/>
      </c>
      <c r="AQ74" s="299" t="str">
        <f t="shared" si="70"/>
        <v/>
      </c>
      <c r="AR74" s="300" t="str">
        <f t="shared" si="50"/>
        <v/>
      </c>
      <c r="AS74" s="300" t="str">
        <f t="shared" si="51"/>
        <v/>
      </c>
      <c r="AT74" s="294" t="str">
        <f t="shared" si="52"/>
        <v/>
      </c>
      <c r="AU74" s="301" t="str">
        <f>IF(OR($B74="", $AP74= ""),"",IF(VLOOKUP($AP74, CONTRATOS!B:K,3,FALSE)="","",VLOOKUP($AP74, CONTRATOS!B:K, 3,FALSE)))</f>
        <v/>
      </c>
      <c r="AV74" s="301" t="str">
        <f>IF(OR($B74="", $AP74 = ""), "", IF(VLOOKUP($AP74, CONTRATOS!B:K,4,FALSE)="","",VLOOKUP($AP74, CONTRATOS!B:K,4, FALSE)))</f>
        <v/>
      </c>
      <c r="AW74" s="302" t="str">
        <f t="shared" si="53"/>
        <v/>
      </c>
      <c r="AX74" s="301" t="str">
        <f t="shared" si="54"/>
        <v/>
      </c>
      <c r="AY74" s="301" t="str">
        <f t="shared" si="55"/>
        <v/>
      </c>
      <c r="AZ74" s="301" t="str">
        <f t="shared" si="56"/>
        <v/>
      </c>
      <c r="BA74" s="301" t="str">
        <f t="shared" si="57"/>
        <v/>
      </c>
      <c r="BB74" s="303">
        <f t="shared" si="71"/>
        <v>0</v>
      </c>
      <c r="BC74" s="303" t="str">
        <f t="shared" si="72"/>
        <v/>
      </c>
      <c r="BD74" s="303" t="str">
        <f t="shared" si="73"/>
        <v/>
      </c>
      <c r="BF74" s="304">
        <f t="shared" si="74"/>
        <v>0</v>
      </c>
      <c r="BG74" s="304">
        <f t="shared" si="75"/>
        <v>0</v>
      </c>
      <c r="BH74" s="304" t="str">
        <f>IF( $B74="", "", IF(ISNA(VLOOKUP($C74, Defesa!$C$8:$C$30,1,FALSE)),1,0))</f>
        <v/>
      </c>
      <c r="BI74" s="305" t="str">
        <f t="shared" si="76"/>
        <v/>
      </c>
      <c r="BJ74" s="305" t="str">
        <f t="shared" si="77"/>
        <v/>
      </c>
      <c r="BK74" s="304" t="str">
        <f t="shared" si="78"/>
        <v/>
      </c>
      <c r="BL74" s="304">
        <f t="shared" si="79"/>
        <v>0</v>
      </c>
      <c r="BM74" s="304" t="str">
        <f>IF($AC74="", "", IF(ISNA(VLOOKUP($AC74, TABELAS!$Q:$Q, 1, FALSE)), 1, 0))</f>
        <v/>
      </c>
      <c r="BN74" s="306" t="str">
        <f t="shared" si="80"/>
        <v/>
      </c>
      <c r="BO74" s="304" t="str">
        <f t="shared" si="81"/>
        <v/>
      </c>
      <c r="BP74" s="304" t="str">
        <f t="shared" si="82"/>
        <v/>
      </c>
      <c r="BQ74" s="305" t="str">
        <f t="shared" si="83"/>
        <v/>
      </c>
      <c r="BR74" s="304" t="str">
        <f t="shared" si="84"/>
        <v/>
      </c>
      <c r="BS74" s="304" t="str">
        <f t="shared" si="85"/>
        <v/>
      </c>
      <c r="BT74" s="304" t="str">
        <f>IF(OR($B74="", $AH74 = "SIM"), "", IF( ISNA(VLOOKUP($AP74,#REF!, 1, FALSE)), 1, 0))</f>
        <v/>
      </c>
      <c r="BU74" s="304" t="str">
        <f t="shared" si="86"/>
        <v/>
      </c>
      <c r="BV74" s="304" t="str">
        <f>IF( $B74="", "", IF( ISNA(VLOOKUP($AN74, TABELAS!$T$2:$T$9,1,FALSE)), 1, 0))</f>
        <v/>
      </c>
      <c r="BW74" s="304" t="str">
        <f t="shared" si="87"/>
        <v/>
      </c>
      <c r="BX74" s="304" t="str">
        <f>IF( OR($B74="", $AH74 = "SIM"), "", IF( ISNA( VLOOKUP( $AQ74, SISTEMA!$B:$B, 1, FALSE)), 1, 0))</f>
        <v/>
      </c>
      <c r="BY74" s="305" t="str">
        <f t="shared" si="88"/>
        <v/>
      </c>
      <c r="BZ74" s="305" t="str">
        <f t="shared" si="89"/>
        <v/>
      </c>
      <c r="CA74" s="304" t="str">
        <f t="shared" si="90"/>
        <v/>
      </c>
      <c r="CB74" s="305" t="str">
        <f t="shared" si="91"/>
        <v/>
      </c>
      <c r="CC74" s="305" t="str">
        <f t="shared" si="92"/>
        <v/>
      </c>
      <c r="CD74" s="305" t="str">
        <f t="shared" si="93"/>
        <v/>
      </c>
    </row>
    <row r="75" spans="1:82" x14ac:dyDescent="0.2">
      <c r="A75" s="235"/>
      <c r="B75" s="236" t="str">
        <f t="shared" si="58"/>
        <v/>
      </c>
      <c r="C75" s="237" t="str">
        <f t="shared" si="48"/>
        <v/>
      </c>
      <c r="D75" s="237" t="str">
        <f t="shared" si="59"/>
        <v/>
      </c>
      <c r="E75" s="237" t="str">
        <f>IF($C75="", "", COUNTIF($M$8:$M75,$D75))</f>
        <v/>
      </c>
      <c r="F75" s="238">
        <v>68</v>
      </c>
      <c r="G75" s="239"/>
      <c r="H75" s="240"/>
      <c r="I75" s="240"/>
      <c r="J75" s="241"/>
      <c r="K75" s="240"/>
      <c r="L75" s="240"/>
      <c r="M75" s="240"/>
      <c r="N75" s="242"/>
      <c r="O75" s="243"/>
      <c r="P75" s="243"/>
      <c r="Q75" s="243"/>
      <c r="R75" s="243"/>
      <c r="S75" s="243"/>
      <c r="T75" s="245"/>
      <c r="U75" s="246" t="str">
        <f>IF($T75="", "", VLOOKUP($T75, CONTRATOS!$B:$E, 2, FALSE))</f>
        <v/>
      </c>
      <c r="V75" s="247">
        <f>IF(OR($T75="",TB_DEFESA!$C$2="Criação Baseline"),0,
   IF(VLOOKUP($T75, CONTRATOS!B:E, 3, FALSE)&lt;&gt;"",1,IF(VLOOKUP($T75, CONTRATOS!B:E, 4, FALSE)&lt;&gt;"",2,0)))</f>
        <v>0</v>
      </c>
      <c r="W75" s="248"/>
      <c r="X75" s="248"/>
      <c r="Y75" s="249"/>
      <c r="Z75" s="250"/>
      <c r="AA75" s="251"/>
      <c r="AB75" s="252"/>
      <c r="AC75" s="253"/>
      <c r="AD75" s="251"/>
      <c r="AE75" s="254" t="str">
        <f t="shared" si="49"/>
        <v/>
      </c>
      <c r="AF75" s="256" t="str">
        <f t="shared" si="60"/>
        <v/>
      </c>
      <c r="AG75" s="293" t="s">
        <v>62</v>
      </c>
      <c r="AH75" s="294" t="str">
        <f t="shared" si="61"/>
        <v/>
      </c>
      <c r="AI75" s="294" t="str">
        <f t="shared" si="62"/>
        <v/>
      </c>
      <c r="AJ75" s="295" t="str">
        <f t="shared" si="63"/>
        <v/>
      </c>
      <c r="AK75" s="296" t="str">
        <f t="shared" si="64"/>
        <v/>
      </c>
      <c r="AL75" s="297" t="str">
        <f t="shared" si="65"/>
        <v/>
      </c>
      <c r="AM75" s="294" t="str">
        <f t="shared" si="66"/>
        <v/>
      </c>
      <c r="AN75" s="294" t="str">
        <f t="shared" si="67"/>
        <v/>
      </c>
      <c r="AO75" s="298" t="str">
        <f t="shared" si="68"/>
        <v/>
      </c>
      <c r="AP75" s="299" t="str">
        <f t="shared" si="69"/>
        <v/>
      </c>
      <c r="AQ75" s="299" t="str">
        <f t="shared" si="70"/>
        <v/>
      </c>
      <c r="AR75" s="300" t="str">
        <f t="shared" si="50"/>
        <v/>
      </c>
      <c r="AS75" s="300" t="str">
        <f t="shared" si="51"/>
        <v/>
      </c>
      <c r="AT75" s="294" t="str">
        <f t="shared" si="52"/>
        <v/>
      </c>
      <c r="AU75" s="301" t="str">
        <f>IF(OR($B75="", $AP75= ""),"",IF(VLOOKUP($AP75, CONTRATOS!B:K,3,FALSE)="","",VLOOKUP($AP75, CONTRATOS!B:K, 3,FALSE)))</f>
        <v/>
      </c>
      <c r="AV75" s="301" t="str">
        <f>IF(OR($B75="", $AP75 = ""), "", IF(VLOOKUP($AP75, CONTRATOS!B:K,4,FALSE)="","",VLOOKUP($AP75, CONTRATOS!B:K,4, FALSE)))</f>
        <v/>
      </c>
      <c r="AW75" s="302" t="str">
        <f t="shared" si="53"/>
        <v/>
      </c>
      <c r="AX75" s="301" t="str">
        <f t="shared" si="54"/>
        <v/>
      </c>
      <c r="AY75" s="301" t="str">
        <f t="shared" si="55"/>
        <v/>
      </c>
      <c r="AZ75" s="301" t="str">
        <f t="shared" si="56"/>
        <v/>
      </c>
      <c r="BA75" s="301" t="str">
        <f t="shared" si="57"/>
        <v/>
      </c>
      <c r="BB75" s="303">
        <f t="shared" si="71"/>
        <v>0</v>
      </c>
      <c r="BC75" s="303" t="str">
        <f t="shared" si="72"/>
        <v/>
      </c>
      <c r="BD75" s="303" t="str">
        <f t="shared" si="73"/>
        <v/>
      </c>
      <c r="BF75" s="304">
        <f t="shared" si="74"/>
        <v>0</v>
      </c>
      <c r="BG75" s="304">
        <f t="shared" si="75"/>
        <v>0</v>
      </c>
      <c r="BH75" s="304" t="str">
        <f>IF( $B75="", "", IF(ISNA(VLOOKUP($C75, Defesa!$C$8:$C$30,1,FALSE)),1,0))</f>
        <v/>
      </c>
      <c r="BI75" s="305" t="str">
        <f t="shared" si="76"/>
        <v/>
      </c>
      <c r="BJ75" s="305" t="str">
        <f t="shared" si="77"/>
        <v/>
      </c>
      <c r="BK75" s="304" t="str">
        <f t="shared" si="78"/>
        <v/>
      </c>
      <c r="BL75" s="304">
        <f t="shared" si="79"/>
        <v>0</v>
      </c>
      <c r="BM75" s="304" t="str">
        <f>IF($AC75="", "", IF(ISNA(VLOOKUP($AC75, TABELAS!$Q:$Q, 1, FALSE)), 1, 0))</f>
        <v/>
      </c>
      <c r="BN75" s="306" t="str">
        <f t="shared" si="80"/>
        <v/>
      </c>
      <c r="BO75" s="304" t="str">
        <f t="shared" si="81"/>
        <v/>
      </c>
      <c r="BP75" s="304" t="str">
        <f t="shared" si="82"/>
        <v/>
      </c>
      <c r="BQ75" s="305" t="str">
        <f t="shared" si="83"/>
        <v/>
      </c>
      <c r="BR75" s="304" t="str">
        <f t="shared" si="84"/>
        <v/>
      </c>
      <c r="BS75" s="304" t="str">
        <f t="shared" si="85"/>
        <v/>
      </c>
      <c r="BT75" s="304" t="str">
        <f>IF(OR($B75="", $AH75 = "SIM"), "", IF( ISNA(VLOOKUP($AP75,#REF!, 1, FALSE)), 1, 0))</f>
        <v/>
      </c>
      <c r="BU75" s="304" t="str">
        <f t="shared" si="86"/>
        <v/>
      </c>
      <c r="BV75" s="304" t="str">
        <f>IF( $B75="", "", IF( ISNA(VLOOKUP($AN75, TABELAS!$T$2:$T$9,1,FALSE)), 1, 0))</f>
        <v/>
      </c>
      <c r="BW75" s="304" t="str">
        <f t="shared" si="87"/>
        <v/>
      </c>
      <c r="BX75" s="304" t="str">
        <f>IF( OR($B75="", $AH75 = "SIM"), "", IF( ISNA( VLOOKUP( $AQ75, SISTEMA!$B:$B, 1, FALSE)), 1, 0))</f>
        <v/>
      </c>
      <c r="BY75" s="305" t="str">
        <f t="shared" si="88"/>
        <v/>
      </c>
      <c r="BZ75" s="305" t="str">
        <f t="shared" si="89"/>
        <v/>
      </c>
      <c r="CA75" s="304" t="str">
        <f t="shared" si="90"/>
        <v/>
      </c>
      <c r="CB75" s="305" t="str">
        <f t="shared" si="91"/>
        <v/>
      </c>
      <c r="CC75" s="305" t="str">
        <f t="shared" si="92"/>
        <v/>
      </c>
      <c r="CD75" s="305" t="str">
        <f t="shared" si="93"/>
        <v/>
      </c>
    </row>
    <row r="76" spans="1:82" x14ac:dyDescent="0.2">
      <c r="A76" s="235"/>
      <c r="B76" s="236" t="str">
        <f t="shared" si="58"/>
        <v/>
      </c>
      <c r="C76" s="237" t="str">
        <f t="shared" si="48"/>
        <v/>
      </c>
      <c r="D76" s="237" t="str">
        <f t="shared" si="59"/>
        <v/>
      </c>
      <c r="E76" s="237" t="str">
        <f>IF($C76="", "", COUNTIF($M$8:$M76,$D76))</f>
        <v/>
      </c>
      <c r="F76" s="238">
        <v>69</v>
      </c>
      <c r="G76" s="239"/>
      <c r="H76" s="240"/>
      <c r="I76" s="240"/>
      <c r="J76" s="241"/>
      <c r="K76" s="240"/>
      <c r="L76" s="240"/>
      <c r="M76" s="240"/>
      <c r="N76" s="242"/>
      <c r="O76" s="243"/>
      <c r="P76" s="243"/>
      <c r="Q76" s="243"/>
      <c r="R76" s="243"/>
      <c r="S76" s="243"/>
      <c r="T76" s="245"/>
      <c r="U76" s="246" t="str">
        <f>IF($T76="", "", VLOOKUP($T76, CONTRATOS!$B:$E, 2, FALSE))</f>
        <v/>
      </c>
      <c r="V76" s="247">
        <f>IF(OR($T76="",TB_DEFESA!$C$2="Criação Baseline"),0,
   IF(VLOOKUP($T76, CONTRATOS!B:E, 3, FALSE)&lt;&gt;"",1,IF(VLOOKUP($T76, CONTRATOS!B:E, 4, FALSE)&lt;&gt;"",2,0)))</f>
        <v>0</v>
      </c>
      <c r="W76" s="248"/>
      <c r="X76" s="248"/>
      <c r="Y76" s="249"/>
      <c r="Z76" s="250"/>
      <c r="AA76" s="251"/>
      <c r="AB76" s="252"/>
      <c r="AC76" s="253"/>
      <c r="AD76" s="251"/>
      <c r="AE76" s="254" t="str">
        <f t="shared" si="49"/>
        <v/>
      </c>
      <c r="AF76" s="256" t="str">
        <f t="shared" si="60"/>
        <v/>
      </c>
      <c r="AG76" s="293" t="s">
        <v>62</v>
      </c>
      <c r="AH76" s="294" t="str">
        <f t="shared" si="61"/>
        <v/>
      </c>
      <c r="AI76" s="294" t="str">
        <f t="shared" si="62"/>
        <v/>
      </c>
      <c r="AJ76" s="295" t="str">
        <f t="shared" si="63"/>
        <v/>
      </c>
      <c r="AK76" s="296" t="str">
        <f t="shared" si="64"/>
        <v/>
      </c>
      <c r="AL76" s="297" t="str">
        <f t="shared" si="65"/>
        <v/>
      </c>
      <c r="AM76" s="294" t="str">
        <f t="shared" si="66"/>
        <v/>
      </c>
      <c r="AN76" s="294" t="str">
        <f t="shared" si="67"/>
        <v/>
      </c>
      <c r="AO76" s="298" t="str">
        <f t="shared" si="68"/>
        <v/>
      </c>
      <c r="AP76" s="299" t="str">
        <f t="shared" si="69"/>
        <v/>
      </c>
      <c r="AQ76" s="299" t="str">
        <f t="shared" si="70"/>
        <v/>
      </c>
      <c r="AR76" s="300" t="str">
        <f t="shared" si="50"/>
        <v/>
      </c>
      <c r="AS76" s="300" t="str">
        <f t="shared" si="51"/>
        <v/>
      </c>
      <c r="AT76" s="294" t="str">
        <f t="shared" si="52"/>
        <v/>
      </c>
      <c r="AU76" s="301" t="str">
        <f>IF(OR($B76="", $AP76= ""),"",IF(VLOOKUP($AP76, CONTRATOS!B:K,3,FALSE)="","",VLOOKUP($AP76, CONTRATOS!B:K, 3,FALSE)))</f>
        <v/>
      </c>
      <c r="AV76" s="301" t="str">
        <f>IF(OR($B76="", $AP76 = ""), "", IF(VLOOKUP($AP76, CONTRATOS!B:K,4,FALSE)="","",VLOOKUP($AP76, CONTRATOS!B:K,4, FALSE)))</f>
        <v/>
      </c>
      <c r="AW76" s="302" t="str">
        <f t="shared" si="53"/>
        <v/>
      </c>
      <c r="AX76" s="301" t="str">
        <f t="shared" si="54"/>
        <v/>
      </c>
      <c r="AY76" s="301" t="str">
        <f t="shared" si="55"/>
        <v/>
      </c>
      <c r="AZ76" s="301" t="str">
        <f t="shared" si="56"/>
        <v/>
      </c>
      <c r="BA76" s="301" t="str">
        <f t="shared" si="57"/>
        <v/>
      </c>
      <c r="BB76" s="303">
        <f t="shared" si="71"/>
        <v>0</v>
      </c>
      <c r="BC76" s="303" t="str">
        <f t="shared" si="72"/>
        <v/>
      </c>
      <c r="BD76" s="303" t="str">
        <f t="shared" si="73"/>
        <v/>
      </c>
      <c r="BF76" s="304">
        <f t="shared" si="74"/>
        <v>0</v>
      </c>
      <c r="BG76" s="304">
        <f t="shared" si="75"/>
        <v>0</v>
      </c>
      <c r="BH76" s="304" t="str">
        <f>IF( $B76="", "", IF(ISNA(VLOOKUP($C76, Defesa!$C$8:$C$30,1,FALSE)),1,0))</f>
        <v/>
      </c>
      <c r="BI76" s="305" t="str">
        <f t="shared" si="76"/>
        <v/>
      </c>
      <c r="BJ76" s="305" t="str">
        <f t="shared" si="77"/>
        <v/>
      </c>
      <c r="BK76" s="304" t="str">
        <f t="shared" si="78"/>
        <v/>
      </c>
      <c r="BL76" s="304">
        <f t="shared" si="79"/>
        <v>0</v>
      </c>
      <c r="BM76" s="304" t="str">
        <f>IF($AC76="", "", IF(ISNA(VLOOKUP($AC76, TABELAS!$Q:$Q, 1, FALSE)), 1, 0))</f>
        <v/>
      </c>
      <c r="BN76" s="306" t="str">
        <f t="shared" si="80"/>
        <v/>
      </c>
      <c r="BO76" s="304" t="str">
        <f t="shared" si="81"/>
        <v/>
      </c>
      <c r="BP76" s="304" t="str">
        <f t="shared" si="82"/>
        <v/>
      </c>
      <c r="BQ76" s="305" t="str">
        <f t="shared" si="83"/>
        <v/>
      </c>
      <c r="BR76" s="304" t="str">
        <f t="shared" si="84"/>
        <v/>
      </c>
      <c r="BS76" s="304" t="str">
        <f t="shared" si="85"/>
        <v/>
      </c>
      <c r="BT76" s="304" t="str">
        <f>IF(OR($B76="", $AH76 = "SIM"), "", IF( ISNA(VLOOKUP($AP76,#REF!, 1, FALSE)), 1, 0))</f>
        <v/>
      </c>
      <c r="BU76" s="304" t="str">
        <f t="shared" si="86"/>
        <v/>
      </c>
      <c r="BV76" s="304" t="str">
        <f>IF( $B76="", "", IF( ISNA(VLOOKUP($AN76, TABELAS!$T$2:$T$9,1,FALSE)), 1, 0))</f>
        <v/>
      </c>
      <c r="BW76" s="304" t="str">
        <f t="shared" si="87"/>
        <v/>
      </c>
      <c r="BX76" s="304" t="str">
        <f>IF( OR($B76="", $AH76 = "SIM"), "", IF( ISNA( VLOOKUP( $AQ76, SISTEMA!$B:$B, 1, FALSE)), 1, 0))</f>
        <v/>
      </c>
      <c r="BY76" s="305" t="str">
        <f t="shared" si="88"/>
        <v/>
      </c>
      <c r="BZ76" s="305" t="str">
        <f t="shared" si="89"/>
        <v/>
      </c>
      <c r="CA76" s="304" t="str">
        <f t="shared" si="90"/>
        <v/>
      </c>
      <c r="CB76" s="305" t="str">
        <f t="shared" si="91"/>
        <v/>
      </c>
      <c r="CC76" s="305" t="str">
        <f t="shared" si="92"/>
        <v/>
      </c>
      <c r="CD76" s="305" t="str">
        <f t="shared" si="93"/>
        <v/>
      </c>
    </row>
    <row r="77" spans="1:82" x14ac:dyDescent="0.2">
      <c r="A77" s="235"/>
      <c r="B77" s="236" t="str">
        <f t="shared" si="58"/>
        <v/>
      </c>
      <c r="C77" s="237" t="str">
        <f t="shared" si="48"/>
        <v/>
      </c>
      <c r="D77" s="237" t="str">
        <f t="shared" si="59"/>
        <v/>
      </c>
      <c r="E77" s="237" t="str">
        <f>IF($C77="", "", COUNTIF($M$8:$M77,$D77))</f>
        <v/>
      </c>
      <c r="F77" s="238">
        <v>70</v>
      </c>
      <c r="G77" s="239"/>
      <c r="H77" s="240"/>
      <c r="I77" s="240"/>
      <c r="J77" s="241"/>
      <c r="K77" s="240"/>
      <c r="L77" s="240"/>
      <c r="M77" s="240"/>
      <c r="N77" s="242"/>
      <c r="O77" s="243"/>
      <c r="P77" s="243"/>
      <c r="Q77" s="243"/>
      <c r="R77" s="243"/>
      <c r="S77" s="243"/>
      <c r="T77" s="245"/>
      <c r="U77" s="246" t="str">
        <f>IF($T77="", "", VLOOKUP($T77, CONTRATOS!$B:$E, 2, FALSE))</f>
        <v/>
      </c>
      <c r="V77" s="247">
        <f>IF(OR($T77="",TB_DEFESA!$C$2="Criação Baseline"),0,
   IF(VLOOKUP($T77, CONTRATOS!B:E, 3, FALSE)&lt;&gt;"",1,IF(VLOOKUP($T77, CONTRATOS!B:E, 4, FALSE)&lt;&gt;"",2,0)))</f>
        <v>0</v>
      </c>
      <c r="W77" s="248"/>
      <c r="X77" s="248"/>
      <c r="Y77" s="249"/>
      <c r="Z77" s="250"/>
      <c r="AA77" s="251"/>
      <c r="AB77" s="252"/>
      <c r="AC77" s="253"/>
      <c r="AD77" s="251"/>
      <c r="AE77" s="254" t="str">
        <f t="shared" si="49"/>
        <v/>
      </c>
      <c r="AF77" s="256" t="str">
        <f t="shared" si="60"/>
        <v/>
      </c>
      <c r="AG77" s="293" t="s">
        <v>62</v>
      </c>
      <c r="AH77" s="294" t="str">
        <f t="shared" si="61"/>
        <v/>
      </c>
      <c r="AI77" s="294" t="str">
        <f t="shared" si="62"/>
        <v/>
      </c>
      <c r="AJ77" s="295" t="str">
        <f t="shared" si="63"/>
        <v/>
      </c>
      <c r="AK77" s="296" t="str">
        <f t="shared" si="64"/>
        <v/>
      </c>
      <c r="AL77" s="297" t="str">
        <f t="shared" si="65"/>
        <v/>
      </c>
      <c r="AM77" s="294" t="str">
        <f t="shared" si="66"/>
        <v/>
      </c>
      <c r="AN77" s="294" t="str">
        <f t="shared" si="67"/>
        <v/>
      </c>
      <c r="AO77" s="298" t="str">
        <f t="shared" si="68"/>
        <v/>
      </c>
      <c r="AP77" s="299" t="str">
        <f t="shared" si="69"/>
        <v/>
      </c>
      <c r="AQ77" s="299" t="str">
        <f t="shared" si="70"/>
        <v/>
      </c>
      <c r="AR77" s="300" t="str">
        <f t="shared" si="50"/>
        <v/>
      </c>
      <c r="AS77" s="300" t="str">
        <f t="shared" si="51"/>
        <v/>
      </c>
      <c r="AT77" s="294" t="str">
        <f t="shared" si="52"/>
        <v/>
      </c>
      <c r="AU77" s="301" t="str">
        <f>IF(OR($B77="", $AP77= ""),"",IF(VLOOKUP($AP77, CONTRATOS!B:K,3,FALSE)="","",VLOOKUP($AP77, CONTRATOS!B:K, 3,FALSE)))</f>
        <v/>
      </c>
      <c r="AV77" s="301" t="str">
        <f>IF(OR($B77="", $AP77 = ""), "", IF(VLOOKUP($AP77, CONTRATOS!B:K,4,FALSE)="","",VLOOKUP($AP77, CONTRATOS!B:K,4, FALSE)))</f>
        <v/>
      </c>
      <c r="AW77" s="302" t="str">
        <f t="shared" si="53"/>
        <v/>
      </c>
      <c r="AX77" s="301" t="str">
        <f t="shared" si="54"/>
        <v/>
      </c>
      <c r="AY77" s="301" t="str">
        <f t="shared" si="55"/>
        <v/>
      </c>
      <c r="AZ77" s="301" t="str">
        <f t="shared" si="56"/>
        <v/>
      </c>
      <c r="BA77" s="301" t="str">
        <f t="shared" si="57"/>
        <v/>
      </c>
      <c r="BB77" s="303">
        <f t="shared" si="71"/>
        <v>0</v>
      </c>
      <c r="BC77" s="303" t="str">
        <f t="shared" si="72"/>
        <v/>
      </c>
      <c r="BD77" s="303" t="str">
        <f t="shared" si="73"/>
        <v/>
      </c>
      <c r="BF77" s="304">
        <f t="shared" si="74"/>
        <v>0</v>
      </c>
      <c r="BG77" s="304">
        <f t="shared" si="75"/>
        <v>0</v>
      </c>
      <c r="BH77" s="304" t="str">
        <f>IF( $B77="", "", IF(ISNA(VLOOKUP($C77, Defesa!$C$8:$C$30,1,FALSE)),1,0))</f>
        <v/>
      </c>
      <c r="BI77" s="305" t="str">
        <f t="shared" si="76"/>
        <v/>
      </c>
      <c r="BJ77" s="305" t="str">
        <f t="shared" si="77"/>
        <v/>
      </c>
      <c r="BK77" s="304" t="str">
        <f t="shared" si="78"/>
        <v/>
      </c>
      <c r="BL77" s="304">
        <f t="shared" si="79"/>
        <v>0</v>
      </c>
      <c r="BM77" s="304" t="str">
        <f>IF($AC77="", "", IF(ISNA(VLOOKUP($AC77, TABELAS!$Q:$Q, 1, FALSE)), 1, 0))</f>
        <v/>
      </c>
      <c r="BN77" s="306" t="str">
        <f t="shared" si="80"/>
        <v/>
      </c>
      <c r="BO77" s="304" t="str">
        <f t="shared" si="81"/>
        <v/>
      </c>
      <c r="BP77" s="304" t="str">
        <f t="shared" si="82"/>
        <v/>
      </c>
      <c r="BQ77" s="305" t="str">
        <f t="shared" si="83"/>
        <v/>
      </c>
      <c r="BR77" s="304" t="str">
        <f t="shared" si="84"/>
        <v/>
      </c>
      <c r="BS77" s="304" t="str">
        <f t="shared" si="85"/>
        <v/>
      </c>
      <c r="BT77" s="304" t="str">
        <f>IF(OR($B77="", $AH77 = "SIM"), "", IF( ISNA(VLOOKUP($AP77,#REF!, 1, FALSE)), 1, 0))</f>
        <v/>
      </c>
      <c r="BU77" s="304" t="str">
        <f t="shared" si="86"/>
        <v/>
      </c>
      <c r="BV77" s="304" t="str">
        <f>IF( $B77="", "", IF( ISNA(VLOOKUP($AN77, TABELAS!$T$2:$T$9,1,FALSE)), 1, 0))</f>
        <v/>
      </c>
      <c r="BW77" s="304" t="str">
        <f t="shared" si="87"/>
        <v/>
      </c>
      <c r="BX77" s="304" t="str">
        <f>IF( OR($B77="", $AH77 = "SIM"), "", IF( ISNA( VLOOKUP( $AQ77, SISTEMA!$B:$B, 1, FALSE)), 1, 0))</f>
        <v/>
      </c>
      <c r="BY77" s="305" t="str">
        <f t="shared" si="88"/>
        <v/>
      </c>
      <c r="BZ77" s="305" t="str">
        <f t="shared" si="89"/>
        <v/>
      </c>
      <c r="CA77" s="304" t="str">
        <f t="shared" si="90"/>
        <v/>
      </c>
      <c r="CB77" s="305" t="str">
        <f t="shared" si="91"/>
        <v/>
      </c>
      <c r="CC77" s="305" t="str">
        <f t="shared" si="92"/>
        <v/>
      </c>
      <c r="CD77" s="305" t="str">
        <f t="shared" si="93"/>
        <v/>
      </c>
    </row>
    <row r="78" spans="1:82" x14ac:dyDescent="0.2">
      <c r="A78" s="235"/>
      <c r="B78" s="236" t="str">
        <f t="shared" si="58"/>
        <v/>
      </c>
      <c r="C78" s="237" t="str">
        <f t="shared" si="48"/>
        <v/>
      </c>
      <c r="D78" s="237" t="str">
        <f t="shared" si="59"/>
        <v/>
      </c>
      <c r="E78" s="237" t="str">
        <f>IF($C78="", "", COUNTIF($M$8:$M78,$D78))</f>
        <v/>
      </c>
      <c r="F78" s="238">
        <v>71</v>
      </c>
      <c r="G78" s="239"/>
      <c r="H78" s="240"/>
      <c r="I78" s="240"/>
      <c r="J78" s="241"/>
      <c r="K78" s="240"/>
      <c r="L78" s="240"/>
      <c r="M78" s="240"/>
      <c r="N78" s="242"/>
      <c r="O78" s="243"/>
      <c r="P78" s="243"/>
      <c r="Q78" s="243"/>
      <c r="R78" s="243"/>
      <c r="S78" s="243"/>
      <c r="T78" s="245"/>
      <c r="U78" s="246" t="str">
        <f>IF($T78="", "", VLOOKUP($T78, CONTRATOS!$B:$E, 2, FALSE))</f>
        <v/>
      </c>
      <c r="V78" s="247">
        <f>IF(OR($T78="",TB_DEFESA!$C$2="Criação Baseline"),0,
   IF(VLOOKUP($T78, CONTRATOS!B:E, 3, FALSE)&lt;&gt;"",1,IF(VLOOKUP($T78, CONTRATOS!B:E, 4, FALSE)&lt;&gt;"",2,0)))</f>
        <v>0</v>
      </c>
      <c r="W78" s="248"/>
      <c r="X78" s="248"/>
      <c r="Y78" s="249"/>
      <c r="Z78" s="250"/>
      <c r="AA78" s="251"/>
      <c r="AB78" s="252"/>
      <c r="AC78" s="253"/>
      <c r="AD78" s="251"/>
      <c r="AE78" s="254" t="str">
        <f t="shared" si="49"/>
        <v/>
      </c>
      <c r="AF78" s="256" t="str">
        <f t="shared" si="60"/>
        <v/>
      </c>
      <c r="AG78" s="293" t="s">
        <v>62</v>
      </c>
      <c r="AH78" s="294" t="str">
        <f t="shared" si="61"/>
        <v/>
      </c>
      <c r="AI78" s="294" t="str">
        <f t="shared" si="62"/>
        <v/>
      </c>
      <c r="AJ78" s="295" t="str">
        <f t="shared" si="63"/>
        <v/>
      </c>
      <c r="AK78" s="296" t="str">
        <f t="shared" si="64"/>
        <v/>
      </c>
      <c r="AL78" s="297" t="str">
        <f t="shared" si="65"/>
        <v/>
      </c>
      <c r="AM78" s="294" t="str">
        <f t="shared" si="66"/>
        <v/>
      </c>
      <c r="AN78" s="294" t="str">
        <f t="shared" si="67"/>
        <v/>
      </c>
      <c r="AO78" s="298" t="str">
        <f t="shared" si="68"/>
        <v/>
      </c>
      <c r="AP78" s="299" t="str">
        <f t="shared" si="69"/>
        <v/>
      </c>
      <c r="AQ78" s="299" t="str">
        <f t="shared" si="70"/>
        <v/>
      </c>
      <c r="AR78" s="300" t="str">
        <f t="shared" si="50"/>
        <v/>
      </c>
      <c r="AS78" s="300" t="str">
        <f t="shared" si="51"/>
        <v/>
      </c>
      <c r="AT78" s="294" t="str">
        <f t="shared" si="52"/>
        <v/>
      </c>
      <c r="AU78" s="301" t="str">
        <f>IF(OR($B78="", $AP78= ""),"",IF(VLOOKUP($AP78, CONTRATOS!B:K,3,FALSE)="","",VLOOKUP($AP78, CONTRATOS!B:K, 3,FALSE)))</f>
        <v/>
      </c>
      <c r="AV78" s="301" t="str">
        <f>IF(OR($B78="", $AP78 = ""), "", IF(VLOOKUP($AP78, CONTRATOS!B:K,4,FALSE)="","",VLOOKUP($AP78, CONTRATOS!B:K,4, FALSE)))</f>
        <v/>
      </c>
      <c r="AW78" s="302" t="str">
        <f t="shared" si="53"/>
        <v/>
      </c>
      <c r="AX78" s="301" t="str">
        <f t="shared" si="54"/>
        <v/>
      </c>
      <c r="AY78" s="301" t="str">
        <f t="shared" si="55"/>
        <v/>
      </c>
      <c r="AZ78" s="301" t="str">
        <f t="shared" si="56"/>
        <v/>
      </c>
      <c r="BA78" s="301" t="str">
        <f t="shared" si="57"/>
        <v/>
      </c>
      <c r="BB78" s="303">
        <f t="shared" si="71"/>
        <v>0</v>
      </c>
      <c r="BC78" s="303" t="str">
        <f t="shared" si="72"/>
        <v/>
      </c>
      <c r="BD78" s="303" t="str">
        <f t="shared" si="73"/>
        <v/>
      </c>
      <c r="BF78" s="304">
        <f t="shared" si="74"/>
        <v>0</v>
      </c>
      <c r="BG78" s="304">
        <f t="shared" si="75"/>
        <v>0</v>
      </c>
      <c r="BH78" s="304" t="str">
        <f>IF( $B78="", "", IF(ISNA(VLOOKUP($C78, Defesa!$C$8:$C$30,1,FALSE)),1,0))</f>
        <v/>
      </c>
      <c r="BI78" s="305" t="str">
        <f t="shared" si="76"/>
        <v/>
      </c>
      <c r="BJ78" s="305" t="str">
        <f t="shared" si="77"/>
        <v/>
      </c>
      <c r="BK78" s="304" t="str">
        <f t="shared" si="78"/>
        <v/>
      </c>
      <c r="BL78" s="304">
        <f t="shared" si="79"/>
        <v>0</v>
      </c>
      <c r="BM78" s="304" t="str">
        <f>IF($AC78="", "", IF(ISNA(VLOOKUP($AC78, TABELAS!$Q:$Q, 1, FALSE)), 1, 0))</f>
        <v/>
      </c>
      <c r="BN78" s="306" t="str">
        <f t="shared" si="80"/>
        <v/>
      </c>
      <c r="BO78" s="304" t="str">
        <f t="shared" si="81"/>
        <v/>
      </c>
      <c r="BP78" s="304" t="str">
        <f t="shared" si="82"/>
        <v/>
      </c>
      <c r="BQ78" s="305" t="str">
        <f t="shared" si="83"/>
        <v/>
      </c>
      <c r="BR78" s="304" t="str">
        <f t="shared" si="84"/>
        <v/>
      </c>
      <c r="BS78" s="304" t="str">
        <f t="shared" si="85"/>
        <v/>
      </c>
      <c r="BT78" s="304" t="str">
        <f>IF(OR($B78="", $AH78 = "SIM"), "", IF( ISNA(VLOOKUP($AP78,#REF!, 1, FALSE)), 1, 0))</f>
        <v/>
      </c>
      <c r="BU78" s="304" t="str">
        <f t="shared" si="86"/>
        <v/>
      </c>
      <c r="BV78" s="304" t="str">
        <f>IF( $B78="", "", IF( ISNA(VLOOKUP($AN78, TABELAS!$T$2:$T$9,1,FALSE)), 1, 0))</f>
        <v/>
      </c>
      <c r="BW78" s="304" t="str">
        <f t="shared" si="87"/>
        <v/>
      </c>
      <c r="BX78" s="304" t="str">
        <f>IF( OR($B78="", $AH78 = "SIM"), "", IF( ISNA( VLOOKUP( $AQ78, SISTEMA!$B:$B, 1, FALSE)), 1, 0))</f>
        <v/>
      </c>
      <c r="BY78" s="305" t="str">
        <f t="shared" si="88"/>
        <v/>
      </c>
      <c r="BZ78" s="305" t="str">
        <f t="shared" si="89"/>
        <v/>
      </c>
      <c r="CA78" s="304" t="str">
        <f t="shared" si="90"/>
        <v/>
      </c>
      <c r="CB78" s="305" t="str">
        <f t="shared" si="91"/>
        <v/>
      </c>
      <c r="CC78" s="305" t="str">
        <f t="shared" si="92"/>
        <v/>
      </c>
      <c r="CD78" s="305" t="str">
        <f t="shared" si="93"/>
        <v/>
      </c>
    </row>
    <row r="79" spans="1:82" x14ac:dyDescent="0.2">
      <c r="A79" s="235"/>
      <c r="B79" s="236" t="str">
        <f t="shared" si="58"/>
        <v/>
      </c>
      <c r="C79" s="237" t="str">
        <f t="shared" si="48"/>
        <v/>
      </c>
      <c r="D79" s="237" t="str">
        <f t="shared" si="59"/>
        <v/>
      </c>
      <c r="E79" s="237" t="str">
        <f>IF($C79="", "", COUNTIF($M$8:$M79,$D79))</f>
        <v/>
      </c>
      <c r="F79" s="238">
        <v>72</v>
      </c>
      <c r="G79" s="239"/>
      <c r="H79" s="240"/>
      <c r="I79" s="240"/>
      <c r="J79" s="241"/>
      <c r="K79" s="240"/>
      <c r="L79" s="240"/>
      <c r="M79" s="240"/>
      <c r="N79" s="242"/>
      <c r="O79" s="243"/>
      <c r="P79" s="243"/>
      <c r="Q79" s="243"/>
      <c r="R79" s="243"/>
      <c r="S79" s="243"/>
      <c r="T79" s="245"/>
      <c r="U79" s="246" t="str">
        <f>IF($T79="", "", VLOOKUP($T79, CONTRATOS!$B:$E, 2, FALSE))</f>
        <v/>
      </c>
      <c r="V79" s="247">
        <f>IF(OR($T79="",TB_DEFESA!$C$2="Criação Baseline"),0,
   IF(VLOOKUP($T79, CONTRATOS!B:E, 3, FALSE)&lt;&gt;"",1,IF(VLOOKUP($T79, CONTRATOS!B:E, 4, FALSE)&lt;&gt;"",2,0)))</f>
        <v>0</v>
      </c>
      <c r="W79" s="248"/>
      <c r="X79" s="248"/>
      <c r="Y79" s="249"/>
      <c r="Z79" s="250"/>
      <c r="AA79" s="251"/>
      <c r="AB79" s="252"/>
      <c r="AC79" s="253"/>
      <c r="AD79" s="251"/>
      <c r="AE79" s="254" t="str">
        <f t="shared" si="49"/>
        <v/>
      </c>
      <c r="AF79" s="256" t="str">
        <f t="shared" si="60"/>
        <v/>
      </c>
      <c r="AG79" s="293" t="s">
        <v>62</v>
      </c>
      <c r="AH79" s="294" t="str">
        <f t="shared" si="61"/>
        <v/>
      </c>
      <c r="AI79" s="294" t="str">
        <f t="shared" si="62"/>
        <v/>
      </c>
      <c r="AJ79" s="295" t="str">
        <f t="shared" si="63"/>
        <v/>
      </c>
      <c r="AK79" s="296" t="str">
        <f t="shared" si="64"/>
        <v/>
      </c>
      <c r="AL79" s="297" t="str">
        <f t="shared" si="65"/>
        <v/>
      </c>
      <c r="AM79" s="294" t="str">
        <f t="shared" si="66"/>
        <v/>
      </c>
      <c r="AN79" s="294" t="str">
        <f t="shared" si="67"/>
        <v/>
      </c>
      <c r="AO79" s="298" t="str">
        <f t="shared" si="68"/>
        <v/>
      </c>
      <c r="AP79" s="299" t="str">
        <f t="shared" si="69"/>
        <v/>
      </c>
      <c r="AQ79" s="299" t="str">
        <f t="shared" si="70"/>
        <v/>
      </c>
      <c r="AR79" s="300" t="str">
        <f t="shared" si="50"/>
        <v/>
      </c>
      <c r="AS79" s="300" t="str">
        <f t="shared" si="51"/>
        <v/>
      </c>
      <c r="AT79" s="294" t="str">
        <f t="shared" si="52"/>
        <v/>
      </c>
      <c r="AU79" s="301" t="str">
        <f>IF(OR($B79="", $AP79= ""),"",IF(VLOOKUP($AP79, CONTRATOS!B:K,3,FALSE)="","",VLOOKUP($AP79, CONTRATOS!B:K, 3,FALSE)))</f>
        <v/>
      </c>
      <c r="AV79" s="301" t="str">
        <f>IF(OR($B79="", $AP79 = ""), "", IF(VLOOKUP($AP79, CONTRATOS!B:K,4,FALSE)="","",VLOOKUP($AP79, CONTRATOS!B:K,4, FALSE)))</f>
        <v/>
      </c>
      <c r="AW79" s="302" t="str">
        <f t="shared" si="53"/>
        <v/>
      </c>
      <c r="AX79" s="301" t="str">
        <f t="shared" si="54"/>
        <v/>
      </c>
      <c r="AY79" s="301" t="str">
        <f t="shared" si="55"/>
        <v/>
      </c>
      <c r="AZ79" s="301" t="str">
        <f t="shared" si="56"/>
        <v/>
      </c>
      <c r="BA79" s="301" t="str">
        <f t="shared" si="57"/>
        <v/>
      </c>
      <c r="BB79" s="303">
        <f t="shared" si="71"/>
        <v>0</v>
      </c>
      <c r="BC79" s="303" t="str">
        <f t="shared" si="72"/>
        <v/>
      </c>
      <c r="BD79" s="303" t="str">
        <f t="shared" si="73"/>
        <v/>
      </c>
      <c r="BF79" s="304">
        <f t="shared" si="74"/>
        <v>0</v>
      </c>
      <c r="BG79" s="304">
        <f t="shared" si="75"/>
        <v>0</v>
      </c>
      <c r="BH79" s="304" t="str">
        <f>IF( $B79="", "", IF(ISNA(VLOOKUP($C79, Defesa!$C$8:$C$30,1,FALSE)),1,0))</f>
        <v/>
      </c>
      <c r="BI79" s="305" t="str">
        <f t="shared" si="76"/>
        <v/>
      </c>
      <c r="BJ79" s="305" t="str">
        <f t="shared" si="77"/>
        <v/>
      </c>
      <c r="BK79" s="304" t="str">
        <f t="shared" si="78"/>
        <v/>
      </c>
      <c r="BL79" s="304">
        <f t="shared" si="79"/>
        <v>0</v>
      </c>
      <c r="BM79" s="304" t="str">
        <f>IF($AC79="", "", IF(ISNA(VLOOKUP($AC79, TABELAS!$Q:$Q, 1, FALSE)), 1, 0))</f>
        <v/>
      </c>
      <c r="BN79" s="306" t="str">
        <f t="shared" si="80"/>
        <v/>
      </c>
      <c r="BO79" s="304" t="str">
        <f t="shared" si="81"/>
        <v/>
      </c>
      <c r="BP79" s="304" t="str">
        <f t="shared" si="82"/>
        <v/>
      </c>
      <c r="BQ79" s="305" t="str">
        <f t="shared" si="83"/>
        <v/>
      </c>
      <c r="BR79" s="304" t="str">
        <f t="shared" si="84"/>
        <v/>
      </c>
      <c r="BS79" s="304" t="str">
        <f t="shared" si="85"/>
        <v/>
      </c>
      <c r="BT79" s="304" t="str">
        <f>IF(OR($B79="", $AH79 = "SIM"), "", IF( ISNA(VLOOKUP($AP79,#REF!, 1, FALSE)), 1, 0))</f>
        <v/>
      </c>
      <c r="BU79" s="304" t="str">
        <f t="shared" si="86"/>
        <v/>
      </c>
      <c r="BV79" s="304" t="str">
        <f>IF( $B79="", "", IF( ISNA(VLOOKUP($AN79, TABELAS!$T$2:$T$9,1,FALSE)), 1, 0))</f>
        <v/>
      </c>
      <c r="BW79" s="304" t="str">
        <f t="shared" si="87"/>
        <v/>
      </c>
      <c r="BX79" s="304" t="str">
        <f>IF( OR($B79="", $AH79 = "SIM"), "", IF( ISNA( VLOOKUP( $AQ79, SISTEMA!$B:$B, 1, FALSE)), 1, 0))</f>
        <v/>
      </c>
      <c r="BY79" s="305" t="str">
        <f t="shared" si="88"/>
        <v/>
      </c>
      <c r="BZ79" s="305" t="str">
        <f t="shared" si="89"/>
        <v/>
      </c>
      <c r="CA79" s="304" t="str">
        <f t="shared" si="90"/>
        <v/>
      </c>
      <c r="CB79" s="305" t="str">
        <f t="shared" si="91"/>
        <v/>
      </c>
      <c r="CC79" s="305" t="str">
        <f t="shared" si="92"/>
        <v/>
      </c>
      <c r="CD79" s="305" t="str">
        <f t="shared" si="93"/>
        <v/>
      </c>
    </row>
    <row r="80" spans="1:82" x14ac:dyDescent="0.2">
      <c r="A80" s="235"/>
      <c r="B80" s="236" t="str">
        <f t="shared" si="58"/>
        <v/>
      </c>
      <c r="C80" s="237" t="str">
        <f t="shared" si="48"/>
        <v/>
      </c>
      <c r="D80" s="237" t="str">
        <f t="shared" si="59"/>
        <v/>
      </c>
      <c r="E80" s="237" t="str">
        <f>IF($C80="", "", COUNTIF($M$8:$M80,$D80))</f>
        <v/>
      </c>
      <c r="F80" s="238">
        <v>73</v>
      </c>
      <c r="G80" s="239"/>
      <c r="H80" s="240"/>
      <c r="I80" s="240"/>
      <c r="J80" s="241"/>
      <c r="K80" s="240"/>
      <c r="L80" s="240"/>
      <c r="M80" s="240"/>
      <c r="N80" s="242"/>
      <c r="O80" s="243"/>
      <c r="P80" s="243"/>
      <c r="Q80" s="243"/>
      <c r="R80" s="243"/>
      <c r="S80" s="243"/>
      <c r="T80" s="245"/>
      <c r="U80" s="246" t="str">
        <f>IF($T80="", "", VLOOKUP($T80, CONTRATOS!$B:$E, 2, FALSE))</f>
        <v/>
      </c>
      <c r="V80" s="247">
        <f>IF(OR($T80="",TB_DEFESA!$C$2="Criação Baseline"),0,
   IF(VLOOKUP($T80, CONTRATOS!B:E, 3, FALSE)&lt;&gt;"",1,IF(VLOOKUP($T80, CONTRATOS!B:E, 4, FALSE)&lt;&gt;"",2,0)))</f>
        <v>0</v>
      </c>
      <c r="W80" s="248"/>
      <c r="X80" s="248"/>
      <c r="Y80" s="249"/>
      <c r="Z80" s="250"/>
      <c r="AA80" s="251"/>
      <c r="AB80" s="252"/>
      <c r="AC80" s="253"/>
      <c r="AD80" s="251"/>
      <c r="AE80" s="254" t="str">
        <f t="shared" si="49"/>
        <v/>
      </c>
      <c r="AF80" s="256" t="str">
        <f t="shared" si="60"/>
        <v/>
      </c>
      <c r="AG80" s="293" t="s">
        <v>62</v>
      </c>
      <c r="AH80" s="294" t="str">
        <f t="shared" si="61"/>
        <v/>
      </c>
      <c r="AI80" s="294" t="str">
        <f t="shared" si="62"/>
        <v/>
      </c>
      <c r="AJ80" s="295" t="str">
        <f t="shared" si="63"/>
        <v/>
      </c>
      <c r="AK80" s="296" t="str">
        <f t="shared" si="64"/>
        <v/>
      </c>
      <c r="AL80" s="297" t="str">
        <f t="shared" si="65"/>
        <v/>
      </c>
      <c r="AM80" s="294" t="str">
        <f t="shared" si="66"/>
        <v/>
      </c>
      <c r="AN80" s="294" t="str">
        <f t="shared" si="67"/>
        <v/>
      </c>
      <c r="AO80" s="298" t="str">
        <f t="shared" si="68"/>
        <v/>
      </c>
      <c r="AP80" s="299" t="str">
        <f t="shared" si="69"/>
        <v/>
      </c>
      <c r="AQ80" s="299" t="str">
        <f t="shared" si="70"/>
        <v/>
      </c>
      <c r="AR80" s="300" t="str">
        <f t="shared" si="50"/>
        <v/>
      </c>
      <c r="AS80" s="300" t="str">
        <f t="shared" si="51"/>
        <v/>
      </c>
      <c r="AT80" s="294" t="str">
        <f t="shared" si="52"/>
        <v/>
      </c>
      <c r="AU80" s="301" t="str">
        <f>IF(OR($B80="", $AP80= ""),"",IF(VLOOKUP($AP80, CONTRATOS!B:K,3,FALSE)="","",VLOOKUP($AP80, CONTRATOS!B:K, 3,FALSE)))</f>
        <v/>
      </c>
      <c r="AV80" s="301" t="str">
        <f>IF(OR($B80="", $AP80 = ""), "", IF(VLOOKUP($AP80, CONTRATOS!B:K,4,FALSE)="","",VLOOKUP($AP80, CONTRATOS!B:K,4, FALSE)))</f>
        <v/>
      </c>
      <c r="AW80" s="302" t="str">
        <f t="shared" si="53"/>
        <v/>
      </c>
      <c r="AX80" s="301" t="str">
        <f t="shared" si="54"/>
        <v/>
      </c>
      <c r="AY80" s="301" t="str">
        <f t="shared" si="55"/>
        <v/>
      </c>
      <c r="AZ80" s="301" t="str">
        <f t="shared" si="56"/>
        <v/>
      </c>
      <c r="BA80" s="301" t="str">
        <f t="shared" si="57"/>
        <v/>
      </c>
      <c r="BB80" s="303">
        <f t="shared" si="71"/>
        <v>0</v>
      </c>
      <c r="BC80" s="303" t="str">
        <f t="shared" si="72"/>
        <v/>
      </c>
      <c r="BD80" s="303" t="str">
        <f t="shared" si="73"/>
        <v/>
      </c>
      <c r="BF80" s="304">
        <f t="shared" si="74"/>
        <v>0</v>
      </c>
      <c r="BG80" s="304">
        <f t="shared" si="75"/>
        <v>0</v>
      </c>
      <c r="BH80" s="304" t="str">
        <f>IF( $B80="", "", IF(ISNA(VLOOKUP($C80, Defesa!$C$8:$C$30,1,FALSE)),1,0))</f>
        <v/>
      </c>
      <c r="BI80" s="305" t="str">
        <f t="shared" si="76"/>
        <v/>
      </c>
      <c r="BJ80" s="305" t="str">
        <f t="shared" si="77"/>
        <v/>
      </c>
      <c r="BK80" s="304" t="str">
        <f t="shared" si="78"/>
        <v/>
      </c>
      <c r="BL80" s="304">
        <f t="shared" si="79"/>
        <v>0</v>
      </c>
      <c r="BM80" s="304" t="str">
        <f>IF($AC80="", "", IF(ISNA(VLOOKUP($AC80, TABELAS!$Q:$Q, 1, FALSE)), 1, 0))</f>
        <v/>
      </c>
      <c r="BN80" s="306" t="str">
        <f t="shared" si="80"/>
        <v/>
      </c>
      <c r="BO80" s="304" t="str">
        <f t="shared" si="81"/>
        <v/>
      </c>
      <c r="BP80" s="304" t="str">
        <f t="shared" si="82"/>
        <v/>
      </c>
      <c r="BQ80" s="305" t="str">
        <f t="shared" si="83"/>
        <v/>
      </c>
      <c r="BR80" s="304" t="str">
        <f t="shared" si="84"/>
        <v/>
      </c>
      <c r="BS80" s="304" t="str">
        <f t="shared" si="85"/>
        <v/>
      </c>
      <c r="BT80" s="304" t="str">
        <f>IF(OR($B80="", $AH80 = "SIM"), "", IF( ISNA(VLOOKUP($AP80,#REF!, 1, FALSE)), 1, 0))</f>
        <v/>
      </c>
      <c r="BU80" s="304" t="str">
        <f t="shared" si="86"/>
        <v/>
      </c>
      <c r="BV80" s="304" t="str">
        <f>IF( $B80="", "", IF( ISNA(VLOOKUP($AN80, TABELAS!$T$2:$T$9,1,FALSE)), 1, 0))</f>
        <v/>
      </c>
      <c r="BW80" s="304" t="str">
        <f t="shared" si="87"/>
        <v/>
      </c>
      <c r="BX80" s="304" t="str">
        <f>IF( OR($B80="", $AH80 = "SIM"), "", IF( ISNA( VLOOKUP( $AQ80, SISTEMA!$B:$B, 1, FALSE)), 1, 0))</f>
        <v/>
      </c>
      <c r="BY80" s="305" t="str">
        <f t="shared" si="88"/>
        <v/>
      </c>
      <c r="BZ80" s="305" t="str">
        <f t="shared" si="89"/>
        <v/>
      </c>
      <c r="CA80" s="304" t="str">
        <f t="shared" si="90"/>
        <v/>
      </c>
      <c r="CB80" s="305" t="str">
        <f t="shared" si="91"/>
        <v/>
      </c>
      <c r="CC80" s="305" t="str">
        <f t="shared" si="92"/>
        <v/>
      </c>
      <c r="CD80" s="305" t="str">
        <f t="shared" si="93"/>
        <v/>
      </c>
    </row>
    <row r="81" spans="1:82" x14ac:dyDescent="0.2">
      <c r="A81" s="235"/>
      <c r="B81" s="236" t="str">
        <f t="shared" si="58"/>
        <v/>
      </c>
      <c r="C81" s="237" t="str">
        <f t="shared" si="48"/>
        <v/>
      </c>
      <c r="D81" s="237" t="str">
        <f t="shared" si="59"/>
        <v/>
      </c>
      <c r="E81" s="237" t="str">
        <f>IF($C81="", "", COUNTIF($M$8:$M81,$D81))</f>
        <v/>
      </c>
      <c r="F81" s="238">
        <v>74</v>
      </c>
      <c r="G81" s="239"/>
      <c r="H81" s="240"/>
      <c r="I81" s="240"/>
      <c r="J81" s="241"/>
      <c r="K81" s="240"/>
      <c r="L81" s="240"/>
      <c r="M81" s="240"/>
      <c r="N81" s="242"/>
      <c r="O81" s="243"/>
      <c r="P81" s="243"/>
      <c r="Q81" s="243"/>
      <c r="R81" s="243"/>
      <c r="S81" s="243"/>
      <c r="T81" s="245"/>
      <c r="U81" s="246" t="str">
        <f>IF($T81="", "", VLOOKUP($T81, CONTRATOS!$B:$E, 2, FALSE))</f>
        <v/>
      </c>
      <c r="V81" s="247">
        <f>IF(OR($T81="",TB_DEFESA!$C$2="Criação Baseline"),0,
   IF(VLOOKUP($T81, CONTRATOS!B:E, 3, FALSE)&lt;&gt;"",1,IF(VLOOKUP($T81, CONTRATOS!B:E, 4, FALSE)&lt;&gt;"",2,0)))</f>
        <v>0</v>
      </c>
      <c r="W81" s="248"/>
      <c r="X81" s="248"/>
      <c r="Y81" s="249"/>
      <c r="Z81" s="250"/>
      <c r="AA81" s="251"/>
      <c r="AB81" s="252"/>
      <c r="AC81" s="253"/>
      <c r="AD81" s="251"/>
      <c r="AE81" s="254" t="str">
        <f t="shared" si="49"/>
        <v/>
      </c>
      <c r="AF81" s="256" t="str">
        <f t="shared" si="60"/>
        <v/>
      </c>
      <c r="AG81" s="293" t="s">
        <v>62</v>
      </c>
      <c r="AH81" s="294" t="str">
        <f t="shared" si="61"/>
        <v/>
      </c>
      <c r="AI81" s="294" t="str">
        <f t="shared" si="62"/>
        <v/>
      </c>
      <c r="AJ81" s="295" t="str">
        <f t="shared" si="63"/>
        <v/>
      </c>
      <c r="AK81" s="296" t="str">
        <f t="shared" si="64"/>
        <v/>
      </c>
      <c r="AL81" s="297" t="str">
        <f t="shared" si="65"/>
        <v/>
      </c>
      <c r="AM81" s="294" t="str">
        <f t="shared" si="66"/>
        <v/>
      </c>
      <c r="AN81" s="294" t="str">
        <f t="shared" si="67"/>
        <v/>
      </c>
      <c r="AO81" s="298" t="str">
        <f t="shared" si="68"/>
        <v/>
      </c>
      <c r="AP81" s="299" t="str">
        <f t="shared" si="69"/>
        <v/>
      </c>
      <c r="AQ81" s="299" t="str">
        <f t="shared" si="70"/>
        <v/>
      </c>
      <c r="AR81" s="300" t="str">
        <f t="shared" si="50"/>
        <v/>
      </c>
      <c r="AS81" s="300" t="str">
        <f t="shared" si="51"/>
        <v/>
      </c>
      <c r="AT81" s="294" t="str">
        <f t="shared" si="52"/>
        <v/>
      </c>
      <c r="AU81" s="301" t="str">
        <f>IF(OR($B81="", $AP81= ""),"",IF(VLOOKUP($AP81, CONTRATOS!B:K,3,FALSE)="","",VLOOKUP($AP81, CONTRATOS!B:K, 3,FALSE)))</f>
        <v/>
      </c>
      <c r="AV81" s="301" t="str">
        <f>IF(OR($B81="", $AP81 = ""), "", IF(VLOOKUP($AP81, CONTRATOS!B:K,4,FALSE)="","",VLOOKUP($AP81, CONTRATOS!B:K,4, FALSE)))</f>
        <v/>
      </c>
      <c r="AW81" s="302" t="str">
        <f t="shared" si="53"/>
        <v/>
      </c>
      <c r="AX81" s="301" t="str">
        <f t="shared" si="54"/>
        <v/>
      </c>
      <c r="AY81" s="301" t="str">
        <f t="shared" si="55"/>
        <v/>
      </c>
      <c r="AZ81" s="301" t="str">
        <f t="shared" si="56"/>
        <v/>
      </c>
      <c r="BA81" s="301" t="str">
        <f t="shared" si="57"/>
        <v/>
      </c>
      <c r="BB81" s="303">
        <f t="shared" si="71"/>
        <v>0</v>
      </c>
      <c r="BC81" s="303" t="str">
        <f t="shared" si="72"/>
        <v/>
      </c>
      <c r="BD81" s="303" t="str">
        <f t="shared" si="73"/>
        <v/>
      </c>
      <c r="BF81" s="304">
        <f t="shared" si="74"/>
        <v>0</v>
      </c>
      <c r="BG81" s="304">
        <f t="shared" si="75"/>
        <v>0</v>
      </c>
      <c r="BH81" s="304" t="str">
        <f>IF( $B81="", "", IF(ISNA(VLOOKUP($C81, Defesa!$C$8:$C$30,1,FALSE)),1,0))</f>
        <v/>
      </c>
      <c r="BI81" s="305" t="str">
        <f t="shared" si="76"/>
        <v/>
      </c>
      <c r="BJ81" s="305" t="str">
        <f t="shared" si="77"/>
        <v/>
      </c>
      <c r="BK81" s="304" t="str">
        <f t="shared" si="78"/>
        <v/>
      </c>
      <c r="BL81" s="304">
        <f t="shared" si="79"/>
        <v>0</v>
      </c>
      <c r="BM81" s="304" t="str">
        <f>IF($AC81="", "", IF(ISNA(VLOOKUP($AC81, TABELAS!$Q:$Q, 1, FALSE)), 1, 0))</f>
        <v/>
      </c>
      <c r="BN81" s="306" t="str">
        <f t="shared" si="80"/>
        <v/>
      </c>
      <c r="BO81" s="304" t="str">
        <f t="shared" si="81"/>
        <v/>
      </c>
      <c r="BP81" s="304" t="str">
        <f t="shared" si="82"/>
        <v/>
      </c>
      <c r="BQ81" s="305" t="str">
        <f t="shared" si="83"/>
        <v/>
      </c>
      <c r="BR81" s="304" t="str">
        <f t="shared" si="84"/>
        <v/>
      </c>
      <c r="BS81" s="304" t="str">
        <f t="shared" si="85"/>
        <v/>
      </c>
      <c r="BT81" s="304" t="str">
        <f>IF(OR($B81="", $AH81 = "SIM"), "", IF( ISNA(VLOOKUP($AP81,#REF!, 1, FALSE)), 1, 0))</f>
        <v/>
      </c>
      <c r="BU81" s="304" t="str">
        <f t="shared" si="86"/>
        <v/>
      </c>
      <c r="BV81" s="304" t="str">
        <f>IF( $B81="", "", IF( ISNA(VLOOKUP($AN81, TABELAS!$T$2:$T$9,1,FALSE)), 1, 0))</f>
        <v/>
      </c>
      <c r="BW81" s="304" t="str">
        <f t="shared" si="87"/>
        <v/>
      </c>
      <c r="BX81" s="304" t="str">
        <f>IF( OR($B81="", $AH81 = "SIM"), "", IF( ISNA( VLOOKUP( $AQ81, SISTEMA!$B:$B, 1, FALSE)), 1, 0))</f>
        <v/>
      </c>
      <c r="BY81" s="305" t="str">
        <f t="shared" si="88"/>
        <v/>
      </c>
      <c r="BZ81" s="305" t="str">
        <f t="shared" si="89"/>
        <v/>
      </c>
      <c r="CA81" s="304" t="str">
        <f t="shared" si="90"/>
        <v/>
      </c>
      <c r="CB81" s="305" t="str">
        <f t="shared" si="91"/>
        <v/>
      </c>
      <c r="CC81" s="305" t="str">
        <f t="shared" si="92"/>
        <v/>
      </c>
      <c r="CD81" s="305" t="str">
        <f t="shared" si="93"/>
        <v/>
      </c>
    </row>
    <row r="82" spans="1:82" x14ac:dyDescent="0.2">
      <c r="A82" s="235"/>
      <c r="B82" s="236" t="str">
        <f t="shared" si="58"/>
        <v/>
      </c>
      <c r="C82" s="237" t="str">
        <f t="shared" si="48"/>
        <v/>
      </c>
      <c r="D82" s="237" t="str">
        <f t="shared" si="59"/>
        <v/>
      </c>
      <c r="E82" s="237" t="str">
        <f>IF($C82="", "", COUNTIF($M$8:$M82,$D82))</f>
        <v/>
      </c>
      <c r="F82" s="238">
        <v>75</v>
      </c>
      <c r="G82" s="239"/>
      <c r="H82" s="240"/>
      <c r="I82" s="240"/>
      <c r="J82" s="241"/>
      <c r="K82" s="240"/>
      <c r="L82" s="240"/>
      <c r="M82" s="240"/>
      <c r="N82" s="242"/>
      <c r="O82" s="243"/>
      <c r="P82" s="243"/>
      <c r="Q82" s="243"/>
      <c r="R82" s="243"/>
      <c r="S82" s="243"/>
      <c r="T82" s="245"/>
      <c r="U82" s="246" t="str">
        <f>IF($T82="", "", VLOOKUP($T82, CONTRATOS!$B:$E, 2, FALSE))</f>
        <v/>
      </c>
      <c r="V82" s="247">
        <f>IF(OR($T82="",TB_DEFESA!$C$2="Criação Baseline"),0,
   IF(VLOOKUP($T82, CONTRATOS!B:E, 3, FALSE)&lt;&gt;"",1,IF(VLOOKUP($T82, CONTRATOS!B:E, 4, FALSE)&lt;&gt;"",2,0)))</f>
        <v>0</v>
      </c>
      <c r="W82" s="248"/>
      <c r="X82" s="248"/>
      <c r="Y82" s="249"/>
      <c r="Z82" s="250"/>
      <c r="AA82" s="251"/>
      <c r="AB82" s="252"/>
      <c r="AC82" s="253"/>
      <c r="AD82" s="251"/>
      <c r="AE82" s="254" t="str">
        <f t="shared" si="49"/>
        <v/>
      </c>
      <c r="AF82" s="256" t="str">
        <f t="shared" si="60"/>
        <v/>
      </c>
      <c r="AG82" s="293" t="s">
        <v>62</v>
      </c>
      <c r="AH82" s="294" t="str">
        <f t="shared" si="61"/>
        <v/>
      </c>
      <c r="AI82" s="294" t="str">
        <f t="shared" si="62"/>
        <v/>
      </c>
      <c r="AJ82" s="295" t="str">
        <f t="shared" si="63"/>
        <v/>
      </c>
      <c r="AK82" s="296" t="str">
        <f t="shared" si="64"/>
        <v/>
      </c>
      <c r="AL82" s="297" t="str">
        <f t="shared" si="65"/>
        <v/>
      </c>
      <c r="AM82" s="294" t="str">
        <f t="shared" si="66"/>
        <v/>
      </c>
      <c r="AN82" s="294" t="str">
        <f t="shared" si="67"/>
        <v/>
      </c>
      <c r="AO82" s="298" t="str">
        <f t="shared" si="68"/>
        <v/>
      </c>
      <c r="AP82" s="299" t="str">
        <f t="shared" si="69"/>
        <v/>
      </c>
      <c r="AQ82" s="299" t="str">
        <f t="shared" si="70"/>
        <v/>
      </c>
      <c r="AR82" s="300" t="str">
        <f t="shared" si="50"/>
        <v/>
      </c>
      <c r="AS82" s="300" t="str">
        <f t="shared" si="51"/>
        <v/>
      </c>
      <c r="AT82" s="294" t="str">
        <f t="shared" si="52"/>
        <v/>
      </c>
      <c r="AU82" s="301" t="str">
        <f>IF(OR($B82="", $AP82= ""),"",IF(VLOOKUP($AP82, CONTRATOS!B:K,3,FALSE)="","",VLOOKUP($AP82, CONTRATOS!B:K, 3,FALSE)))</f>
        <v/>
      </c>
      <c r="AV82" s="301" t="str">
        <f>IF(OR($B82="", $AP82 = ""), "", IF(VLOOKUP($AP82, CONTRATOS!B:K,4,FALSE)="","",VLOOKUP($AP82, CONTRATOS!B:K,4, FALSE)))</f>
        <v/>
      </c>
      <c r="AW82" s="302" t="str">
        <f t="shared" si="53"/>
        <v/>
      </c>
      <c r="AX82" s="301" t="str">
        <f t="shared" si="54"/>
        <v/>
      </c>
      <c r="AY82" s="301" t="str">
        <f t="shared" si="55"/>
        <v/>
      </c>
      <c r="AZ82" s="301" t="str">
        <f t="shared" si="56"/>
        <v/>
      </c>
      <c r="BA82" s="301" t="str">
        <f t="shared" si="57"/>
        <v/>
      </c>
      <c r="BB82" s="303">
        <f t="shared" si="71"/>
        <v>0</v>
      </c>
      <c r="BC82" s="303" t="str">
        <f t="shared" si="72"/>
        <v/>
      </c>
      <c r="BD82" s="303" t="str">
        <f t="shared" si="73"/>
        <v/>
      </c>
      <c r="BF82" s="304">
        <f t="shared" si="74"/>
        <v>0</v>
      </c>
      <c r="BG82" s="304">
        <f t="shared" si="75"/>
        <v>0</v>
      </c>
      <c r="BH82" s="304" t="str">
        <f>IF( $B82="", "", IF(ISNA(VLOOKUP($C82, Defesa!$C$8:$C$30,1,FALSE)),1,0))</f>
        <v/>
      </c>
      <c r="BI82" s="305" t="str">
        <f t="shared" si="76"/>
        <v/>
      </c>
      <c r="BJ82" s="305" t="str">
        <f t="shared" si="77"/>
        <v/>
      </c>
      <c r="BK82" s="304" t="str">
        <f t="shared" si="78"/>
        <v/>
      </c>
      <c r="BL82" s="304">
        <f t="shared" si="79"/>
        <v>0</v>
      </c>
      <c r="BM82" s="304" t="str">
        <f>IF($AC82="", "", IF(ISNA(VLOOKUP($AC82, TABELAS!$Q:$Q, 1, FALSE)), 1, 0))</f>
        <v/>
      </c>
      <c r="BN82" s="306" t="str">
        <f t="shared" si="80"/>
        <v/>
      </c>
      <c r="BO82" s="304" t="str">
        <f t="shared" si="81"/>
        <v/>
      </c>
      <c r="BP82" s="304" t="str">
        <f t="shared" si="82"/>
        <v/>
      </c>
      <c r="BQ82" s="305" t="str">
        <f t="shared" si="83"/>
        <v/>
      </c>
      <c r="BR82" s="304" t="str">
        <f t="shared" si="84"/>
        <v/>
      </c>
      <c r="BS82" s="304" t="str">
        <f t="shared" si="85"/>
        <v/>
      </c>
      <c r="BT82" s="304" t="str">
        <f>IF(OR($B82="", $AH82 = "SIM"), "", IF( ISNA(VLOOKUP($AP82,#REF!, 1, FALSE)), 1, 0))</f>
        <v/>
      </c>
      <c r="BU82" s="304" t="str">
        <f t="shared" si="86"/>
        <v/>
      </c>
      <c r="BV82" s="304" t="str">
        <f>IF( $B82="", "", IF( ISNA(VLOOKUP($AN82, TABELAS!$T$2:$T$9,1,FALSE)), 1, 0))</f>
        <v/>
      </c>
      <c r="BW82" s="304" t="str">
        <f t="shared" si="87"/>
        <v/>
      </c>
      <c r="BX82" s="304" t="str">
        <f>IF( OR($B82="", $AH82 = "SIM"), "", IF( ISNA( VLOOKUP( $AQ82, SISTEMA!$B:$B, 1, FALSE)), 1, 0))</f>
        <v/>
      </c>
      <c r="BY82" s="305" t="str">
        <f t="shared" si="88"/>
        <v/>
      </c>
      <c r="BZ82" s="305" t="str">
        <f t="shared" si="89"/>
        <v/>
      </c>
      <c r="CA82" s="304" t="str">
        <f t="shared" si="90"/>
        <v/>
      </c>
      <c r="CB82" s="305" t="str">
        <f t="shared" si="91"/>
        <v/>
      </c>
      <c r="CC82" s="305" t="str">
        <f t="shared" si="92"/>
        <v/>
      </c>
      <c r="CD82" s="305" t="str">
        <f t="shared" si="93"/>
        <v/>
      </c>
    </row>
    <row r="83" spans="1:82" x14ac:dyDescent="0.2">
      <c r="A83" s="235"/>
      <c r="B83" s="236" t="str">
        <f t="shared" si="58"/>
        <v/>
      </c>
      <c r="C83" s="237" t="str">
        <f t="shared" si="48"/>
        <v/>
      </c>
      <c r="D83" s="237" t="str">
        <f t="shared" si="59"/>
        <v/>
      </c>
      <c r="E83" s="237" t="str">
        <f>IF($C83="", "", COUNTIF($M$8:$M83,$D83))</f>
        <v/>
      </c>
      <c r="F83" s="238">
        <v>76</v>
      </c>
      <c r="G83" s="239"/>
      <c r="H83" s="240"/>
      <c r="I83" s="240"/>
      <c r="J83" s="241"/>
      <c r="K83" s="240"/>
      <c r="L83" s="240"/>
      <c r="M83" s="240"/>
      <c r="N83" s="242"/>
      <c r="O83" s="243"/>
      <c r="P83" s="243"/>
      <c r="Q83" s="243"/>
      <c r="R83" s="243"/>
      <c r="S83" s="243"/>
      <c r="T83" s="245"/>
      <c r="U83" s="246" t="str">
        <f>IF($T83="", "", VLOOKUP($T83, CONTRATOS!$B:$E, 2, FALSE))</f>
        <v/>
      </c>
      <c r="V83" s="247">
        <f>IF(OR($T83="",TB_DEFESA!$C$2="Criação Baseline"),0,
   IF(VLOOKUP($T83, CONTRATOS!B:E, 3, FALSE)&lt;&gt;"",1,IF(VLOOKUP($T83, CONTRATOS!B:E, 4, FALSE)&lt;&gt;"",2,0)))</f>
        <v>0</v>
      </c>
      <c r="W83" s="248"/>
      <c r="X83" s="248"/>
      <c r="Y83" s="249"/>
      <c r="Z83" s="250"/>
      <c r="AA83" s="251"/>
      <c r="AB83" s="252"/>
      <c r="AC83" s="253"/>
      <c r="AD83" s="251"/>
      <c r="AE83" s="254" t="str">
        <f t="shared" si="49"/>
        <v/>
      </c>
      <c r="AF83" s="256" t="str">
        <f t="shared" si="60"/>
        <v/>
      </c>
      <c r="AG83" s="293" t="s">
        <v>62</v>
      </c>
      <c r="AH83" s="294" t="str">
        <f t="shared" si="61"/>
        <v/>
      </c>
      <c r="AI83" s="294" t="str">
        <f t="shared" si="62"/>
        <v/>
      </c>
      <c r="AJ83" s="295" t="str">
        <f t="shared" si="63"/>
        <v/>
      </c>
      <c r="AK83" s="296" t="str">
        <f t="shared" si="64"/>
        <v/>
      </c>
      <c r="AL83" s="297" t="str">
        <f t="shared" si="65"/>
        <v/>
      </c>
      <c r="AM83" s="294" t="str">
        <f t="shared" si="66"/>
        <v/>
      </c>
      <c r="AN83" s="294" t="str">
        <f t="shared" si="67"/>
        <v/>
      </c>
      <c r="AO83" s="298" t="str">
        <f t="shared" si="68"/>
        <v/>
      </c>
      <c r="AP83" s="299" t="str">
        <f t="shared" si="69"/>
        <v/>
      </c>
      <c r="AQ83" s="299" t="str">
        <f t="shared" si="70"/>
        <v/>
      </c>
      <c r="AR83" s="300" t="str">
        <f t="shared" si="50"/>
        <v/>
      </c>
      <c r="AS83" s="300" t="str">
        <f t="shared" si="51"/>
        <v/>
      </c>
      <c r="AT83" s="294" t="str">
        <f t="shared" si="52"/>
        <v/>
      </c>
      <c r="AU83" s="301" t="str">
        <f>IF(OR($B83="", $AP83= ""),"",IF(VLOOKUP($AP83, CONTRATOS!B:K,3,FALSE)="","",VLOOKUP($AP83, CONTRATOS!B:K, 3,FALSE)))</f>
        <v/>
      </c>
      <c r="AV83" s="301" t="str">
        <f>IF(OR($B83="", $AP83 = ""), "", IF(VLOOKUP($AP83, CONTRATOS!B:K,4,FALSE)="","",VLOOKUP($AP83, CONTRATOS!B:K,4, FALSE)))</f>
        <v/>
      </c>
      <c r="AW83" s="302" t="str">
        <f t="shared" si="53"/>
        <v/>
      </c>
      <c r="AX83" s="301" t="str">
        <f t="shared" si="54"/>
        <v/>
      </c>
      <c r="AY83" s="301" t="str">
        <f t="shared" si="55"/>
        <v/>
      </c>
      <c r="AZ83" s="301" t="str">
        <f t="shared" si="56"/>
        <v/>
      </c>
      <c r="BA83" s="301" t="str">
        <f t="shared" si="57"/>
        <v/>
      </c>
      <c r="BB83" s="303">
        <f t="shared" si="71"/>
        <v>0</v>
      </c>
      <c r="BC83" s="303" t="str">
        <f t="shared" si="72"/>
        <v/>
      </c>
      <c r="BD83" s="303" t="str">
        <f t="shared" si="73"/>
        <v/>
      </c>
      <c r="BF83" s="304">
        <f t="shared" si="74"/>
        <v>0</v>
      </c>
      <c r="BG83" s="304">
        <f t="shared" si="75"/>
        <v>0</v>
      </c>
      <c r="BH83" s="304" t="str">
        <f>IF( $B83="", "", IF(ISNA(VLOOKUP($C83, Defesa!$C$8:$C$30,1,FALSE)),1,0))</f>
        <v/>
      </c>
      <c r="BI83" s="305" t="str">
        <f t="shared" si="76"/>
        <v/>
      </c>
      <c r="BJ83" s="305" t="str">
        <f t="shared" si="77"/>
        <v/>
      </c>
      <c r="BK83" s="304" t="str">
        <f t="shared" si="78"/>
        <v/>
      </c>
      <c r="BL83" s="304">
        <f t="shared" si="79"/>
        <v>0</v>
      </c>
      <c r="BM83" s="304" t="str">
        <f>IF($AC83="", "", IF(ISNA(VLOOKUP($AC83, TABELAS!$Q:$Q, 1, FALSE)), 1, 0))</f>
        <v/>
      </c>
      <c r="BN83" s="306" t="str">
        <f t="shared" si="80"/>
        <v/>
      </c>
      <c r="BO83" s="304" t="str">
        <f t="shared" si="81"/>
        <v/>
      </c>
      <c r="BP83" s="304" t="str">
        <f t="shared" si="82"/>
        <v/>
      </c>
      <c r="BQ83" s="305" t="str">
        <f t="shared" si="83"/>
        <v/>
      </c>
      <c r="BR83" s="304" t="str">
        <f t="shared" si="84"/>
        <v/>
      </c>
      <c r="BS83" s="304" t="str">
        <f t="shared" si="85"/>
        <v/>
      </c>
      <c r="BT83" s="304" t="str">
        <f>IF(OR($B83="", $AH83 = "SIM"), "", IF( ISNA(VLOOKUP($AP83,#REF!, 1, FALSE)), 1, 0))</f>
        <v/>
      </c>
      <c r="BU83" s="304" t="str">
        <f t="shared" si="86"/>
        <v/>
      </c>
      <c r="BV83" s="304" t="str">
        <f>IF( $B83="", "", IF( ISNA(VLOOKUP($AN83, TABELAS!$T$2:$T$9,1,FALSE)), 1, 0))</f>
        <v/>
      </c>
      <c r="BW83" s="304" t="str">
        <f t="shared" si="87"/>
        <v/>
      </c>
      <c r="BX83" s="304" t="str">
        <f>IF( OR($B83="", $AH83 = "SIM"), "", IF( ISNA( VLOOKUP( $AQ83, SISTEMA!$B:$B, 1, FALSE)), 1, 0))</f>
        <v/>
      </c>
      <c r="BY83" s="305" t="str">
        <f t="shared" si="88"/>
        <v/>
      </c>
      <c r="BZ83" s="305" t="str">
        <f t="shared" si="89"/>
        <v/>
      </c>
      <c r="CA83" s="304" t="str">
        <f t="shared" si="90"/>
        <v/>
      </c>
      <c r="CB83" s="305" t="str">
        <f t="shared" si="91"/>
        <v/>
      </c>
      <c r="CC83" s="305" t="str">
        <f t="shared" si="92"/>
        <v/>
      </c>
      <c r="CD83" s="305" t="str">
        <f t="shared" si="93"/>
        <v/>
      </c>
    </row>
    <row r="84" spans="1:82" x14ac:dyDescent="0.2">
      <c r="A84" s="235"/>
      <c r="B84" s="236" t="str">
        <f t="shared" si="58"/>
        <v/>
      </c>
      <c r="C84" s="237" t="str">
        <f t="shared" si="48"/>
        <v/>
      </c>
      <c r="D84" s="237" t="str">
        <f t="shared" si="59"/>
        <v/>
      </c>
      <c r="E84" s="237" t="str">
        <f>IF($C84="", "", COUNTIF($M$8:$M84,$D84))</f>
        <v/>
      </c>
      <c r="F84" s="238">
        <v>77</v>
      </c>
      <c r="G84" s="239"/>
      <c r="H84" s="240"/>
      <c r="I84" s="240"/>
      <c r="J84" s="241"/>
      <c r="K84" s="240"/>
      <c r="L84" s="240"/>
      <c r="M84" s="240"/>
      <c r="N84" s="242"/>
      <c r="O84" s="243"/>
      <c r="P84" s="243"/>
      <c r="Q84" s="243"/>
      <c r="R84" s="243"/>
      <c r="S84" s="243"/>
      <c r="T84" s="245"/>
      <c r="U84" s="246" t="str">
        <f>IF($T84="", "", VLOOKUP($T84, CONTRATOS!$B:$E, 2, FALSE))</f>
        <v/>
      </c>
      <c r="V84" s="247">
        <f>IF(OR($T84="",TB_DEFESA!$C$2="Criação Baseline"),0,
   IF(VLOOKUP($T84, CONTRATOS!B:E, 3, FALSE)&lt;&gt;"",1,IF(VLOOKUP($T84, CONTRATOS!B:E, 4, FALSE)&lt;&gt;"",2,0)))</f>
        <v>0</v>
      </c>
      <c r="W84" s="248"/>
      <c r="X84" s="248"/>
      <c r="Y84" s="249"/>
      <c r="Z84" s="250"/>
      <c r="AA84" s="251"/>
      <c r="AB84" s="252"/>
      <c r="AC84" s="253"/>
      <c r="AD84" s="251"/>
      <c r="AE84" s="254" t="str">
        <f t="shared" si="49"/>
        <v/>
      </c>
      <c r="AF84" s="256" t="str">
        <f t="shared" si="60"/>
        <v/>
      </c>
      <c r="AG84" s="293" t="s">
        <v>62</v>
      </c>
      <c r="AH84" s="294" t="str">
        <f t="shared" si="61"/>
        <v/>
      </c>
      <c r="AI84" s="294" t="str">
        <f t="shared" si="62"/>
        <v/>
      </c>
      <c r="AJ84" s="295" t="str">
        <f t="shared" si="63"/>
        <v/>
      </c>
      <c r="AK84" s="296" t="str">
        <f t="shared" si="64"/>
        <v/>
      </c>
      <c r="AL84" s="297" t="str">
        <f t="shared" si="65"/>
        <v/>
      </c>
      <c r="AM84" s="294" t="str">
        <f t="shared" si="66"/>
        <v/>
      </c>
      <c r="AN84" s="294" t="str">
        <f t="shared" si="67"/>
        <v/>
      </c>
      <c r="AO84" s="298" t="str">
        <f t="shared" si="68"/>
        <v/>
      </c>
      <c r="AP84" s="299" t="str">
        <f t="shared" si="69"/>
        <v/>
      </c>
      <c r="AQ84" s="299" t="str">
        <f t="shared" si="70"/>
        <v/>
      </c>
      <c r="AR84" s="300" t="str">
        <f t="shared" si="50"/>
        <v/>
      </c>
      <c r="AS84" s="300" t="str">
        <f t="shared" si="51"/>
        <v/>
      </c>
      <c r="AT84" s="294" t="str">
        <f t="shared" si="52"/>
        <v/>
      </c>
      <c r="AU84" s="301" t="str">
        <f>IF(OR($B84="", $AP84= ""),"",IF(VLOOKUP($AP84, CONTRATOS!B:K,3,FALSE)="","",VLOOKUP($AP84, CONTRATOS!B:K, 3,FALSE)))</f>
        <v/>
      </c>
      <c r="AV84" s="301" t="str">
        <f>IF(OR($B84="", $AP84 = ""), "", IF(VLOOKUP($AP84, CONTRATOS!B:K,4,FALSE)="","",VLOOKUP($AP84, CONTRATOS!B:K,4, FALSE)))</f>
        <v/>
      </c>
      <c r="AW84" s="302" t="str">
        <f t="shared" si="53"/>
        <v/>
      </c>
      <c r="AX84" s="301" t="str">
        <f t="shared" si="54"/>
        <v/>
      </c>
      <c r="AY84" s="301" t="str">
        <f t="shared" si="55"/>
        <v/>
      </c>
      <c r="AZ84" s="301" t="str">
        <f t="shared" si="56"/>
        <v/>
      </c>
      <c r="BA84" s="301" t="str">
        <f t="shared" si="57"/>
        <v/>
      </c>
      <c r="BB84" s="303">
        <f t="shared" si="71"/>
        <v>0</v>
      </c>
      <c r="BC84" s="303" t="str">
        <f t="shared" si="72"/>
        <v/>
      </c>
      <c r="BD84" s="303" t="str">
        <f t="shared" si="73"/>
        <v/>
      </c>
      <c r="BF84" s="304">
        <f t="shared" si="74"/>
        <v>0</v>
      </c>
      <c r="BG84" s="304">
        <f t="shared" si="75"/>
        <v>0</v>
      </c>
      <c r="BH84" s="304" t="str">
        <f>IF( $B84="", "", IF(ISNA(VLOOKUP($C84, Defesa!$C$8:$C$30,1,FALSE)),1,0))</f>
        <v/>
      </c>
      <c r="BI84" s="305" t="str">
        <f t="shared" si="76"/>
        <v/>
      </c>
      <c r="BJ84" s="305" t="str">
        <f t="shared" si="77"/>
        <v/>
      </c>
      <c r="BK84" s="304" t="str">
        <f t="shared" si="78"/>
        <v/>
      </c>
      <c r="BL84" s="304">
        <f t="shared" si="79"/>
        <v>0</v>
      </c>
      <c r="BM84" s="304" t="str">
        <f>IF($AC84="", "", IF(ISNA(VLOOKUP($AC84, TABELAS!$Q:$Q, 1, FALSE)), 1, 0))</f>
        <v/>
      </c>
      <c r="BN84" s="306" t="str">
        <f t="shared" si="80"/>
        <v/>
      </c>
      <c r="BO84" s="304" t="str">
        <f t="shared" si="81"/>
        <v/>
      </c>
      <c r="BP84" s="304" t="str">
        <f t="shared" si="82"/>
        <v/>
      </c>
      <c r="BQ84" s="305" t="str">
        <f t="shared" si="83"/>
        <v/>
      </c>
      <c r="BR84" s="304" t="str">
        <f t="shared" si="84"/>
        <v/>
      </c>
      <c r="BS84" s="304" t="str">
        <f t="shared" si="85"/>
        <v/>
      </c>
      <c r="BT84" s="304" t="str">
        <f>IF(OR($B84="", $AH84 = "SIM"), "", IF( ISNA(VLOOKUP($AP84,#REF!, 1, FALSE)), 1, 0))</f>
        <v/>
      </c>
      <c r="BU84" s="304" t="str">
        <f t="shared" si="86"/>
        <v/>
      </c>
      <c r="BV84" s="304" t="str">
        <f>IF( $B84="", "", IF( ISNA(VLOOKUP($AN84, TABELAS!$T$2:$T$9,1,FALSE)), 1, 0))</f>
        <v/>
      </c>
      <c r="BW84" s="304" t="str">
        <f t="shared" si="87"/>
        <v/>
      </c>
      <c r="BX84" s="304" t="str">
        <f>IF( OR($B84="", $AH84 = "SIM"), "", IF( ISNA( VLOOKUP( $AQ84, SISTEMA!$B:$B, 1, FALSE)), 1, 0))</f>
        <v/>
      </c>
      <c r="BY84" s="305" t="str">
        <f t="shared" si="88"/>
        <v/>
      </c>
      <c r="BZ84" s="305" t="str">
        <f t="shared" si="89"/>
        <v/>
      </c>
      <c r="CA84" s="304" t="str">
        <f t="shared" si="90"/>
        <v/>
      </c>
      <c r="CB84" s="305" t="str">
        <f t="shared" si="91"/>
        <v/>
      </c>
      <c r="CC84" s="305" t="str">
        <f t="shared" si="92"/>
        <v/>
      </c>
      <c r="CD84" s="305" t="str">
        <f t="shared" si="93"/>
        <v/>
      </c>
    </row>
    <row r="85" spans="1:82" x14ac:dyDescent="0.2">
      <c r="A85" s="235"/>
      <c r="B85" s="236" t="str">
        <f t="shared" si="58"/>
        <v/>
      </c>
      <c r="C85" s="237" t="str">
        <f t="shared" si="48"/>
        <v/>
      </c>
      <c r="D85" s="237" t="str">
        <f t="shared" si="59"/>
        <v/>
      </c>
      <c r="E85" s="237" t="str">
        <f>IF($C85="", "", COUNTIF($M$8:$M85,$D85))</f>
        <v/>
      </c>
      <c r="F85" s="238">
        <v>78</v>
      </c>
      <c r="G85" s="239"/>
      <c r="H85" s="240"/>
      <c r="I85" s="240"/>
      <c r="J85" s="241"/>
      <c r="K85" s="240"/>
      <c r="L85" s="240"/>
      <c r="M85" s="240"/>
      <c r="N85" s="242"/>
      <c r="O85" s="243"/>
      <c r="P85" s="243"/>
      <c r="Q85" s="243"/>
      <c r="R85" s="243"/>
      <c r="S85" s="243"/>
      <c r="T85" s="245"/>
      <c r="U85" s="246" t="str">
        <f>IF($T85="", "", VLOOKUP($T85, CONTRATOS!$B:$E, 2, FALSE))</f>
        <v/>
      </c>
      <c r="V85" s="247">
        <f>IF(OR($T85="",TB_DEFESA!$C$2="Criação Baseline"),0,
   IF(VLOOKUP($T85, CONTRATOS!B:E, 3, FALSE)&lt;&gt;"",1,IF(VLOOKUP($T85, CONTRATOS!B:E, 4, FALSE)&lt;&gt;"",2,0)))</f>
        <v>0</v>
      </c>
      <c r="W85" s="248"/>
      <c r="X85" s="248"/>
      <c r="Y85" s="249"/>
      <c r="Z85" s="250"/>
      <c r="AA85" s="251"/>
      <c r="AB85" s="252"/>
      <c r="AC85" s="253"/>
      <c r="AD85" s="251"/>
      <c r="AE85" s="254" t="str">
        <f t="shared" si="49"/>
        <v/>
      </c>
      <c r="AF85" s="256" t="str">
        <f t="shared" si="60"/>
        <v/>
      </c>
      <c r="AG85" s="293" t="s">
        <v>62</v>
      </c>
      <c r="AH85" s="294" t="str">
        <f t="shared" si="61"/>
        <v/>
      </c>
      <c r="AI85" s="294" t="str">
        <f t="shared" si="62"/>
        <v/>
      </c>
      <c r="AJ85" s="295" t="str">
        <f t="shared" si="63"/>
        <v/>
      </c>
      <c r="AK85" s="296" t="str">
        <f t="shared" si="64"/>
        <v/>
      </c>
      <c r="AL85" s="297" t="str">
        <f t="shared" si="65"/>
        <v/>
      </c>
      <c r="AM85" s="294" t="str">
        <f t="shared" si="66"/>
        <v/>
      </c>
      <c r="AN85" s="294" t="str">
        <f t="shared" si="67"/>
        <v/>
      </c>
      <c r="AO85" s="298" t="str">
        <f t="shared" si="68"/>
        <v/>
      </c>
      <c r="AP85" s="299" t="str">
        <f t="shared" si="69"/>
        <v/>
      </c>
      <c r="AQ85" s="299" t="str">
        <f t="shared" si="70"/>
        <v/>
      </c>
      <c r="AR85" s="300" t="str">
        <f t="shared" si="50"/>
        <v/>
      </c>
      <c r="AS85" s="300" t="str">
        <f t="shared" si="51"/>
        <v/>
      </c>
      <c r="AT85" s="294" t="str">
        <f t="shared" si="52"/>
        <v/>
      </c>
      <c r="AU85" s="301" t="str">
        <f>IF(OR($B85="", $AP85= ""),"",IF(VLOOKUP($AP85, CONTRATOS!B:K,3,FALSE)="","",VLOOKUP($AP85, CONTRATOS!B:K, 3,FALSE)))</f>
        <v/>
      </c>
      <c r="AV85" s="301" t="str">
        <f>IF(OR($B85="", $AP85 = ""), "", IF(VLOOKUP($AP85, CONTRATOS!B:K,4,FALSE)="","",VLOOKUP($AP85, CONTRATOS!B:K,4, FALSE)))</f>
        <v/>
      </c>
      <c r="AW85" s="302" t="str">
        <f t="shared" si="53"/>
        <v/>
      </c>
      <c r="AX85" s="301" t="str">
        <f t="shared" si="54"/>
        <v/>
      </c>
      <c r="AY85" s="301" t="str">
        <f t="shared" si="55"/>
        <v/>
      </c>
      <c r="AZ85" s="301" t="str">
        <f t="shared" si="56"/>
        <v/>
      </c>
      <c r="BA85" s="301" t="str">
        <f t="shared" si="57"/>
        <v/>
      </c>
      <c r="BB85" s="303">
        <f t="shared" si="71"/>
        <v>0</v>
      </c>
      <c r="BC85" s="303" t="str">
        <f t="shared" si="72"/>
        <v/>
      </c>
      <c r="BD85" s="303" t="str">
        <f t="shared" si="73"/>
        <v/>
      </c>
      <c r="BF85" s="304">
        <f t="shared" si="74"/>
        <v>0</v>
      </c>
      <c r="BG85" s="304">
        <f t="shared" si="75"/>
        <v>0</v>
      </c>
      <c r="BH85" s="304" t="str">
        <f>IF( $B85="", "", IF(ISNA(VLOOKUP($C85, Defesa!$C$8:$C$30,1,FALSE)),1,0))</f>
        <v/>
      </c>
      <c r="BI85" s="305" t="str">
        <f t="shared" si="76"/>
        <v/>
      </c>
      <c r="BJ85" s="305" t="str">
        <f t="shared" si="77"/>
        <v/>
      </c>
      <c r="BK85" s="304" t="str">
        <f t="shared" si="78"/>
        <v/>
      </c>
      <c r="BL85" s="304">
        <f t="shared" si="79"/>
        <v>0</v>
      </c>
      <c r="BM85" s="304" t="str">
        <f>IF($AC85="", "", IF(ISNA(VLOOKUP($AC85, TABELAS!$Q:$Q, 1, FALSE)), 1, 0))</f>
        <v/>
      </c>
      <c r="BN85" s="306" t="str">
        <f t="shared" si="80"/>
        <v/>
      </c>
      <c r="BO85" s="304" t="str">
        <f t="shared" si="81"/>
        <v/>
      </c>
      <c r="BP85" s="304" t="str">
        <f t="shared" si="82"/>
        <v/>
      </c>
      <c r="BQ85" s="305" t="str">
        <f t="shared" si="83"/>
        <v/>
      </c>
      <c r="BR85" s="304" t="str">
        <f t="shared" si="84"/>
        <v/>
      </c>
      <c r="BS85" s="304" t="str">
        <f t="shared" si="85"/>
        <v/>
      </c>
      <c r="BT85" s="304" t="str">
        <f>IF(OR($B85="", $AH85 = "SIM"), "", IF( ISNA(VLOOKUP($AP85,#REF!, 1, FALSE)), 1, 0))</f>
        <v/>
      </c>
      <c r="BU85" s="304" t="str">
        <f t="shared" si="86"/>
        <v/>
      </c>
      <c r="BV85" s="304" t="str">
        <f>IF( $B85="", "", IF( ISNA(VLOOKUP($AN85, TABELAS!$T$2:$T$9,1,FALSE)), 1, 0))</f>
        <v/>
      </c>
      <c r="BW85" s="304" t="str">
        <f t="shared" si="87"/>
        <v/>
      </c>
      <c r="BX85" s="304" t="str">
        <f>IF( OR($B85="", $AH85 = "SIM"), "", IF( ISNA( VLOOKUP( $AQ85, SISTEMA!$B:$B, 1, FALSE)), 1, 0))</f>
        <v/>
      </c>
      <c r="BY85" s="305" t="str">
        <f t="shared" si="88"/>
        <v/>
      </c>
      <c r="BZ85" s="305" t="str">
        <f t="shared" si="89"/>
        <v/>
      </c>
      <c r="CA85" s="304" t="str">
        <f t="shared" si="90"/>
        <v/>
      </c>
      <c r="CB85" s="305" t="str">
        <f t="shared" si="91"/>
        <v/>
      </c>
      <c r="CC85" s="305" t="str">
        <f t="shared" si="92"/>
        <v/>
      </c>
      <c r="CD85" s="305" t="str">
        <f t="shared" si="93"/>
        <v/>
      </c>
    </row>
    <row r="86" spans="1:82" x14ac:dyDescent="0.2">
      <c r="A86" s="235"/>
      <c r="B86" s="236" t="str">
        <f t="shared" si="58"/>
        <v/>
      </c>
      <c r="C86" s="237" t="str">
        <f t="shared" si="48"/>
        <v/>
      </c>
      <c r="D86" s="237" t="str">
        <f t="shared" si="59"/>
        <v/>
      </c>
      <c r="E86" s="237" t="str">
        <f>IF($C86="", "", COUNTIF($M$8:$M86,$D86))</f>
        <v/>
      </c>
      <c r="F86" s="238">
        <v>79</v>
      </c>
      <c r="G86" s="239"/>
      <c r="H86" s="240"/>
      <c r="I86" s="240"/>
      <c r="J86" s="241"/>
      <c r="K86" s="240"/>
      <c r="L86" s="240"/>
      <c r="M86" s="240"/>
      <c r="N86" s="242"/>
      <c r="O86" s="243"/>
      <c r="P86" s="243"/>
      <c r="Q86" s="243"/>
      <c r="R86" s="243"/>
      <c r="S86" s="243"/>
      <c r="T86" s="245"/>
      <c r="U86" s="246" t="str">
        <f>IF($T86="", "", VLOOKUP($T86, CONTRATOS!$B:$E, 2, FALSE))</f>
        <v/>
      </c>
      <c r="V86" s="247">
        <f>IF(OR($T86="",TB_DEFESA!$C$2="Criação Baseline"),0,
   IF(VLOOKUP($T86, CONTRATOS!B:E, 3, FALSE)&lt;&gt;"",1,IF(VLOOKUP($T86, CONTRATOS!B:E, 4, FALSE)&lt;&gt;"",2,0)))</f>
        <v>0</v>
      </c>
      <c r="W86" s="248"/>
      <c r="X86" s="248"/>
      <c r="Y86" s="249"/>
      <c r="Z86" s="250"/>
      <c r="AA86" s="251"/>
      <c r="AB86" s="252"/>
      <c r="AC86" s="253"/>
      <c r="AD86" s="251"/>
      <c r="AE86" s="254" t="str">
        <f t="shared" si="49"/>
        <v/>
      </c>
      <c r="AF86" s="256" t="str">
        <f t="shared" si="60"/>
        <v/>
      </c>
      <c r="AG86" s="293" t="s">
        <v>62</v>
      </c>
      <c r="AH86" s="294" t="str">
        <f t="shared" si="61"/>
        <v/>
      </c>
      <c r="AI86" s="294" t="str">
        <f t="shared" si="62"/>
        <v/>
      </c>
      <c r="AJ86" s="295" t="str">
        <f t="shared" si="63"/>
        <v/>
      </c>
      <c r="AK86" s="296" t="str">
        <f t="shared" si="64"/>
        <v/>
      </c>
      <c r="AL86" s="297" t="str">
        <f t="shared" si="65"/>
        <v/>
      </c>
      <c r="AM86" s="294" t="str">
        <f t="shared" si="66"/>
        <v/>
      </c>
      <c r="AN86" s="294" t="str">
        <f t="shared" si="67"/>
        <v/>
      </c>
      <c r="AO86" s="298" t="str">
        <f t="shared" si="68"/>
        <v/>
      </c>
      <c r="AP86" s="299" t="str">
        <f t="shared" si="69"/>
        <v/>
      </c>
      <c r="AQ86" s="299" t="str">
        <f t="shared" si="70"/>
        <v/>
      </c>
      <c r="AR86" s="300" t="str">
        <f t="shared" si="50"/>
        <v/>
      </c>
      <c r="AS86" s="300" t="str">
        <f t="shared" si="51"/>
        <v/>
      </c>
      <c r="AT86" s="294" t="str">
        <f t="shared" si="52"/>
        <v/>
      </c>
      <c r="AU86" s="301" t="str">
        <f>IF(OR($B86="", $AP86= ""),"",IF(VLOOKUP($AP86, CONTRATOS!B:K,3,FALSE)="","",VLOOKUP($AP86, CONTRATOS!B:K, 3,FALSE)))</f>
        <v/>
      </c>
      <c r="AV86" s="301" t="str">
        <f>IF(OR($B86="", $AP86 = ""), "", IF(VLOOKUP($AP86, CONTRATOS!B:K,4,FALSE)="","",VLOOKUP($AP86, CONTRATOS!B:K,4, FALSE)))</f>
        <v/>
      </c>
      <c r="AW86" s="302" t="str">
        <f t="shared" si="53"/>
        <v/>
      </c>
      <c r="AX86" s="301" t="str">
        <f t="shared" si="54"/>
        <v/>
      </c>
      <c r="AY86" s="301" t="str">
        <f t="shared" si="55"/>
        <v/>
      </c>
      <c r="AZ86" s="301" t="str">
        <f t="shared" si="56"/>
        <v/>
      </c>
      <c r="BA86" s="301" t="str">
        <f t="shared" si="57"/>
        <v/>
      </c>
      <c r="BB86" s="303">
        <f t="shared" si="71"/>
        <v>0</v>
      </c>
      <c r="BC86" s="303" t="str">
        <f t="shared" si="72"/>
        <v/>
      </c>
      <c r="BD86" s="303" t="str">
        <f t="shared" si="73"/>
        <v/>
      </c>
      <c r="BF86" s="304">
        <f t="shared" si="74"/>
        <v>0</v>
      </c>
      <c r="BG86" s="304">
        <f t="shared" si="75"/>
        <v>0</v>
      </c>
      <c r="BH86" s="304" t="str">
        <f>IF( $B86="", "", IF(ISNA(VLOOKUP($C86, Defesa!$C$8:$C$30,1,FALSE)),1,0))</f>
        <v/>
      </c>
      <c r="BI86" s="305" t="str">
        <f t="shared" si="76"/>
        <v/>
      </c>
      <c r="BJ86" s="305" t="str">
        <f t="shared" si="77"/>
        <v/>
      </c>
      <c r="BK86" s="304" t="str">
        <f t="shared" si="78"/>
        <v/>
      </c>
      <c r="BL86" s="304">
        <f t="shared" si="79"/>
        <v>0</v>
      </c>
      <c r="BM86" s="304" t="str">
        <f>IF($AC86="", "", IF(ISNA(VLOOKUP($AC86, TABELAS!$Q:$Q, 1, FALSE)), 1, 0))</f>
        <v/>
      </c>
      <c r="BN86" s="306" t="str">
        <f t="shared" si="80"/>
        <v/>
      </c>
      <c r="BO86" s="304" t="str">
        <f t="shared" si="81"/>
        <v/>
      </c>
      <c r="BP86" s="304" t="str">
        <f t="shared" si="82"/>
        <v/>
      </c>
      <c r="BQ86" s="305" t="str">
        <f t="shared" si="83"/>
        <v/>
      </c>
      <c r="BR86" s="304" t="str">
        <f t="shared" si="84"/>
        <v/>
      </c>
      <c r="BS86" s="304" t="str">
        <f t="shared" si="85"/>
        <v/>
      </c>
      <c r="BT86" s="304" t="str">
        <f>IF(OR($B86="", $AH86 = "SIM"), "", IF( ISNA(VLOOKUP($AP86,#REF!, 1, FALSE)), 1, 0))</f>
        <v/>
      </c>
      <c r="BU86" s="304" t="str">
        <f t="shared" si="86"/>
        <v/>
      </c>
      <c r="BV86" s="304" t="str">
        <f>IF( $B86="", "", IF( ISNA(VLOOKUP($AN86, TABELAS!$T$2:$T$9,1,FALSE)), 1, 0))</f>
        <v/>
      </c>
      <c r="BW86" s="304" t="str">
        <f t="shared" si="87"/>
        <v/>
      </c>
      <c r="BX86" s="304" t="str">
        <f>IF( OR($B86="", $AH86 = "SIM"), "", IF( ISNA( VLOOKUP( $AQ86, SISTEMA!$B:$B, 1, FALSE)), 1, 0))</f>
        <v/>
      </c>
      <c r="BY86" s="305" t="str">
        <f t="shared" si="88"/>
        <v/>
      </c>
      <c r="BZ86" s="305" t="str">
        <f t="shared" si="89"/>
        <v/>
      </c>
      <c r="CA86" s="304" t="str">
        <f t="shared" si="90"/>
        <v/>
      </c>
      <c r="CB86" s="305" t="str">
        <f t="shared" si="91"/>
        <v/>
      </c>
      <c r="CC86" s="305" t="str">
        <f t="shared" si="92"/>
        <v/>
      </c>
      <c r="CD86" s="305" t="str">
        <f t="shared" si="93"/>
        <v/>
      </c>
    </row>
    <row r="87" spans="1:82" x14ac:dyDescent="0.2">
      <c r="A87" s="235"/>
      <c r="B87" s="236" t="str">
        <f t="shared" si="58"/>
        <v/>
      </c>
      <c r="C87" s="237" t="str">
        <f t="shared" si="48"/>
        <v/>
      </c>
      <c r="D87" s="237" t="str">
        <f t="shared" si="59"/>
        <v/>
      </c>
      <c r="E87" s="237" t="str">
        <f>IF($C87="", "", COUNTIF($M$8:$M87,$D87))</f>
        <v/>
      </c>
      <c r="F87" s="238">
        <v>80</v>
      </c>
      <c r="G87" s="239"/>
      <c r="H87" s="240"/>
      <c r="I87" s="240"/>
      <c r="J87" s="241"/>
      <c r="K87" s="240"/>
      <c r="L87" s="240"/>
      <c r="M87" s="240"/>
      <c r="N87" s="242"/>
      <c r="O87" s="243"/>
      <c r="P87" s="243"/>
      <c r="Q87" s="243"/>
      <c r="R87" s="243"/>
      <c r="S87" s="243"/>
      <c r="T87" s="245"/>
      <c r="U87" s="246" t="str">
        <f>IF($T87="", "", VLOOKUP($T87, CONTRATOS!$B:$E, 2, FALSE))</f>
        <v/>
      </c>
      <c r="V87" s="247">
        <f>IF(OR($T87="",TB_DEFESA!$C$2="Criação Baseline"),0,
   IF(VLOOKUP($T87, CONTRATOS!B:E, 3, FALSE)&lt;&gt;"",1,IF(VLOOKUP($T87, CONTRATOS!B:E, 4, FALSE)&lt;&gt;"",2,0)))</f>
        <v>0</v>
      </c>
      <c r="W87" s="248"/>
      <c r="X87" s="248"/>
      <c r="Y87" s="249"/>
      <c r="Z87" s="250"/>
      <c r="AA87" s="251"/>
      <c r="AB87" s="252"/>
      <c r="AC87" s="253"/>
      <c r="AD87" s="251"/>
      <c r="AE87" s="254" t="str">
        <f t="shared" si="49"/>
        <v/>
      </c>
      <c r="AF87" s="256" t="str">
        <f t="shared" si="60"/>
        <v/>
      </c>
      <c r="AG87" s="293" t="s">
        <v>62</v>
      </c>
      <c r="AH87" s="294" t="str">
        <f t="shared" si="61"/>
        <v/>
      </c>
      <c r="AI87" s="294" t="str">
        <f t="shared" si="62"/>
        <v/>
      </c>
      <c r="AJ87" s="295" t="str">
        <f t="shared" si="63"/>
        <v/>
      </c>
      <c r="AK87" s="296" t="str">
        <f t="shared" si="64"/>
        <v/>
      </c>
      <c r="AL87" s="297" t="str">
        <f t="shared" si="65"/>
        <v/>
      </c>
      <c r="AM87" s="294" t="str">
        <f t="shared" si="66"/>
        <v/>
      </c>
      <c r="AN87" s="294" t="str">
        <f t="shared" si="67"/>
        <v/>
      </c>
      <c r="AO87" s="298" t="str">
        <f t="shared" si="68"/>
        <v/>
      </c>
      <c r="AP87" s="299" t="str">
        <f t="shared" si="69"/>
        <v/>
      </c>
      <c r="AQ87" s="299" t="str">
        <f t="shared" si="70"/>
        <v/>
      </c>
      <c r="AR87" s="300" t="str">
        <f t="shared" si="50"/>
        <v/>
      </c>
      <c r="AS87" s="300" t="str">
        <f t="shared" si="51"/>
        <v/>
      </c>
      <c r="AT87" s="294" t="str">
        <f t="shared" si="52"/>
        <v/>
      </c>
      <c r="AU87" s="301" t="str">
        <f>IF(OR($B87="", $AP87= ""),"",IF(VLOOKUP($AP87, CONTRATOS!B:K,3,FALSE)="","",VLOOKUP($AP87, CONTRATOS!B:K, 3,FALSE)))</f>
        <v/>
      </c>
      <c r="AV87" s="301" t="str">
        <f>IF(OR($B87="", $AP87 = ""), "", IF(VLOOKUP($AP87, CONTRATOS!B:K,4,FALSE)="","",VLOOKUP($AP87, CONTRATOS!B:K,4, FALSE)))</f>
        <v/>
      </c>
      <c r="AW87" s="302" t="str">
        <f t="shared" si="53"/>
        <v/>
      </c>
      <c r="AX87" s="301" t="str">
        <f t="shared" si="54"/>
        <v/>
      </c>
      <c r="AY87" s="301" t="str">
        <f t="shared" si="55"/>
        <v/>
      </c>
      <c r="AZ87" s="301" t="str">
        <f t="shared" si="56"/>
        <v/>
      </c>
      <c r="BA87" s="301" t="str">
        <f t="shared" si="57"/>
        <v/>
      </c>
      <c r="BB87" s="303">
        <f t="shared" si="71"/>
        <v>0</v>
      </c>
      <c r="BC87" s="303" t="str">
        <f t="shared" si="72"/>
        <v/>
      </c>
      <c r="BD87" s="303" t="str">
        <f t="shared" si="73"/>
        <v/>
      </c>
      <c r="BF87" s="304">
        <f t="shared" si="74"/>
        <v>0</v>
      </c>
      <c r="BG87" s="304">
        <f t="shared" si="75"/>
        <v>0</v>
      </c>
      <c r="BH87" s="304" t="str">
        <f>IF( $B87="", "", IF(ISNA(VLOOKUP($C87, Defesa!$C$8:$C$30,1,FALSE)),1,0))</f>
        <v/>
      </c>
      <c r="BI87" s="305" t="str">
        <f t="shared" si="76"/>
        <v/>
      </c>
      <c r="BJ87" s="305" t="str">
        <f t="shared" si="77"/>
        <v/>
      </c>
      <c r="BK87" s="304" t="str">
        <f t="shared" si="78"/>
        <v/>
      </c>
      <c r="BL87" s="304">
        <f t="shared" si="79"/>
        <v>0</v>
      </c>
      <c r="BM87" s="304" t="str">
        <f>IF($AC87="", "", IF(ISNA(VLOOKUP($AC87, TABELAS!$Q:$Q, 1, FALSE)), 1, 0))</f>
        <v/>
      </c>
      <c r="BN87" s="306" t="str">
        <f t="shared" si="80"/>
        <v/>
      </c>
      <c r="BO87" s="304" t="str">
        <f t="shared" si="81"/>
        <v/>
      </c>
      <c r="BP87" s="304" t="str">
        <f t="shared" si="82"/>
        <v/>
      </c>
      <c r="BQ87" s="305" t="str">
        <f t="shared" si="83"/>
        <v/>
      </c>
      <c r="BR87" s="304" t="str">
        <f t="shared" si="84"/>
        <v/>
      </c>
      <c r="BS87" s="304" t="str">
        <f t="shared" si="85"/>
        <v/>
      </c>
      <c r="BT87" s="304" t="str">
        <f>IF(OR($B87="", $AH87 = "SIM"), "", IF( ISNA(VLOOKUP($AP87,#REF!, 1, FALSE)), 1, 0))</f>
        <v/>
      </c>
      <c r="BU87" s="304" t="str">
        <f t="shared" si="86"/>
        <v/>
      </c>
      <c r="BV87" s="304" t="str">
        <f>IF( $B87="", "", IF( ISNA(VLOOKUP($AN87, TABELAS!$T$2:$T$9,1,FALSE)), 1, 0))</f>
        <v/>
      </c>
      <c r="BW87" s="304" t="str">
        <f t="shared" si="87"/>
        <v/>
      </c>
      <c r="BX87" s="304" t="str">
        <f>IF( OR($B87="", $AH87 = "SIM"), "", IF( ISNA( VLOOKUP( $AQ87, SISTEMA!$B:$B, 1, FALSE)), 1, 0))</f>
        <v/>
      </c>
      <c r="BY87" s="305" t="str">
        <f t="shared" si="88"/>
        <v/>
      </c>
      <c r="BZ87" s="305" t="str">
        <f t="shared" si="89"/>
        <v/>
      </c>
      <c r="CA87" s="304" t="str">
        <f t="shared" si="90"/>
        <v/>
      </c>
      <c r="CB87" s="305" t="str">
        <f t="shared" si="91"/>
        <v/>
      </c>
      <c r="CC87" s="305" t="str">
        <f t="shared" si="92"/>
        <v/>
      </c>
      <c r="CD87" s="305" t="str">
        <f t="shared" si="93"/>
        <v/>
      </c>
    </row>
    <row r="88" spans="1:82" x14ac:dyDescent="0.2">
      <c r="A88" s="235"/>
      <c r="B88" s="236" t="str">
        <f t="shared" si="58"/>
        <v/>
      </c>
      <c r="C88" s="237" t="str">
        <f t="shared" si="48"/>
        <v/>
      </c>
      <c r="D88" s="237" t="str">
        <f t="shared" si="59"/>
        <v/>
      </c>
      <c r="E88" s="237" t="str">
        <f>IF($C88="", "", COUNTIF($M$8:$M88,$D88))</f>
        <v/>
      </c>
      <c r="F88" s="238">
        <v>81</v>
      </c>
      <c r="G88" s="239"/>
      <c r="H88" s="240"/>
      <c r="I88" s="240"/>
      <c r="J88" s="241"/>
      <c r="K88" s="240"/>
      <c r="L88" s="240"/>
      <c r="M88" s="240"/>
      <c r="N88" s="242"/>
      <c r="O88" s="243"/>
      <c r="P88" s="243"/>
      <c r="Q88" s="243"/>
      <c r="R88" s="243"/>
      <c r="S88" s="243"/>
      <c r="T88" s="245"/>
      <c r="U88" s="246" t="str">
        <f>IF($T88="", "", VLOOKUP($T88, CONTRATOS!$B:$E, 2, FALSE))</f>
        <v/>
      </c>
      <c r="V88" s="247">
        <f>IF(OR($T88="",TB_DEFESA!$C$2="Criação Baseline"),0,
   IF(VLOOKUP($T88, CONTRATOS!B:E, 3, FALSE)&lt;&gt;"",1,IF(VLOOKUP($T88, CONTRATOS!B:E, 4, FALSE)&lt;&gt;"",2,0)))</f>
        <v>0</v>
      </c>
      <c r="W88" s="248"/>
      <c r="X88" s="248"/>
      <c r="Y88" s="249"/>
      <c r="Z88" s="250"/>
      <c r="AA88" s="251"/>
      <c r="AB88" s="252"/>
      <c r="AC88" s="253"/>
      <c r="AD88" s="251"/>
      <c r="AE88" s="254" t="str">
        <f t="shared" si="49"/>
        <v/>
      </c>
      <c r="AF88" s="256" t="str">
        <f t="shared" si="60"/>
        <v/>
      </c>
      <c r="AG88" s="293" t="s">
        <v>62</v>
      </c>
      <c r="AH88" s="294" t="str">
        <f t="shared" si="61"/>
        <v/>
      </c>
      <c r="AI88" s="294" t="str">
        <f t="shared" si="62"/>
        <v/>
      </c>
      <c r="AJ88" s="295" t="str">
        <f t="shared" si="63"/>
        <v/>
      </c>
      <c r="AK88" s="296" t="str">
        <f t="shared" si="64"/>
        <v/>
      </c>
      <c r="AL88" s="297" t="str">
        <f t="shared" si="65"/>
        <v/>
      </c>
      <c r="AM88" s="294" t="str">
        <f t="shared" si="66"/>
        <v/>
      </c>
      <c r="AN88" s="294" t="str">
        <f t="shared" si="67"/>
        <v/>
      </c>
      <c r="AO88" s="298" t="str">
        <f t="shared" si="68"/>
        <v/>
      </c>
      <c r="AP88" s="299" t="str">
        <f t="shared" si="69"/>
        <v/>
      </c>
      <c r="AQ88" s="299" t="str">
        <f t="shared" si="70"/>
        <v/>
      </c>
      <c r="AR88" s="300" t="str">
        <f t="shared" si="50"/>
        <v/>
      </c>
      <c r="AS88" s="300" t="str">
        <f t="shared" si="51"/>
        <v/>
      </c>
      <c r="AT88" s="294" t="str">
        <f t="shared" si="52"/>
        <v/>
      </c>
      <c r="AU88" s="301" t="str">
        <f>IF(OR($B88="", $AP88= ""),"",IF(VLOOKUP($AP88, CONTRATOS!B:K,3,FALSE)="","",VLOOKUP($AP88, CONTRATOS!B:K, 3,FALSE)))</f>
        <v/>
      </c>
      <c r="AV88" s="301" t="str">
        <f>IF(OR($B88="", $AP88 = ""), "", IF(VLOOKUP($AP88, CONTRATOS!B:K,4,FALSE)="","",VLOOKUP($AP88, CONTRATOS!B:K,4, FALSE)))</f>
        <v/>
      </c>
      <c r="AW88" s="302" t="str">
        <f t="shared" si="53"/>
        <v/>
      </c>
      <c r="AX88" s="301" t="str">
        <f t="shared" si="54"/>
        <v/>
      </c>
      <c r="AY88" s="301" t="str">
        <f t="shared" si="55"/>
        <v/>
      </c>
      <c r="AZ88" s="301" t="str">
        <f t="shared" si="56"/>
        <v/>
      </c>
      <c r="BA88" s="301" t="str">
        <f t="shared" si="57"/>
        <v/>
      </c>
      <c r="BB88" s="303">
        <f t="shared" si="71"/>
        <v>0</v>
      </c>
      <c r="BC88" s="303" t="str">
        <f t="shared" si="72"/>
        <v/>
      </c>
      <c r="BD88" s="303" t="str">
        <f t="shared" si="73"/>
        <v/>
      </c>
      <c r="BF88" s="304">
        <f t="shared" si="74"/>
        <v>0</v>
      </c>
      <c r="BG88" s="304">
        <f t="shared" si="75"/>
        <v>0</v>
      </c>
      <c r="BH88" s="304" t="str">
        <f>IF( $B88="", "", IF(ISNA(VLOOKUP($C88, Defesa!$C$8:$C$30,1,FALSE)),1,0))</f>
        <v/>
      </c>
      <c r="BI88" s="305" t="str">
        <f t="shared" si="76"/>
        <v/>
      </c>
      <c r="BJ88" s="305" t="str">
        <f t="shared" si="77"/>
        <v/>
      </c>
      <c r="BK88" s="304" t="str">
        <f t="shared" si="78"/>
        <v/>
      </c>
      <c r="BL88" s="304">
        <f t="shared" si="79"/>
        <v>0</v>
      </c>
      <c r="BM88" s="304" t="str">
        <f>IF($AC88="", "", IF(ISNA(VLOOKUP($AC88, TABELAS!$Q:$Q, 1, FALSE)), 1, 0))</f>
        <v/>
      </c>
      <c r="BN88" s="306" t="str">
        <f t="shared" si="80"/>
        <v/>
      </c>
      <c r="BO88" s="304" t="str">
        <f t="shared" si="81"/>
        <v/>
      </c>
      <c r="BP88" s="304" t="str">
        <f t="shared" si="82"/>
        <v/>
      </c>
      <c r="BQ88" s="305" t="str">
        <f t="shared" si="83"/>
        <v/>
      </c>
      <c r="BR88" s="304" t="str">
        <f t="shared" si="84"/>
        <v/>
      </c>
      <c r="BS88" s="304" t="str">
        <f t="shared" si="85"/>
        <v/>
      </c>
      <c r="BT88" s="304" t="str">
        <f>IF(OR($B88="", $AH88 = "SIM"), "", IF( ISNA(VLOOKUP($AP88,#REF!, 1, FALSE)), 1, 0))</f>
        <v/>
      </c>
      <c r="BU88" s="304" t="str">
        <f t="shared" si="86"/>
        <v/>
      </c>
      <c r="BV88" s="304" t="str">
        <f>IF( $B88="", "", IF( ISNA(VLOOKUP($AN88, TABELAS!$T$2:$T$9,1,FALSE)), 1, 0))</f>
        <v/>
      </c>
      <c r="BW88" s="304" t="str">
        <f t="shared" si="87"/>
        <v/>
      </c>
      <c r="BX88" s="304" t="str">
        <f>IF( OR($B88="", $AH88 = "SIM"), "", IF( ISNA( VLOOKUP( $AQ88, SISTEMA!$B:$B, 1, FALSE)), 1, 0))</f>
        <v/>
      </c>
      <c r="BY88" s="305" t="str">
        <f t="shared" si="88"/>
        <v/>
      </c>
      <c r="BZ88" s="305" t="str">
        <f t="shared" si="89"/>
        <v/>
      </c>
      <c r="CA88" s="304" t="str">
        <f t="shared" si="90"/>
        <v/>
      </c>
      <c r="CB88" s="305" t="str">
        <f t="shared" si="91"/>
        <v/>
      </c>
      <c r="CC88" s="305" t="str">
        <f t="shared" si="92"/>
        <v/>
      </c>
      <c r="CD88" s="305" t="str">
        <f t="shared" si="93"/>
        <v/>
      </c>
    </row>
    <row r="89" spans="1:82" x14ac:dyDescent="0.2">
      <c r="A89" s="235"/>
      <c r="B89" s="236" t="str">
        <f t="shared" si="58"/>
        <v/>
      </c>
      <c r="C89" s="237" t="str">
        <f t="shared" si="48"/>
        <v/>
      </c>
      <c r="D89" s="237" t="str">
        <f t="shared" si="59"/>
        <v/>
      </c>
      <c r="E89" s="237" t="str">
        <f>IF($C89="", "", COUNTIF($M$8:$M89,$D89))</f>
        <v/>
      </c>
      <c r="F89" s="238">
        <v>82</v>
      </c>
      <c r="G89" s="239"/>
      <c r="H89" s="240"/>
      <c r="I89" s="240"/>
      <c r="J89" s="241"/>
      <c r="K89" s="240"/>
      <c r="L89" s="240"/>
      <c r="M89" s="240"/>
      <c r="N89" s="242"/>
      <c r="O89" s="243"/>
      <c r="P89" s="243"/>
      <c r="Q89" s="243"/>
      <c r="R89" s="243"/>
      <c r="S89" s="243"/>
      <c r="T89" s="245"/>
      <c r="U89" s="246" t="str">
        <f>IF($T89="", "", VLOOKUP($T89, CONTRATOS!$B:$E, 2, FALSE))</f>
        <v/>
      </c>
      <c r="V89" s="247">
        <f>IF(OR($T89="",TB_DEFESA!$C$2="Criação Baseline"),0,
   IF(VLOOKUP($T89, CONTRATOS!B:E, 3, FALSE)&lt;&gt;"",1,IF(VLOOKUP($T89, CONTRATOS!B:E, 4, FALSE)&lt;&gt;"",2,0)))</f>
        <v>0</v>
      </c>
      <c r="W89" s="248"/>
      <c r="X89" s="248"/>
      <c r="Y89" s="249"/>
      <c r="Z89" s="250"/>
      <c r="AA89" s="251"/>
      <c r="AB89" s="252"/>
      <c r="AC89" s="253"/>
      <c r="AD89" s="251"/>
      <c r="AE89" s="254" t="str">
        <f t="shared" si="49"/>
        <v/>
      </c>
      <c r="AF89" s="256" t="str">
        <f t="shared" si="60"/>
        <v/>
      </c>
      <c r="AG89" s="293" t="s">
        <v>62</v>
      </c>
      <c r="AH89" s="294" t="str">
        <f t="shared" si="61"/>
        <v/>
      </c>
      <c r="AI89" s="294" t="str">
        <f t="shared" si="62"/>
        <v/>
      </c>
      <c r="AJ89" s="295" t="str">
        <f t="shared" si="63"/>
        <v/>
      </c>
      <c r="AK89" s="296" t="str">
        <f t="shared" si="64"/>
        <v/>
      </c>
      <c r="AL89" s="297" t="str">
        <f t="shared" si="65"/>
        <v/>
      </c>
      <c r="AM89" s="294" t="str">
        <f t="shared" si="66"/>
        <v/>
      </c>
      <c r="AN89" s="294" t="str">
        <f t="shared" si="67"/>
        <v/>
      </c>
      <c r="AO89" s="298" t="str">
        <f t="shared" si="68"/>
        <v/>
      </c>
      <c r="AP89" s="299" t="str">
        <f t="shared" si="69"/>
        <v/>
      </c>
      <c r="AQ89" s="299" t="str">
        <f t="shared" si="70"/>
        <v/>
      </c>
      <c r="AR89" s="300" t="str">
        <f t="shared" si="50"/>
        <v/>
      </c>
      <c r="AS89" s="300" t="str">
        <f t="shared" si="51"/>
        <v/>
      </c>
      <c r="AT89" s="294" t="str">
        <f t="shared" si="52"/>
        <v/>
      </c>
      <c r="AU89" s="301" t="str">
        <f>IF(OR($B89="", $AP89= ""),"",IF(VLOOKUP($AP89, CONTRATOS!B:K,3,FALSE)="","",VLOOKUP($AP89, CONTRATOS!B:K, 3,FALSE)))</f>
        <v/>
      </c>
      <c r="AV89" s="301" t="str">
        <f>IF(OR($B89="", $AP89 = ""), "", IF(VLOOKUP($AP89, CONTRATOS!B:K,4,FALSE)="","",VLOOKUP($AP89, CONTRATOS!B:K,4, FALSE)))</f>
        <v/>
      </c>
      <c r="AW89" s="302" t="str">
        <f t="shared" si="53"/>
        <v/>
      </c>
      <c r="AX89" s="301" t="str">
        <f t="shared" si="54"/>
        <v/>
      </c>
      <c r="AY89" s="301" t="str">
        <f t="shared" si="55"/>
        <v/>
      </c>
      <c r="AZ89" s="301" t="str">
        <f t="shared" si="56"/>
        <v/>
      </c>
      <c r="BA89" s="301" t="str">
        <f t="shared" si="57"/>
        <v/>
      </c>
      <c r="BB89" s="303">
        <f t="shared" si="71"/>
        <v>0</v>
      </c>
      <c r="BC89" s="303" t="str">
        <f t="shared" si="72"/>
        <v/>
      </c>
      <c r="BD89" s="303" t="str">
        <f t="shared" si="73"/>
        <v/>
      </c>
      <c r="BF89" s="304">
        <f t="shared" si="74"/>
        <v>0</v>
      </c>
      <c r="BG89" s="304">
        <f t="shared" si="75"/>
        <v>0</v>
      </c>
      <c r="BH89" s="304" t="str">
        <f>IF( $B89="", "", IF(ISNA(VLOOKUP($C89, Defesa!$C$8:$C$30,1,FALSE)),1,0))</f>
        <v/>
      </c>
      <c r="BI89" s="305" t="str">
        <f t="shared" si="76"/>
        <v/>
      </c>
      <c r="BJ89" s="305" t="str">
        <f t="shared" si="77"/>
        <v/>
      </c>
      <c r="BK89" s="304" t="str">
        <f t="shared" si="78"/>
        <v/>
      </c>
      <c r="BL89" s="304">
        <f t="shared" si="79"/>
        <v>0</v>
      </c>
      <c r="BM89" s="304" t="str">
        <f>IF($AC89="", "", IF(ISNA(VLOOKUP($AC89, TABELAS!$Q:$Q, 1, FALSE)), 1, 0))</f>
        <v/>
      </c>
      <c r="BN89" s="306" t="str">
        <f t="shared" si="80"/>
        <v/>
      </c>
      <c r="BO89" s="304" t="str">
        <f t="shared" si="81"/>
        <v/>
      </c>
      <c r="BP89" s="304" t="str">
        <f t="shared" si="82"/>
        <v/>
      </c>
      <c r="BQ89" s="305" t="str">
        <f t="shared" si="83"/>
        <v/>
      </c>
      <c r="BR89" s="304" t="str">
        <f t="shared" si="84"/>
        <v/>
      </c>
      <c r="BS89" s="304" t="str">
        <f t="shared" si="85"/>
        <v/>
      </c>
      <c r="BT89" s="304" t="str">
        <f>IF(OR($B89="", $AH89 = "SIM"), "", IF( ISNA(VLOOKUP($AP89,#REF!, 1, FALSE)), 1, 0))</f>
        <v/>
      </c>
      <c r="BU89" s="304" t="str">
        <f t="shared" si="86"/>
        <v/>
      </c>
      <c r="BV89" s="304" t="str">
        <f>IF( $B89="", "", IF( ISNA(VLOOKUP($AN89, TABELAS!$T$2:$T$9,1,FALSE)), 1, 0))</f>
        <v/>
      </c>
      <c r="BW89" s="304" t="str">
        <f t="shared" si="87"/>
        <v/>
      </c>
      <c r="BX89" s="304" t="str">
        <f>IF( OR($B89="", $AH89 = "SIM"), "", IF( ISNA( VLOOKUP( $AQ89, SISTEMA!$B:$B, 1, FALSE)), 1, 0))</f>
        <v/>
      </c>
      <c r="BY89" s="305" t="str">
        <f t="shared" si="88"/>
        <v/>
      </c>
      <c r="BZ89" s="305" t="str">
        <f t="shared" si="89"/>
        <v/>
      </c>
      <c r="CA89" s="304" t="str">
        <f t="shared" si="90"/>
        <v/>
      </c>
      <c r="CB89" s="305" t="str">
        <f t="shared" si="91"/>
        <v/>
      </c>
      <c r="CC89" s="305" t="str">
        <f t="shared" si="92"/>
        <v/>
      </c>
      <c r="CD89" s="305" t="str">
        <f t="shared" si="93"/>
        <v/>
      </c>
    </row>
    <row r="90" spans="1:82" x14ac:dyDescent="0.2">
      <c r="A90" s="235"/>
      <c r="B90" s="236" t="str">
        <f t="shared" si="58"/>
        <v/>
      </c>
      <c r="C90" s="237" t="str">
        <f t="shared" si="48"/>
        <v/>
      </c>
      <c r="D90" s="237" t="str">
        <f t="shared" si="59"/>
        <v/>
      </c>
      <c r="E90" s="237" t="str">
        <f>IF($C90="", "", COUNTIF($M$8:$M90,$D90))</f>
        <v/>
      </c>
      <c r="F90" s="238">
        <v>83</v>
      </c>
      <c r="G90" s="239"/>
      <c r="H90" s="240"/>
      <c r="I90" s="240"/>
      <c r="J90" s="241"/>
      <c r="K90" s="240"/>
      <c r="L90" s="240"/>
      <c r="M90" s="240"/>
      <c r="N90" s="242"/>
      <c r="O90" s="243"/>
      <c r="P90" s="243"/>
      <c r="Q90" s="243"/>
      <c r="R90" s="243"/>
      <c r="S90" s="243"/>
      <c r="T90" s="245"/>
      <c r="U90" s="246" t="str">
        <f>IF($T90="", "", VLOOKUP($T90, CONTRATOS!$B:$E, 2, FALSE))</f>
        <v/>
      </c>
      <c r="V90" s="247">
        <f>IF(OR($T90="",TB_DEFESA!$C$2="Criação Baseline"),0,
   IF(VLOOKUP($T90, CONTRATOS!B:E, 3, FALSE)&lt;&gt;"",1,IF(VLOOKUP($T90, CONTRATOS!B:E, 4, FALSE)&lt;&gt;"",2,0)))</f>
        <v>0</v>
      </c>
      <c r="W90" s="248"/>
      <c r="X90" s="248"/>
      <c r="Y90" s="249"/>
      <c r="Z90" s="250"/>
      <c r="AA90" s="251"/>
      <c r="AB90" s="252"/>
      <c r="AC90" s="253"/>
      <c r="AD90" s="251"/>
      <c r="AE90" s="254" t="str">
        <f t="shared" si="49"/>
        <v/>
      </c>
      <c r="AF90" s="256" t="str">
        <f t="shared" si="60"/>
        <v/>
      </c>
      <c r="AG90" s="293" t="s">
        <v>62</v>
      </c>
      <c r="AH90" s="294" t="str">
        <f t="shared" si="61"/>
        <v/>
      </c>
      <c r="AI90" s="294" t="str">
        <f t="shared" si="62"/>
        <v/>
      </c>
      <c r="AJ90" s="295" t="str">
        <f t="shared" si="63"/>
        <v/>
      </c>
      <c r="AK90" s="296" t="str">
        <f t="shared" si="64"/>
        <v/>
      </c>
      <c r="AL90" s="297" t="str">
        <f t="shared" si="65"/>
        <v/>
      </c>
      <c r="AM90" s="294" t="str">
        <f t="shared" si="66"/>
        <v/>
      </c>
      <c r="AN90" s="294" t="str">
        <f t="shared" si="67"/>
        <v/>
      </c>
      <c r="AO90" s="298" t="str">
        <f t="shared" si="68"/>
        <v/>
      </c>
      <c r="AP90" s="299" t="str">
        <f t="shared" si="69"/>
        <v/>
      </c>
      <c r="AQ90" s="299" t="str">
        <f t="shared" si="70"/>
        <v/>
      </c>
      <c r="AR90" s="300" t="str">
        <f t="shared" si="50"/>
        <v/>
      </c>
      <c r="AS90" s="300" t="str">
        <f t="shared" si="51"/>
        <v/>
      </c>
      <c r="AT90" s="294" t="str">
        <f t="shared" si="52"/>
        <v/>
      </c>
      <c r="AU90" s="301" t="str">
        <f>IF(OR($B90="", $AP90= ""),"",IF(VLOOKUP($AP90, CONTRATOS!B:K,3,FALSE)="","",VLOOKUP($AP90, CONTRATOS!B:K, 3,FALSE)))</f>
        <v/>
      </c>
      <c r="AV90" s="301" t="str">
        <f>IF(OR($B90="", $AP90 = ""), "", IF(VLOOKUP($AP90, CONTRATOS!B:K,4,FALSE)="","",VLOOKUP($AP90, CONTRATOS!B:K,4, FALSE)))</f>
        <v/>
      </c>
      <c r="AW90" s="302" t="str">
        <f t="shared" si="53"/>
        <v/>
      </c>
      <c r="AX90" s="301" t="str">
        <f t="shared" si="54"/>
        <v/>
      </c>
      <c r="AY90" s="301" t="str">
        <f t="shared" si="55"/>
        <v/>
      </c>
      <c r="AZ90" s="301" t="str">
        <f t="shared" si="56"/>
        <v/>
      </c>
      <c r="BA90" s="301" t="str">
        <f t="shared" si="57"/>
        <v/>
      </c>
      <c r="BB90" s="303">
        <f t="shared" si="71"/>
        <v>0</v>
      </c>
      <c r="BC90" s="303" t="str">
        <f t="shared" si="72"/>
        <v/>
      </c>
      <c r="BD90" s="303" t="str">
        <f t="shared" si="73"/>
        <v/>
      </c>
      <c r="BF90" s="304">
        <f t="shared" si="74"/>
        <v>0</v>
      </c>
      <c r="BG90" s="304">
        <f t="shared" si="75"/>
        <v>0</v>
      </c>
      <c r="BH90" s="304" t="str">
        <f>IF( $B90="", "", IF(ISNA(VLOOKUP($C90, Defesa!$C$8:$C$30,1,FALSE)),1,0))</f>
        <v/>
      </c>
      <c r="BI90" s="305" t="str">
        <f t="shared" si="76"/>
        <v/>
      </c>
      <c r="BJ90" s="305" t="str">
        <f t="shared" si="77"/>
        <v/>
      </c>
      <c r="BK90" s="304" t="str">
        <f t="shared" si="78"/>
        <v/>
      </c>
      <c r="BL90" s="304">
        <f t="shared" si="79"/>
        <v>0</v>
      </c>
      <c r="BM90" s="304" t="str">
        <f>IF($AC90="", "", IF(ISNA(VLOOKUP($AC90, TABELAS!$Q:$Q, 1, FALSE)), 1, 0))</f>
        <v/>
      </c>
      <c r="BN90" s="306" t="str">
        <f t="shared" si="80"/>
        <v/>
      </c>
      <c r="BO90" s="304" t="str">
        <f t="shared" si="81"/>
        <v/>
      </c>
      <c r="BP90" s="304" t="str">
        <f t="shared" si="82"/>
        <v/>
      </c>
      <c r="BQ90" s="305" t="str">
        <f t="shared" si="83"/>
        <v/>
      </c>
      <c r="BR90" s="304" t="str">
        <f t="shared" si="84"/>
        <v/>
      </c>
      <c r="BS90" s="304" t="str">
        <f t="shared" si="85"/>
        <v/>
      </c>
      <c r="BT90" s="304" t="str">
        <f>IF(OR($B90="", $AH90 = "SIM"), "", IF( ISNA(VLOOKUP($AP90,#REF!, 1, FALSE)), 1, 0))</f>
        <v/>
      </c>
      <c r="BU90" s="304" t="str">
        <f t="shared" si="86"/>
        <v/>
      </c>
      <c r="BV90" s="304" t="str">
        <f>IF( $B90="", "", IF( ISNA(VLOOKUP($AN90, TABELAS!$T$2:$T$9,1,FALSE)), 1, 0))</f>
        <v/>
      </c>
      <c r="BW90" s="304" t="str">
        <f t="shared" si="87"/>
        <v/>
      </c>
      <c r="BX90" s="304" t="str">
        <f>IF( OR($B90="", $AH90 = "SIM"), "", IF( ISNA( VLOOKUP( $AQ90, SISTEMA!$B:$B, 1, FALSE)), 1, 0))</f>
        <v/>
      </c>
      <c r="BY90" s="305" t="str">
        <f t="shared" si="88"/>
        <v/>
      </c>
      <c r="BZ90" s="305" t="str">
        <f t="shared" si="89"/>
        <v/>
      </c>
      <c r="CA90" s="304" t="str">
        <f t="shared" si="90"/>
        <v/>
      </c>
      <c r="CB90" s="305" t="str">
        <f t="shared" si="91"/>
        <v/>
      </c>
      <c r="CC90" s="305" t="str">
        <f t="shared" si="92"/>
        <v/>
      </c>
      <c r="CD90" s="305" t="str">
        <f t="shared" si="93"/>
        <v/>
      </c>
    </row>
    <row r="91" spans="1:82" x14ac:dyDescent="0.2">
      <c r="A91" s="235"/>
      <c r="B91" s="236" t="str">
        <f t="shared" si="58"/>
        <v/>
      </c>
      <c r="C91" s="237" t="str">
        <f t="shared" si="48"/>
        <v/>
      </c>
      <c r="D91" s="237" t="str">
        <f t="shared" si="59"/>
        <v/>
      </c>
      <c r="E91" s="237" t="str">
        <f>IF($C91="", "", COUNTIF($M$8:$M91,$D91))</f>
        <v/>
      </c>
      <c r="F91" s="238">
        <v>84</v>
      </c>
      <c r="G91" s="239"/>
      <c r="H91" s="240"/>
      <c r="I91" s="240"/>
      <c r="J91" s="241"/>
      <c r="K91" s="240"/>
      <c r="L91" s="240"/>
      <c r="M91" s="240"/>
      <c r="N91" s="242"/>
      <c r="O91" s="243"/>
      <c r="P91" s="243"/>
      <c r="Q91" s="243"/>
      <c r="R91" s="243"/>
      <c r="S91" s="243"/>
      <c r="T91" s="245"/>
      <c r="U91" s="246" t="str">
        <f>IF($T91="", "", VLOOKUP($T91, CONTRATOS!$B:$E, 2, FALSE))</f>
        <v/>
      </c>
      <c r="V91" s="247">
        <f>IF(OR($T91="",TB_DEFESA!$C$2="Criação Baseline"),0,
   IF(VLOOKUP($T91, CONTRATOS!B:E, 3, FALSE)&lt;&gt;"",1,IF(VLOOKUP($T91, CONTRATOS!B:E, 4, FALSE)&lt;&gt;"",2,0)))</f>
        <v>0</v>
      </c>
      <c r="W91" s="248"/>
      <c r="X91" s="248"/>
      <c r="Y91" s="249"/>
      <c r="Z91" s="250"/>
      <c r="AA91" s="251"/>
      <c r="AB91" s="252"/>
      <c r="AC91" s="253"/>
      <c r="AD91" s="251"/>
      <c r="AE91" s="254" t="str">
        <f t="shared" si="49"/>
        <v/>
      </c>
      <c r="AF91" s="256" t="str">
        <f t="shared" si="60"/>
        <v/>
      </c>
      <c r="AG91" s="293" t="s">
        <v>62</v>
      </c>
      <c r="AH91" s="294" t="str">
        <f t="shared" si="61"/>
        <v/>
      </c>
      <c r="AI91" s="294" t="str">
        <f t="shared" si="62"/>
        <v/>
      </c>
      <c r="AJ91" s="295" t="str">
        <f t="shared" si="63"/>
        <v/>
      </c>
      <c r="AK91" s="296" t="str">
        <f t="shared" si="64"/>
        <v/>
      </c>
      <c r="AL91" s="297" t="str">
        <f t="shared" si="65"/>
        <v/>
      </c>
      <c r="AM91" s="294" t="str">
        <f t="shared" si="66"/>
        <v/>
      </c>
      <c r="AN91" s="294" t="str">
        <f t="shared" si="67"/>
        <v/>
      </c>
      <c r="AO91" s="298" t="str">
        <f t="shared" si="68"/>
        <v/>
      </c>
      <c r="AP91" s="299" t="str">
        <f t="shared" si="69"/>
        <v/>
      </c>
      <c r="AQ91" s="299" t="str">
        <f t="shared" si="70"/>
        <v/>
      </c>
      <c r="AR91" s="300" t="str">
        <f t="shared" si="50"/>
        <v/>
      </c>
      <c r="AS91" s="300" t="str">
        <f t="shared" si="51"/>
        <v/>
      </c>
      <c r="AT91" s="294" t="str">
        <f t="shared" si="52"/>
        <v/>
      </c>
      <c r="AU91" s="301" t="str">
        <f>IF(OR($B91="", $AP91= ""),"",IF(VLOOKUP($AP91, CONTRATOS!B:K,3,FALSE)="","",VLOOKUP($AP91, CONTRATOS!B:K, 3,FALSE)))</f>
        <v/>
      </c>
      <c r="AV91" s="301" t="str">
        <f>IF(OR($B91="", $AP91 = ""), "", IF(VLOOKUP($AP91, CONTRATOS!B:K,4,FALSE)="","",VLOOKUP($AP91, CONTRATOS!B:K,4, FALSE)))</f>
        <v/>
      </c>
      <c r="AW91" s="302" t="str">
        <f t="shared" si="53"/>
        <v/>
      </c>
      <c r="AX91" s="301" t="str">
        <f t="shared" si="54"/>
        <v/>
      </c>
      <c r="AY91" s="301" t="str">
        <f t="shared" si="55"/>
        <v/>
      </c>
      <c r="AZ91" s="301" t="str">
        <f t="shared" si="56"/>
        <v/>
      </c>
      <c r="BA91" s="301" t="str">
        <f t="shared" si="57"/>
        <v/>
      </c>
      <c r="BB91" s="303">
        <f t="shared" si="71"/>
        <v>0</v>
      </c>
      <c r="BC91" s="303" t="str">
        <f t="shared" si="72"/>
        <v/>
      </c>
      <c r="BD91" s="303" t="str">
        <f t="shared" si="73"/>
        <v/>
      </c>
      <c r="BF91" s="304">
        <f t="shared" si="74"/>
        <v>0</v>
      </c>
      <c r="BG91" s="304">
        <f t="shared" si="75"/>
        <v>0</v>
      </c>
      <c r="BH91" s="304" t="str">
        <f>IF( $B91="", "", IF(ISNA(VLOOKUP($C91, Defesa!$C$8:$C$30,1,FALSE)),1,0))</f>
        <v/>
      </c>
      <c r="BI91" s="305" t="str">
        <f t="shared" si="76"/>
        <v/>
      </c>
      <c r="BJ91" s="305" t="str">
        <f t="shared" si="77"/>
        <v/>
      </c>
      <c r="BK91" s="304" t="str">
        <f t="shared" si="78"/>
        <v/>
      </c>
      <c r="BL91" s="304">
        <f t="shared" si="79"/>
        <v>0</v>
      </c>
      <c r="BM91" s="304" t="str">
        <f>IF($AC91="", "", IF(ISNA(VLOOKUP($AC91, TABELAS!$Q:$Q, 1, FALSE)), 1, 0))</f>
        <v/>
      </c>
      <c r="BN91" s="306" t="str">
        <f t="shared" si="80"/>
        <v/>
      </c>
      <c r="BO91" s="304" t="str">
        <f t="shared" si="81"/>
        <v/>
      </c>
      <c r="BP91" s="304" t="str">
        <f t="shared" si="82"/>
        <v/>
      </c>
      <c r="BQ91" s="305" t="str">
        <f t="shared" si="83"/>
        <v/>
      </c>
      <c r="BR91" s="304" t="str">
        <f t="shared" si="84"/>
        <v/>
      </c>
      <c r="BS91" s="304" t="str">
        <f t="shared" si="85"/>
        <v/>
      </c>
      <c r="BT91" s="304" t="str">
        <f>IF(OR($B91="", $AH91 = "SIM"), "", IF( ISNA(VLOOKUP($AP91,#REF!, 1, FALSE)), 1, 0))</f>
        <v/>
      </c>
      <c r="BU91" s="304" t="str">
        <f t="shared" si="86"/>
        <v/>
      </c>
      <c r="BV91" s="304" t="str">
        <f>IF( $B91="", "", IF( ISNA(VLOOKUP($AN91, TABELAS!$T$2:$T$9,1,FALSE)), 1, 0))</f>
        <v/>
      </c>
      <c r="BW91" s="304" t="str">
        <f t="shared" si="87"/>
        <v/>
      </c>
      <c r="BX91" s="304" t="str">
        <f>IF( OR($B91="", $AH91 = "SIM"), "", IF( ISNA( VLOOKUP( $AQ91, SISTEMA!$B:$B, 1, FALSE)), 1, 0))</f>
        <v/>
      </c>
      <c r="BY91" s="305" t="str">
        <f t="shared" si="88"/>
        <v/>
      </c>
      <c r="BZ91" s="305" t="str">
        <f t="shared" si="89"/>
        <v/>
      </c>
      <c r="CA91" s="304" t="str">
        <f t="shared" si="90"/>
        <v/>
      </c>
      <c r="CB91" s="305" t="str">
        <f t="shared" si="91"/>
        <v/>
      </c>
      <c r="CC91" s="305" t="str">
        <f t="shared" si="92"/>
        <v/>
      </c>
      <c r="CD91" s="305" t="str">
        <f t="shared" si="93"/>
        <v/>
      </c>
    </row>
    <row r="92" spans="1:82" x14ac:dyDescent="0.2">
      <c r="A92" s="235"/>
      <c r="B92" s="236" t="str">
        <f t="shared" si="58"/>
        <v/>
      </c>
      <c r="C92" s="237" t="str">
        <f t="shared" si="48"/>
        <v/>
      </c>
      <c r="D92" s="237" t="str">
        <f t="shared" si="59"/>
        <v/>
      </c>
      <c r="E92" s="237" t="str">
        <f>IF($C92="", "", COUNTIF($M$8:$M92,$D92))</f>
        <v/>
      </c>
      <c r="F92" s="238">
        <v>85</v>
      </c>
      <c r="G92" s="239"/>
      <c r="H92" s="240"/>
      <c r="I92" s="240"/>
      <c r="J92" s="241"/>
      <c r="K92" s="240"/>
      <c r="L92" s="240"/>
      <c r="M92" s="240"/>
      <c r="N92" s="242"/>
      <c r="O92" s="243"/>
      <c r="P92" s="243"/>
      <c r="Q92" s="243"/>
      <c r="R92" s="243"/>
      <c r="S92" s="243"/>
      <c r="T92" s="245"/>
      <c r="U92" s="246" t="str">
        <f>IF($T92="", "", VLOOKUP($T92, CONTRATOS!$B:$E, 2, FALSE))</f>
        <v/>
      </c>
      <c r="V92" s="247">
        <f>IF(OR($T92="",TB_DEFESA!$C$2="Criação Baseline"),0,
   IF(VLOOKUP($T92, CONTRATOS!B:E, 3, FALSE)&lt;&gt;"",1,IF(VLOOKUP($T92, CONTRATOS!B:E, 4, FALSE)&lt;&gt;"",2,0)))</f>
        <v>0</v>
      </c>
      <c r="W92" s="248"/>
      <c r="X92" s="248"/>
      <c r="Y92" s="249"/>
      <c r="Z92" s="250"/>
      <c r="AA92" s="251"/>
      <c r="AB92" s="252"/>
      <c r="AC92" s="253"/>
      <c r="AD92" s="251"/>
      <c r="AE92" s="254" t="str">
        <f t="shared" si="49"/>
        <v/>
      </c>
      <c r="AF92" s="256" t="str">
        <f t="shared" si="60"/>
        <v/>
      </c>
      <c r="AG92" s="293" t="s">
        <v>62</v>
      </c>
      <c r="AH92" s="294" t="str">
        <f t="shared" si="61"/>
        <v/>
      </c>
      <c r="AI92" s="294" t="str">
        <f t="shared" si="62"/>
        <v/>
      </c>
      <c r="AJ92" s="295" t="str">
        <f t="shared" si="63"/>
        <v/>
      </c>
      <c r="AK92" s="296" t="str">
        <f t="shared" si="64"/>
        <v/>
      </c>
      <c r="AL92" s="297" t="str">
        <f t="shared" si="65"/>
        <v/>
      </c>
      <c r="AM92" s="294" t="str">
        <f t="shared" si="66"/>
        <v/>
      </c>
      <c r="AN92" s="294" t="str">
        <f t="shared" si="67"/>
        <v/>
      </c>
      <c r="AO92" s="298" t="str">
        <f t="shared" si="68"/>
        <v/>
      </c>
      <c r="AP92" s="299" t="str">
        <f t="shared" si="69"/>
        <v/>
      </c>
      <c r="AQ92" s="299" t="str">
        <f t="shared" si="70"/>
        <v/>
      </c>
      <c r="AR92" s="300" t="str">
        <f t="shared" si="50"/>
        <v/>
      </c>
      <c r="AS92" s="300" t="str">
        <f t="shared" si="51"/>
        <v/>
      </c>
      <c r="AT92" s="294" t="str">
        <f t="shared" si="52"/>
        <v/>
      </c>
      <c r="AU92" s="301" t="str">
        <f>IF(OR($B92="", $AP92= ""),"",IF(VLOOKUP($AP92, CONTRATOS!B:K,3,FALSE)="","",VLOOKUP($AP92, CONTRATOS!B:K, 3,FALSE)))</f>
        <v/>
      </c>
      <c r="AV92" s="301" t="str">
        <f>IF(OR($B92="", $AP92 = ""), "", IF(VLOOKUP($AP92, CONTRATOS!B:K,4,FALSE)="","",VLOOKUP($AP92, CONTRATOS!B:K,4, FALSE)))</f>
        <v/>
      </c>
      <c r="AW92" s="302" t="str">
        <f t="shared" si="53"/>
        <v/>
      </c>
      <c r="AX92" s="301" t="str">
        <f t="shared" si="54"/>
        <v/>
      </c>
      <c r="AY92" s="301" t="str">
        <f t="shared" si="55"/>
        <v/>
      </c>
      <c r="AZ92" s="301" t="str">
        <f t="shared" si="56"/>
        <v/>
      </c>
      <c r="BA92" s="301" t="str">
        <f t="shared" si="57"/>
        <v/>
      </c>
      <c r="BB92" s="303">
        <f t="shared" si="71"/>
        <v>0</v>
      </c>
      <c r="BC92" s="303" t="str">
        <f t="shared" si="72"/>
        <v/>
      </c>
      <c r="BD92" s="303" t="str">
        <f t="shared" si="73"/>
        <v/>
      </c>
      <c r="BF92" s="304">
        <f t="shared" si="74"/>
        <v>0</v>
      </c>
      <c r="BG92" s="304">
        <f t="shared" si="75"/>
        <v>0</v>
      </c>
      <c r="BH92" s="304" t="str">
        <f>IF( $B92="", "", IF(ISNA(VLOOKUP($C92, Defesa!$C$8:$C$30,1,FALSE)),1,0))</f>
        <v/>
      </c>
      <c r="BI92" s="305" t="str">
        <f t="shared" si="76"/>
        <v/>
      </c>
      <c r="BJ92" s="305" t="str">
        <f t="shared" si="77"/>
        <v/>
      </c>
      <c r="BK92" s="304" t="str">
        <f t="shared" si="78"/>
        <v/>
      </c>
      <c r="BL92" s="304">
        <f t="shared" si="79"/>
        <v>0</v>
      </c>
      <c r="BM92" s="304" t="str">
        <f>IF($AC92="", "", IF(ISNA(VLOOKUP($AC92, TABELAS!$Q:$Q, 1, FALSE)), 1, 0))</f>
        <v/>
      </c>
      <c r="BN92" s="306" t="str">
        <f t="shared" si="80"/>
        <v/>
      </c>
      <c r="BO92" s="304" t="str">
        <f t="shared" si="81"/>
        <v/>
      </c>
      <c r="BP92" s="304" t="str">
        <f t="shared" si="82"/>
        <v/>
      </c>
      <c r="BQ92" s="305" t="str">
        <f t="shared" si="83"/>
        <v/>
      </c>
      <c r="BR92" s="304" t="str">
        <f t="shared" si="84"/>
        <v/>
      </c>
      <c r="BS92" s="304" t="str">
        <f t="shared" si="85"/>
        <v/>
      </c>
      <c r="BT92" s="304" t="str">
        <f>IF(OR($B92="", $AH92 = "SIM"), "", IF( ISNA(VLOOKUP($AP92,#REF!, 1, FALSE)), 1, 0))</f>
        <v/>
      </c>
      <c r="BU92" s="304" t="str">
        <f t="shared" si="86"/>
        <v/>
      </c>
      <c r="BV92" s="304" t="str">
        <f>IF( $B92="", "", IF( ISNA(VLOOKUP($AN92, TABELAS!$T$2:$T$9,1,FALSE)), 1, 0))</f>
        <v/>
      </c>
      <c r="BW92" s="304" t="str">
        <f t="shared" si="87"/>
        <v/>
      </c>
      <c r="BX92" s="304" t="str">
        <f>IF( OR($B92="", $AH92 = "SIM"), "", IF( ISNA( VLOOKUP( $AQ92, SISTEMA!$B:$B, 1, FALSE)), 1, 0))</f>
        <v/>
      </c>
      <c r="BY92" s="305" t="str">
        <f t="shared" si="88"/>
        <v/>
      </c>
      <c r="BZ92" s="305" t="str">
        <f t="shared" si="89"/>
        <v/>
      </c>
      <c r="CA92" s="304" t="str">
        <f t="shared" si="90"/>
        <v/>
      </c>
      <c r="CB92" s="305" t="str">
        <f t="shared" si="91"/>
        <v/>
      </c>
      <c r="CC92" s="305" t="str">
        <f t="shared" si="92"/>
        <v/>
      </c>
      <c r="CD92" s="305" t="str">
        <f t="shared" si="93"/>
        <v/>
      </c>
    </row>
    <row r="93" spans="1:82" x14ac:dyDescent="0.2">
      <c r="A93" s="235"/>
      <c r="B93" s="236" t="str">
        <f t="shared" si="58"/>
        <v/>
      </c>
      <c r="C93" s="237" t="str">
        <f t="shared" si="48"/>
        <v/>
      </c>
      <c r="D93" s="237" t="str">
        <f t="shared" si="59"/>
        <v/>
      </c>
      <c r="E93" s="237" t="str">
        <f>IF($C93="", "", COUNTIF($M$8:$M93,$D93))</f>
        <v/>
      </c>
      <c r="F93" s="238">
        <v>86</v>
      </c>
      <c r="G93" s="239"/>
      <c r="H93" s="240"/>
      <c r="I93" s="240"/>
      <c r="J93" s="241"/>
      <c r="K93" s="240"/>
      <c r="L93" s="240"/>
      <c r="M93" s="240"/>
      <c r="N93" s="242"/>
      <c r="O93" s="243"/>
      <c r="P93" s="243"/>
      <c r="Q93" s="243"/>
      <c r="R93" s="243"/>
      <c r="S93" s="243"/>
      <c r="T93" s="245"/>
      <c r="U93" s="246" t="str">
        <f>IF($T93="", "", VLOOKUP($T93, CONTRATOS!$B:$E, 2, FALSE))</f>
        <v/>
      </c>
      <c r="V93" s="247">
        <f>IF(OR($T93="",TB_DEFESA!$C$2="Criação Baseline"),0,
   IF(VLOOKUP($T93, CONTRATOS!B:E, 3, FALSE)&lt;&gt;"",1,IF(VLOOKUP($T93, CONTRATOS!B:E, 4, FALSE)&lt;&gt;"",2,0)))</f>
        <v>0</v>
      </c>
      <c r="W93" s="248"/>
      <c r="X93" s="248"/>
      <c r="Y93" s="249"/>
      <c r="Z93" s="250"/>
      <c r="AA93" s="251"/>
      <c r="AB93" s="252"/>
      <c r="AC93" s="253"/>
      <c r="AD93" s="251"/>
      <c r="AE93" s="254" t="str">
        <f t="shared" si="49"/>
        <v/>
      </c>
      <c r="AF93" s="256" t="str">
        <f t="shared" si="60"/>
        <v/>
      </c>
      <c r="AG93" s="293" t="s">
        <v>62</v>
      </c>
      <c r="AH93" s="294" t="str">
        <f t="shared" si="61"/>
        <v/>
      </c>
      <c r="AI93" s="294" t="str">
        <f t="shared" si="62"/>
        <v/>
      </c>
      <c r="AJ93" s="295" t="str">
        <f t="shared" si="63"/>
        <v/>
      </c>
      <c r="AK93" s="296" t="str">
        <f t="shared" si="64"/>
        <v/>
      </c>
      <c r="AL93" s="297" t="str">
        <f t="shared" si="65"/>
        <v/>
      </c>
      <c r="AM93" s="294" t="str">
        <f t="shared" si="66"/>
        <v/>
      </c>
      <c r="AN93" s="294" t="str">
        <f t="shared" si="67"/>
        <v/>
      </c>
      <c r="AO93" s="298" t="str">
        <f t="shared" si="68"/>
        <v/>
      </c>
      <c r="AP93" s="299" t="str">
        <f t="shared" si="69"/>
        <v/>
      </c>
      <c r="AQ93" s="299" t="str">
        <f t="shared" si="70"/>
        <v/>
      </c>
      <c r="AR93" s="300" t="str">
        <f t="shared" si="50"/>
        <v/>
      </c>
      <c r="AS93" s="300" t="str">
        <f t="shared" si="51"/>
        <v/>
      </c>
      <c r="AT93" s="294" t="str">
        <f t="shared" si="52"/>
        <v/>
      </c>
      <c r="AU93" s="301" t="str">
        <f>IF(OR($B93="", $AP93= ""),"",IF(VLOOKUP($AP93, CONTRATOS!B:K,3,FALSE)="","",VLOOKUP($AP93, CONTRATOS!B:K, 3,FALSE)))</f>
        <v/>
      </c>
      <c r="AV93" s="301" t="str">
        <f>IF(OR($B93="", $AP93 = ""), "", IF(VLOOKUP($AP93, CONTRATOS!B:K,4,FALSE)="","",VLOOKUP($AP93, CONTRATOS!B:K,4, FALSE)))</f>
        <v/>
      </c>
      <c r="AW93" s="302" t="str">
        <f t="shared" si="53"/>
        <v/>
      </c>
      <c r="AX93" s="301" t="str">
        <f t="shared" si="54"/>
        <v/>
      </c>
      <c r="AY93" s="301" t="str">
        <f t="shared" si="55"/>
        <v/>
      </c>
      <c r="AZ93" s="301" t="str">
        <f t="shared" si="56"/>
        <v/>
      </c>
      <c r="BA93" s="301" t="str">
        <f t="shared" si="57"/>
        <v/>
      </c>
      <c r="BB93" s="303">
        <f t="shared" si="71"/>
        <v>0</v>
      </c>
      <c r="BC93" s="303" t="str">
        <f t="shared" si="72"/>
        <v/>
      </c>
      <c r="BD93" s="303" t="str">
        <f t="shared" si="73"/>
        <v/>
      </c>
      <c r="BF93" s="304">
        <f t="shared" si="74"/>
        <v>0</v>
      </c>
      <c r="BG93" s="304">
        <f t="shared" si="75"/>
        <v>0</v>
      </c>
      <c r="BH93" s="304" t="str">
        <f>IF( $B93="", "", IF(ISNA(VLOOKUP($C93, Defesa!$C$8:$C$30,1,FALSE)),1,0))</f>
        <v/>
      </c>
      <c r="BI93" s="305" t="str">
        <f t="shared" si="76"/>
        <v/>
      </c>
      <c r="BJ93" s="305" t="str">
        <f t="shared" si="77"/>
        <v/>
      </c>
      <c r="BK93" s="304" t="str">
        <f t="shared" si="78"/>
        <v/>
      </c>
      <c r="BL93" s="304">
        <f t="shared" si="79"/>
        <v>0</v>
      </c>
      <c r="BM93" s="304" t="str">
        <f>IF($AC93="", "", IF(ISNA(VLOOKUP($AC93, TABELAS!$Q:$Q, 1, FALSE)), 1, 0))</f>
        <v/>
      </c>
      <c r="BN93" s="306" t="str">
        <f t="shared" si="80"/>
        <v/>
      </c>
      <c r="BO93" s="304" t="str">
        <f t="shared" si="81"/>
        <v/>
      </c>
      <c r="BP93" s="304" t="str">
        <f t="shared" si="82"/>
        <v/>
      </c>
      <c r="BQ93" s="305" t="str">
        <f t="shared" si="83"/>
        <v/>
      </c>
      <c r="BR93" s="304" t="str">
        <f t="shared" si="84"/>
        <v/>
      </c>
      <c r="BS93" s="304" t="str">
        <f t="shared" si="85"/>
        <v/>
      </c>
      <c r="BT93" s="304" t="str">
        <f>IF(OR($B93="", $AH93 = "SIM"), "", IF( ISNA(VLOOKUP($AP93,#REF!, 1, FALSE)), 1, 0))</f>
        <v/>
      </c>
      <c r="BU93" s="304" t="str">
        <f t="shared" si="86"/>
        <v/>
      </c>
      <c r="BV93" s="304" t="str">
        <f>IF( $B93="", "", IF( ISNA(VLOOKUP($AN93, TABELAS!$T$2:$T$9,1,FALSE)), 1, 0))</f>
        <v/>
      </c>
      <c r="BW93" s="304" t="str">
        <f t="shared" si="87"/>
        <v/>
      </c>
      <c r="BX93" s="304" t="str">
        <f>IF( OR($B93="", $AH93 = "SIM"), "", IF( ISNA( VLOOKUP( $AQ93, SISTEMA!$B:$B, 1, FALSE)), 1, 0))</f>
        <v/>
      </c>
      <c r="BY93" s="305" t="str">
        <f t="shared" si="88"/>
        <v/>
      </c>
      <c r="BZ93" s="305" t="str">
        <f t="shared" si="89"/>
        <v/>
      </c>
      <c r="CA93" s="304" t="str">
        <f t="shared" si="90"/>
        <v/>
      </c>
      <c r="CB93" s="305" t="str">
        <f t="shared" si="91"/>
        <v/>
      </c>
      <c r="CC93" s="305" t="str">
        <f t="shared" si="92"/>
        <v/>
      </c>
      <c r="CD93" s="305" t="str">
        <f t="shared" si="93"/>
        <v/>
      </c>
    </row>
    <row r="94" spans="1:82" x14ac:dyDescent="0.2">
      <c r="A94" s="235"/>
      <c r="B94" s="236" t="str">
        <f t="shared" si="58"/>
        <v/>
      </c>
      <c r="C94" s="237" t="str">
        <f t="shared" si="48"/>
        <v/>
      </c>
      <c r="D94" s="237" t="str">
        <f t="shared" si="59"/>
        <v/>
      </c>
      <c r="E94" s="237" t="str">
        <f>IF($C94="", "", COUNTIF($M$8:$M94,$D94))</f>
        <v/>
      </c>
      <c r="F94" s="238">
        <v>87</v>
      </c>
      <c r="G94" s="239"/>
      <c r="H94" s="240"/>
      <c r="I94" s="240"/>
      <c r="J94" s="241"/>
      <c r="K94" s="240"/>
      <c r="L94" s="240"/>
      <c r="M94" s="240"/>
      <c r="N94" s="242"/>
      <c r="O94" s="243"/>
      <c r="P94" s="243"/>
      <c r="Q94" s="243"/>
      <c r="R94" s="243"/>
      <c r="S94" s="243"/>
      <c r="T94" s="245"/>
      <c r="U94" s="246" t="str">
        <f>IF($T94="", "", VLOOKUP($T94, CONTRATOS!$B:$E, 2, FALSE))</f>
        <v/>
      </c>
      <c r="V94" s="247">
        <f>IF(OR($T94="",TB_DEFESA!$C$2="Criação Baseline"),0,
   IF(VLOOKUP($T94, CONTRATOS!B:E, 3, FALSE)&lt;&gt;"",1,IF(VLOOKUP($T94, CONTRATOS!B:E, 4, FALSE)&lt;&gt;"",2,0)))</f>
        <v>0</v>
      </c>
      <c r="W94" s="248"/>
      <c r="X94" s="248"/>
      <c r="Y94" s="249"/>
      <c r="Z94" s="250"/>
      <c r="AA94" s="251"/>
      <c r="AB94" s="252"/>
      <c r="AC94" s="253"/>
      <c r="AD94" s="251"/>
      <c r="AE94" s="254" t="str">
        <f t="shared" si="49"/>
        <v/>
      </c>
      <c r="AF94" s="256" t="str">
        <f t="shared" si="60"/>
        <v/>
      </c>
      <c r="AG94" s="293" t="s">
        <v>62</v>
      </c>
      <c r="AH94" s="294" t="str">
        <f t="shared" si="61"/>
        <v/>
      </c>
      <c r="AI94" s="294" t="str">
        <f t="shared" si="62"/>
        <v/>
      </c>
      <c r="AJ94" s="295" t="str">
        <f t="shared" si="63"/>
        <v/>
      </c>
      <c r="AK94" s="296" t="str">
        <f t="shared" si="64"/>
        <v/>
      </c>
      <c r="AL94" s="297" t="str">
        <f t="shared" si="65"/>
        <v/>
      </c>
      <c r="AM94" s="294" t="str">
        <f t="shared" si="66"/>
        <v/>
      </c>
      <c r="AN94" s="294" t="str">
        <f t="shared" si="67"/>
        <v/>
      </c>
      <c r="AO94" s="298" t="str">
        <f t="shared" si="68"/>
        <v/>
      </c>
      <c r="AP94" s="299" t="str">
        <f t="shared" si="69"/>
        <v/>
      </c>
      <c r="AQ94" s="299" t="str">
        <f t="shared" si="70"/>
        <v/>
      </c>
      <c r="AR94" s="300" t="str">
        <f t="shared" si="50"/>
        <v/>
      </c>
      <c r="AS94" s="300" t="str">
        <f t="shared" si="51"/>
        <v/>
      </c>
      <c r="AT94" s="294" t="str">
        <f t="shared" si="52"/>
        <v/>
      </c>
      <c r="AU94" s="301" t="str">
        <f>IF(OR($B94="", $AP94= ""),"",IF(VLOOKUP($AP94, CONTRATOS!B:K,3,FALSE)="","",VLOOKUP($AP94, CONTRATOS!B:K, 3,FALSE)))</f>
        <v/>
      </c>
      <c r="AV94" s="301" t="str">
        <f>IF(OR($B94="", $AP94 = ""), "", IF(VLOOKUP($AP94, CONTRATOS!B:K,4,FALSE)="","",VLOOKUP($AP94, CONTRATOS!B:K,4, FALSE)))</f>
        <v/>
      </c>
      <c r="AW94" s="302" t="str">
        <f t="shared" si="53"/>
        <v/>
      </c>
      <c r="AX94" s="301" t="str">
        <f t="shared" si="54"/>
        <v/>
      </c>
      <c r="AY94" s="301" t="str">
        <f t="shared" si="55"/>
        <v/>
      </c>
      <c r="AZ94" s="301" t="str">
        <f t="shared" si="56"/>
        <v/>
      </c>
      <c r="BA94" s="301" t="str">
        <f t="shared" si="57"/>
        <v/>
      </c>
      <c r="BB94" s="303">
        <f t="shared" si="71"/>
        <v>0</v>
      </c>
      <c r="BC94" s="303" t="str">
        <f t="shared" si="72"/>
        <v/>
      </c>
      <c r="BD94" s="303" t="str">
        <f t="shared" si="73"/>
        <v/>
      </c>
      <c r="BF94" s="304">
        <f t="shared" si="74"/>
        <v>0</v>
      </c>
      <c r="BG94" s="304">
        <f t="shared" si="75"/>
        <v>0</v>
      </c>
      <c r="BH94" s="304" t="str">
        <f>IF( $B94="", "", IF(ISNA(VLOOKUP($C94, Defesa!$C$8:$C$30,1,FALSE)),1,0))</f>
        <v/>
      </c>
      <c r="BI94" s="305" t="str">
        <f t="shared" si="76"/>
        <v/>
      </c>
      <c r="BJ94" s="305" t="str">
        <f t="shared" si="77"/>
        <v/>
      </c>
      <c r="BK94" s="304" t="str">
        <f t="shared" si="78"/>
        <v/>
      </c>
      <c r="BL94" s="304">
        <f t="shared" si="79"/>
        <v>0</v>
      </c>
      <c r="BM94" s="304" t="str">
        <f>IF($AC94="", "", IF(ISNA(VLOOKUP($AC94, TABELAS!$Q:$Q, 1, FALSE)), 1, 0))</f>
        <v/>
      </c>
      <c r="BN94" s="306" t="str">
        <f t="shared" si="80"/>
        <v/>
      </c>
      <c r="BO94" s="304" t="str">
        <f t="shared" si="81"/>
        <v/>
      </c>
      <c r="BP94" s="304" t="str">
        <f t="shared" si="82"/>
        <v/>
      </c>
      <c r="BQ94" s="305" t="str">
        <f t="shared" si="83"/>
        <v/>
      </c>
      <c r="BR94" s="304" t="str">
        <f t="shared" si="84"/>
        <v/>
      </c>
      <c r="BS94" s="304" t="str">
        <f t="shared" si="85"/>
        <v/>
      </c>
      <c r="BT94" s="304" t="str">
        <f>IF(OR($B94="", $AH94 = "SIM"), "", IF( ISNA(VLOOKUP($AP94,#REF!, 1, FALSE)), 1, 0))</f>
        <v/>
      </c>
      <c r="BU94" s="304" t="str">
        <f t="shared" si="86"/>
        <v/>
      </c>
      <c r="BV94" s="304" t="str">
        <f>IF( $B94="", "", IF( ISNA(VLOOKUP($AN94, TABELAS!$T$2:$T$9,1,FALSE)), 1, 0))</f>
        <v/>
      </c>
      <c r="BW94" s="304" t="str">
        <f t="shared" si="87"/>
        <v/>
      </c>
      <c r="BX94" s="304" t="str">
        <f>IF( OR($B94="", $AH94 = "SIM"), "", IF( ISNA( VLOOKUP( $AQ94, SISTEMA!$B:$B, 1, FALSE)), 1, 0))</f>
        <v/>
      </c>
      <c r="BY94" s="305" t="str">
        <f t="shared" si="88"/>
        <v/>
      </c>
      <c r="BZ94" s="305" t="str">
        <f t="shared" si="89"/>
        <v/>
      </c>
      <c r="CA94" s="304" t="str">
        <f t="shared" si="90"/>
        <v/>
      </c>
      <c r="CB94" s="305" t="str">
        <f t="shared" si="91"/>
        <v/>
      </c>
      <c r="CC94" s="305" t="str">
        <f t="shared" si="92"/>
        <v/>
      </c>
      <c r="CD94" s="305" t="str">
        <f t="shared" si="93"/>
        <v/>
      </c>
    </row>
    <row r="95" spans="1:82" x14ac:dyDescent="0.2">
      <c r="A95" s="235"/>
      <c r="B95" s="236" t="str">
        <f t="shared" si="58"/>
        <v/>
      </c>
      <c r="C95" s="237" t="str">
        <f t="shared" si="48"/>
        <v/>
      </c>
      <c r="D95" s="237" t="str">
        <f t="shared" si="59"/>
        <v/>
      </c>
      <c r="E95" s="237" t="str">
        <f>IF($C95="", "", COUNTIF($M$8:$M95,$D95))</f>
        <v/>
      </c>
      <c r="F95" s="238">
        <v>88</v>
      </c>
      <c r="G95" s="239"/>
      <c r="H95" s="240"/>
      <c r="I95" s="240"/>
      <c r="J95" s="241"/>
      <c r="K95" s="240"/>
      <c r="L95" s="240"/>
      <c r="M95" s="240"/>
      <c r="N95" s="242"/>
      <c r="O95" s="243"/>
      <c r="P95" s="243"/>
      <c r="Q95" s="243"/>
      <c r="R95" s="243"/>
      <c r="S95" s="243"/>
      <c r="T95" s="245"/>
      <c r="U95" s="246" t="str">
        <f>IF($T95="", "", VLOOKUP($T95, CONTRATOS!$B:$E, 2, FALSE))</f>
        <v/>
      </c>
      <c r="V95" s="247">
        <f>IF(OR($T95="",TB_DEFESA!$C$2="Criação Baseline"),0,
   IF(VLOOKUP($T95, CONTRATOS!B:E, 3, FALSE)&lt;&gt;"",1,IF(VLOOKUP($T95, CONTRATOS!B:E, 4, FALSE)&lt;&gt;"",2,0)))</f>
        <v>0</v>
      </c>
      <c r="W95" s="248"/>
      <c r="X95" s="248"/>
      <c r="Y95" s="249"/>
      <c r="Z95" s="250"/>
      <c r="AA95" s="251"/>
      <c r="AB95" s="252"/>
      <c r="AC95" s="253"/>
      <c r="AD95" s="251"/>
      <c r="AE95" s="254" t="str">
        <f t="shared" si="49"/>
        <v/>
      </c>
      <c r="AF95" s="256" t="str">
        <f t="shared" si="60"/>
        <v/>
      </c>
      <c r="AG95" s="293" t="s">
        <v>62</v>
      </c>
      <c r="AH95" s="294" t="str">
        <f t="shared" si="61"/>
        <v/>
      </c>
      <c r="AI95" s="294" t="str">
        <f t="shared" si="62"/>
        <v/>
      </c>
      <c r="AJ95" s="295" t="str">
        <f t="shared" si="63"/>
        <v/>
      </c>
      <c r="AK95" s="296" t="str">
        <f t="shared" si="64"/>
        <v/>
      </c>
      <c r="AL95" s="297" t="str">
        <f t="shared" si="65"/>
        <v/>
      </c>
      <c r="AM95" s="294" t="str">
        <f t="shared" si="66"/>
        <v/>
      </c>
      <c r="AN95" s="294" t="str">
        <f t="shared" si="67"/>
        <v/>
      </c>
      <c r="AO95" s="298" t="str">
        <f t="shared" si="68"/>
        <v/>
      </c>
      <c r="AP95" s="299" t="str">
        <f t="shared" si="69"/>
        <v/>
      </c>
      <c r="AQ95" s="299" t="str">
        <f t="shared" si="70"/>
        <v/>
      </c>
      <c r="AR95" s="300" t="str">
        <f t="shared" si="50"/>
        <v/>
      </c>
      <c r="AS95" s="300" t="str">
        <f t="shared" si="51"/>
        <v/>
      </c>
      <c r="AT95" s="294" t="str">
        <f t="shared" si="52"/>
        <v/>
      </c>
      <c r="AU95" s="301" t="str">
        <f>IF(OR($B95="", $AP95= ""),"",IF(VLOOKUP($AP95, CONTRATOS!B:K,3,FALSE)="","",VLOOKUP($AP95, CONTRATOS!B:K, 3,FALSE)))</f>
        <v/>
      </c>
      <c r="AV95" s="301" t="str">
        <f>IF(OR($B95="", $AP95 = ""), "", IF(VLOOKUP($AP95, CONTRATOS!B:K,4,FALSE)="","",VLOOKUP($AP95, CONTRATOS!B:K,4, FALSE)))</f>
        <v/>
      </c>
      <c r="AW95" s="302" t="str">
        <f t="shared" si="53"/>
        <v/>
      </c>
      <c r="AX95" s="301" t="str">
        <f t="shared" si="54"/>
        <v/>
      </c>
      <c r="AY95" s="301" t="str">
        <f t="shared" si="55"/>
        <v/>
      </c>
      <c r="AZ95" s="301" t="str">
        <f t="shared" si="56"/>
        <v/>
      </c>
      <c r="BA95" s="301" t="str">
        <f t="shared" si="57"/>
        <v/>
      </c>
      <c r="BB95" s="303">
        <f t="shared" si="71"/>
        <v>0</v>
      </c>
      <c r="BC95" s="303" t="str">
        <f t="shared" si="72"/>
        <v/>
      </c>
      <c r="BD95" s="303" t="str">
        <f t="shared" si="73"/>
        <v/>
      </c>
      <c r="BF95" s="304">
        <f t="shared" si="74"/>
        <v>0</v>
      </c>
      <c r="BG95" s="304">
        <f t="shared" si="75"/>
        <v>0</v>
      </c>
      <c r="BH95" s="304" t="str">
        <f>IF( $B95="", "", IF(ISNA(VLOOKUP($C95, Defesa!$C$8:$C$30,1,FALSE)),1,0))</f>
        <v/>
      </c>
      <c r="BI95" s="305" t="str">
        <f t="shared" si="76"/>
        <v/>
      </c>
      <c r="BJ95" s="305" t="str">
        <f t="shared" si="77"/>
        <v/>
      </c>
      <c r="BK95" s="304" t="str">
        <f t="shared" si="78"/>
        <v/>
      </c>
      <c r="BL95" s="304">
        <f t="shared" si="79"/>
        <v>0</v>
      </c>
      <c r="BM95" s="304" t="str">
        <f>IF($AC95="", "", IF(ISNA(VLOOKUP($AC95, TABELAS!$Q:$Q, 1, FALSE)), 1, 0))</f>
        <v/>
      </c>
      <c r="BN95" s="306" t="str">
        <f t="shared" si="80"/>
        <v/>
      </c>
      <c r="BO95" s="304" t="str">
        <f t="shared" si="81"/>
        <v/>
      </c>
      <c r="BP95" s="304" t="str">
        <f t="shared" si="82"/>
        <v/>
      </c>
      <c r="BQ95" s="305" t="str">
        <f t="shared" si="83"/>
        <v/>
      </c>
      <c r="BR95" s="304" t="str">
        <f t="shared" si="84"/>
        <v/>
      </c>
      <c r="BS95" s="304" t="str">
        <f t="shared" si="85"/>
        <v/>
      </c>
      <c r="BT95" s="304" t="str">
        <f>IF(OR($B95="", $AH95 = "SIM"), "", IF( ISNA(VLOOKUP($AP95,#REF!, 1, FALSE)), 1, 0))</f>
        <v/>
      </c>
      <c r="BU95" s="304" t="str">
        <f t="shared" si="86"/>
        <v/>
      </c>
      <c r="BV95" s="304" t="str">
        <f>IF( $B95="", "", IF( ISNA(VLOOKUP($AN95, TABELAS!$T$2:$T$9,1,FALSE)), 1, 0))</f>
        <v/>
      </c>
      <c r="BW95" s="304" t="str">
        <f t="shared" si="87"/>
        <v/>
      </c>
      <c r="BX95" s="304" t="str">
        <f>IF( OR($B95="", $AH95 = "SIM"), "", IF( ISNA( VLOOKUP( $AQ95, SISTEMA!$B:$B, 1, FALSE)), 1, 0))</f>
        <v/>
      </c>
      <c r="BY95" s="305" t="str">
        <f t="shared" si="88"/>
        <v/>
      </c>
      <c r="BZ95" s="305" t="str">
        <f t="shared" si="89"/>
        <v/>
      </c>
      <c r="CA95" s="304" t="str">
        <f t="shared" si="90"/>
        <v/>
      </c>
      <c r="CB95" s="305" t="str">
        <f t="shared" si="91"/>
        <v/>
      </c>
      <c r="CC95" s="305" t="str">
        <f t="shared" si="92"/>
        <v/>
      </c>
      <c r="CD95" s="305" t="str">
        <f t="shared" si="93"/>
        <v/>
      </c>
    </row>
    <row r="96" spans="1:82" x14ac:dyDescent="0.2">
      <c r="A96" s="235"/>
      <c r="B96" s="236" t="str">
        <f t="shared" si="58"/>
        <v/>
      </c>
      <c r="C96" s="237" t="str">
        <f t="shared" si="48"/>
        <v/>
      </c>
      <c r="D96" s="237" t="str">
        <f t="shared" si="59"/>
        <v/>
      </c>
      <c r="E96" s="237" t="str">
        <f>IF($C96="", "", COUNTIF($M$8:$M96,$D96))</f>
        <v/>
      </c>
      <c r="F96" s="238">
        <v>89</v>
      </c>
      <c r="G96" s="239"/>
      <c r="H96" s="240"/>
      <c r="I96" s="240"/>
      <c r="J96" s="241"/>
      <c r="K96" s="240"/>
      <c r="L96" s="240"/>
      <c r="M96" s="240"/>
      <c r="N96" s="242"/>
      <c r="O96" s="243"/>
      <c r="P96" s="243"/>
      <c r="Q96" s="243"/>
      <c r="R96" s="243"/>
      <c r="S96" s="243"/>
      <c r="T96" s="245"/>
      <c r="U96" s="246" t="str">
        <f>IF($T96="", "", VLOOKUP($T96, CONTRATOS!$B:$E, 2, FALSE))</f>
        <v/>
      </c>
      <c r="V96" s="247">
        <f>IF(OR($T96="",TB_DEFESA!$C$2="Criação Baseline"),0,
   IF(VLOOKUP($T96, CONTRATOS!B:E, 3, FALSE)&lt;&gt;"",1,IF(VLOOKUP($T96, CONTRATOS!B:E, 4, FALSE)&lt;&gt;"",2,0)))</f>
        <v>0</v>
      </c>
      <c r="W96" s="248"/>
      <c r="X96" s="248"/>
      <c r="Y96" s="249"/>
      <c r="Z96" s="250"/>
      <c r="AA96" s="251"/>
      <c r="AB96" s="252"/>
      <c r="AC96" s="253"/>
      <c r="AD96" s="251"/>
      <c r="AE96" s="254" t="str">
        <f t="shared" si="49"/>
        <v/>
      </c>
      <c r="AF96" s="256" t="str">
        <f t="shared" si="60"/>
        <v/>
      </c>
      <c r="AG96" s="293" t="s">
        <v>62</v>
      </c>
      <c r="AH96" s="294" t="str">
        <f t="shared" si="61"/>
        <v/>
      </c>
      <c r="AI96" s="294" t="str">
        <f t="shared" si="62"/>
        <v/>
      </c>
      <c r="AJ96" s="295" t="str">
        <f t="shared" si="63"/>
        <v/>
      </c>
      <c r="AK96" s="296" t="str">
        <f t="shared" si="64"/>
        <v/>
      </c>
      <c r="AL96" s="297" t="str">
        <f t="shared" si="65"/>
        <v/>
      </c>
      <c r="AM96" s="294" t="str">
        <f t="shared" si="66"/>
        <v/>
      </c>
      <c r="AN96" s="294" t="str">
        <f t="shared" si="67"/>
        <v/>
      </c>
      <c r="AO96" s="298" t="str">
        <f t="shared" si="68"/>
        <v/>
      </c>
      <c r="AP96" s="299" t="str">
        <f t="shared" si="69"/>
        <v/>
      </c>
      <c r="AQ96" s="299" t="str">
        <f t="shared" si="70"/>
        <v/>
      </c>
      <c r="AR96" s="300" t="str">
        <f t="shared" si="50"/>
        <v/>
      </c>
      <c r="AS96" s="300" t="str">
        <f t="shared" si="51"/>
        <v/>
      </c>
      <c r="AT96" s="294" t="str">
        <f t="shared" si="52"/>
        <v/>
      </c>
      <c r="AU96" s="301" t="str">
        <f>IF(OR($B96="", $AP96= ""),"",IF(VLOOKUP($AP96, CONTRATOS!B:K,3,FALSE)="","",VLOOKUP($AP96, CONTRATOS!B:K, 3,FALSE)))</f>
        <v/>
      </c>
      <c r="AV96" s="301" t="str">
        <f>IF(OR($B96="", $AP96 = ""), "", IF(VLOOKUP($AP96, CONTRATOS!B:K,4,FALSE)="","",VLOOKUP($AP96, CONTRATOS!B:K,4, FALSE)))</f>
        <v/>
      </c>
      <c r="AW96" s="302" t="str">
        <f t="shared" si="53"/>
        <v/>
      </c>
      <c r="AX96" s="301" t="str">
        <f t="shared" si="54"/>
        <v/>
      </c>
      <c r="AY96" s="301" t="str">
        <f t="shared" si="55"/>
        <v/>
      </c>
      <c r="AZ96" s="301" t="str">
        <f t="shared" si="56"/>
        <v/>
      </c>
      <c r="BA96" s="301" t="str">
        <f t="shared" si="57"/>
        <v/>
      </c>
      <c r="BB96" s="303">
        <f t="shared" si="71"/>
        <v>0</v>
      </c>
      <c r="BC96" s="303" t="str">
        <f t="shared" si="72"/>
        <v/>
      </c>
      <c r="BD96" s="303" t="str">
        <f t="shared" si="73"/>
        <v/>
      </c>
      <c r="BF96" s="304">
        <f t="shared" si="74"/>
        <v>0</v>
      </c>
      <c r="BG96" s="304">
        <f t="shared" si="75"/>
        <v>0</v>
      </c>
      <c r="BH96" s="304" t="str">
        <f>IF( $B96="", "", IF(ISNA(VLOOKUP($C96, Defesa!$C$8:$C$30,1,FALSE)),1,0))</f>
        <v/>
      </c>
      <c r="BI96" s="305" t="str">
        <f t="shared" si="76"/>
        <v/>
      </c>
      <c r="BJ96" s="305" t="str">
        <f t="shared" si="77"/>
        <v/>
      </c>
      <c r="BK96" s="304" t="str">
        <f t="shared" si="78"/>
        <v/>
      </c>
      <c r="BL96" s="304">
        <f t="shared" si="79"/>
        <v>0</v>
      </c>
      <c r="BM96" s="304" t="str">
        <f>IF($AC96="", "", IF(ISNA(VLOOKUP($AC96, TABELAS!$Q:$Q, 1, FALSE)), 1, 0))</f>
        <v/>
      </c>
      <c r="BN96" s="306" t="str">
        <f t="shared" si="80"/>
        <v/>
      </c>
      <c r="BO96" s="304" t="str">
        <f t="shared" si="81"/>
        <v/>
      </c>
      <c r="BP96" s="304" t="str">
        <f t="shared" si="82"/>
        <v/>
      </c>
      <c r="BQ96" s="305" t="str">
        <f t="shared" si="83"/>
        <v/>
      </c>
      <c r="BR96" s="304" t="str">
        <f t="shared" si="84"/>
        <v/>
      </c>
      <c r="BS96" s="304" t="str">
        <f t="shared" si="85"/>
        <v/>
      </c>
      <c r="BT96" s="304" t="str">
        <f>IF(OR($B96="", $AH96 = "SIM"), "", IF( ISNA(VLOOKUP($AP96,#REF!, 1, FALSE)), 1, 0))</f>
        <v/>
      </c>
      <c r="BU96" s="304" t="str">
        <f t="shared" si="86"/>
        <v/>
      </c>
      <c r="BV96" s="304" t="str">
        <f>IF( $B96="", "", IF( ISNA(VLOOKUP($AN96, TABELAS!$T$2:$T$9,1,FALSE)), 1, 0))</f>
        <v/>
      </c>
      <c r="BW96" s="304" t="str">
        <f t="shared" si="87"/>
        <v/>
      </c>
      <c r="BX96" s="304" t="str">
        <f>IF( OR($B96="", $AH96 = "SIM"), "", IF( ISNA( VLOOKUP( $AQ96, SISTEMA!$B:$B, 1, FALSE)), 1, 0))</f>
        <v/>
      </c>
      <c r="BY96" s="305" t="str">
        <f t="shared" si="88"/>
        <v/>
      </c>
      <c r="BZ96" s="305" t="str">
        <f t="shared" si="89"/>
        <v/>
      </c>
      <c r="CA96" s="304" t="str">
        <f t="shared" si="90"/>
        <v/>
      </c>
      <c r="CB96" s="305" t="str">
        <f t="shared" si="91"/>
        <v/>
      </c>
      <c r="CC96" s="305" t="str">
        <f t="shared" si="92"/>
        <v/>
      </c>
      <c r="CD96" s="305" t="str">
        <f t="shared" si="93"/>
        <v/>
      </c>
    </row>
    <row r="97" spans="1:82" x14ac:dyDescent="0.2">
      <c r="A97" s="235"/>
      <c r="B97" s="236" t="str">
        <f t="shared" si="58"/>
        <v/>
      </c>
      <c r="C97" s="237" t="str">
        <f t="shared" si="48"/>
        <v/>
      </c>
      <c r="D97" s="237" t="str">
        <f t="shared" si="59"/>
        <v/>
      </c>
      <c r="E97" s="237" t="str">
        <f>IF($C97="", "", COUNTIF($M$8:$M97,$D97))</f>
        <v/>
      </c>
      <c r="F97" s="238">
        <v>90</v>
      </c>
      <c r="G97" s="239"/>
      <c r="H97" s="240"/>
      <c r="I97" s="240"/>
      <c r="J97" s="241"/>
      <c r="K97" s="240"/>
      <c r="L97" s="240"/>
      <c r="M97" s="240"/>
      <c r="N97" s="242"/>
      <c r="O97" s="243"/>
      <c r="P97" s="243"/>
      <c r="Q97" s="243"/>
      <c r="R97" s="243"/>
      <c r="S97" s="243"/>
      <c r="T97" s="245"/>
      <c r="U97" s="246" t="str">
        <f>IF($T97="", "", VLOOKUP($T97, CONTRATOS!$B:$E, 2, FALSE))</f>
        <v/>
      </c>
      <c r="V97" s="247">
        <f>IF(OR($T97="",TB_DEFESA!$C$2="Criação Baseline"),0,
   IF(VLOOKUP($T97, CONTRATOS!B:E, 3, FALSE)&lt;&gt;"",1,IF(VLOOKUP($T97, CONTRATOS!B:E, 4, FALSE)&lt;&gt;"",2,0)))</f>
        <v>0</v>
      </c>
      <c r="W97" s="248"/>
      <c r="X97" s="248"/>
      <c r="Y97" s="249"/>
      <c r="Z97" s="250"/>
      <c r="AA97" s="251"/>
      <c r="AB97" s="252"/>
      <c r="AC97" s="253"/>
      <c r="AD97" s="251"/>
      <c r="AE97" s="254" t="str">
        <f t="shared" si="49"/>
        <v/>
      </c>
      <c r="AF97" s="256" t="str">
        <f t="shared" si="60"/>
        <v/>
      </c>
      <c r="AG97" s="293" t="s">
        <v>62</v>
      </c>
      <c r="AH97" s="294" t="str">
        <f t="shared" si="61"/>
        <v/>
      </c>
      <c r="AI97" s="294" t="str">
        <f t="shared" si="62"/>
        <v/>
      </c>
      <c r="AJ97" s="295" t="str">
        <f t="shared" si="63"/>
        <v/>
      </c>
      <c r="AK97" s="296" t="str">
        <f t="shared" si="64"/>
        <v/>
      </c>
      <c r="AL97" s="297" t="str">
        <f t="shared" si="65"/>
        <v/>
      </c>
      <c r="AM97" s="294" t="str">
        <f t="shared" si="66"/>
        <v/>
      </c>
      <c r="AN97" s="294" t="str">
        <f t="shared" si="67"/>
        <v/>
      </c>
      <c r="AO97" s="298" t="str">
        <f t="shared" si="68"/>
        <v/>
      </c>
      <c r="AP97" s="299" t="str">
        <f t="shared" si="69"/>
        <v/>
      </c>
      <c r="AQ97" s="299" t="str">
        <f t="shared" si="70"/>
        <v/>
      </c>
      <c r="AR97" s="300" t="str">
        <f t="shared" si="50"/>
        <v/>
      </c>
      <c r="AS97" s="300" t="str">
        <f t="shared" si="51"/>
        <v/>
      </c>
      <c r="AT97" s="294" t="str">
        <f t="shared" si="52"/>
        <v/>
      </c>
      <c r="AU97" s="301" t="str">
        <f>IF(OR($B97="", $AP97= ""),"",IF(VLOOKUP($AP97, CONTRATOS!B:K,3,FALSE)="","",VLOOKUP($AP97, CONTRATOS!B:K, 3,FALSE)))</f>
        <v/>
      </c>
      <c r="AV97" s="301" t="str">
        <f>IF(OR($B97="", $AP97 = ""), "", IF(VLOOKUP($AP97, CONTRATOS!B:K,4,FALSE)="","",VLOOKUP($AP97, CONTRATOS!B:K,4, FALSE)))</f>
        <v/>
      </c>
      <c r="AW97" s="302" t="str">
        <f t="shared" si="53"/>
        <v/>
      </c>
      <c r="AX97" s="301" t="str">
        <f t="shared" si="54"/>
        <v/>
      </c>
      <c r="AY97" s="301" t="str">
        <f t="shared" si="55"/>
        <v/>
      </c>
      <c r="AZ97" s="301" t="str">
        <f t="shared" si="56"/>
        <v/>
      </c>
      <c r="BA97" s="301" t="str">
        <f t="shared" si="57"/>
        <v/>
      </c>
      <c r="BB97" s="303">
        <f t="shared" si="71"/>
        <v>0</v>
      </c>
      <c r="BC97" s="303" t="str">
        <f t="shared" si="72"/>
        <v/>
      </c>
      <c r="BD97" s="303" t="str">
        <f t="shared" si="73"/>
        <v/>
      </c>
      <c r="BF97" s="304">
        <f t="shared" si="74"/>
        <v>0</v>
      </c>
      <c r="BG97" s="304">
        <f t="shared" si="75"/>
        <v>0</v>
      </c>
      <c r="BH97" s="304" t="str">
        <f>IF( $B97="", "", IF(ISNA(VLOOKUP($C97, Defesa!$C$8:$C$30,1,FALSE)),1,0))</f>
        <v/>
      </c>
      <c r="BI97" s="305" t="str">
        <f t="shared" si="76"/>
        <v/>
      </c>
      <c r="BJ97" s="305" t="str">
        <f t="shared" si="77"/>
        <v/>
      </c>
      <c r="BK97" s="304" t="str">
        <f t="shared" si="78"/>
        <v/>
      </c>
      <c r="BL97" s="304">
        <f t="shared" si="79"/>
        <v>0</v>
      </c>
      <c r="BM97" s="304" t="str">
        <f>IF($AC97="", "", IF(ISNA(VLOOKUP($AC97, TABELAS!$Q:$Q, 1, FALSE)), 1, 0))</f>
        <v/>
      </c>
      <c r="BN97" s="306" t="str">
        <f t="shared" si="80"/>
        <v/>
      </c>
      <c r="BO97" s="304" t="str">
        <f t="shared" si="81"/>
        <v/>
      </c>
      <c r="BP97" s="304" t="str">
        <f t="shared" si="82"/>
        <v/>
      </c>
      <c r="BQ97" s="305" t="str">
        <f t="shared" si="83"/>
        <v/>
      </c>
      <c r="BR97" s="304" t="str">
        <f t="shared" si="84"/>
        <v/>
      </c>
      <c r="BS97" s="304" t="str">
        <f t="shared" si="85"/>
        <v/>
      </c>
      <c r="BT97" s="304" t="str">
        <f>IF(OR($B97="", $AH97 = "SIM"), "", IF( ISNA(VLOOKUP($AP97,#REF!, 1, FALSE)), 1, 0))</f>
        <v/>
      </c>
      <c r="BU97" s="304" t="str">
        <f t="shared" si="86"/>
        <v/>
      </c>
      <c r="BV97" s="304" t="str">
        <f>IF( $B97="", "", IF( ISNA(VLOOKUP($AN97, TABELAS!$T$2:$T$9,1,FALSE)), 1, 0))</f>
        <v/>
      </c>
      <c r="BW97" s="304" t="str">
        <f t="shared" si="87"/>
        <v/>
      </c>
      <c r="BX97" s="304" t="str">
        <f>IF( OR($B97="", $AH97 = "SIM"), "", IF( ISNA( VLOOKUP( $AQ97, SISTEMA!$B:$B, 1, FALSE)), 1, 0))</f>
        <v/>
      </c>
      <c r="BY97" s="305" t="str">
        <f t="shared" si="88"/>
        <v/>
      </c>
      <c r="BZ97" s="305" t="str">
        <f t="shared" si="89"/>
        <v/>
      </c>
      <c r="CA97" s="304" t="str">
        <f t="shared" si="90"/>
        <v/>
      </c>
      <c r="CB97" s="305" t="str">
        <f t="shared" si="91"/>
        <v/>
      </c>
      <c r="CC97" s="305" t="str">
        <f t="shared" si="92"/>
        <v/>
      </c>
      <c r="CD97" s="305" t="str">
        <f t="shared" si="93"/>
        <v/>
      </c>
    </row>
    <row r="98" spans="1:82" x14ac:dyDescent="0.2">
      <c r="A98" s="235"/>
      <c r="B98" s="236" t="str">
        <f t="shared" si="58"/>
        <v/>
      </c>
      <c r="C98" s="237" t="str">
        <f t="shared" si="48"/>
        <v/>
      </c>
      <c r="D98" s="237" t="str">
        <f t="shared" si="59"/>
        <v/>
      </c>
      <c r="E98" s="237" t="str">
        <f>IF($C98="", "", COUNTIF($M$8:$M98,$D98))</f>
        <v/>
      </c>
      <c r="F98" s="238">
        <v>91</v>
      </c>
      <c r="G98" s="239"/>
      <c r="H98" s="240"/>
      <c r="I98" s="240"/>
      <c r="J98" s="241"/>
      <c r="K98" s="240"/>
      <c r="L98" s="240"/>
      <c r="M98" s="240"/>
      <c r="N98" s="242"/>
      <c r="O98" s="243"/>
      <c r="P98" s="243"/>
      <c r="Q98" s="243"/>
      <c r="R98" s="243"/>
      <c r="S98" s="243"/>
      <c r="T98" s="245"/>
      <c r="U98" s="246" t="str">
        <f>IF($T98="", "", VLOOKUP($T98, CONTRATOS!$B:$E, 2, FALSE))</f>
        <v/>
      </c>
      <c r="V98" s="247">
        <f>IF(OR($T98="",TB_DEFESA!$C$2="Criação Baseline"),0,
   IF(VLOOKUP($T98, CONTRATOS!B:E, 3, FALSE)&lt;&gt;"",1,IF(VLOOKUP($T98, CONTRATOS!B:E, 4, FALSE)&lt;&gt;"",2,0)))</f>
        <v>0</v>
      </c>
      <c r="W98" s="248"/>
      <c r="X98" s="248"/>
      <c r="Y98" s="249"/>
      <c r="Z98" s="250"/>
      <c r="AA98" s="251"/>
      <c r="AB98" s="252"/>
      <c r="AC98" s="253"/>
      <c r="AD98" s="251"/>
      <c r="AE98" s="254" t="str">
        <f t="shared" si="49"/>
        <v/>
      </c>
      <c r="AF98" s="256" t="str">
        <f t="shared" si="60"/>
        <v/>
      </c>
      <c r="AG98" s="293" t="s">
        <v>62</v>
      </c>
      <c r="AH98" s="294" t="str">
        <f t="shared" si="61"/>
        <v/>
      </c>
      <c r="AI98" s="294" t="str">
        <f t="shared" si="62"/>
        <v/>
      </c>
      <c r="AJ98" s="295" t="str">
        <f t="shared" si="63"/>
        <v/>
      </c>
      <c r="AK98" s="296" t="str">
        <f t="shared" si="64"/>
        <v/>
      </c>
      <c r="AL98" s="297" t="str">
        <f t="shared" si="65"/>
        <v/>
      </c>
      <c r="AM98" s="294" t="str">
        <f t="shared" si="66"/>
        <v/>
      </c>
      <c r="AN98" s="294" t="str">
        <f t="shared" si="67"/>
        <v/>
      </c>
      <c r="AO98" s="298" t="str">
        <f t="shared" si="68"/>
        <v/>
      </c>
      <c r="AP98" s="299" t="str">
        <f t="shared" si="69"/>
        <v/>
      </c>
      <c r="AQ98" s="299" t="str">
        <f t="shared" si="70"/>
        <v/>
      </c>
      <c r="AR98" s="300" t="str">
        <f t="shared" si="50"/>
        <v/>
      </c>
      <c r="AS98" s="300" t="str">
        <f t="shared" si="51"/>
        <v/>
      </c>
      <c r="AT98" s="294" t="str">
        <f t="shared" si="52"/>
        <v/>
      </c>
      <c r="AU98" s="301" t="str">
        <f>IF(OR($B98="", $AP98= ""),"",IF(VLOOKUP($AP98, CONTRATOS!B:K,3,FALSE)="","",VLOOKUP($AP98, CONTRATOS!B:K, 3,FALSE)))</f>
        <v/>
      </c>
      <c r="AV98" s="301" t="str">
        <f>IF(OR($B98="", $AP98 = ""), "", IF(VLOOKUP($AP98, CONTRATOS!B:K,4,FALSE)="","",VLOOKUP($AP98, CONTRATOS!B:K,4, FALSE)))</f>
        <v/>
      </c>
      <c r="AW98" s="302" t="str">
        <f t="shared" si="53"/>
        <v/>
      </c>
      <c r="AX98" s="301" t="str">
        <f t="shared" si="54"/>
        <v/>
      </c>
      <c r="AY98" s="301" t="str">
        <f t="shared" si="55"/>
        <v/>
      </c>
      <c r="AZ98" s="301" t="str">
        <f t="shared" si="56"/>
        <v/>
      </c>
      <c r="BA98" s="301" t="str">
        <f t="shared" si="57"/>
        <v/>
      </c>
      <c r="BB98" s="303">
        <f t="shared" si="71"/>
        <v>0</v>
      </c>
      <c r="BC98" s="303" t="str">
        <f t="shared" si="72"/>
        <v/>
      </c>
      <c r="BD98" s="303" t="str">
        <f t="shared" si="73"/>
        <v/>
      </c>
      <c r="BF98" s="304">
        <f t="shared" si="74"/>
        <v>0</v>
      </c>
      <c r="BG98" s="304">
        <f t="shared" si="75"/>
        <v>0</v>
      </c>
      <c r="BH98" s="304" t="str">
        <f>IF( $B98="", "", IF(ISNA(VLOOKUP($C98, Defesa!$C$8:$C$30,1,FALSE)),1,0))</f>
        <v/>
      </c>
      <c r="BI98" s="305" t="str">
        <f t="shared" si="76"/>
        <v/>
      </c>
      <c r="BJ98" s="305" t="str">
        <f t="shared" si="77"/>
        <v/>
      </c>
      <c r="BK98" s="304" t="str">
        <f t="shared" si="78"/>
        <v/>
      </c>
      <c r="BL98" s="304">
        <f t="shared" si="79"/>
        <v>0</v>
      </c>
      <c r="BM98" s="304" t="str">
        <f>IF($AC98="", "", IF(ISNA(VLOOKUP($AC98, TABELAS!$Q:$Q, 1, FALSE)), 1, 0))</f>
        <v/>
      </c>
      <c r="BN98" s="306" t="str">
        <f t="shared" si="80"/>
        <v/>
      </c>
      <c r="BO98" s="304" t="str">
        <f t="shared" si="81"/>
        <v/>
      </c>
      <c r="BP98" s="304" t="str">
        <f t="shared" si="82"/>
        <v/>
      </c>
      <c r="BQ98" s="305" t="str">
        <f t="shared" si="83"/>
        <v/>
      </c>
      <c r="BR98" s="304" t="str">
        <f t="shared" si="84"/>
        <v/>
      </c>
      <c r="BS98" s="304" t="str">
        <f t="shared" si="85"/>
        <v/>
      </c>
      <c r="BT98" s="304" t="str">
        <f>IF(OR($B98="", $AH98 = "SIM"), "", IF( ISNA(VLOOKUP($AP98,#REF!, 1, FALSE)), 1, 0))</f>
        <v/>
      </c>
      <c r="BU98" s="304" t="str">
        <f t="shared" si="86"/>
        <v/>
      </c>
      <c r="BV98" s="304" t="str">
        <f>IF( $B98="", "", IF( ISNA(VLOOKUP($AN98, TABELAS!$T$2:$T$9,1,FALSE)), 1, 0))</f>
        <v/>
      </c>
      <c r="BW98" s="304" t="str">
        <f t="shared" si="87"/>
        <v/>
      </c>
      <c r="BX98" s="304" t="str">
        <f>IF( OR($B98="", $AH98 = "SIM"), "", IF( ISNA( VLOOKUP( $AQ98, SISTEMA!$B:$B, 1, FALSE)), 1, 0))</f>
        <v/>
      </c>
      <c r="BY98" s="305" t="str">
        <f t="shared" si="88"/>
        <v/>
      </c>
      <c r="BZ98" s="305" t="str">
        <f t="shared" si="89"/>
        <v/>
      </c>
      <c r="CA98" s="304" t="str">
        <f t="shared" si="90"/>
        <v/>
      </c>
      <c r="CB98" s="305" t="str">
        <f t="shared" si="91"/>
        <v/>
      </c>
      <c r="CC98" s="305" t="str">
        <f t="shared" si="92"/>
        <v/>
      </c>
      <c r="CD98" s="305" t="str">
        <f t="shared" si="93"/>
        <v/>
      </c>
    </row>
    <row r="99" spans="1:82" x14ac:dyDescent="0.2">
      <c r="A99" s="235"/>
      <c r="B99" s="236" t="str">
        <f t="shared" si="58"/>
        <v/>
      </c>
      <c r="C99" s="237" t="str">
        <f t="shared" si="48"/>
        <v/>
      </c>
      <c r="D99" s="237" t="str">
        <f t="shared" si="59"/>
        <v/>
      </c>
      <c r="E99" s="237" t="str">
        <f>IF($C99="", "", COUNTIF($M$8:$M99,$D99))</f>
        <v/>
      </c>
      <c r="F99" s="238">
        <v>92</v>
      </c>
      <c r="G99" s="239"/>
      <c r="H99" s="240"/>
      <c r="I99" s="240"/>
      <c r="J99" s="241"/>
      <c r="K99" s="240"/>
      <c r="L99" s="240"/>
      <c r="M99" s="240"/>
      <c r="N99" s="242"/>
      <c r="O99" s="243"/>
      <c r="P99" s="243"/>
      <c r="Q99" s="243"/>
      <c r="R99" s="243"/>
      <c r="S99" s="243"/>
      <c r="T99" s="245"/>
      <c r="U99" s="246" t="str">
        <f>IF($T99="", "", VLOOKUP($T99, CONTRATOS!$B:$E, 2, FALSE))</f>
        <v/>
      </c>
      <c r="V99" s="247">
        <f>IF(OR($T99="",TB_DEFESA!$C$2="Criação Baseline"),0,
   IF(VLOOKUP($T99, CONTRATOS!B:E, 3, FALSE)&lt;&gt;"",1,IF(VLOOKUP($T99, CONTRATOS!B:E, 4, FALSE)&lt;&gt;"",2,0)))</f>
        <v>0</v>
      </c>
      <c r="W99" s="248"/>
      <c r="X99" s="248"/>
      <c r="Y99" s="249"/>
      <c r="Z99" s="250"/>
      <c r="AA99" s="251"/>
      <c r="AB99" s="252"/>
      <c r="AC99" s="253"/>
      <c r="AD99" s="251"/>
      <c r="AE99" s="254" t="str">
        <f t="shared" si="49"/>
        <v/>
      </c>
      <c r="AF99" s="256" t="str">
        <f t="shared" si="60"/>
        <v/>
      </c>
      <c r="AG99" s="293" t="s">
        <v>62</v>
      </c>
      <c r="AH99" s="294" t="str">
        <f t="shared" si="61"/>
        <v/>
      </c>
      <c r="AI99" s="294" t="str">
        <f t="shared" si="62"/>
        <v/>
      </c>
      <c r="AJ99" s="295" t="str">
        <f t="shared" si="63"/>
        <v/>
      </c>
      <c r="AK99" s="296" t="str">
        <f t="shared" si="64"/>
        <v/>
      </c>
      <c r="AL99" s="297" t="str">
        <f t="shared" si="65"/>
        <v/>
      </c>
      <c r="AM99" s="294" t="str">
        <f t="shared" si="66"/>
        <v/>
      </c>
      <c r="AN99" s="294" t="str">
        <f t="shared" si="67"/>
        <v/>
      </c>
      <c r="AO99" s="298" t="str">
        <f t="shared" si="68"/>
        <v/>
      </c>
      <c r="AP99" s="299" t="str">
        <f t="shared" si="69"/>
        <v/>
      </c>
      <c r="AQ99" s="299" t="str">
        <f t="shared" si="70"/>
        <v/>
      </c>
      <c r="AR99" s="300" t="str">
        <f t="shared" si="50"/>
        <v/>
      </c>
      <c r="AS99" s="300" t="str">
        <f t="shared" si="51"/>
        <v/>
      </c>
      <c r="AT99" s="294" t="str">
        <f t="shared" si="52"/>
        <v/>
      </c>
      <c r="AU99" s="301" t="str">
        <f>IF(OR($B99="", $AP99= ""),"",IF(VLOOKUP($AP99, CONTRATOS!B:K,3,FALSE)="","",VLOOKUP($AP99, CONTRATOS!B:K, 3,FALSE)))</f>
        <v/>
      </c>
      <c r="AV99" s="301" t="str">
        <f>IF(OR($B99="", $AP99 = ""), "", IF(VLOOKUP($AP99, CONTRATOS!B:K,4,FALSE)="","",VLOOKUP($AP99, CONTRATOS!B:K,4, FALSE)))</f>
        <v/>
      </c>
      <c r="AW99" s="302" t="str">
        <f t="shared" si="53"/>
        <v/>
      </c>
      <c r="AX99" s="301" t="str">
        <f t="shared" si="54"/>
        <v/>
      </c>
      <c r="AY99" s="301" t="str">
        <f t="shared" si="55"/>
        <v/>
      </c>
      <c r="AZ99" s="301" t="str">
        <f t="shared" si="56"/>
        <v/>
      </c>
      <c r="BA99" s="301" t="str">
        <f t="shared" si="57"/>
        <v/>
      </c>
      <c r="BB99" s="303">
        <f t="shared" si="71"/>
        <v>0</v>
      </c>
      <c r="BC99" s="303" t="str">
        <f t="shared" si="72"/>
        <v/>
      </c>
      <c r="BD99" s="303" t="str">
        <f t="shared" si="73"/>
        <v/>
      </c>
      <c r="BF99" s="304">
        <f t="shared" si="74"/>
        <v>0</v>
      </c>
      <c r="BG99" s="304">
        <f t="shared" si="75"/>
        <v>0</v>
      </c>
      <c r="BH99" s="304" t="str">
        <f>IF( $B99="", "", IF(ISNA(VLOOKUP($C99, Defesa!$C$8:$C$30,1,FALSE)),1,0))</f>
        <v/>
      </c>
      <c r="BI99" s="305" t="str">
        <f t="shared" si="76"/>
        <v/>
      </c>
      <c r="BJ99" s="305" t="str">
        <f t="shared" si="77"/>
        <v/>
      </c>
      <c r="BK99" s="304" t="str">
        <f t="shared" si="78"/>
        <v/>
      </c>
      <c r="BL99" s="304">
        <f t="shared" si="79"/>
        <v>0</v>
      </c>
      <c r="BM99" s="304" t="str">
        <f>IF($AC99="", "", IF(ISNA(VLOOKUP($AC99, TABELAS!$Q:$Q, 1, FALSE)), 1, 0))</f>
        <v/>
      </c>
      <c r="BN99" s="306" t="str">
        <f t="shared" si="80"/>
        <v/>
      </c>
      <c r="BO99" s="304" t="str">
        <f t="shared" si="81"/>
        <v/>
      </c>
      <c r="BP99" s="304" t="str">
        <f t="shared" si="82"/>
        <v/>
      </c>
      <c r="BQ99" s="305" t="str">
        <f t="shared" si="83"/>
        <v/>
      </c>
      <c r="BR99" s="304" t="str">
        <f t="shared" si="84"/>
        <v/>
      </c>
      <c r="BS99" s="304" t="str">
        <f t="shared" si="85"/>
        <v/>
      </c>
      <c r="BT99" s="304" t="str">
        <f>IF(OR($B99="", $AH99 = "SIM"), "", IF( ISNA(VLOOKUP($AP99,#REF!, 1, FALSE)), 1, 0))</f>
        <v/>
      </c>
      <c r="BU99" s="304" t="str">
        <f t="shared" si="86"/>
        <v/>
      </c>
      <c r="BV99" s="304" t="str">
        <f>IF( $B99="", "", IF( ISNA(VLOOKUP($AN99, TABELAS!$T$2:$T$9,1,FALSE)), 1, 0))</f>
        <v/>
      </c>
      <c r="BW99" s="304" t="str">
        <f t="shared" si="87"/>
        <v/>
      </c>
      <c r="BX99" s="304" t="str">
        <f>IF( OR($B99="", $AH99 = "SIM"), "", IF( ISNA( VLOOKUP( $AQ99, SISTEMA!$B:$B, 1, FALSE)), 1, 0))</f>
        <v/>
      </c>
      <c r="BY99" s="305" t="str">
        <f t="shared" si="88"/>
        <v/>
      </c>
      <c r="BZ99" s="305" t="str">
        <f t="shared" si="89"/>
        <v/>
      </c>
      <c r="CA99" s="304" t="str">
        <f t="shared" si="90"/>
        <v/>
      </c>
      <c r="CB99" s="305" t="str">
        <f t="shared" si="91"/>
        <v/>
      </c>
      <c r="CC99" s="305" t="str">
        <f t="shared" si="92"/>
        <v/>
      </c>
      <c r="CD99" s="305" t="str">
        <f t="shared" si="93"/>
        <v/>
      </c>
    </row>
    <row r="100" spans="1:82" x14ac:dyDescent="0.2">
      <c r="A100" s="235"/>
      <c r="B100" s="236" t="str">
        <f t="shared" si="58"/>
        <v/>
      </c>
      <c r="C100" s="237" t="str">
        <f t="shared" si="48"/>
        <v/>
      </c>
      <c r="D100" s="237" t="str">
        <f t="shared" si="59"/>
        <v/>
      </c>
      <c r="E100" s="237" t="str">
        <f>IF($C100="", "", COUNTIF($M$8:$M100,$D100))</f>
        <v/>
      </c>
      <c r="F100" s="238">
        <v>93</v>
      </c>
      <c r="G100" s="239"/>
      <c r="H100" s="240"/>
      <c r="I100" s="240"/>
      <c r="J100" s="241"/>
      <c r="K100" s="240"/>
      <c r="L100" s="240"/>
      <c r="M100" s="240"/>
      <c r="N100" s="242"/>
      <c r="O100" s="243"/>
      <c r="P100" s="243"/>
      <c r="Q100" s="243"/>
      <c r="R100" s="243"/>
      <c r="S100" s="243"/>
      <c r="T100" s="245"/>
      <c r="U100" s="246" t="str">
        <f>IF($T100="", "", VLOOKUP($T100, CONTRATOS!$B:$E, 2, FALSE))</f>
        <v/>
      </c>
      <c r="V100" s="247">
        <f>IF(OR($T100="",TB_DEFESA!$C$2="Criação Baseline"),0,
   IF(VLOOKUP($T100, CONTRATOS!B:E, 3, FALSE)&lt;&gt;"",1,IF(VLOOKUP($T100, CONTRATOS!B:E, 4, FALSE)&lt;&gt;"",2,0)))</f>
        <v>0</v>
      </c>
      <c r="W100" s="248"/>
      <c r="X100" s="248"/>
      <c r="Y100" s="249"/>
      <c r="Z100" s="250"/>
      <c r="AA100" s="251"/>
      <c r="AB100" s="252"/>
      <c r="AC100" s="253"/>
      <c r="AD100" s="251"/>
      <c r="AE100" s="254" t="str">
        <f t="shared" si="49"/>
        <v/>
      </c>
      <c r="AF100" s="256" t="str">
        <f t="shared" si="60"/>
        <v/>
      </c>
      <c r="AG100" s="293" t="s">
        <v>62</v>
      </c>
      <c r="AH100" s="294" t="str">
        <f t="shared" si="61"/>
        <v/>
      </c>
      <c r="AI100" s="294" t="str">
        <f t="shared" si="62"/>
        <v/>
      </c>
      <c r="AJ100" s="295" t="str">
        <f t="shared" si="63"/>
        <v/>
      </c>
      <c r="AK100" s="296" t="str">
        <f t="shared" si="64"/>
        <v/>
      </c>
      <c r="AL100" s="297" t="str">
        <f t="shared" si="65"/>
        <v/>
      </c>
      <c r="AM100" s="294" t="str">
        <f t="shared" si="66"/>
        <v/>
      </c>
      <c r="AN100" s="294" t="str">
        <f t="shared" si="67"/>
        <v/>
      </c>
      <c r="AO100" s="298" t="str">
        <f t="shared" si="68"/>
        <v/>
      </c>
      <c r="AP100" s="299" t="str">
        <f t="shared" si="69"/>
        <v/>
      </c>
      <c r="AQ100" s="299" t="str">
        <f t="shared" si="70"/>
        <v/>
      </c>
      <c r="AR100" s="300" t="str">
        <f t="shared" si="50"/>
        <v/>
      </c>
      <c r="AS100" s="300" t="str">
        <f t="shared" si="51"/>
        <v/>
      </c>
      <c r="AT100" s="294" t="str">
        <f t="shared" si="52"/>
        <v/>
      </c>
      <c r="AU100" s="301" t="str">
        <f>IF(OR($B100="", $AP100= ""),"",IF(VLOOKUP($AP100, CONTRATOS!B:K,3,FALSE)="","",VLOOKUP($AP100, CONTRATOS!B:K, 3,FALSE)))</f>
        <v/>
      </c>
      <c r="AV100" s="301" t="str">
        <f>IF(OR($B100="", $AP100 = ""), "", IF(VLOOKUP($AP100, CONTRATOS!B:K,4,FALSE)="","",VLOOKUP($AP100, CONTRATOS!B:K,4, FALSE)))</f>
        <v/>
      </c>
      <c r="AW100" s="302" t="str">
        <f t="shared" si="53"/>
        <v/>
      </c>
      <c r="AX100" s="301" t="str">
        <f t="shared" si="54"/>
        <v/>
      </c>
      <c r="AY100" s="301" t="str">
        <f t="shared" si="55"/>
        <v/>
      </c>
      <c r="AZ100" s="301" t="str">
        <f t="shared" si="56"/>
        <v/>
      </c>
      <c r="BA100" s="301" t="str">
        <f t="shared" si="57"/>
        <v/>
      </c>
      <c r="BB100" s="303">
        <f t="shared" si="71"/>
        <v>0</v>
      </c>
      <c r="BC100" s="303" t="str">
        <f t="shared" si="72"/>
        <v/>
      </c>
      <c r="BD100" s="303" t="str">
        <f t="shared" si="73"/>
        <v/>
      </c>
      <c r="BF100" s="304">
        <f t="shared" si="74"/>
        <v>0</v>
      </c>
      <c r="BG100" s="304">
        <f t="shared" si="75"/>
        <v>0</v>
      </c>
      <c r="BH100" s="304" t="str">
        <f>IF( $B100="", "", IF(ISNA(VLOOKUP($C100, Defesa!$C$8:$C$30,1,FALSE)),1,0))</f>
        <v/>
      </c>
      <c r="BI100" s="305" t="str">
        <f t="shared" si="76"/>
        <v/>
      </c>
      <c r="BJ100" s="305" t="str">
        <f t="shared" si="77"/>
        <v/>
      </c>
      <c r="BK100" s="304" t="str">
        <f t="shared" si="78"/>
        <v/>
      </c>
      <c r="BL100" s="304">
        <f t="shared" si="79"/>
        <v>0</v>
      </c>
      <c r="BM100" s="304" t="str">
        <f>IF($AC100="", "", IF(ISNA(VLOOKUP($AC100, TABELAS!$Q:$Q, 1, FALSE)), 1, 0))</f>
        <v/>
      </c>
      <c r="BN100" s="306" t="str">
        <f t="shared" si="80"/>
        <v/>
      </c>
      <c r="BO100" s="304" t="str">
        <f t="shared" si="81"/>
        <v/>
      </c>
      <c r="BP100" s="304" t="str">
        <f t="shared" si="82"/>
        <v/>
      </c>
      <c r="BQ100" s="305" t="str">
        <f t="shared" si="83"/>
        <v/>
      </c>
      <c r="BR100" s="304" t="str">
        <f t="shared" si="84"/>
        <v/>
      </c>
      <c r="BS100" s="304" t="str">
        <f t="shared" si="85"/>
        <v/>
      </c>
      <c r="BT100" s="304" t="str">
        <f>IF(OR($B100="", $AH100 = "SIM"), "", IF( ISNA(VLOOKUP($AP100,#REF!, 1, FALSE)), 1, 0))</f>
        <v/>
      </c>
      <c r="BU100" s="304" t="str">
        <f t="shared" si="86"/>
        <v/>
      </c>
      <c r="BV100" s="304" t="str">
        <f>IF( $B100="", "", IF( ISNA(VLOOKUP($AN100, TABELAS!$T$2:$T$9,1,FALSE)), 1, 0))</f>
        <v/>
      </c>
      <c r="BW100" s="304" t="str">
        <f t="shared" si="87"/>
        <v/>
      </c>
      <c r="BX100" s="304" t="str">
        <f>IF( OR($B100="", $AH100 = "SIM"), "", IF( ISNA( VLOOKUP( $AQ100, SISTEMA!$B:$B, 1, FALSE)), 1, 0))</f>
        <v/>
      </c>
      <c r="BY100" s="305" t="str">
        <f t="shared" si="88"/>
        <v/>
      </c>
      <c r="BZ100" s="305" t="str">
        <f t="shared" si="89"/>
        <v/>
      </c>
      <c r="CA100" s="304" t="str">
        <f t="shared" si="90"/>
        <v/>
      </c>
      <c r="CB100" s="305" t="str">
        <f t="shared" si="91"/>
        <v/>
      </c>
      <c r="CC100" s="305" t="str">
        <f t="shared" si="92"/>
        <v/>
      </c>
      <c r="CD100" s="305" t="str">
        <f t="shared" si="93"/>
        <v/>
      </c>
    </row>
    <row r="101" spans="1:82" x14ac:dyDescent="0.2">
      <c r="A101" s="235"/>
      <c r="B101" s="236" t="str">
        <f t="shared" si="58"/>
        <v/>
      </c>
      <c r="C101" s="237" t="str">
        <f t="shared" si="48"/>
        <v/>
      </c>
      <c r="D101" s="237" t="str">
        <f t="shared" si="59"/>
        <v/>
      </c>
      <c r="E101" s="237" t="str">
        <f>IF($C101="", "", COUNTIF($M$8:$M101,$D101))</f>
        <v/>
      </c>
      <c r="F101" s="238">
        <v>94</v>
      </c>
      <c r="G101" s="239"/>
      <c r="H101" s="240"/>
      <c r="I101" s="240"/>
      <c r="J101" s="241"/>
      <c r="K101" s="240"/>
      <c r="L101" s="240"/>
      <c r="M101" s="240"/>
      <c r="N101" s="242"/>
      <c r="O101" s="243"/>
      <c r="P101" s="243"/>
      <c r="Q101" s="243"/>
      <c r="R101" s="243"/>
      <c r="S101" s="243"/>
      <c r="T101" s="245"/>
      <c r="U101" s="246" t="str">
        <f>IF($T101="", "", VLOOKUP($T101, CONTRATOS!$B:$E, 2, FALSE))</f>
        <v/>
      </c>
      <c r="V101" s="247">
        <f>IF(OR($T101="",TB_DEFESA!$C$2="Criação Baseline"),0,
   IF(VLOOKUP($T101, CONTRATOS!B:E, 3, FALSE)&lt;&gt;"",1,IF(VLOOKUP($T101, CONTRATOS!B:E, 4, FALSE)&lt;&gt;"",2,0)))</f>
        <v>0</v>
      </c>
      <c r="W101" s="248"/>
      <c r="X101" s="248"/>
      <c r="Y101" s="249"/>
      <c r="Z101" s="250"/>
      <c r="AA101" s="251"/>
      <c r="AB101" s="252"/>
      <c r="AC101" s="253"/>
      <c r="AD101" s="251"/>
      <c r="AE101" s="254" t="str">
        <f t="shared" si="49"/>
        <v/>
      </c>
      <c r="AF101" s="256" t="str">
        <f t="shared" si="60"/>
        <v/>
      </c>
      <c r="AG101" s="293" t="s">
        <v>62</v>
      </c>
      <c r="AH101" s="294" t="str">
        <f t="shared" si="61"/>
        <v/>
      </c>
      <c r="AI101" s="294" t="str">
        <f t="shared" si="62"/>
        <v/>
      </c>
      <c r="AJ101" s="295" t="str">
        <f t="shared" si="63"/>
        <v/>
      </c>
      <c r="AK101" s="296" t="str">
        <f t="shared" si="64"/>
        <v/>
      </c>
      <c r="AL101" s="297" t="str">
        <f t="shared" si="65"/>
        <v/>
      </c>
      <c r="AM101" s="294" t="str">
        <f t="shared" si="66"/>
        <v/>
      </c>
      <c r="AN101" s="294" t="str">
        <f t="shared" si="67"/>
        <v/>
      </c>
      <c r="AO101" s="298" t="str">
        <f t="shared" si="68"/>
        <v/>
      </c>
      <c r="AP101" s="299" t="str">
        <f t="shared" si="69"/>
        <v/>
      </c>
      <c r="AQ101" s="299" t="str">
        <f t="shared" si="70"/>
        <v/>
      </c>
      <c r="AR101" s="300" t="str">
        <f t="shared" si="50"/>
        <v/>
      </c>
      <c r="AS101" s="300" t="str">
        <f t="shared" si="51"/>
        <v/>
      </c>
      <c r="AT101" s="294" t="str">
        <f t="shared" si="52"/>
        <v/>
      </c>
      <c r="AU101" s="301" t="str">
        <f>IF(OR($B101="", $AP101= ""),"",IF(VLOOKUP($AP101, CONTRATOS!B:K,3,FALSE)="","",VLOOKUP($AP101, CONTRATOS!B:K, 3,FALSE)))</f>
        <v/>
      </c>
      <c r="AV101" s="301" t="str">
        <f>IF(OR($B101="", $AP101 = ""), "", IF(VLOOKUP($AP101, CONTRATOS!B:K,4,FALSE)="","",VLOOKUP($AP101, CONTRATOS!B:K,4, FALSE)))</f>
        <v/>
      </c>
      <c r="AW101" s="302" t="str">
        <f t="shared" si="53"/>
        <v/>
      </c>
      <c r="AX101" s="301" t="str">
        <f t="shared" si="54"/>
        <v/>
      </c>
      <c r="AY101" s="301" t="str">
        <f t="shared" si="55"/>
        <v/>
      </c>
      <c r="AZ101" s="301" t="str">
        <f t="shared" si="56"/>
        <v/>
      </c>
      <c r="BA101" s="301" t="str">
        <f t="shared" si="57"/>
        <v/>
      </c>
      <c r="BB101" s="303">
        <f t="shared" si="71"/>
        <v>0</v>
      </c>
      <c r="BC101" s="303" t="str">
        <f t="shared" si="72"/>
        <v/>
      </c>
      <c r="BD101" s="303" t="str">
        <f t="shared" si="73"/>
        <v/>
      </c>
      <c r="BF101" s="304">
        <f t="shared" si="74"/>
        <v>0</v>
      </c>
      <c r="BG101" s="304">
        <f t="shared" si="75"/>
        <v>0</v>
      </c>
      <c r="BH101" s="304" t="str">
        <f>IF( $B101="", "", IF(ISNA(VLOOKUP($C101, Defesa!$C$8:$C$30,1,FALSE)),1,0))</f>
        <v/>
      </c>
      <c r="BI101" s="305" t="str">
        <f t="shared" si="76"/>
        <v/>
      </c>
      <c r="BJ101" s="305" t="str">
        <f t="shared" si="77"/>
        <v/>
      </c>
      <c r="BK101" s="304" t="str">
        <f t="shared" si="78"/>
        <v/>
      </c>
      <c r="BL101" s="304">
        <f t="shared" si="79"/>
        <v>0</v>
      </c>
      <c r="BM101" s="304" t="str">
        <f>IF($AC101="", "", IF(ISNA(VLOOKUP($AC101, TABELAS!$Q:$Q, 1, FALSE)), 1, 0))</f>
        <v/>
      </c>
      <c r="BN101" s="306" t="str">
        <f t="shared" si="80"/>
        <v/>
      </c>
      <c r="BO101" s="304" t="str">
        <f t="shared" si="81"/>
        <v/>
      </c>
      <c r="BP101" s="304" t="str">
        <f t="shared" si="82"/>
        <v/>
      </c>
      <c r="BQ101" s="305" t="str">
        <f t="shared" si="83"/>
        <v/>
      </c>
      <c r="BR101" s="304" t="str">
        <f t="shared" si="84"/>
        <v/>
      </c>
      <c r="BS101" s="304" t="str">
        <f t="shared" si="85"/>
        <v/>
      </c>
      <c r="BT101" s="304" t="str">
        <f>IF(OR($B101="", $AH101 = "SIM"), "", IF( ISNA(VLOOKUP($AP101,#REF!, 1, FALSE)), 1, 0))</f>
        <v/>
      </c>
      <c r="BU101" s="304" t="str">
        <f t="shared" si="86"/>
        <v/>
      </c>
      <c r="BV101" s="304" t="str">
        <f>IF( $B101="", "", IF( ISNA(VLOOKUP($AN101, TABELAS!$T$2:$T$9,1,FALSE)), 1, 0))</f>
        <v/>
      </c>
      <c r="BW101" s="304" t="str">
        <f t="shared" si="87"/>
        <v/>
      </c>
      <c r="BX101" s="304" t="str">
        <f>IF( OR($B101="", $AH101 = "SIM"), "", IF( ISNA( VLOOKUP( $AQ101, SISTEMA!$B:$B, 1, FALSE)), 1, 0))</f>
        <v/>
      </c>
      <c r="BY101" s="305" t="str">
        <f t="shared" si="88"/>
        <v/>
      </c>
      <c r="BZ101" s="305" t="str">
        <f t="shared" si="89"/>
        <v/>
      </c>
      <c r="CA101" s="304" t="str">
        <f t="shared" si="90"/>
        <v/>
      </c>
      <c r="CB101" s="305" t="str">
        <f t="shared" si="91"/>
        <v/>
      </c>
      <c r="CC101" s="305" t="str">
        <f t="shared" si="92"/>
        <v/>
      </c>
      <c r="CD101" s="305" t="str">
        <f t="shared" si="93"/>
        <v/>
      </c>
    </row>
    <row r="102" spans="1:82" x14ac:dyDescent="0.2">
      <c r="A102" s="235"/>
      <c r="B102" s="236" t="str">
        <f t="shared" si="58"/>
        <v/>
      </c>
      <c r="C102" s="237" t="str">
        <f t="shared" si="48"/>
        <v/>
      </c>
      <c r="D102" s="237" t="str">
        <f t="shared" si="59"/>
        <v/>
      </c>
      <c r="E102" s="237" t="str">
        <f>IF($C102="", "", COUNTIF($M$8:$M102,$D102))</f>
        <v/>
      </c>
      <c r="F102" s="238">
        <v>95</v>
      </c>
      <c r="G102" s="239"/>
      <c r="H102" s="240"/>
      <c r="I102" s="240"/>
      <c r="J102" s="241"/>
      <c r="K102" s="240"/>
      <c r="L102" s="240"/>
      <c r="M102" s="240"/>
      <c r="N102" s="242"/>
      <c r="O102" s="243"/>
      <c r="P102" s="243"/>
      <c r="Q102" s="243"/>
      <c r="R102" s="243"/>
      <c r="S102" s="243"/>
      <c r="T102" s="245"/>
      <c r="U102" s="246" t="str">
        <f>IF($T102="", "", VLOOKUP($T102, CONTRATOS!$B:$E, 2, FALSE))</f>
        <v/>
      </c>
      <c r="V102" s="247">
        <f>IF(OR($T102="",TB_DEFESA!$C$2="Criação Baseline"),0,
   IF(VLOOKUP($T102, CONTRATOS!B:E, 3, FALSE)&lt;&gt;"",1,IF(VLOOKUP($T102, CONTRATOS!B:E, 4, FALSE)&lt;&gt;"",2,0)))</f>
        <v>0</v>
      </c>
      <c r="W102" s="248"/>
      <c r="X102" s="248"/>
      <c r="Y102" s="249"/>
      <c r="Z102" s="250"/>
      <c r="AA102" s="251"/>
      <c r="AB102" s="252"/>
      <c r="AC102" s="253"/>
      <c r="AD102" s="251"/>
      <c r="AE102" s="254" t="str">
        <f t="shared" si="49"/>
        <v/>
      </c>
      <c r="AF102" s="256" t="str">
        <f t="shared" si="60"/>
        <v/>
      </c>
      <c r="AG102" s="293" t="s">
        <v>62</v>
      </c>
      <c r="AH102" s="294" t="str">
        <f t="shared" si="61"/>
        <v/>
      </c>
      <c r="AI102" s="294" t="str">
        <f t="shared" si="62"/>
        <v/>
      </c>
      <c r="AJ102" s="295" t="str">
        <f t="shared" si="63"/>
        <v/>
      </c>
      <c r="AK102" s="296" t="str">
        <f t="shared" si="64"/>
        <v/>
      </c>
      <c r="AL102" s="297" t="str">
        <f t="shared" si="65"/>
        <v/>
      </c>
      <c r="AM102" s="294" t="str">
        <f t="shared" si="66"/>
        <v/>
      </c>
      <c r="AN102" s="294" t="str">
        <f t="shared" si="67"/>
        <v/>
      </c>
      <c r="AO102" s="298" t="str">
        <f t="shared" si="68"/>
        <v/>
      </c>
      <c r="AP102" s="299" t="str">
        <f t="shared" si="69"/>
        <v/>
      </c>
      <c r="AQ102" s="299" t="str">
        <f t="shared" si="70"/>
        <v/>
      </c>
      <c r="AR102" s="300" t="str">
        <f t="shared" si="50"/>
        <v/>
      </c>
      <c r="AS102" s="300" t="str">
        <f t="shared" si="51"/>
        <v/>
      </c>
      <c r="AT102" s="294" t="str">
        <f t="shared" si="52"/>
        <v/>
      </c>
      <c r="AU102" s="301" t="str">
        <f>IF(OR($B102="", $AP102= ""),"",IF(VLOOKUP($AP102, CONTRATOS!B:K,3,FALSE)="","",VLOOKUP($AP102, CONTRATOS!B:K, 3,FALSE)))</f>
        <v/>
      </c>
      <c r="AV102" s="301" t="str">
        <f>IF(OR($B102="", $AP102 = ""), "", IF(VLOOKUP($AP102, CONTRATOS!B:K,4,FALSE)="","",VLOOKUP($AP102, CONTRATOS!B:K,4, FALSE)))</f>
        <v/>
      </c>
      <c r="AW102" s="302" t="str">
        <f t="shared" si="53"/>
        <v/>
      </c>
      <c r="AX102" s="301" t="str">
        <f t="shared" si="54"/>
        <v/>
      </c>
      <c r="AY102" s="301" t="str">
        <f t="shared" si="55"/>
        <v/>
      </c>
      <c r="AZ102" s="301" t="str">
        <f t="shared" si="56"/>
        <v/>
      </c>
      <c r="BA102" s="301" t="str">
        <f t="shared" si="57"/>
        <v/>
      </c>
      <c r="BB102" s="303">
        <f t="shared" si="71"/>
        <v>0</v>
      </c>
      <c r="BC102" s="303" t="str">
        <f t="shared" si="72"/>
        <v/>
      </c>
      <c r="BD102" s="303" t="str">
        <f t="shared" si="73"/>
        <v/>
      </c>
      <c r="BF102" s="304">
        <f t="shared" si="74"/>
        <v>0</v>
      </c>
      <c r="BG102" s="304">
        <f t="shared" si="75"/>
        <v>0</v>
      </c>
      <c r="BH102" s="304" t="str">
        <f>IF( $B102="", "", IF(ISNA(VLOOKUP($C102, Defesa!$C$8:$C$30,1,FALSE)),1,0))</f>
        <v/>
      </c>
      <c r="BI102" s="305" t="str">
        <f t="shared" si="76"/>
        <v/>
      </c>
      <c r="BJ102" s="305" t="str">
        <f t="shared" si="77"/>
        <v/>
      </c>
      <c r="BK102" s="304" t="str">
        <f t="shared" si="78"/>
        <v/>
      </c>
      <c r="BL102" s="304">
        <f t="shared" si="79"/>
        <v>0</v>
      </c>
      <c r="BM102" s="304" t="str">
        <f>IF($AC102="", "", IF(ISNA(VLOOKUP($AC102, TABELAS!$Q:$Q, 1, FALSE)), 1, 0))</f>
        <v/>
      </c>
      <c r="BN102" s="306" t="str">
        <f t="shared" si="80"/>
        <v/>
      </c>
      <c r="BO102" s="304" t="str">
        <f t="shared" si="81"/>
        <v/>
      </c>
      <c r="BP102" s="304" t="str">
        <f t="shared" si="82"/>
        <v/>
      </c>
      <c r="BQ102" s="305" t="str">
        <f t="shared" si="83"/>
        <v/>
      </c>
      <c r="BR102" s="304" t="str">
        <f t="shared" si="84"/>
        <v/>
      </c>
      <c r="BS102" s="304" t="str">
        <f t="shared" si="85"/>
        <v/>
      </c>
      <c r="BT102" s="304" t="str">
        <f>IF(OR($B102="", $AH102 = "SIM"), "", IF( ISNA(VLOOKUP($AP102,#REF!, 1, FALSE)), 1, 0))</f>
        <v/>
      </c>
      <c r="BU102" s="304" t="str">
        <f t="shared" si="86"/>
        <v/>
      </c>
      <c r="BV102" s="304" t="str">
        <f>IF( $B102="", "", IF( ISNA(VLOOKUP($AN102, TABELAS!$T$2:$T$9,1,FALSE)), 1, 0))</f>
        <v/>
      </c>
      <c r="BW102" s="304" t="str">
        <f t="shared" si="87"/>
        <v/>
      </c>
      <c r="BX102" s="304" t="str">
        <f>IF( OR($B102="", $AH102 = "SIM"), "", IF( ISNA( VLOOKUP( $AQ102, SISTEMA!$B:$B, 1, FALSE)), 1, 0))</f>
        <v/>
      </c>
      <c r="BY102" s="305" t="str">
        <f t="shared" si="88"/>
        <v/>
      </c>
      <c r="BZ102" s="305" t="str">
        <f t="shared" si="89"/>
        <v/>
      </c>
      <c r="CA102" s="304" t="str">
        <f t="shared" si="90"/>
        <v/>
      </c>
      <c r="CB102" s="305" t="str">
        <f t="shared" si="91"/>
        <v/>
      </c>
      <c r="CC102" s="305" t="str">
        <f t="shared" si="92"/>
        <v/>
      </c>
      <c r="CD102" s="305" t="str">
        <f t="shared" si="93"/>
        <v/>
      </c>
    </row>
    <row r="103" spans="1:82" x14ac:dyDescent="0.2">
      <c r="A103" s="235"/>
      <c r="B103" s="236" t="str">
        <f t="shared" si="58"/>
        <v/>
      </c>
      <c r="C103" s="237" t="str">
        <f t="shared" si="48"/>
        <v/>
      </c>
      <c r="D103" s="237" t="str">
        <f t="shared" si="59"/>
        <v/>
      </c>
      <c r="E103" s="237" t="str">
        <f>IF($C103="", "", COUNTIF($M$8:$M103,$D103))</f>
        <v/>
      </c>
      <c r="F103" s="238">
        <v>96</v>
      </c>
      <c r="G103" s="239"/>
      <c r="H103" s="240"/>
      <c r="I103" s="240"/>
      <c r="J103" s="241"/>
      <c r="K103" s="240"/>
      <c r="L103" s="240"/>
      <c r="M103" s="240"/>
      <c r="N103" s="242"/>
      <c r="O103" s="243"/>
      <c r="P103" s="243"/>
      <c r="Q103" s="243"/>
      <c r="R103" s="243"/>
      <c r="S103" s="243"/>
      <c r="T103" s="245"/>
      <c r="U103" s="246" t="str">
        <f>IF($T103="", "", VLOOKUP($T103, CONTRATOS!$B:$E, 2, FALSE))</f>
        <v/>
      </c>
      <c r="V103" s="247">
        <f>IF(OR($T103="",TB_DEFESA!$C$2="Criação Baseline"),0,
   IF(VLOOKUP($T103, CONTRATOS!B:E, 3, FALSE)&lt;&gt;"",1,IF(VLOOKUP($T103, CONTRATOS!B:E, 4, FALSE)&lt;&gt;"",2,0)))</f>
        <v>0</v>
      </c>
      <c r="W103" s="248"/>
      <c r="X103" s="248"/>
      <c r="Y103" s="249"/>
      <c r="Z103" s="250"/>
      <c r="AA103" s="251"/>
      <c r="AB103" s="252"/>
      <c r="AC103" s="253"/>
      <c r="AD103" s="251"/>
      <c r="AE103" s="254" t="str">
        <f t="shared" si="49"/>
        <v/>
      </c>
      <c r="AF103" s="256" t="str">
        <f t="shared" si="60"/>
        <v/>
      </c>
      <c r="AG103" s="293" t="s">
        <v>62</v>
      </c>
      <c r="AH103" s="294" t="str">
        <f t="shared" si="61"/>
        <v/>
      </c>
      <c r="AI103" s="294" t="str">
        <f t="shared" si="62"/>
        <v/>
      </c>
      <c r="AJ103" s="295" t="str">
        <f t="shared" si="63"/>
        <v/>
      </c>
      <c r="AK103" s="296" t="str">
        <f t="shared" si="64"/>
        <v/>
      </c>
      <c r="AL103" s="297" t="str">
        <f t="shared" si="65"/>
        <v/>
      </c>
      <c r="AM103" s="294" t="str">
        <f t="shared" si="66"/>
        <v/>
      </c>
      <c r="AN103" s="294" t="str">
        <f t="shared" si="67"/>
        <v/>
      </c>
      <c r="AO103" s="298" t="str">
        <f t="shared" si="68"/>
        <v/>
      </c>
      <c r="AP103" s="299" t="str">
        <f t="shared" si="69"/>
        <v/>
      </c>
      <c r="AQ103" s="299" t="str">
        <f t="shared" si="70"/>
        <v/>
      </c>
      <c r="AR103" s="300" t="str">
        <f t="shared" si="50"/>
        <v/>
      </c>
      <c r="AS103" s="300" t="str">
        <f t="shared" si="51"/>
        <v/>
      </c>
      <c r="AT103" s="294" t="str">
        <f t="shared" si="52"/>
        <v/>
      </c>
      <c r="AU103" s="301" t="str">
        <f>IF(OR($B103="", $AP103= ""),"",IF(VLOOKUP($AP103, CONTRATOS!B:K,3,FALSE)="","",VLOOKUP($AP103, CONTRATOS!B:K, 3,FALSE)))</f>
        <v/>
      </c>
      <c r="AV103" s="301" t="str">
        <f>IF(OR($B103="", $AP103 = ""), "", IF(VLOOKUP($AP103, CONTRATOS!B:K,4,FALSE)="","",VLOOKUP($AP103, CONTRATOS!B:K,4, FALSE)))</f>
        <v/>
      </c>
      <c r="AW103" s="302" t="str">
        <f t="shared" si="53"/>
        <v/>
      </c>
      <c r="AX103" s="301" t="str">
        <f t="shared" si="54"/>
        <v/>
      </c>
      <c r="AY103" s="301" t="str">
        <f t="shared" si="55"/>
        <v/>
      </c>
      <c r="AZ103" s="301" t="str">
        <f t="shared" si="56"/>
        <v/>
      </c>
      <c r="BA103" s="301" t="str">
        <f t="shared" si="57"/>
        <v/>
      </c>
      <c r="BB103" s="303">
        <f t="shared" si="71"/>
        <v>0</v>
      </c>
      <c r="BC103" s="303" t="str">
        <f t="shared" si="72"/>
        <v/>
      </c>
      <c r="BD103" s="303" t="str">
        <f t="shared" si="73"/>
        <v/>
      </c>
      <c r="BF103" s="304">
        <f t="shared" si="74"/>
        <v>0</v>
      </c>
      <c r="BG103" s="304">
        <f t="shared" si="75"/>
        <v>0</v>
      </c>
      <c r="BH103" s="304" t="str">
        <f>IF( $B103="", "", IF(ISNA(VLOOKUP($C103, Defesa!$C$8:$C$30,1,FALSE)),1,0))</f>
        <v/>
      </c>
      <c r="BI103" s="305" t="str">
        <f t="shared" si="76"/>
        <v/>
      </c>
      <c r="BJ103" s="305" t="str">
        <f t="shared" si="77"/>
        <v/>
      </c>
      <c r="BK103" s="304" t="str">
        <f t="shared" si="78"/>
        <v/>
      </c>
      <c r="BL103" s="304">
        <f t="shared" si="79"/>
        <v>0</v>
      </c>
      <c r="BM103" s="304" t="str">
        <f>IF($AC103="", "", IF(ISNA(VLOOKUP($AC103, TABELAS!$Q:$Q, 1, FALSE)), 1, 0))</f>
        <v/>
      </c>
      <c r="BN103" s="306" t="str">
        <f t="shared" si="80"/>
        <v/>
      </c>
      <c r="BO103" s="304" t="str">
        <f t="shared" si="81"/>
        <v/>
      </c>
      <c r="BP103" s="304" t="str">
        <f t="shared" si="82"/>
        <v/>
      </c>
      <c r="BQ103" s="305" t="str">
        <f t="shared" si="83"/>
        <v/>
      </c>
      <c r="BR103" s="304" t="str">
        <f t="shared" si="84"/>
        <v/>
      </c>
      <c r="BS103" s="304" t="str">
        <f t="shared" si="85"/>
        <v/>
      </c>
      <c r="BT103" s="304" t="str">
        <f>IF(OR($B103="", $AH103 = "SIM"), "", IF( ISNA(VLOOKUP($AP103,#REF!, 1, FALSE)), 1, 0))</f>
        <v/>
      </c>
      <c r="BU103" s="304" t="str">
        <f t="shared" si="86"/>
        <v/>
      </c>
      <c r="BV103" s="304" t="str">
        <f>IF( $B103="", "", IF( ISNA(VLOOKUP($AN103, TABELAS!$T$2:$T$9,1,FALSE)), 1, 0))</f>
        <v/>
      </c>
      <c r="BW103" s="304" t="str">
        <f t="shared" si="87"/>
        <v/>
      </c>
      <c r="BX103" s="304" t="str">
        <f>IF( OR($B103="", $AH103 = "SIM"), "", IF( ISNA( VLOOKUP( $AQ103, SISTEMA!$B:$B, 1, FALSE)), 1, 0))</f>
        <v/>
      </c>
      <c r="BY103" s="305" t="str">
        <f t="shared" si="88"/>
        <v/>
      </c>
      <c r="BZ103" s="305" t="str">
        <f t="shared" si="89"/>
        <v/>
      </c>
      <c r="CA103" s="304" t="str">
        <f t="shared" si="90"/>
        <v/>
      </c>
      <c r="CB103" s="305" t="str">
        <f t="shared" si="91"/>
        <v/>
      </c>
      <c r="CC103" s="305" t="str">
        <f t="shared" si="92"/>
        <v/>
      </c>
      <c r="CD103" s="305" t="str">
        <f t="shared" si="93"/>
        <v/>
      </c>
    </row>
    <row r="104" spans="1:82" x14ac:dyDescent="0.2">
      <c r="A104" s="235"/>
      <c r="B104" s="236" t="str">
        <f t="shared" si="58"/>
        <v/>
      </c>
      <c r="C104" s="237" t="str">
        <f t="shared" si="48"/>
        <v/>
      </c>
      <c r="D104" s="237" t="str">
        <f t="shared" si="59"/>
        <v/>
      </c>
      <c r="E104" s="237" t="str">
        <f>IF($C104="", "", COUNTIF($M$8:$M104,$D104))</f>
        <v/>
      </c>
      <c r="F104" s="238">
        <v>97</v>
      </c>
      <c r="G104" s="239"/>
      <c r="H104" s="240"/>
      <c r="I104" s="240"/>
      <c r="J104" s="241"/>
      <c r="K104" s="240"/>
      <c r="L104" s="240"/>
      <c r="M104" s="240"/>
      <c r="N104" s="242"/>
      <c r="O104" s="243"/>
      <c r="P104" s="243"/>
      <c r="Q104" s="243"/>
      <c r="R104" s="243"/>
      <c r="S104" s="243"/>
      <c r="T104" s="245"/>
      <c r="U104" s="246" t="str">
        <f>IF($T104="", "", VLOOKUP($T104, CONTRATOS!$B:$E, 2, FALSE))</f>
        <v/>
      </c>
      <c r="V104" s="247">
        <f>IF(OR($T104="",TB_DEFESA!$C$2="Criação Baseline"),0,
   IF(VLOOKUP($T104, CONTRATOS!B:E, 3, FALSE)&lt;&gt;"",1,IF(VLOOKUP($T104, CONTRATOS!B:E, 4, FALSE)&lt;&gt;"",2,0)))</f>
        <v>0</v>
      </c>
      <c r="W104" s="248"/>
      <c r="X104" s="248"/>
      <c r="Y104" s="249"/>
      <c r="Z104" s="250"/>
      <c r="AA104" s="251"/>
      <c r="AB104" s="252"/>
      <c r="AC104" s="253"/>
      <c r="AD104" s="251"/>
      <c r="AE104" s="254" t="str">
        <f t="shared" si="49"/>
        <v/>
      </c>
      <c r="AF104" s="256" t="str">
        <f t="shared" si="60"/>
        <v/>
      </c>
      <c r="AG104" s="293" t="s">
        <v>62</v>
      </c>
      <c r="AH104" s="294" t="str">
        <f t="shared" si="61"/>
        <v/>
      </c>
      <c r="AI104" s="294" t="str">
        <f t="shared" si="62"/>
        <v/>
      </c>
      <c r="AJ104" s="295" t="str">
        <f t="shared" si="63"/>
        <v/>
      </c>
      <c r="AK104" s="296" t="str">
        <f t="shared" si="64"/>
        <v/>
      </c>
      <c r="AL104" s="297" t="str">
        <f t="shared" si="65"/>
        <v/>
      </c>
      <c r="AM104" s="294" t="str">
        <f t="shared" si="66"/>
        <v/>
      </c>
      <c r="AN104" s="294" t="str">
        <f t="shared" si="67"/>
        <v/>
      </c>
      <c r="AO104" s="298" t="str">
        <f t="shared" si="68"/>
        <v/>
      </c>
      <c r="AP104" s="299" t="str">
        <f t="shared" si="69"/>
        <v/>
      </c>
      <c r="AQ104" s="299" t="str">
        <f t="shared" si="70"/>
        <v/>
      </c>
      <c r="AR104" s="300" t="str">
        <f t="shared" si="50"/>
        <v/>
      </c>
      <c r="AS104" s="300" t="str">
        <f t="shared" si="51"/>
        <v/>
      </c>
      <c r="AT104" s="294" t="str">
        <f t="shared" si="52"/>
        <v/>
      </c>
      <c r="AU104" s="301" t="str">
        <f>IF(OR($B104="", $AP104= ""),"",IF(VLOOKUP($AP104, CONTRATOS!B:K,3,FALSE)="","",VLOOKUP($AP104, CONTRATOS!B:K, 3,FALSE)))</f>
        <v/>
      </c>
      <c r="AV104" s="301" t="str">
        <f>IF(OR($B104="", $AP104 = ""), "", IF(VLOOKUP($AP104, CONTRATOS!B:K,4,FALSE)="","",VLOOKUP($AP104, CONTRATOS!B:K,4, FALSE)))</f>
        <v/>
      </c>
      <c r="AW104" s="302" t="str">
        <f t="shared" si="53"/>
        <v/>
      </c>
      <c r="AX104" s="301" t="str">
        <f t="shared" si="54"/>
        <v/>
      </c>
      <c r="AY104" s="301" t="str">
        <f t="shared" si="55"/>
        <v/>
      </c>
      <c r="AZ104" s="301" t="str">
        <f t="shared" si="56"/>
        <v/>
      </c>
      <c r="BA104" s="301" t="str">
        <f t="shared" si="57"/>
        <v/>
      </c>
      <c r="BB104" s="303">
        <f t="shared" si="71"/>
        <v>0</v>
      </c>
      <c r="BC104" s="303" t="str">
        <f t="shared" si="72"/>
        <v/>
      </c>
      <c r="BD104" s="303" t="str">
        <f t="shared" si="73"/>
        <v/>
      </c>
      <c r="BF104" s="304">
        <f t="shared" si="74"/>
        <v>0</v>
      </c>
      <c r="BG104" s="304">
        <f t="shared" si="75"/>
        <v>0</v>
      </c>
      <c r="BH104" s="304" t="str">
        <f>IF( $B104="", "", IF(ISNA(VLOOKUP($C104, Defesa!$C$8:$C$30,1,FALSE)),1,0))</f>
        <v/>
      </c>
      <c r="BI104" s="305" t="str">
        <f t="shared" si="76"/>
        <v/>
      </c>
      <c r="BJ104" s="305" t="str">
        <f t="shared" si="77"/>
        <v/>
      </c>
      <c r="BK104" s="304" t="str">
        <f t="shared" si="78"/>
        <v/>
      </c>
      <c r="BL104" s="304">
        <f t="shared" si="79"/>
        <v>0</v>
      </c>
      <c r="BM104" s="304" t="str">
        <f>IF($AC104="", "", IF(ISNA(VLOOKUP($AC104, TABELAS!$Q:$Q, 1, FALSE)), 1, 0))</f>
        <v/>
      </c>
      <c r="BN104" s="306" t="str">
        <f t="shared" si="80"/>
        <v/>
      </c>
      <c r="BO104" s="304" t="str">
        <f t="shared" si="81"/>
        <v/>
      </c>
      <c r="BP104" s="304" t="str">
        <f t="shared" si="82"/>
        <v/>
      </c>
      <c r="BQ104" s="305" t="str">
        <f t="shared" si="83"/>
        <v/>
      </c>
      <c r="BR104" s="304" t="str">
        <f t="shared" si="84"/>
        <v/>
      </c>
      <c r="BS104" s="304" t="str">
        <f t="shared" si="85"/>
        <v/>
      </c>
      <c r="BT104" s="304" t="str">
        <f>IF(OR($B104="", $AH104 = "SIM"), "", IF( ISNA(VLOOKUP($AP104,#REF!, 1, FALSE)), 1, 0))</f>
        <v/>
      </c>
      <c r="BU104" s="304" t="str">
        <f t="shared" si="86"/>
        <v/>
      </c>
      <c r="BV104" s="304" t="str">
        <f>IF( $B104="", "", IF( ISNA(VLOOKUP($AN104, TABELAS!$T$2:$T$9,1,FALSE)), 1, 0))</f>
        <v/>
      </c>
      <c r="BW104" s="304" t="str">
        <f t="shared" si="87"/>
        <v/>
      </c>
      <c r="BX104" s="304" t="str">
        <f>IF( OR($B104="", $AH104 = "SIM"), "", IF( ISNA( VLOOKUP( $AQ104, SISTEMA!$B:$B, 1, FALSE)), 1, 0))</f>
        <v/>
      </c>
      <c r="BY104" s="305" t="str">
        <f t="shared" si="88"/>
        <v/>
      </c>
      <c r="BZ104" s="305" t="str">
        <f t="shared" si="89"/>
        <v/>
      </c>
      <c r="CA104" s="304" t="str">
        <f t="shared" si="90"/>
        <v/>
      </c>
      <c r="CB104" s="305" t="str">
        <f t="shared" si="91"/>
        <v/>
      </c>
      <c r="CC104" s="305" t="str">
        <f t="shared" si="92"/>
        <v/>
      </c>
      <c r="CD104" s="305" t="str">
        <f t="shared" si="93"/>
        <v/>
      </c>
    </row>
    <row r="105" spans="1:82" x14ac:dyDescent="0.2">
      <c r="A105" s="235"/>
      <c r="B105" s="236" t="str">
        <f t="shared" si="58"/>
        <v/>
      </c>
      <c r="C105" s="237" t="str">
        <f t="shared" si="48"/>
        <v/>
      </c>
      <c r="D105" s="237" t="str">
        <f t="shared" si="59"/>
        <v/>
      </c>
      <c r="E105" s="237" t="str">
        <f>IF($C105="", "", COUNTIF($M$8:$M105,$D105))</f>
        <v/>
      </c>
      <c r="F105" s="238">
        <v>98</v>
      </c>
      <c r="G105" s="239"/>
      <c r="H105" s="240"/>
      <c r="I105" s="240"/>
      <c r="J105" s="241"/>
      <c r="K105" s="240"/>
      <c r="L105" s="240"/>
      <c r="M105" s="240"/>
      <c r="N105" s="242"/>
      <c r="O105" s="243"/>
      <c r="P105" s="243"/>
      <c r="Q105" s="243"/>
      <c r="R105" s="243"/>
      <c r="S105" s="243"/>
      <c r="T105" s="245"/>
      <c r="U105" s="246" t="str">
        <f>IF($T105="", "", VLOOKUP($T105, CONTRATOS!$B:$E, 2, FALSE))</f>
        <v/>
      </c>
      <c r="V105" s="247">
        <f>IF(OR($T105="",TB_DEFESA!$C$2="Criação Baseline"),0,
   IF(VLOOKUP($T105, CONTRATOS!B:E, 3, FALSE)&lt;&gt;"",1,IF(VLOOKUP($T105, CONTRATOS!B:E, 4, FALSE)&lt;&gt;"",2,0)))</f>
        <v>0</v>
      </c>
      <c r="W105" s="248"/>
      <c r="X105" s="248"/>
      <c r="Y105" s="249"/>
      <c r="Z105" s="250"/>
      <c r="AA105" s="251"/>
      <c r="AB105" s="252"/>
      <c r="AC105" s="253"/>
      <c r="AD105" s="251"/>
      <c r="AE105" s="254" t="str">
        <f t="shared" si="49"/>
        <v/>
      </c>
      <c r="AF105" s="256" t="str">
        <f t="shared" si="60"/>
        <v/>
      </c>
      <c r="AG105" s="293" t="s">
        <v>62</v>
      </c>
      <c r="AH105" s="294" t="str">
        <f t="shared" si="61"/>
        <v/>
      </c>
      <c r="AI105" s="294" t="str">
        <f t="shared" si="62"/>
        <v/>
      </c>
      <c r="AJ105" s="295" t="str">
        <f t="shared" si="63"/>
        <v/>
      </c>
      <c r="AK105" s="296" t="str">
        <f t="shared" si="64"/>
        <v/>
      </c>
      <c r="AL105" s="297" t="str">
        <f t="shared" si="65"/>
        <v/>
      </c>
      <c r="AM105" s="294" t="str">
        <f t="shared" si="66"/>
        <v/>
      </c>
      <c r="AN105" s="294" t="str">
        <f t="shared" si="67"/>
        <v/>
      </c>
      <c r="AO105" s="298" t="str">
        <f t="shared" si="68"/>
        <v/>
      </c>
      <c r="AP105" s="299" t="str">
        <f t="shared" si="69"/>
        <v/>
      </c>
      <c r="AQ105" s="299" t="str">
        <f t="shared" si="70"/>
        <v/>
      </c>
      <c r="AR105" s="300" t="str">
        <f t="shared" si="50"/>
        <v/>
      </c>
      <c r="AS105" s="300" t="str">
        <f t="shared" si="51"/>
        <v/>
      </c>
      <c r="AT105" s="294" t="str">
        <f t="shared" si="52"/>
        <v/>
      </c>
      <c r="AU105" s="301" t="str">
        <f>IF(OR($B105="", $AP105= ""),"",IF(VLOOKUP($AP105, CONTRATOS!B:K,3,FALSE)="","",VLOOKUP($AP105, CONTRATOS!B:K, 3,FALSE)))</f>
        <v/>
      </c>
      <c r="AV105" s="301" t="str">
        <f>IF(OR($B105="", $AP105 = ""), "", IF(VLOOKUP($AP105, CONTRATOS!B:K,4,FALSE)="","",VLOOKUP($AP105, CONTRATOS!B:K,4, FALSE)))</f>
        <v/>
      </c>
      <c r="AW105" s="302" t="str">
        <f t="shared" si="53"/>
        <v/>
      </c>
      <c r="AX105" s="301" t="str">
        <f t="shared" si="54"/>
        <v/>
      </c>
      <c r="AY105" s="301" t="str">
        <f t="shared" si="55"/>
        <v/>
      </c>
      <c r="AZ105" s="301" t="str">
        <f t="shared" si="56"/>
        <v/>
      </c>
      <c r="BA105" s="301" t="str">
        <f t="shared" si="57"/>
        <v/>
      </c>
      <c r="BB105" s="303">
        <f t="shared" si="71"/>
        <v>0</v>
      </c>
      <c r="BC105" s="303" t="str">
        <f t="shared" si="72"/>
        <v/>
      </c>
      <c r="BD105" s="303" t="str">
        <f t="shared" si="73"/>
        <v/>
      </c>
      <c r="BF105" s="304">
        <f t="shared" si="74"/>
        <v>0</v>
      </c>
      <c r="BG105" s="304">
        <f t="shared" si="75"/>
        <v>0</v>
      </c>
      <c r="BH105" s="304" t="str">
        <f>IF( $B105="", "", IF(ISNA(VLOOKUP($C105, Defesa!$C$8:$C$30,1,FALSE)),1,0))</f>
        <v/>
      </c>
      <c r="BI105" s="305" t="str">
        <f t="shared" si="76"/>
        <v/>
      </c>
      <c r="BJ105" s="305" t="str">
        <f t="shared" si="77"/>
        <v/>
      </c>
      <c r="BK105" s="304" t="str">
        <f t="shared" si="78"/>
        <v/>
      </c>
      <c r="BL105" s="304">
        <f t="shared" si="79"/>
        <v>0</v>
      </c>
      <c r="BM105" s="304" t="str">
        <f>IF($AC105="", "", IF(ISNA(VLOOKUP($AC105, TABELAS!$Q:$Q, 1, FALSE)), 1, 0))</f>
        <v/>
      </c>
      <c r="BN105" s="306" t="str">
        <f t="shared" si="80"/>
        <v/>
      </c>
      <c r="BO105" s="304" t="str">
        <f t="shared" si="81"/>
        <v/>
      </c>
      <c r="BP105" s="304" t="str">
        <f t="shared" si="82"/>
        <v/>
      </c>
      <c r="BQ105" s="305" t="str">
        <f t="shared" si="83"/>
        <v/>
      </c>
      <c r="BR105" s="304" t="str">
        <f t="shared" si="84"/>
        <v/>
      </c>
      <c r="BS105" s="304" t="str">
        <f t="shared" si="85"/>
        <v/>
      </c>
      <c r="BT105" s="304" t="str">
        <f>IF(OR($B105="", $AH105 = "SIM"), "", IF( ISNA(VLOOKUP($AP105,#REF!, 1, FALSE)), 1, 0))</f>
        <v/>
      </c>
      <c r="BU105" s="304" t="str">
        <f t="shared" si="86"/>
        <v/>
      </c>
      <c r="BV105" s="304" t="str">
        <f>IF( $B105="", "", IF( ISNA(VLOOKUP($AN105, TABELAS!$T$2:$T$9,1,FALSE)), 1, 0))</f>
        <v/>
      </c>
      <c r="BW105" s="304" t="str">
        <f t="shared" si="87"/>
        <v/>
      </c>
      <c r="BX105" s="304" t="str">
        <f>IF( OR($B105="", $AH105 = "SIM"), "", IF( ISNA( VLOOKUP( $AQ105, SISTEMA!$B:$B, 1, FALSE)), 1, 0))</f>
        <v/>
      </c>
      <c r="BY105" s="305" t="str">
        <f t="shared" si="88"/>
        <v/>
      </c>
      <c r="BZ105" s="305" t="str">
        <f t="shared" si="89"/>
        <v/>
      </c>
      <c r="CA105" s="304" t="str">
        <f t="shared" si="90"/>
        <v/>
      </c>
      <c r="CB105" s="305" t="str">
        <f t="shared" si="91"/>
        <v/>
      </c>
      <c r="CC105" s="305" t="str">
        <f t="shared" si="92"/>
        <v/>
      </c>
      <c r="CD105" s="305" t="str">
        <f t="shared" si="93"/>
        <v/>
      </c>
    </row>
    <row r="106" spans="1:82" x14ac:dyDescent="0.2">
      <c r="A106" s="235"/>
      <c r="B106" s="236" t="str">
        <f t="shared" si="58"/>
        <v/>
      </c>
      <c r="C106" s="237" t="str">
        <f t="shared" si="48"/>
        <v/>
      </c>
      <c r="D106" s="237" t="str">
        <f t="shared" si="59"/>
        <v/>
      </c>
      <c r="E106" s="237" t="str">
        <f>IF($C106="", "", COUNTIF($M$8:$M106,$D106))</f>
        <v/>
      </c>
      <c r="F106" s="238">
        <v>99</v>
      </c>
      <c r="G106" s="239"/>
      <c r="H106" s="240"/>
      <c r="I106" s="240"/>
      <c r="J106" s="241"/>
      <c r="K106" s="240"/>
      <c r="L106" s="240"/>
      <c r="M106" s="240"/>
      <c r="N106" s="242"/>
      <c r="O106" s="243"/>
      <c r="P106" s="243"/>
      <c r="Q106" s="243"/>
      <c r="R106" s="243"/>
      <c r="S106" s="243"/>
      <c r="T106" s="245"/>
      <c r="U106" s="246" t="str">
        <f>IF($T106="", "", VLOOKUP($T106, CONTRATOS!$B:$E, 2, FALSE))</f>
        <v/>
      </c>
      <c r="V106" s="247">
        <f>IF(OR($T106="",TB_DEFESA!$C$2="Criação Baseline"),0,
   IF(VLOOKUP($T106, CONTRATOS!B:E, 3, FALSE)&lt;&gt;"",1,IF(VLOOKUP($T106, CONTRATOS!B:E, 4, FALSE)&lt;&gt;"",2,0)))</f>
        <v>0</v>
      </c>
      <c r="W106" s="248"/>
      <c r="X106" s="248"/>
      <c r="Y106" s="249"/>
      <c r="Z106" s="250"/>
      <c r="AA106" s="251"/>
      <c r="AB106" s="252"/>
      <c r="AC106" s="253"/>
      <c r="AD106" s="251"/>
      <c r="AE106" s="254" t="str">
        <f t="shared" si="49"/>
        <v/>
      </c>
      <c r="AF106" s="256" t="str">
        <f t="shared" si="60"/>
        <v/>
      </c>
      <c r="AG106" s="293" t="s">
        <v>62</v>
      </c>
      <c r="AH106" s="294" t="str">
        <f t="shared" si="61"/>
        <v/>
      </c>
      <c r="AI106" s="294" t="str">
        <f t="shared" si="62"/>
        <v/>
      </c>
      <c r="AJ106" s="295" t="str">
        <f t="shared" si="63"/>
        <v/>
      </c>
      <c r="AK106" s="296" t="str">
        <f t="shared" si="64"/>
        <v/>
      </c>
      <c r="AL106" s="297" t="str">
        <f t="shared" si="65"/>
        <v/>
      </c>
      <c r="AM106" s="294" t="str">
        <f t="shared" si="66"/>
        <v/>
      </c>
      <c r="AN106" s="294" t="str">
        <f t="shared" si="67"/>
        <v/>
      </c>
      <c r="AO106" s="298" t="str">
        <f t="shared" si="68"/>
        <v/>
      </c>
      <c r="AP106" s="299" t="str">
        <f t="shared" si="69"/>
        <v/>
      </c>
      <c r="AQ106" s="299" t="str">
        <f t="shared" si="70"/>
        <v/>
      </c>
      <c r="AR106" s="300" t="str">
        <f t="shared" si="50"/>
        <v/>
      </c>
      <c r="AS106" s="300" t="str">
        <f t="shared" si="51"/>
        <v/>
      </c>
      <c r="AT106" s="294" t="str">
        <f t="shared" si="52"/>
        <v/>
      </c>
      <c r="AU106" s="301" t="str">
        <f>IF(OR($B106="", $AP106= ""),"",IF(VLOOKUP($AP106, CONTRATOS!B:K,3,FALSE)="","",VLOOKUP($AP106, CONTRATOS!B:K, 3,FALSE)))</f>
        <v/>
      </c>
      <c r="AV106" s="301" t="str">
        <f>IF(OR($B106="", $AP106 = ""), "", IF(VLOOKUP($AP106, CONTRATOS!B:K,4,FALSE)="","",VLOOKUP($AP106, CONTRATOS!B:K,4, FALSE)))</f>
        <v/>
      </c>
      <c r="AW106" s="302" t="str">
        <f t="shared" si="53"/>
        <v/>
      </c>
      <c r="AX106" s="301" t="str">
        <f t="shared" si="54"/>
        <v/>
      </c>
      <c r="AY106" s="301" t="str">
        <f t="shared" si="55"/>
        <v/>
      </c>
      <c r="AZ106" s="301" t="str">
        <f t="shared" si="56"/>
        <v/>
      </c>
      <c r="BA106" s="301" t="str">
        <f t="shared" si="57"/>
        <v/>
      </c>
      <c r="BB106" s="303">
        <f t="shared" si="71"/>
        <v>0</v>
      </c>
      <c r="BC106" s="303" t="str">
        <f t="shared" si="72"/>
        <v/>
      </c>
      <c r="BD106" s="303" t="str">
        <f t="shared" si="73"/>
        <v/>
      </c>
      <c r="BF106" s="304">
        <f t="shared" si="74"/>
        <v>0</v>
      </c>
      <c r="BG106" s="304">
        <f t="shared" si="75"/>
        <v>0</v>
      </c>
      <c r="BH106" s="304" t="str">
        <f>IF( $B106="", "", IF(ISNA(VLOOKUP($C106, Defesa!$C$8:$C$30,1,FALSE)),1,0))</f>
        <v/>
      </c>
      <c r="BI106" s="305" t="str">
        <f t="shared" si="76"/>
        <v/>
      </c>
      <c r="BJ106" s="305" t="str">
        <f t="shared" si="77"/>
        <v/>
      </c>
      <c r="BK106" s="304" t="str">
        <f t="shared" si="78"/>
        <v/>
      </c>
      <c r="BL106" s="304">
        <f t="shared" si="79"/>
        <v>0</v>
      </c>
      <c r="BM106" s="304" t="str">
        <f>IF($AC106="", "", IF(ISNA(VLOOKUP($AC106, TABELAS!$Q:$Q, 1, FALSE)), 1, 0))</f>
        <v/>
      </c>
      <c r="BN106" s="306" t="str">
        <f t="shared" si="80"/>
        <v/>
      </c>
      <c r="BO106" s="304" t="str">
        <f t="shared" si="81"/>
        <v/>
      </c>
      <c r="BP106" s="304" t="str">
        <f t="shared" si="82"/>
        <v/>
      </c>
      <c r="BQ106" s="305" t="str">
        <f t="shared" si="83"/>
        <v/>
      </c>
      <c r="BR106" s="304" t="str">
        <f t="shared" si="84"/>
        <v/>
      </c>
      <c r="BS106" s="304" t="str">
        <f t="shared" si="85"/>
        <v/>
      </c>
      <c r="BT106" s="304" t="str">
        <f>IF(OR($B106="", $AH106 = "SIM"), "", IF( ISNA(VLOOKUP($AP106,#REF!, 1, FALSE)), 1, 0))</f>
        <v/>
      </c>
      <c r="BU106" s="304" t="str">
        <f t="shared" si="86"/>
        <v/>
      </c>
      <c r="BV106" s="304" t="str">
        <f>IF( $B106="", "", IF( ISNA(VLOOKUP($AN106, TABELAS!$T$2:$T$9,1,FALSE)), 1, 0))</f>
        <v/>
      </c>
      <c r="BW106" s="304" t="str">
        <f t="shared" si="87"/>
        <v/>
      </c>
      <c r="BX106" s="304" t="str">
        <f>IF( OR($B106="", $AH106 = "SIM"), "", IF( ISNA( VLOOKUP( $AQ106, SISTEMA!$B:$B, 1, FALSE)), 1, 0))</f>
        <v/>
      </c>
      <c r="BY106" s="305" t="str">
        <f t="shared" si="88"/>
        <v/>
      </c>
      <c r="BZ106" s="305" t="str">
        <f t="shared" si="89"/>
        <v/>
      </c>
      <c r="CA106" s="304" t="str">
        <f t="shared" si="90"/>
        <v/>
      </c>
      <c r="CB106" s="305" t="str">
        <f t="shared" si="91"/>
        <v/>
      </c>
      <c r="CC106" s="305" t="str">
        <f t="shared" si="92"/>
        <v/>
      </c>
      <c r="CD106" s="305" t="str">
        <f t="shared" si="93"/>
        <v/>
      </c>
    </row>
    <row r="107" spans="1:82" x14ac:dyDescent="0.2">
      <c r="A107" s="235"/>
      <c r="B107" s="236" t="str">
        <f t="shared" si="58"/>
        <v/>
      </c>
      <c r="C107" s="237" t="str">
        <f t="shared" si="48"/>
        <v/>
      </c>
      <c r="D107" s="237" t="str">
        <f t="shared" si="59"/>
        <v/>
      </c>
      <c r="E107" s="237" t="str">
        <f>IF($C107="", "", COUNTIF($M$8:$M107,$D107))</f>
        <v/>
      </c>
      <c r="F107" s="238">
        <v>100</v>
      </c>
      <c r="G107" s="239"/>
      <c r="H107" s="240"/>
      <c r="I107" s="240"/>
      <c r="J107" s="241"/>
      <c r="K107" s="240"/>
      <c r="L107" s="240"/>
      <c r="M107" s="240"/>
      <c r="N107" s="242"/>
      <c r="O107" s="243"/>
      <c r="P107" s="243"/>
      <c r="Q107" s="243"/>
      <c r="R107" s="243"/>
      <c r="S107" s="243"/>
      <c r="T107" s="245"/>
      <c r="U107" s="246" t="str">
        <f>IF($T107="", "", VLOOKUP($T107, CONTRATOS!$B:$E, 2, FALSE))</f>
        <v/>
      </c>
      <c r="V107" s="247">
        <f>IF(OR($T107="",TB_DEFESA!$C$2="Criação Baseline"),0,
   IF(VLOOKUP($T107, CONTRATOS!B:E, 3, FALSE)&lt;&gt;"",1,IF(VLOOKUP($T107, CONTRATOS!B:E, 4, FALSE)&lt;&gt;"",2,0)))</f>
        <v>0</v>
      </c>
      <c r="W107" s="248"/>
      <c r="X107" s="248"/>
      <c r="Y107" s="249"/>
      <c r="Z107" s="250"/>
      <c r="AA107" s="251"/>
      <c r="AB107" s="252"/>
      <c r="AC107" s="253"/>
      <c r="AD107" s="251"/>
      <c r="AE107" s="254" t="str">
        <f t="shared" si="49"/>
        <v/>
      </c>
      <c r="AF107" s="256" t="str">
        <f t="shared" si="60"/>
        <v/>
      </c>
      <c r="AG107" s="293" t="s">
        <v>62</v>
      </c>
      <c r="AH107" s="294" t="str">
        <f t="shared" si="61"/>
        <v/>
      </c>
      <c r="AI107" s="294" t="str">
        <f t="shared" si="62"/>
        <v/>
      </c>
      <c r="AJ107" s="295" t="str">
        <f t="shared" si="63"/>
        <v/>
      </c>
      <c r="AK107" s="296" t="str">
        <f t="shared" si="64"/>
        <v/>
      </c>
      <c r="AL107" s="297" t="str">
        <f t="shared" si="65"/>
        <v/>
      </c>
      <c r="AM107" s="294" t="str">
        <f t="shared" si="66"/>
        <v/>
      </c>
      <c r="AN107" s="294" t="str">
        <f t="shared" si="67"/>
        <v/>
      </c>
      <c r="AO107" s="298" t="str">
        <f t="shared" si="68"/>
        <v/>
      </c>
      <c r="AP107" s="299" t="str">
        <f t="shared" si="69"/>
        <v/>
      </c>
      <c r="AQ107" s="299" t="str">
        <f t="shared" si="70"/>
        <v/>
      </c>
      <c r="AR107" s="300" t="str">
        <f t="shared" si="50"/>
        <v/>
      </c>
      <c r="AS107" s="300" t="str">
        <f t="shared" si="51"/>
        <v/>
      </c>
      <c r="AT107" s="294" t="str">
        <f t="shared" si="52"/>
        <v/>
      </c>
      <c r="AU107" s="301" t="str">
        <f>IF(OR($B107="", $AP107= ""),"",IF(VLOOKUP($AP107, CONTRATOS!B:K,3,FALSE)="","",VLOOKUP($AP107, CONTRATOS!B:K, 3,FALSE)))</f>
        <v/>
      </c>
      <c r="AV107" s="301" t="str">
        <f>IF(OR($B107="", $AP107 = ""), "", IF(VLOOKUP($AP107, CONTRATOS!B:K,4,FALSE)="","",VLOOKUP($AP107, CONTRATOS!B:K,4, FALSE)))</f>
        <v/>
      </c>
      <c r="AW107" s="302" t="str">
        <f t="shared" si="53"/>
        <v/>
      </c>
      <c r="AX107" s="301" t="str">
        <f t="shared" si="54"/>
        <v/>
      </c>
      <c r="AY107" s="301" t="str">
        <f t="shared" si="55"/>
        <v/>
      </c>
      <c r="AZ107" s="301" t="str">
        <f t="shared" si="56"/>
        <v/>
      </c>
      <c r="BA107" s="301" t="str">
        <f t="shared" si="57"/>
        <v/>
      </c>
      <c r="BB107" s="303">
        <f t="shared" si="71"/>
        <v>0</v>
      </c>
      <c r="BC107" s="303" t="str">
        <f t="shared" si="72"/>
        <v/>
      </c>
      <c r="BD107" s="303" t="str">
        <f t="shared" si="73"/>
        <v/>
      </c>
      <c r="BF107" s="304">
        <f t="shared" si="74"/>
        <v>0</v>
      </c>
      <c r="BG107" s="304">
        <f t="shared" si="75"/>
        <v>0</v>
      </c>
      <c r="BH107" s="304" t="str">
        <f>IF( $B107="", "", IF(ISNA(VLOOKUP($C107, Defesa!$C$8:$C$30,1,FALSE)),1,0))</f>
        <v/>
      </c>
      <c r="BI107" s="305" t="str">
        <f t="shared" si="76"/>
        <v/>
      </c>
      <c r="BJ107" s="305" t="str">
        <f t="shared" si="77"/>
        <v/>
      </c>
      <c r="BK107" s="304" t="str">
        <f t="shared" si="78"/>
        <v/>
      </c>
      <c r="BL107" s="304">
        <f t="shared" si="79"/>
        <v>0</v>
      </c>
      <c r="BM107" s="304" t="str">
        <f>IF($AC107="", "", IF(ISNA(VLOOKUP($AC107, TABELAS!$Q:$Q, 1, FALSE)), 1, 0))</f>
        <v/>
      </c>
      <c r="BN107" s="306" t="str">
        <f t="shared" si="80"/>
        <v/>
      </c>
      <c r="BO107" s="304" t="str">
        <f t="shared" si="81"/>
        <v/>
      </c>
      <c r="BP107" s="304" t="str">
        <f t="shared" si="82"/>
        <v/>
      </c>
      <c r="BQ107" s="305" t="str">
        <f t="shared" si="83"/>
        <v/>
      </c>
      <c r="BR107" s="304" t="str">
        <f t="shared" si="84"/>
        <v/>
      </c>
      <c r="BS107" s="304" t="str">
        <f t="shared" si="85"/>
        <v/>
      </c>
      <c r="BT107" s="304" t="str">
        <f>IF(OR($B107="", $AH107 = "SIM"), "", IF( ISNA(VLOOKUP($AP107,#REF!, 1, FALSE)), 1, 0))</f>
        <v/>
      </c>
      <c r="BU107" s="304" t="str">
        <f t="shared" si="86"/>
        <v/>
      </c>
      <c r="BV107" s="304" t="str">
        <f>IF( $B107="", "", IF( ISNA(VLOOKUP($AN107, TABELAS!$T$2:$T$9,1,FALSE)), 1, 0))</f>
        <v/>
      </c>
      <c r="BW107" s="304" t="str">
        <f t="shared" si="87"/>
        <v/>
      </c>
      <c r="BX107" s="304" t="str">
        <f>IF( OR($B107="", $AH107 = "SIM"), "", IF( ISNA( VLOOKUP( $AQ107, SISTEMA!$B:$B, 1, FALSE)), 1, 0))</f>
        <v/>
      </c>
      <c r="BY107" s="305" t="str">
        <f t="shared" si="88"/>
        <v/>
      </c>
      <c r="BZ107" s="305" t="str">
        <f t="shared" si="89"/>
        <v/>
      </c>
      <c r="CA107" s="304" t="str">
        <f t="shared" si="90"/>
        <v/>
      </c>
      <c r="CB107" s="305" t="str">
        <f t="shared" si="91"/>
        <v/>
      </c>
      <c r="CC107" s="305" t="str">
        <f t="shared" si="92"/>
        <v/>
      </c>
      <c r="CD107" s="305" t="str">
        <f t="shared" si="93"/>
        <v/>
      </c>
    </row>
    <row r="108" spans="1:82" x14ac:dyDescent="0.2">
      <c r="A108" s="235"/>
      <c r="B108" s="236" t="str">
        <f t="shared" si="58"/>
        <v/>
      </c>
      <c r="C108" s="237" t="str">
        <f t="shared" si="48"/>
        <v/>
      </c>
      <c r="D108" s="237" t="str">
        <f t="shared" si="59"/>
        <v/>
      </c>
      <c r="E108" s="237" t="str">
        <f>IF($C108="", "", COUNTIF($M$8:$M108,$D108))</f>
        <v/>
      </c>
      <c r="F108" s="238">
        <v>101</v>
      </c>
      <c r="G108" s="239"/>
      <c r="H108" s="240"/>
      <c r="I108" s="240"/>
      <c r="J108" s="241"/>
      <c r="K108" s="240"/>
      <c r="L108" s="240"/>
      <c r="M108" s="240"/>
      <c r="N108" s="242"/>
      <c r="O108" s="243"/>
      <c r="P108" s="243"/>
      <c r="Q108" s="243"/>
      <c r="R108" s="243"/>
      <c r="S108" s="243"/>
      <c r="T108" s="245"/>
      <c r="U108" s="246" t="str">
        <f>IF($T108="", "", VLOOKUP($T108, CONTRATOS!$B:$E, 2, FALSE))</f>
        <v/>
      </c>
      <c r="V108" s="247">
        <f>IF(OR($T108="",TB_DEFESA!$C$2="Criação Baseline"),0,
   IF(VLOOKUP($T108, CONTRATOS!B:E, 3, FALSE)&lt;&gt;"",1,IF(VLOOKUP($T108, CONTRATOS!B:E, 4, FALSE)&lt;&gt;"",2,0)))</f>
        <v>0</v>
      </c>
      <c r="W108" s="248"/>
      <c r="X108" s="248"/>
      <c r="Y108" s="249"/>
      <c r="Z108" s="250"/>
      <c r="AA108" s="251"/>
      <c r="AB108" s="252"/>
      <c r="AC108" s="253"/>
      <c r="AD108" s="251"/>
      <c r="AE108" s="254" t="str">
        <f t="shared" si="49"/>
        <v/>
      </c>
      <c r="AF108" s="256" t="str">
        <f t="shared" si="60"/>
        <v/>
      </c>
      <c r="AG108" s="293" t="s">
        <v>62</v>
      </c>
      <c r="AH108" s="294" t="str">
        <f t="shared" si="61"/>
        <v/>
      </c>
      <c r="AI108" s="294" t="str">
        <f t="shared" si="62"/>
        <v/>
      </c>
      <c r="AJ108" s="295" t="str">
        <f t="shared" si="63"/>
        <v/>
      </c>
      <c r="AK108" s="296" t="str">
        <f t="shared" si="64"/>
        <v/>
      </c>
      <c r="AL108" s="297" t="str">
        <f t="shared" si="65"/>
        <v/>
      </c>
      <c r="AM108" s="294" t="str">
        <f t="shared" si="66"/>
        <v/>
      </c>
      <c r="AN108" s="294" t="str">
        <f t="shared" si="67"/>
        <v/>
      </c>
      <c r="AO108" s="298" t="str">
        <f t="shared" si="68"/>
        <v/>
      </c>
      <c r="AP108" s="299" t="str">
        <f t="shared" si="69"/>
        <v/>
      </c>
      <c r="AQ108" s="299" t="str">
        <f t="shared" si="70"/>
        <v/>
      </c>
      <c r="AR108" s="300" t="str">
        <f t="shared" si="50"/>
        <v/>
      </c>
      <c r="AS108" s="300" t="str">
        <f t="shared" si="51"/>
        <v/>
      </c>
      <c r="AT108" s="294" t="str">
        <f t="shared" si="52"/>
        <v/>
      </c>
      <c r="AU108" s="301" t="str">
        <f>IF(OR($B108="", $AP108= ""),"",IF(VLOOKUP($AP108, CONTRATOS!B:K,3,FALSE)="","",VLOOKUP($AP108, CONTRATOS!B:K, 3,FALSE)))</f>
        <v/>
      </c>
      <c r="AV108" s="301" t="str">
        <f>IF(OR($B108="", $AP108 = ""), "", IF(VLOOKUP($AP108, CONTRATOS!B:K,4,FALSE)="","",VLOOKUP($AP108, CONTRATOS!B:K,4, FALSE)))</f>
        <v/>
      </c>
      <c r="AW108" s="302" t="str">
        <f t="shared" si="53"/>
        <v/>
      </c>
      <c r="AX108" s="301" t="str">
        <f t="shared" si="54"/>
        <v/>
      </c>
      <c r="AY108" s="301" t="str">
        <f t="shared" si="55"/>
        <v/>
      </c>
      <c r="AZ108" s="301" t="str">
        <f t="shared" si="56"/>
        <v/>
      </c>
      <c r="BA108" s="301" t="str">
        <f t="shared" si="57"/>
        <v/>
      </c>
      <c r="BB108" s="303">
        <f t="shared" si="71"/>
        <v>0</v>
      </c>
      <c r="BC108" s="303" t="str">
        <f t="shared" si="72"/>
        <v/>
      </c>
      <c r="BD108" s="303" t="str">
        <f t="shared" si="73"/>
        <v/>
      </c>
      <c r="BF108" s="304">
        <f t="shared" si="74"/>
        <v>0</v>
      </c>
      <c r="BG108" s="304">
        <f t="shared" si="75"/>
        <v>0</v>
      </c>
      <c r="BH108" s="304" t="str">
        <f>IF( $B108="", "", IF(ISNA(VLOOKUP($C108, Defesa!$C$8:$C$30,1,FALSE)),1,0))</f>
        <v/>
      </c>
      <c r="BI108" s="305" t="str">
        <f t="shared" si="76"/>
        <v/>
      </c>
      <c r="BJ108" s="305" t="str">
        <f t="shared" si="77"/>
        <v/>
      </c>
      <c r="BK108" s="304" t="str">
        <f t="shared" si="78"/>
        <v/>
      </c>
      <c r="BL108" s="304">
        <f t="shared" si="79"/>
        <v>0</v>
      </c>
      <c r="BM108" s="304" t="str">
        <f>IF($AC108="", "", IF(ISNA(VLOOKUP($AC108, TABELAS!$Q:$Q, 1, FALSE)), 1, 0))</f>
        <v/>
      </c>
      <c r="BN108" s="306" t="str">
        <f t="shared" si="80"/>
        <v/>
      </c>
      <c r="BO108" s="304" t="str">
        <f t="shared" si="81"/>
        <v/>
      </c>
      <c r="BP108" s="304" t="str">
        <f t="shared" si="82"/>
        <v/>
      </c>
      <c r="BQ108" s="305" t="str">
        <f t="shared" si="83"/>
        <v/>
      </c>
      <c r="BR108" s="304" t="str">
        <f t="shared" si="84"/>
        <v/>
      </c>
      <c r="BS108" s="304" t="str">
        <f t="shared" si="85"/>
        <v/>
      </c>
      <c r="BT108" s="304" t="str">
        <f>IF(OR($B108="", $AH108 = "SIM"), "", IF( ISNA(VLOOKUP($AP108,#REF!, 1, FALSE)), 1, 0))</f>
        <v/>
      </c>
      <c r="BU108" s="304" t="str">
        <f t="shared" si="86"/>
        <v/>
      </c>
      <c r="BV108" s="304" t="str">
        <f>IF( $B108="", "", IF( ISNA(VLOOKUP($AN108, TABELAS!$T$2:$T$9,1,FALSE)), 1, 0))</f>
        <v/>
      </c>
      <c r="BW108" s="304" t="str">
        <f t="shared" si="87"/>
        <v/>
      </c>
      <c r="BX108" s="304" t="str">
        <f>IF( OR($B108="", $AH108 = "SIM"), "", IF( ISNA( VLOOKUP( $AQ108, SISTEMA!$B:$B, 1, FALSE)), 1, 0))</f>
        <v/>
      </c>
      <c r="BY108" s="305" t="str">
        <f t="shared" si="88"/>
        <v/>
      </c>
      <c r="BZ108" s="305" t="str">
        <f t="shared" si="89"/>
        <v/>
      </c>
      <c r="CA108" s="304" t="str">
        <f t="shared" si="90"/>
        <v/>
      </c>
      <c r="CB108" s="305" t="str">
        <f t="shared" si="91"/>
        <v/>
      </c>
      <c r="CC108" s="305" t="str">
        <f t="shared" si="92"/>
        <v/>
      </c>
      <c r="CD108" s="305" t="str">
        <f t="shared" si="93"/>
        <v/>
      </c>
    </row>
    <row r="109" spans="1:82" x14ac:dyDescent="0.2">
      <c r="A109" s="235"/>
      <c r="B109" s="236" t="str">
        <f t="shared" si="58"/>
        <v/>
      </c>
      <c r="C109" s="237" t="str">
        <f t="shared" si="48"/>
        <v/>
      </c>
      <c r="D109" s="237" t="str">
        <f t="shared" si="59"/>
        <v/>
      </c>
      <c r="E109" s="237" t="str">
        <f>IF($C109="", "", COUNTIF($M$8:$M109,$D109))</f>
        <v/>
      </c>
      <c r="F109" s="238">
        <v>102</v>
      </c>
      <c r="G109" s="239"/>
      <c r="H109" s="240"/>
      <c r="I109" s="240"/>
      <c r="J109" s="241"/>
      <c r="K109" s="240"/>
      <c r="L109" s="240"/>
      <c r="M109" s="240"/>
      <c r="N109" s="242"/>
      <c r="O109" s="243"/>
      <c r="P109" s="243"/>
      <c r="Q109" s="243"/>
      <c r="R109" s="243"/>
      <c r="S109" s="243"/>
      <c r="T109" s="245"/>
      <c r="U109" s="246" t="str">
        <f>IF($T109="", "", VLOOKUP($T109, CONTRATOS!$B:$E, 2, FALSE))</f>
        <v/>
      </c>
      <c r="V109" s="247">
        <f>IF(OR($T109="",TB_DEFESA!$C$2="Criação Baseline"),0,
   IF(VLOOKUP($T109, CONTRATOS!B:E, 3, FALSE)&lt;&gt;"",1,IF(VLOOKUP($T109, CONTRATOS!B:E, 4, FALSE)&lt;&gt;"",2,0)))</f>
        <v>0</v>
      </c>
      <c r="W109" s="248"/>
      <c r="X109" s="248"/>
      <c r="Y109" s="249"/>
      <c r="Z109" s="250"/>
      <c r="AA109" s="251"/>
      <c r="AB109" s="252"/>
      <c r="AC109" s="253"/>
      <c r="AD109" s="251"/>
      <c r="AE109" s="254" t="str">
        <f t="shared" si="49"/>
        <v/>
      </c>
      <c r="AF109" s="256" t="str">
        <f t="shared" si="60"/>
        <v/>
      </c>
      <c r="AG109" s="293" t="s">
        <v>62</v>
      </c>
      <c r="AH109" s="294" t="str">
        <f t="shared" si="61"/>
        <v/>
      </c>
      <c r="AI109" s="294" t="str">
        <f t="shared" si="62"/>
        <v/>
      </c>
      <c r="AJ109" s="295" t="str">
        <f t="shared" si="63"/>
        <v/>
      </c>
      <c r="AK109" s="296" t="str">
        <f t="shared" si="64"/>
        <v/>
      </c>
      <c r="AL109" s="297" t="str">
        <f t="shared" si="65"/>
        <v/>
      </c>
      <c r="AM109" s="294" t="str">
        <f t="shared" si="66"/>
        <v/>
      </c>
      <c r="AN109" s="294" t="str">
        <f t="shared" si="67"/>
        <v/>
      </c>
      <c r="AO109" s="298" t="str">
        <f t="shared" si="68"/>
        <v/>
      </c>
      <c r="AP109" s="299" t="str">
        <f t="shared" si="69"/>
        <v/>
      </c>
      <c r="AQ109" s="299" t="str">
        <f t="shared" si="70"/>
        <v/>
      </c>
      <c r="AR109" s="300" t="str">
        <f t="shared" si="50"/>
        <v/>
      </c>
      <c r="AS109" s="300" t="str">
        <f t="shared" si="51"/>
        <v/>
      </c>
      <c r="AT109" s="294" t="str">
        <f t="shared" si="52"/>
        <v/>
      </c>
      <c r="AU109" s="301" t="str">
        <f>IF(OR($B109="", $AP109= ""),"",IF(VLOOKUP($AP109, CONTRATOS!B:K,3,FALSE)="","",VLOOKUP($AP109, CONTRATOS!B:K, 3,FALSE)))</f>
        <v/>
      </c>
      <c r="AV109" s="301" t="str">
        <f>IF(OR($B109="", $AP109 = ""), "", IF(VLOOKUP($AP109, CONTRATOS!B:K,4,FALSE)="","",VLOOKUP($AP109, CONTRATOS!B:K,4, FALSE)))</f>
        <v/>
      </c>
      <c r="AW109" s="302" t="str">
        <f t="shared" si="53"/>
        <v/>
      </c>
      <c r="AX109" s="301" t="str">
        <f t="shared" si="54"/>
        <v/>
      </c>
      <c r="AY109" s="301" t="str">
        <f t="shared" si="55"/>
        <v/>
      </c>
      <c r="AZ109" s="301" t="str">
        <f t="shared" si="56"/>
        <v/>
      </c>
      <c r="BA109" s="301" t="str">
        <f t="shared" si="57"/>
        <v/>
      </c>
      <c r="BB109" s="303">
        <f t="shared" si="71"/>
        <v>0</v>
      </c>
      <c r="BC109" s="303" t="str">
        <f t="shared" si="72"/>
        <v/>
      </c>
      <c r="BD109" s="303" t="str">
        <f t="shared" si="73"/>
        <v/>
      </c>
      <c r="BF109" s="304">
        <f t="shared" si="74"/>
        <v>0</v>
      </c>
      <c r="BG109" s="304">
        <f t="shared" si="75"/>
        <v>0</v>
      </c>
      <c r="BH109" s="304" t="str">
        <f>IF( $B109="", "", IF(ISNA(VLOOKUP($C109, Defesa!$C$8:$C$30,1,FALSE)),1,0))</f>
        <v/>
      </c>
      <c r="BI109" s="305" t="str">
        <f t="shared" si="76"/>
        <v/>
      </c>
      <c r="BJ109" s="305" t="str">
        <f t="shared" si="77"/>
        <v/>
      </c>
      <c r="BK109" s="304" t="str">
        <f t="shared" si="78"/>
        <v/>
      </c>
      <c r="BL109" s="304">
        <f t="shared" si="79"/>
        <v>0</v>
      </c>
      <c r="BM109" s="304" t="str">
        <f>IF($AC109="", "", IF(ISNA(VLOOKUP($AC109, TABELAS!$Q:$Q, 1, FALSE)), 1, 0))</f>
        <v/>
      </c>
      <c r="BN109" s="306" t="str">
        <f t="shared" si="80"/>
        <v/>
      </c>
      <c r="BO109" s="304" t="str">
        <f t="shared" si="81"/>
        <v/>
      </c>
      <c r="BP109" s="304" t="str">
        <f t="shared" si="82"/>
        <v/>
      </c>
      <c r="BQ109" s="305" t="str">
        <f t="shared" si="83"/>
        <v/>
      </c>
      <c r="BR109" s="304" t="str">
        <f t="shared" si="84"/>
        <v/>
      </c>
      <c r="BS109" s="304" t="str">
        <f t="shared" si="85"/>
        <v/>
      </c>
      <c r="BT109" s="304" t="str">
        <f>IF(OR($B109="", $AH109 = "SIM"), "", IF( ISNA(VLOOKUP($AP109,#REF!, 1, FALSE)), 1, 0))</f>
        <v/>
      </c>
      <c r="BU109" s="304" t="str">
        <f t="shared" si="86"/>
        <v/>
      </c>
      <c r="BV109" s="304" t="str">
        <f>IF( $B109="", "", IF( ISNA(VLOOKUP($AN109, TABELAS!$T$2:$T$9,1,FALSE)), 1, 0))</f>
        <v/>
      </c>
      <c r="BW109" s="304" t="str">
        <f t="shared" si="87"/>
        <v/>
      </c>
      <c r="BX109" s="304" t="str">
        <f>IF( OR($B109="", $AH109 = "SIM"), "", IF( ISNA( VLOOKUP( $AQ109, SISTEMA!$B:$B, 1, FALSE)), 1, 0))</f>
        <v/>
      </c>
      <c r="BY109" s="305" t="str">
        <f t="shared" si="88"/>
        <v/>
      </c>
      <c r="BZ109" s="305" t="str">
        <f t="shared" si="89"/>
        <v/>
      </c>
      <c r="CA109" s="304" t="str">
        <f t="shared" si="90"/>
        <v/>
      </c>
      <c r="CB109" s="305" t="str">
        <f t="shared" si="91"/>
        <v/>
      </c>
      <c r="CC109" s="305" t="str">
        <f t="shared" si="92"/>
        <v/>
      </c>
      <c r="CD109" s="305" t="str">
        <f t="shared" si="93"/>
        <v/>
      </c>
    </row>
    <row r="110" spans="1:82" x14ac:dyDescent="0.2">
      <c r="A110" s="235"/>
      <c r="B110" s="236" t="str">
        <f t="shared" si="58"/>
        <v/>
      </c>
      <c r="C110" s="237" t="str">
        <f t="shared" si="48"/>
        <v/>
      </c>
      <c r="D110" s="237" t="str">
        <f t="shared" si="59"/>
        <v/>
      </c>
      <c r="E110" s="237" t="str">
        <f>IF($C110="", "", COUNTIF($M$8:$M110,$D110))</f>
        <v/>
      </c>
      <c r="F110" s="238">
        <v>103</v>
      </c>
      <c r="G110" s="239"/>
      <c r="H110" s="240"/>
      <c r="I110" s="240"/>
      <c r="J110" s="241"/>
      <c r="K110" s="240"/>
      <c r="L110" s="240"/>
      <c r="M110" s="240"/>
      <c r="N110" s="242"/>
      <c r="O110" s="243"/>
      <c r="P110" s="243"/>
      <c r="Q110" s="243"/>
      <c r="R110" s="243"/>
      <c r="S110" s="243"/>
      <c r="T110" s="245"/>
      <c r="U110" s="246" t="str">
        <f>IF($T110="", "", VLOOKUP($T110, CONTRATOS!$B:$E, 2, FALSE))</f>
        <v/>
      </c>
      <c r="V110" s="247">
        <f>IF(OR($T110="",TB_DEFESA!$C$2="Criação Baseline"),0,
   IF(VLOOKUP($T110, CONTRATOS!B:E, 3, FALSE)&lt;&gt;"",1,IF(VLOOKUP($T110, CONTRATOS!B:E, 4, FALSE)&lt;&gt;"",2,0)))</f>
        <v>0</v>
      </c>
      <c r="W110" s="248"/>
      <c r="X110" s="248"/>
      <c r="Y110" s="249"/>
      <c r="Z110" s="250"/>
      <c r="AA110" s="251"/>
      <c r="AB110" s="252"/>
      <c r="AC110" s="253"/>
      <c r="AD110" s="251"/>
      <c r="AE110" s="254" t="str">
        <f t="shared" si="49"/>
        <v/>
      </c>
      <c r="AF110" s="256" t="str">
        <f t="shared" si="60"/>
        <v/>
      </c>
      <c r="AG110" s="293" t="s">
        <v>62</v>
      </c>
      <c r="AH110" s="294" t="str">
        <f t="shared" si="61"/>
        <v/>
      </c>
      <c r="AI110" s="294" t="str">
        <f t="shared" si="62"/>
        <v/>
      </c>
      <c r="AJ110" s="295" t="str">
        <f t="shared" si="63"/>
        <v/>
      </c>
      <c r="AK110" s="296" t="str">
        <f t="shared" si="64"/>
        <v/>
      </c>
      <c r="AL110" s="297" t="str">
        <f t="shared" si="65"/>
        <v/>
      </c>
      <c r="AM110" s="294" t="str">
        <f t="shared" si="66"/>
        <v/>
      </c>
      <c r="AN110" s="294" t="str">
        <f t="shared" si="67"/>
        <v/>
      </c>
      <c r="AO110" s="298" t="str">
        <f t="shared" si="68"/>
        <v/>
      </c>
      <c r="AP110" s="299" t="str">
        <f t="shared" si="69"/>
        <v/>
      </c>
      <c r="AQ110" s="299" t="str">
        <f t="shared" si="70"/>
        <v/>
      </c>
      <c r="AR110" s="300" t="str">
        <f t="shared" si="50"/>
        <v/>
      </c>
      <c r="AS110" s="300" t="str">
        <f t="shared" si="51"/>
        <v/>
      </c>
      <c r="AT110" s="294" t="str">
        <f t="shared" si="52"/>
        <v/>
      </c>
      <c r="AU110" s="301" t="str">
        <f>IF(OR($B110="", $AP110= ""),"",IF(VLOOKUP($AP110, CONTRATOS!B:K,3,FALSE)="","",VLOOKUP($AP110, CONTRATOS!B:K, 3,FALSE)))</f>
        <v/>
      </c>
      <c r="AV110" s="301" t="str">
        <f>IF(OR($B110="", $AP110 = ""), "", IF(VLOOKUP($AP110, CONTRATOS!B:K,4,FALSE)="","",VLOOKUP($AP110, CONTRATOS!B:K,4, FALSE)))</f>
        <v/>
      </c>
      <c r="AW110" s="302" t="str">
        <f t="shared" si="53"/>
        <v/>
      </c>
      <c r="AX110" s="301" t="str">
        <f t="shared" si="54"/>
        <v/>
      </c>
      <c r="AY110" s="301" t="str">
        <f t="shared" si="55"/>
        <v/>
      </c>
      <c r="AZ110" s="301" t="str">
        <f t="shared" si="56"/>
        <v/>
      </c>
      <c r="BA110" s="301" t="str">
        <f t="shared" si="57"/>
        <v/>
      </c>
      <c r="BB110" s="303">
        <f t="shared" si="71"/>
        <v>0</v>
      </c>
      <c r="BC110" s="303" t="str">
        <f t="shared" si="72"/>
        <v/>
      </c>
      <c r="BD110" s="303" t="str">
        <f t="shared" si="73"/>
        <v/>
      </c>
      <c r="BF110" s="304">
        <f t="shared" si="74"/>
        <v>0</v>
      </c>
      <c r="BG110" s="304">
        <f t="shared" si="75"/>
        <v>0</v>
      </c>
      <c r="BH110" s="304" t="str">
        <f>IF( $B110="", "", IF(ISNA(VLOOKUP($C110, Defesa!$C$8:$C$30,1,FALSE)),1,0))</f>
        <v/>
      </c>
      <c r="BI110" s="305" t="str">
        <f t="shared" si="76"/>
        <v/>
      </c>
      <c r="BJ110" s="305" t="str">
        <f t="shared" si="77"/>
        <v/>
      </c>
      <c r="BK110" s="304" t="str">
        <f t="shared" si="78"/>
        <v/>
      </c>
      <c r="BL110" s="304">
        <f t="shared" si="79"/>
        <v>0</v>
      </c>
      <c r="BM110" s="304" t="str">
        <f>IF($AC110="", "", IF(ISNA(VLOOKUP($AC110, TABELAS!$Q:$Q, 1, FALSE)), 1, 0))</f>
        <v/>
      </c>
      <c r="BN110" s="306" t="str">
        <f t="shared" si="80"/>
        <v/>
      </c>
      <c r="BO110" s="304" t="str">
        <f t="shared" si="81"/>
        <v/>
      </c>
      <c r="BP110" s="304" t="str">
        <f t="shared" si="82"/>
        <v/>
      </c>
      <c r="BQ110" s="305" t="str">
        <f t="shared" si="83"/>
        <v/>
      </c>
      <c r="BR110" s="304" t="str">
        <f t="shared" si="84"/>
        <v/>
      </c>
      <c r="BS110" s="304" t="str">
        <f t="shared" si="85"/>
        <v/>
      </c>
      <c r="BT110" s="304" t="str">
        <f>IF(OR($B110="", $AH110 = "SIM"), "", IF( ISNA(VLOOKUP($AP110,#REF!, 1, FALSE)), 1, 0))</f>
        <v/>
      </c>
      <c r="BU110" s="304" t="str">
        <f t="shared" si="86"/>
        <v/>
      </c>
      <c r="BV110" s="304" t="str">
        <f>IF( $B110="", "", IF( ISNA(VLOOKUP($AN110, TABELAS!$T$2:$T$9,1,FALSE)), 1, 0))</f>
        <v/>
      </c>
      <c r="BW110" s="304" t="str">
        <f t="shared" si="87"/>
        <v/>
      </c>
      <c r="BX110" s="304" t="str">
        <f>IF( OR($B110="", $AH110 = "SIM"), "", IF( ISNA( VLOOKUP( $AQ110, SISTEMA!$B:$B, 1, FALSE)), 1, 0))</f>
        <v/>
      </c>
      <c r="BY110" s="305" t="str">
        <f t="shared" si="88"/>
        <v/>
      </c>
      <c r="BZ110" s="305" t="str">
        <f t="shared" si="89"/>
        <v/>
      </c>
      <c r="CA110" s="304" t="str">
        <f t="shared" si="90"/>
        <v/>
      </c>
      <c r="CB110" s="305" t="str">
        <f t="shared" si="91"/>
        <v/>
      </c>
      <c r="CC110" s="305" t="str">
        <f t="shared" si="92"/>
        <v/>
      </c>
      <c r="CD110" s="305" t="str">
        <f t="shared" si="93"/>
        <v/>
      </c>
    </row>
    <row r="111" spans="1:82" x14ac:dyDescent="0.2">
      <c r="A111" s="235"/>
      <c r="B111" s="236" t="str">
        <f t="shared" si="58"/>
        <v/>
      </c>
      <c r="C111" s="237" t="str">
        <f t="shared" si="48"/>
        <v/>
      </c>
      <c r="D111" s="237" t="str">
        <f t="shared" si="59"/>
        <v/>
      </c>
      <c r="E111" s="237" t="str">
        <f>IF($C111="", "", COUNTIF($M$8:$M111,$D111))</f>
        <v/>
      </c>
      <c r="F111" s="238">
        <v>104</v>
      </c>
      <c r="G111" s="239"/>
      <c r="H111" s="240"/>
      <c r="I111" s="240"/>
      <c r="J111" s="241"/>
      <c r="K111" s="240"/>
      <c r="L111" s="240"/>
      <c r="M111" s="240"/>
      <c r="N111" s="242"/>
      <c r="O111" s="243"/>
      <c r="P111" s="243"/>
      <c r="Q111" s="243"/>
      <c r="R111" s="243"/>
      <c r="S111" s="243"/>
      <c r="T111" s="245"/>
      <c r="U111" s="246" t="str">
        <f>IF($T111="", "", VLOOKUP($T111, CONTRATOS!$B:$E, 2, FALSE))</f>
        <v/>
      </c>
      <c r="V111" s="247">
        <f>IF(OR($T111="",TB_DEFESA!$C$2="Criação Baseline"),0,
   IF(VLOOKUP($T111, CONTRATOS!B:E, 3, FALSE)&lt;&gt;"",1,IF(VLOOKUP($T111, CONTRATOS!B:E, 4, FALSE)&lt;&gt;"",2,0)))</f>
        <v>0</v>
      </c>
      <c r="W111" s="248"/>
      <c r="X111" s="248"/>
      <c r="Y111" s="249"/>
      <c r="Z111" s="250"/>
      <c r="AA111" s="251"/>
      <c r="AB111" s="252"/>
      <c r="AC111" s="253"/>
      <c r="AD111" s="251"/>
      <c r="AE111" s="254" t="str">
        <f t="shared" si="49"/>
        <v/>
      </c>
      <c r="AF111" s="256" t="str">
        <f t="shared" si="60"/>
        <v/>
      </c>
      <c r="AG111" s="293" t="s">
        <v>62</v>
      </c>
      <c r="AH111" s="294" t="str">
        <f t="shared" si="61"/>
        <v/>
      </c>
      <c r="AI111" s="294" t="str">
        <f t="shared" si="62"/>
        <v/>
      </c>
      <c r="AJ111" s="295" t="str">
        <f t="shared" si="63"/>
        <v/>
      </c>
      <c r="AK111" s="296" t="str">
        <f t="shared" si="64"/>
        <v/>
      </c>
      <c r="AL111" s="297" t="str">
        <f t="shared" si="65"/>
        <v/>
      </c>
      <c r="AM111" s="294" t="str">
        <f t="shared" si="66"/>
        <v/>
      </c>
      <c r="AN111" s="294" t="str">
        <f t="shared" si="67"/>
        <v/>
      </c>
      <c r="AO111" s="298" t="str">
        <f t="shared" si="68"/>
        <v/>
      </c>
      <c r="AP111" s="299" t="str">
        <f t="shared" si="69"/>
        <v/>
      </c>
      <c r="AQ111" s="299" t="str">
        <f t="shared" si="70"/>
        <v/>
      </c>
      <c r="AR111" s="300" t="str">
        <f t="shared" si="50"/>
        <v/>
      </c>
      <c r="AS111" s="300" t="str">
        <f t="shared" si="51"/>
        <v/>
      </c>
      <c r="AT111" s="294" t="str">
        <f t="shared" si="52"/>
        <v/>
      </c>
      <c r="AU111" s="301" t="str">
        <f>IF(OR($B111="", $AP111= ""),"",IF(VLOOKUP($AP111, CONTRATOS!B:K,3,FALSE)="","",VLOOKUP($AP111, CONTRATOS!B:K, 3,FALSE)))</f>
        <v/>
      </c>
      <c r="AV111" s="301" t="str">
        <f>IF(OR($B111="", $AP111 = ""), "", IF(VLOOKUP($AP111, CONTRATOS!B:K,4,FALSE)="","",VLOOKUP($AP111, CONTRATOS!B:K,4, FALSE)))</f>
        <v/>
      </c>
      <c r="AW111" s="302" t="str">
        <f t="shared" si="53"/>
        <v/>
      </c>
      <c r="AX111" s="301" t="str">
        <f t="shared" si="54"/>
        <v/>
      </c>
      <c r="AY111" s="301" t="str">
        <f t="shared" si="55"/>
        <v/>
      </c>
      <c r="AZ111" s="301" t="str">
        <f t="shared" si="56"/>
        <v/>
      </c>
      <c r="BA111" s="301" t="str">
        <f t="shared" si="57"/>
        <v/>
      </c>
      <c r="BB111" s="303">
        <f t="shared" si="71"/>
        <v>0</v>
      </c>
      <c r="BC111" s="303" t="str">
        <f t="shared" si="72"/>
        <v/>
      </c>
      <c r="BD111" s="303" t="str">
        <f t="shared" si="73"/>
        <v/>
      </c>
      <c r="BF111" s="304">
        <f t="shared" si="74"/>
        <v>0</v>
      </c>
      <c r="BG111" s="304">
        <f t="shared" si="75"/>
        <v>0</v>
      </c>
      <c r="BH111" s="304" t="str">
        <f>IF( $B111="", "", IF(ISNA(VLOOKUP($C111, Defesa!$C$8:$C$30,1,FALSE)),1,0))</f>
        <v/>
      </c>
      <c r="BI111" s="305" t="str">
        <f t="shared" si="76"/>
        <v/>
      </c>
      <c r="BJ111" s="305" t="str">
        <f t="shared" si="77"/>
        <v/>
      </c>
      <c r="BK111" s="304" t="str">
        <f t="shared" si="78"/>
        <v/>
      </c>
      <c r="BL111" s="304">
        <f t="shared" si="79"/>
        <v>0</v>
      </c>
      <c r="BM111" s="304" t="str">
        <f>IF($AC111="", "", IF(ISNA(VLOOKUP($AC111, TABELAS!$Q:$Q, 1, FALSE)), 1, 0))</f>
        <v/>
      </c>
      <c r="BN111" s="306" t="str">
        <f t="shared" si="80"/>
        <v/>
      </c>
      <c r="BO111" s="304" t="str">
        <f t="shared" si="81"/>
        <v/>
      </c>
      <c r="BP111" s="304" t="str">
        <f t="shared" si="82"/>
        <v/>
      </c>
      <c r="BQ111" s="305" t="str">
        <f t="shared" si="83"/>
        <v/>
      </c>
      <c r="BR111" s="304" t="str">
        <f t="shared" si="84"/>
        <v/>
      </c>
      <c r="BS111" s="304" t="str">
        <f t="shared" si="85"/>
        <v/>
      </c>
      <c r="BT111" s="304" t="str">
        <f>IF(OR($B111="", $AH111 = "SIM"), "", IF( ISNA(VLOOKUP($AP111,#REF!, 1, FALSE)), 1, 0))</f>
        <v/>
      </c>
      <c r="BU111" s="304" t="str">
        <f t="shared" si="86"/>
        <v/>
      </c>
      <c r="BV111" s="304" t="str">
        <f>IF( $B111="", "", IF( ISNA(VLOOKUP($AN111, TABELAS!$T$2:$T$9,1,FALSE)), 1, 0))</f>
        <v/>
      </c>
      <c r="BW111" s="304" t="str">
        <f t="shared" si="87"/>
        <v/>
      </c>
      <c r="BX111" s="304" t="str">
        <f>IF( OR($B111="", $AH111 = "SIM"), "", IF( ISNA( VLOOKUP( $AQ111, SISTEMA!$B:$B, 1, FALSE)), 1, 0))</f>
        <v/>
      </c>
      <c r="BY111" s="305" t="str">
        <f t="shared" si="88"/>
        <v/>
      </c>
      <c r="BZ111" s="305" t="str">
        <f t="shared" si="89"/>
        <v/>
      </c>
      <c r="CA111" s="304" t="str">
        <f t="shared" si="90"/>
        <v/>
      </c>
      <c r="CB111" s="305" t="str">
        <f t="shared" si="91"/>
        <v/>
      </c>
      <c r="CC111" s="305" t="str">
        <f t="shared" si="92"/>
        <v/>
      </c>
      <c r="CD111" s="305" t="str">
        <f t="shared" si="93"/>
        <v/>
      </c>
    </row>
    <row r="112" spans="1:82" x14ac:dyDescent="0.2">
      <c r="A112" s="235"/>
      <c r="B112" s="236" t="str">
        <f t="shared" si="58"/>
        <v/>
      </c>
      <c r="C112" s="237" t="str">
        <f t="shared" si="48"/>
        <v/>
      </c>
      <c r="D112" s="237" t="str">
        <f t="shared" si="59"/>
        <v/>
      </c>
      <c r="E112" s="237" t="str">
        <f>IF($C112="", "", COUNTIF($M$8:$M112,$D112))</f>
        <v/>
      </c>
      <c r="F112" s="238">
        <v>105</v>
      </c>
      <c r="G112" s="239"/>
      <c r="H112" s="240"/>
      <c r="I112" s="240"/>
      <c r="J112" s="241"/>
      <c r="K112" s="240"/>
      <c r="L112" s="240"/>
      <c r="M112" s="240"/>
      <c r="N112" s="242"/>
      <c r="O112" s="243"/>
      <c r="P112" s="243"/>
      <c r="Q112" s="243"/>
      <c r="R112" s="243"/>
      <c r="S112" s="243"/>
      <c r="T112" s="245"/>
      <c r="U112" s="246" t="str">
        <f>IF($T112="", "", VLOOKUP($T112, CONTRATOS!$B:$E, 2, FALSE))</f>
        <v/>
      </c>
      <c r="V112" s="247">
        <f>IF(OR($T112="",TB_DEFESA!$C$2="Criação Baseline"),0,
   IF(VLOOKUP($T112, CONTRATOS!B:E, 3, FALSE)&lt;&gt;"",1,IF(VLOOKUP($T112, CONTRATOS!B:E, 4, FALSE)&lt;&gt;"",2,0)))</f>
        <v>0</v>
      </c>
      <c r="W112" s="248"/>
      <c r="X112" s="248"/>
      <c r="Y112" s="249"/>
      <c r="Z112" s="250"/>
      <c r="AA112" s="251"/>
      <c r="AB112" s="252"/>
      <c r="AC112" s="253"/>
      <c r="AD112" s="251"/>
      <c r="AE112" s="254" t="str">
        <f t="shared" si="49"/>
        <v/>
      </c>
      <c r="AF112" s="256" t="str">
        <f t="shared" si="60"/>
        <v/>
      </c>
      <c r="AG112" s="293" t="s">
        <v>62</v>
      </c>
      <c r="AH112" s="294" t="str">
        <f t="shared" si="61"/>
        <v/>
      </c>
      <c r="AI112" s="294" t="str">
        <f t="shared" si="62"/>
        <v/>
      </c>
      <c r="AJ112" s="295" t="str">
        <f t="shared" si="63"/>
        <v/>
      </c>
      <c r="AK112" s="296" t="str">
        <f t="shared" si="64"/>
        <v/>
      </c>
      <c r="AL112" s="297" t="str">
        <f t="shared" si="65"/>
        <v/>
      </c>
      <c r="AM112" s="294" t="str">
        <f t="shared" si="66"/>
        <v/>
      </c>
      <c r="AN112" s="294" t="str">
        <f t="shared" si="67"/>
        <v/>
      </c>
      <c r="AO112" s="298" t="str">
        <f t="shared" si="68"/>
        <v/>
      </c>
      <c r="AP112" s="299" t="str">
        <f t="shared" si="69"/>
        <v/>
      </c>
      <c r="AQ112" s="299" t="str">
        <f t="shared" si="70"/>
        <v/>
      </c>
      <c r="AR112" s="300" t="str">
        <f t="shared" si="50"/>
        <v/>
      </c>
      <c r="AS112" s="300" t="str">
        <f t="shared" si="51"/>
        <v/>
      </c>
      <c r="AT112" s="294" t="str">
        <f t="shared" si="52"/>
        <v/>
      </c>
      <c r="AU112" s="301" t="str">
        <f>IF(OR($B112="", $AP112= ""),"",IF(VLOOKUP($AP112, CONTRATOS!B:K,3,FALSE)="","",VLOOKUP($AP112, CONTRATOS!B:K, 3,FALSE)))</f>
        <v/>
      </c>
      <c r="AV112" s="301" t="str">
        <f>IF(OR($B112="", $AP112 = ""), "", IF(VLOOKUP($AP112, CONTRATOS!B:K,4,FALSE)="","",VLOOKUP($AP112, CONTRATOS!B:K,4, FALSE)))</f>
        <v/>
      </c>
      <c r="AW112" s="302" t="str">
        <f t="shared" si="53"/>
        <v/>
      </c>
      <c r="AX112" s="301" t="str">
        <f t="shared" si="54"/>
        <v/>
      </c>
      <c r="AY112" s="301" t="str">
        <f t="shared" si="55"/>
        <v/>
      </c>
      <c r="AZ112" s="301" t="str">
        <f t="shared" si="56"/>
        <v/>
      </c>
      <c r="BA112" s="301" t="str">
        <f t="shared" si="57"/>
        <v/>
      </c>
      <c r="BB112" s="303">
        <f t="shared" si="71"/>
        <v>0</v>
      </c>
      <c r="BC112" s="303" t="str">
        <f t="shared" si="72"/>
        <v/>
      </c>
      <c r="BD112" s="303" t="str">
        <f t="shared" si="73"/>
        <v/>
      </c>
      <c r="BF112" s="304">
        <f t="shared" si="74"/>
        <v>0</v>
      </c>
      <c r="BG112" s="304">
        <f t="shared" si="75"/>
        <v>0</v>
      </c>
      <c r="BH112" s="304" t="str">
        <f>IF( $B112="", "", IF(ISNA(VLOOKUP($C112, Defesa!$C$8:$C$30,1,FALSE)),1,0))</f>
        <v/>
      </c>
      <c r="BI112" s="305" t="str">
        <f t="shared" si="76"/>
        <v/>
      </c>
      <c r="BJ112" s="305" t="str">
        <f t="shared" si="77"/>
        <v/>
      </c>
      <c r="BK112" s="304" t="str">
        <f t="shared" si="78"/>
        <v/>
      </c>
      <c r="BL112" s="304">
        <f t="shared" si="79"/>
        <v>0</v>
      </c>
      <c r="BM112" s="304" t="str">
        <f>IF($AC112="", "", IF(ISNA(VLOOKUP($AC112, TABELAS!$Q:$Q, 1, FALSE)), 1, 0))</f>
        <v/>
      </c>
      <c r="BN112" s="306" t="str">
        <f t="shared" si="80"/>
        <v/>
      </c>
      <c r="BO112" s="304" t="str">
        <f t="shared" si="81"/>
        <v/>
      </c>
      <c r="BP112" s="304" t="str">
        <f t="shared" si="82"/>
        <v/>
      </c>
      <c r="BQ112" s="305" t="str">
        <f t="shared" si="83"/>
        <v/>
      </c>
      <c r="BR112" s="304" t="str">
        <f t="shared" si="84"/>
        <v/>
      </c>
      <c r="BS112" s="304" t="str">
        <f t="shared" si="85"/>
        <v/>
      </c>
      <c r="BT112" s="304" t="str">
        <f>IF(OR($B112="", $AH112 = "SIM"), "", IF( ISNA(VLOOKUP($AP112,#REF!, 1, FALSE)), 1, 0))</f>
        <v/>
      </c>
      <c r="BU112" s="304" t="str">
        <f t="shared" si="86"/>
        <v/>
      </c>
      <c r="BV112" s="304" t="str">
        <f>IF( $B112="", "", IF( ISNA(VLOOKUP($AN112, TABELAS!$T$2:$T$9,1,FALSE)), 1, 0))</f>
        <v/>
      </c>
      <c r="BW112" s="304" t="str">
        <f t="shared" si="87"/>
        <v/>
      </c>
      <c r="BX112" s="304" t="str">
        <f>IF( OR($B112="", $AH112 = "SIM"), "", IF( ISNA( VLOOKUP( $AQ112, SISTEMA!$B:$B, 1, FALSE)), 1, 0))</f>
        <v/>
      </c>
      <c r="BY112" s="305" t="str">
        <f t="shared" si="88"/>
        <v/>
      </c>
      <c r="BZ112" s="305" t="str">
        <f t="shared" si="89"/>
        <v/>
      </c>
      <c r="CA112" s="304" t="str">
        <f t="shared" si="90"/>
        <v/>
      </c>
      <c r="CB112" s="305" t="str">
        <f t="shared" si="91"/>
        <v/>
      </c>
      <c r="CC112" s="305" t="str">
        <f t="shared" si="92"/>
        <v/>
      </c>
      <c r="CD112" s="305" t="str">
        <f t="shared" si="93"/>
        <v/>
      </c>
    </row>
    <row r="113" spans="1:82" x14ac:dyDescent="0.2">
      <c r="A113" s="235"/>
      <c r="B113" s="236" t="str">
        <f t="shared" si="58"/>
        <v/>
      </c>
      <c r="C113" s="237" t="str">
        <f t="shared" si="48"/>
        <v/>
      </c>
      <c r="D113" s="237" t="str">
        <f t="shared" si="59"/>
        <v/>
      </c>
      <c r="E113" s="237" t="str">
        <f>IF($C113="", "", COUNTIF($M$8:$M113,$D113))</f>
        <v/>
      </c>
      <c r="F113" s="238">
        <v>106</v>
      </c>
      <c r="G113" s="239"/>
      <c r="H113" s="240"/>
      <c r="I113" s="240"/>
      <c r="J113" s="241"/>
      <c r="K113" s="240"/>
      <c r="L113" s="240"/>
      <c r="M113" s="240"/>
      <c r="N113" s="242"/>
      <c r="O113" s="243"/>
      <c r="P113" s="243"/>
      <c r="Q113" s="243"/>
      <c r="R113" s="243"/>
      <c r="S113" s="243"/>
      <c r="T113" s="245"/>
      <c r="U113" s="246" t="str">
        <f>IF($T113="", "", VLOOKUP($T113, CONTRATOS!$B:$E, 2, FALSE))</f>
        <v/>
      </c>
      <c r="V113" s="247">
        <f>IF(OR($T113="",TB_DEFESA!$C$2="Criação Baseline"),0,
   IF(VLOOKUP($T113, CONTRATOS!B:E, 3, FALSE)&lt;&gt;"",1,IF(VLOOKUP($T113, CONTRATOS!B:E, 4, FALSE)&lt;&gt;"",2,0)))</f>
        <v>0</v>
      </c>
      <c r="W113" s="248"/>
      <c r="X113" s="248"/>
      <c r="Y113" s="249"/>
      <c r="Z113" s="250"/>
      <c r="AA113" s="251"/>
      <c r="AB113" s="252"/>
      <c r="AC113" s="253"/>
      <c r="AD113" s="251"/>
      <c r="AE113" s="254" t="str">
        <f t="shared" si="49"/>
        <v/>
      </c>
      <c r="AF113" s="256" t="str">
        <f t="shared" si="60"/>
        <v/>
      </c>
      <c r="AG113" s="293" t="s">
        <v>62</v>
      </c>
      <c r="AH113" s="294" t="str">
        <f t="shared" si="61"/>
        <v/>
      </c>
      <c r="AI113" s="294" t="str">
        <f t="shared" si="62"/>
        <v/>
      </c>
      <c r="AJ113" s="295" t="str">
        <f t="shared" si="63"/>
        <v/>
      </c>
      <c r="AK113" s="296" t="str">
        <f t="shared" si="64"/>
        <v/>
      </c>
      <c r="AL113" s="297" t="str">
        <f t="shared" si="65"/>
        <v/>
      </c>
      <c r="AM113" s="294" t="str">
        <f t="shared" si="66"/>
        <v/>
      </c>
      <c r="AN113" s="294" t="str">
        <f t="shared" si="67"/>
        <v/>
      </c>
      <c r="AO113" s="298" t="str">
        <f t="shared" si="68"/>
        <v/>
      </c>
      <c r="AP113" s="299" t="str">
        <f t="shared" si="69"/>
        <v/>
      </c>
      <c r="AQ113" s="299" t="str">
        <f t="shared" si="70"/>
        <v/>
      </c>
      <c r="AR113" s="300" t="str">
        <f t="shared" si="50"/>
        <v/>
      </c>
      <c r="AS113" s="300" t="str">
        <f t="shared" si="51"/>
        <v/>
      </c>
      <c r="AT113" s="294" t="str">
        <f t="shared" si="52"/>
        <v/>
      </c>
      <c r="AU113" s="301" t="str">
        <f>IF(OR($B113="", $AP113= ""),"",IF(VLOOKUP($AP113, CONTRATOS!B:K,3,FALSE)="","",VLOOKUP($AP113, CONTRATOS!B:K, 3,FALSE)))</f>
        <v/>
      </c>
      <c r="AV113" s="301" t="str">
        <f>IF(OR($B113="", $AP113 = ""), "", IF(VLOOKUP($AP113, CONTRATOS!B:K,4,FALSE)="","",VLOOKUP($AP113, CONTRATOS!B:K,4, FALSE)))</f>
        <v/>
      </c>
      <c r="AW113" s="302" t="str">
        <f t="shared" si="53"/>
        <v/>
      </c>
      <c r="AX113" s="301" t="str">
        <f t="shared" si="54"/>
        <v/>
      </c>
      <c r="AY113" s="301" t="str">
        <f t="shared" si="55"/>
        <v/>
      </c>
      <c r="AZ113" s="301" t="str">
        <f t="shared" si="56"/>
        <v/>
      </c>
      <c r="BA113" s="301" t="str">
        <f t="shared" si="57"/>
        <v/>
      </c>
      <c r="BB113" s="303">
        <f t="shared" si="71"/>
        <v>0</v>
      </c>
      <c r="BC113" s="303" t="str">
        <f t="shared" si="72"/>
        <v/>
      </c>
      <c r="BD113" s="303" t="str">
        <f t="shared" si="73"/>
        <v/>
      </c>
      <c r="BF113" s="304">
        <f t="shared" si="74"/>
        <v>0</v>
      </c>
      <c r="BG113" s="304">
        <f t="shared" si="75"/>
        <v>0</v>
      </c>
      <c r="BH113" s="304" t="str">
        <f>IF( $B113="", "", IF(ISNA(VLOOKUP($C113, Defesa!$C$8:$C$30,1,FALSE)),1,0))</f>
        <v/>
      </c>
      <c r="BI113" s="305" t="str">
        <f t="shared" si="76"/>
        <v/>
      </c>
      <c r="BJ113" s="305" t="str">
        <f t="shared" si="77"/>
        <v/>
      </c>
      <c r="BK113" s="304" t="str">
        <f t="shared" si="78"/>
        <v/>
      </c>
      <c r="BL113" s="304">
        <f t="shared" si="79"/>
        <v>0</v>
      </c>
      <c r="BM113" s="304" t="str">
        <f>IF($AC113="", "", IF(ISNA(VLOOKUP($AC113, TABELAS!$Q:$Q, 1, FALSE)), 1, 0))</f>
        <v/>
      </c>
      <c r="BN113" s="306" t="str">
        <f t="shared" si="80"/>
        <v/>
      </c>
      <c r="BO113" s="304" t="str">
        <f t="shared" si="81"/>
        <v/>
      </c>
      <c r="BP113" s="304" t="str">
        <f t="shared" si="82"/>
        <v/>
      </c>
      <c r="BQ113" s="305" t="str">
        <f t="shared" si="83"/>
        <v/>
      </c>
      <c r="BR113" s="304" t="str">
        <f t="shared" si="84"/>
        <v/>
      </c>
      <c r="BS113" s="304" t="str">
        <f t="shared" si="85"/>
        <v/>
      </c>
      <c r="BT113" s="304" t="str">
        <f>IF(OR($B113="", $AH113 = "SIM"), "", IF( ISNA(VLOOKUP($AP113,#REF!, 1, FALSE)), 1, 0))</f>
        <v/>
      </c>
      <c r="BU113" s="304" t="str">
        <f t="shared" si="86"/>
        <v/>
      </c>
      <c r="BV113" s="304" t="str">
        <f>IF( $B113="", "", IF( ISNA(VLOOKUP($AN113, TABELAS!$T$2:$T$9,1,FALSE)), 1, 0))</f>
        <v/>
      </c>
      <c r="BW113" s="304" t="str">
        <f t="shared" si="87"/>
        <v/>
      </c>
      <c r="BX113" s="304" t="str">
        <f>IF( OR($B113="", $AH113 = "SIM"), "", IF( ISNA( VLOOKUP( $AQ113, SISTEMA!$B:$B, 1, FALSE)), 1, 0))</f>
        <v/>
      </c>
      <c r="BY113" s="305" t="str">
        <f t="shared" si="88"/>
        <v/>
      </c>
      <c r="BZ113" s="305" t="str">
        <f t="shared" si="89"/>
        <v/>
      </c>
      <c r="CA113" s="304" t="str">
        <f t="shared" si="90"/>
        <v/>
      </c>
      <c r="CB113" s="305" t="str">
        <f t="shared" si="91"/>
        <v/>
      </c>
      <c r="CC113" s="305" t="str">
        <f t="shared" si="92"/>
        <v/>
      </c>
      <c r="CD113" s="305" t="str">
        <f t="shared" si="93"/>
        <v/>
      </c>
    </row>
    <row r="114" spans="1:82" x14ac:dyDescent="0.2">
      <c r="A114" s="235"/>
      <c r="B114" s="236" t="str">
        <f t="shared" si="58"/>
        <v/>
      </c>
      <c r="C114" s="237" t="str">
        <f t="shared" si="48"/>
        <v/>
      </c>
      <c r="D114" s="237" t="str">
        <f t="shared" si="59"/>
        <v/>
      </c>
      <c r="E114" s="237" t="str">
        <f>IF($C114="", "", COUNTIF($M$8:$M114,$D114))</f>
        <v/>
      </c>
      <c r="F114" s="238">
        <v>107</v>
      </c>
      <c r="G114" s="239"/>
      <c r="H114" s="240"/>
      <c r="I114" s="240"/>
      <c r="J114" s="241"/>
      <c r="K114" s="240"/>
      <c r="L114" s="240"/>
      <c r="M114" s="240"/>
      <c r="N114" s="242"/>
      <c r="O114" s="243"/>
      <c r="P114" s="243"/>
      <c r="Q114" s="243"/>
      <c r="R114" s="243"/>
      <c r="S114" s="243"/>
      <c r="T114" s="245"/>
      <c r="U114" s="246" t="str">
        <f>IF($T114="", "", VLOOKUP($T114, CONTRATOS!$B:$E, 2, FALSE))</f>
        <v/>
      </c>
      <c r="V114" s="247">
        <f>IF(OR($T114="",TB_DEFESA!$C$2="Criação Baseline"),0,
   IF(VLOOKUP($T114, CONTRATOS!B:E, 3, FALSE)&lt;&gt;"",1,IF(VLOOKUP($T114, CONTRATOS!B:E, 4, FALSE)&lt;&gt;"",2,0)))</f>
        <v>0</v>
      </c>
      <c r="W114" s="248"/>
      <c r="X114" s="248"/>
      <c r="Y114" s="249"/>
      <c r="Z114" s="250"/>
      <c r="AA114" s="251"/>
      <c r="AB114" s="252"/>
      <c r="AC114" s="253"/>
      <c r="AD114" s="251"/>
      <c r="AE114" s="254" t="str">
        <f t="shared" si="49"/>
        <v/>
      </c>
      <c r="AF114" s="256" t="str">
        <f t="shared" si="60"/>
        <v/>
      </c>
      <c r="AG114" s="293" t="s">
        <v>62</v>
      </c>
      <c r="AH114" s="294" t="str">
        <f t="shared" si="61"/>
        <v/>
      </c>
      <c r="AI114" s="294" t="str">
        <f t="shared" si="62"/>
        <v/>
      </c>
      <c r="AJ114" s="295" t="str">
        <f t="shared" si="63"/>
        <v/>
      </c>
      <c r="AK114" s="296" t="str">
        <f t="shared" si="64"/>
        <v/>
      </c>
      <c r="AL114" s="297" t="str">
        <f t="shared" si="65"/>
        <v/>
      </c>
      <c r="AM114" s="294" t="str">
        <f t="shared" si="66"/>
        <v/>
      </c>
      <c r="AN114" s="294" t="str">
        <f t="shared" si="67"/>
        <v/>
      </c>
      <c r="AO114" s="298" t="str">
        <f t="shared" si="68"/>
        <v/>
      </c>
      <c r="AP114" s="299" t="str">
        <f t="shared" si="69"/>
        <v/>
      </c>
      <c r="AQ114" s="299" t="str">
        <f t="shared" si="70"/>
        <v/>
      </c>
      <c r="AR114" s="300" t="str">
        <f t="shared" si="50"/>
        <v/>
      </c>
      <c r="AS114" s="300" t="str">
        <f t="shared" si="51"/>
        <v/>
      </c>
      <c r="AT114" s="294" t="str">
        <f t="shared" si="52"/>
        <v/>
      </c>
      <c r="AU114" s="301" t="str">
        <f>IF(OR($B114="", $AP114= ""),"",IF(VLOOKUP($AP114, CONTRATOS!B:K,3,FALSE)="","",VLOOKUP($AP114, CONTRATOS!B:K, 3,FALSE)))</f>
        <v/>
      </c>
      <c r="AV114" s="301" t="str">
        <f>IF(OR($B114="", $AP114 = ""), "", IF(VLOOKUP($AP114, CONTRATOS!B:K,4,FALSE)="","",VLOOKUP($AP114, CONTRATOS!B:K,4, FALSE)))</f>
        <v/>
      </c>
      <c r="AW114" s="302" t="str">
        <f t="shared" si="53"/>
        <v/>
      </c>
      <c r="AX114" s="301" t="str">
        <f t="shared" si="54"/>
        <v/>
      </c>
      <c r="AY114" s="301" t="str">
        <f t="shared" si="55"/>
        <v/>
      </c>
      <c r="AZ114" s="301" t="str">
        <f t="shared" si="56"/>
        <v/>
      </c>
      <c r="BA114" s="301" t="str">
        <f t="shared" si="57"/>
        <v/>
      </c>
      <c r="BB114" s="303">
        <f t="shared" si="71"/>
        <v>0</v>
      </c>
      <c r="BC114" s="303" t="str">
        <f t="shared" si="72"/>
        <v/>
      </c>
      <c r="BD114" s="303" t="str">
        <f t="shared" si="73"/>
        <v/>
      </c>
      <c r="BF114" s="304">
        <f t="shared" si="74"/>
        <v>0</v>
      </c>
      <c r="BG114" s="304">
        <f t="shared" si="75"/>
        <v>0</v>
      </c>
      <c r="BH114" s="304" t="str">
        <f>IF( $B114="", "", IF(ISNA(VLOOKUP($C114, Defesa!$C$8:$C$30,1,FALSE)),1,0))</f>
        <v/>
      </c>
      <c r="BI114" s="305" t="str">
        <f t="shared" si="76"/>
        <v/>
      </c>
      <c r="BJ114" s="305" t="str">
        <f t="shared" si="77"/>
        <v/>
      </c>
      <c r="BK114" s="304" t="str">
        <f t="shared" si="78"/>
        <v/>
      </c>
      <c r="BL114" s="304">
        <f t="shared" si="79"/>
        <v>0</v>
      </c>
      <c r="BM114" s="304" t="str">
        <f>IF($AC114="", "", IF(ISNA(VLOOKUP($AC114, TABELAS!$Q:$Q, 1, FALSE)), 1, 0))</f>
        <v/>
      </c>
      <c r="BN114" s="306" t="str">
        <f t="shared" si="80"/>
        <v/>
      </c>
      <c r="BO114" s="304" t="str">
        <f t="shared" si="81"/>
        <v/>
      </c>
      <c r="BP114" s="304" t="str">
        <f t="shared" si="82"/>
        <v/>
      </c>
      <c r="BQ114" s="305" t="str">
        <f t="shared" si="83"/>
        <v/>
      </c>
      <c r="BR114" s="304" t="str">
        <f t="shared" si="84"/>
        <v/>
      </c>
      <c r="BS114" s="304" t="str">
        <f t="shared" si="85"/>
        <v/>
      </c>
      <c r="BT114" s="304" t="str">
        <f>IF(OR($B114="", $AH114 = "SIM"), "", IF( ISNA(VLOOKUP($AP114,#REF!, 1, FALSE)), 1, 0))</f>
        <v/>
      </c>
      <c r="BU114" s="304" t="str">
        <f t="shared" si="86"/>
        <v/>
      </c>
      <c r="BV114" s="304" t="str">
        <f>IF( $B114="", "", IF( ISNA(VLOOKUP($AN114, TABELAS!$T$2:$T$9,1,FALSE)), 1, 0))</f>
        <v/>
      </c>
      <c r="BW114" s="304" t="str">
        <f t="shared" si="87"/>
        <v/>
      </c>
      <c r="BX114" s="304" t="str">
        <f>IF( OR($B114="", $AH114 = "SIM"), "", IF( ISNA( VLOOKUP( $AQ114, SISTEMA!$B:$B, 1, FALSE)), 1, 0))</f>
        <v/>
      </c>
      <c r="BY114" s="305" t="str">
        <f t="shared" si="88"/>
        <v/>
      </c>
      <c r="BZ114" s="305" t="str">
        <f t="shared" si="89"/>
        <v/>
      </c>
      <c r="CA114" s="304" t="str">
        <f t="shared" si="90"/>
        <v/>
      </c>
      <c r="CB114" s="305" t="str">
        <f t="shared" si="91"/>
        <v/>
      </c>
      <c r="CC114" s="305" t="str">
        <f t="shared" si="92"/>
        <v/>
      </c>
      <c r="CD114" s="305" t="str">
        <f t="shared" si="93"/>
        <v/>
      </c>
    </row>
    <row r="115" spans="1:82" x14ac:dyDescent="0.2">
      <c r="A115" s="235"/>
      <c r="B115" s="236" t="str">
        <f t="shared" si="58"/>
        <v/>
      </c>
      <c r="C115" s="237" t="str">
        <f t="shared" si="48"/>
        <v/>
      </c>
      <c r="D115" s="237" t="str">
        <f t="shared" si="59"/>
        <v/>
      </c>
      <c r="E115" s="237" t="str">
        <f>IF($C115="", "", COUNTIF($M$8:$M115,$D115))</f>
        <v/>
      </c>
      <c r="F115" s="238">
        <v>108</v>
      </c>
      <c r="G115" s="239"/>
      <c r="H115" s="240"/>
      <c r="I115" s="240"/>
      <c r="J115" s="241"/>
      <c r="K115" s="240"/>
      <c r="L115" s="240"/>
      <c r="M115" s="240"/>
      <c r="N115" s="242"/>
      <c r="O115" s="243"/>
      <c r="P115" s="243"/>
      <c r="Q115" s="243"/>
      <c r="R115" s="243"/>
      <c r="S115" s="243"/>
      <c r="T115" s="245"/>
      <c r="U115" s="246" t="str">
        <f>IF($T115="", "", VLOOKUP($T115, CONTRATOS!$B:$E, 2, FALSE))</f>
        <v/>
      </c>
      <c r="V115" s="247">
        <f>IF(OR($T115="",TB_DEFESA!$C$2="Criação Baseline"),0,
   IF(VLOOKUP($T115, CONTRATOS!B:E, 3, FALSE)&lt;&gt;"",1,IF(VLOOKUP($T115, CONTRATOS!B:E, 4, FALSE)&lt;&gt;"",2,0)))</f>
        <v>0</v>
      </c>
      <c r="W115" s="248"/>
      <c r="X115" s="248"/>
      <c r="Y115" s="249"/>
      <c r="Z115" s="250"/>
      <c r="AA115" s="251"/>
      <c r="AB115" s="252"/>
      <c r="AC115" s="253"/>
      <c r="AD115" s="251"/>
      <c r="AE115" s="254" t="str">
        <f t="shared" si="49"/>
        <v/>
      </c>
      <c r="AF115" s="256" t="str">
        <f t="shared" si="60"/>
        <v/>
      </c>
      <c r="AG115" s="293" t="s">
        <v>62</v>
      </c>
      <c r="AH115" s="294" t="str">
        <f t="shared" si="61"/>
        <v/>
      </c>
      <c r="AI115" s="294" t="str">
        <f t="shared" si="62"/>
        <v/>
      </c>
      <c r="AJ115" s="295" t="str">
        <f t="shared" si="63"/>
        <v/>
      </c>
      <c r="AK115" s="296" t="str">
        <f t="shared" si="64"/>
        <v/>
      </c>
      <c r="AL115" s="297" t="str">
        <f t="shared" si="65"/>
        <v/>
      </c>
      <c r="AM115" s="294" t="str">
        <f t="shared" si="66"/>
        <v/>
      </c>
      <c r="AN115" s="294" t="str">
        <f t="shared" si="67"/>
        <v/>
      </c>
      <c r="AO115" s="298" t="str">
        <f t="shared" si="68"/>
        <v/>
      </c>
      <c r="AP115" s="299" t="str">
        <f t="shared" si="69"/>
        <v/>
      </c>
      <c r="AQ115" s="299" t="str">
        <f t="shared" si="70"/>
        <v/>
      </c>
      <c r="AR115" s="300" t="str">
        <f t="shared" si="50"/>
        <v/>
      </c>
      <c r="AS115" s="300" t="str">
        <f t="shared" si="51"/>
        <v/>
      </c>
      <c r="AT115" s="294" t="str">
        <f t="shared" si="52"/>
        <v/>
      </c>
      <c r="AU115" s="301" t="str">
        <f>IF(OR($B115="", $AP115= ""),"",IF(VLOOKUP($AP115, CONTRATOS!B:K,3,FALSE)="","",VLOOKUP($AP115, CONTRATOS!B:K, 3,FALSE)))</f>
        <v/>
      </c>
      <c r="AV115" s="301" t="str">
        <f>IF(OR($B115="", $AP115 = ""), "", IF(VLOOKUP($AP115, CONTRATOS!B:K,4,FALSE)="","",VLOOKUP($AP115, CONTRATOS!B:K,4, FALSE)))</f>
        <v/>
      </c>
      <c r="AW115" s="302" t="str">
        <f t="shared" si="53"/>
        <v/>
      </c>
      <c r="AX115" s="301" t="str">
        <f t="shared" si="54"/>
        <v/>
      </c>
      <c r="AY115" s="301" t="str">
        <f t="shared" si="55"/>
        <v/>
      </c>
      <c r="AZ115" s="301" t="str">
        <f t="shared" si="56"/>
        <v/>
      </c>
      <c r="BA115" s="301" t="str">
        <f t="shared" si="57"/>
        <v/>
      </c>
      <c r="BB115" s="303">
        <f t="shared" si="71"/>
        <v>0</v>
      </c>
      <c r="BC115" s="303" t="str">
        <f t="shared" si="72"/>
        <v/>
      </c>
      <c r="BD115" s="303" t="str">
        <f t="shared" si="73"/>
        <v/>
      </c>
      <c r="BF115" s="304">
        <f t="shared" si="74"/>
        <v>0</v>
      </c>
      <c r="BG115" s="304">
        <f t="shared" si="75"/>
        <v>0</v>
      </c>
      <c r="BH115" s="304" t="str">
        <f>IF( $B115="", "", IF(ISNA(VLOOKUP($C115, Defesa!$C$8:$C$30,1,FALSE)),1,0))</f>
        <v/>
      </c>
      <c r="BI115" s="305" t="str">
        <f t="shared" si="76"/>
        <v/>
      </c>
      <c r="BJ115" s="305" t="str">
        <f t="shared" si="77"/>
        <v/>
      </c>
      <c r="BK115" s="304" t="str">
        <f t="shared" si="78"/>
        <v/>
      </c>
      <c r="BL115" s="304">
        <f t="shared" si="79"/>
        <v>0</v>
      </c>
      <c r="BM115" s="304" t="str">
        <f>IF($AC115="", "", IF(ISNA(VLOOKUP($AC115, TABELAS!$Q:$Q, 1, FALSE)), 1, 0))</f>
        <v/>
      </c>
      <c r="BN115" s="306" t="str">
        <f t="shared" si="80"/>
        <v/>
      </c>
      <c r="BO115" s="304" t="str">
        <f t="shared" si="81"/>
        <v/>
      </c>
      <c r="BP115" s="304" t="str">
        <f t="shared" si="82"/>
        <v/>
      </c>
      <c r="BQ115" s="305" t="str">
        <f t="shared" si="83"/>
        <v/>
      </c>
      <c r="BR115" s="304" t="str">
        <f t="shared" si="84"/>
        <v/>
      </c>
      <c r="BS115" s="304" t="str">
        <f t="shared" si="85"/>
        <v/>
      </c>
      <c r="BT115" s="304" t="str">
        <f>IF(OR($B115="", $AH115 = "SIM"), "", IF( ISNA(VLOOKUP($AP115,#REF!, 1, FALSE)), 1, 0))</f>
        <v/>
      </c>
      <c r="BU115" s="304" t="str">
        <f t="shared" si="86"/>
        <v/>
      </c>
      <c r="BV115" s="304" t="str">
        <f>IF( $B115="", "", IF( ISNA(VLOOKUP($AN115, TABELAS!$T$2:$T$9,1,FALSE)), 1, 0))</f>
        <v/>
      </c>
      <c r="BW115" s="304" t="str">
        <f t="shared" si="87"/>
        <v/>
      </c>
      <c r="BX115" s="304" t="str">
        <f>IF( OR($B115="", $AH115 = "SIM"), "", IF( ISNA( VLOOKUP( $AQ115, SISTEMA!$B:$B, 1, FALSE)), 1, 0))</f>
        <v/>
      </c>
      <c r="BY115" s="305" t="str">
        <f t="shared" si="88"/>
        <v/>
      </c>
      <c r="BZ115" s="305" t="str">
        <f t="shared" si="89"/>
        <v/>
      </c>
      <c r="CA115" s="304" t="str">
        <f t="shared" si="90"/>
        <v/>
      </c>
      <c r="CB115" s="305" t="str">
        <f t="shared" si="91"/>
        <v/>
      </c>
      <c r="CC115" s="305" t="str">
        <f t="shared" si="92"/>
        <v/>
      </c>
      <c r="CD115" s="305" t="str">
        <f t="shared" si="93"/>
        <v/>
      </c>
    </row>
    <row r="116" spans="1:82" x14ac:dyDescent="0.2">
      <c r="A116" s="235"/>
      <c r="B116" s="236" t="str">
        <f t="shared" si="58"/>
        <v/>
      </c>
      <c r="C116" s="237" t="str">
        <f t="shared" si="48"/>
        <v/>
      </c>
      <c r="D116" s="237" t="str">
        <f t="shared" si="59"/>
        <v/>
      </c>
      <c r="E116" s="237" t="str">
        <f>IF($C116="", "", COUNTIF($M$8:$M116,$D116))</f>
        <v/>
      </c>
      <c r="F116" s="238">
        <v>109</v>
      </c>
      <c r="G116" s="239"/>
      <c r="H116" s="240"/>
      <c r="I116" s="240"/>
      <c r="J116" s="241"/>
      <c r="K116" s="240"/>
      <c r="L116" s="240"/>
      <c r="M116" s="240"/>
      <c r="N116" s="242"/>
      <c r="O116" s="243"/>
      <c r="P116" s="243"/>
      <c r="Q116" s="243"/>
      <c r="R116" s="243"/>
      <c r="S116" s="243"/>
      <c r="T116" s="245"/>
      <c r="U116" s="246" t="str">
        <f>IF($T116="", "", VLOOKUP($T116, CONTRATOS!$B:$E, 2, FALSE))</f>
        <v/>
      </c>
      <c r="V116" s="247">
        <f>IF(OR($T116="",TB_DEFESA!$C$2="Criação Baseline"),0,
   IF(VLOOKUP($T116, CONTRATOS!B:E, 3, FALSE)&lt;&gt;"",1,IF(VLOOKUP($T116, CONTRATOS!B:E, 4, FALSE)&lt;&gt;"",2,0)))</f>
        <v>0</v>
      </c>
      <c r="W116" s="248"/>
      <c r="X116" s="248"/>
      <c r="Y116" s="249"/>
      <c r="Z116" s="250"/>
      <c r="AA116" s="251"/>
      <c r="AB116" s="252"/>
      <c r="AC116" s="253"/>
      <c r="AD116" s="251"/>
      <c r="AE116" s="254" t="str">
        <f t="shared" si="49"/>
        <v/>
      </c>
      <c r="AF116" s="256" t="str">
        <f t="shared" si="60"/>
        <v/>
      </c>
      <c r="AG116" s="293" t="s">
        <v>62</v>
      </c>
      <c r="AH116" s="294" t="str">
        <f t="shared" si="61"/>
        <v/>
      </c>
      <c r="AI116" s="294" t="str">
        <f t="shared" si="62"/>
        <v/>
      </c>
      <c r="AJ116" s="295" t="str">
        <f t="shared" si="63"/>
        <v/>
      </c>
      <c r="AK116" s="296" t="str">
        <f t="shared" si="64"/>
        <v/>
      </c>
      <c r="AL116" s="297" t="str">
        <f t="shared" si="65"/>
        <v/>
      </c>
      <c r="AM116" s="294" t="str">
        <f t="shared" si="66"/>
        <v/>
      </c>
      <c r="AN116" s="294" t="str">
        <f t="shared" si="67"/>
        <v/>
      </c>
      <c r="AO116" s="298" t="str">
        <f t="shared" si="68"/>
        <v/>
      </c>
      <c r="AP116" s="299" t="str">
        <f t="shared" si="69"/>
        <v/>
      </c>
      <c r="AQ116" s="299" t="str">
        <f t="shared" si="70"/>
        <v/>
      </c>
      <c r="AR116" s="300" t="str">
        <f t="shared" si="50"/>
        <v/>
      </c>
      <c r="AS116" s="300" t="str">
        <f t="shared" si="51"/>
        <v/>
      </c>
      <c r="AT116" s="294" t="str">
        <f t="shared" si="52"/>
        <v/>
      </c>
      <c r="AU116" s="301" t="str">
        <f>IF(OR($B116="", $AP116= ""),"",IF(VLOOKUP($AP116, CONTRATOS!B:K,3,FALSE)="","",VLOOKUP($AP116, CONTRATOS!B:K, 3,FALSE)))</f>
        <v/>
      </c>
      <c r="AV116" s="301" t="str">
        <f>IF(OR($B116="", $AP116 = ""), "", IF(VLOOKUP($AP116, CONTRATOS!B:K,4,FALSE)="","",VLOOKUP($AP116, CONTRATOS!B:K,4, FALSE)))</f>
        <v/>
      </c>
      <c r="AW116" s="302" t="str">
        <f t="shared" si="53"/>
        <v/>
      </c>
      <c r="AX116" s="301" t="str">
        <f t="shared" si="54"/>
        <v/>
      </c>
      <c r="AY116" s="301" t="str">
        <f t="shared" si="55"/>
        <v/>
      </c>
      <c r="AZ116" s="301" t="str">
        <f t="shared" si="56"/>
        <v/>
      </c>
      <c r="BA116" s="301" t="str">
        <f t="shared" si="57"/>
        <v/>
      </c>
      <c r="BB116" s="303">
        <f t="shared" si="71"/>
        <v>0</v>
      </c>
      <c r="BC116" s="303" t="str">
        <f t="shared" si="72"/>
        <v/>
      </c>
      <c r="BD116" s="303" t="str">
        <f t="shared" si="73"/>
        <v/>
      </c>
      <c r="BF116" s="304">
        <f t="shared" si="74"/>
        <v>0</v>
      </c>
      <c r="BG116" s="304">
        <f t="shared" si="75"/>
        <v>0</v>
      </c>
      <c r="BH116" s="304" t="str">
        <f>IF( $B116="", "", IF(ISNA(VLOOKUP($C116, Defesa!$C$8:$C$30,1,FALSE)),1,0))</f>
        <v/>
      </c>
      <c r="BI116" s="305" t="str">
        <f t="shared" si="76"/>
        <v/>
      </c>
      <c r="BJ116" s="305" t="str">
        <f t="shared" si="77"/>
        <v/>
      </c>
      <c r="BK116" s="304" t="str">
        <f t="shared" si="78"/>
        <v/>
      </c>
      <c r="BL116" s="304">
        <f t="shared" si="79"/>
        <v>0</v>
      </c>
      <c r="BM116" s="304" t="str">
        <f>IF($AC116="", "", IF(ISNA(VLOOKUP($AC116, TABELAS!$Q:$Q, 1, FALSE)), 1, 0))</f>
        <v/>
      </c>
      <c r="BN116" s="306" t="str">
        <f t="shared" si="80"/>
        <v/>
      </c>
      <c r="BO116" s="304" t="str">
        <f t="shared" si="81"/>
        <v/>
      </c>
      <c r="BP116" s="304" t="str">
        <f t="shared" si="82"/>
        <v/>
      </c>
      <c r="BQ116" s="305" t="str">
        <f t="shared" si="83"/>
        <v/>
      </c>
      <c r="BR116" s="304" t="str">
        <f t="shared" si="84"/>
        <v/>
      </c>
      <c r="BS116" s="304" t="str">
        <f t="shared" si="85"/>
        <v/>
      </c>
      <c r="BT116" s="304" t="str">
        <f>IF(OR($B116="", $AH116 = "SIM"), "", IF( ISNA(VLOOKUP($AP116,#REF!, 1, FALSE)), 1, 0))</f>
        <v/>
      </c>
      <c r="BU116" s="304" t="str">
        <f t="shared" si="86"/>
        <v/>
      </c>
      <c r="BV116" s="304" t="str">
        <f>IF( $B116="", "", IF( ISNA(VLOOKUP($AN116, TABELAS!$T$2:$T$9,1,FALSE)), 1, 0))</f>
        <v/>
      </c>
      <c r="BW116" s="304" t="str">
        <f t="shared" si="87"/>
        <v/>
      </c>
      <c r="BX116" s="304" t="str">
        <f>IF( OR($B116="", $AH116 = "SIM"), "", IF( ISNA( VLOOKUP( $AQ116, SISTEMA!$B:$B, 1, FALSE)), 1, 0))</f>
        <v/>
      </c>
      <c r="BY116" s="305" t="str">
        <f t="shared" si="88"/>
        <v/>
      </c>
      <c r="BZ116" s="305" t="str">
        <f t="shared" si="89"/>
        <v/>
      </c>
      <c r="CA116" s="304" t="str">
        <f t="shared" si="90"/>
        <v/>
      </c>
      <c r="CB116" s="305" t="str">
        <f t="shared" si="91"/>
        <v/>
      </c>
      <c r="CC116" s="305" t="str">
        <f t="shared" si="92"/>
        <v/>
      </c>
      <c r="CD116" s="305" t="str">
        <f t="shared" si="93"/>
        <v/>
      </c>
    </row>
    <row r="117" spans="1:82" x14ac:dyDescent="0.2">
      <c r="A117" s="235"/>
      <c r="B117" s="236" t="str">
        <f t="shared" si="58"/>
        <v/>
      </c>
      <c r="C117" s="237" t="str">
        <f t="shared" si="48"/>
        <v/>
      </c>
      <c r="D117" s="237" t="str">
        <f t="shared" si="59"/>
        <v/>
      </c>
      <c r="E117" s="237" t="str">
        <f>IF($C117="", "", COUNTIF($M$8:$M117,$D117))</f>
        <v/>
      </c>
      <c r="F117" s="238">
        <v>110</v>
      </c>
      <c r="G117" s="239"/>
      <c r="H117" s="240"/>
      <c r="I117" s="240"/>
      <c r="J117" s="241"/>
      <c r="K117" s="240"/>
      <c r="L117" s="240"/>
      <c r="M117" s="240"/>
      <c r="N117" s="242"/>
      <c r="O117" s="243"/>
      <c r="P117" s="243"/>
      <c r="Q117" s="243"/>
      <c r="R117" s="243"/>
      <c r="S117" s="243"/>
      <c r="T117" s="245"/>
      <c r="U117" s="246" t="str">
        <f>IF($T117="", "", VLOOKUP($T117, CONTRATOS!$B:$E, 2, FALSE))</f>
        <v/>
      </c>
      <c r="V117" s="247">
        <f>IF(OR($T117="",TB_DEFESA!$C$2="Criação Baseline"),0,
   IF(VLOOKUP($T117, CONTRATOS!B:E, 3, FALSE)&lt;&gt;"",1,IF(VLOOKUP($T117, CONTRATOS!B:E, 4, FALSE)&lt;&gt;"",2,0)))</f>
        <v>0</v>
      </c>
      <c r="W117" s="248"/>
      <c r="X117" s="248"/>
      <c r="Y117" s="249"/>
      <c r="Z117" s="250"/>
      <c r="AA117" s="251"/>
      <c r="AB117" s="252"/>
      <c r="AC117" s="253"/>
      <c r="AD117" s="251"/>
      <c r="AE117" s="254" t="str">
        <f t="shared" si="49"/>
        <v/>
      </c>
      <c r="AF117" s="256" t="str">
        <f t="shared" si="60"/>
        <v/>
      </c>
      <c r="AG117" s="293" t="s">
        <v>62</v>
      </c>
      <c r="AH117" s="294" t="str">
        <f t="shared" si="61"/>
        <v/>
      </c>
      <c r="AI117" s="294" t="str">
        <f t="shared" si="62"/>
        <v/>
      </c>
      <c r="AJ117" s="295" t="str">
        <f t="shared" si="63"/>
        <v/>
      </c>
      <c r="AK117" s="296" t="str">
        <f t="shared" si="64"/>
        <v/>
      </c>
      <c r="AL117" s="297" t="str">
        <f t="shared" si="65"/>
        <v/>
      </c>
      <c r="AM117" s="294" t="str">
        <f t="shared" si="66"/>
        <v/>
      </c>
      <c r="AN117" s="294" t="str">
        <f t="shared" si="67"/>
        <v/>
      </c>
      <c r="AO117" s="298" t="str">
        <f t="shared" si="68"/>
        <v/>
      </c>
      <c r="AP117" s="299" t="str">
        <f t="shared" si="69"/>
        <v/>
      </c>
      <c r="AQ117" s="299" t="str">
        <f t="shared" si="70"/>
        <v/>
      </c>
      <c r="AR117" s="300" t="str">
        <f t="shared" si="50"/>
        <v/>
      </c>
      <c r="AS117" s="300" t="str">
        <f t="shared" si="51"/>
        <v/>
      </c>
      <c r="AT117" s="294" t="str">
        <f t="shared" si="52"/>
        <v/>
      </c>
      <c r="AU117" s="301" t="str">
        <f>IF(OR($B117="", $AP117= ""),"",IF(VLOOKUP($AP117, CONTRATOS!B:K,3,FALSE)="","",VLOOKUP($AP117, CONTRATOS!B:K, 3,FALSE)))</f>
        <v/>
      </c>
      <c r="AV117" s="301" t="str">
        <f>IF(OR($B117="", $AP117 = ""), "", IF(VLOOKUP($AP117, CONTRATOS!B:K,4,FALSE)="","",VLOOKUP($AP117, CONTRATOS!B:K,4, FALSE)))</f>
        <v/>
      </c>
      <c r="AW117" s="302" t="str">
        <f t="shared" si="53"/>
        <v/>
      </c>
      <c r="AX117" s="301" t="str">
        <f t="shared" si="54"/>
        <v/>
      </c>
      <c r="AY117" s="301" t="str">
        <f t="shared" si="55"/>
        <v/>
      </c>
      <c r="AZ117" s="301" t="str">
        <f t="shared" si="56"/>
        <v/>
      </c>
      <c r="BA117" s="301" t="str">
        <f t="shared" si="57"/>
        <v/>
      </c>
      <c r="BB117" s="303">
        <f t="shared" si="71"/>
        <v>0</v>
      </c>
      <c r="BC117" s="303" t="str">
        <f t="shared" si="72"/>
        <v/>
      </c>
      <c r="BD117" s="303" t="str">
        <f t="shared" si="73"/>
        <v/>
      </c>
      <c r="BF117" s="304">
        <f t="shared" si="74"/>
        <v>0</v>
      </c>
      <c r="BG117" s="304">
        <f t="shared" si="75"/>
        <v>0</v>
      </c>
      <c r="BH117" s="304" t="str">
        <f>IF( $B117="", "", IF(ISNA(VLOOKUP($C117, Defesa!$C$8:$C$30,1,FALSE)),1,0))</f>
        <v/>
      </c>
      <c r="BI117" s="305" t="str">
        <f t="shared" si="76"/>
        <v/>
      </c>
      <c r="BJ117" s="305" t="str">
        <f t="shared" si="77"/>
        <v/>
      </c>
      <c r="BK117" s="304" t="str">
        <f t="shared" si="78"/>
        <v/>
      </c>
      <c r="BL117" s="304">
        <f t="shared" si="79"/>
        <v>0</v>
      </c>
      <c r="BM117" s="304" t="str">
        <f>IF($AC117="", "", IF(ISNA(VLOOKUP($AC117, TABELAS!$Q:$Q, 1, FALSE)), 1, 0))</f>
        <v/>
      </c>
      <c r="BN117" s="306" t="str">
        <f t="shared" si="80"/>
        <v/>
      </c>
      <c r="BO117" s="304" t="str">
        <f t="shared" si="81"/>
        <v/>
      </c>
      <c r="BP117" s="304" t="str">
        <f t="shared" si="82"/>
        <v/>
      </c>
      <c r="BQ117" s="305" t="str">
        <f t="shared" si="83"/>
        <v/>
      </c>
      <c r="BR117" s="304" t="str">
        <f t="shared" si="84"/>
        <v/>
      </c>
      <c r="BS117" s="304" t="str">
        <f t="shared" si="85"/>
        <v/>
      </c>
      <c r="BT117" s="304" t="str">
        <f>IF(OR($B117="", $AH117 = "SIM"), "", IF( ISNA(VLOOKUP($AP117,#REF!, 1, FALSE)), 1, 0))</f>
        <v/>
      </c>
      <c r="BU117" s="304" t="str">
        <f t="shared" si="86"/>
        <v/>
      </c>
      <c r="BV117" s="304" t="str">
        <f>IF( $B117="", "", IF( ISNA(VLOOKUP($AN117, TABELAS!$T$2:$T$9,1,FALSE)), 1, 0))</f>
        <v/>
      </c>
      <c r="BW117" s="304" t="str">
        <f t="shared" si="87"/>
        <v/>
      </c>
      <c r="BX117" s="304" t="str">
        <f>IF( OR($B117="", $AH117 = "SIM"), "", IF( ISNA( VLOOKUP( $AQ117, SISTEMA!$B:$B, 1, FALSE)), 1, 0))</f>
        <v/>
      </c>
      <c r="BY117" s="305" t="str">
        <f t="shared" si="88"/>
        <v/>
      </c>
      <c r="BZ117" s="305" t="str">
        <f t="shared" si="89"/>
        <v/>
      </c>
      <c r="CA117" s="304" t="str">
        <f t="shared" si="90"/>
        <v/>
      </c>
      <c r="CB117" s="305" t="str">
        <f t="shared" si="91"/>
        <v/>
      </c>
      <c r="CC117" s="305" t="str">
        <f t="shared" si="92"/>
        <v/>
      </c>
      <c r="CD117" s="305" t="str">
        <f t="shared" si="93"/>
        <v/>
      </c>
    </row>
    <row r="118" spans="1:82" x14ac:dyDescent="0.2">
      <c r="A118" s="235"/>
      <c r="B118" s="236" t="str">
        <f t="shared" si="58"/>
        <v/>
      </c>
      <c r="C118" s="237" t="str">
        <f t="shared" si="48"/>
        <v/>
      </c>
      <c r="D118" s="237" t="str">
        <f t="shared" si="59"/>
        <v/>
      </c>
      <c r="E118" s="237" t="str">
        <f>IF($C118="", "", COUNTIF($M$8:$M118,$D118))</f>
        <v/>
      </c>
      <c r="F118" s="238">
        <v>111</v>
      </c>
      <c r="G118" s="239"/>
      <c r="H118" s="240"/>
      <c r="I118" s="240"/>
      <c r="J118" s="241"/>
      <c r="K118" s="240"/>
      <c r="L118" s="240"/>
      <c r="M118" s="240"/>
      <c r="N118" s="242"/>
      <c r="O118" s="243"/>
      <c r="P118" s="243"/>
      <c r="Q118" s="243"/>
      <c r="R118" s="243"/>
      <c r="S118" s="243"/>
      <c r="T118" s="245"/>
      <c r="U118" s="246" t="str">
        <f>IF($T118="", "", VLOOKUP($T118, CONTRATOS!$B:$E, 2, FALSE))</f>
        <v/>
      </c>
      <c r="V118" s="247">
        <f>IF(OR($T118="",TB_DEFESA!$C$2="Criação Baseline"),0,
   IF(VLOOKUP($T118, CONTRATOS!B:E, 3, FALSE)&lt;&gt;"",1,IF(VLOOKUP($T118, CONTRATOS!B:E, 4, FALSE)&lt;&gt;"",2,0)))</f>
        <v>0</v>
      </c>
      <c r="W118" s="248"/>
      <c r="X118" s="248"/>
      <c r="Y118" s="249"/>
      <c r="Z118" s="250"/>
      <c r="AA118" s="251"/>
      <c r="AB118" s="252"/>
      <c r="AC118" s="253"/>
      <c r="AD118" s="251"/>
      <c r="AE118" s="254" t="str">
        <f t="shared" si="49"/>
        <v/>
      </c>
      <c r="AF118" s="256" t="str">
        <f t="shared" si="60"/>
        <v/>
      </c>
      <c r="AG118" s="293" t="s">
        <v>62</v>
      </c>
      <c r="AH118" s="294" t="str">
        <f t="shared" si="61"/>
        <v/>
      </c>
      <c r="AI118" s="294" t="str">
        <f t="shared" si="62"/>
        <v/>
      </c>
      <c r="AJ118" s="295" t="str">
        <f t="shared" si="63"/>
        <v/>
      </c>
      <c r="AK118" s="296" t="str">
        <f t="shared" si="64"/>
        <v/>
      </c>
      <c r="AL118" s="297" t="str">
        <f t="shared" si="65"/>
        <v/>
      </c>
      <c r="AM118" s="294" t="str">
        <f t="shared" si="66"/>
        <v/>
      </c>
      <c r="AN118" s="294" t="str">
        <f t="shared" si="67"/>
        <v/>
      </c>
      <c r="AO118" s="298" t="str">
        <f t="shared" si="68"/>
        <v/>
      </c>
      <c r="AP118" s="299" t="str">
        <f t="shared" si="69"/>
        <v/>
      </c>
      <c r="AQ118" s="299" t="str">
        <f t="shared" si="70"/>
        <v/>
      </c>
      <c r="AR118" s="300" t="str">
        <f t="shared" si="50"/>
        <v/>
      </c>
      <c r="AS118" s="300" t="str">
        <f t="shared" si="51"/>
        <v/>
      </c>
      <c r="AT118" s="294" t="str">
        <f t="shared" si="52"/>
        <v/>
      </c>
      <c r="AU118" s="301" t="str">
        <f>IF(OR($B118="", $AP118= ""),"",IF(VLOOKUP($AP118, CONTRATOS!B:K,3,FALSE)="","",VLOOKUP($AP118, CONTRATOS!B:K, 3,FALSE)))</f>
        <v/>
      </c>
      <c r="AV118" s="301" t="str">
        <f>IF(OR($B118="", $AP118 = ""), "", IF(VLOOKUP($AP118, CONTRATOS!B:K,4,FALSE)="","",VLOOKUP($AP118, CONTRATOS!B:K,4, FALSE)))</f>
        <v/>
      </c>
      <c r="AW118" s="302" t="str">
        <f t="shared" si="53"/>
        <v/>
      </c>
      <c r="AX118" s="301" t="str">
        <f t="shared" si="54"/>
        <v/>
      </c>
      <c r="AY118" s="301" t="str">
        <f t="shared" si="55"/>
        <v/>
      </c>
      <c r="AZ118" s="301" t="str">
        <f t="shared" si="56"/>
        <v/>
      </c>
      <c r="BA118" s="301" t="str">
        <f t="shared" si="57"/>
        <v/>
      </c>
      <c r="BB118" s="303">
        <f t="shared" si="71"/>
        <v>0</v>
      </c>
      <c r="BC118" s="303" t="str">
        <f t="shared" si="72"/>
        <v/>
      </c>
      <c r="BD118" s="303" t="str">
        <f t="shared" si="73"/>
        <v/>
      </c>
      <c r="BF118" s="304">
        <f t="shared" si="74"/>
        <v>0</v>
      </c>
      <c r="BG118" s="304">
        <f t="shared" si="75"/>
        <v>0</v>
      </c>
      <c r="BH118" s="304" t="str">
        <f>IF( $B118="", "", IF(ISNA(VLOOKUP($C118, Defesa!$C$8:$C$30,1,FALSE)),1,0))</f>
        <v/>
      </c>
      <c r="BI118" s="305" t="str">
        <f t="shared" si="76"/>
        <v/>
      </c>
      <c r="BJ118" s="305" t="str">
        <f t="shared" si="77"/>
        <v/>
      </c>
      <c r="BK118" s="304" t="str">
        <f t="shared" si="78"/>
        <v/>
      </c>
      <c r="BL118" s="304">
        <f t="shared" si="79"/>
        <v>0</v>
      </c>
      <c r="BM118" s="304" t="str">
        <f>IF($AC118="", "", IF(ISNA(VLOOKUP($AC118, TABELAS!$Q:$Q, 1, FALSE)), 1, 0))</f>
        <v/>
      </c>
      <c r="BN118" s="306" t="str">
        <f t="shared" si="80"/>
        <v/>
      </c>
      <c r="BO118" s="304" t="str">
        <f t="shared" si="81"/>
        <v/>
      </c>
      <c r="BP118" s="304" t="str">
        <f t="shared" si="82"/>
        <v/>
      </c>
      <c r="BQ118" s="305" t="str">
        <f t="shared" si="83"/>
        <v/>
      </c>
      <c r="BR118" s="304" t="str">
        <f t="shared" si="84"/>
        <v/>
      </c>
      <c r="BS118" s="304" t="str">
        <f t="shared" si="85"/>
        <v/>
      </c>
      <c r="BT118" s="304" t="str">
        <f>IF(OR($B118="", $AH118 = "SIM"), "", IF( ISNA(VLOOKUP($AP118,#REF!, 1, FALSE)), 1, 0))</f>
        <v/>
      </c>
      <c r="BU118" s="304" t="str">
        <f t="shared" si="86"/>
        <v/>
      </c>
      <c r="BV118" s="304" t="str">
        <f>IF( $B118="", "", IF( ISNA(VLOOKUP($AN118, TABELAS!$T$2:$T$9,1,FALSE)), 1, 0))</f>
        <v/>
      </c>
      <c r="BW118" s="304" t="str">
        <f t="shared" si="87"/>
        <v/>
      </c>
      <c r="BX118" s="304" t="str">
        <f>IF( OR($B118="", $AH118 = "SIM"), "", IF( ISNA( VLOOKUP( $AQ118, SISTEMA!$B:$B, 1, FALSE)), 1, 0))</f>
        <v/>
      </c>
      <c r="BY118" s="305" t="str">
        <f t="shared" si="88"/>
        <v/>
      </c>
      <c r="BZ118" s="305" t="str">
        <f t="shared" si="89"/>
        <v/>
      </c>
      <c r="CA118" s="304" t="str">
        <f t="shared" si="90"/>
        <v/>
      </c>
      <c r="CB118" s="305" t="str">
        <f t="shared" si="91"/>
        <v/>
      </c>
      <c r="CC118" s="305" t="str">
        <f t="shared" si="92"/>
        <v/>
      </c>
      <c r="CD118" s="305" t="str">
        <f t="shared" si="93"/>
        <v/>
      </c>
    </row>
    <row r="119" spans="1:82" x14ac:dyDescent="0.2">
      <c r="A119" s="235"/>
      <c r="B119" s="236" t="str">
        <f t="shared" si="58"/>
        <v/>
      </c>
      <c r="C119" s="237" t="str">
        <f t="shared" si="48"/>
        <v/>
      </c>
      <c r="D119" s="237" t="str">
        <f t="shared" si="59"/>
        <v/>
      </c>
      <c r="E119" s="237" t="str">
        <f>IF($C119="", "", COUNTIF($M$8:$M119,$D119))</f>
        <v/>
      </c>
      <c r="F119" s="238">
        <v>112</v>
      </c>
      <c r="G119" s="239"/>
      <c r="H119" s="240"/>
      <c r="I119" s="240"/>
      <c r="J119" s="241"/>
      <c r="K119" s="240"/>
      <c r="L119" s="240"/>
      <c r="M119" s="240"/>
      <c r="N119" s="242"/>
      <c r="O119" s="243"/>
      <c r="P119" s="243"/>
      <c r="Q119" s="243"/>
      <c r="R119" s="243"/>
      <c r="S119" s="243"/>
      <c r="T119" s="245"/>
      <c r="U119" s="246" t="str">
        <f>IF($T119="", "", VLOOKUP($T119, CONTRATOS!$B:$E, 2, FALSE))</f>
        <v/>
      </c>
      <c r="V119" s="247">
        <f>IF(OR($T119="",TB_DEFESA!$C$2="Criação Baseline"),0,
   IF(VLOOKUP($T119, CONTRATOS!B:E, 3, FALSE)&lt;&gt;"",1,IF(VLOOKUP($T119, CONTRATOS!B:E, 4, FALSE)&lt;&gt;"",2,0)))</f>
        <v>0</v>
      </c>
      <c r="W119" s="248"/>
      <c r="X119" s="248"/>
      <c r="Y119" s="249"/>
      <c r="Z119" s="250"/>
      <c r="AA119" s="251"/>
      <c r="AB119" s="252"/>
      <c r="AC119" s="253"/>
      <c r="AD119" s="251"/>
      <c r="AE119" s="254" t="str">
        <f t="shared" si="49"/>
        <v/>
      </c>
      <c r="AF119" s="256" t="str">
        <f t="shared" si="60"/>
        <v/>
      </c>
      <c r="AG119" s="293" t="s">
        <v>62</v>
      </c>
      <c r="AH119" s="294" t="str">
        <f t="shared" si="61"/>
        <v/>
      </c>
      <c r="AI119" s="294" t="str">
        <f t="shared" si="62"/>
        <v/>
      </c>
      <c r="AJ119" s="295" t="str">
        <f t="shared" si="63"/>
        <v/>
      </c>
      <c r="AK119" s="296" t="str">
        <f t="shared" si="64"/>
        <v/>
      </c>
      <c r="AL119" s="297" t="str">
        <f t="shared" si="65"/>
        <v/>
      </c>
      <c r="AM119" s="294" t="str">
        <f t="shared" si="66"/>
        <v/>
      </c>
      <c r="AN119" s="294" t="str">
        <f t="shared" si="67"/>
        <v/>
      </c>
      <c r="AO119" s="298" t="str">
        <f t="shared" si="68"/>
        <v/>
      </c>
      <c r="AP119" s="299" t="str">
        <f t="shared" si="69"/>
        <v/>
      </c>
      <c r="AQ119" s="299" t="str">
        <f t="shared" si="70"/>
        <v/>
      </c>
      <c r="AR119" s="300" t="str">
        <f t="shared" si="50"/>
        <v/>
      </c>
      <c r="AS119" s="300" t="str">
        <f t="shared" si="51"/>
        <v/>
      </c>
      <c r="AT119" s="294" t="str">
        <f t="shared" si="52"/>
        <v/>
      </c>
      <c r="AU119" s="301" t="str">
        <f>IF(OR($B119="", $AP119= ""),"",IF(VLOOKUP($AP119, CONTRATOS!B:K,3,FALSE)="","",VLOOKUP($AP119, CONTRATOS!B:K, 3,FALSE)))</f>
        <v/>
      </c>
      <c r="AV119" s="301" t="str">
        <f>IF(OR($B119="", $AP119 = ""), "", IF(VLOOKUP($AP119, CONTRATOS!B:K,4,FALSE)="","",VLOOKUP($AP119, CONTRATOS!B:K,4, FALSE)))</f>
        <v/>
      </c>
      <c r="AW119" s="302" t="str">
        <f t="shared" si="53"/>
        <v/>
      </c>
      <c r="AX119" s="301" t="str">
        <f t="shared" si="54"/>
        <v/>
      </c>
      <c r="AY119" s="301" t="str">
        <f t="shared" si="55"/>
        <v/>
      </c>
      <c r="AZ119" s="301" t="str">
        <f t="shared" si="56"/>
        <v/>
      </c>
      <c r="BA119" s="301" t="str">
        <f t="shared" si="57"/>
        <v/>
      </c>
      <c r="BB119" s="303">
        <f t="shared" si="71"/>
        <v>0</v>
      </c>
      <c r="BC119" s="303" t="str">
        <f t="shared" si="72"/>
        <v/>
      </c>
      <c r="BD119" s="303" t="str">
        <f t="shared" si="73"/>
        <v/>
      </c>
      <c r="BF119" s="304">
        <f t="shared" si="74"/>
        <v>0</v>
      </c>
      <c r="BG119" s="304">
        <f t="shared" si="75"/>
        <v>0</v>
      </c>
      <c r="BH119" s="304" t="str">
        <f>IF( $B119="", "", IF(ISNA(VLOOKUP($C119, Defesa!$C$8:$C$30,1,FALSE)),1,0))</f>
        <v/>
      </c>
      <c r="BI119" s="305" t="str">
        <f t="shared" si="76"/>
        <v/>
      </c>
      <c r="BJ119" s="305" t="str">
        <f t="shared" si="77"/>
        <v/>
      </c>
      <c r="BK119" s="304" t="str">
        <f t="shared" si="78"/>
        <v/>
      </c>
      <c r="BL119" s="304">
        <f t="shared" si="79"/>
        <v>0</v>
      </c>
      <c r="BM119" s="304" t="str">
        <f>IF($AC119="", "", IF(ISNA(VLOOKUP($AC119, TABELAS!$Q:$Q, 1, FALSE)), 1, 0))</f>
        <v/>
      </c>
      <c r="BN119" s="306" t="str">
        <f t="shared" si="80"/>
        <v/>
      </c>
      <c r="BO119" s="304" t="str">
        <f t="shared" si="81"/>
        <v/>
      </c>
      <c r="BP119" s="304" t="str">
        <f t="shared" si="82"/>
        <v/>
      </c>
      <c r="BQ119" s="305" t="str">
        <f t="shared" si="83"/>
        <v/>
      </c>
      <c r="BR119" s="304" t="str">
        <f t="shared" si="84"/>
        <v/>
      </c>
      <c r="BS119" s="304" t="str">
        <f t="shared" si="85"/>
        <v/>
      </c>
      <c r="BT119" s="304" t="str">
        <f>IF(OR($B119="", $AH119 = "SIM"), "", IF( ISNA(VLOOKUP($AP119,#REF!, 1, FALSE)), 1, 0))</f>
        <v/>
      </c>
      <c r="BU119" s="304" t="str">
        <f t="shared" si="86"/>
        <v/>
      </c>
      <c r="BV119" s="304" t="str">
        <f>IF( $B119="", "", IF( ISNA(VLOOKUP($AN119, TABELAS!$T$2:$T$9,1,FALSE)), 1, 0))</f>
        <v/>
      </c>
      <c r="BW119" s="304" t="str">
        <f t="shared" si="87"/>
        <v/>
      </c>
      <c r="BX119" s="304" t="str">
        <f>IF( OR($B119="", $AH119 = "SIM"), "", IF( ISNA( VLOOKUP( $AQ119, SISTEMA!$B:$B, 1, FALSE)), 1, 0))</f>
        <v/>
      </c>
      <c r="BY119" s="305" t="str">
        <f t="shared" si="88"/>
        <v/>
      </c>
      <c r="BZ119" s="305" t="str">
        <f t="shared" si="89"/>
        <v/>
      </c>
      <c r="CA119" s="304" t="str">
        <f t="shared" si="90"/>
        <v/>
      </c>
      <c r="CB119" s="305" t="str">
        <f t="shared" si="91"/>
        <v/>
      </c>
      <c r="CC119" s="305" t="str">
        <f t="shared" si="92"/>
        <v/>
      </c>
      <c r="CD119" s="305" t="str">
        <f t="shared" si="93"/>
        <v/>
      </c>
    </row>
    <row r="120" spans="1:82" x14ac:dyDescent="0.2">
      <c r="A120" s="235"/>
      <c r="B120" s="236" t="str">
        <f t="shared" si="58"/>
        <v/>
      </c>
      <c r="C120" s="237" t="str">
        <f t="shared" si="48"/>
        <v/>
      </c>
      <c r="D120" s="237" t="str">
        <f t="shared" si="59"/>
        <v/>
      </c>
      <c r="E120" s="237" t="str">
        <f>IF($C120="", "", COUNTIF($M$8:$M120,$D120))</f>
        <v/>
      </c>
      <c r="F120" s="238">
        <v>113</v>
      </c>
      <c r="G120" s="239"/>
      <c r="H120" s="240"/>
      <c r="I120" s="240"/>
      <c r="J120" s="241"/>
      <c r="K120" s="240"/>
      <c r="L120" s="240"/>
      <c r="M120" s="240"/>
      <c r="N120" s="242"/>
      <c r="O120" s="243"/>
      <c r="P120" s="243"/>
      <c r="Q120" s="243"/>
      <c r="R120" s="243"/>
      <c r="S120" s="243"/>
      <c r="T120" s="245"/>
      <c r="U120" s="246" t="str">
        <f>IF($T120="", "", VLOOKUP($T120, CONTRATOS!$B:$E, 2, FALSE))</f>
        <v/>
      </c>
      <c r="V120" s="247">
        <f>IF(OR($T120="",TB_DEFESA!$C$2="Criação Baseline"),0,
   IF(VLOOKUP($T120, CONTRATOS!B:E, 3, FALSE)&lt;&gt;"",1,IF(VLOOKUP($T120, CONTRATOS!B:E, 4, FALSE)&lt;&gt;"",2,0)))</f>
        <v>0</v>
      </c>
      <c r="W120" s="248"/>
      <c r="X120" s="248"/>
      <c r="Y120" s="249"/>
      <c r="Z120" s="250"/>
      <c r="AA120" s="251"/>
      <c r="AB120" s="252"/>
      <c r="AC120" s="253"/>
      <c r="AD120" s="251"/>
      <c r="AE120" s="254" t="str">
        <f t="shared" si="49"/>
        <v/>
      </c>
      <c r="AF120" s="256" t="str">
        <f t="shared" si="60"/>
        <v/>
      </c>
      <c r="AG120" s="293" t="s">
        <v>62</v>
      </c>
      <c r="AH120" s="294" t="str">
        <f t="shared" si="61"/>
        <v/>
      </c>
      <c r="AI120" s="294" t="str">
        <f t="shared" si="62"/>
        <v/>
      </c>
      <c r="AJ120" s="295" t="str">
        <f t="shared" si="63"/>
        <v/>
      </c>
      <c r="AK120" s="296" t="str">
        <f t="shared" si="64"/>
        <v/>
      </c>
      <c r="AL120" s="297" t="str">
        <f t="shared" si="65"/>
        <v/>
      </c>
      <c r="AM120" s="294" t="str">
        <f t="shared" si="66"/>
        <v/>
      </c>
      <c r="AN120" s="294" t="str">
        <f t="shared" si="67"/>
        <v/>
      </c>
      <c r="AO120" s="298" t="str">
        <f t="shared" si="68"/>
        <v/>
      </c>
      <c r="AP120" s="299" t="str">
        <f t="shared" si="69"/>
        <v/>
      </c>
      <c r="AQ120" s="299" t="str">
        <f t="shared" si="70"/>
        <v/>
      </c>
      <c r="AR120" s="300" t="str">
        <f t="shared" si="50"/>
        <v/>
      </c>
      <c r="AS120" s="300" t="str">
        <f t="shared" si="51"/>
        <v/>
      </c>
      <c r="AT120" s="294" t="str">
        <f t="shared" si="52"/>
        <v/>
      </c>
      <c r="AU120" s="301" t="str">
        <f>IF(OR($B120="", $AP120= ""),"",IF(VLOOKUP($AP120, CONTRATOS!B:K,3,FALSE)="","",VLOOKUP($AP120, CONTRATOS!B:K, 3,FALSE)))</f>
        <v/>
      </c>
      <c r="AV120" s="301" t="str">
        <f>IF(OR($B120="", $AP120 = ""), "", IF(VLOOKUP($AP120, CONTRATOS!B:K,4,FALSE)="","",VLOOKUP($AP120, CONTRATOS!B:K,4, FALSE)))</f>
        <v/>
      </c>
      <c r="AW120" s="302" t="str">
        <f t="shared" si="53"/>
        <v/>
      </c>
      <c r="AX120" s="301" t="str">
        <f t="shared" si="54"/>
        <v/>
      </c>
      <c r="AY120" s="301" t="str">
        <f t="shared" si="55"/>
        <v/>
      </c>
      <c r="AZ120" s="301" t="str">
        <f t="shared" si="56"/>
        <v/>
      </c>
      <c r="BA120" s="301" t="str">
        <f t="shared" si="57"/>
        <v/>
      </c>
      <c r="BB120" s="303">
        <f t="shared" si="71"/>
        <v>0</v>
      </c>
      <c r="BC120" s="303" t="str">
        <f t="shared" si="72"/>
        <v/>
      </c>
      <c r="BD120" s="303" t="str">
        <f t="shared" si="73"/>
        <v/>
      </c>
      <c r="BF120" s="304">
        <f t="shared" si="74"/>
        <v>0</v>
      </c>
      <c r="BG120" s="304">
        <f t="shared" si="75"/>
        <v>0</v>
      </c>
      <c r="BH120" s="304" t="str">
        <f>IF( $B120="", "", IF(ISNA(VLOOKUP($C120, Defesa!$C$8:$C$30,1,FALSE)),1,0))</f>
        <v/>
      </c>
      <c r="BI120" s="305" t="str">
        <f t="shared" si="76"/>
        <v/>
      </c>
      <c r="BJ120" s="305" t="str">
        <f t="shared" si="77"/>
        <v/>
      </c>
      <c r="BK120" s="304" t="str">
        <f t="shared" si="78"/>
        <v/>
      </c>
      <c r="BL120" s="304">
        <f t="shared" si="79"/>
        <v>0</v>
      </c>
      <c r="BM120" s="304" t="str">
        <f>IF($AC120="", "", IF(ISNA(VLOOKUP($AC120, TABELAS!$Q:$Q, 1, FALSE)), 1, 0))</f>
        <v/>
      </c>
      <c r="BN120" s="306" t="str">
        <f t="shared" si="80"/>
        <v/>
      </c>
      <c r="BO120" s="304" t="str">
        <f t="shared" si="81"/>
        <v/>
      </c>
      <c r="BP120" s="304" t="str">
        <f t="shared" si="82"/>
        <v/>
      </c>
      <c r="BQ120" s="305" t="str">
        <f t="shared" si="83"/>
        <v/>
      </c>
      <c r="BR120" s="304" t="str">
        <f t="shared" si="84"/>
        <v/>
      </c>
      <c r="BS120" s="304" t="str">
        <f t="shared" si="85"/>
        <v/>
      </c>
      <c r="BT120" s="304" t="str">
        <f>IF(OR($B120="", $AH120 = "SIM"), "", IF( ISNA(VLOOKUP($AP120,#REF!, 1, FALSE)), 1, 0))</f>
        <v/>
      </c>
      <c r="BU120" s="304" t="str">
        <f t="shared" si="86"/>
        <v/>
      </c>
      <c r="BV120" s="304" t="str">
        <f>IF( $B120="", "", IF( ISNA(VLOOKUP($AN120, TABELAS!$T$2:$T$9,1,FALSE)), 1, 0))</f>
        <v/>
      </c>
      <c r="BW120" s="304" t="str">
        <f t="shared" si="87"/>
        <v/>
      </c>
      <c r="BX120" s="304" t="str">
        <f>IF( OR($B120="", $AH120 = "SIM"), "", IF( ISNA( VLOOKUP( $AQ120, SISTEMA!$B:$B, 1, FALSE)), 1, 0))</f>
        <v/>
      </c>
      <c r="BY120" s="305" t="str">
        <f t="shared" si="88"/>
        <v/>
      </c>
      <c r="BZ120" s="305" t="str">
        <f t="shared" si="89"/>
        <v/>
      </c>
      <c r="CA120" s="304" t="str">
        <f t="shared" si="90"/>
        <v/>
      </c>
      <c r="CB120" s="305" t="str">
        <f t="shared" si="91"/>
        <v/>
      </c>
      <c r="CC120" s="305" t="str">
        <f t="shared" si="92"/>
        <v/>
      </c>
      <c r="CD120" s="305" t="str">
        <f t="shared" si="93"/>
        <v/>
      </c>
    </row>
    <row r="121" spans="1:82" x14ac:dyDescent="0.2">
      <c r="A121" s="235"/>
      <c r="B121" s="236" t="str">
        <f t="shared" si="58"/>
        <v/>
      </c>
      <c r="C121" s="237" t="str">
        <f t="shared" si="48"/>
        <v/>
      </c>
      <c r="D121" s="237" t="str">
        <f t="shared" si="59"/>
        <v/>
      </c>
      <c r="E121" s="237" t="str">
        <f>IF($C121="", "", COUNTIF($M$8:$M121,$D121))</f>
        <v/>
      </c>
      <c r="F121" s="238">
        <v>114</v>
      </c>
      <c r="G121" s="239"/>
      <c r="H121" s="240"/>
      <c r="I121" s="240"/>
      <c r="J121" s="241"/>
      <c r="K121" s="240"/>
      <c r="L121" s="240"/>
      <c r="M121" s="240"/>
      <c r="N121" s="242"/>
      <c r="O121" s="243"/>
      <c r="P121" s="243"/>
      <c r="Q121" s="243"/>
      <c r="R121" s="243"/>
      <c r="S121" s="243"/>
      <c r="T121" s="245"/>
      <c r="U121" s="246" t="str">
        <f>IF($T121="", "", VLOOKUP($T121, CONTRATOS!$B:$E, 2, FALSE))</f>
        <v/>
      </c>
      <c r="V121" s="247">
        <f>IF(OR($T121="",TB_DEFESA!$C$2="Criação Baseline"),0,
   IF(VLOOKUP($T121, CONTRATOS!B:E, 3, FALSE)&lt;&gt;"",1,IF(VLOOKUP($T121, CONTRATOS!B:E, 4, FALSE)&lt;&gt;"",2,0)))</f>
        <v>0</v>
      </c>
      <c r="W121" s="248"/>
      <c r="X121" s="248"/>
      <c r="Y121" s="249"/>
      <c r="Z121" s="250"/>
      <c r="AA121" s="251"/>
      <c r="AB121" s="252"/>
      <c r="AC121" s="253"/>
      <c r="AD121" s="251"/>
      <c r="AE121" s="254" t="str">
        <f t="shared" si="49"/>
        <v/>
      </c>
      <c r="AF121" s="256" t="str">
        <f t="shared" si="60"/>
        <v/>
      </c>
      <c r="AG121" s="293" t="s">
        <v>62</v>
      </c>
      <c r="AH121" s="294" t="str">
        <f t="shared" si="61"/>
        <v/>
      </c>
      <c r="AI121" s="294" t="str">
        <f t="shared" si="62"/>
        <v/>
      </c>
      <c r="AJ121" s="295" t="str">
        <f t="shared" si="63"/>
        <v/>
      </c>
      <c r="AK121" s="296" t="str">
        <f t="shared" si="64"/>
        <v/>
      </c>
      <c r="AL121" s="297" t="str">
        <f t="shared" si="65"/>
        <v/>
      </c>
      <c r="AM121" s="294" t="str">
        <f t="shared" si="66"/>
        <v/>
      </c>
      <c r="AN121" s="294" t="str">
        <f t="shared" si="67"/>
        <v/>
      </c>
      <c r="AO121" s="298" t="str">
        <f t="shared" si="68"/>
        <v/>
      </c>
      <c r="AP121" s="299" t="str">
        <f t="shared" si="69"/>
        <v/>
      </c>
      <c r="AQ121" s="299" t="str">
        <f t="shared" si="70"/>
        <v/>
      </c>
      <c r="AR121" s="300" t="str">
        <f t="shared" si="50"/>
        <v/>
      </c>
      <c r="AS121" s="300" t="str">
        <f t="shared" si="51"/>
        <v/>
      </c>
      <c r="AT121" s="294" t="str">
        <f t="shared" si="52"/>
        <v/>
      </c>
      <c r="AU121" s="301" t="str">
        <f>IF(OR($B121="", $AP121= ""),"",IF(VLOOKUP($AP121, CONTRATOS!B:K,3,FALSE)="","",VLOOKUP($AP121, CONTRATOS!B:K, 3,FALSE)))</f>
        <v/>
      </c>
      <c r="AV121" s="301" t="str">
        <f>IF(OR($B121="", $AP121 = ""), "", IF(VLOOKUP($AP121, CONTRATOS!B:K,4,FALSE)="","",VLOOKUP($AP121, CONTRATOS!B:K,4, FALSE)))</f>
        <v/>
      </c>
      <c r="AW121" s="302" t="str">
        <f t="shared" si="53"/>
        <v/>
      </c>
      <c r="AX121" s="301" t="str">
        <f t="shared" si="54"/>
        <v/>
      </c>
      <c r="AY121" s="301" t="str">
        <f t="shared" si="55"/>
        <v/>
      </c>
      <c r="AZ121" s="301" t="str">
        <f t="shared" si="56"/>
        <v/>
      </c>
      <c r="BA121" s="301" t="str">
        <f t="shared" si="57"/>
        <v/>
      </c>
      <c r="BB121" s="303">
        <f t="shared" si="71"/>
        <v>0</v>
      </c>
      <c r="BC121" s="303" t="str">
        <f t="shared" si="72"/>
        <v/>
      </c>
      <c r="BD121" s="303" t="str">
        <f t="shared" si="73"/>
        <v/>
      </c>
      <c r="BF121" s="304">
        <f t="shared" si="74"/>
        <v>0</v>
      </c>
      <c r="BG121" s="304">
        <f t="shared" si="75"/>
        <v>0</v>
      </c>
      <c r="BH121" s="304" t="str">
        <f>IF( $B121="", "", IF(ISNA(VLOOKUP($C121, Defesa!$C$8:$C$30,1,FALSE)),1,0))</f>
        <v/>
      </c>
      <c r="BI121" s="305" t="str">
        <f t="shared" si="76"/>
        <v/>
      </c>
      <c r="BJ121" s="305" t="str">
        <f t="shared" si="77"/>
        <v/>
      </c>
      <c r="BK121" s="304" t="str">
        <f t="shared" si="78"/>
        <v/>
      </c>
      <c r="BL121" s="304">
        <f t="shared" si="79"/>
        <v>0</v>
      </c>
      <c r="BM121" s="304" t="str">
        <f>IF($AC121="", "", IF(ISNA(VLOOKUP($AC121, TABELAS!$Q:$Q, 1, FALSE)), 1, 0))</f>
        <v/>
      </c>
      <c r="BN121" s="306" t="str">
        <f t="shared" si="80"/>
        <v/>
      </c>
      <c r="BO121" s="304" t="str">
        <f t="shared" si="81"/>
        <v/>
      </c>
      <c r="BP121" s="304" t="str">
        <f t="shared" si="82"/>
        <v/>
      </c>
      <c r="BQ121" s="305" t="str">
        <f t="shared" si="83"/>
        <v/>
      </c>
      <c r="BR121" s="304" t="str">
        <f t="shared" si="84"/>
        <v/>
      </c>
      <c r="BS121" s="304" t="str">
        <f t="shared" si="85"/>
        <v/>
      </c>
      <c r="BT121" s="304" t="str">
        <f>IF(OR($B121="", $AH121 = "SIM"), "", IF( ISNA(VLOOKUP($AP121,#REF!, 1, FALSE)), 1, 0))</f>
        <v/>
      </c>
      <c r="BU121" s="304" t="str">
        <f t="shared" si="86"/>
        <v/>
      </c>
      <c r="BV121" s="304" t="str">
        <f>IF( $B121="", "", IF( ISNA(VLOOKUP($AN121, TABELAS!$T$2:$T$9,1,FALSE)), 1, 0))</f>
        <v/>
      </c>
      <c r="BW121" s="304" t="str">
        <f t="shared" si="87"/>
        <v/>
      </c>
      <c r="BX121" s="304" t="str">
        <f>IF( OR($B121="", $AH121 = "SIM"), "", IF( ISNA( VLOOKUP( $AQ121, SISTEMA!$B:$B, 1, FALSE)), 1, 0))</f>
        <v/>
      </c>
      <c r="BY121" s="305" t="str">
        <f t="shared" si="88"/>
        <v/>
      </c>
      <c r="BZ121" s="305" t="str">
        <f t="shared" si="89"/>
        <v/>
      </c>
      <c r="CA121" s="304" t="str">
        <f t="shared" si="90"/>
        <v/>
      </c>
      <c r="CB121" s="305" t="str">
        <f t="shared" si="91"/>
        <v/>
      </c>
      <c r="CC121" s="305" t="str">
        <f t="shared" si="92"/>
        <v/>
      </c>
      <c r="CD121" s="305" t="str">
        <f t="shared" si="93"/>
        <v/>
      </c>
    </row>
    <row r="122" spans="1:82" x14ac:dyDescent="0.2">
      <c r="A122" s="235"/>
      <c r="B122" s="236" t="str">
        <f t="shared" si="58"/>
        <v/>
      </c>
      <c r="C122" s="237" t="str">
        <f t="shared" si="48"/>
        <v/>
      </c>
      <c r="D122" s="237" t="str">
        <f t="shared" si="59"/>
        <v/>
      </c>
      <c r="E122" s="237" t="str">
        <f>IF($C122="", "", COUNTIF($M$8:$M122,$D122))</f>
        <v/>
      </c>
      <c r="F122" s="238">
        <v>115</v>
      </c>
      <c r="G122" s="239"/>
      <c r="H122" s="240"/>
      <c r="I122" s="240"/>
      <c r="J122" s="241"/>
      <c r="K122" s="240"/>
      <c r="L122" s="240"/>
      <c r="M122" s="240"/>
      <c r="N122" s="242"/>
      <c r="O122" s="243"/>
      <c r="P122" s="243"/>
      <c r="Q122" s="243"/>
      <c r="R122" s="243"/>
      <c r="S122" s="243"/>
      <c r="T122" s="245"/>
      <c r="U122" s="246" t="str">
        <f>IF($T122="", "", VLOOKUP($T122, CONTRATOS!$B:$E, 2, FALSE))</f>
        <v/>
      </c>
      <c r="V122" s="247">
        <f>IF(OR($T122="",TB_DEFESA!$C$2="Criação Baseline"),0,
   IF(VLOOKUP($T122, CONTRATOS!B:E, 3, FALSE)&lt;&gt;"",1,IF(VLOOKUP($T122, CONTRATOS!B:E, 4, FALSE)&lt;&gt;"",2,0)))</f>
        <v>0</v>
      </c>
      <c r="W122" s="248"/>
      <c r="X122" s="248"/>
      <c r="Y122" s="249"/>
      <c r="Z122" s="250"/>
      <c r="AA122" s="251"/>
      <c r="AB122" s="252"/>
      <c r="AC122" s="253"/>
      <c r="AD122" s="251"/>
      <c r="AE122" s="254" t="str">
        <f t="shared" si="49"/>
        <v/>
      </c>
      <c r="AF122" s="256" t="str">
        <f t="shared" si="60"/>
        <v/>
      </c>
      <c r="AG122" s="293" t="s">
        <v>62</v>
      </c>
      <c r="AH122" s="294" t="str">
        <f t="shared" si="61"/>
        <v/>
      </c>
      <c r="AI122" s="294" t="str">
        <f t="shared" si="62"/>
        <v/>
      </c>
      <c r="AJ122" s="295" t="str">
        <f t="shared" si="63"/>
        <v/>
      </c>
      <c r="AK122" s="296" t="str">
        <f t="shared" si="64"/>
        <v/>
      </c>
      <c r="AL122" s="297" t="str">
        <f t="shared" si="65"/>
        <v/>
      </c>
      <c r="AM122" s="294" t="str">
        <f t="shared" si="66"/>
        <v/>
      </c>
      <c r="AN122" s="294" t="str">
        <f t="shared" si="67"/>
        <v/>
      </c>
      <c r="AO122" s="298" t="str">
        <f t="shared" si="68"/>
        <v/>
      </c>
      <c r="AP122" s="299" t="str">
        <f t="shared" si="69"/>
        <v/>
      </c>
      <c r="AQ122" s="299" t="str">
        <f t="shared" si="70"/>
        <v/>
      </c>
      <c r="AR122" s="300" t="str">
        <f t="shared" si="50"/>
        <v/>
      </c>
      <c r="AS122" s="300" t="str">
        <f t="shared" si="51"/>
        <v/>
      </c>
      <c r="AT122" s="294" t="str">
        <f t="shared" si="52"/>
        <v/>
      </c>
      <c r="AU122" s="301" t="str">
        <f>IF(OR($B122="", $AP122= ""),"",IF(VLOOKUP($AP122, CONTRATOS!B:K,3,FALSE)="","",VLOOKUP($AP122, CONTRATOS!B:K, 3,FALSE)))</f>
        <v/>
      </c>
      <c r="AV122" s="301" t="str">
        <f>IF(OR($B122="", $AP122 = ""), "", IF(VLOOKUP($AP122, CONTRATOS!B:K,4,FALSE)="","",VLOOKUP($AP122, CONTRATOS!B:K,4, FALSE)))</f>
        <v/>
      </c>
      <c r="AW122" s="302" t="str">
        <f t="shared" si="53"/>
        <v/>
      </c>
      <c r="AX122" s="301" t="str">
        <f t="shared" si="54"/>
        <v/>
      </c>
      <c r="AY122" s="301" t="str">
        <f t="shared" si="55"/>
        <v/>
      </c>
      <c r="AZ122" s="301" t="str">
        <f t="shared" si="56"/>
        <v/>
      </c>
      <c r="BA122" s="301" t="str">
        <f t="shared" si="57"/>
        <v/>
      </c>
      <c r="BB122" s="303">
        <f t="shared" si="71"/>
        <v>0</v>
      </c>
      <c r="BC122" s="303" t="str">
        <f t="shared" si="72"/>
        <v/>
      </c>
      <c r="BD122" s="303" t="str">
        <f t="shared" si="73"/>
        <v/>
      </c>
      <c r="BF122" s="304">
        <f t="shared" si="74"/>
        <v>0</v>
      </c>
      <c r="BG122" s="304">
        <f t="shared" si="75"/>
        <v>0</v>
      </c>
      <c r="BH122" s="304" t="str">
        <f>IF( $B122="", "", IF(ISNA(VLOOKUP($C122, Defesa!$C$8:$C$30,1,FALSE)),1,0))</f>
        <v/>
      </c>
      <c r="BI122" s="305" t="str">
        <f t="shared" si="76"/>
        <v/>
      </c>
      <c r="BJ122" s="305" t="str">
        <f t="shared" si="77"/>
        <v/>
      </c>
      <c r="BK122" s="304" t="str">
        <f t="shared" si="78"/>
        <v/>
      </c>
      <c r="BL122" s="304">
        <f t="shared" si="79"/>
        <v>0</v>
      </c>
      <c r="BM122" s="304" t="str">
        <f>IF($AC122="", "", IF(ISNA(VLOOKUP($AC122, TABELAS!$Q:$Q, 1, FALSE)), 1, 0))</f>
        <v/>
      </c>
      <c r="BN122" s="306" t="str">
        <f t="shared" si="80"/>
        <v/>
      </c>
      <c r="BO122" s="304" t="str">
        <f t="shared" si="81"/>
        <v/>
      </c>
      <c r="BP122" s="304" t="str">
        <f t="shared" si="82"/>
        <v/>
      </c>
      <c r="BQ122" s="305" t="str">
        <f t="shared" si="83"/>
        <v/>
      </c>
      <c r="BR122" s="304" t="str">
        <f t="shared" si="84"/>
        <v/>
      </c>
      <c r="BS122" s="304" t="str">
        <f t="shared" si="85"/>
        <v/>
      </c>
      <c r="BT122" s="304" t="str">
        <f>IF(OR($B122="", $AH122 = "SIM"), "", IF( ISNA(VLOOKUP($AP122,#REF!, 1, FALSE)), 1, 0))</f>
        <v/>
      </c>
      <c r="BU122" s="304" t="str">
        <f t="shared" si="86"/>
        <v/>
      </c>
      <c r="BV122" s="304" t="str">
        <f>IF( $B122="", "", IF( ISNA(VLOOKUP($AN122, TABELAS!$T$2:$T$9,1,FALSE)), 1, 0))</f>
        <v/>
      </c>
      <c r="BW122" s="304" t="str">
        <f t="shared" si="87"/>
        <v/>
      </c>
      <c r="BX122" s="304" t="str">
        <f>IF( OR($B122="", $AH122 = "SIM"), "", IF( ISNA( VLOOKUP( $AQ122, SISTEMA!$B:$B, 1, FALSE)), 1, 0))</f>
        <v/>
      </c>
      <c r="BY122" s="305" t="str">
        <f t="shared" si="88"/>
        <v/>
      </c>
      <c r="BZ122" s="305" t="str">
        <f t="shared" si="89"/>
        <v/>
      </c>
      <c r="CA122" s="304" t="str">
        <f t="shared" si="90"/>
        <v/>
      </c>
      <c r="CB122" s="305" t="str">
        <f t="shared" si="91"/>
        <v/>
      </c>
      <c r="CC122" s="305" t="str">
        <f t="shared" si="92"/>
        <v/>
      </c>
      <c r="CD122" s="305" t="str">
        <f t="shared" si="93"/>
        <v/>
      </c>
    </row>
    <row r="123" spans="1:82" x14ac:dyDescent="0.2">
      <c r="A123" s="235"/>
      <c r="B123" s="236" t="str">
        <f t="shared" si="58"/>
        <v/>
      </c>
      <c r="C123" s="237" t="str">
        <f t="shared" si="48"/>
        <v/>
      </c>
      <c r="D123" s="237" t="str">
        <f t="shared" si="59"/>
        <v/>
      </c>
      <c r="E123" s="237" t="str">
        <f>IF($C123="", "", COUNTIF($M$8:$M123,$D123))</f>
        <v/>
      </c>
      <c r="F123" s="238">
        <v>116</v>
      </c>
      <c r="G123" s="239"/>
      <c r="H123" s="240"/>
      <c r="I123" s="240"/>
      <c r="J123" s="241"/>
      <c r="K123" s="240"/>
      <c r="L123" s="240"/>
      <c r="M123" s="240"/>
      <c r="N123" s="242"/>
      <c r="O123" s="243"/>
      <c r="P123" s="243"/>
      <c r="Q123" s="243"/>
      <c r="R123" s="243"/>
      <c r="S123" s="243"/>
      <c r="T123" s="245"/>
      <c r="U123" s="246" t="str">
        <f>IF($T123="", "", VLOOKUP($T123, CONTRATOS!$B:$E, 2, FALSE))</f>
        <v/>
      </c>
      <c r="V123" s="247">
        <f>IF(OR($T123="",TB_DEFESA!$C$2="Criação Baseline"),0,
   IF(VLOOKUP($T123, CONTRATOS!B:E, 3, FALSE)&lt;&gt;"",1,IF(VLOOKUP($T123, CONTRATOS!B:E, 4, FALSE)&lt;&gt;"",2,0)))</f>
        <v>0</v>
      </c>
      <c r="W123" s="248"/>
      <c r="X123" s="248"/>
      <c r="Y123" s="249"/>
      <c r="Z123" s="250"/>
      <c r="AA123" s="251"/>
      <c r="AB123" s="252"/>
      <c r="AC123" s="253"/>
      <c r="AD123" s="251"/>
      <c r="AE123" s="254" t="str">
        <f t="shared" si="49"/>
        <v/>
      </c>
      <c r="AF123" s="256" t="str">
        <f t="shared" si="60"/>
        <v/>
      </c>
      <c r="AG123" s="293" t="s">
        <v>62</v>
      </c>
      <c r="AH123" s="294" t="str">
        <f t="shared" si="61"/>
        <v/>
      </c>
      <c r="AI123" s="294" t="str">
        <f t="shared" si="62"/>
        <v/>
      </c>
      <c r="AJ123" s="295" t="str">
        <f t="shared" si="63"/>
        <v/>
      </c>
      <c r="AK123" s="296" t="str">
        <f t="shared" si="64"/>
        <v/>
      </c>
      <c r="AL123" s="297" t="str">
        <f t="shared" si="65"/>
        <v/>
      </c>
      <c r="AM123" s="294" t="str">
        <f t="shared" si="66"/>
        <v/>
      </c>
      <c r="AN123" s="294" t="str">
        <f t="shared" si="67"/>
        <v/>
      </c>
      <c r="AO123" s="298" t="str">
        <f t="shared" si="68"/>
        <v/>
      </c>
      <c r="AP123" s="299" t="str">
        <f t="shared" si="69"/>
        <v/>
      </c>
      <c r="AQ123" s="299" t="str">
        <f t="shared" si="70"/>
        <v/>
      </c>
      <c r="AR123" s="300" t="str">
        <f t="shared" si="50"/>
        <v/>
      </c>
      <c r="AS123" s="300" t="str">
        <f t="shared" si="51"/>
        <v/>
      </c>
      <c r="AT123" s="294" t="str">
        <f t="shared" si="52"/>
        <v/>
      </c>
      <c r="AU123" s="301" t="str">
        <f>IF(OR($B123="", $AP123= ""),"",IF(VLOOKUP($AP123, CONTRATOS!B:K,3,FALSE)="","",VLOOKUP($AP123, CONTRATOS!B:K, 3,FALSE)))</f>
        <v/>
      </c>
      <c r="AV123" s="301" t="str">
        <f>IF(OR($B123="", $AP123 = ""), "", IF(VLOOKUP($AP123, CONTRATOS!B:K,4,FALSE)="","",VLOOKUP($AP123, CONTRATOS!B:K,4, FALSE)))</f>
        <v/>
      </c>
      <c r="AW123" s="302" t="str">
        <f t="shared" si="53"/>
        <v/>
      </c>
      <c r="AX123" s="301" t="str">
        <f t="shared" si="54"/>
        <v/>
      </c>
      <c r="AY123" s="301" t="str">
        <f t="shared" si="55"/>
        <v/>
      </c>
      <c r="AZ123" s="301" t="str">
        <f t="shared" si="56"/>
        <v/>
      </c>
      <c r="BA123" s="301" t="str">
        <f t="shared" si="57"/>
        <v/>
      </c>
      <c r="BB123" s="303">
        <f t="shared" si="71"/>
        <v>0</v>
      </c>
      <c r="BC123" s="303" t="str">
        <f t="shared" si="72"/>
        <v/>
      </c>
      <c r="BD123" s="303" t="str">
        <f t="shared" si="73"/>
        <v/>
      </c>
      <c r="BF123" s="304">
        <f t="shared" si="74"/>
        <v>0</v>
      </c>
      <c r="BG123" s="304">
        <f t="shared" si="75"/>
        <v>0</v>
      </c>
      <c r="BH123" s="304" t="str">
        <f>IF( $B123="", "", IF(ISNA(VLOOKUP($C123, Defesa!$C$8:$C$30,1,FALSE)),1,0))</f>
        <v/>
      </c>
      <c r="BI123" s="305" t="str">
        <f t="shared" si="76"/>
        <v/>
      </c>
      <c r="BJ123" s="305" t="str">
        <f t="shared" si="77"/>
        <v/>
      </c>
      <c r="BK123" s="304" t="str">
        <f t="shared" si="78"/>
        <v/>
      </c>
      <c r="BL123" s="304">
        <f t="shared" si="79"/>
        <v>0</v>
      </c>
      <c r="BM123" s="304" t="str">
        <f>IF($AC123="", "", IF(ISNA(VLOOKUP($AC123, TABELAS!$Q:$Q, 1, FALSE)), 1, 0))</f>
        <v/>
      </c>
      <c r="BN123" s="306" t="str">
        <f t="shared" si="80"/>
        <v/>
      </c>
      <c r="BO123" s="304" t="str">
        <f t="shared" si="81"/>
        <v/>
      </c>
      <c r="BP123" s="304" t="str">
        <f t="shared" si="82"/>
        <v/>
      </c>
      <c r="BQ123" s="305" t="str">
        <f t="shared" si="83"/>
        <v/>
      </c>
      <c r="BR123" s="304" t="str">
        <f t="shared" si="84"/>
        <v/>
      </c>
      <c r="BS123" s="304" t="str">
        <f t="shared" si="85"/>
        <v/>
      </c>
      <c r="BT123" s="304" t="str">
        <f>IF(OR($B123="", $AH123 = "SIM"), "", IF( ISNA(VLOOKUP($AP123,#REF!, 1, FALSE)), 1, 0))</f>
        <v/>
      </c>
      <c r="BU123" s="304" t="str">
        <f t="shared" si="86"/>
        <v/>
      </c>
      <c r="BV123" s="304" t="str">
        <f>IF( $B123="", "", IF( ISNA(VLOOKUP($AN123, TABELAS!$T$2:$T$9,1,FALSE)), 1, 0))</f>
        <v/>
      </c>
      <c r="BW123" s="304" t="str">
        <f t="shared" si="87"/>
        <v/>
      </c>
      <c r="BX123" s="304" t="str">
        <f>IF( OR($B123="", $AH123 = "SIM"), "", IF( ISNA( VLOOKUP( $AQ123, SISTEMA!$B:$B, 1, FALSE)), 1, 0))</f>
        <v/>
      </c>
      <c r="BY123" s="305" t="str">
        <f t="shared" si="88"/>
        <v/>
      </c>
      <c r="BZ123" s="305" t="str">
        <f t="shared" si="89"/>
        <v/>
      </c>
      <c r="CA123" s="304" t="str">
        <f t="shared" si="90"/>
        <v/>
      </c>
      <c r="CB123" s="305" t="str">
        <f t="shared" si="91"/>
        <v/>
      </c>
      <c r="CC123" s="305" t="str">
        <f t="shared" si="92"/>
        <v/>
      </c>
      <c r="CD123" s="305" t="str">
        <f t="shared" si="93"/>
        <v/>
      </c>
    </row>
    <row r="124" spans="1:82" x14ac:dyDescent="0.2">
      <c r="A124" s="235"/>
      <c r="B124" s="236" t="str">
        <f t="shared" si="58"/>
        <v/>
      </c>
      <c r="C124" s="237" t="str">
        <f t="shared" si="48"/>
        <v/>
      </c>
      <c r="D124" s="237" t="str">
        <f t="shared" si="59"/>
        <v/>
      </c>
      <c r="E124" s="237" t="str">
        <f>IF($C124="", "", COUNTIF($M$8:$M124,$D124))</f>
        <v/>
      </c>
      <c r="F124" s="238">
        <v>117</v>
      </c>
      <c r="G124" s="239"/>
      <c r="H124" s="240"/>
      <c r="I124" s="240"/>
      <c r="J124" s="241"/>
      <c r="K124" s="240"/>
      <c r="L124" s="240"/>
      <c r="M124" s="240"/>
      <c r="N124" s="242"/>
      <c r="O124" s="243"/>
      <c r="P124" s="243"/>
      <c r="Q124" s="243"/>
      <c r="R124" s="243"/>
      <c r="S124" s="243"/>
      <c r="T124" s="245"/>
      <c r="U124" s="246" t="str">
        <f>IF($T124="", "", VLOOKUP($T124, CONTRATOS!$B:$E, 2, FALSE))</f>
        <v/>
      </c>
      <c r="V124" s="247">
        <f>IF(OR($T124="",TB_DEFESA!$C$2="Criação Baseline"),0,
   IF(VLOOKUP($T124, CONTRATOS!B:E, 3, FALSE)&lt;&gt;"",1,IF(VLOOKUP($T124, CONTRATOS!B:E, 4, FALSE)&lt;&gt;"",2,0)))</f>
        <v>0</v>
      </c>
      <c r="W124" s="248"/>
      <c r="X124" s="248"/>
      <c r="Y124" s="249"/>
      <c r="Z124" s="250"/>
      <c r="AA124" s="251"/>
      <c r="AB124" s="252"/>
      <c r="AC124" s="253"/>
      <c r="AD124" s="251"/>
      <c r="AE124" s="254" t="str">
        <f t="shared" si="49"/>
        <v/>
      </c>
      <c r="AF124" s="256" t="str">
        <f t="shared" si="60"/>
        <v/>
      </c>
      <c r="AG124" s="293" t="s">
        <v>62</v>
      </c>
      <c r="AH124" s="294" t="str">
        <f t="shared" si="61"/>
        <v/>
      </c>
      <c r="AI124" s="294" t="str">
        <f t="shared" si="62"/>
        <v/>
      </c>
      <c r="AJ124" s="295" t="str">
        <f t="shared" si="63"/>
        <v/>
      </c>
      <c r="AK124" s="296" t="str">
        <f t="shared" si="64"/>
        <v/>
      </c>
      <c r="AL124" s="297" t="str">
        <f t="shared" si="65"/>
        <v/>
      </c>
      <c r="AM124" s="294" t="str">
        <f t="shared" si="66"/>
        <v/>
      </c>
      <c r="AN124" s="294" t="str">
        <f t="shared" si="67"/>
        <v/>
      </c>
      <c r="AO124" s="298" t="str">
        <f t="shared" si="68"/>
        <v/>
      </c>
      <c r="AP124" s="299" t="str">
        <f t="shared" si="69"/>
        <v/>
      </c>
      <c r="AQ124" s="299" t="str">
        <f t="shared" si="70"/>
        <v/>
      </c>
      <c r="AR124" s="300" t="str">
        <f t="shared" si="50"/>
        <v/>
      </c>
      <c r="AS124" s="300" t="str">
        <f t="shared" si="51"/>
        <v/>
      </c>
      <c r="AT124" s="294" t="str">
        <f t="shared" si="52"/>
        <v/>
      </c>
      <c r="AU124" s="301" t="str">
        <f>IF(OR($B124="", $AP124= ""),"",IF(VLOOKUP($AP124, CONTRATOS!B:K,3,FALSE)="","",VLOOKUP($AP124, CONTRATOS!B:K, 3,FALSE)))</f>
        <v/>
      </c>
      <c r="AV124" s="301" t="str">
        <f>IF(OR($B124="", $AP124 = ""), "", IF(VLOOKUP($AP124, CONTRATOS!B:K,4,FALSE)="","",VLOOKUP($AP124, CONTRATOS!B:K,4, FALSE)))</f>
        <v/>
      </c>
      <c r="AW124" s="302" t="str">
        <f t="shared" si="53"/>
        <v/>
      </c>
      <c r="AX124" s="301" t="str">
        <f t="shared" si="54"/>
        <v/>
      </c>
      <c r="AY124" s="301" t="str">
        <f t="shared" si="55"/>
        <v/>
      </c>
      <c r="AZ124" s="301" t="str">
        <f t="shared" si="56"/>
        <v/>
      </c>
      <c r="BA124" s="301" t="str">
        <f t="shared" si="57"/>
        <v/>
      </c>
      <c r="BB124" s="303">
        <f t="shared" si="71"/>
        <v>0</v>
      </c>
      <c r="BC124" s="303" t="str">
        <f t="shared" si="72"/>
        <v/>
      </c>
      <c r="BD124" s="303" t="str">
        <f t="shared" si="73"/>
        <v/>
      </c>
      <c r="BF124" s="304">
        <f t="shared" si="74"/>
        <v>0</v>
      </c>
      <c r="BG124" s="304">
        <f t="shared" si="75"/>
        <v>0</v>
      </c>
      <c r="BH124" s="304" t="str">
        <f>IF( $B124="", "", IF(ISNA(VLOOKUP($C124, Defesa!$C$8:$C$30,1,FALSE)),1,0))</f>
        <v/>
      </c>
      <c r="BI124" s="305" t="str">
        <f t="shared" si="76"/>
        <v/>
      </c>
      <c r="BJ124" s="305" t="str">
        <f t="shared" si="77"/>
        <v/>
      </c>
      <c r="BK124" s="304" t="str">
        <f t="shared" si="78"/>
        <v/>
      </c>
      <c r="BL124" s="304">
        <f t="shared" si="79"/>
        <v>0</v>
      </c>
      <c r="BM124" s="304" t="str">
        <f>IF($AC124="", "", IF(ISNA(VLOOKUP($AC124, TABELAS!$Q:$Q, 1, FALSE)), 1, 0))</f>
        <v/>
      </c>
      <c r="BN124" s="306" t="str">
        <f t="shared" si="80"/>
        <v/>
      </c>
      <c r="BO124" s="304" t="str">
        <f t="shared" si="81"/>
        <v/>
      </c>
      <c r="BP124" s="304" t="str">
        <f t="shared" si="82"/>
        <v/>
      </c>
      <c r="BQ124" s="305" t="str">
        <f t="shared" si="83"/>
        <v/>
      </c>
      <c r="BR124" s="304" t="str">
        <f t="shared" si="84"/>
        <v/>
      </c>
      <c r="BS124" s="304" t="str">
        <f t="shared" si="85"/>
        <v/>
      </c>
      <c r="BT124" s="304" t="str">
        <f>IF(OR($B124="", $AH124 = "SIM"), "", IF( ISNA(VLOOKUP($AP124,#REF!, 1, FALSE)), 1, 0))</f>
        <v/>
      </c>
      <c r="BU124" s="304" t="str">
        <f t="shared" si="86"/>
        <v/>
      </c>
      <c r="BV124" s="304" t="str">
        <f>IF( $B124="", "", IF( ISNA(VLOOKUP($AN124, TABELAS!$T$2:$T$9,1,FALSE)), 1, 0))</f>
        <v/>
      </c>
      <c r="BW124" s="304" t="str">
        <f t="shared" si="87"/>
        <v/>
      </c>
      <c r="BX124" s="304" t="str">
        <f>IF( OR($B124="", $AH124 = "SIM"), "", IF( ISNA( VLOOKUP( $AQ124, SISTEMA!$B:$B, 1, FALSE)), 1, 0))</f>
        <v/>
      </c>
      <c r="BY124" s="305" t="str">
        <f t="shared" si="88"/>
        <v/>
      </c>
      <c r="BZ124" s="305" t="str">
        <f t="shared" si="89"/>
        <v/>
      </c>
      <c r="CA124" s="304" t="str">
        <f t="shared" si="90"/>
        <v/>
      </c>
      <c r="CB124" s="305" t="str">
        <f t="shared" si="91"/>
        <v/>
      </c>
      <c r="CC124" s="305" t="str">
        <f t="shared" si="92"/>
        <v/>
      </c>
      <c r="CD124" s="305" t="str">
        <f t="shared" si="93"/>
        <v/>
      </c>
    </row>
    <row r="125" spans="1:82" x14ac:dyDescent="0.2">
      <c r="A125" s="235"/>
      <c r="B125" s="236" t="str">
        <f t="shared" si="58"/>
        <v/>
      </c>
      <c r="C125" s="237" t="str">
        <f t="shared" si="48"/>
        <v/>
      </c>
      <c r="D125" s="237" t="str">
        <f t="shared" si="59"/>
        <v/>
      </c>
      <c r="E125" s="237" t="str">
        <f>IF($C125="", "", COUNTIF($M$8:$M125,$D125))</f>
        <v/>
      </c>
      <c r="F125" s="238">
        <v>118</v>
      </c>
      <c r="G125" s="239"/>
      <c r="H125" s="240"/>
      <c r="I125" s="240"/>
      <c r="J125" s="241"/>
      <c r="K125" s="240"/>
      <c r="L125" s="240"/>
      <c r="M125" s="240"/>
      <c r="N125" s="242"/>
      <c r="O125" s="243"/>
      <c r="P125" s="243"/>
      <c r="Q125" s="243"/>
      <c r="R125" s="243"/>
      <c r="S125" s="243"/>
      <c r="T125" s="245"/>
      <c r="U125" s="246" t="str">
        <f>IF($T125="", "", VLOOKUP($T125, CONTRATOS!$B:$E, 2, FALSE))</f>
        <v/>
      </c>
      <c r="V125" s="247">
        <f>IF(OR($T125="",TB_DEFESA!$C$2="Criação Baseline"),0,
   IF(VLOOKUP($T125, CONTRATOS!B:E, 3, FALSE)&lt;&gt;"",1,IF(VLOOKUP($T125, CONTRATOS!B:E, 4, FALSE)&lt;&gt;"",2,0)))</f>
        <v>0</v>
      </c>
      <c r="W125" s="248"/>
      <c r="X125" s="248"/>
      <c r="Y125" s="249"/>
      <c r="Z125" s="250"/>
      <c r="AA125" s="251"/>
      <c r="AB125" s="252"/>
      <c r="AC125" s="253"/>
      <c r="AD125" s="251"/>
      <c r="AE125" s="254" t="str">
        <f t="shared" si="49"/>
        <v/>
      </c>
      <c r="AF125" s="256" t="str">
        <f t="shared" si="60"/>
        <v/>
      </c>
      <c r="AG125" s="293" t="s">
        <v>62</v>
      </c>
      <c r="AH125" s="294" t="str">
        <f t="shared" si="61"/>
        <v/>
      </c>
      <c r="AI125" s="294" t="str">
        <f t="shared" si="62"/>
        <v/>
      </c>
      <c r="AJ125" s="295" t="str">
        <f t="shared" si="63"/>
        <v/>
      </c>
      <c r="AK125" s="296" t="str">
        <f t="shared" si="64"/>
        <v/>
      </c>
      <c r="AL125" s="297" t="str">
        <f t="shared" si="65"/>
        <v/>
      </c>
      <c r="AM125" s="294" t="str">
        <f t="shared" si="66"/>
        <v/>
      </c>
      <c r="AN125" s="294" t="str">
        <f t="shared" si="67"/>
        <v/>
      </c>
      <c r="AO125" s="298" t="str">
        <f t="shared" si="68"/>
        <v/>
      </c>
      <c r="AP125" s="299" t="str">
        <f t="shared" si="69"/>
        <v/>
      </c>
      <c r="AQ125" s="299" t="str">
        <f t="shared" si="70"/>
        <v/>
      </c>
      <c r="AR125" s="300" t="str">
        <f t="shared" si="50"/>
        <v/>
      </c>
      <c r="AS125" s="300" t="str">
        <f t="shared" si="51"/>
        <v/>
      </c>
      <c r="AT125" s="294" t="str">
        <f t="shared" si="52"/>
        <v/>
      </c>
      <c r="AU125" s="301" t="str">
        <f>IF(OR($B125="", $AP125= ""),"",IF(VLOOKUP($AP125, CONTRATOS!B:K,3,FALSE)="","",VLOOKUP($AP125, CONTRATOS!B:K, 3,FALSE)))</f>
        <v/>
      </c>
      <c r="AV125" s="301" t="str">
        <f>IF(OR($B125="", $AP125 = ""), "", IF(VLOOKUP($AP125, CONTRATOS!B:K,4,FALSE)="","",VLOOKUP($AP125, CONTRATOS!B:K,4, FALSE)))</f>
        <v/>
      </c>
      <c r="AW125" s="302" t="str">
        <f t="shared" si="53"/>
        <v/>
      </c>
      <c r="AX125" s="301" t="str">
        <f t="shared" si="54"/>
        <v/>
      </c>
      <c r="AY125" s="301" t="str">
        <f t="shared" si="55"/>
        <v/>
      </c>
      <c r="AZ125" s="301" t="str">
        <f t="shared" si="56"/>
        <v/>
      </c>
      <c r="BA125" s="301" t="str">
        <f t="shared" si="57"/>
        <v/>
      </c>
      <c r="BB125" s="303">
        <f t="shared" si="71"/>
        <v>0</v>
      </c>
      <c r="BC125" s="303" t="str">
        <f t="shared" si="72"/>
        <v/>
      </c>
      <c r="BD125" s="303" t="str">
        <f t="shared" si="73"/>
        <v/>
      </c>
      <c r="BF125" s="304">
        <f t="shared" si="74"/>
        <v>0</v>
      </c>
      <c r="BG125" s="304">
        <f t="shared" si="75"/>
        <v>0</v>
      </c>
      <c r="BH125" s="304" t="str">
        <f>IF( $B125="", "", IF(ISNA(VLOOKUP($C125, Defesa!$C$8:$C$30,1,FALSE)),1,0))</f>
        <v/>
      </c>
      <c r="BI125" s="305" t="str">
        <f t="shared" si="76"/>
        <v/>
      </c>
      <c r="BJ125" s="305" t="str">
        <f t="shared" si="77"/>
        <v/>
      </c>
      <c r="BK125" s="304" t="str">
        <f t="shared" si="78"/>
        <v/>
      </c>
      <c r="BL125" s="304">
        <f t="shared" si="79"/>
        <v>0</v>
      </c>
      <c r="BM125" s="304" t="str">
        <f>IF($AC125="", "", IF(ISNA(VLOOKUP($AC125, TABELAS!$Q:$Q, 1, FALSE)), 1, 0))</f>
        <v/>
      </c>
      <c r="BN125" s="306" t="str">
        <f t="shared" si="80"/>
        <v/>
      </c>
      <c r="BO125" s="304" t="str">
        <f t="shared" si="81"/>
        <v/>
      </c>
      <c r="BP125" s="304" t="str">
        <f t="shared" si="82"/>
        <v/>
      </c>
      <c r="BQ125" s="305" t="str">
        <f t="shared" si="83"/>
        <v/>
      </c>
      <c r="BR125" s="304" t="str">
        <f t="shared" si="84"/>
        <v/>
      </c>
      <c r="BS125" s="304" t="str">
        <f t="shared" si="85"/>
        <v/>
      </c>
      <c r="BT125" s="304" t="str">
        <f>IF(OR($B125="", $AH125 = "SIM"), "", IF( ISNA(VLOOKUP($AP125,#REF!, 1, FALSE)), 1, 0))</f>
        <v/>
      </c>
      <c r="BU125" s="304" t="str">
        <f t="shared" si="86"/>
        <v/>
      </c>
      <c r="BV125" s="304" t="str">
        <f>IF( $B125="", "", IF( ISNA(VLOOKUP($AN125, TABELAS!$T$2:$T$9,1,FALSE)), 1, 0))</f>
        <v/>
      </c>
      <c r="BW125" s="304" t="str">
        <f t="shared" si="87"/>
        <v/>
      </c>
      <c r="BX125" s="304" t="str">
        <f>IF( OR($B125="", $AH125 = "SIM"), "", IF( ISNA( VLOOKUP( $AQ125, SISTEMA!$B:$B, 1, FALSE)), 1, 0))</f>
        <v/>
      </c>
      <c r="BY125" s="305" t="str">
        <f t="shared" si="88"/>
        <v/>
      </c>
      <c r="BZ125" s="305" t="str">
        <f t="shared" si="89"/>
        <v/>
      </c>
      <c r="CA125" s="304" t="str">
        <f t="shared" si="90"/>
        <v/>
      </c>
      <c r="CB125" s="305" t="str">
        <f t="shared" si="91"/>
        <v/>
      </c>
      <c r="CC125" s="305" t="str">
        <f t="shared" si="92"/>
        <v/>
      </c>
      <c r="CD125" s="305" t="str">
        <f t="shared" si="93"/>
        <v/>
      </c>
    </row>
    <row r="126" spans="1:82" x14ac:dyDescent="0.2">
      <c r="A126" s="235"/>
      <c r="B126" s="236" t="str">
        <f t="shared" si="58"/>
        <v/>
      </c>
      <c r="C126" s="237" t="str">
        <f t="shared" si="48"/>
        <v/>
      </c>
      <c r="D126" s="237" t="str">
        <f t="shared" si="59"/>
        <v/>
      </c>
      <c r="E126" s="237" t="str">
        <f>IF($C126="", "", COUNTIF($M$8:$M126,$D126))</f>
        <v/>
      </c>
      <c r="F126" s="238">
        <v>119</v>
      </c>
      <c r="G126" s="239"/>
      <c r="H126" s="240"/>
      <c r="I126" s="240"/>
      <c r="J126" s="241"/>
      <c r="K126" s="240"/>
      <c r="L126" s="240"/>
      <c r="M126" s="240"/>
      <c r="N126" s="242"/>
      <c r="O126" s="243"/>
      <c r="P126" s="243"/>
      <c r="Q126" s="243"/>
      <c r="R126" s="243"/>
      <c r="S126" s="243"/>
      <c r="T126" s="245"/>
      <c r="U126" s="246" t="str">
        <f>IF($T126="", "", VLOOKUP($T126, CONTRATOS!$B:$E, 2, FALSE))</f>
        <v/>
      </c>
      <c r="V126" s="247">
        <f>IF(OR($T126="",TB_DEFESA!$C$2="Criação Baseline"),0,
   IF(VLOOKUP($T126, CONTRATOS!B:E, 3, FALSE)&lt;&gt;"",1,IF(VLOOKUP($T126, CONTRATOS!B:E, 4, FALSE)&lt;&gt;"",2,0)))</f>
        <v>0</v>
      </c>
      <c r="W126" s="248"/>
      <c r="X126" s="248"/>
      <c r="Y126" s="249"/>
      <c r="Z126" s="250"/>
      <c r="AA126" s="251"/>
      <c r="AB126" s="252"/>
      <c r="AC126" s="253"/>
      <c r="AD126" s="251"/>
      <c r="AE126" s="254" t="str">
        <f t="shared" si="49"/>
        <v/>
      </c>
      <c r="AF126" s="256" t="str">
        <f t="shared" si="60"/>
        <v/>
      </c>
      <c r="AG126" s="293" t="s">
        <v>62</v>
      </c>
      <c r="AH126" s="294" t="str">
        <f t="shared" si="61"/>
        <v/>
      </c>
      <c r="AI126" s="294" t="str">
        <f t="shared" si="62"/>
        <v/>
      </c>
      <c r="AJ126" s="295" t="str">
        <f t="shared" si="63"/>
        <v/>
      </c>
      <c r="AK126" s="296" t="str">
        <f t="shared" si="64"/>
        <v/>
      </c>
      <c r="AL126" s="297" t="str">
        <f t="shared" si="65"/>
        <v/>
      </c>
      <c r="AM126" s="294" t="str">
        <f t="shared" si="66"/>
        <v/>
      </c>
      <c r="AN126" s="294" t="str">
        <f t="shared" si="67"/>
        <v/>
      </c>
      <c r="AO126" s="298" t="str">
        <f t="shared" si="68"/>
        <v/>
      </c>
      <c r="AP126" s="299" t="str">
        <f t="shared" si="69"/>
        <v/>
      </c>
      <c r="AQ126" s="299" t="str">
        <f t="shared" si="70"/>
        <v/>
      </c>
      <c r="AR126" s="300" t="str">
        <f t="shared" si="50"/>
        <v/>
      </c>
      <c r="AS126" s="300" t="str">
        <f t="shared" si="51"/>
        <v/>
      </c>
      <c r="AT126" s="294" t="str">
        <f t="shared" si="52"/>
        <v/>
      </c>
      <c r="AU126" s="301" t="str">
        <f>IF(OR($B126="", $AP126= ""),"",IF(VLOOKUP($AP126, CONTRATOS!B:K,3,FALSE)="","",VLOOKUP($AP126, CONTRATOS!B:K, 3,FALSE)))</f>
        <v/>
      </c>
      <c r="AV126" s="301" t="str">
        <f>IF(OR($B126="", $AP126 = ""), "", IF(VLOOKUP($AP126, CONTRATOS!B:K,4,FALSE)="","",VLOOKUP($AP126, CONTRATOS!B:K,4, FALSE)))</f>
        <v/>
      </c>
      <c r="AW126" s="302" t="str">
        <f t="shared" si="53"/>
        <v/>
      </c>
      <c r="AX126" s="301" t="str">
        <f t="shared" si="54"/>
        <v/>
      </c>
      <c r="AY126" s="301" t="str">
        <f t="shared" si="55"/>
        <v/>
      </c>
      <c r="AZ126" s="301" t="str">
        <f t="shared" si="56"/>
        <v/>
      </c>
      <c r="BA126" s="301" t="str">
        <f t="shared" si="57"/>
        <v/>
      </c>
      <c r="BB126" s="303">
        <f t="shared" si="71"/>
        <v>0</v>
      </c>
      <c r="BC126" s="303" t="str">
        <f t="shared" si="72"/>
        <v/>
      </c>
      <c r="BD126" s="303" t="str">
        <f t="shared" si="73"/>
        <v/>
      </c>
      <c r="BF126" s="304">
        <f t="shared" si="74"/>
        <v>0</v>
      </c>
      <c r="BG126" s="304">
        <f t="shared" si="75"/>
        <v>0</v>
      </c>
      <c r="BH126" s="304" t="str">
        <f>IF( $B126="", "", IF(ISNA(VLOOKUP($C126, Defesa!$C$8:$C$30,1,FALSE)),1,0))</f>
        <v/>
      </c>
      <c r="BI126" s="305" t="str">
        <f t="shared" si="76"/>
        <v/>
      </c>
      <c r="BJ126" s="305" t="str">
        <f t="shared" si="77"/>
        <v/>
      </c>
      <c r="BK126" s="304" t="str">
        <f t="shared" si="78"/>
        <v/>
      </c>
      <c r="BL126" s="304">
        <f t="shared" si="79"/>
        <v>0</v>
      </c>
      <c r="BM126" s="304" t="str">
        <f>IF($AC126="", "", IF(ISNA(VLOOKUP($AC126, TABELAS!$Q:$Q, 1, FALSE)), 1, 0))</f>
        <v/>
      </c>
      <c r="BN126" s="306" t="str">
        <f t="shared" si="80"/>
        <v/>
      </c>
      <c r="BO126" s="304" t="str">
        <f t="shared" si="81"/>
        <v/>
      </c>
      <c r="BP126" s="304" t="str">
        <f t="shared" si="82"/>
        <v/>
      </c>
      <c r="BQ126" s="305" t="str">
        <f t="shared" si="83"/>
        <v/>
      </c>
      <c r="BR126" s="304" t="str">
        <f t="shared" si="84"/>
        <v/>
      </c>
      <c r="BS126" s="304" t="str">
        <f t="shared" si="85"/>
        <v/>
      </c>
      <c r="BT126" s="304" t="str">
        <f>IF(OR($B126="", $AH126 = "SIM"), "", IF( ISNA(VLOOKUP($AP126,#REF!, 1, FALSE)), 1, 0))</f>
        <v/>
      </c>
      <c r="BU126" s="304" t="str">
        <f t="shared" si="86"/>
        <v/>
      </c>
      <c r="BV126" s="304" t="str">
        <f>IF( $B126="", "", IF( ISNA(VLOOKUP($AN126, TABELAS!$T$2:$T$9,1,FALSE)), 1, 0))</f>
        <v/>
      </c>
      <c r="BW126" s="304" t="str">
        <f t="shared" si="87"/>
        <v/>
      </c>
      <c r="BX126" s="304" t="str">
        <f>IF( OR($B126="", $AH126 = "SIM"), "", IF( ISNA( VLOOKUP( $AQ126, SISTEMA!$B:$B, 1, FALSE)), 1, 0))</f>
        <v/>
      </c>
      <c r="BY126" s="305" t="str">
        <f t="shared" si="88"/>
        <v/>
      </c>
      <c r="BZ126" s="305" t="str">
        <f t="shared" si="89"/>
        <v/>
      </c>
      <c r="CA126" s="304" t="str">
        <f t="shared" si="90"/>
        <v/>
      </c>
      <c r="CB126" s="305" t="str">
        <f t="shared" si="91"/>
        <v/>
      </c>
      <c r="CC126" s="305" t="str">
        <f t="shared" si="92"/>
        <v/>
      </c>
      <c r="CD126" s="305" t="str">
        <f t="shared" si="93"/>
        <v/>
      </c>
    </row>
    <row r="127" spans="1:82" x14ac:dyDescent="0.2">
      <c r="A127" s="235"/>
      <c r="B127" s="236" t="str">
        <f t="shared" si="58"/>
        <v/>
      </c>
      <c r="C127" s="237" t="str">
        <f t="shared" si="48"/>
        <v/>
      </c>
      <c r="D127" s="237" t="str">
        <f t="shared" si="59"/>
        <v/>
      </c>
      <c r="E127" s="237" t="str">
        <f>IF($C127="", "", COUNTIF($M$8:$M127,$D127))</f>
        <v/>
      </c>
      <c r="F127" s="238">
        <v>120</v>
      </c>
      <c r="G127" s="239"/>
      <c r="H127" s="240"/>
      <c r="I127" s="240"/>
      <c r="J127" s="241"/>
      <c r="K127" s="240"/>
      <c r="L127" s="240"/>
      <c r="M127" s="240"/>
      <c r="N127" s="242"/>
      <c r="O127" s="243"/>
      <c r="P127" s="243"/>
      <c r="Q127" s="243"/>
      <c r="R127" s="243"/>
      <c r="S127" s="243"/>
      <c r="T127" s="245"/>
      <c r="U127" s="246" t="str">
        <f>IF($T127="", "", VLOOKUP($T127, CONTRATOS!$B:$E, 2, FALSE))</f>
        <v/>
      </c>
      <c r="V127" s="247">
        <f>IF(OR($T127="",TB_DEFESA!$C$2="Criação Baseline"),0,
   IF(VLOOKUP($T127, CONTRATOS!B:E, 3, FALSE)&lt;&gt;"",1,IF(VLOOKUP($T127, CONTRATOS!B:E, 4, FALSE)&lt;&gt;"",2,0)))</f>
        <v>0</v>
      </c>
      <c r="W127" s="248"/>
      <c r="X127" s="248"/>
      <c r="Y127" s="249"/>
      <c r="Z127" s="250"/>
      <c r="AA127" s="251"/>
      <c r="AB127" s="252"/>
      <c r="AC127" s="253"/>
      <c r="AD127" s="251"/>
      <c r="AE127" s="254" t="str">
        <f t="shared" si="49"/>
        <v/>
      </c>
      <c r="AF127" s="256" t="str">
        <f t="shared" si="60"/>
        <v/>
      </c>
      <c r="AG127" s="293" t="s">
        <v>62</v>
      </c>
      <c r="AH127" s="294" t="str">
        <f t="shared" si="61"/>
        <v/>
      </c>
      <c r="AI127" s="294" t="str">
        <f t="shared" si="62"/>
        <v/>
      </c>
      <c r="AJ127" s="295" t="str">
        <f t="shared" si="63"/>
        <v/>
      </c>
      <c r="AK127" s="296" t="str">
        <f t="shared" si="64"/>
        <v/>
      </c>
      <c r="AL127" s="297" t="str">
        <f t="shared" si="65"/>
        <v/>
      </c>
      <c r="AM127" s="294" t="str">
        <f t="shared" si="66"/>
        <v/>
      </c>
      <c r="AN127" s="294" t="str">
        <f t="shared" si="67"/>
        <v/>
      </c>
      <c r="AO127" s="298" t="str">
        <f t="shared" si="68"/>
        <v/>
      </c>
      <c r="AP127" s="299" t="str">
        <f t="shared" si="69"/>
        <v/>
      </c>
      <c r="AQ127" s="299" t="str">
        <f t="shared" si="70"/>
        <v/>
      </c>
      <c r="AR127" s="300" t="str">
        <f t="shared" si="50"/>
        <v/>
      </c>
      <c r="AS127" s="300" t="str">
        <f t="shared" si="51"/>
        <v/>
      </c>
      <c r="AT127" s="294" t="str">
        <f t="shared" si="52"/>
        <v/>
      </c>
      <c r="AU127" s="301" t="str">
        <f>IF(OR($B127="", $AP127= ""),"",IF(VLOOKUP($AP127, CONTRATOS!B:K,3,FALSE)="","",VLOOKUP($AP127, CONTRATOS!B:K, 3,FALSE)))</f>
        <v/>
      </c>
      <c r="AV127" s="301" t="str">
        <f>IF(OR($B127="", $AP127 = ""), "", IF(VLOOKUP($AP127, CONTRATOS!B:K,4,FALSE)="","",VLOOKUP($AP127, CONTRATOS!B:K,4, FALSE)))</f>
        <v/>
      </c>
      <c r="AW127" s="302" t="str">
        <f t="shared" si="53"/>
        <v/>
      </c>
      <c r="AX127" s="301" t="str">
        <f t="shared" si="54"/>
        <v/>
      </c>
      <c r="AY127" s="301" t="str">
        <f t="shared" si="55"/>
        <v/>
      </c>
      <c r="AZ127" s="301" t="str">
        <f t="shared" si="56"/>
        <v/>
      </c>
      <c r="BA127" s="301" t="str">
        <f t="shared" si="57"/>
        <v/>
      </c>
      <c r="BB127" s="303">
        <f t="shared" si="71"/>
        <v>0</v>
      </c>
      <c r="BC127" s="303" t="str">
        <f t="shared" si="72"/>
        <v/>
      </c>
      <c r="BD127" s="303" t="str">
        <f t="shared" si="73"/>
        <v/>
      </c>
      <c r="BF127" s="304">
        <f t="shared" si="74"/>
        <v>0</v>
      </c>
      <c r="BG127" s="304">
        <f t="shared" si="75"/>
        <v>0</v>
      </c>
      <c r="BH127" s="304" t="str">
        <f>IF( $B127="", "", IF(ISNA(VLOOKUP($C127, Defesa!$C$8:$C$30,1,FALSE)),1,0))</f>
        <v/>
      </c>
      <c r="BI127" s="305" t="str">
        <f t="shared" si="76"/>
        <v/>
      </c>
      <c r="BJ127" s="305" t="str">
        <f t="shared" si="77"/>
        <v/>
      </c>
      <c r="BK127" s="304" t="str">
        <f t="shared" si="78"/>
        <v/>
      </c>
      <c r="BL127" s="304">
        <f t="shared" si="79"/>
        <v>0</v>
      </c>
      <c r="BM127" s="304" t="str">
        <f>IF($AC127="", "", IF(ISNA(VLOOKUP($AC127, TABELAS!$Q:$Q, 1, FALSE)), 1, 0))</f>
        <v/>
      </c>
      <c r="BN127" s="306" t="str">
        <f t="shared" si="80"/>
        <v/>
      </c>
      <c r="BO127" s="304" t="str">
        <f t="shared" si="81"/>
        <v/>
      </c>
      <c r="BP127" s="304" t="str">
        <f t="shared" si="82"/>
        <v/>
      </c>
      <c r="BQ127" s="305" t="str">
        <f t="shared" si="83"/>
        <v/>
      </c>
      <c r="BR127" s="304" t="str">
        <f t="shared" si="84"/>
        <v/>
      </c>
      <c r="BS127" s="304" t="str">
        <f t="shared" si="85"/>
        <v/>
      </c>
      <c r="BT127" s="304" t="str">
        <f>IF(OR($B127="", $AH127 = "SIM"), "", IF( ISNA(VLOOKUP($AP127,#REF!, 1, FALSE)), 1, 0))</f>
        <v/>
      </c>
      <c r="BU127" s="304" t="str">
        <f t="shared" si="86"/>
        <v/>
      </c>
      <c r="BV127" s="304" t="str">
        <f>IF( $B127="", "", IF( ISNA(VLOOKUP($AN127, TABELAS!$T$2:$T$9,1,FALSE)), 1, 0))</f>
        <v/>
      </c>
      <c r="BW127" s="304" t="str">
        <f t="shared" si="87"/>
        <v/>
      </c>
      <c r="BX127" s="304" t="str">
        <f>IF( OR($B127="", $AH127 = "SIM"), "", IF( ISNA( VLOOKUP( $AQ127, SISTEMA!$B:$B, 1, FALSE)), 1, 0))</f>
        <v/>
      </c>
      <c r="BY127" s="305" t="str">
        <f t="shared" si="88"/>
        <v/>
      </c>
      <c r="BZ127" s="305" t="str">
        <f t="shared" si="89"/>
        <v/>
      </c>
      <c r="CA127" s="304" t="str">
        <f t="shared" si="90"/>
        <v/>
      </c>
      <c r="CB127" s="305" t="str">
        <f t="shared" si="91"/>
        <v/>
      </c>
      <c r="CC127" s="305" t="str">
        <f t="shared" si="92"/>
        <v/>
      </c>
      <c r="CD127" s="305" t="str">
        <f t="shared" si="93"/>
        <v/>
      </c>
    </row>
    <row r="128" spans="1:82" x14ac:dyDescent="0.2">
      <c r="A128" s="235"/>
      <c r="B128" s="236" t="str">
        <f t="shared" si="58"/>
        <v/>
      </c>
      <c r="C128" s="237" t="str">
        <f t="shared" si="48"/>
        <v/>
      </c>
      <c r="D128" s="237" t="str">
        <f t="shared" si="59"/>
        <v/>
      </c>
      <c r="E128" s="237" t="str">
        <f>IF($C128="", "", COUNTIF($M$8:$M128,$D128))</f>
        <v/>
      </c>
      <c r="F128" s="238">
        <v>121</v>
      </c>
      <c r="G128" s="239"/>
      <c r="H128" s="240"/>
      <c r="I128" s="240"/>
      <c r="J128" s="241"/>
      <c r="K128" s="240"/>
      <c r="L128" s="240"/>
      <c r="M128" s="240"/>
      <c r="N128" s="242"/>
      <c r="O128" s="243"/>
      <c r="P128" s="243"/>
      <c r="Q128" s="243"/>
      <c r="R128" s="243"/>
      <c r="S128" s="243"/>
      <c r="T128" s="245"/>
      <c r="U128" s="246" t="str">
        <f>IF($T128="", "", VLOOKUP($T128, CONTRATOS!$B:$E, 2, FALSE))</f>
        <v/>
      </c>
      <c r="V128" s="247">
        <f>IF(OR($T128="",TB_DEFESA!$C$2="Criação Baseline"),0,
   IF(VLOOKUP($T128, CONTRATOS!B:E, 3, FALSE)&lt;&gt;"",1,IF(VLOOKUP($T128, CONTRATOS!B:E, 4, FALSE)&lt;&gt;"",2,0)))</f>
        <v>0</v>
      </c>
      <c r="W128" s="248"/>
      <c r="X128" s="248"/>
      <c r="Y128" s="249"/>
      <c r="Z128" s="250"/>
      <c r="AA128" s="251"/>
      <c r="AB128" s="252"/>
      <c r="AC128" s="253"/>
      <c r="AD128" s="251"/>
      <c r="AE128" s="254" t="str">
        <f t="shared" si="49"/>
        <v/>
      </c>
      <c r="AF128" s="256" t="str">
        <f t="shared" si="60"/>
        <v/>
      </c>
      <c r="AG128" s="293" t="s">
        <v>62</v>
      </c>
      <c r="AH128" s="294" t="str">
        <f t="shared" si="61"/>
        <v/>
      </c>
      <c r="AI128" s="294" t="str">
        <f t="shared" si="62"/>
        <v/>
      </c>
      <c r="AJ128" s="295" t="str">
        <f t="shared" si="63"/>
        <v/>
      </c>
      <c r="AK128" s="296" t="str">
        <f t="shared" si="64"/>
        <v/>
      </c>
      <c r="AL128" s="297" t="str">
        <f t="shared" si="65"/>
        <v/>
      </c>
      <c r="AM128" s="294" t="str">
        <f t="shared" si="66"/>
        <v/>
      </c>
      <c r="AN128" s="294" t="str">
        <f t="shared" si="67"/>
        <v/>
      </c>
      <c r="AO128" s="298" t="str">
        <f t="shared" si="68"/>
        <v/>
      </c>
      <c r="AP128" s="299" t="str">
        <f t="shared" si="69"/>
        <v/>
      </c>
      <c r="AQ128" s="299" t="str">
        <f t="shared" si="70"/>
        <v/>
      </c>
      <c r="AR128" s="300" t="str">
        <f t="shared" si="50"/>
        <v/>
      </c>
      <c r="AS128" s="300" t="str">
        <f t="shared" si="51"/>
        <v/>
      </c>
      <c r="AT128" s="294" t="str">
        <f t="shared" si="52"/>
        <v/>
      </c>
      <c r="AU128" s="301" t="str">
        <f>IF(OR($B128="", $AP128= ""),"",IF(VLOOKUP($AP128, CONTRATOS!B:K,3,FALSE)="","",VLOOKUP($AP128, CONTRATOS!B:K, 3,FALSE)))</f>
        <v/>
      </c>
      <c r="AV128" s="301" t="str">
        <f>IF(OR($B128="", $AP128 = ""), "", IF(VLOOKUP($AP128, CONTRATOS!B:K,4,FALSE)="","",VLOOKUP($AP128, CONTRATOS!B:K,4, FALSE)))</f>
        <v/>
      </c>
      <c r="AW128" s="302" t="str">
        <f t="shared" si="53"/>
        <v/>
      </c>
      <c r="AX128" s="301" t="str">
        <f t="shared" si="54"/>
        <v/>
      </c>
      <c r="AY128" s="301" t="str">
        <f t="shared" si="55"/>
        <v/>
      </c>
      <c r="AZ128" s="301" t="str">
        <f t="shared" si="56"/>
        <v/>
      </c>
      <c r="BA128" s="301" t="str">
        <f t="shared" si="57"/>
        <v/>
      </c>
      <c r="BB128" s="303">
        <f t="shared" si="71"/>
        <v>0</v>
      </c>
      <c r="BC128" s="303" t="str">
        <f t="shared" si="72"/>
        <v/>
      </c>
      <c r="BD128" s="303" t="str">
        <f t="shared" si="73"/>
        <v/>
      </c>
      <c r="BF128" s="304">
        <f t="shared" si="74"/>
        <v>0</v>
      </c>
      <c r="BG128" s="304">
        <f t="shared" si="75"/>
        <v>0</v>
      </c>
      <c r="BH128" s="304" t="str">
        <f>IF( $B128="", "", IF(ISNA(VLOOKUP($C128, Defesa!$C$8:$C$30,1,FALSE)),1,0))</f>
        <v/>
      </c>
      <c r="BI128" s="305" t="str">
        <f t="shared" si="76"/>
        <v/>
      </c>
      <c r="BJ128" s="305" t="str">
        <f t="shared" si="77"/>
        <v/>
      </c>
      <c r="BK128" s="304" t="str">
        <f t="shared" si="78"/>
        <v/>
      </c>
      <c r="BL128" s="304">
        <f t="shared" si="79"/>
        <v>0</v>
      </c>
      <c r="BM128" s="304" t="str">
        <f>IF($AC128="", "", IF(ISNA(VLOOKUP($AC128, TABELAS!$Q:$Q, 1, FALSE)), 1, 0))</f>
        <v/>
      </c>
      <c r="BN128" s="306" t="str">
        <f t="shared" si="80"/>
        <v/>
      </c>
      <c r="BO128" s="304" t="str">
        <f t="shared" si="81"/>
        <v/>
      </c>
      <c r="BP128" s="304" t="str">
        <f t="shared" si="82"/>
        <v/>
      </c>
      <c r="BQ128" s="305" t="str">
        <f t="shared" si="83"/>
        <v/>
      </c>
      <c r="BR128" s="304" t="str">
        <f t="shared" si="84"/>
        <v/>
      </c>
      <c r="BS128" s="304" t="str">
        <f t="shared" si="85"/>
        <v/>
      </c>
      <c r="BT128" s="304" t="str">
        <f>IF(OR($B128="", $AH128 = "SIM"), "", IF( ISNA(VLOOKUP($AP128,#REF!, 1, FALSE)), 1, 0))</f>
        <v/>
      </c>
      <c r="BU128" s="304" t="str">
        <f t="shared" si="86"/>
        <v/>
      </c>
      <c r="BV128" s="304" t="str">
        <f>IF( $B128="", "", IF( ISNA(VLOOKUP($AN128, TABELAS!$T$2:$T$9,1,FALSE)), 1, 0))</f>
        <v/>
      </c>
      <c r="BW128" s="304" t="str">
        <f t="shared" si="87"/>
        <v/>
      </c>
      <c r="BX128" s="304" t="str">
        <f>IF( OR($B128="", $AH128 = "SIM"), "", IF( ISNA( VLOOKUP( $AQ128, SISTEMA!$B:$B, 1, FALSE)), 1, 0))</f>
        <v/>
      </c>
      <c r="BY128" s="305" t="str">
        <f t="shared" si="88"/>
        <v/>
      </c>
      <c r="BZ128" s="305" t="str">
        <f t="shared" si="89"/>
        <v/>
      </c>
      <c r="CA128" s="304" t="str">
        <f t="shared" si="90"/>
        <v/>
      </c>
      <c r="CB128" s="305" t="str">
        <f t="shared" si="91"/>
        <v/>
      </c>
      <c r="CC128" s="305" t="str">
        <f t="shared" si="92"/>
        <v/>
      </c>
      <c r="CD128" s="305" t="str">
        <f t="shared" si="93"/>
        <v/>
      </c>
    </row>
    <row r="129" spans="1:82" x14ac:dyDescent="0.2">
      <c r="A129" s="235"/>
      <c r="B129" s="236" t="str">
        <f t="shared" si="58"/>
        <v/>
      </c>
      <c r="C129" s="237" t="str">
        <f t="shared" si="48"/>
        <v/>
      </c>
      <c r="D129" s="237" t="str">
        <f t="shared" si="59"/>
        <v/>
      </c>
      <c r="E129" s="237" t="str">
        <f>IF($C129="", "", COUNTIF($M$8:$M129,$D129))</f>
        <v/>
      </c>
      <c r="F129" s="238">
        <v>122</v>
      </c>
      <c r="G129" s="239"/>
      <c r="H129" s="240"/>
      <c r="I129" s="240"/>
      <c r="J129" s="241"/>
      <c r="K129" s="240"/>
      <c r="L129" s="240"/>
      <c r="M129" s="240"/>
      <c r="N129" s="242"/>
      <c r="O129" s="243"/>
      <c r="P129" s="243"/>
      <c r="Q129" s="243"/>
      <c r="R129" s="243"/>
      <c r="S129" s="243"/>
      <c r="T129" s="245"/>
      <c r="U129" s="246" t="str">
        <f>IF($T129="", "", VLOOKUP($T129, CONTRATOS!$B:$E, 2, FALSE))</f>
        <v/>
      </c>
      <c r="V129" s="247">
        <f>IF(OR($T129="",TB_DEFESA!$C$2="Criação Baseline"),0,
   IF(VLOOKUP($T129, CONTRATOS!B:E, 3, FALSE)&lt;&gt;"",1,IF(VLOOKUP($T129, CONTRATOS!B:E, 4, FALSE)&lt;&gt;"",2,0)))</f>
        <v>0</v>
      </c>
      <c r="W129" s="248"/>
      <c r="X129" s="248"/>
      <c r="Y129" s="249"/>
      <c r="Z129" s="250"/>
      <c r="AA129" s="251"/>
      <c r="AB129" s="252"/>
      <c r="AC129" s="253"/>
      <c r="AD129" s="251"/>
      <c r="AE129" s="254" t="str">
        <f t="shared" si="49"/>
        <v/>
      </c>
      <c r="AF129" s="256" t="str">
        <f t="shared" si="60"/>
        <v/>
      </c>
      <c r="AG129" s="293" t="s">
        <v>62</v>
      </c>
      <c r="AH129" s="294" t="str">
        <f t="shared" si="61"/>
        <v/>
      </c>
      <c r="AI129" s="294" t="str">
        <f t="shared" si="62"/>
        <v/>
      </c>
      <c r="AJ129" s="295" t="str">
        <f t="shared" si="63"/>
        <v/>
      </c>
      <c r="AK129" s="296" t="str">
        <f t="shared" si="64"/>
        <v/>
      </c>
      <c r="AL129" s="297" t="str">
        <f t="shared" si="65"/>
        <v/>
      </c>
      <c r="AM129" s="294" t="str">
        <f t="shared" si="66"/>
        <v/>
      </c>
      <c r="AN129" s="294" t="str">
        <f t="shared" si="67"/>
        <v/>
      </c>
      <c r="AO129" s="298" t="str">
        <f t="shared" si="68"/>
        <v/>
      </c>
      <c r="AP129" s="299" t="str">
        <f t="shared" si="69"/>
        <v/>
      </c>
      <c r="AQ129" s="299" t="str">
        <f t="shared" si="70"/>
        <v/>
      </c>
      <c r="AR129" s="300" t="str">
        <f t="shared" si="50"/>
        <v/>
      </c>
      <c r="AS129" s="300" t="str">
        <f t="shared" si="51"/>
        <v/>
      </c>
      <c r="AT129" s="294" t="str">
        <f t="shared" si="52"/>
        <v/>
      </c>
      <c r="AU129" s="301" t="str">
        <f>IF(OR($B129="", $AP129= ""),"",IF(VLOOKUP($AP129, CONTRATOS!B:K,3,FALSE)="","",VLOOKUP($AP129, CONTRATOS!B:K, 3,FALSE)))</f>
        <v/>
      </c>
      <c r="AV129" s="301" t="str">
        <f>IF(OR($B129="", $AP129 = ""), "", IF(VLOOKUP($AP129, CONTRATOS!B:K,4,FALSE)="","",VLOOKUP($AP129, CONTRATOS!B:K,4, FALSE)))</f>
        <v/>
      </c>
      <c r="AW129" s="302" t="str">
        <f t="shared" si="53"/>
        <v/>
      </c>
      <c r="AX129" s="301" t="str">
        <f t="shared" si="54"/>
        <v/>
      </c>
      <c r="AY129" s="301" t="str">
        <f t="shared" si="55"/>
        <v/>
      </c>
      <c r="AZ129" s="301" t="str">
        <f t="shared" si="56"/>
        <v/>
      </c>
      <c r="BA129" s="301" t="str">
        <f t="shared" si="57"/>
        <v/>
      </c>
      <c r="BB129" s="303">
        <f t="shared" si="71"/>
        <v>0</v>
      </c>
      <c r="BC129" s="303" t="str">
        <f t="shared" si="72"/>
        <v/>
      </c>
      <c r="BD129" s="303" t="str">
        <f t="shared" si="73"/>
        <v/>
      </c>
      <c r="BF129" s="304">
        <f t="shared" si="74"/>
        <v>0</v>
      </c>
      <c r="BG129" s="304">
        <f t="shared" si="75"/>
        <v>0</v>
      </c>
      <c r="BH129" s="304" t="str">
        <f>IF( $B129="", "", IF(ISNA(VLOOKUP($C129, Defesa!$C$8:$C$30,1,FALSE)),1,0))</f>
        <v/>
      </c>
      <c r="BI129" s="305" t="str">
        <f t="shared" si="76"/>
        <v/>
      </c>
      <c r="BJ129" s="305" t="str">
        <f t="shared" si="77"/>
        <v/>
      </c>
      <c r="BK129" s="304" t="str">
        <f t="shared" si="78"/>
        <v/>
      </c>
      <c r="BL129" s="304">
        <f t="shared" si="79"/>
        <v>0</v>
      </c>
      <c r="BM129" s="304" t="str">
        <f>IF($AC129="", "", IF(ISNA(VLOOKUP($AC129, TABELAS!$Q:$Q, 1, FALSE)), 1, 0))</f>
        <v/>
      </c>
      <c r="BN129" s="306" t="str">
        <f t="shared" si="80"/>
        <v/>
      </c>
      <c r="BO129" s="304" t="str">
        <f t="shared" si="81"/>
        <v/>
      </c>
      <c r="BP129" s="304" t="str">
        <f t="shared" si="82"/>
        <v/>
      </c>
      <c r="BQ129" s="305" t="str">
        <f t="shared" si="83"/>
        <v/>
      </c>
      <c r="BR129" s="304" t="str">
        <f t="shared" si="84"/>
        <v/>
      </c>
      <c r="BS129" s="304" t="str">
        <f t="shared" si="85"/>
        <v/>
      </c>
      <c r="BT129" s="304" t="str">
        <f>IF(OR($B129="", $AH129 = "SIM"), "", IF( ISNA(VLOOKUP($AP129,#REF!, 1, FALSE)), 1, 0))</f>
        <v/>
      </c>
      <c r="BU129" s="304" t="str">
        <f t="shared" si="86"/>
        <v/>
      </c>
      <c r="BV129" s="304" t="str">
        <f>IF( $B129="", "", IF( ISNA(VLOOKUP($AN129, TABELAS!$T$2:$T$9,1,FALSE)), 1, 0))</f>
        <v/>
      </c>
      <c r="BW129" s="304" t="str">
        <f t="shared" si="87"/>
        <v/>
      </c>
      <c r="BX129" s="304" t="str">
        <f>IF( OR($B129="", $AH129 = "SIM"), "", IF( ISNA( VLOOKUP( $AQ129, SISTEMA!$B:$B, 1, FALSE)), 1, 0))</f>
        <v/>
      </c>
      <c r="BY129" s="305" t="str">
        <f t="shared" si="88"/>
        <v/>
      </c>
      <c r="BZ129" s="305" t="str">
        <f t="shared" si="89"/>
        <v/>
      </c>
      <c r="CA129" s="304" t="str">
        <f t="shared" si="90"/>
        <v/>
      </c>
      <c r="CB129" s="305" t="str">
        <f t="shared" si="91"/>
        <v/>
      </c>
      <c r="CC129" s="305" t="str">
        <f t="shared" si="92"/>
        <v/>
      </c>
      <c r="CD129" s="305" t="str">
        <f t="shared" si="93"/>
        <v/>
      </c>
    </row>
    <row r="130" spans="1:82" x14ac:dyDescent="0.2">
      <c r="A130" s="235"/>
      <c r="B130" s="236" t="str">
        <f t="shared" si="58"/>
        <v/>
      </c>
      <c r="C130" s="237" t="str">
        <f t="shared" si="48"/>
        <v/>
      </c>
      <c r="D130" s="237" t="str">
        <f t="shared" si="59"/>
        <v/>
      </c>
      <c r="E130" s="237" t="str">
        <f>IF($C130="", "", COUNTIF($M$8:$M130,$D130))</f>
        <v/>
      </c>
      <c r="F130" s="238">
        <v>123</v>
      </c>
      <c r="G130" s="239"/>
      <c r="H130" s="240"/>
      <c r="I130" s="240"/>
      <c r="J130" s="241"/>
      <c r="K130" s="240"/>
      <c r="L130" s="240"/>
      <c r="M130" s="240"/>
      <c r="N130" s="242"/>
      <c r="O130" s="243"/>
      <c r="P130" s="243"/>
      <c r="Q130" s="243"/>
      <c r="R130" s="243"/>
      <c r="S130" s="243"/>
      <c r="T130" s="245"/>
      <c r="U130" s="246" t="str">
        <f>IF($T130="", "", VLOOKUP($T130, CONTRATOS!$B:$E, 2, FALSE))</f>
        <v/>
      </c>
      <c r="V130" s="247">
        <f>IF(OR($T130="",TB_DEFESA!$C$2="Criação Baseline"),0,
   IF(VLOOKUP($T130, CONTRATOS!B:E, 3, FALSE)&lt;&gt;"",1,IF(VLOOKUP($T130, CONTRATOS!B:E, 4, FALSE)&lt;&gt;"",2,0)))</f>
        <v>0</v>
      </c>
      <c r="W130" s="248"/>
      <c r="X130" s="248"/>
      <c r="Y130" s="249"/>
      <c r="Z130" s="250"/>
      <c r="AA130" s="251"/>
      <c r="AB130" s="252"/>
      <c r="AC130" s="253"/>
      <c r="AD130" s="251"/>
      <c r="AE130" s="254" t="str">
        <f t="shared" si="49"/>
        <v/>
      </c>
      <c r="AF130" s="256" t="str">
        <f t="shared" si="60"/>
        <v/>
      </c>
      <c r="AG130" s="293" t="s">
        <v>62</v>
      </c>
      <c r="AH130" s="294" t="str">
        <f t="shared" si="61"/>
        <v/>
      </c>
      <c r="AI130" s="294" t="str">
        <f t="shared" si="62"/>
        <v/>
      </c>
      <c r="AJ130" s="295" t="str">
        <f t="shared" si="63"/>
        <v/>
      </c>
      <c r="AK130" s="296" t="str">
        <f t="shared" si="64"/>
        <v/>
      </c>
      <c r="AL130" s="297" t="str">
        <f t="shared" si="65"/>
        <v/>
      </c>
      <c r="AM130" s="294" t="str">
        <f t="shared" si="66"/>
        <v/>
      </c>
      <c r="AN130" s="294" t="str">
        <f t="shared" si="67"/>
        <v/>
      </c>
      <c r="AO130" s="298" t="str">
        <f t="shared" si="68"/>
        <v/>
      </c>
      <c r="AP130" s="299" t="str">
        <f t="shared" si="69"/>
        <v/>
      </c>
      <c r="AQ130" s="299" t="str">
        <f t="shared" si="70"/>
        <v/>
      </c>
      <c r="AR130" s="300" t="str">
        <f t="shared" si="50"/>
        <v/>
      </c>
      <c r="AS130" s="300" t="str">
        <f t="shared" si="51"/>
        <v/>
      </c>
      <c r="AT130" s="294" t="str">
        <f t="shared" si="52"/>
        <v/>
      </c>
      <c r="AU130" s="301" t="str">
        <f>IF(OR($B130="", $AP130= ""),"",IF(VLOOKUP($AP130, CONTRATOS!B:K,3,FALSE)="","",VLOOKUP($AP130, CONTRATOS!B:K, 3,FALSE)))</f>
        <v/>
      </c>
      <c r="AV130" s="301" t="str">
        <f>IF(OR($B130="", $AP130 = ""), "", IF(VLOOKUP($AP130, CONTRATOS!B:K,4,FALSE)="","",VLOOKUP($AP130, CONTRATOS!B:K,4, FALSE)))</f>
        <v/>
      </c>
      <c r="AW130" s="302" t="str">
        <f t="shared" si="53"/>
        <v/>
      </c>
      <c r="AX130" s="301" t="str">
        <f t="shared" si="54"/>
        <v/>
      </c>
      <c r="AY130" s="301" t="str">
        <f t="shared" si="55"/>
        <v/>
      </c>
      <c r="AZ130" s="301" t="str">
        <f t="shared" si="56"/>
        <v/>
      </c>
      <c r="BA130" s="301" t="str">
        <f t="shared" si="57"/>
        <v/>
      </c>
      <c r="BB130" s="303">
        <f t="shared" si="71"/>
        <v>0</v>
      </c>
      <c r="BC130" s="303" t="str">
        <f t="shared" si="72"/>
        <v/>
      </c>
      <c r="BD130" s="303" t="str">
        <f t="shared" si="73"/>
        <v/>
      </c>
      <c r="BF130" s="304">
        <f t="shared" si="74"/>
        <v>0</v>
      </c>
      <c r="BG130" s="304">
        <f t="shared" si="75"/>
        <v>0</v>
      </c>
      <c r="BH130" s="304" t="str">
        <f>IF( $B130="", "", IF(ISNA(VLOOKUP($C130, Defesa!$C$8:$C$30,1,FALSE)),1,0))</f>
        <v/>
      </c>
      <c r="BI130" s="305" t="str">
        <f t="shared" si="76"/>
        <v/>
      </c>
      <c r="BJ130" s="305" t="str">
        <f t="shared" si="77"/>
        <v/>
      </c>
      <c r="BK130" s="304" t="str">
        <f t="shared" si="78"/>
        <v/>
      </c>
      <c r="BL130" s="304">
        <f t="shared" si="79"/>
        <v>0</v>
      </c>
      <c r="BM130" s="304" t="str">
        <f>IF($AC130="", "", IF(ISNA(VLOOKUP($AC130, TABELAS!$Q:$Q, 1, FALSE)), 1, 0))</f>
        <v/>
      </c>
      <c r="BN130" s="306" t="str">
        <f t="shared" si="80"/>
        <v/>
      </c>
      <c r="BO130" s="304" t="str">
        <f t="shared" si="81"/>
        <v/>
      </c>
      <c r="BP130" s="304" t="str">
        <f t="shared" si="82"/>
        <v/>
      </c>
      <c r="BQ130" s="305" t="str">
        <f t="shared" si="83"/>
        <v/>
      </c>
      <c r="BR130" s="304" t="str">
        <f t="shared" si="84"/>
        <v/>
      </c>
      <c r="BS130" s="304" t="str">
        <f t="shared" si="85"/>
        <v/>
      </c>
      <c r="BT130" s="304" t="str">
        <f>IF(OR($B130="", $AH130 = "SIM"), "", IF( ISNA(VLOOKUP($AP130,#REF!, 1, FALSE)), 1, 0))</f>
        <v/>
      </c>
      <c r="BU130" s="304" t="str">
        <f t="shared" si="86"/>
        <v/>
      </c>
      <c r="BV130" s="304" t="str">
        <f>IF( $B130="", "", IF( ISNA(VLOOKUP($AN130, TABELAS!$T$2:$T$9,1,FALSE)), 1, 0))</f>
        <v/>
      </c>
      <c r="BW130" s="304" t="str">
        <f t="shared" si="87"/>
        <v/>
      </c>
      <c r="BX130" s="304" t="str">
        <f>IF( OR($B130="", $AH130 = "SIM"), "", IF( ISNA( VLOOKUP( $AQ130, SISTEMA!$B:$B, 1, FALSE)), 1, 0))</f>
        <v/>
      </c>
      <c r="BY130" s="305" t="str">
        <f t="shared" si="88"/>
        <v/>
      </c>
      <c r="BZ130" s="305" t="str">
        <f t="shared" si="89"/>
        <v/>
      </c>
      <c r="CA130" s="304" t="str">
        <f t="shared" si="90"/>
        <v/>
      </c>
      <c r="CB130" s="305" t="str">
        <f t="shared" si="91"/>
        <v/>
      </c>
      <c r="CC130" s="305" t="str">
        <f t="shared" si="92"/>
        <v/>
      </c>
      <c r="CD130" s="305" t="str">
        <f t="shared" si="93"/>
        <v/>
      </c>
    </row>
    <row r="131" spans="1:82" x14ac:dyDescent="0.2">
      <c r="A131" s="235"/>
      <c r="B131" s="236" t="str">
        <f t="shared" si="58"/>
        <v/>
      </c>
      <c r="C131" s="237" t="str">
        <f t="shared" si="48"/>
        <v/>
      </c>
      <c r="D131" s="237" t="str">
        <f t="shared" si="59"/>
        <v/>
      </c>
      <c r="E131" s="237" t="str">
        <f>IF($C131="", "", COUNTIF($M$8:$M131,$D131))</f>
        <v/>
      </c>
      <c r="F131" s="238">
        <v>124</v>
      </c>
      <c r="G131" s="239"/>
      <c r="H131" s="240"/>
      <c r="I131" s="240"/>
      <c r="J131" s="241"/>
      <c r="K131" s="240"/>
      <c r="L131" s="240"/>
      <c r="M131" s="240"/>
      <c r="N131" s="242"/>
      <c r="O131" s="243"/>
      <c r="P131" s="243"/>
      <c r="Q131" s="243"/>
      <c r="R131" s="243"/>
      <c r="S131" s="243"/>
      <c r="T131" s="245"/>
      <c r="U131" s="246" t="str">
        <f>IF($T131="", "", VLOOKUP($T131, CONTRATOS!$B:$E, 2, FALSE))</f>
        <v/>
      </c>
      <c r="V131" s="247">
        <f>IF(OR($T131="",TB_DEFESA!$C$2="Criação Baseline"),0,
   IF(VLOOKUP($T131, CONTRATOS!B:E, 3, FALSE)&lt;&gt;"",1,IF(VLOOKUP($T131, CONTRATOS!B:E, 4, FALSE)&lt;&gt;"",2,0)))</f>
        <v>0</v>
      </c>
      <c r="W131" s="248"/>
      <c r="X131" s="248"/>
      <c r="Y131" s="249"/>
      <c r="Z131" s="250"/>
      <c r="AA131" s="251"/>
      <c r="AB131" s="252"/>
      <c r="AC131" s="253"/>
      <c r="AD131" s="251"/>
      <c r="AE131" s="254" t="str">
        <f t="shared" si="49"/>
        <v/>
      </c>
      <c r="AF131" s="256" t="str">
        <f t="shared" si="60"/>
        <v/>
      </c>
      <c r="AG131" s="293" t="s">
        <v>62</v>
      </c>
      <c r="AH131" s="294" t="str">
        <f t="shared" si="61"/>
        <v/>
      </c>
      <c r="AI131" s="294" t="str">
        <f t="shared" si="62"/>
        <v/>
      </c>
      <c r="AJ131" s="295" t="str">
        <f t="shared" si="63"/>
        <v/>
      </c>
      <c r="AK131" s="296" t="str">
        <f t="shared" si="64"/>
        <v/>
      </c>
      <c r="AL131" s="297" t="str">
        <f t="shared" si="65"/>
        <v/>
      </c>
      <c r="AM131" s="294" t="str">
        <f t="shared" si="66"/>
        <v/>
      </c>
      <c r="AN131" s="294" t="str">
        <f t="shared" si="67"/>
        <v/>
      </c>
      <c r="AO131" s="298" t="str">
        <f t="shared" si="68"/>
        <v/>
      </c>
      <c r="AP131" s="299" t="str">
        <f t="shared" si="69"/>
        <v/>
      </c>
      <c r="AQ131" s="299" t="str">
        <f t="shared" si="70"/>
        <v/>
      </c>
      <c r="AR131" s="300" t="str">
        <f t="shared" si="50"/>
        <v/>
      </c>
      <c r="AS131" s="300" t="str">
        <f t="shared" si="51"/>
        <v/>
      </c>
      <c r="AT131" s="294" t="str">
        <f t="shared" si="52"/>
        <v/>
      </c>
      <c r="AU131" s="301" t="str">
        <f>IF(OR($B131="", $AP131= ""),"",IF(VLOOKUP($AP131, CONTRATOS!B:K,3,FALSE)="","",VLOOKUP($AP131, CONTRATOS!B:K, 3,FALSE)))</f>
        <v/>
      </c>
      <c r="AV131" s="301" t="str">
        <f>IF(OR($B131="", $AP131 = ""), "", IF(VLOOKUP($AP131, CONTRATOS!B:K,4,FALSE)="","",VLOOKUP($AP131, CONTRATOS!B:K,4, FALSE)))</f>
        <v/>
      </c>
      <c r="AW131" s="302" t="str">
        <f t="shared" si="53"/>
        <v/>
      </c>
      <c r="AX131" s="301" t="str">
        <f t="shared" si="54"/>
        <v/>
      </c>
      <c r="AY131" s="301" t="str">
        <f t="shared" si="55"/>
        <v/>
      </c>
      <c r="AZ131" s="301" t="str">
        <f t="shared" si="56"/>
        <v/>
      </c>
      <c r="BA131" s="301" t="str">
        <f t="shared" si="57"/>
        <v/>
      </c>
      <c r="BB131" s="303">
        <f t="shared" si="71"/>
        <v>0</v>
      </c>
      <c r="BC131" s="303" t="str">
        <f t="shared" si="72"/>
        <v/>
      </c>
      <c r="BD131" s="303" t="str">
        <f t="shared" si="73"/>
        <v/>
      </c>
      <c r="BF131" s="304">
        <f t="shared" si="74"/>
        <v>0</v>
      </c>
      <c r="BG131" s="304">
        <f t="shared" si="75"/>
        <v>0</v>
      </c>
      <c r="BH131" s="304" t="str">
        <f>IF( $B131="", "", IF(ISNA(VLOOKUP($C131, Defesa!$C$8:$C$30,1,FALSE)),1,0))</f>
        <v/>
      </c>
      <c r="BI131" s="305" t="str">
        <f t="shared" si="76"/>
        <v/>
      </c>
      <c r="BJ131" s="305" t="str">
        <f t="shared" si="77"/>
        <v/>
      </c>
      <c r="BK131" s="304" t="str">
        <f t="shared" si="78"/>
        <v/>
      </c>
      <c r="BL131" s="304">
        <f t="shared" si="79"/>
        <v>0</v>
      </c>
      <c r="BM131" s="304" t="str">
        <f>IF($AC131="", "", IF(ISNA(VLOOKUP($AC131, TABELAS!$Q:$Q, 1, FALSE)), 1, 0))</f>
        <v/>
      </c>
      <c r="BN131" s="306" t="str">
        <f t="shared" si="80"/>
        <v/>
      </c>
      <c r="BO131" s="304" t="str">
        <f t="shared" si="81"/>
        <v/>
      </c>
      <c r="BP131" s="304" t="str">
        <f t="shared" si="82"/>
        <v/>
      </c>
      <c r="BQ131" s="305" t="str">
        <f t="shared" si="83"/>
        <v/>
      </c>
      <c r="BR131" s="304" t="str">
        <f t="shared" si="84"/>
        <v/>
      </c>
      <c r="BS131" s="304" t="str">
        <f t="shared" si="85"/>
        <v/>
      </c>
      <c r="BT131" s="304" t="str">
        <f>IF(OR($B131="", $AH131 = "SIM"), "", IF( ISNA(VLOOKUP($AP131,#REF!, 1, FALSE)), 1, 0))</f>
        <v/>
      </c>
      <c r="BU131" s="304" t="str">
        <f t="shared" si="86"/>
        <v/>
      </c>
      <c r="BV131" s="304" t="str">
        <f>IF( $B131="", "", IF( ISNA(VLOOKUP($AN131, TABELAS!$T$2:$T$9,1,FALSE)), 1, 0))</f>
        <v/>
      </c>
      <c r="BW131" s="304" t="str">
        <f t="shared" si="87"/>
        <v/>
      </c>
      <c r="BX131" s="304" t="str">
        <f>IF( OR($B131="", $AH131 = "SIM"), "", IF( ISNA( VLOOKUP( $AQ131, SISTEMA!$B:$B, 1, FALSE)), 1, 0))</f>
        <v/>
      </c>
      <c r="BY131" s="305" t="str">
        <f t="shared" si="88"/>
        <v/>
      </c>
      <c r="BZ131" s="305" t="str">
        <f t="shared" si="89"/>
        <v/>
      </c>
      <c r="CA131" s="304" t="str">
        <f t="shared" si="90"/>
        <v/>
      </c>
      <c r="CB131" s="305" t="str">
        <f t="shared" si="91"/>
        <v/>
      </c>
      <c r="CC131" s="305" t="str">
        <f t="shared" si="92"/>
        <v/>
      </c>
      <c r="CD131" s="305" t="str">
        <f t="shared" si="93"/>
        <v/>
      </c>
    </row>
    <row r="132" spans="1:82" x14ac:dyDescent="0.2">
      <c r="A132" s="235"/>
      <c r="B132" s="236" t="str">
        <f t="shared" si="58"/>
        <v/>
      </c>
      <c r="C132" s="237" t="str">
        <f t="shared" si="48"/>
        <v/>
      </c>
      <c r="D132" s="237" t="str">
        <f t="shared" si="59"/>
        <v/>
      </c>
      <c r="E132" s="237" t="str">
        <f>IF($C132="", "", COUNTIF($M$8:$M132,$D132))</f>
        <v/>
      </c>
      <c r="F132" s="238">
        <v>125</v>
      </c>
      <c r="G132" s="239"/>
      <c r="H132" s="240"/>
      <c r="I132" s="240"/>
      <c r="J132" s="241"/>
      <c r="K132" s="240"/>
      <c r="L132" s="240"/>
      <c r="M132" s="240"/>
      <c r="N132" s="242"/>
      <c r="O132" s="243"/>
      <c r="P132" s="243"/>
      <c r="Q132" s="243"/>
      <c r="R132" s="243"/>
      <c r="S132" s="243"/>
      <c r="T132" s="245"/>
      <c r="U132" s="246" t="str">
        <f>IF($T132="", "", VLOOKUP($T132, CONTRATOS!$B:$E, 2, FALSE))</f>
        <v/>
      </c>
      <c r="V132" s="247">
        <f>IF(OR($T132="",TB_DEFESA!$C$2="Criação Baseline"),0,
   IF(VLOOKUP($T132, CONTRATOS!B:E, 3, FALSE)&lt;&gt;"",1,IF(VLOOKUP($T132, CONTRATOS!B:E, 4, FALSE)&lt;&gt;"",2,0)))</f>
        <v>0</v>
      </c>
      <c r="W132" s="248"/>
      <c r="X132" s="248"/>
      <c r="Y132" s="249"/>
      <c r="Z132" s="250"/>
      <c r="AA132" s="251"/>
      <c r="AB132" s="252"/>
      <c r="AC132" s="253"/>
      <c r="AD132" s="251"/>
      <c r="AE132" s="254" t="str">
        <f t="shared" si="49"/>
        <v/>
      </c>
      <c r="AF132" s="256" t="str">
        <f t="shared" si="60"/>
        <v/>
      </c>
      <c r="AG132" s="293" t="s">
        <v>62</v>
      </c>
      <c r="AH132" s="294" t="str">
        <f t="shared" si="61"/>
        <v/>
      </c>
      <c r="AI132" s="294" t="str">
        <f t="shared" si="62"/>
        <v/>
      </c>
      <c r="AJ132" s="295" t="str">
        <f t="shared" si="63"/>
        <v/>
      </c>
      <c r="AK132" s="296" t="str">
        <f t="shared" si="64"/>
        <v/>
      </c>
      <c r="AL132" s="297" t="str">
        <f t="shared" si="65"/>
        <v/>
      </c>
      <c r="AM132" s="294" t="str">
        <f t="shared" si="66"/>
        <v/>
      </c>
      <c r="AN132" s="294" t="str">
        <f t="shared" si="67"/>
        <v/>
      </c>
      <c r="AO132" s="298" t="str">
        <f t="shared" si="68"/>
        <v/>
      </c>
      <c r="AP132" s="299" t="str">
        <f t="shared" si="69"/>
        <v/>
      </c>
      <c r="AQ132" s="299" t="str">
        <f t="shared" si="70"/>
        <v/>
      </c>
      <c r="AR132" s="300" t="str">
        <f t="shared" si="50"/>
        <v/>
      </c>
      <c r="AS132" s="300" t="str">
        <f t="shared" si="51"/>
        <v/>
      </c>
      <c r="AT132" s="294" t="str">
        <f t="shared" si="52"/>
        <v/>
      </c>
      <c r="AU132" s="301" t="str">
        <f>IF(OR($B132="", $AP132= ""),"",IF(VLOOKUP($AP132, CONTRATOS!B:K,3,FALSE)="","",VLOOKUP($AP132, CONTRATOS!B:K, 3,FALSE)))</f>
        <v/>
      </c>
      <c r="AV132" s="301" t="str">
        <f>IF(OR($B132="", $AP132 = ""), "", IF(VLOOKUP($AP132, CONTRATOS!B:K,4,FALSE)="","",VLOOKUP($AP132, CONTRATOS!B:K,4, FALSE)))</f>
        <v/>
      </c>
      <c r="AW132" s="302" t="str">
        <f t="shared" si="53"/>
        <v/>
      </c>
      <c r="AX132" s="301" t="str">
        <f t="shared" si="54"/>
        <v/>
      </c>
      <c r="AY132" s="301" t="str">
        <f t="shared" si="55"/>
        <v/>
      </c>
      <c r="AZ132" s="301" t="str">
        <f t="shared" si="56"/>
        <v/>
      </c>
      <c r="BA132" s="301" t="str">
        <f t="shared" si="57"/>
        <v/>
      </c>
      <c r="BB132" s="303">
        <f t="shared" si="71"/>
        <v>0</v>
      </c>
      <c r="BC132" s="303" t="str">
        <f t="shared" si="72"/>
        <v/>
      </c>
      <c r="BD132" s="303" t="str">
        <f t="shared" si="73"/>
        <v/>
      </c>
      <c r="BF132" s="304">
        <f t="shared" si="74"/>
        <v>0</v>
      </c>
      <c r="BG132" s="304">
        <f t="shared" si="75"/>
        <v>0</v>
      </c>
      <c r="BH132" s="304" t="str">
        <f>IF( $B132="", "", IF(ISNA(VLOOKUP($C132, Defesa!$C$8:$C$30,1,FALSE)),1,0))</f>
        <v/>
      </c>
      <c r="BI132" s="305" t="str">
        <f t="shared" si="76"/>
        <v/>
      </c>
      <c r="BJ132" s="305" t="str">
        <f t="shared" si="77"/>
        <v/>
      </c>
      <c r="BK132" s="304" t="str">
        <f t="shared" si="78"/>
        <v/>
      </c>
      <c r="BL132" s="304">
        <f t="shared" si="79"/>
        <v>0</v>
      </c>
      <c r="BM132" s="304" t="str">
        <f>IF($AC132="", "", IF(ISNA(VLOOKUP($AC132, TABELAS!$Q:$Q, 1, FALSE)), 1, 0))</f>
        <v/>
      </c>
      <c r="BN132" s="306" t="str">
        <f t="shared" si="80"/>
        <v/>
      </c>
      <c r="BO132" s="304" t="str">
        <f t="shared" si="81"/>
        <v/>
      </c>
      <c r="BP132" s="304" t="str">
        <f t="shared" si="82"/>
        <v/>
      </c>
      <c r="BQ132" s="305" t="str">
        <f t="shared" si="83"/>
        <v/>
      </c>
      <c r="BR132" s="304" t="str">
        <f t="shared" si="84"/>
        <v/>
      </c>
      <c r="BS132" s="304" t="str">
        <f t="shared" si="85"/>
        <v/>
      </c>
      <c r="BT132" s="304" t="str">
        <f>IF(OR($B132="", $AH132 = "SIM"), "", IF( ISNA(VLOOKUP($AP132,#REF!, 1, FALSE)), 1, 0))</f>
        <v/>
      </c>
      <c r="BU132" s="304" t="str">
        <f t="shared" si="86"/>
        <v/>
      </c>
      <c r="BV132" s="304" t="str">
        <f>IF( $B132="", "", IF( ISNA(VLOOKUP($AN132, TABELAS!$T$2:$T$9,1,FALSE)), 1, 0))</f>
        <v/>
      </c>
      <c r="BW132" s="304" t="str">
        <f t="shared" si="87"/>
        <v/>
      </c>
      <c r="BX132" s="304" t="str">
        <f>IF( OR($B132="", $AH132 = "SIM"), "", IF( ISNA( VLOOKUP( $AQ132, SISTEMA!$B:$B, 1, FALSE)), 1, 0))</f>
        <v/>
      </c>
      <c r="BY132" s="305" t="str">
        <f t="shared" si="88"/>
        <v/>
      </c>
      <c r="BZ132" s="305" t="str">
        <f t="shared" si="89"/>
        <v/>
      </c>
      <c r="CA132" s="304" t="str">
        <f t="shared" si="90"/>
        <v/>
      </c>
      <c r="CB132" s="305" t="str">
        <f t="shared" si="91"/>
        <v/>
      </c>
      <c r="CC132" s="305" t="str">
        <f t="shared" si="92"/>
        <v/>
      </c>
      <c r="CD132" s="305" t="str">
        <f t="shared" si="93"/>
        <v/>
      </c>
    </row>
    <row r="133" spans="1:82" x14ac:dyDescent="0.2">
      <c r="A133" s="235"/>
      <c r="B133" s="236" t="str">
        <f t="shared" si="58"/>
        <v/>
      </c>
      <c r="C133" s="237" t="str">
        <f t="shared" si="48"/>
        <v/>
      </c>
      <c r="D133" s="237" t="str">
        <f t="shared" si="59"/>
        <v/>
      </c>
      <c r="E133" s="237" t="str">
        <f>IF($C133="", "", COUNTIF($M$8:$M133,$D133))</f>
        <v/>
      </c>
      <c r="F133" s="238">
        <v>126</v>
      </c>
      <c r="G133" s="239"/>
      <c r="H133" s="240"/>
      <c r="I133" s="240"/>
      <c r="J133" s="241"/>
      <c r="K133" s="240"/>
      <c r="L133" s="240"/>
      <c r="M133" s="240"/>
      <c r="N133" s="242"/>
      <c r="O133" s="243"/>
      <c r="P133" s="243"/>
      <c r="Q133" s="243"/>
      <c r="R133" s="243"/>
      <c r="S133" s="243"/>
      <c r="T133" s="245"/>
      <c r="U133" s="246" t="str">
        <f>IF($T133="", "", VLOOKUP($T133, CONTRATOS!$B:$E, 2, FALSE))</f>
        <v/>
      </c>
      <c r="V133" s="247">
        <f>IF(OR($T133="",TB_DEFESA!$C$2="Criação Baseline"),0,
   IF(VLOOKUP($T133, CONTRATOS!B:E, 3, FALSE)&lt;&gt;"",1,IF(VLOOKUP($T133, CONTRATOS!B:E, 4, FALSE)&lt;&gt;"",2,0)))</f>
        <v>0</v>
      </c>
      <c r="W133" s="248"/>
      <c r="X133" s="248"/>
      <c r="Y133" s="249"/>
      <c r="Z133" s="250"/>
      <c r="AA133" s="251"/>
      <c r="AB133" s="252"/>
      <c r="AC133" s="253"/>
      <c r="AD133" s="251"/>
      <c r="AE133" s="254" t="str">
        <f t="shared" si="49"/>
        <v/>
      </c>
      <c r="AF133" s="256" t="str">
        <f t="shared" si="60"/>
        <v/>
      </c>
      <c r="AG133" s="293" t="s">
        <v>62</v>
      </c>
      <c r="AH133" s="294" t="str">
        <f t="shared" si="61"/>
        <v/>
      </c>
      <c r="AI133" s="294" t="str">
        <f t="shared" si="62"/>
        <v/>
      </c>
      <c r="AJ133" s="295" t="str">
        <f t="shared" si="63"/>
        <v/>
      </c>
      <c r="AK133" s="296" t="str">
        <f t="shared" si="64"/>
        <v/>
      </c>
      <c r="AL133" s="297" t="str">
        <f t="shared" si="65"/>
        <v/>
      </c>
      <c r="AM133" s="294" t="str">
        <f t="shared" si="66"/>
        <v/>
      </c>
      <c r="AN133" s="294" t="str">
        <f t="shared" si="67"/>
        <v/>
      </c>
      <c r="AO133" s="298" t="str">
        <f t="shared" si="68"/>
        <v/>
      </c>
      <c r="AP133" s="299" t="str">
        <f t="shared" si="69"/>
        <v/>
      </c>
      <c r="AQ133" s="299" t="str">
        <f t="shared" si="70"/>
        <v/>
      </c>
      <c r="AR133" s="300" t="str">
        <f t="shared" si="50"/>
        <v/>
      </c>
      <c r="AS133" s="300" t="str">
        <f t="shared" si="51"/>
        <v/>
      </c>
      <c r="AT133" s="294" t="str">
        <f t="shared" si="52"/>
        <v/>
      </c>
      <c r="AU133" s="301" t="str">
        <f>IF(OR($B133="", $AP133= ""),"",IF(VLOOKUP($AP133, CONTRATOS!B:K,3,FALSE)="","",VLOOKUP($AP133, CONTRATOS!B:K, 3,FALSE)))</f>
        <v/>
      </c>
      <c r="AV133" s="301" t="str">
        <f>IF(OR($B133="", $AP133 = ""), "", IF(VLOOKUP($AP133, CONTRATOS!B:K,4,FALSE)="","",VLOOKUP($AP133, CONTRATOS!B:K,4, FALSE)))</f>
        <v/>
      </c>
      <c r="AW133" s="302" t="str">
        <f t="shared" si="53"/>
        <v/>
      </c>
      <c r="AX133" s="301" t="str">
        <f t="shared" si="54"/>
        <v/>
      </c>
      <c r="AY133" s="301" t="str">
        <f t="shared" si="55"/>
        <v/>
      </c>
      <c r="AZ133" s="301" t="str">
        <f t="shared" si="56"/>
        <v/>
      </c>
      <c r="BA133" s="301" t="str">
        <f t="shared" si="57"/>
        <v/>
      </c>
      <c r="BB133" s="303">
        <f t="shared" si="71"/>
        <v>0</v>
      </c>
      <c r="BC133" s="303" t="str">
        <f t="shared" si="72"/>
        <v/>
      </c>
      <c r="BD133" s="303" t="str">
        <f t="shared" si="73"/>
        <v/>
      </c>
      <c r="BF133" s="304">
        <f t="shared" si="74"/>
        <v>0</v>
      </c>
      <c r="BG133" s="304">
        <f t="shared" si="75"/>
        <v>0</v>
      </c>
      <c r="BH133" s="304" t="str">
        <f>IF( $B133="", "", IF(ISNA(VLOOKUP($C133, Defesa!$C$8:$C$30,1,FALSE)),1,0))</f>
        <v/>
      </c>
      <c r="BI133" s="305" t="str">
        <f t="shared" si="76"/>
        <v/>
      </c>
      <c r="BJ133" s="305" t="str">
        <f t="shared" si="77"/>
        <v/>
      </c>
      <c r="BK133" s="304" t="str">
        <f t="shared" si="78"/>
        <v/>
      </c>
      <c r="BL133" s="304">
        <f t="shared" si="79"/>
        <v>0</v>
      </c>
      <c r="BM133" s="304" t="str">
        <f>IF($AC133="", "", IF(ISNA(VLOOKUP($AC133, TABELAS!$Q:$Q, 1, FALSE)), 1, 0))</f>
        <v/>
      </c>
      <c r="BN133" s="306" t="str">
        <f t="shared" si="80"/>
        <v/>
      </c>
      <c r="BO133" s="304" t="str">
        <f t="shared" si="81"/>
        <v/>
      </c>
      <c r="BP133" s="304" t="str">
        <f t="shared" si="82"/>
        <v/>
      </c>
      <c r="BQ133" s="305" t="str">
        <f t="shared" si="83"/>
        <v/>
      </c>
      <c r="BR133" s="304" t="str">
        <f t="shared" si="84"/>
        <v/>
      </c>
      <c r="BS133" s="304" t="str">
        <f t="shared" si="85"/>
        <v/>
      </c>
      <c r="BT133" s="304" t="str">
        <f>IF(OR($B133="", $AH133 = "SIM"), "", IF( ISNA(VLOOKUP($AP133,#REF!, 1, FALSE)), 1, 0))</f>
        <v/>
      </c>
      <c r="BU133" s="304" t="str">
        <f t="shared" si="86"/>
        <v/>
      </c>
      <c r="BV133" s="304" t="str">
        <f>IF( $B133="", "", IF( ISNA(VLOOKUP($AN133, TABELAS!$T$2:$T$9,1,FALSE)), 1, 0))</f>
        <v/>
      </c>
      <c r="BW133" s="304" t="str">
        <f t="shared" si="87"/>
        <v/>
      </c>
      <c r="BX133" s="304" t="str">
        <f>IF( OR($B133="", $AH133 = "SIM"), "", IF( ISNA( VLOOKUP( $AQ133, SISTEMA!$B:$B, 1, FALSE)), 1, 0))</f>
        <v/>
      </c>
      <c r="BY133" s="305" t="str">
        <f t="shared" si="88"/>
        <v/>
      </c>
      <c r="BZ133" s="305" t="str">
        <f t="shared" si="89"/>
        <v/>
      </c>
      <c r="CA133" s="304" t="str">
        <f t="shared" si="90"/>
        <v/>
      </c>
      <c r="CB133" s="305" t="str">
        <f t="shared" si="91"/>
        <v/>
      </c>
      <c r="CC133" s="305" t="str">
        <f t="shared" si="92"/>
        <v/>
      </c>
      <c r="CD133" s="305" t="str">
        <f t="shared" si="93"/>
        <v/>
      </c>
    </row>
    <row r="134" spans="1:82" x14ac:dyDescent="0.2">
      <c r="A134" s="235"/>
      <c r="B134" s="236" t="str">
        <f t="shared" si="58"/>
        <v/>
      </c>
      <c r="C134" s="237" t="str">
        <f t="shared" si="48"/>
        <v/>
      </c>
      <c r="D134" s="237" t="str">
        <f t="shared" si="59"/>
        <v/>
      </c>
      <c r="E134" s="237" t="str">
        <f>IF($C134="", "", COUNTIF($M$8:$M134,$D134))</f>
        <v/>
      </c>
      <c r="F134" s="238">
        <v>127</v>
      </c>
      <c r="G134" s="239"/>
      <c r="H134" s="240"/>
      <c r="I134" s="240"/>
      <c r="J134" s="241"/>
      <c r="K134" s="240"/>
      <c r="L134" s="240"/>
      <c r="M134" s="240"/>
      <c r="N134" s="242"/>
      <c r="O134" s="243"/>
      <c r="P134" s="243"/>
      <c r="Q134" s="243"/>
      <c r="R134" s="243"/>
      <c r="S134" s="243"/>
      <c r="T134" s="245"/>
      <c r="U134" s="246" t="str">
        <f>IF($T134="", "", VLOOKUP($T134, CONTRATOS!$B:$E, 2, FALSE))</f>
        <v/>
      </c>
      <c r="V134" s="247">
        <f>IF(OR($T134="",TB_DEFESA!$C$2="Criação Baseline"),0,
   IF(VLOOKUP($T134, CONTRATOS!B:E, 3, FALSE)&lt;&gt;"",1,IF(VLOOKUP($T134, CONTRATOS!B:E, 4, FALSE)&lt;&gt;"",2,0)))</f>
        <v>0</v>
      </c>
      <c r="W134" s="248"/>
      <c r="X134" s="248"/>
      <c r="Y134" s="249"/>
      <c r="Z134" s="250"/>
      <c r="AA134" s="251"/>
      <c r="AB134" s="252"/>
      <c r="AC134" s="253"/>
      <c r="AD134" s="251"/>
      <c r="AE134" s="254" t="str">
        <f t="shared" si="49"/>
        <v/>
      </c>
      <c r="AF134" s="256" t="str">
        <f t="shared" si="60"/>
        <v/>
      </c>
      <c r="AG134" s="293" t="s">
        <v>62</v>
      </c>
      <c r="AH134" s="294" t="str">
        <f t="shared" si="61"/>
        <v/>
      </c>
      <c r="AI134" s="294" t="str">
        <f t="shared" si="62"/>
        <v/>
      </c>
      <c r="AJ134" s="295" t="str">
        <f t="shared" si="63"/>
        <v/>
      </c>
      <c r="AK134" s="296" t="str">
        <f t="shared" si="64"/>
        <v/>
      </c>
      <c r="AL134" s="297" t="str">
        <f t="shared" si="65"/>
        <v/>
      </c>
      <c r="AM134" s="294" t="str">
        <f t="shared" si="66"/>
        <v/>
      </c>
      <c r="AN134" s="294" t="str">
        <f t="shared" si="67"/>
        <v/>
      </c>
      <c r="AO134" s="298" t="str">
        <f t="shared" si="68"/>
        <v/>
      </c>
      <c r="AP134" s="299" t="str">
        <f t="shared" si="69"/>
        <v/>
      </c>
      <c r="AQ134" s="299" t="str">
        <f t="shared" si="70"/>
        <v/>
      </c>
      <c r="AR134" s="300" t="str">
        <f t="shared" si="50"/>
        <v/>
      </c>
      <c r="AS134" s="300" t="str">
        <f t="shared" si="51"/>
        <v/>
      </c>
      <c r="AT134" s="294" t="str">
        <f t="shared" si="52"/>
        <v/>
      </c>
      <c r="AU134" s="301" t="str">
        <f>IF(OR($B134="", $AP134= ""),"",IF(VLOOKUP($AP134, CONTRATOS!B:K,3,FALSE)="","",VLOOKUP($AP134, CONTRATOS!B:K, 3,FALSE)))</f>
        <v/>
      </c>
      <c r="AV134" s="301" t="str">
        <f>IF(OR($B134="", $AP134 = ""), "", IF(VLOOKUP($AP134, CONTRATOS!B:K,4,FALSE)="","",VLOOKUP($AP134, CONTRATOS!B:K,4, FALSE)))</f>
        <v/>
      </c>
      <c r="AW134" s="302" t="str">
        <f t="shared" si="53"/>
        <v/>
      </c>
      <c r="AX134" s="301" t="str">
        <f t="shared" si="54"/>
        <v/>
      </c>
      <c r="AY134" s="301" t="str">
        <f t="shared" si="55"/>
        <v/>
      </c>
      <c r="AZ134" s="301" t="str">
        <f t="shared" si="56"/>
        <v/>
      </c>
      <c r="BA134" s="301" t="str">
        <f t="shared" si="57"/>
        <v/>
      </c>
      <c r="BB134" s="303">
        <f t="shared" si="71"/>
        <v>0</v>
      </c>
      <c r="BC134" s="303" t="str">
        <f t="shared" si="72"/>
        <v/>
      </c>
      <c r="BD134" s="303" t="str">
        <f t="shared" si="73"/>
        <v/>
      </c>
      <c r="BF134" s="304">
        <f t="shared" si="74"/>
        <v>0</v>
      </c>
      <c r="BG134" s="304">
        <f t="shared" si="75"/>
        <v>0</v>
      </c>
      <c r="BH134" s="304" t="str">
        <f>IF( $B134="", "", IF(ISNA(VLOOKUP($C134, Defesa!$C$8:$C$30,1,FALSE)),1,0))</f>
        <v/>
      </c>
      <c r="BI134" s="305" t="str">
        <f t="shared" si="76"/>
        <v/>
      </c>
      <c r="BJ134" s="305" t="str">
        <f t="shared" si="77"/>
        <v/>
      </c>
      <c r="BK134" s="304" t="str">
        <f t="shared" si="78"/>
        <v/>
      </c>
      <c r="BL134" s="304">
        <f t="shared" si="79"/>
        <v>0</v>
      </c>
      <c r="BM134" s="304" t="str">
        <f>IF($AC134="", "", IF(ISNA(VLOOKUP($AC134, TABELAS!$Q:$Q, 1, FALSE)), 1, 0))</f>
        <v/>
      </c>
      <c r="BN134" s="306" t="str">
        <f t="shared" si="80"/>
        <v/>
      </c>
      <c r="BO134" s="304" t="str">
        <f t="shared" si="81"/>
        <v/>
      </c>
      <c r="BP134" s="304" t="str">
        <f t="shared" si="82"/>
        <v/>
      </c>
      <c r="BQ134" s="305" t="str">
        <f t="shared" si="83"/>
        <v/>
      </c>
      <c r="BR134" s="304" t="str">
        <f t="shared" si="84"/>
        <v/>
      </c>
      <c r="BS134" s="304" t="str">
        <f t="shared" si="85"/>
        <v/>
      </c>
      <c r="BT134" s="304" t="str">
        <f>IF(OR($B134="", $AH134 = "SIM"), "", IF( ISNA(VLOOKUP($AP134,#REF!, 1, FALSE)), 1, 0))</f>
        <v/>
      </c>
      <c r="BU134" s="304" t="str">
        <f t="shared" si="86"/>
        <v/>
      </c>
      <c r="BV134" s="304" t="str">
        <f>IF( $B134="", "", IF( ISNA(VLOOKUP($AN134, TABELAS!$T$2:$T$9,1,FALSE)), 1, 0))</f>
        <v/>
      </c>
      <c r="BW134" s="304" t="str">
        <f t="shared" si="87"/>
        <v/>
      </c>
      <c r="BX134" s="304" t="str">
        <f>IF( OR($B134="", $AH134 = "SIM"), "", IF( ISNA( VLOOKUP( $AQ134, SISTEMA!$B:$B, 1, FALSE)), 1, 0))</f>
        <v/>
      </c>
      <c r="BY134" s="305" t="str">
        <f t="shared" si="88"/>
        <v/>
      </c>
      <c r="BZ134" s="305" t="str">
        <f t="shared" si="89"/>
        <v/>
      </c>
      <c r="CA134" s="304" t="str">
        <f t="shared" si="90"/>
        <v/>
      </c>
      <c r="CB134" s="305" t="str">
        <f t="shared" si="91"/>
        <v/>
      </c>
      <c r="CC134" s="305" t="str">
        <f t="shared" si="92"/>
        <v/>
      </c>
      <c r="CD134" s="305" t="str">
        <f t="shared" si="93"/>
        <v/>
      </c>
    </row>
    <row r="135" spans="1:82" x14ac:dyDescent="0.2">
      <c r="A135" s="235"/>
      <c r="B135" s="236" t="str">
        <f t="shared" si="58"/>
        <v/>
      </c>
      <c r="C135" s="237" t="str">
        <f t="shared" si="48"/>
        <v/>
      </c>
      <c r="D135" s="237" t="str">
        <f t="shared" si="59"/>
        <v/>
      </c>
      <c r="E135" s="237" t="str">
        <f>IF($C135="", "", COUNTIF($M$8:$M135,$D135))</f>
        <v/>
      </c>
      <c r="F135" s="238">
        <v>128</v>
      </c>
      <c r="G135" s="239"/>
      <c r="H135" s="240"/>
      <c r="I135" s="240"/>
      <c r="J135" s="241"/>
      <c r="K135" s="240"/>
      <c r="L135" s="240"/>
      <c r="M135" s="240"/>
      <c r="N135" s="242"/>
      <c r="O135" s="243"/>
      <c r="P135" s="243"/>
      <c r="Q135" s="243"/>
      <c r="R135" s="243"/>
      <c r="S135" s="243"/>
      <c r="T135" s="245"/>
      <c r="U135" s="246" t="str">
        <f>IF($T135="", "", VLOOKUP($T135, CONTRATOS!$B:$E, 2, FALSE))</f>
        <v/>
      </c>
      <c r="V135" s="247">
        <f>IF(OR($T135="",TB_DEFESA!$C$2="Criação Baseline"),0,
   IF(VLOOKUP($T135, CONTRATOS!B:E, 3, FALSE)&lt;&gt;"",1,IF(VLOOKUP($T135, CONTRATOS!B:E, 4, FALSE)&lt;&gt;"",2,0)))</f>
        <v>0</v>
      </c>
      <c r="W135" s="248"/>
      <c r="X135" s="248"/>
      <c r="Y135" s="249"/>
      <c r="Z135" s="250"/>
      <c r="AA135" s="251"/>
      <c r="AB135" s="252"/>
      <c r="AC135" s="253"/>
      <c r="AD135" s="251"/>
      <c r="AE135" s="254" t="str">
        <f t="shared" si="49"/>
        <v/>
      </c>
      <c r="AF135" s="256" t="str">
        <f t="shared" si="60"/>
        <v/>
      </c>
      <c r="AG135" s="293" t="s">
        <v>62</v>
      </c>
      <c r="AH135" s="294" t="str">
        <f t="shared" si="61"/>
        <v/>
      </c>
      <c r="AI135" s="294" t="str">
        <f t="shared" si="62"/>
        <v/>
      </c>
      <c r="AJ135" s="295" t="str">
        <f t="shared" si="63"/>
        <v/>
      </c>
      <c r="AK135" s="296" t="str">
        <f t="shared" si="64"/>
        <v/>
      </c>
      <c r="AL135" s="297" t="str">
        <f t="shared" si="65"/>
        <v/>
      </c>
      <c r="AM135" s="294" t="str">
        <f t="shared" si="66"/>
        <v/>
      </c>
      <c r="AN135" s="294" t="str">
        <f t="shared" si="67"/>
        <v/>
      </c>
      <c r="AO135" s="298" t="str">
        <f t="shared" si="68"/>
        <v/>
      </c>
      <c r="AP135" s="299" t="str">
        <f t="shared" si="69"/>
        <v/>
      </c>
      <c r="AQ135" s="299" t="str">
        <f t="shared" si="70"/>
        <v/>
      </c>
      <c r="AR135" s="300" t="str">
        <f t="shared" si="50"/>
        <v/>
      </c>
      <c r="AS135" s="300" t="str">
        <f t="shared" si="51"/>
        <v/>
      </c>
      <c r="AT135" s="294" t="str">
        <f t="shared" si="52"/>
        <v/>
      </c>
      <c r="AU135" s="301" t="str">
        <f>IF(OR($B135="", $AP135= ""),"",IF(VLOOKUP($AP135, CONTRATOS!B:K,3,FALSE)="","",VLOOKUP($AP135, CONTRATOS!B:K, 3,FALSE)))</f>
        <v/>
      </c>
      <c r="AV135" s="301" t="str">
        <f>IF(OR($B135="", $AP135 = ""), "", IF(VLOOKUP($AP135, CONTRATOS!B:K,4,FALSE)="","",VLOOKUP($AP135, CONTRATOS!B:K,4, FALSE)))</f>
        <v/>
      </c>
      <c r="AW135" s="302" t="str">
        <f t="shared" si="53"/>
        <v/>
      </c>
      <c r="AX135" s="301" t="str">
        <f t="shared" si="54"/>
        <v/>
      </c>
      <c r="AY135" s="301" t="str">
        <f t="shared" si="55"/>
        <v/>
      </c>
      <c r="AZ135" s="301" t="str">
        <f t="shared" si="56"/>
        <v/>
      </c>
      <c r="BA135" s="301" t="str">
        <f t="shared" si="57"/>
        <v/>
      </c>
      <c r="BB135" s="303">
        <f t="shared" si="71"/>
        <v>0</v>
      </c>
      <c r="BC135" s="303" t="str">
        <f t="shared" si="72"/>
        <v/>
      </c>
      <c r="BD135" s="303" t="str">
        <f t="shared" si="73"/>
        <v/>
      </c>
      <c r="BF135" s="304">
        <f t="shared" si="74"/>
        <v>0</v>
      </c>
      <c r="BG135" s="304">
        <f t="shared" si="75"/>
        <v>0</v>
      </c>
      <c r="BH135" s="304" t="str">
        <f>IF( $B135="", "", IF(ISNA(VLOOKUP($C135, Defesa!$C$8:$C$30,1,FALSE)),1,0))</f>
        <v/>
      </c>
      <c r="BI135" s="305" t="str">
        <f t="shared" si="76"/>
        <v/>
      </c>
      <c r="BJ135" s="305" t="str">
        <f t="shared" si="77"/>
        <v/>
      </c>
      <c r="BK135" s="304" t="str">
        <f t="shared" si="78"/>
        <v/>
      </c>
      <c r="BL135" s="304">
        <f t="shared" si="79"/>
        <v>0</v>
      </c>
      <c r="BM135" s="304" t="str">
        <f>IF($AC135="", "", IF(ISNA(VLOOKUP($AC135, TABELAS!$Q:$Q, 1, FALSE)), 1, 0))</f>
        <v/>
      </c>
      <c r="BN135" s="306" t="str">
        <f t="shared" si="80"/>
        <v/>
      </c>
      <c r="BO135" s="304" t="str">
        <f t="shared" si="81"/>
        <v/>
      </c>
      <c r="BP135" s="304" t="str">
        <f t="shared" si="82"/>
        <v/>
      </c>
      <c r="BQ135" s="305" t="str">
        <f t="shared" si="83"/>
        <v/>
      </c>
      <c r="BR135" s="304" t="str">
        <f t="shared" si="84"/>
        <v/>
      </c>
      <c r="BS135" s="304" t="str">
        <f t="shared" si="85"/>
        <v/>
      </c>
      <c r="BT135" s="304" t="str">
        <f>IF(OR($B135="", $AH135 = "SIM"), "", IF( ISNA(VLOOKUP($AP135,#REF!, 1, FALSE)), 1, 0))</f>
        <v/>
      </c>
      <c r="BU135" s="304" t="str">
        <f t="shared" si="86"/>
        <v/>
      </c>
      <c r="BV135" s="304" t="str">
        <f>IF( $B135="", "", IF( ISNA(VLOOKUP($AN135, TABELAS!$T$2:$T$9,1,FALSE)), 1, 0))</f>
        <v/>
      </c>
      <c r="BW135" s="304" t="str">
        <f t="shared" si="87"/>
        <v/>
      </c>
      <c r="BX135" s="304" t="str">
        <f>IF( OR($B135="", $AH135 = "SIM"), "", IF( ISNA( VLOOKUP( $AQ135, SISTEMA!$B:$B, 1, FALSE)), 1, 0))</f>
        <v/>
      </c>
      <c r="BY135" s="305" t="str">
        <f t="shared" si="88"/>
        <v/>
      </c>
      <c r="BZ135" s="305" t="str">
        <f t="shared" si="89"/>
        <v/>
      </c>
      <c r="CA135" s="304" t="str">
        <f t="shared" si="90"/>
        <v/>
      </c>
      <c r="CB135" s="305" t="str">
        <f t="shared" si="91"/>
        <v/>
      </c>
      <c r="CC135" s="305" t="str">
        <f t="shared" si="92"/>
        <v/>
      </c>
      <c r="CD135" s="305" t="str">
        <f t="shared" si="93"/>
        <v/>
      </c>
    </row>
    <row r="136" spans="1:82" x14ac:dyDescent="0.2">
      <c r="A136" s="235"/>
      <c r="B136" s="236" t="str">
        <f t="shared" si="58"/>
        <v/>
      </c>
      <c r="C136" s="237" t="str">
        <f t="shared" ref="C136:C199" si="94">IF($K136&lt;&gt;"",$K136, IF($AB136 = "", "", $C135))</f>
        <v/>
      </c>
      <c r="D136" s="237" t="str">
        <f t="shared" si="59"/>
        <v/>
      </c>
      <c r="E136" s="237" t="str">
        <f>IF($C136="", "", COUNTIF($M$8:$M136,$D136))</f>
        <v/>
      </c>
      <c r="F136" s="238">
        <v>129</v>
      </c>
      <c r="G136" s="239"/>
      <c r="H136" s="240"/>
      <c r="I136" s="240"/>
      <c r="J136" s="241"/>
      <c r="K136" s="240"/>
      <c r="L136" s="240"/>
      <c r="M136" s="240"/>
      <c r="N136" s="242"/>
      <c r="O136" s="243"/>
      <c r="P136" s="243"/>
      <c r="Q136" s="243"/>
      <c r="R136" s="243"/>
      <c r="S136" s="243"/>
      <c r="T136" s="245"/>
      <c r="U136" s="246" t="str">
        <f>IF($T136="", "", VLOOKUP($T136, CONTRATOS!$B:$E, 2, FALSE))</f>
        <v/>
      </c>
      <c r="V136" s="247">
        <f>IF(OR($T136="",TB_DEFESA!$C$2="Criação Baseline"),0,
   IF(VLOOKUP($T136, CONTRATOS!B:E, 3, FALSE)&lt;&gt;"",1,IF(VLOOKUP($T136, CONTRATOS!B:E, 4, FALSE)&lt;&gt;"",2,0)))</f>
        <v>0</v>
      </c>
      <c r="W136" s="248"/>
      <c r="X136" s="248"/>
      <c r="Y136" s="249"/>
      <c r="Z136" s="250"/>
      <c r="AA136" s="251"/>
      <c r="AB136" s="252"/>
      <c r="AC136" s="253"/>
      <c r="AD136" s="251"/>
      <c r="AE136" s="254" t="str">
        <f t="shared" ref="AE136:AE199" si="95">IF(AT136="","",IF(V136=1,1,IF(AT136=0,0,AD136/AT136)))</f>
        <v/>
      </c>
      <c r="AF136" s="256" t="str">
        <f t="shared" si="60"/>
        <v/>
      </c>
      <c r="AG136" s="293" t="s">
        <v>62</v>
      </c>
      <c r="AH136" s="294" t="str">
        <f t="shared" si="61"/>
        <v/>
      </c>
      <c r="AI136" s="294" t="str">
        <f t="shared" si="62"/>
        <v/>
      </c>
      <c r="AJ136" s="295" t="str">
        <f t="shared" si="63"/>
        <v/>
      </c>
      <c r="AK136" s="296" t="str">
        <f t="shared" si="64"/>
        <v/>
      </c>
      <c r="AL136" s="297" t="str">
        <f t="shared" si="65"/>
        <v/>
      </c>
      <c r="AM136" s="294" t="str">
        <f t="shared" si="66"/>
        <v/>
      </c>
      <c r="AN136" s="294" t="str">
        <f t="shared" si="67"/>
        <v/>
      </c>
      <c r="AO136" s="298" t="str">
        <f t="shared" si="68"/>
        <v/>
      </c>
      <c r="AP136" s="299" t="str">
        <f t="shared" si="69"/>
        <v/>
      </c>
      <c r="AQ136" s="299" t="str">
        <f t="shared" si="70"/>
        <v/>
      </c>
      <c r="AR136" s="300" t="str">
        <f t="shared" ref="AR136:AR199" si="96">IF($B136 = "", "",  IF($Y136= "", IF(ISNUMBER($AR135), $AR135, 0), $Y136))</f>
        <v/>
      </c>
      <c r="AS136" s="300" t="str">
        <f t="shared" ref="AS136:AS199" si="97">IF($B136 = "", "",  IF($Z136= "", IF(ISNUMBER($AS135), $AS135, 0), $Z136))</f>
        <v/>
      </c>
      <c r="AT136" s="294" t="str">
        <f t="shared" ref="AT136:AT199" si="98">IF($B136="", "", IF($AA136=0, $AT135, $AA136))</f>
        <v/>
      </c>
      <c r="AU136" s="301" t="str">
        <f>IF(OR($B136="", $AP136= ""),"",IF(VLOOKUP($AP136, CONTRATOS!B:K,3,FALSE)="","",VLOOKUP($AP136, CONTRATOS!B:K, 3,FALSE)))</f>
        <v/>
      </c>
      <c r="AV136" s="301" t="str">
        <f>IF(OR($B136="", $AP136 = ""), "", IF(VLOOKUP($AP136, CONTRATOS!B:K,4,FALSE)="","",VLOOKUP($AP136, CONTRATOS!B:K,4, FALSE)))</f>
        <v/>
      </c>
      <c r="AW136" s="302" t="str">
        <f t="shared" ref="AW136:AW199" si="99">IF($B136="", "", IF($V136=1, 1, IF( OR($AT136 = "", $AT136=0), 0, $AD136/$AT136)))</f>
        <v/>
      </c>
      <c r="AX136" s="301" t="str">
        <f t="shared" ref="AX136:AX199" si="100">IF( $B136="", "", IF( $K136="",$AX135, IF($S136 = "", "", $S136)))</f>
        <v/>
      </c>
      <c r="AY136" s="301" t="str">
        <f t="shared" ref="AY136:AY199" si="101">IF( $B136="", "", IF( $K136="",$AY135, IF($P136 = "", "", $P136)))</f>
        <v/>
      </c>
      <c r="AZ136" s="301" t="str">
        <f t="shared" ref="AZ136:AZ199" si="102">IF( $B136="", "", IF( $K136="",$AZ135, IF($Q136 = "", "", $Q136)))</f>
        <v/>
      </c>
      <c r="BA136" s="301" t="str">
        <f t="shared" ref="BA136:BA199" si="103">IF( $B136="", "", IF( $K136="",$BA135, IF($R136 = "", "", $R136)))</f>
        <v/>
      </c>
      <c r="BB136" s="303">
        <f t="shared" si="71"/>
        <v>0</v>
      </c>
      <c r="BC136" s="303" t="str">
        <f t="shared" si="72"/>
        <v/>
      </c>
      <c r="BD136" s="303" t="str">
        <f t="shared" si="73"/>
        <v/>
      </c>
      <c r="BF136" s="304">
        <f t="shared" si="74"/>
        <v>0</v>
      </c>
      <c r="BG136" s="304">
        <f t="shared" si="75"/>
        <v>0</v>
      </c>
      <c r="BH136" s="304" t="str">
        <f>IF( $B136="", "", IF(ISNA(VLOOKUP($C136, Defesa!$C$8:$C$30,1,FALSE)),1,0))</f>
        <v/>
      </c>
      <c r="BI136" s="305" t="str">
        <f t="shared" si="76"/>
        <v/>
      </c>
      <c r="BJ136" s="305" t="str">
        <f t="shared" si="77"/>
        <v/>
      </c>
      <c r="BK136" s="304" t="str">
        <f t="shared" si="78"/>
        <v/>
      </c>
      <c r="BL136" s="304">
        <f t="shared" si="79"/>
        <v>0</v>
      </c>
      <c r="BM136" s="304" t="str">
        <f>IF($AC136="", "", IF(ISNA(VLOOKUP($AC136, TABELAS!$Q:$Q, 1, FALSE)), 1, 0))</f>
        <v/>
      </c>
      <c r="BN136" s="306" t="str">
        <f t="shared" si="80"/>
        <v/>
      </c>
      <c r="BO136" s="304" t="str">
        <f t="shared" si="81"/>
        <v/>
      </c>
      <c r="BP136" s="304" t="str">
        <f t="shared" si="82"/>
        <v/>
      </c>
      <c r="BQ136" s="305" t="str">
        <f t="shared" si="83"/>
        <v/>
      </c>
      <c r="BR136" s="304" t="str">
        <f t="shared" si="84"/>
        <v/>
      </c>
      <c r="BS136" s="304" t="str">
        <f t="shared" si="85"/>
        <v/>
      </c>
      <c r="BT136" s="304" t="str">
        <f>IF(OR($B136="", $AH136 = "SIM"), "", IF( ISNA(VLOOKUP($AP136,#REF!, 1, FALSE)), 1, 0))</f>
        <v/>
      </c>
      <c r="BU136" s="304" t="str">
        <f t="shared" si="86"/>
        <v/>
      </c>
      <c r="BV136" s="304" t="str">
        <f>IF( $B136="", "", IF( ISNA(VLOOKUP($AN136, TABELAS!$T$2:$T$9,1,FALSE)), 1, 0))</f>
        <v/>
      </c>
      <c r="BW136" s="304" t="str">
        <f t="shared" si="87"/>
        <v/>
      </c>
      <c r="BX136" s="304" t="str">
        <f>IF( OR($B136="", $AH136 = "SIM"), "", IF( ISNA( VLOOKUP( $AQ136, SISTEMA!$B:$B, 1, FALSE)), 1, 0))</f>
        <v/>
      </c>
      <c r="BY136" s="305" t="str">
        <f t="shared" si="88"/>
        <v/>
      </c>
      <c r="BZ136" s="305" t="str">
        <f t="shared" si="89"/>
        <v/>
      </c>
      <c r="CA136" s="304" t="str">
        <f t="shared" si="90"/>
        <v/>
      </c>
      <c r="CB136" s="305" t="str">
        <f t="shared" si="91"/>
        <v/>
      </c>
      <c r="CC136" s="305" t="str">
        <f t="shared" si="92"/>
        <v/>
      </c>
      <c r="CD136" s="305" t="str">
        <f t="shared" si="93"/>
        <v/>
      </c>
    </row>
    <row r="137" spans="1:82" x14ac:dyDescent="0.2">
      <c r="A137" s="235"/>
      <c r="B137" s="236" t="str">
        <f t="shared" ref="B137:B200" si="104" xml:space="preserve"> IF( C137 = "", "", C137 &amp; "." &amp; D137 &amp; "."  &amp; E137)</f>
        <v/>
      </c>
      <c r="C137" s="237" t="str">
        <f t="shared" si="94"/>
        <v/>
      </c>
      <c r="D137" s="237" t="str">
        <f t="shared" ref="D137:D200" si="105">IF( $C137 = "", "", IF( $M137="", IF(AND($C136=$C137,$G137 = ""), $D136, ""), TEXT($M137,"000")))</f>
        <v/>
      </c>
      <c r="E137" s="237" t="str">
        <f>IF($C137="", "", COUNTIF($M$8:$M137,$D137))</f>
        <v/>
      </c>
      <c r="F137" s="238">
        <v>130</v>
      </c>
      <c r="G137" s="239"/>
      <c r="H137" s="240"/>
      <c r="I137" s="240"/>
      <c r="J137" s="241"/>
      <c r="K137" s="240"/>
      <c r="L137" s="240"/>
      <c r="M137" s="240"/>
      <c r="N137" s="242"/>
      <c r="O137" s="243"/>
      <c r="P137" s="243"/>
      <c r="Q137" s="243"/>
      <c r="R137" s="243"/>
      <c r="S137" s="243"/>
      <c r="T137" s="245"/>
      <c r="U137" s="246" t="str">
        <f>IF($T137="", "", VLOOKUP($T137, CONTRATOS!$B:$E, 2, FALSE))</f>
        <v/>
      </c>
      <c r="V137" s="247">
        <f>IF(OR($T137="",TB_DEFESA!$C$2="Criação Baseline"),0,
   IF(VLOOKUP($T137, CONTRATOS!B:E, 3, FALSE)&lt;&gt;"",1,IF(VLOOKUP($T137, CONTRATOS!B:E, 4, FALSE)&lt;&gt;"",2,0)))</f>
        <v>0</v>
      </c>
      <c r="W137" s="248"/>
      <c r="X137" s="248"/>
      <c r="Y137" s="249"/>
      <c r="Z137" s="250"/>
      <c r="AA137" s="251"/>
      <c r="AB137" s="252"/>
      <c r="AC137" s="253"/>
      <c r="AD137" s="251"/>
      <c r="AE137" s="254" t="str">
        <f t="shared" si="95"/>
        <v/>
      </c>
      <c r="AF137" s="256" t="str">
        <f t="shared" ref="AF137:AF200" si="106">IF(B137= "", "", IF(SUM($BF137:$CD137) = 0, 0, 1))</f>
        <v/>
      </c>
      <c r="AG137" s="293" t="s">
        <v>62</v>
      </c>
      <c r="AH137" s="294" t="str">
        <f t="shared" ref="AH137:AH200" si="107">IF($B137="","", IF( AND($G137="", $B137 = $B136 ), $AH136, $G137))</f>
        <v/>
      </c>
      <c r="AI137" s="294" t="str">
        <f t="shared" ref="AI137:AI200" si="108">IF($B137 = "", "",  IF( AND($H137= "", $B137 = $B136 ), $AI136, $H137))</f>
        <v/>
      </c>
      <c r="AJ137" s="295" t="str">
        <f t="shared" ref="AJ137:AJ200" si="109">IF(AND($AB137="", $V137=""),"",IF(AND($I137="",$B137=$B136), $AJ136, IF($I137="","",$I137)))</f>
        <v/>
      </c>
      <c r="AK137" s="296" t="str">
        <f t="shared" ref="AK137:AK200" si="110">IF($B137="", "", IF( AND($J137 = "",$B137=$B136), $AK136, $J137))</f>
        <v/>
      </c>
      <c r="AL137" s="297" t="str">
        <f t="shared" ref="AL137:AL200" si="111">IF( $B137= "", "",  IF( AND($L137= "",$B137=$B136), $AL136, $L137))</f>
        <v/>
      </c>
      <c r="AM137" s="294" t="str">
        <f t="shared" ref="AM137:AM200" si="112">IF( $B137 = "", "",  IF(AND($N137= "",$B137=$B136), $AM136, $O137))</f>
        <v/>
      </c>
      <c r="AN137" s="294" t="str">
        <f t="shared" ref="AN137:AN200" si="113">IF( $B137 = "", "",  IF( AND($X137= "",$B137=$B136), $AN136, $X137))</f>
        <v/>
      </c>
      <c r="AO137" s="298" t="str">
        <f t="shared" ref="AO137:AO200" si="114">IF($B137="", "",  IF( AND($U137= "",$B137=$B136), $AO136, $U137))</f>
        <v/>
      </c>
      <c r="AP137" s="299" t="str">
        <f t="shared" ref="AP137:AP200" si="115">IF( $B137 = "", "",  IF( AND($U137= "",$B137=$B136), $AP136, IF($T137 = "", "", $T137)))</f>
        <v/>
      </c>
      <c r="AQ137" s="299" t="str">
        <f t="shared" ref="AQ137:AQ200" si="116">IF($B137="","",IF(AND($W137="",$B137=$B136),$AQ136,IF($W137="","",$W137)))</f>
        <v/>
      </c>
      <c r="AR137" s="300" t="str">
        <f t="shared" si="96"/>
        <v/>
      </c>
      <c r="AS137" s="300" t="str">
        <f t="shared" si="97"/>
        <v/>
      </c>
      <c r="AT137" s="294" t="str">
        <f t="shared" si="98"/>
        <v/>
      </c>
      <c r="AU137" s="301" t="str">
        <f>IF(OR($B137="", $AP137= ""),"",IF(VLOOKUP($AP137, CONTRATOS!B:K,3,FALSE)="","",VLOOKUP($AP137, CONTRATOS!B:K, 3,FALSE)))</f>
        <v/>
      </c>
      <c r="AV137" s="301" t="str">
        <f>IF(OR($B137="", $AP137 = ""), "", IF(VLOOKUP($AP137, CONTRATOS!B:K,4,FALSE)="","",VLOOKUP($AP137, CONTRATOS!B:K,4, FALSE)))</f>
        <v/>
      </c>
      <c r="AW137" s="302" t="str">
        <f t="shared" si="99"/>
        <v/>
      </c>
      <c r="AX137" s="301" t="str">
        <f t="shared" si="100"/>
        <v/>
      </c>
      <c r="AY137" s="301" t="str">
        <f t="shared" si="101"/>
        <v/>
      </c>
      <c r="AZ137" s="301" t="str">
        <f t="shared" si="102"/>
        <v/>
      </c>
      <c r="BA137" s="301" t="str">
        <f t="shared" si="103"/>
        <v/>
      </c>
      <c r="BB137" s="303">
        <f t="shared" ref="BB137:BB200" si="117">IF( $B137 = "", 0, ROW($B137))</f>
        <v>0</v>
      </c>
      <c r="BC137" s="303" t="str">
        <f t="shared" ref="BC137:BC200" si="118">IF($AC137="","",IF($AC137="Próximos Anos",$AC137,RIGHT($AC137,4)))</f>
        <v/>
      </c>
      <c r="BD137" s="303" t="str">
        <f t="shared" ref="BD137:BD200" si="119">IF($B137="", "", IF($B137=$B136, $BD136, $V137))</f>
        <v/>
      </c>
      <c r="BF137" s="304">
        <f t="shared" ref="BF137:BF200" si="120">IF( AND($G137="SIM", OR($H137="", $I137="", $J137="", $K137="", $L137="", $M137="", $O137="", $P137="", $Q137="", $R137="", $X137="",  $AA137="", $AB137="", $AC137="", $AD137="")), 1, 0)</f>
        <v>0</v>
      </c>
      <c r="BG137" s="304">
        <f t="shared" ref="BG137:BG200" si="121">IF(AND($G137="NÃO", OR($H137="", $I137="", $J137="", $K137="", $L137="", $M137="", $O137="", $T137="", $W137="", $X137="", $AA137="")), 1,
    IF( AND($AH137="NÃO",  $AU137 ="", OR( $AB137="", $AC137="", $AD137="")), 1,
    IF( AND($AH137="NÃO",  $AU137 &lt;&gt; "", OR($AB137&lt;&gt;"", $AC137&lt;&gt;"", $AD137&lt;&gt;"") ), 1, 0 ) ) )</f>
        <v>0</v>
      </c>
      <c r="BH137" s="304" t="str">
        <f>IF( $B137="", "", IF(ISNA(VLOOKUP($C137, Defesa!$C$8:$C$30,1,FALSE)),1,0))</f>
        <v/>
      </c>
      <c r="BI137" s="305" t="str">
        <f t="shared" ref="BI137:BI200" si="122">IF($B137= "", "",  IF(OR($D137 = "N/A", LEFT($D137, 2) = "ME", AND(LEN($D137) = 12, LEFT($D137, 4) = "PROP")), 0, 1))</f>
        <v/>
      </c>
      <c r="BJ137" s="305" t="str">
        <f t="shared" ref="BJ137:BJ200" si="123">IF($B137="","",IF(AND($AL137="N/A",LEFT($D137,4)&lt;&gt;"PROP"),0,IF(OR(AND(LEN($AL137)=10,LEFT($AL137,2)="AF",LEFT($AL137,4)&lt;&gt;"AFFT")),0,1)))</f>
        <v/>
      </c>
      <c r="BK137" s="304" t="str">
        <f t="shared" ref="BK137:BK200" si="124">IF($B137="", "", IF(COUNTIFS($AB:$AB, $AB137,$B:$B, $B137)&gt;1, 1, 0))</f>
        <v/>
      </c>
      <c r="BL137" s="304">
        <f t="shared" ref="BL137:BL200" si="125">IF( OR($B137= "",$V137 = 1), 0,  IF( OR($AC137 = "", $AD137="", $AB137=""), 1, 0))</f>
        <v>0</v>
      </c>
      <c r="BM137" s="304" t="str">
        <f>IF($AC137="", "", IF(ISNA(VLOOKUP($AC137, TABELAS!$Q:$Q, 1, FALSE)), 1, 0))</f>
        <v/>
      </c>
      <c r="BN137" s="306" t="str">
        <f t="shared" ref="BN137:BN200" si="126">IF($B137= "", "", IF( SUMIFS($AW:$AW,$C:$C, $C137,$D:$D, $D137,$E:$E, $E137) = 1, 0, 1))</f>
        <v/>
      </c>
      <c r="BO137" s="304" t="str">
        <f t="shared" ref="BO137:BO200" si="127">IF( $B137 ="", "", IF( AND($V137 = 1, OR( $AC137 &lt;&gt; "", $AB137 &lt;&gt; "", $AD137 &lt;&gt; "")), 1, 0))</f>
        <v/>
      </c>
      <c r="BP137" s="304" t="str">
        <f t="shared" ref="BP137:BP200" si="128" xml:space="preserve"> IF($B137 = "", "", IF(AND( $AI137 = "SIM", $AP137= "&lt; A DEFINIR &gt;"), 1, 0))</f>
        <v/>
      </c>
      <c r="BQ137" s="305" t="str">
        <f t="shared" ref="BQ137:BQ200" si="129">IF($B137="", "", IF( AND($AI137="SIM", OR(LEFT($D137,2)="ME", $D137 = "N/A")), 1, 0))</f>
        <v/>
      </c>
      <c r="BR137" s="304" t="str">
        <f t="shared" ref="BR137:BR200" si="130" xml:space="preserve"> IF($B137 = "", "", IF( AND( $AJ137 = "SIM", OR($AP137= "&lt; A DEFINIR &gt;", $V137 = 1, $AI137 = "ESTIMATIVA")), 1, 0))</f>
        <v/>
      </c>
      <c r="BS137" s="304" t="str">
        <f t="shared" ref="BS137:BS200" si="131" xml:space="preserve"> IF(B137 = "", "", IF(AND($X137 &lt;&gt; "N/A",  V137 = 1), 1, 0))</f>
        <v/>
      </c>
      <c r="BT137" s="304" t="str">
        <f>IF(OR($B137="", $AH137 = "SIM"), "", IF( ISNA(VLOOKUP($AP137,#REF!, 1, FALSE)), 1, 0))</f>
        <v/>
      </c>
      <c r="BU137" s="304" t="str">
        <f t="shared" ref="BU137:BU200" si="132">IF($AP137="", "", IF( AND(OR($AO137=4600046592, $U137 = 4600041840), $AN137&lt;&gt; "BTSA Fixa R2"), 1,0))</f>
        <v/>
      </c>
      <c r="BV137" s="304" t="str">
        <f>IF( $B137="", "", IF( ISNA(VLOOKUP($AN137, TABELAS!$T$2:$T$9,1,FALSE)), 1, 0))</f>
        <v/>
      </c>
      <c r="BW137" s="304" t="str">
        <f t="shared" ref="BW137:BW200" si="133" xml:space="preserve"> IF($B137 = "", "", IF( AND( $AN137 = "N/A", $V137 = 0), 1, 0) )</f>
        <v/>
      </c>
      <c r="BX137" s="304" t="str">
        <f>IF( OR($B137="", $AH137 = "SIM"), "", IF( ISNA( VLOOKUP( $AQ137, SISTEMA!$B:$B, 1, FALSE)), 1, 0))</f>
        <v/>
      </c>
      <c r="BY137" s="305" t="str">
        <f t="shared" ref="BY137:BY200" si="134">IF( $B137="", "", IF( AND($AI137="ESTIMATIVA", LEFT($D137, 4)="PROP"), 1, 0))</f>
        <v/>
      </c>
      <c r="BZ137" s="305" t="str">
        <f t="shared" ref="BZ137:BZ200" si="135">IF( $B137="", "", IF( AND($AX137&lt;&gt;"", $V137 = 1), 1, 0))</f>
        <v/>
      </c>
      <c r="CA137" s="304" t="str">
        <f t="shared" ref="CA137:CA200" si="136">IF($B137="", "", IF( AND($AM137 &lt;&gt; "SERVIÇOS", $AM137 &lt;&gt; "HARDWARE", $AM137 &lt;&gt; "SOFTWARE", $AM137 &lt;&gt; "FACILITIES", $AM137 &lt;&gt; "VIAGENS"  ), 1, 0))</f>
        <v/>
      </c>
      <c r="CB137" s="305" t="str">
        <f t="shared" ref="CB137:CB200" si="137">IF( $B137="", "", IF( AND( $AH137 = "NÃO", OR( $AM137 = "SOFTWARE", $AM137 = "HARDWARE", $AM137 = "FACILITIES")), 1, 0))</f>
        <v/>
      </c>
      <c r="CC137" s="305" t="str">
        <f t="shared" ref="CC137:CC200" si="138">IF( $B137="", "", IF( AND($AI137="COMPLEMENTO", LEFT($D137, 4)="PROP"), 1, 0))</f>
        <v/>
      </c>
      <c r="CD137" s="305" t="str">
        <f t="shared" ref="CD137:CD200" si="139">IF( $B137="", "", IF( AND($D137=$D136, $AP137 &lt;&gt; $AP136), 1, 0))</f>
        <v/>
      </c>
    </row>
    <row r="138" spans="1:82" x14ac:dyDescent="0.2">
      <c r="A138" s="235"/>
      <c r="B138" s="236" t="str">
        <f t="shared" si="104"/>
        <v/>
      </c>
      <c r="C138" s="237" t="str">
        <f t="shared" si="94"/>
        <v/>
      </c>
      <c r="D138" s="237" t="str">
        <f t="shared" si="105"/>
        <v/>
      </c>
      <c r="E138" s="237" t="str">
        <f>IF($C138="", "", COUNTIF($M$8:$M138,$D138))</f>
        <v/>
      </c>
      <c r="F138" s="238">
        <v>131</v>
      </c>
      <c r="G138" s="239"/>
      <c r="H138" s="240"/>
      <c r="I138" s="240"/>
      <c r="J138" s="241"/>
      <c r="K138" s="240"/>
      <c r="L138" s="240"/>
      <c r="M138" s="240"/>
      <c r="N138" s="242"/>
      <c r="O138" s="243"/>
      <c r="P138" s="243"/>
      <c r="Q138" s="243"/>
      <c r="R138" s="243"/>
      <c r="S138" s="243"/>
      <c r="T138" s="245"/>
      <c r="U138" s="246" t="str">
        <f>IF($T138="", "", VLOOKUP($T138, CONTRATOS!$B:$E, 2, FALSE))</f>
        <v/>
      </c>
      <c r="V138" s="247">
        <f>IF(OR($T138="",TB_DEFESA!$C$2="Criação Baseline"),0,
   IF(VLOOKUP($T138, CONTRATOS!B:E, 3, FALSE)&lt;&gt;"",1,IF(VLOOKUP($T138, CONTRATOS!B:E, 4, FALSE)&lt;&gt;"",2,0)))</f>
        <v>0</v>
      </c>
      <c r="W138" s="248"/>
      <c r="X138" s="248"/>
      <c r="Y138" s="249"/>
      <c r="Z138" s="250"/>
      <c r="AA138" s="251"/>
      <c r="AB138" s="252"/>
      <c r="AC138" s="253"/>
      <c r="AD138" s="251"/>
      <c r="AE138" s="254" t="str">
        <f t="shared" si="95"/>
        <v/>
      </c>
      <c r="AF138" s="256" t="str">
        <f t="shared" si="106"/>
        <v/>
      </c>
      <c r="AG138" s="293" t="s">
        <v>62</v>
      </c>
      <c r="AH138" s="294" t="str">
        <f t="shared" si="107"/>
        <v/>
      </c>
      <c r="AI138" s="294" t="str">
        <f t="shared" si="108"/>
        <v/>
      </c>
      <c r="AJ138" s="295" t="str">
        <f t="shared" si="109"/>
        <v/>
      </c>
      <c r="AK138" s="296" t="str">
        <f t="shared" si="110"/>
        <v/>
      </c>
      <c r="AL138" s="297" t="str">
        <f t="shared" si="111"/>
        <v/>
      </c>
      <c r="AM138" s="294" t="str">
        <f t="shared" si="112"/>
        <v/>
      </c>
      <c r="AN138" s="294" t="str">
        <f t="shared" si="113"/>
        <v/>
      </c>
      <c r="AO138" s="298" t="str">
        <f t="shared" si="114"/>
        <v/>
      </c>
      <c r="AP138" s="299" t="str">
        <f t="shared" si="115"/>
        <v/>
      </c>
      <c r="AQ138" s="299" t="str">
        <f t="shared" si="116"/>
        <v/>
      </c>
      <c r="AR138" s="300" t="str">
        <f t="shared" si="96"/>
        <v/>
      </c>
      <c r="AS138" s="300" t="str">
        <f t="shared" si="97"/>
        <v/>
      </c>
      <c r="AT138" s="294" t="str">
        <f t="shared" si="98"/>
        <v/>
      </c>
      <c r="AU138" s="301" t="str">
        <f>IF(OR($B138="", $AP138= ""),"",IF(VLOOKUP($AP138, CONTRATOS!B:K,3,FALSE)="","",VLOOKUP($AP138, CONTRATOS!B:K, 3,FALSE)))</f>
        <v/>
      </c>
      <c r="AV138" s="301" t="str">
        <f>IF(OR($B138="", $AP138 = ""), "", IF(VLOOKUP($AP138, CONTRATOS!B:K,4,FALSE)="","",VLOOKUP($AP138, CONTRATOS!B:K,4, FALSE)))</f>
        <v/>
      </c>
      <c r="AW138" s="302" t="str">
        <f t="shared" si="99"/>
        <v/>
      </c>
      <c r="AX138" s="301" t="str">
        <f t="shared" si="100"/>
        <v/>
      </c>
      <c r="AY138" s="301" t="str">
        <f t="shared" si="101"/>
        <v/>
      </c>
      <c r="AZ138" s="301" t="str">
        <f t="shared" si="102"/>
        <v/>
      </c>
      <c r="BA138" s="301" t="str">
        <f t="shared" si="103"/>
        <v/>
      </c>
      <c r="BB138" s="303">
        <f t="shared" si="117"/>
        <v>0</v>
      </c>
      <c r="BC138" s="303" t="str">
        <f t="shared" si="118"/>
        <v/>
      </c>
      <c r="BD138" s="303" t="str">
        <f t="shared" si="119"/>
        <v/>
      </c>
      <c r="BF138" s="304">
        <f t="shared" si="120"/>
        <v>0</v>
      </c>
      <c r="BG138" s="304">
        <f t="shared" si="121"/>
        <v>0</v>
      </c>
      <c r="BH138" s="304" t="str">
        <f>IF( $B138="", "", IF(ISNA(VLOOKUP($C138, Defesa!$C$8:$C$30,1,FALSE)),1,0))</f>
        <v/>
      </c>
      <c r="BI138" s="305" t="str">
        <f t="shared" si="122"/>
        <v/>
      </c>
      <c r="BJ138" s="305" t="str">
        <f t="shared" si="123"/>
        <v/>
      </c>
      <c r="BK138" s="304" t="str">
        <f t="shared" si="124"/>
        <v/>
      </c>
      <c r="BL138" s="304">
        <f t="shared" si="125"/>
        <v>0</v>
      </c>
      <c r="BM138" s="304" t="str">
        <f>IF($AC138="", "", IF(ISNA(VLOOKUP($AC138, TABELAS!$Q:$Q, 1, FALSE)), 1, 0))</f>
        <v/>
      </c>
      <c r="BN138" s="306" t="str">
        <f t="shared" si="126"/>
        <v/>
      </c>
      <c r="BO138" s="304" t="str">
        <f t="shared" si="127"/>
        <v/>
      </c>
      <c r="BP138" s="304" t="str">
        <f t="shared" si="128"/>
        <v/>
      </c>
      <c r="BQ138" s="305" t="str">
        <f t="shared" si="129"/>
        <v/>
      </c>
      <c r="BR138" s="304" t="str">
        <f t="shared" si="130"/>
        <v/>
      </c>
      <c r="BS138" s="304" t="str">
        <f t="shared" si="131"/>
        <v/>
      </c>
      <c r="BT138" s="304" t="str">
        <f>IF(OR($B138="", $AH138 = "SIM"), "", IF( ISNA(VLOOKUP($AP138,#REF!, 1, FALSE)), 1, 0))</f>
        <v/>
      </c>
      <c r="BU138" s="304" t="str">
        <f t="shared" si="132"/>
        <v/>
      </c>
      <c r="BV138" s="304" t="str">
        <f>IF( $B138="", "", IF( ISNA(VLOOKUP($AN138, TABELAS!$T$2:$T$9,1,FALSE)), 1, 0))</f>
        <v/>
      </c>
      <c r="BW138" s="304" t="str">
        <f t="shared" si="133"/>
        <v/>
      </c>
      <c r="BX138" s="304" t="str">
        <f>IF( OR($B138="", $AH138 = "SIM"), "", IF( ISNA( VLOOKUP( $AQ138, SISTEMA!$B:$B, 1, FALSE)), 1, 0))</f>
        <v/>
      </c>
      <c r="BY138" s="305" t="str">
        <f t="shared" si="134"/>
        <v/>
      </c>
      <c r="BZ138" s="305" t="str">
        <f t="shared" si="135"/>
        <v/>
      </c>
      <c r="CA138" s="304" t="str">
        <f t="shared" si="136"/>
        <v/>
      </c>
      <c r="CB138" s="305" t="str">
        <f t="shared" si="137"/>
        <v/>
      </c>
      <c r="CC138" s="305" t="str">
        <f t="shared" si="138"/>
        <v/>
      </c>
      <c r="CD138" s="305" t="str">
        <f t="shared" si="139"/>
        <v/>
      </c>
    </row>
    <row r="139" spans="1:82" x14ac:dyDescent="0.2">
      <c r="A139" s="235"/>
      <c r="B139" s="236" t="str">
        <f t="shared" si="104"/>
        <v/>
      </c>
      <c r="C139" s="237" t="str">
        <f t="shared" si="94"/>
        <v/>
      </c>
      <c r="D139" s="237" t="str">
        <f t="shared" si="105"/>
        <v/>
      </c>
      <c r="E139" s="237" t="str">
        <f>IF($C139="", "", COUNTIF($M$8:$M139,$D139))</f>
        <v/>
      </c>
      <c r="F139" s="238">
        <v>132</v>
      </c>
      <c r="G139" s="239"/>
      <c r="H139" s="240"/>
      <c r="I139" s="240"/>
      <c r="J139" s="241"/>
      <c r="K139" s="240"/>
      <c r="L139" s="240"/>
      <c r="M139" s="240"/>
      <c r="N139" s="242"/>
      <c r="O139" s="243"/>
      <c r="P139" s="243"/>
      <c r="Q139" s="243"/>
      <c r="R139" s="243"/>
      <c r="S139" s="243"/>
      <c r="T139" s="245"/>
      <c r="U139" s="246" t="str">
        <f>IF($T139="", "", VLOOKUP($T139, CONTRATOS!$B:$E, 2, FALSE))</f>
        <v/>
      </c>
      <c r="V139" s="247">
        <f>IF(OR($T139="",TB_DEFESA!$C$2="Criação Baseline"),0,
   IF(VLOOKUP($T139, CONTRATOS!B:E, 3, FALSE)&lt;&gt;"",1,IF(VLOOKUP($T139, CONTRATOS!B:E, 4, FALSE)&lt;&gt;"",2,0)))</f>
        <v>0</v>
      </c>
      <c r="W139" s="248"/>
      <c r="X139" s="248"/>
      <c r="Y139" s="249"/>
      <c r="Z139" s="250"/>
      <c r="AA139" s="251"/>
      <c r="AB139" s="252"/>
      <c r="AC139" s="253"/>
      <c r="AD139" s="251"/>
      <c r="AE139" s="254" t="str">
        <f t="shared" si="95"/>
        <v/>
      </c>
      <c r="AF139" s="256" t="str">
        <f t="shared" si="106"/>
        <v/>
      </c>
      <c r="AG139" s="293" t="s">
        <v>62</v>
      </c>
      <c r="AH139" s="294" t="str">
        <f t="shared" si="107"/>
        <v/>
      </c>
      <c r="AI139" s="294" t="str">
        <f t="shared" si="108"/>
        <v/>
      </c>
      <c r="AJ139" s="295" t="str">
        <f t="shared" si="109"/>
        <v/>
      </c>
      <c r="AK139" s="296" t="str">
        <f t="shared" si="110"/>
        <v/>
      </c>
      <c r="AL139" s="297" t="str">
        <f t="shared" si="111"/>
        <v/>
      </c>
      <c r="AM139" s="294" t="str">
        <f t="shared" si="112"/>
        <v/>
      </c>
      <c r="AN139" s="294" t="str">
        <f t="shared" si="113"/>
        <v/>
      </c>
      <c r="AO139" s="298" t="str">
        <f t="shared" si="114"/>
        <v/>
      </c>
      <c r="AP139" s="299" t="str">
        <f t="shared" si="115"/>
        <v/>
      </c>
      <c r="AQ139" s="299" t="str">
        <f t="shared" si="116"/>
        <v/>
      </c>
      <c r="AR139" s="300" t="str">
        <f t="shared" si="96"/>
        <v/>
      </c>
      <c r="AS139" s="300" t="str">
        <f t="shared" si="97"/>
        <v/>
      </c>
      <c r="AT139" s="294" t="str">
        <f t="shared" si="98"/>
        <v/>
      </c>
      <c r="AU139" s="301" t="str">
        <f>IF(OR($B139="", $AP139= ""),"",IF(VLOOKUP($AP139, CONTRATOS!B:K,3,FALSE)="","",VLOOKUP($AP139, CONTRATOS!B:K, 3,FALSE)))</f>
        <v/>
      </c>
      <c r="AV139" s="301" t="str">
        <f>IF(OR($B139="", $AP139 = ""), "", IF(VLOOKUP($AP139, CONTRATOS!B:K,4,FALSE)="","",VLOOKUP($AP139, CONTRATOS!B:K,4, FALSE)))</f>
        <v/>
      </c>
      <c r="AW139" s="302" t="str">
        <f t="shared" si="99"/>
        <v/>
      </c>
      <c r="AX139" s="301" t="str">
        <f t="shared" si="100"/>
        <v/>
      </c>
      <c r="AY139" s="301" t="str">
        <f t="shared" si="101"/>
        <v/>
      </c>
      <c r="AZ139" s="301" t="str">
        <f t="shared" si="102"/>
        <v/>
      </c>
      <c r="BA139" s="301" t="str">
        <f t="shared" si="103"/>
        <v/>
      </c>
      <c r="BB139" s="303">
        <f t="shared" si="117"/>
        <v>0</v>
      </c>
      <c r="BC139" s="303" t="str">
        <f t="shared" si="118"/>
        <v/>
      </c>
      <c r="BD139" s="303" t="str">
        <f t="shared" si="119"/>
        <v/>
      </c>
      <c r="BF139" s="304">
        <f t="shared" si="120"/>
        <v>0</v>
      </c>
      <c r="BG139" s="304">
        <f t="shared" si="121"/>
        <v>0</v>
      </c>
      <c r="BH139" s="304" t="str">
        <f>IF( $B139="", "", IF(ISNA(VLOOKUP($C139, Defesa!$C$8:$C$30,1,FALSE)),1,0))</f>
        <v/>
      </c>
      <c r="BI139" s="305" t="str">
        <f t="shared" si="122"/>
        <v/>
      </c>
      <c r="BJ139" s="305" t="str">
        <f t="shared" si="123"/>
        <v/>
      </c>
      <c r="BK139" s="304" t="str">
        <f t="shared" si="124"/>
        <v/>
      </c>
      <c r="BL139" s="304">
        <f t="shared" si="125"/>
        <v>0</v>
      </c>
      <c r="BM139" s="304" t="str">
        <f>IF($AC139="", "", IF(ISNA(VLOOKUP($AC139, TABELAS!$Q:$Q, 1, FALSE)), 1, 0))</f>
        <v/>
      </c>
      <c r="BN139" s="306" t="str">
        <f t="shared" si="126"/>
        <v/>
      </c>
      <c r="BO139" s="304" t="str">
        <f t="shared" si="127"/>
        <v/>
      </c>
      <c r="BP139" s="304" t="str">
        <f t="shared" si="128"/>
        <v/>
      </c>
      <c r="BQ139" s="305" t="str">
        <f t="shared" si="129"/>
        <v/>
      </c>
      <c r="BR139" s="304" t="str">
        <f t="shared" si="130"/>
        <v/>
      </c>
      <c r="BS139" s="304" t="str">
        <f t="shared" si="131"/>
        <v/>
      </c>
      <c r="BT139" s="304" t="str">
        <f>IF(OR($B139="", $AH139 = "SIM"), "", IF( ISNA(VLOOKUP($AP139,#REF!, 1, FALSE)), 1, 0))</f>
        <v/>
      </c>
      <c r="BU139" s="304" t="str">
        <f t="shared" si="132"/>
        <v/>
      </c>
      <c r="BV139" s="304" t="str">
        <f>IF( $B139="", "", IF( ISNA(VLOOKUP($AN139, TABELAS!$T$2:$T$9,1,FALSE)), 1, 0))</f>
        <v/>
      </c>
      <c r="BW139" s="304" t="str">
        <f t="shared" si="133"/>
        <v/>
      </c>
      <c r="BX139" s="304" t="str">
        <f>IF( OR($B139="", $AH139 = "SIM"), "", IF( ISNA( VLOOKUP( $AQ139, SISTEMA!$B:$B, 1, FALSE)), 1, 0))</f>
        <v/>
      </c>
      <c r="BY139" s="305" t="str">
        <f t="shared" si="134"/>
        <v/>
      </c>
      <c r="BZ139" s="305" t="str">
        <f t="shared" si="135"/>
        <v/>
      </c>
      <c r="CA139" s="304" t="str">
        <f t="shared" si="136"/>
        <v/>
      </c>
      <c r="CB139" s="305" t="str">
        <f t="shared" si="137"/>
        <v/>
      </c>
      <c r="CC139" s="305" t="str">
        <f t="shared" si="138"/>
        <v/>
      </c>
      <c r="CD139" s="305" t="str">
        <f t="shared" si="139"/>
        <v/>
      </c>
    </row>
    <row r="140" spans="1:82" x14ac:dyDescent="0.2">
      <c r="A140" s="235"/>
      <c r="B140" s="236" t="str">
        <f t="shared" si="104"/>
        <v/>
      </c>
      <c r="C140" s="237" t="str">
        <f t="shared" si="94"/>
        <v/>
      </c>
      <c r="D140" s="237" t="str">
        <f t="shared" si="105"/>
        <v/>
      </c>
      <c r="E140" s="237" t="str">
        <f>IF($C140="", "", COUNTIF($M$8:$M140,$D140))</f>
        <v/>
      </c>
      <c r="F140" s="238">
        <v>133</v>
      </c>
      <c r="G140" s="239"/>
      <c r="H140" s="240"/>
      <c r="I140" s="240"/>
      <c r="J140" s="241"/>
      <c r="K140" s="240"/>
      <c r="L140" s="240"/>
      <c r="M140" s="240"/>
      <c r="N140" s="242"/>
      <c r="O140" s="243"/>
      <c r="P140" s="243"/>
      <c r="Q140" s="243"/>
      <c r="R140" s="243"/>
      <c r="S140" s="243"/>
      <c r="T140" s="245"/>
      <c r="U140" s="246" t="str">
        <f>IF($T140="", "", VLOOKUP($T140, CONTRATOS!$B:$E, 2, FALSE))</f>
        <v/>
      </c>
      <c r="V140" s="247">
        <f>IF(OR($T140="",TB_DEFESA!$C$2="Criação Baseline"),0,
   IF(VLOOKUP($T140, CONTRATOS!B:E, 3, FALSE)&lt;&gt;"",1,IF(VLOOKUP($T140, CONTRATOS!B:E, 4, FALSE)&lt;&gt;"",2,0)))</f>
        <v>0</v>
      </c>
      <c r="W140" s="248"/>
      <c r="X140" s="248"/>
      <c r="Y140" s="249"/>
      <c r="Z140" s="250"/>
      <c r="AA140" s="251"/>
      <c r="AB140" s="252"/>
      <c r="AC140" s="253"/>
      <c r="AD140" s="251"/>
      <c r="AE140" s="254" t="str">
        <f t="shared" si="95"/>
        <v/>
      </c>
      <c r="AF140" s="256" t="str">
        <f t="shared" si="106"/>
        <v/>
      </c>
      <c r="AG140" s="293" t="s">
        <v>62</v>
      </c>
      <c r="AH140" s="294" t="str">
        <f t="shared" si="107"/>
        <v/>
      </c>
      <c r="AI140" s="294" t="str">
        <f t="shared" si="108"/>
        <v/>
      </c>
      <c r="AJ140" s="295" t="str">
        <f t="shared" si="109"/>
        <v/>
      </c>
      <c r="AK140" s="296" t="str">
        <f t="shared" si="110"/>
        <v/>
      </c>
      <c r="AL140" s="297" t="str">
        <f t="shared" si="111"/>
        <v/>
      </c>
      <c r="AM140" s="294" t="str">
        <f t="shared" si="112"/>
        <v/>
      </c>
      <c r="AN140" s="294" t="str">
        <f t="shared" si="113"/>
        <v/>
      </c>
      <c r="AO140" s="298" t="str">
        <f t="shared" si="114"/>
        <v/>
      </c>
      <c r="AP140" s="299" t="str">
        <f t="shared" si="115"/>
        <v/>
      </c>
      <c r="AQ140" s="299" t="str">
        <f t="shared" si="116"/>
        <v/>
      </c>
      <c r="AR140" s="300" t="str">
        <f t="shared" si="96"/>
        <v/>
      </c>
      <c r="AS140" s="300" t="str">
        <f t="shared" si="97"/>
        <v/>
      </c>
      <c r="AT140" s="294" t="str">
        <f t="shared" si="98"/>
        <v/>
      </c>
      <c r="AU140" s="301" t="str">
        <f>IF(OR($B140="", $AP140= ""),"",IF(VLOOKUP($AP140, CONTRATOS!B:K,3,FALSE)="","",VLOOKUP($AP140, CONTRATOS!B:K, 3,FALSE)))</f>
        <v/>
      </c>
      <c r="AV140" s="301" t="str">
        <f>IF(OR($B140="", $AP140 = ""), "", IF(VLOOKUP($AP140, CONTRATOS!B:K,4,FALSE)="","",VLOOKUP($AP140, CONTRATOS!B:K,4, FALSE)))</f>
        <v/>
      </c>
      <c r="AW140" s="302" t="str">
        <f t="shared" si="99"/>
        <v/>
      </c>
      <c r="AX140" s="301" t="str">
        <f t="shared" si="100"/>
        <v/>
      </c>
      <c r="AY140" s="301" t="str">
        <f t="shared" si="101"/>
        <v/>
      </c>
      <c r="AZ140" s="301" t="str">
        <f t="shared" si="102"/>
        <v/>
      </c>
      <c r="BA140" s="301" t="str">
        <f t="shared" si="103"/>
        <v/>
      </c>
      <c r="BB140" s="303">
        <f t="shared" si="117"/>
        <v>0</v>
      </c>
      <c r="BC140" s="303" t="str">
        <f t="shared" si="118"/>
        <v/>
      </c>
      <c r="BD140" s="303" t="str">
        <f t="shared" si="119"/>
        <v/>
      </c>
      <c r="BF140" s="304">
        <f t="shared" si="120"/>
        <v>0</v>
      </c>
      <c r="BG140" s="304">
        <f t="shared" si="121"/>
        <v>0</v>
      </c>
      <c r="BH140" s="304" t="str">
        <f>IF( $B140="", "", IF(ISNA(VLOOKUP($C140, Defesa!$C$8:$C$30,1,FALSE)),1,0))</f>
        <v/>
      </c>
      <c r="BI140" s="305" t="str">
        <f t="shared" si="122"/>
        <v/>
      </c>
      <c r="BJ140" s="305" t="str">
        <f t="shared" si="123"/>
        <v/>
      </c>
      <c r="BK140" s="304" t="str">
        <f t="shared" si="124"/>
        <v/>
      </c>
      <c r="BL140" s="304">
        <f t="shared" si="125"/>
        <v>0</v>
      </c>
      <c r="BM140" s="304" t="str">
        <f>IF($AC140="", "", IF(ISNA(VLOOKUP($AC140, TABELAS!$Q:$Q, 1, FALSE)), 1, 0))</f>
        <v/>
      </c>
      <c r="BN140" s="306" t="str">
        <f t="shared" si="126"/>
        <v/>
      </c>
      <c r="BO140" s="304" t="str">
        <f t="shared" si="127"/>
        <v/>
      </c>
      <c r="BP140" s="304" t="str">
        <f t="shared" si="128"/>
        <v/>
      </c>
      <c r="BQ140" s="305" t="str">
        <f t="shared" si="129"/>
        <v/>
      </c>
      <c r="BR140" s="304" t="str">
        <f t="shared" si="130"/>
        <v/>
      </c>
      <c r="BS140" s="304" t="str">
        <f t="shared" si="131"/>
        <v/>
      </c>
      <c r="BT140" s="304" t="str">
        <f>IF(OR($B140="", $AH140 = "SIM"), "", IF( ISNA(VLOOKUP($AP140,#REF!, 1, FALSE)), 1, 0))</f>
        <v/>
      </c>
      <c r="BU140" s="304" t="str">
        <f t="shared" si="132"/>
        <v/>
      </c>
      <c r="BV140" s="304" t="str">
        <f>IF( $B140="", "", IF( ISNA(VLOOKUP($AN140, TABELAS!$T$2:$T$9,1,FALSE)), 1, 0))</f>
        <v/>
      </c>
      <c r="BW140" s="304" t="str">
        <f t="shared" si="133"/>
        <v/>
      </c>
      <c r="BX140" s="304" t="str">
        <f>IF( OR($B140="", $AH140 = "SIM"), "", IF( ISNA( VLOOKUP( $AQ140, SISTEMA!$B:$B, 1, FALSE)), 1, 0))</f>
        <v/>
      </c>
      <c r="BY140" s="305" t="str">
        <f t="shared" si="134"/>
        <v/>
      </c>
      <c r="BZ140" s="305" t="str">
        <f t="shared" si="135"/>
        <v/>
      </c>
      <c r="CA140" s="304" t="str">
        <f t="shared" si="136"/>
        <v/>
      </c>
      <c r="CB140" s="305" t="str">
        <f t="shared" si="137"/>
        <v/>
      </c>
      <c r="CC140" s="305" t="str">
        <f t="shared" si="138"/>
        <v/>
      </c>
      <c r="CD140" s="305" t="str">
        <f t="shared" si="139"/>
        <v/>
      </c>
    </row>
    <row r="141" spans="1:82" x14ac:dyDescent="0.2">
      <c r="A141" s="235"/>
      <c r="B141" s="236" t="str">
        <f t="shared" si="104"/>
        <v/>
      </c>
      <c r="C141" s="237" t="str">
        <f t="shared" si="94"/>
        <v/>
      </c>
      <c r="D141" s="237" t="str">
        <f t="shared" si="105"/>
        <v/>
      </c>
      <c r="E141" s="237" t="str">
        <f>IF($C141="", "", COUNTIF($M$8:$M141,$D141))</f>
        <v/>
      </c>
      <c r="F141" s="238">
        <v>134</v>
      </c>
      <c r="G141" s="239"/>
      <c r="H141" s="240"/>
      <c r="I141" s="240"/>
      <c r="J141" s="241"/>
      <c r="K141" s="240"/>
      <c r="L141" s="240"/>
      <c r="M141" s="240"/>
      <c r="N141" s="242"/>
      <c r="O141" s="243"/>
      <c r="P141" s="243"/>
      <c r="Q141" s="243"/>
      <c r="R141" s="243"/>
      <c r="S141" s="243"/>
      <c r="T141" s="245"/>
      <c r="U141" s="246" t="str">
        <f>IF($T141="", "", VLOOKUP($T141, CONTRATOS!$B:$E, 2, FALSE))</f>
        <v/>
      </c>
      <c r="V141" s="247">
        <f>IF(OR($T141="",TB_DEFESA!$C$2="Criação Baseline"),0,
   IF(VLOOKUP($T141, CONTRATOS!B:E, 3, FALSE)&lt;&gt;"",1,IF(VLOOKUP($T141, CONTRATOS!B:E, 4, FALSE)&lt;&gt;"",2,0)))</f>
        <v>0</v>
      </c>
      <c r="W141" s="248"/>
      <c r="X141" s="248"/>
      <c r="Y141" s="249"/>
      <c r="Z141" s="250"/>
      <c r="AA141" s="251"/>
      <c r="AB141" s="252"/>
      <c r="AC141" s="253"/>
      <c r="AD141" s="251"/>
      <c r="AE141" s="254" t="str">
        <f t="shared" si="95"/>
        <v/>
      </c>
      <c r="AF141" s="256" t="str">
        <f t="shared" si="106"/>
        <v/>
      </c>
      <c r="AG141" s="293" t="s">
        <v>62</v>
      </c>
      <c r="AH141" s="294" t="str">
        <f t="shared" si="107"/>
        <v/>
      </c>
      <c r="AI141" s="294" t="str">
        <f t="shared" si="108"/>
        <v/>
      </c>
      <c r="AJ141" s="295" t="str">
        <f t="shared" si="109"/>
        <v/>
      </c>
      <c r="AK141" s="296" t="str">
        <f t="shared" si="110"/>
        <v/>
      </c>
      <c r="AL141" s="297" t="str">
        <f t="shared" si="111"/>
        <v/>
      </c>
      <c r="AM141" s="294" t="str">
        <f t="shared" si="112"/>
        <v/>
      </c>
      <c r="AN141" s="294" t="str">
        <f t="shared" si="113"/>
        <v/>
      </c>
      <c r="AO141" s="298" t="str">
        <f t="shared" si="114"/>
        <v/>
      </c>
      <c r="AP141" s="299" t="str">
        <f t="shared" si="115"/>
        <v/>
      </c>
      <c r="AQ141" s="299" t="str">
        <f t="shared" si="116"/>
        <v/>
      </c>
      <c r="AR141" s="300" t="str">
        <f t="shared" si="96"/>
        <v/>
      </c>
      <c r="AS141" s="300" t="str">
        <f t="shared" si="97"/>
        <v/>
      </c>
      <c r="AT141" s="294" t="str">
        <f t="shared" si="98"/>
        <v/>
      </c>
      <c r="AU141" s="301" t="str">
        <f>IF(OR($B141="", $AP141= ""),"",IF(VLOOKUP($AP141, CONTRATOS!B:K,3,FALSE)="","",VLOOKUP($AP141, CONTRATOS!B:K, 3,FALSE)))</f>
        <v/>
      </c>
      <c r="AV141" s="301" t="str">
        <f>IF(OR($B141="", $AP141 = ""), "", IF(VLOOKUP($AP141, CONTRATOS!B:K,4,FALSE)="","",VLOOKUP($AP141, CONTRATOS!B:K,4, FALSE)))</f>
        <v/>
      </c>
      <c r="AW141" s="302" t="str">
        <f t="shared" si="99"/>
        <v/>
      </c>
      <c r="AX141" s="301" t="str">
        <f t="shared" si="100"/>
        <v/>
      </c>
      <c r="AY141" s="301" t="str">
        <f t="shared" si="101"/>
        <v/>
      </c>
      <c r="AZ141" s="301" t="str">
        <f t="shared" si="102"/>
        <v/>
      </c>
      <c r="BA141" s="301" t="str">
        <f t="shared" si="103"/>
        <v/>
      </c>
      <c r="BB141" s="303">
        <f t="shared" si="117"/>
        <v>0</v>
      </c>
      <c r="BC141" s="303" t="str">
        <f t="shared" si="118"/>
        <v/>
      </c>
      <c r="BD141" s="303" t="str">
        <f t="shared" si="119"/>
        <v/>
      </c>
      <c r="BF141" s="304">
        <f t="shared" si="120"/>
        <v>0</v>
      </c>
      <c r="BG141" s="304">
        <f t="shared" si="121"/>
        <v>0</v>
      </c>
      <c r="BH141" s="304" t="str">
        <f>IF( $B141="", "", IF(ISNA(VLOOKUP($C141, Defesa!$C$8:$C$30,1,FALSE)),1,0))</f>
        <v/>
      </c>
      <c r="BI141" s="305" t="str">
        <f t="shared" si="122"/>
        <v/>
      </c>
      <c r="BJ141" s="305" t="str">
        <f t="shared" si="123"/>
        <v/>
      </c>
      <c r="BK141" s="304" t="str">
        <f t="shared" si="124"/>
        <v/>
      </c>
      <c r="BL141" s="304">
        <f t="shared" si="125"/>
        <v>0</v>
      </c>
      <c r="BM141" s="304" t="str">
        <f>IF($AC141="", "", IF(ISNA(VLOOKUP($AC141, TABELAS!$Q:$Q, 1, FALSE)), 1, 0))</f>
        <v/>
      </c>
      <c r="BN141" s="306" t="str">
        <f t="shared" si="126"/>
        <v/>
      </c>
      <c r="BO141" s="304" t="str">
        <f t="shared" si="127"/>
        <v/>
      </c>
      <c r="BP141" s="304" t="str">
        <f t="shared" si="128"/>
        <v/>
      </c>
      <c r="BQ141" s="305" t="str">
        <f t="shared" si="129"/>
        <v/>
      </c>
      <c r="BR141" s="304" t="str">
        <f t="shared" si="130"/>
        <v/>
      </c>
      <c r="BS141" s="304" t="str">
        <f t="shared" si="131"/>
        <v/>
      </c>
      <c r="BT141" s="304" t="str">
        <f>IF(OR($B141="", $AH141 = "SIM"), "", IF( ISNA(VLOOKUP($AP141,#REF!, 1, FALSE)), 1, 0))</f>
        <v/>
      </c>
      <c r="BU141" s="304" t="str">
        <f t="shared" si="132"/>
        <v/>
      </c>
      <c r="BV141" s="304" t="str">
        <f>IF( $B141="", "", IF( ISNA(VLOOKUP($AN141, TABELAS!$T$2:$T$9,1,FALSE)), 1, 0))</f>
        <v/>
      </c>
      <c r="BW141" s="304" t="str">
        <f t="shared" si="133"/>
        <v/>
      </c>
      <c r="BX141" s="304" t="str">
        <f>IF( OR($B141="", $AH141 = "SIM"), "", IF( ISNA( VLOOKUP( $AQ141, SISTEMA!$B:$B, 1, FALSE)), 1, 0))</f>
        <v/>
      </c>
      <c r="BY141" s="305" t="str">
        <f t="shared" si="134"/>
        <v/>
      </c>
      <c r="BZ141" s="305" t="str">
        <f t="shared" si="135"/>
        <v/>
      </c>
      <c r="CA141" s="304" t="str">
        <f t="shared" si="136"/>
        <v/>
      </c>
      <c r="CB141" s="305" t="str">
        <f t="shared" si="137"/>
        <v/>
      </c>
      <c r="CC141" s="305" t="str">
        <f t="shared" si="138"/>
        <v/>
      </c>
      <c r="CD141" s="305" t="str">
        <f t="shared" si="139"/>
        <v/>
      </c>
    </row>
    <row r="142" spans="1:82" x14ac:dyDescent="0.2">
      <c r="A142" s="235"/>
      <c r="B142" s="236" t="str">
        <f t="shared" si="104"/>
        <v/>
      </c>
      <c r="C142" s="237" t="str">
        <f t="shared" si="94"/>
        <v/>
      </c>
      <c r="D142" s="237" t="str">
        <f t="shared" si="105"/>
        <v/>
      </c>
      <c r="E142" s="237" t="str">
        <f>IF($C142="", "", COUNTIF($M$8:$M142,$D142))</f>
        <v/>
      </c>
      <c r="F142" s="238">
        <v>135</v>
      </c>
      <c r="G142" s="239"/>
      <c r="H142" s="240"/>
      <c r="I142" s="240"/>
      <c r="J142" s="241"/>
      <c r="K142" s="240"/>
      <c r="L142" s="240"/>
      <c r="M142" s="240"/>
      <c r="N142" s="242"/>
      <c r="O142" s="243"/>
      <c r="P142" s="243"/>
      <c r="Q142" s="243"/>
      <c r="R142" s="243"/>
      <c r="S142" s="243"/>
      <c r="T142" s="245"/>
      <c r="U142" s="246" t="str">
        <f>IF($T142="", "", VLOOKUP($T142, CONTRATOS!$B:$E, 2, FALSE))</f>
        <v/>
      </c>
      <c r="V142" s="247">
        <f>IF(OR($T142="",TB_DEFESA!$C$2="Criação Baseline"),0,
   IF(VLOOKUP($T142, CONTRATOS!B:E, 3, FALSE)&lt;&gt;"",1,IF(VLOOKUP($T142, CONTRATOS!B:E, 4, FALSE)&lt;&gt;"",2,0)))</f>
        <v>0</v>
      </c>
      <c r="W142" s="248"/>
      <c r="X142" s="248"/>
      <c r="Y142" s="249"/>
      <c r="Z142" s="250"/>
      <c r="AA142" s="251"/>
      <c r="AB142" s="252"/>
      <c r="AC142" s="253"/>
      <c r="AD142" s="251"/>
      <c r="AE142" s="254" t="str">
        <f t="shared" si="95"/>
        <v/>
      </c>
      <c r="AF142" s="256" t="str">
        <f t="shared" si="106"/>
        <v/>
      </c>
      <c r="AG142" s="293" t="s">
        <v>62</v>
      </c>
      <c r="AH142" s="294" t="str">
        <f t="shared" si="107"/>
        <v/>
      </c>
      <c r="AI142" s="294" t="str">
        <f t="shared" si="108"/>
        <v/>
      </c>
      <c r="AJ142" s="295" t="str">
        <f t="shared" si="109"/>
        <v/>
      </c>
      <c r="AK142" s="296" t="str">
        <f t="shared" si="110"/>
        <v/>
      </c>
      <c r="AL142" s="297" t="str">
        <f t="shared" si="111"/>
        <v/>
      </c>
      <c r="AM142" s="294" t="str">
        <f t="shared" si="112"/>
        <v/>
      </c>
      <c r="AN142" s="294" t="str">
        <f t="shared" si="113"/>
        <v/>
      </c>
      <c r="AO142" s="298" t="str">
        <f t="shared" si="114"/>
        <v/>
      </c>
      <c r="AP142" s="299" t="str">
        <f t="shared" si="115"/>
        <v/>
      </c>
      <c r="AQ142" s="299" t="str">
        <f t="shared" si="116"/>
        <v/>
      </c>
      <c r="AR142" s="300" t="str">
        <f t="shared" si="96"/>
        <v/>
      </c>
      <c r="AS142" s="300" t="str">
        <f t="shared" si="97"/>
        <v/>
      </c>
      <c r="AT142" s="294" t="str">
        <f t="shared" si="98"/>
        <v/>
      </c>
      <c r="AU142" s="301" t="str">
        <f>IF(OR($B142="", $AP142= ""),"",IF(VLOOKUP($AP142, CONTRATOS!B:K,3,FALSE)="","",VLOOKUP($AP142, CONTRATOS!B:K, 3,FALSE)))</f>
        <v/>
      </c>
      <c r="AV142" s="301" t="str">
        <f>IF(OR($B142="", $AP142 = ""), "", IF(VLOOKUP($AP142, CONTRATOS!B:K,4,FALSE)="","",VLOOKUP($AP142, CONTRATOS!B:K,4, FALSE)))</f>
        <v/>
      </c>
      <c r="AW142" s="302" t="str">
        <f t="shared" si="99"/>
        <v/>
      </c>
      <c r="AX142" s="301" t="str">
        <f t="shared" si="100"/>
        <v/>
      </c>
      <c r="AY142" s="301" t="str">
        <f t="shared" si="101"/>
        <v/>
      </c>
      <c r="AZ142" s="301" t="str">
        <f t="shared" si="102"/>
        <v/>
      </c>
      <c r="BA142" s="301" t="str">
        <f t="shared" si="103"/>
        <v/>
      </c>
      <c r="BB142" s="303">
        <f t="shared" si="117"/>
        <v>0</v>
      </c>
      <c r="BC142" s="303" t="str">
        <f t="shared" si="118"/>
        <v/>
      </c>
      <c r="BD142" s="303" t="str">
        <f t="shared" si="119"/>
        <v/>
      </c>
      <c r="BF142" s="304">
        <f t="shared" si="120"/>
        <v>0</v>
      </c>
      <c r="BG142" s="304">
        <f t="shared" si="121"/>
        <v>0</v>
      </c>
      <c r="BH142" s="304" t="str">
        <f>IF( $B142="", "", IF(ISNA(VLOOKUP($C142, Defesa!$C$8:$C$30,1,FALSE)),1,0))</f>
        <v/>
      </c>
      <c r="BI142" s="305" t="str">
        <f t="shared" si="122"/>
        <v/>
      </c>
      <c r="BJ142" s="305" t="str">
        <f t="shared" si="123"/>
        <v/>
      </c>
      <c r="BK142" s="304" t="str">
        <f t="shared" si="124"/>
        <v/>
      </c>
      <c r="BL142" s="304">
        <f t="shared" si="125"/>
        <v>0</v>
      </c>
      <c r="BM142" s="304" t="str">
        <f>IF($AC142="", "", IF(ISNA(VLOOKUP($AC142, TABELAS!$Q:$Q, 1, FALSE)), 1, 0))</f>
        <v/>
      </c>
      <c r="BN142" s="306" t="str">
        <f t="shared" si="126"/>
        <v/>
      </c>
      <c r="BO142" s="304" t="str">
        <f t="shared" si="127"/>
        <v/>
      </c>
      <c r="BP142" s="304" t="str">
        <f t="shared" si="128"/>
        <v/>
      </c>
      <c r="BQ142" s="305" t="str">
        <f t="shared" si="129"/>
        <v/>
      </c>
      <c r="BR142" s="304" t="str">
        <f t="shared" si="130"/>
        <v/>
      </c>
      <c r="BS142" s="304" t="str">
        <f t="shared" si="131"/>
        <v/>
      </c>
      <c r="BT142" s="304" t="str">
        <f>IF(OR($B142="", $AH142 = "SIM"), "", IF( ISNA(VLOOKUP($AP142,#REF!, 1, FALSE)), 1, 0))</f>
        <v/>
      </c>
      <c r="BU142" s="304" t="str">
        <f t="shared" si="132"/>
        <v/>
      </c>
      <c r="BV142" s="304" t="str">
        <f>IF( $B142="", "", IF( ISNA(VLOOKUP($AN142, TABELAS!$T$2:$T$9,1,FALSE)), 1, 0))</f>
        <v/>
      </c>
      <c r="BW142" s="304" t="str">
        <f t="shared" si="133"/>
        <v/>
      </c>
      <c r="BX142" s="304" t="str">
        <f>IF( OR($B142="", $AH142 = "SIM"), "", IF( ISNA( VLOOKUP( $AQ142, SISTEMA!$B:$B, 1, FALSE)), 1, 0))</f>
        <v/>
      </c>
      <c r="BY142" s="305" t="str">
        <f t="shared" si="134"/>
        <v/>
      </c>
      <c r="BZ142" s="305" t="str">
        <f t="shared" si="135"/>
        <v/>
      </c>
      <c r="CA142" s="304" t="str">
        <f t="shared" si="136"/>
        <v/>
      </c>
      <c r="CB142" s="305" t="str">
        <f t="shared" si="137"/>
        <v/>
      </c>
      <c r="CC142" s="305" t="str">
        <f t="shared" si="138"/>
        <v/>
      </c>
      <c r="CD142" s="305" t="str">
        <f t="shared" si="139"/>
        <v/>
      </c>
    </row>
    <row r="143" spans="1:82" x14ac:dyDescent="0.2">
      <c r="A143" s="235"/>
      <c r="B143" s="236" t="str">
        <f t="shared" si="104"/>
        <v/>
      </c>
      <c r="C143" s="237" t="str">
        <f t="shared" si="94"/>
        <v/>
      </c>
      <c r="D143" s="237" t="str">
        <f t="shared" si="105"/>
        <v/>
      </c>
      <c r="E143" s="237" t="str">
        <f>IF($C143="", "", COUNTIF($M$8:$M143,$D143))</f>
        <v/>
      </c>
      <c r="F143" s="238">
        <v>136</v>
      </c>
      <c r="G143" s="239"/>
      <c r="H143" s="240"/>
      <c r="I143" s="240"/>
      <c r="J143" s="241"/>
      <c r="K143" s="240"/>
      <c r="L143" s="240"/>
      <c r="M143" s="240"/>
      <c r="N143" s="242"/>
      <c r="O143" s="243"/>
      <c r="P143" s="243"/>
      <c r="Q143" s="243"/>
      <c r="R143" s="243"/>
      <c r="S143" s="243"/>
      <c r="T143" s="245"/>
      <c r="U143" s="246" t="str">
        <f>IF($T143="", "", VLOOKUP($T143, CONTRATOS!$B:$E, 2, FALSE))</f>
        <v/>
      </c>
      <c r="V143" s="247">
        <f>IF(OR($T143="",TB_DEFESA!$C$2="Criação Baseline"),0,
   IF(VLOOKUP($T143, CONTRATOS!B:E, 3, FALSE)&lt;&gt;"",1,IF(VLOOKUP($T143, CONTRATOS!B:E, 4, FALSE)&lt;&gt;"",2,0)))</f>
        <v>0</v>
      </c>
      <c r="W143" s="248"/>
      <c r="X143" s="248"/>
      <c r="Y143" s="249"/>
      <c r="Z143" s="250"/>
      <c r="AA143" s="251"/>
      <c r="AB143" s="252"/>
      <c r="AC143" s="253"/>
      <c r="AD143" s="251"/>
      <c r="AE143" s="254" t="str">
        <f t="shared" si="95"/>
        <v/>
      </c>
      <c r="AF143" s="256" t="str">
        <f t="shared" si="106"/>
        <v/>
      </c>
      <c r="AG143" s="293" t="s">
        <v>62</v>
      </c>
      <c r="AH143" s="294" t="str">
        <f t="shared" si="107"/>
        <v/>
      </c>
      <c r="AI143" s="294" t="str">
        <f t="shared" si="108"/>
        <v/>
      </c>
      <c r="AJ143" s="295" t="str">
        <f t="shared" si="109"/>
        <v/>
      </c>
      <c r="AK143" s="296" t="str">
        <f t="shared" si="110"/>
        <v/>
      </c>
      <c r="AL143" s="297" t="str">
        <f t="shared" si="111"/>
        <v/>
      </c>
      <c r="AM143" s="294" t="str">
        <f t="shared" si="112"/>
        <v/>
      </c>
      <c r="AN143" s="294" t="str">
        <f t="shared" si="113"/>
        <v/>
      </c>
      <c r="AO143" s="298" t="str">
        <f t="shared" si="114"/>
        <v/>
      </c>
      <c r="AP143" s="299" t="str">
        <f t="shared" si="115"/>
        <v/>
      </c>
      <c r="AQ143" s="299" t="str">
        <f t="shared" si="116"/>
        <v/>
      </c>
      <c r="AR143" s="300" t="str">
        <f t="shared" si="96"/>
        <v/>
      </c>
      <c r="AS143" s="300" t="str">
        <f t="shared" si="97"/>
        <v/>
      </c>
      <c r="AT143" s="294" t="str">
        <f t="shared" si="98"/>
        <v/>
      </c>
      <c r="AU143" s="301" t="str">
        <f>IF(OR($B143="", $AP143= ""),"",IF(VLOOKUP($AP143, CONTRATOS!B:K,3,FALSE)="","",VLOOKUP($AP143, CONTRATOS!B:K, 3,FALSE)))</f>
        <v/>
      </c>
      <c r="AV143" s="301" t="str">
        <f>IF(OR($B143="", $AP143 = ""), "", IF(VLOOKUP($AP143, CONTRATOS!B:K,4,FALSE)="","",VLOOKUP($AP143, CONTRATOS!B:K,4, FALSE)))</f>
        <v/>
      </c>
      <c r="AW143" s="302" t="str">
        <f t="shared" si="99"/>
        <v/>
      </c>
      <c r="AX143" s="301" t="str">
        <f t="shared" si="100"/>
        <v/>
      </c>
      <c r="AY143" s="301" t="str">
        <f t="shared" si="101"/>
        <v/>
      </c>
      <c r="AZ143" s="301" t="str">
        <f t="shared" si="102"/>
        <v/>
      </c>
      <c r="BA143" s="301" t="str">
        <f t="shared" si="103"/>
        <v/>
      </c>
      <c r="BB143" s="303">
        <f t="shared" si="117"/>
        <v>0</v>
      </c>
      <c r="BC143" s="303" t="str">
        <f t="shared" si="118"/>
        <v/>
      </c>
      <c r="BD143" s="303" t="str">
        <f t="shared" si="119"/>
        <v/>
      </c>
      <c r="BF143" s="304">
        <f t="shared" si="120"/>
        <v>0</v>
      </c>
      <c r="BG143" s="304">
        <f t="shared" si="121"/>
        <v>0</v>
      </c>
      <c r="BH143" s="304" t="str">
        <f>IF( $B143="", "", IF(ISNA(VLOOKUP($C143, Defesa!$C$8:$C$30,1,FALSE)),1,0))</f>
        <v/>
      </c>
      <c r="BI143" s="305" t="str">
        <f t="shared" si="122"/>
        <v/>
      </c>
      <c r="BJ143" s="305" t="str">
        <f t="shared" si="123"/>
        <v/>
      </c>
      <c r="BK143" s="304" t="str">
        <f t="shared" si="124"/>
        <v/>
      </c>
      <c r="BL143" s="304">
        <f t="shared" si="125"/>
        <v>0</v>
      </c>
      <c r="BM143" s="304" t="str">
        <f>IF($AC143="", "", IF(ISNA(VLOOKUP($AC143, TABELAS!$Q:$Q, 1, FALSE)), 1, 0))</f>
        <v/>
      </c>
      <c r="BN143" s="306" t="str">
        <f t="shared" si="126"/>
        <v/>
      </c>
      <c r="BO143" s="304" t="str">
        <f t="shared" si="127"/>
        <v/>
      </c>
      <c r="BP143" s="304" t="str">
        <f t="shared" si="128"/>
        <v/>
      </c>
      <c r="BQ143" s="305" t="str">
        <f t="shared" si="129"/>
        <v/>
      </c>
      <c r="BR143" s="304" t="str">
        <f t="shared" si="130"/>
        <v/>
      </c>
      <c r="BS143" s="304" t="str">
        <f t="shared" si="131"/>
        <v/>
      </c>
      <c r="BT143" s="304" t="str">
        <f>IF(OR($B143="", $AH143 = "SIM"), "", IF( ISNA(VLOOKUP($AP143,#REF!, 1, FALSE)), 1, 0))</f>
        <v/>
      </c>
      <c r="BU143" s="304" t="str">
        <f t="shared" si="132"/>
        <v/>
      </c>
      <c r="BV143" s="304" t="str">
        <f>IF( $B143="", "", IF( ISNA(VLOOKUP($AN143, TABELAS!$T$2:$T$9,1,FALSE)), 1, 0))</f>
        <v/>
      </c>
      <c r="BW143" s="304" t="str">
        <f t="shared" si="133"/>
        <v/>
      </c>
      <c r="BX143" s="304" t="str">
        <f>IF( OR($B143="", $AH143 = "SIM"), "", IF( ISNA( VLOOKUP( $AQ143, SISTEMA!$B:$B, 1, FALSE)), 1, 0))</f>
        <v/>
      </c>
      <c r="BY143" s="305" t="str">
        <f t="shared" si="134"/>
        <v/>
      </c>
      <c r="BZ143" s="305" t="str">
        <f t="shared" si="135"/>
        <v/>
      </c>
      <c r="CA143" s="304" t="str">
        <f t="shared" si="136"/>
        <v/>
      </c>
      <c r="CB143" s="305" t="str">
        <f t="shared" si="137"/>
        <v/>
      </c>
      <c r="CC143" s="305" t="str">
        <f t="shared" si="138"/>
        <v/>
      </c>
      <c r="CD143" s="305" t="str">
        <f t="shared" si="139"/>
        <v/>
      </c>
    </row>
    <row r="144" spans="1:82" x14ac:dyDescent="0.2">
      <c r="A144" s="235"/>
      <c r="B144" s="236" t="str">
        <f t="shared" si="104"/>
        <v/>
      </c>
      <c r="C144" s="237" t="str">
        <f t="shared" si="94"/>
        <v/>
      </c>
      <c r="D144" s="237" t="str">
        <f t="shared" si="105"/>
        <v/>
      </c>
      <c r="E144" s="237" t="str">
        <f>IF($C144="", "", COUNTIF($M$8:$M144,$D144))</f>
        <v/>
      </c>
      <c r="F144" s="238">
        <v>137</v>
      </c>
      <c r="G144" s="239"/>
      <c r="H144" s="240"/>
      <c r="I144" s="240"/>
      <c r="J144" s="241"/>
      <c r="K144" s="240"/>
      <c r="L144" s="240"/>
      <c r="M144" s="240"/>
      <c r="N144" s="242"/>
      <c r="O144" s="243"/>
      <c r="P144" s="243"/>
      <c r="Q144" s="243"/>
      <c r="R144" s="243"/>
      <c r="S144" s="243"/>
      <c r="T144" s="245"/>
      <c r="U144" s="246" t="str">
        <f>IF($T144="", "", VLOOKUP($T144, CONTRATOS!$B:$E, 2, FALSE))</f>
        <v/>
      </c>
      <c r="V144" s="247">
        <f>IF(OR($T144="",TB_DEFESA!$C$2="Criação Baseline"),0,
   IF(VLOOKUP($T144, CONTRATOS!B:E, 3, FALSE)&lt;&gt;"",1,IF(VLOOKUP($T144, CONTRATOS!B:E, 4, FALSE)&lt;&gt;"",2,0)))</f>
        <v>0</v>
      </c>
      <c r="W144" s="248"/>
      <c r="X144" s="248"/>
      <c r="Y144" s="249"/>
      <c r="Z144" s="250"/>
      <c r="AA144" s="251"/>
      <c r="AB144" s="252"/>
      <c r="AC144" s="253"/>
      <c r="AD144" s="251"/>
      <c r="AE144" s="254" t="str">
        <f t="shared" si="95"/>
        <v/>
      </c>
      <c r="AF144" s="256" t="str">
        <f t="shared" si="106"/>
        <v/>
      </c>
      <c r="AG144" s="293" t="s">
        <v>62</v>
      </c>
      <c r="AH144" s="294" t="str">
        <f t="shared" si="107"/>
        <v/>
      </c>
      <c r="AI144" s="294" t="str">
        <f t="shared" si="108"/>
        <v/>
      </c>
      <c r="AJ144" s="295" t="str">
        <f t="shared" si="109"/>
        <v/>
      </c>
      <c r="AK144" s="296" t="str">
        <f t="shared" si="110"/>
        <v/>
      </c>
      <c r="AL144" s="297" t="str">
        <f t="shared" si="111"/>
        <v/>
      </c>
      <c r="AM144" s="294" t="str">
        <f t="shared" si="112"/>
        <v/>
      </c>
      <c r="AN144" s="294" t="str">
        <f t="shared" si="113"/>
        <v/>
      </c>
      <c r="AO144" s="298" t="str">
        <f t="shared" si="114"/>
        <v/>
      </c>
      <c r="AP144" s="299" t="str">
        <f t="shared" si="115"/>
        <v/>
      </c>
      <c r="AQ144" s="299" t="str">
        <f t="shared" si="116"/>
        <v/>
      </c>
      <c r="AR144" s="300" t="str">
        <f t="shared" si="96"/>
        <v/>
      </c>
      <c r="AS144" s="300" t="str">
        <f t="shared" si="97"/>
        <v/>
      </c>
      <c r="AT144" s="294" t="str">
        <f t="shared" si="98"/>
        <v/>
      </c>
      <c r="AU144" s="301" t="str">
        <f>IF(OR($B144="", $AP144= ""),"",IF(VLOOKUP($AP144, CONTRATOS!B:K,3,FALSE)="","",VLOOKUP($AP144, CONTRATOS!B:K, 3,FALSE)))</f>
        <v/>
      </c>
      <c r="AV144" s="301" t="str">
        <f>IF(OR($B144="", $AP144 = ""), "", IF(VLOOKUP($AP144, CONTRATOS!B:K,4,FALSE)="","",VLOOKUP($AP144, CONTRATOS!B:K,4, FALSE)))</f>
        <v/>
      </c>
      <c r="AW144" s="302" t="str">
        <f t="shared" si="99"/>
        <v/>
      </c>
      <c r="AX144" s="301" t="str">
        <f t="shared" si="100"/>
        <v/>
      </c>
      <c r="AY144" s="301" t="str">
        <f t="shared" si="101"/>
        <v/>
      </c>
      <c r="AZ144" s="301" t="str">
        <f t="shared" si="102"/>
        <v/>
      </c>
      <c r="BA144" s="301" t="str">
        <f t="shared" si="103"/>
        <v/>
      </c>
      <c r="BB144" s="303">
        <f t="shared" si="117"/>
        <v>0</v>
      </c>
      <c r="BC144" s="303" t="str">
        <f t="shared" si="118"/>
        <v/>
      </c>
      <c r="BD144" s="303" t="str">
        <f t="shared" si="119"/>
        <v/>
      </c>
      <c r="BF144" s="304">
        <f t="shared" si="120"/>
        <v>0</v>
      </c>
      <c r="BG144" s="304">
        <f t="shared" si="121"/>
        <v>0</v>
      </c>
      <c r="BH144" s="304" t="str">
        <f>IF( $B144="", "", IF(ISNA(VLOOKUP($C144, Defesa!$C$8:$C$30,1,FALSE)),1,0))</f>
        <v/>
      </c>
      <c r="BI144" s="305" t="str">
        <f t="shared" si="122"/>
        <v/>
      </c>
      <c r="BJ144" s="305" t="str">
        <f t="shared" si="123"/>
        <v/>
      </c>
      <c r="BK144" s="304" t="str">
        <f t="shared" si="124"/>
        <v/>
      </c>
      <c r="BL144" s="304">
        <f t="shared" si="125"/>
        <v>0</v>
      </c>
      <c r="BM144" s="304" t="str">
        <f>IF($AC144="", "", IF(ISNA(VLOOKUP($AC144, TABELAS!$Q:$Q, 1, FALSE)), 1, 0))</f>
        <v/>
      </c>
      <c r="BN144" s="306" t="str">
        <f t="shared" si="126"/>
        <v/>
      </c>
      <c r="BO144" s="304" t="str">
        <f t="shared" si="127"/>
        <v/>
      </c>
      <c r="BP144" s="304" t="str">
        <f t="shared" si="128"/>
        <v/>
      </c>
      <c r="BQ144" s="305" t="str">
        <f t="shared" si="129"/>
        <v/>
      </c>
      <c r="BR144" s="304" t="str">
        <f t="shared" si="130"/>
        <v/>
      </c>
      <c r="BS144" s="304" t="str">
        <f t="shared" si="131"/>
        <v/>
      </c>
      <c r="BT144" s="304" t="str">
        <f>IF(OR($B144="", $AH144 = "SIM"), "", IF( ISNA(VLOOKUP($AP144,#REF!, 1, FALSE)), 1, 0))</f>
        <v/>
      </c>
      <c r="BU144" s="304" t="str">
        <f t="shared" si="132"/>
        <v/>
      </c>
      <c r="BV144" s="304" t="str">
        <f>IF( $B144="", "", IF( ISNA(VLOOKUP($AN144, TABELAS!$T$2:$T$9,1,FALSE)), 1, 0))</f>
        <v/>
      </c>
      <c r="BW144" s="304" t="str">
        <f t="shared" si="133"/>
        <v/>
      </c>
      <c r="BX144" s="304" t="str">
        <f>IF( OR($B144="", $AH144 = "SIM"), "", IF( ISNA( VLOOKUP( $AQ144, SISTEMA!$B:$B, 1, FALSE)), 1, 0))</f>
        <v/>
      </c>
      <c r="BY144" s="305" t="str">
        <f t="shared" si="134"/>
        <v/>
      </c>
      <c r="BZ144" s="305" t="str">
        <f t="shared" si="135"/>
        <v/>
      </c>
      <c r="CA144" s="304" t="str">
        <f t="shared" si="136"/>
        <v/>
      </c>
      <c r="CB144" s="305" t="str">
        <f t="shared" si="137"/>
        <v/>
      </c>
      <c r="CC144" s="305" t="str">
        <f t="shared" si="138"/>
        <v/>
      </c>
      <c r="CD144" s="305" t="str">
        <f t="shared" si="139"/>
        <v/>
      </c>
    </row>
    <row r="145" spans="1:82" x14ac:dyDescent="0.2">
      <c r="A145" s="235"/>
      <c r="B145" s="236" t="str">
        <f t="shared" si="104"/>
        <v/>
      </c>
      <c r="C145" s="237" t="str">
        <f t="shared" si="94"/>
        <v/>
      </c>
      <c r="D145" s="237" t="str">
        <f t="shared" si="105"/>
        <v/>
      </c>
      <c r="E145" s="237" t="str">
        <f>IF($C145="", "", COUNTIF($M$8:$M145,$D145))</f>
        <v/>
      </c>
      <c r="F145" s="238">
        <v>138</v>
      </c>
      <c r="G145" s="239"/>
      <c r="H145" s="240"/>
      <c r="I145" s="240"/>
      <c r="J145" s="241"/>
      <c r="K145" s="240"/>
      <c r="L145" s="240"/>
      <c r="M145" s="240"/>
      <c r="N145" s="242"/>
      <c r="O145" s="243"/>
      <c r="P145" s="243"/>
      <c r="Q145" s="243"/>
      <c r="R145" s="243"/>
      <c r="S145" s="243"/>
      <c r="T145" s="245"/>
      <c r="U145" s="246" t="str">
        <f>IF($T145="", "", VLOOKUP($T145, CONTRATOS!$B:$E, 2, FALSE))</f>
        <v/>
      </c>
      <c r="V145" s="247">
        <f>IF(OR($T145="",TB_DEFESA!$C$2="Criação Baseline"),0,
   IF(VLOOKUP($T145, CONTRATOS!B:E, 3, FALSE)&lt;&gt;"",1,IF(VLOOKUP($T145, CONTRATOS!B:E, 4, FALSE)&lt;&gt;"",2,0)))</f>
        <v>0</v>
      </c>
      <c r="W145" s="248"/>
      <c r="X145" s="248"/>
      <c r="Y145" s="249"/>
      <c r="Z145" s="250"/>
      <c r="AA145" s="251"/>
      <c r="AB145" s="252"/>
      <c r="AC145" s="253"/>
      <c r="AD145" s="251"/>
      <c r="AE145" s="254" t="str">
        <f t="shared" si="95"/>
        <v/>
      </c>
      <c r="AF145" s="256" t="str">
        <f t="shared" si="106"/>
        <v/>
      </c>
      <c r="AG145" s="293" t="s">
        <v>62</v>
      </c>
      <c r="AH145" s="294" t="str">
        <f t="shared" si="107"/>
        <v/>
      </c>
      <c r="AI145" s="294" t="str">
        <f t="shared" si="108"/>
        <v/>
      </c>
      <c r="AJ145" s="295" t="str">
        <f t="shared" si="109"/>
        <v/>
      </c>
      <c r="AK145" s="296" t="str">
        <f t="shared" si="110"/>
        <v/>
      </c>
      <c r="AL145" s="297" t="str">
        <f t="shared" si="111"/>
        <v/>
      </c>
      <c r="AM145" s="294" t="str">
        <f t="shared" si="112"/>
        <v/>
      </c>
      <c r="AN145" s="294" t="str">
        <f t="shared" si="113"/>
        <v/>
      </c>
      <c r="AO145" s="298" t="str">
        <f t="shared" si="114"/>
        <v/>
      </c>
      <c r="AP145" s="299" t="str">
        <f t="shared" si="115"/>
        <v/>
      </c>
      <c r="AQ145" s="299" t="str">
        <f t="shared" si="116"/>
        <v/>
      </c>
      <c r="AR145" s="300" t="str">
        <f t="shared" si="96"/>
        <v/>
      </c>
      <c r="AS145" s="300" t="str">
        <f t="shared" si="97"/>
        <v/>
      </c>
      <c r="AT145" s="294" t="str">
        <f t="shared" si="98"/>
        <v/>
      </c>
      <c r="AU145" s="301" t="str">
        <f>IF(OR($B145="", $AP145= ""),"",IF(VLOOKUP($AP145, CONTRATOS!B:K,3,FALSE)="","",VLOOKUP($AP145, CONTRATOS!B:K, 3,FALSE)))</f>
        <v/>
      </c>
      <c r="AV145" s="301" t="str">
        <f>IF(OR($B145="", $AP145 = ""), "", IF(VLOOKUP($AP145, CONTRATOS!B:K,4,FALSE)="","",VLOOKUP($AP145, CONTRATOS!B:K,4, FALSE)))</f>
        <v/>
      </c>
      <c r="AW145" s="302" t="str">
        <f t="shared" si="99"/>
        <v/>
      </c>
      <c r="AX145" s="301" t="str">
        <f t="shared" si="100"/>
        <v/>
      </c>
      <c r="AY145" s="301" t="str">
        <f t="shared" si="101"/>
        <v/>
      </c>
      <c r="AZ145" s="301" t="str">
        <f t="shared" si="102"/>
        <v/>
      </c>
      <c r="BA145" s="301" t="str">
        <f t="shared" si="103"/>
        <v/>
      </c>
      <c r="BB145" s="303">
        <f t="shared" si="117"/>
        <v>0</v>
      </c>
      <c r="BC145" s="303" t="str">
        <f t="shared" si="118"/>
        <v/>
      </c>
      <c r="BD145" s="303" t="str">
        <f t="shared" si="119"/>
        <v/>
      </c>
      <c r="BF145" s="304">
        <f t="shared" si="120"/>
        <v>0</v>
      </c>
      <c r="BG145" s="304">
        <f t="shared" si="121"/>
        <v>0</v>
      </c>
      <c r="BH145" s="304" t="str">
        <f>IF( $B145="", "", IF(ISNA(VLOOKUP($C145, Defesa!$C$8:$C$30,1,FALSE)),1,0))</f>
        <v/>
      </c>
      <c r="BI145" s="305" t="str">
        <f t="shared" si="122"/>
        <v/>
      </c>
      <c r="BJ145" s="305" t="str">
        <f t="shared" si="123"/>
        <v/>
      </c>
      <c r="BK145" s="304" t="str">
        <f t="shared" si="124"/>
        <v/>
      </c>
      <c r="BL145" s="304">
        <f t="shared" si="125"/>
        <v>0</v>
      </c>
      <c r="BM145" s="304" t="str">
        <f>IF($AC145="", "", IF(ISNA(VLOOKUP($AC145, TABELAS!$Q:$Q, 1, FALSE)), 1, 0))</f>
        <v/>
      </c>
      <c r="BN145" s="306" t="str">
        <f t="shared" si="126"/>
        <v/>
      </c>
      <c r="BO145" s="304" t="str">
        <f t="shared" si="127"/>
        <v/>
      </c>
      <c r="BP145" s="304" t="str">
        <f t="shared" si="128"/>
        <v/>
      </c>
      <c r="BQ145" s="305" t="str">
        <f t="shared" si="129"/>
        <v/>
      </c>
      <c r="BR145" s="304" t="str">
        <f t="shared" si="130"/>
        <v/>
      </c>
      <c r="BS145" s="304" t="str">
        <f t="shared" si="131"/>
        <v/>
      </c>
      <c r="BT145" s="304" t="str">
        <f>IF(OR($B145="", $AH145 = "SIM"), "", IF( ISNA(VLOOKUP($AP145,#REF!, 1, FALSE)), 1, 0))</f>
        <v/>
      </c>
      <c r="BU145" s="304" t="str">
        <f t="shared" si="132"/>
        <v/>
      </c>
      <c r="BV145" s="304" t="str">
        <f>IF( $B145="", "", IF( ISNA(VLOOKUP($AN145, TABELAS!$T$2:$T$9,1,FALSE)), 1, 0))</f>
        <v/>
      </c>
      <c r="BW145" s="304" t="str">
        <f t="shared" si="133"/>
        <v/>
      </c>
      <c r="BX145" s="304" t="str">
        <f>IF( OR($B145="", $AH145 = "SIM"), "", IF( ISNA( VLOOKUP( $AQ145, SISTEMA!$B:$B, 1, FALSE)), 1, 0))</f>
        <v/>
      </c>
      <c r="BY145" s="305" t="str">
        <f t="shared" si="134"/>
        <v/>
      </c>
      <c r="BZ145" s="305" t="str">
        <f t="shared" si="135"/>
        <v/>
      </c>
      <c r="CA145" s="304" t="str">
        <f t="shared" si="136"/>
        <v/>
      </c>
      <c r="CB145" s="305" t="str">
        <f t="shared" si="137"/>
        <v/>
      </c>
      <c r="CC145" s="305" t="str">
        <f t="shared" si="138"/>
        <v/>
      </c>
      <c r="CD145" s="305" t="str">
        <f t="shared" si="139"/>
        <v/>
      </c>
    </row>
    <row r="146" spans="1:82" x14ac:dyDescent="0.2">
      <c r="A146" s="235"/>
      <c r="B146" s="236" t="str">
        <f t="shared" si="104"/>
        <v/>
      </c>
      <c r="C146" s="237" t="str">
        <f t="shared" si="94"/>
        <v/>
      </c>
      <c r="D146" s="237" t="str">
        <f t="shared" si="105"/>
        <v/>
      </c>
      <c r="E146" s="237" t="str">
        <f>IF($C146="", "", COUNTIF($M$8:$M146,$D146))</f>
        <v/>
      </c>
      <c r="F146" s="238">
        <v>139</v>
      </c>
      <c r="G146" s="239"/>
      <c r="H146" s="240"/>
      <c r="I146" s="240"/>
      <c r="J146" s="241"/>
      <c r="K146" s="240"/>
      <c r="L146" s="240"/>
      <c r="M146" s="240"/>
      <c r="N146" s="242"/>
      <c r="O146" s="243"/>
      <c r="P146" s="243"/>
      <c r="Q146" s="243"/>
      <c r="R146" s="243"/>
      <c r="S146" s="243"/>
      <c r="T146" s="245"/>
      <c r="U146" s="246" t="str">
        <f>IF($T146="", "", VLOOKUP($T146, CONTRATOS!$B:$E, 2, FALSE))</f>
        <v/>
      </c>
      <c r="V146" s="247">
        <f>IF(OR($T146="",TB_DEFESA!$C$2="Criação Baseline"),0,
   IF(VLOOKUP($T146, CONTRATOS!B:E, 3, FALSE)&lt;&gt;"",1,IF(VLOOKUP($T146, CONTRATOS!B:E, 4, FALSE)&lt;&gt;"",2,0)))</f>
        <v>0</v>
      </c>
      <c r="W146" s="248"/>
      <c r="X146" s="248"/>
      <c r="Y146" s="249"/>
      <c r="Z146" s="250"/>
      <c r="AA146" s="251"/>
      <c r="AB146" s="252"/>
      <c r="AC146" s="253"/>
      <c r="AD146" s="251"/>
      <c r="AE146" s="254" t="str">
        <f t="shared" si="95"/>
        <v/>
      </c>
      <c r="AF146" s="256" t="str">
        <f t="shared" si="106"/>
        <v/>
      </c>
      <c r="AG146" s="293" t="s">
        <v>62</v>
      </c>
      <c r="AH146" s="294" t="str">
        <f t="shared" si="107"/>
        <v/>
      </c>
      <c r="AI146" s="294" t="str">
        <f t="shared" si="108"/>
        <v/>
      </c>
      <c r="AJ146" s="295" t="str">
        <f t="shared" si="109"/>
        <v/>
      </c>
      <c r="AK146" s="296" t="str">
        <f t="shared" si="110"/>
        <v/>
      </c>
      <c r="AL146" s="297" t="str">
        <f t="shared" si="111"/>
        <v/>
      </c>
      <c r="AM146" s="294" t="str">
        <f t="shared" si="112"/>
        <v/>
      </c>
      <c r="AN146" s="294" t="str">
        <f t="shared" si="113"/>
        <v/>
      </c>
      <c r="AO146" s="298" t="str">
        <f t="shared" si="114"/>
        <v/>
      </c>
      <c r="AP146" s="299" t="str">
        <f t="shared" si="115"/>
        <v/>
      </c>
      <c r="AQ146" s="299" t="str">
        <f t="shared" si="116"/>
        <v/>
      </c>
      <c r="AR146" s="300" t="str">
        <f t="shared" si="96"/>
        <v/>
      </c>
      <c r="AS146" s="300" t="str">
        <f t="shared" si="97"/>
        <v/>
      </c>
      <c r="AT146" s="294" t="str">
        <f t="shared" si="98"/>
        <v/>
      </c>
      <c r="AU146" s="301" t="str">
        <f>IF(OR($B146="", $AP146= ""),"",IF(VLOOKUP($AP146, CONTRATOS!B:K,3,FALSE)="","",VLOOKUP($AP146, CONTRATOS!B:K, 3,FALSE)))</f>
        <v/>
      </c>
      <c r="AV146" s="301" t="str">
        <f>IF(OR($B146="", $AP146 = ""), "", IF(VLOOKUP($AP146, CONTRATOS!B:K,4,FALSE)="","",VLOOKUP($AP146, CONTRATOS!B:K,4, FALSE)))</f>
        <v/>
      </c>
      <c r="AW146" s="302" t="str">
        <f t="shared" si="99"/>
        <v/>
      </c>
      <c r="AX146" s="301" t="str">
        <f t="shared" si="100"/>
        <v/>
      </c>
      <c r="AY146" s="301" t="str">
        <f t="shared" si="101"/>
        <v/>
      </c>
      <c r="AZ146" s="301" t="str">
        <f t="shared" si="102"/>
        <v/>
      </c>
      <c r="BA146" s="301" t="str">
        <f t="shared" si="103"/>
        <v/>
      </c>
      <c r="BB146" s="303">
        <f t="shared" si="117"/>
        <v>0</v>
      </c>
      <c r="BC146" s="303" t="str">
        <f t="shared" si="118"/>
        <v/>
      </c>
      <c r="BD146" s="303" t="str">
        <f t="shared" si="119"/>
        <v/>
      </c>
      <c r="BF146" s="304">
        <f t="shared" si="120"/>
        <v>0</v>
      </c>
      <c r="BG146" s="304">
        <f t="shared" si="121"/>
        <v>0</v>
      </c>
      <c r="BH146" s="304" t="str">
        <f>IF( $B146="", "", IF(ISNA(VLOOKUP($C146, Defesa!$C$8:$C$30,1,FALSE)),1,0))</f>
        <v/>
      </c>
      <c r="BI146" s="305" t="str">
        <f t="shared" si="122"/>
        <v/>
      </c>
      <c r="BJ146" s="305" t="str">
        <f t="shared" si="123"/>
        <v/>
      </c>
      <c r="BK146" s="304" t="str">
        <f t="shared" si="124"/>
        <v/>
      </c>
      <c r="BL146" s="304">
        <f t="shared" si="125"/>
        <v>0</v>
      </c>
      <c r="BM146" s="304" t="str">
        <f>IF($AC146="", "", IF(ISNA(VLOOKUP($AC146, TABELAS!$Q:$Q, 1, FALSE)), 1, 0))</f>
        <v/>
      </c>
      <c r="BN146" s="306" t="str">
        <f t="shared" si="126"/>
        <v/>
      </c>
      <c r="BO146" s="304" t="str">
        <f t="shared" si="127"/>
        <v/>
      </c>
      <c r="BP146" s="304" t="str">
        <f t="shared" si="128"/>
        <v/>
      </c>
      <c r="BQ146" s="305" t="str">
        <f t="shared" si="129"/>
        <v/>
      </c>
      <c r="BR146" s="304" t="str">
        <f t="shared" si="130"/>
        <v/>
      </c>
      <c r="BS146" s="304" t="str">
        <f t="shared" si="131"/>
        <v/>
      </c>
      <c r="BT146" s="304" t="str">
        <f>IF(OR($B146="", $AH146 = "SIM"), "", IF( ISNA(VLOOKUP($AP146,#REF!, 1, FALSE)), 1, 0))</f>
        <v/>
      </c>
      <c r="BU146" s="304" t="str">
        <f t="shared" si="132"/>
        <v/>
      </c>
      <c r="BV146" s="304" t="str">
        <f>IF( $B146="", "", IF( ISNA(VLOOKUP($AN146, TABELAS!$T$2:$T$9,1,FALSE)), 1, 0))</f>
        <v/>
      </c>
      <c r="BW146" s="304" t="str">
        <f t="shared" si="133"/>
        <v/>
      </c>
      <c r="BX146" s="304" t="str">
        <f>IF( OR($B146="", $AH146 = "SIM"), "", IF( ISNA( VLOOKUP( $AQ146, SISTEMA!$B:$B, 1, FALSE)), 1, 0))</f>
        <v/>
      </c>
      <c r="BY146" s="305" t="str">
        <f t="shared" si="134"/>
        <v/>
      </c>
      <c r="BZ146" s="305" t="str">
        <f t="shared" si="135"/>
        <v/>
      </c>
      <c r="CA146" s="304" t="str">
        <f t="shared" si="136"/>
        <v/>
      </c>
      <c r="CB146" s="305" t="str">
        <f t="shared" si="137"/>
        <v/>
      </c>
      <c r="CC146" s="305" t="str">
        <f t="shared" si="138"/>
        <v/>
      </c>
      <c r="CD146" s="305" t="str">
        <f t="shared" si="139"/>
        <v/>
      </c>
    </row>
    <row r="147" spans="1:82" x14ac:dyDescent="0.2">
      <c r="A147" s="235"/>
      <c r="B147" s="236" t="str">
        <f t="shared" si="104"/>
        <v/>
      </c>
      <c r="C147" s="237" t="str">
        <f t="shared" si="94"/>
        <v/>
      </c>
      <c r="D147" s="237" t="str">
        <f t="shared" si="105"/>
        <v/>
      </c>
      <c r="E147" s="237" t="str">
        <f>IF($C147="", "", COUNTIF($M$8:$M147,$D147))</f>
        <v/>
      </c>
      <c r="F147" s="238">
        <v>140</v>
      </c>
      <c r="G147" s="239"/>
      <c r="H147" s="240"/>
      <c r="I147" s="240"/>
      <c r="J147" s="241"/>
      <c r="K147" s="240"/>
      <c r="L147" s="240"/>
      <c r="M147" s="240"/>
      <c r="N147" s="242"/>
      <c r="O147" s="243"/>
      <c r="P147" s="243"/>
      <c r="Q147" s="243"/>
      <c r="R147" s="243"/>
      <c r="S147" s="243"/>
      <c r="T147" s="245"/>
      <c r="U147" s="246" t="str">
        <f>IF($T147="", "", VLOOKUP($T147, CONTRATOS!$B:$E, 2, FALSE))</f>
        <v/>
      </c>
      <c r="V147" s="247">
        <f>IF(OR($T147="",TB_DEFESA!$C$2="Criação Baseline"),0,
   IF(VLOOKUP($T147, CONTRATOS!B:E, 3, FALSE)&lt;&gt;"",1,IF(VLOOKUP($T147, CONTRATOS!B:E, 4, FALSE)&lt;&gt;"",2,0)))</f>
        <v>0</v>
      </c>
      <c r="W147" s="248"/>
      <c r="X147" s="248"/>
      <c r="Y147" s="249"/>
      <c r="Z147" s="250"/>
      <c r="AA147" s="251"/>
      <c r="AB147" s="252"/>
      <c r="AC147" s="253"/>
      <c r="AD147" s="251"/>
      <c r="AE147" s="254" t="str">
        <f t="shared" si="95"/>
        <v/>
      </c>
      <c r="AF147" s="256" t="str">
        <f t="shared" si="106"/>
        <v/>
      </c>
      <c r="AG147" s="293" t="s">
        <v>62</v>
      </c>
      <c r="AH147" s="294" t="str">
        <f t="shared" si="107"/>
        <v/>
      </c>
      <c r="AI147" s="294" t="str">
        <f t="shared" si="108"/>
        <v/>
      </c>
      <c r="AJ147" s="295" t="str">
        <f t="shared" si="109"/>
        <v/>
      </c>
      <c r="AK147" s="296" t="str">
        <f t="shared" si="110"/>
        <v/>
      </c>
      <c r="AL147" s="297" t="str">
        <f t="shared" si="111"/>
        <v/>
      </c>
      <c r="AM147" s="294" t="str">
        <f t="shared" si="112"/>
        <v/>
      </c>
      <c r="AN147" s="294" t="str">
        <f t="shared" si="113"/>
        <v/>
      </c>
      <c r="AO147" s="298" t="str">
        <f t="shared" si="114"/>
        <v/>
      </c>
      <c r="AP147" s="299" t="str">
        <f t="shared" si="115"/>
        <v/>
      </c>
      <c r="AQ147" s="299" t="str">
        <f t="shared" si="116"/>
        <v/>
      </c>
      <c r="AR147" s="300" t="str">
        <f t="shared" si="96"/>
        <v/>
      </c>
      <c r="AS147" s="300" t="str">
        <f t="shared" si="97"/>
        <v/>
      </c>
      <c r="AT147" s="294" t="str">
        <f t="shared" si="98"/>
        <v/>
      </c>
      <c r="AU147" s="301" t="str">
        <f>IF(OR($B147="", $AP147= ""),"",IF(VLOOKUP($AP147, CONTRATOS!B:K,3,FALSE)="","",VLOOKUP($AP147, CONTRATOS!B:K, 3,FALSE)))</f>
        <v/>
      </c>
      <c r="AV147" s="301" t="str">
        <f>IF(OR($B147="", $AP147 = ""), "", IF(VLOOKUP($AP147, CONTRATOS!B:K,4,FALSE)="","",VLOOKUP($AP147, CONTRATOS!B:K,4, FALSE)))</f>
        <v/>
      </c>
      <c r="AW147" s="302" t="str">
        <f t="shared" si="99"/>
        <v/>
      </c>
      <c r="AX147" s="301" t="str">
        <f t="shared" si="100"/>
        <v/>
      </c>
      <c r="AY147" s="301" t="str">
        <f t="shared" si="101"/>
        <v/>
      </c>
      <c r="AZ147" s="301" t="str">
        <f t="shared" si="102"/>
        <v/>
      </c>
      <c r="BA147" s="301" t="str">
        <f t="shared" si="103"/>
        <v/>
      </c>
      <c r="BB147" s="303">
        <f t="shared" si="117"/>
        <v>0</v>
      </c>
      <c r="BC147" s="303" t="str">
        <f t="shared" si="118"/>
        <v/>
      </c>
      <c r="BD147" s="303" t="str">
        <f t="shared" si="119"/>
        <v/>
      </c>
      <c r="BF147" s="304">
        <f t="shared" si="120"/>
        <v>0</v>
      </c>
      <c r="BG147" s="304">
        <f t="shared" si="121"/>
        <v>0</v>
      </c>
      <c r="BH147" s="304" t="str">
        <f>IF( $B147="", "", IF(ISNA(VLOOKUP($C147, Defesa!$C$8:$C$30,1,FALSE)),1,0))</f>
        <v/>
      </c>
      <c r="BI147" s="305" t="str">
        <f t="shared" si="122"/>
        <v/>
      </c>
      <c r="BJ147" s="305" t="str">
        <f t="shared" si="123"/>
        <v/>
      </c>
      <c r="BK147" s="304" t="str">
        <f t="shared" si="124"/>
        <v/>
      </c>
      <c r="BL147" s="304">
        <f t="shared" si="125"/>
        <v>0</v>
      </c>
      <c r="BM147" s="304" t="str">
        <f>IF($AC147="", "", IF(ISNA(VLOOKUP($AC147, TABELAS!$Q:$Q, 1, FALSE)), 1, 0))</f>
        <v/>
      </c>
      <c r="BN147" s="306" t="str">
        <f t="shared" si="126"/>
        <v/>
      </c>
      <c r="BO147" s="304" t="str">
        <f t="shared" si="127"/>
        <v/>
      </c>
      <c r="BP147" s="304" t="str">
        <f t="shared" si="128"/>
        <v/>
      </c>
      <c r="BQ147" s="305" t="str">
        <f t="shared" si="129"/>
        <v/>
      </c>
      <c r="BR147" s="304" t="str">
        <f t="shared" si="130"/>
        <v/>
      </c>
      <c r="BS147" s="304" t="str">
        <f t="shared" si="131"/>
        <v/>
      </c>
      <c r="BT147" s="304" t="str">
        <f>IF(OR($B147="", $AH147 = "SIM"), "", IF( ISNA(VLOOKUP($AP147,#REF!, 1, FALSE)), 1, 0))</f>
        <v/>
      </c>
      <c r="BU147" s="304" t="str">
        <f t="shared" si="132"/>
        <v/>
      </c>
      <c r="BV147" s="304" t="str">
        <f>IF( $B147="", "", IF( ISNA(VLOOKUP($AN147, TABELAS!$T$2:$T$9,1,FALSE)), 1, 0))</f>
        <v/>
      </c>
      <c r="BW147" s="304" t="str">
        <f t="shared" si="133"/>
        <v/>
      </c>
      <c r="BX147" s="304" t="str">
        <f>IF( OR($B147="", $AH147 = "SIM"), "", IF( ISNA( VLOOKUP( $AQ147, SISTEMA!$B:$B, 1, FALSE)), 1, 0))</f>
        <v/>
      </c>
      <c r="BY147" s="305" t="str">
        <f t="shared" si="134"/>
        <v/>
      </c>
      <c r="BZ147" s="305" t="str">
        <f t="shared" si="135"/>
        <v/>
      </c>
      <c r="CA147" s="304" t="str">
        <f t="shared" si="136"/>
        <v/>
      </c>
      <c r="CB147" s="305" t="str">
        <f t="shared" si="137"/>
        <v/>
      </c>
      <c r="CC147" s="305" t="str">
        <f t="shared" si="138"/>
        <v/>
      </c>
      <c r="CD147" s="305" t="str">
        <f t="shared" si="139"/>
        <v/>
      </c>
    </row>
    <row r="148" spans="1:82" x14ac:dyDescent="0.2">
      <c r="A148" s="235"/>
      <c r="B148" s="236" t="str">
        <f t="shared" si="104"/>
        <v/>
      </c>
      <c r="C148" s="237" t="str">
        <f t="shared" si="94"/>
        <v/>
      </c>
      <c r="D148" s="237" t="str">
        <f t="shared" si="105"/>
        <v/>
      </c>
      <c r="E148" s="237" t="str">
        <f>IF($C148="", "", COUNTIF($M$8:$M148,$D148))</f>
        <v/>
      </c>
      <c r="F148" s="238">
        <v>141</v>
      </c>
      <c r="G148" s="239"/>
      <c r="H148" s="240"/>
      <c r="I148" s="240"/>
      <c r="J148" s="241"/>
      <c r="K148" s="240"/>
      <c r="L148" s="240"/>
      <c r="M148" s="240"/>
      <c r="N148" s="242"/>
      <c r="O148" s="243"/>
      <c r="P148" s="243"/>
      <c r="Q148" s="243"/>
      <c r="R148" s="243"/>
      <c r="S148" s="243"/>
      <c r="T148" s="245"/>
      <c r="U148" s="246" t="str">
        <f>IF($T148="", "", VLOOKUP($T148, CONTRATOS!$B:$E, 2, FALSE))</f>
        <v/>
      </c>
      <c r="V148" s="247">
        <f>IF(OR($T148="",TB_DEFESA!$C$2="Criação Baseline"),0,
   IF(VLOOKUP($T148, CONTRATOS!B:E, 3, FALSE)&lt;&gt;"",1,IF(VLOOKUP($T148, CONTRATOS!B:E, 4, FALSE)&lt;&gt;"",2,0)))</f>
        <v>0</v>
      </c>
      <c r="W148" s="248"/>
      <c r="X148" s="248"/>
      <c r="Y148" s="249"/>
      <c r="Z148" s="250"/>
      <c r="AA148" s="251"/>
      <c r="AB148" s="252"/>
      <c r="AC148" s="253"/>
      <c r="AD148" s="251"/>
      <c r="AE148" s="254" t="str">
        <f t="shared" si="95"/>
        <v/>
      </c>
      <c r="AF148" s="256" t="str">
        <f t="shared" si="106"/>
        <v/>
      </c>
      <c r="AG148" s="293" t="s">
        <v>62</v>
      </c>
      <c r="AH148" s="294" t="str">
        <f t="shared" si="107"/>
        <v/>
      </c>
      <c r="AI148" s="294" t="str">
        <f t="shared" si="108"/>
        <v/>
      </c>
      <c r="AJ148" s="295" t="str">
        <f t="shared" si="109"/>
        <v/>
      </c>
      <c r="AK148" s="296" t="str">
        <f t="shared" si="110"/>
        <v/>
      </c>
      <c r="AL148" s="297" t="str">
        <f t="shared" si="111"/>
        <v/>
      </c>
      <c r="AM148" s="294" t="str">
        <f t="shared" si="112"/>
        <v/>
      </c>
      <c r="AN148" s="294" t="str">
        <f t="shared" si="113"/>
        <v/>
      </c>
      <c r="AO148" s="298" t="str">
        <f t="shared" si="114"/>
        <v/>
      </c>
      <c r="AP148" s="299" t="str">
        <f t="shared" si="115"/>
        <v/>
      </c>
      <c r="AQ148" s="299" t="str">
        <f t="shared" si="116"/>
        <v/>
      </c>
      <c r="AR148" s="300" t="str">
        <f t="shared" si="96"/>
        <v/>
      </c>
      <c r="AS148" s="300" t="str">
        <f t="shared" si="97"/>
        <v/>
      </c>
      <c r="AT148" s="294" t="str">
        <f t="shared" si="98"/>
        <v/>
      </c>
      <c r="AU148" s="301" t="str">
        <f>IF(OR($B148="", $AP148= ""),"",IF(VLOOKUP($AP148, CONTRATOS!B:K,3,FALSE)="","",VLOOKUP($AP148, CONTRATOS!B:K, 3,FALSE)))</f>
        <v/>
      </c>
      <c r="AV148" s="301" t="str">
        <f>IF(OR($B148="", $AP148 = ""), "", IF(VLOOKUP($AP148, CONTRATOS!B:K,4,FALSE)="","",VLOOKUP($AP148, CONTRATOS!B:K,4, FALSE)))</f>
        <v/>
      </c>
      <c r="AW148" s="302" t="str">
        <f t="shared" si="99"/>
        <v/>
      </c>
      <c r="AX148" s="301" t="str">
        <f t="shared" si="100"/>
        <v/>
      </c>
      <c r="AY148" s="301" t="str">
        <f t="shared" si="101"/>
        <v/>
      </c>
      <c r="AZ148" s="301" t="str">
        <f t="shared" si="102"/>
        <v/>
      </c>
      <c r="BA148" s="301" t="str">
        <f t="shared" si="103"/>
        <v/>
      </c>
      <c r="BB148" s="303">
        <f t="shared" si="117"/>
        <v>0</v>
      </c>
      <c r="BC148" s="303" t="str">
        <f t="shared" si="118"/>
        <v/>
      </c>
      <c r="BD148" s="303" t="str">
        <f t="shared" si="119"/>
        <v/>
      </c>
      <c r="BF148" s="304">
        <f t="shared" si="120"/>
        <v>0</v>
      </c>
      <c r="BG148" s="304">
        <f t="shared" si="121"/>
        <v>0</v>
      </c>
      <c r="BH148" s="304" t="str">
        <f>IF( $B148="", "", IF(ISNA(VLOOKUP($C148, Defesa!$C$8:$C$30,1,FALSE)),1,0))</f>
        <v/>
      </c>
      <c r="BI148" s="305" t="str">
        <f t="shared" si="122"/>
        <v/>
      </c>
      <c r="BJ148" s="305" t="str">
        <f t="shared" si="123"/>
        <v/>
      </c>
      <c r="BK148" s="304" t="str">
        <f t="shared" si="124"/>
        <v/>
      </c>
      <c r="BL148" s="304">
        <f t="shared" si="125"/>
        <v>0</v>
      </c>
      <c r="BM148" s="304" t="str">
        <f>IF($AC148="", "", IF(ISNA(VLOOKUP($AC148, TABELAS!$Q:$Q, 1, FALSE)), 1, 0))</f>
        <v/>
      </c>
      <c r="BN148" s="306" t="str">
        <f t="shared" si="126"/>
        <v/>
      </c>
      <c r="BO148" s="304" t="str">
        <f t="shared" si="127"/>
        <v/>
      </c>
      <c r="BP148" s="304" t="str">
        <f t="shared" si="128"/>
        <v/>
      </c>
      <c r="BQ148" s="305" t="str">
        <f t="shared" si="129"/>
        <v/>
      </c>
      <c r="BR148" s="304" t="str">
        <f t="shared" si="130"/>
        <v/>
      </c>
      <c r="BS148" s="304" t="str">
        <f t="shared" si="131"/>
        <v/>
      </c>
      <c r="BT148" s="304" t="str">
        <f>IF(OR($B148="", $AH148 = "SIM"), "", IF( ISNA(VLOOKUP($AP148,#REF!, 1, FALSE)), 1, 0))</f>
        <v/>
      </c>
      <c r="BU148" s="304" t="str">
        <f t="shared" si="132"/>
        <v/>
      </c>
      <c r="BV148" s="304" t="str">
        <f>IF( $B148="", "", IF( ISNA(VLOOKUP($AN148, TABELAS!$T$2:$T$9,1,FALSE)), 1, 0))</f>
        <v/>
      </c>
      <c r="BW148" s="304" t="str">
        <f t="shared" si="133"/>
        <v/>
      </c>
      <c r="BX148" s="304" t="str">
        <f>IF( OR($B148="", $AH148 = "SIM"), "", IF( ISNA( VLOOKUP( $AQ148, SISTEMA!$B:$B, 1, FALSE)), 1, 0))</f>
        <v/>
      </c>
      <c r="BY148" s="305" t="str">
        <f t="shared" si="134"/>
        <v/>
      </c>
      <c r="BZ148" s="305" t="str">
        <f t="shared" si="135"/>
        <v/>
      </c>
      <c r="CA148" s="304" t="str">
        <f t="shared" si="136"/>
        <v/>
      </c>
      <c r="CB148" s="305" t="str">
        <f t="shared" si="137"/>
        <v/>
      </c>
      <c r="CC148" s="305" t="str">
        <f t="shared" si="138"/>
        <v/>
      </c>
      <c r="CD148" s="305" t="str">
        <f t="shared" si="139"/>
        <v/>
      </c>
    </row>
    <row r="149" spans="1:82" x14ac:dyDescent="0.2">
      <c r="A149" s="235"/>
      <c r="B149" s="236" t="str">
        <f t="shared" si="104"/>
        <v/>
      </c>
      <c r="C149" s="237" t="str">
        <f t="shared" si="94"/>
        <v/>
      </c>
      <c r="D149" s="237" t="str">
        <f t="shared" si="105"/>
        <v/>
      </c>
      <c r="E149" s="237" t="str">
        <f>IF($C149="", "", COUNTIF($M$8:$M149,$D149))</f>
        <v/>
      </c>
      <c r="F149" s="238">
        <v>142</v>
      </c>
      <c r="G149" s="239"/>
      <c r="H149" s="240"/>
      <c r="I149" s="240"/>
      <c r="J149" s="241"/>
      <c r="K149" s="240"/>
      <c r="L149" s="240"/>
      <c r="M149" s="240"/>
      <c r="N149" s="242"/>
      <c r="O149" s="243"/>
      <c r="P149" s="243"/>
      <c r="Q149" s="243"/>
      <c r="R149" s="243"/>
      <c r="S149" s="243"/>
      <c r="T149" s="245"/>
      <c r="U149" s="246" t="str">
        <f>IF($T149="", "", VLOOKUP($T149, CONTRATOS!$B:$E, 2, FALSE))</f>
        <v/>
      </c>
      <c r="V149" s="247">
        <f>IF(OR($T149="",TB_DEFESA!$C$2="Criação Baseline"),0,
   IF(VLOOKUP($T149, CONTRATOS!B:E, 3, FALSE)&lt;&gt;"",1,IF(VLOOKUP($T149, CONTRATOS!B:E, 4, FALSE)&lt;&gt;"",2,0)))</f>
        <v>0</v>
      </c>
      <c r="W149" s="248"/>
      <c r="X149" s="248"/>
      <c r="Y149" s="249"/>
      <c r="Z149" s="250"/>
      <c r="AA149" s="251"/>
      <c r="AB149" s="252"/>
      <c r="AC149" s="253"/>
      <c r="AD149" s="251"/>
      <c r="AE149" s="254" t="str">
        <f t="shared" si="95"/>
        <v/>
      </c>
      <c r="AF149" s="256" t="str">
        <f t="shared" si="106"/>
        <v/>
      </c>
      <c r="AG149" s="293" t="s">
        <v>62</v>
      </c>
      <c r="AH149" s="294" t="str">
        <f t="shared" si="107"/>
        <v/>
      </c>
      <c r="AI149" s="294" t="str">
        <f t="shared" si="108"/>
        <v/>
      </c>
      <c r="AJ149" s="295" t="str">
        <f t="shared" si="109"/>
        <v/>
      </c>
      <c r="AK149" s="296" t="str">
        <f t="shared" si="110"/>
        <v/>
      </c>
      <c r="AL149" s="297" t="str">
        <f t="shared" si="111"/>
        <v/>
      </c>
      <c r="AM149" s="294" t="str">
        <f t="shared" si="112"/>
        <v/>
      </c>
      <c r="AN149" s="294" t="str">
        <f t="shared" si="113"/>
        <v/>
      </c>
      <c r="AO149" s="298" t="str">
        <f t="shared" si="114"/>
        <v/>
      </c>
      <c r="AP149" s="299" t="str">
        <f t="shared" si="115"/>
        <v/>
      </c>
      <c r="AQ149" s="299" t="str">
        <f t="shared" si="116"/>
        <v/>
      </c>
      <c r="AR149" s="300" t="str">
        <f t="shared" si="96"/>
        <v/>
      </c>
      <c r="AS149" s="300" t="str">
        <f t="shared" si="97"/>
        <v/>
      </c>
      <c r="AT149" s="294" t="str">
        <f t="shared" si="98"/>
        <v/>
      </c>
      <c r="AU149" s="301" t="str">
        <f>IF(OR($B149="", $AP149= ""),"",IF(VLOOKUP($AP149, CONTRATOS!B:K,3,FALSE)="","",VLOOKUP($AP149, CONTRATOS!B:K, 3,FALSE)))</f>
        <v/>
      </c>
      <c r="AV149" s="301" t="str">
        <f>IF(OR($B149="", $AP149 = ""), "", IF(VLOOKUP($AP149, CONTRATOS!B:K,4,FALSE)="","",VLOOKUP($AP149, CONTRATOS!B:K,4, FALSE)))</f>
        <v/>
      </c>
      <c r="AW149" s="302" t="str">
        <f t="shared" si="99"/>
        <v/>
      </c>
      <c r="AX149" s="301" t="str">
        <f t="shared" si="100"/>
        <v/>
      </c>
      <c r="AY149" s="301" t="str">
        <f t="shared" si="101"/>
        <v/>
      </c>
      <c r="AZ149" s="301" t="str">
        <f t="shared" si="102"/>
        <v/>
      </c>
      <c r="BA149" s="301" t="str">
        <f t="shared" si="103"/>
        <v/>
      </c>
      <c r="BB149" s="303">
        <f t="shared" si="117"/>
        <v>0</v>
      </c>
      <c r="BC149" s="303" t="str">
        <f t="shared" si="118"/>
        <v/>
      </c>
      <c r="BD149" s="303" t="str">
        <f t="shared" si="119"/>
        <v/>
      </c>
      <c r="BF149" s="304">
        <f t="shared" si="120"/>
        <v>0</v>
      </c>
      <c r="BG149" s="304">
        <f t="shared" si="121"/>
        <v>0</v>
      </c>
      <c r="BH149" s="304" t="str">
        <f>IF( $B149="", "", IF(ISNA(VLOOKUP($C149, Defesa!$C$8:$C$30,1,FALSE)),1,0))</f>
        <v/>
      </c>
      <c r="BI149" s="305" t="str">
        <f t="shared" si="122"/>
        <v/>
      </c>
      <c r="BJ149" s="305" t="str">
        <f t="shared" si="123"/>
        <v/>
      </c>
      <c r="BK149" s="304" t="str">
        <f t="shared" si="124"/>
        <v/>
      </c>
      <c r="BL149" s="304">
        <f t="shared" si="125"/>
        <v>0</v>
      </c>
      <c r="BM149" s="304" t="str">
        <f>IF($AC149="", "", IF(ISNA(VLOOKUP($AC149, TABELAS!$Q:$Q, 1, FALSE)), 1, 0))</f>
        <v/>
      </c>
      <c r="BN149" s="306" t="str">
        <f t="shared" si="126"/>
        <v/>
      </c>
      <c r="BO149" s="304" t="str">
        <f t="shared" si="127"/>
        <v/>
      </c>
      <c r="BP149" s="304" t="str">
        <f t="shared" si="128"/>
        <v/>
      </c>
      <c r="BQ149" s="305" t="str">
        <f t="shared" si="129"/>
        <v/>
      </c>
      <c r="BR149" s="304" t="str">
        <f t="shared" si="130"/>
        <v/>
      </c>
      <c r="BS149" s="304" t="str">
        <f t="shared" si="131"/>
        <v/>
      </c>
      <c r="BT149" s="304" t="str">
        <f>IF(OR($B149="", $AH149 = "SIM"), "", IF( ISNA(VLOOKUP($AP149,#REF!, 1, FALSE)), 1, 0))</f>
        <v/>
      </c>
      <c r="BU149" s="304" t="str">
        <f t="shared" si="132"/>
        <v/>
      </c>
      <c r="BV149" s="304" t="str">
        <f>IF( $B149="", "", IF( ISNA(VLOOKUP($AN149, TABELAS!$T$2:$T$9,1,FALSE)), 1, 0))</f>
        <v/>
      </c>
      <c r="BW149" s="304" t="str">
        <f t="shared" si="133"/>
        <v/>
      </c>
      <c r="BX149" s="304" t="str">
        <f>IF( OR($B149="", $AH149 = "SIM"), "", IF( ISNA( VLOOKUP( $AQ149, SISTEMA!$B:$B, 1, FALSE)), 1, 0))</f>
        <v/>
      </c>
      <c r="BY149" s="305" t="str">
        <f t="shared" si="134"/>
        <v/>
      </c>
      <c r="BZ149" s="305" t="str">
        <f t="shared" si="135"/>
        <v/>
      </c>
      <c r="CA149" s="304" t="str">
        <f t="shared" si="136"/>
        <v/>
      </c>
      <c r="CB149" s="305" t="str">
        <f t="shared" si="137"/>
        <v/>
      </c>
      <c r="CC149" s="305" t="str">
        <f t="shared" si="138"/>
        <v/>
      </c>
      <c r="CD149" s="305" t="str">
        <f t="shared" si="139"/>
        <v/>
      </c>
    </row>
    <row r="150" spans="1:82" x14ac:dyDescent="0.2">
      <c r="A150" s="235"/>
      <c r="B150" s="236" t="str">
        <f t="shared" si="104"/>
        <v/>
      </c>
      <c r="C150" s="237" t="str">
        <f t="shared" si="94"/>
        <v/>
      </c>
      <c r="D150" s="237" t="str">
        <f t="shared" si="105"/>
        <v/>
      </c>
      <c r="E150" s="237" t="str">
        <f>IF($C150="", "", COUNTIF($M$8:$M150,$D150))</f>
        <v/>
      </c>
      <c r="F150" s="238">
        <v>143</v>
      </c>
      <c r="G150" s="239"/>
      <c r="H150" s="240"/>
      <c r="I150" s="240"/>
      <c r="J150" s="241"/>
      <c r="K150" s="240"/>
      <c r="L150" s="240"/>
      <c r="M150" s="240"/>
      <c r="N150" s="242"/>
      <c r="O150" s="243"/>
      <c r="P150" s="243"/>
      <c r="Q150" s="243"/>
      <c r="R150" s="243"/>
      <c r="S150" s="243"/>
      <c r="T150" s="245"/>
      <c r="U150" s="246" t="str">
        <f>IF($T150="", "", VLOOKUP($T150, CONTRATOS!$B:$E, 2, FALSE))</f>
        <v/>
      </c>
      <c r="V150" s="247">
        <f>IF(OR($T150="",TB_DEFESA!$C$2="Criação Baseline"),0,
   IF(VLOOKUP($T150, CONTRATOS!B:E, 3, FALSE)&lt;&gt;"",1,IF(VLOOKUP($T150, CONTRATOS!B:E, 4, FALSE)&lt;&gt;"",2,0)))</f>
        <v>0</v>
      </c>
      <c r="W150" s="248"/>
      <c r="X150" s="248"/>
      <c r="Y150" s="249"/>
      <c r="Z150" s="250"/>
      <c r="AA150" s="251"/>
      <c r="AB150" s="252"/>
      <c r="AC150" s="253"/>
      <c r="AD150" s="251"/>
      <c r="AE150" s="254" t="str">
        <f t="shared" si="95"/>
        <v/>
      </c>
      <c r="AF150" s="256" t="str">
        <f t="shared" si="106"/>
        <v/>
      </c>
      <c r="AG150" s="293" t="s">
        <v>62</v>
      </c>
      <c r="AH150" s="294" t="str">
        <f t="shared" si="107"/>
        <v/>
      </c>
      <c r="AI150" s="294" t="str">
        <f t="shared" si="108"/>
        <v/>
      </c>
      <c r="AJ150" s="295" t="str">
        <f t="shared" si="109"/>
        <v/>
      </c>
      <c r="AK150" s="296" t="str">
        <f t="shared" si="110"/>
        <v/>
      </c>
      <c r="AL150" s="297" t="str">
        <f t="shared" si="111"/>
        <v/>
      </c>
      <c r="AM150" s="294" t="str">
        <f t="shared" si="112"/>
        <v/>
      </c>
      <c r="AN150" s="294" t="str">
        <f t="shared" si="113"/>
        <v/>
      </c>
      <c r="AO150" s="298" t="str">
        <f t="shared" si="114"/>
        <v/>
      </c>
      <c r="AP150" s="299" t="str">
        <f t="shared" si="115"/>
        <v/>
      </c>
      <c r="AQ150" s="299" t="str">
        <f t="shared" si="116"/>
        <v/>
      </c>
      <c r="AR150" s="300" t="str">
        <f t="shared" si="96"/>
        <v/>
      </c>
      <c r="AS150" s="300" t="str">
        <f t="shared" si="97"/>
        <v/>
      </c>
      <c r="AT150" s="294" t="str">
        <f t="shared" si="98"/>
        <v/>
      </c>
      <c r="AU150" s="301" t="str">
        <f>IF(OR($B150="", $AP150= ""),"",IF(VLOOKUP($AP150, CONTRATOS!B:K,3,FALSE)="","",VLOOKUP($AP150, CONTRATOS!B:K, 3,FALSE)))</f>
        <v/>
      </c>
      <c r="AV150" s="301" t="str">
        <f>IF(OR($B150="", $AP150 = ""), "", IF(VLOOKUP($AP150, CONTRATOS!B:K,4,FALSE)="","",VLOOKUP($AP150, CONTRATOS!B:K,4, FALSE)))</f>
        <v/>
      </c>
      <c r="AW150" s="302" t="str">
        <f t="shared" si="99"/>
        <v/>
      </c>
      <c r="AX150" s="301" t="str">
        <f t="shared" si="100"/>
        <v/>
      </c>
      <c r="AY150" s="301" t="str">
        <f t="shared" si="101"/>
        <v/>
      </c>
      <c r="AZ150" s="301" t="str">
        <f t="shared" si="102"/>
        <v/>
      </c>
      <c r="BA150" s="301" t="str">
        <f t="shared" si="103"/>
        <v/>
      </c>
      <c r="BB150" s="303">
        <f t="shared" si="117"/>
        <v>0</v>
      </c>
      <c r="BC150" s="303" t="str">
        <f t="shared" si="118"/>
        <v/>
      </c>
      <c r="BD150" s="303" t="str">
        <f t="shared" si="119"/>
        <v/>
      </c>
      <c r="BF150" s="304">
        <f t="shared" si="120"/>
        <v>0</v>
      </c>
      <c r="BG150" s="304">
        <f t="shared" si="121"/>
        <v>0</v>
      </c>
      <c r="BH150" s="304" t="str">
        <f>IF( $B150="", "", IF(ISNA(VLOOKUP($C150, Defesa!$C$8:$C$30,1,FALSE)),1,0))</f>
        <v/>
      </c>
      <c r="BI150" s="305" t="str">
        <f t="shared" si="122"/>
        <v/>
      </c>
      <c r="BJ150" s="305" t="str">
        <f t="shared" si="123"/>
        <v/>
      </c>
      <c r="BK150" s="304" t="str">
        <f t="shared" si="124"/>
        <v/>
      </c>
      <c r="BL150" s="304">
        <f t="shared" si="125"/>
        <v>0</v>
      </c>
      <c r="BM150" s="304" t="str">
        <f>IF($AC150="", "", IF(ISNA(VLOOKUP($AC150, TABELAS!$Q:$Q, 1, FALSE)), 1, 0))</f>
        <v/>
      </c>
      <c r="BN150" s="306" t="str">
        <f t="shared" si="126"/>
        <v/>
      </c>
      <c r="BO150" s="304" t="str">
        <f t="shared" si="127"/>
        <v/>
      </c>
      <c r="BP150" s="304" t="str">
        <f t="shared" si="128"/>
        <v/>
      </c>
      <c r="BQ150" s="305" t="str">
        <f t="shared" si="129"/>
        <v/>
      </c>
      <c r="BR150" s="304" t="str">
        <f t="shared" si="130"/>
        <v/>
      </c>
      <c r="BS150" s="304" t="str">
        <f t="shared" si="131"/>
        <v/>
      </c>
      <c r="BT150" s="304" t="str">
        <f>IF(OR($B150="", $AH150 = "SIM"), "", IF( ISNA(VLOOKUP($AP150,#REF!, 1, FALSE)), 1, 0))</f>
        <v/>
      </c>
      <c r="BU150" s="304" t="str">
        <f t="shared" si="132"/>
        <v/>
      </c>
      <c r="BV150" s="304" t="str">
        <f>IF( $B150="", "", IF( ISNA(VLOOKUP($AN150, TABELAS!$T$2:$T$9,1,FALSE)), 1, 0))</f>
        <v/>
      </c>
      <c r="BW150" s="304" t="str">
        <f t="shared" si="133"/>
        <v/>
      </c>
      <c r="BX150" s="304" t="str">
        <f>IF( OR($B150="", $AH150 = "SIM"), "", IF( ISNA( VLOOKUP( $AQ150, SISTEMA!$B:$B, 1, FALSE)), 1, 0))</f>
        <v/>
      </c>
      <c r="BY150" s="305" t="str">
        <f t="shared" si="134"/>
        <v/>
      </c>
      <c r="BZ150" s="305" t="str">
        <f t="shared" si="135"/>
        <v/>
      </c>
      <c r="CA150" s="304" t="str">
        <f t="shared" si="136"/>
        <v/>
      </c>
      <c r="CB150" s="305" t="str">
        <f t="shared" si="137"/>
        <v/>
      </c>
      <c r="CC150" s="305" t="str">
        <f t="shared" si="138"/>
        <v/>
      </c>
      <c r="CD150" s="305" t="str">
        <f t="shared" si="139"/>
        <v/>
      </c>
    </row>
    <row r="151" spans="1:82" x14ac:dyDescent="0.2">
      <c r="A151" s="235"/>
      <c r="B151" s="236" t="str">
        <f t="shared" si="104"/>
        <v/>
      </c>
      <c r="C151" s="237" t="str">
        <f t="shared" si="94"/>
        <v/>
      </c>
      <c r="D151" s="237" t="str">
        <f t="shared" si="105"/>
        <v/>
      </c>
      <c r="E151" s="237" t="str">
        <f>IF($C151="", "", COUNTIF($M$8:$M151,$D151))</f>
        <v/>
      </c>
      <c r="F151" s="238">
        <v>144</v>
      </c>
      <c r="G151" s="239"/>
      <c r="H151" s="240"/>
      <c r="I151" s="240"/>
      <c r="J151" s="241"/>
      <c r="K151" s="240"/>
      <c r="L151" s="240"/>
      <c r="M151" s="240"/>
      <c r="N151" s="242"/>
      <c r="O151" s="243"/>
      <c r="P151" s="243"/>
      <c r="Q151" s="243"/>
      <c r="R151" s="243"/>
      <c r="S151" s="243"/>
      <c r="T151" s="245"/>
      <c r="U151" s="246" t="str">
        <f>IF($T151="", "", VLOOKUP($T151, CONTRATOS!$B:$E, 2, FALSE))</f>
        <v/>
      </c>
      <c r="V151" s="247">
        <f>IF(OR($T151="",TB_DEFESA!$C$2="Criação Baseline"),0,
   IF(VLOOKUP($T151, CONTRATOS!B:E, 3, FALSE)&lt;&gt;"",1,IF(VLOOKUP($T151, CONTRATOS!B:E, 4, FALSE)&lt;&gt;"",2,0)))</f>
        <v>0</v>
      </c>
      <c r="W151" s="248"/>
      <c r="X151" s="248"/>
      <c r="Y151" s="249"/>
      <c r="Z151" s="250"/>
      <c r="AA151" s="251"/>
      <c r="AB151" s="252"/>
      <c r="AC151" s="253"/>
      <c r="AD151" s="251"/>
      <c r="AE151" s="254" t="str">
        <f t="shared" si="95"/>
        <v/>
      </c>
      <c r="AF151" s="256" t="str">
        <f t="shared" si="106"/>
        <v/>
      </c>
      <c r="AG151" s="293" t="s">
        <v>62</v>
      </c>
      <c r="AH151" s="294" t="str">
        <f t="shared" si="107"/>
        <v/>
      </c>
      <c r="AI151" s="294" t="str">
        <f t="shared" si="108"/>
        <v/>
      </c>
      <c r="AJ151" s="295" t="str">
        <f t="shared" si="109"/>
        <v/>
      </c>
      <c r="AK151" s="296" t="str">
        <f t="shared" si="110"/>
        <v/>
      </c>
      <c r="AL151" s="297" t="str">
        <f t="shared" si="111"/>
        <v/>
      </c>
      <c r="AM151" s="294" t="str">
        <f t="shared" si="112"/>
        <v/>
      </c>
      <c r="AN151" s="294" t="str">
        <f t="shared" si="113"/>
        <v/>
      </c>
      <c r="AO151" s="298" t="str">
        <f t="shared" si="114"/>
        <v/>
      </c>
      <c r="AP151" s="299" t="str">
        <f t="shared" si="115"/>
        <v/>
      </c>
      <c r="AQ151" s="299" t="str">
        <f t="shared" si="116"/>
        <v/>
      </c>
      <c r="AR151" s="300" t="str">
        <f t="shared" si="96"/>
        <v/>
      </c>
      <c r="AS151" s="300" t="str">
        <f t="shared" si="97"/>
        <v/>
      </c>
      <c r="AT151" s="294" t="str">
        <f t="shared" si="98"/>
        <v/>
      </c>
      <c r="AU151" s="301" t="str">
        <f>IF(OR($B151="", $AP151= ""),"",IF(VLOOKUP($AP151, CONTRATOS!B:K,3,FALSE)="","",VLOOKUP($AP151, CONTRATOS!B:K, 3,FALSE)))</f>
        <v/>
      </c>
      <c r="AV151" s="301" t="str">
        <f>IF(OR($B151="", $AP151 = ""), "", IF(VLOOKUP($AP151, CONTRATOS!B:K,4,FALSE)="","",VLOOKUP($AP151, CONTRATOS!B:K,4, FALSE)))</f>
        <v/>
      </c>
      <c r="AW151" s="302" t="str">
        <f t="shared" si="99"/>
        <v/>
      </c>
      <c r="AX151" s="301" t="str">
        <f t="shared" si="100"/>
        <v/>
      </c>
      <c r="AY151" s="301" t="str">
        <f t="shared" si="101"/>
        <v/>
      </c>
      <c r="AZ151" s="301" t="str">
        <f t="shared" si="102"/>
        <v/>
      </c>
      <c r="BA151" s="301" t="str">
        <f t="shared" si="103"/>
        <v/>
      </c>
      <c r="BB151" s="303">
        <f t="shared" si="117"/>
        <v>0</v>
      </c>
      <c r="BC151" s="303" t="str">
        <f t="shared" si="118"/>
        <v/>
      </c>
      <c r="BD151" s="303" t="str">
        <f t="shared" si="119"/>
        <v/>
      </c>
      <c r="BF151" s="304">
        <f t="shared" si="120"/>
        <v>0</v>
      </c>
      <c r="BG151" s="304">
        <f t="shared" si="121"/>
        <v>0</v>
      </c>
      <c r="BH151" s="304" t="str">
        <f>IF( $B151="", "", IF(ISNA(VLOOKUP($C151, Defesa!$C$8:$C$30,1,FALSE)),1,0))</f>
        <v/>
      </c>
      <c r="BI151" s="305" t="str">
        <f t="shared" si="122"/>
        <v/>
      </c>
      <c r="BJ151" s="305" t="str">
        <f t="shared" si="123"/>
        <v/>
      </c>
      <c r="BK151" s="304" t="str">
        <f t="shared" si="124"/>
        <v/>
      </c>
      <c r="BL151" s="304">
        <f t="shared" si="125"/>
        <v>0</v>
      </c>
      <c r="BM151" s="304" t="str">
        <f>IF($AC151="", "", IF(ISNA(VLOOKUP($AC151, TABELAS!$Q:$Q, 1, FALSE)), 1, 0))</f>
        <v/>
      </c>
      <c r="BN151" s="306" t="str">
        <f t="shared" si="126"/>
        <v/>
      </c>
      <c r="BO151" s="304" t="str">
        <f t="shared" si="127"/>
        <v/>
      </c>
      <c r="BP151" s="304" t="str">
        <f t="shared" si="128"/>
        <v/>
      </c>
      <c r="BQ151" s="305" t="str">
        <f t="shared" si="129"/>
        <v/>
      </c>
      <c r="BR151" s="304" t="str">
        <f t="shared" si="130"/>
        <v/>
      </c>
      <c r="BS151" s="304" t="str">
        <f t="shared" si="131"/>
        <v/>
      </c>
      <c r="BT151" s="304" t="str">
        <f>IF(OR($B151="", $AH151 = "SIM"), "", IF( ISNA(VLOOKUP($AP151,#REF!, 1, FALSE)), 1, 0))</f>
        <v/>
      </c>
      <c r="BU151" s="304" t="str">
        <f t="shared" si="132"/>
        <v/>
      </c>
      <c r="BV151" s="304" t="str">
        <f>IF( $B151="", "", IF( ISNA(VLOOKUP($AN151, TABELAS!$T$2:$T$9,1,FALSE)), 1, 0))</f>
        <v/>
      </c>
      <c r="BW151" s="304" t="str">
        <f t="shared" si="133"/>
        <v/>
      </c>
      <c r="BX151" s="304" t="str">
        <f>IF( OR($B151="", $AH151 = "SIM"), "", IF( ISNA( VLOOKUP( $AQ151, SISTEMA!$B:$B, 1, FALSE)), 1, 0))</f>
        <v/>
      </c>
      <c r="BY151" s="305" t="str">
        <f t="shared" si="134"/>
        <v/>
      </c>
      <c r="BZ151" s="305" t="str">
        <f t="shared" si="135"/>
        <v/>
      </c>
      <c r="CA151" s="304" t="str">
        <f t="shared" si="136"/>
        <v/>
      </c>
      <c r="CB151" s="305" t="str">
        <f t="shared" si="137"/>
        <v/>
      </c>
      <c r="CC151" s="305" t="str">
        <f t="shared" si="138"/>
        <v/>
      </c>
      <c r="CD151" s="305" t="str">
        <f t="shared" si="139"/>
        <v/>
      </c>
    </row>
    <row r="152" spans="1:82" x14ac:dyDescent="0.2">
      <c r="A152" s="235"/>
      <c r="B152" s="236" t="str">
        <f t="shared" si="104"/>
        <v/>
      </c>
      <c r="C152" s="237" t="str">
        <f t="shared" si="94"/>
        <v/>
      </c>
      <c r="D152" s="237" t="str">
        <f t="shared" si="105"/>
        <v/>
      </c>
      <c r="E152" s="237" t="str">
        <f>IF($C152="", "", COUNTIF($M$8:$M152,$D152))</f>
        <v/>
      </c>
      <c r="F152" s="238">
        <v>145</v>
      </c>
      <c r="G152" s="239"/>
      <c r="H152" s="240"/>
      <c r="I152" s="240"/>
      <c r="J152" s="241"/>
      <c r="K152" s="240"/>
      <c r="L152" s="240"/>
      <c r="M152" s="240"/>
      <c r="N152" s="242"/>
      <c r="O152" s="243"/>
      <c r="P152" s="243"/>
      <c r="Q152" s="243"/>
      <c r="R152" s="243"/>
      <c r="S152" s="243"/>
      <c r="T152" s="245"/>
      <c r="U152" s="246" t="str">
        <f>IF($T152="", "", VLOOKUP($T152, CONTRATOS!$B:$E, 2, FALSE))</f>
        <v/>
      </c>
      <c r="V152" s="247">
        <f>IF(OR($T152="",TB_DEFESA!$C$2="Criação Baseline"),0,
   IF(VLOOKUP($T152, CONTRATOS!B:E, 3, FALSE)&lt;&gt;"",1,IF(VLOOKUP($T152, CONTRATOS!B:E, 4, FALSE)&lt;&gt;"",2,0)))</f>
        <v>0</v>
      </c>
      <c r="W152" s="248"/>
      <c r="X152" s="248"/>
      <c r="Y152" s="249"/>
      <c r="Z152" s="250"/>
      <c r="AA152" s="251"/>
      <c r="AB152" s="252"/>
      <c r="AC152" s="253"/>
      <c r="AD152" s="251"/>
      <c r="AE152" s="254" t="str">
        <f t="shared" si="95"/>
        <v/>
      </c>
      <c r="AF152" s="256" t="str">
        <f t="shared" si="106"/>
        <v/>
      </c>
      <c r="AG152" s="293" t="s">
        <v>62</v>
      </c>
      <c r="AH152" s="294" t="str">
        <f t="shared" si="107"/>
        <v/>
      </c>
      <c r="AI152" s="294" t="str">
        <f t="shared" si="108"/>
        <v/>
      </c>
      <c r="AJ152" s="295" t="str">
        <f t="shared" si="109"/>
        <v/>
      </c>
      <c r="AK152" s="296" t="str">
        <f t="shared" si="110"/>
        <v/>
      </c>
      <c r="AL152" s="297" t="str">
        <f t="shared" si="111"/>
        <v/>
      </c>
      <c r="AM152" s="294" t="str">
        <f t="shared" si="112"/>
        <v/>
      </c>
      <c r="AN152" s="294" t="str">
        <f t="shared" si="113"/>
        <v/>
      </c>
      <c r="AO152" s="298" t="str">
        <f t="shared" si="114"/>
        <v/>
      </c>
      <c r="AP152" s="299" t="str">
        <f t="shared" si="115"/>
        <v/>
      </c>
      <c r="AQ152" s="299" t="str">
        <f t="shared" si="116"/>
        <v/>
      </c>
      <c r="AR152" s="300" t="str">
        <f t="shared" si="96"/>
        <v/>
      </c>
      <c r="AS152" s="300" t="str">
        <f t="shared" si="97"/>
        <v/>
      </c>
      <c r="AT152" s="294" t="str">
        <f t="shared" si="98"/>
        <v/>
      </c>
      <c r="AU152" s="301" t="str">
        <f>IF(OR($B152="", $AP152= ""),"",IF(VLOOKUP($AP152, CONTRATOS!B:K,3,FALSE)="","",VLOOKUP($AP152, CONTRATOS!B:K, 3,FALSE)))</f>
        <v/>
      </c>
      <c r="AV152" s="301" t="str">
        <f>IF(OR($B152="", $AP152 = ""), "", IF(VLOOKUP($AP152, CONTRATOS!B:K,4,FALSE)="","",VLOOKUP($AP152, CONTRATOS!B:K,4, FALSE)))</f>
        <v/>
      </c>
      <c r="AW152" s="302" t="str">
        <f t="shared" si="99"/>
        <v/>
      </c>
      <c r="AX152" s="301" t="str">
        <f t="shared" si="100"/>
        <v/>
      </c>
      <c r="AY152" s="301" t="str">
        <f t="shared" si="101"/>
        <v/>
      </c>
      <c r="AZ152" s="301" t="str">
        <f t="shared" si="102"/>
        <v/>
      </c>
      <c r="BA152" s="301" t="str">
        <f t="shared" si="103"/>
        <v/>
      </c>
      <c r="BB152" s="303">
        <f t="shared" si="117"/>
        <v>0</v>
      </c>
      <c r="BC152" s="303" t="str">
        <f t="shared" si="118"/>
        <v/>
      </c>
      <c r="BD152" s="303" t="str">
        <f t="shared" si="119"/>
        <v/>
      </c>
      <c r="BF152" s="304">
        <f t="shared" si="120"/>
        <v>0</v>
      </c>
      <c r="BG152" s="304">
        <f t="shared" si="121"/>
        <v>0</v>
      </c>
      <c r="BH152" s="304" t="str">
        <f>IF( $B152="", "", IF(ISNA(VLOOKUP($C152, Defesa!$C$8:$C$30,1,FALSE)),1,0))</f>
        <v/>
      </c>
      <c r="BI152" s="305" t="str">
        <f t="shared" si="122"/>
        <v/>
      </c>
      <c r="BJ152" s="305" t="str">
        <f t="shared" si="123"/>
        <v/>
      </c>
      <c r="BK152" s="304" t="str">
        <f t="shared" si="124"/>
        <v/>
      </c>
      <c r="BL152" s="304">
        <f t="shared" si="125"/>
        <v>0</v>
      </c>
      <c r="BM152" s="304" t="str">
        <f>IF($AC152="", "", IF(ISNA(VLOOKUP($AC152, TABELAS!$Q:$Q, 1, FALSE)), 1, 0))</f>
        <v/>
      </c>
      <c r="BN152" s="306" t="str">
        <f t="shared" si="126"/>
        <v/>
      </c>
      <c r="BO152" s="304" t="str">
        <f t="shared" si="127"/>
        <v/>
      </c>
      <c r="BP152" s="304" t="str">
        <f t="shared" si="128"/>
        <v/>
      </c>
      <c r="BQ152" s="305" t="str">
        <f t="shared" si="129"/>
        <v/>
      </c>
      <c r="BR152" s="304" t="str">
        <f t="shared" si="130"/>
        <v/>
      </c>
      <c r="BS152" s="304" t="str">
        <f t="shared" si="131"/>
        <v/>
      </c>
      <c r="BT152" s="304" t="str">
        <f>IF(OR($B152="", $AH152 = "SIM"), "", IF( ISNA(VLOOKUP($AP152,#REF!, 1, FALSE)), 1, 0))</f>
        <v/>
      </c>
      <c r="BU152" s="304" t="str">
        <f t="shared" si="132"/>
        <v/>
      </c>
      <c r="BV152" s="304" t="str">
        <f>IF( $B152="", "", IF( ISNA(VLOOKUP($AN152, TABELAS!$T$2:$T$9,1,FALSE)), 1, 0))</f>
        <v/>
      </c>
      <c r="BW152" s="304" t="str">
        <f t="shared" si="133"/>
        <v/>
      </c>
      <c r="BX152" s="304" t="str">
        <f>IF( OR($B152="", $AH152 = "SIM"), "", IF( ISNA( VLOOKUP( $AQ152, SISTEMA!$B:$B, 1, FALSE)), 1, 0))</f>
        <v/>
      </c>
      <c r="BY152" s="305" t="str">
        <f t="shared" si="134"/>
        <v/>
      </c>
      <c r="BZ152" s="305" t="str">
        <f t="shared" si="135"/>
        <v/>
      </c>
      <c r="CA152" s="304" t="str">
        <f t="shared" si="136"/>
        <v/>
      </c>
      <c r="CB152" s="305" t="str">
        <f t="shared" si="137"/>
        <v/>
      </c>
      <c r="CC152" s="305" t="str">
        <f t="shared" si="138"/>
        <v/>
      </c>
      <c r="CD152" s="305" t="str">
        <f t="shared" si="139"/>
        <v/>
      </c>
    </row>
    <row r="153" spans="1:82" x14ac:dyDescent="0.2">
      <c r="A153" s="235"/>
      <c r="B153" s="236" t="str">
        <f t="shared" si="104"/>
        <v/>
      </c>
      <c r="C153" s="237" t="str">
        <f t="shared" si="94"/>
        <v/>
      </c>
      <c r="D153" s="237" t="str">
        <f t="shared" si="105"/>
        <v/>
      </c>
      <c r="E153" s="237" t="str">
        <f>IF($C153="", "", COUNTIF($M$8:$M153,$D153))</f>
        <v/>
      </c>
      <c r="F153" s="238">
        <v>146</v>
      </c>
      <c r="G153" s="239"/>
      <c r="H153" s="240"/>
      <c r="I153" s="240"/>
      <c r="J153" s="241"/>
      <c r="K153" s="240"/>
      <c r="L153" s="240"/>
      <c r="M153" s="240"/>
      <c r="N153" s="242"/>
      <c r="O153" s="243"/>
      <c r="P153" s="243"/>
      <c r="Q153" s="243"/>
      <c r="R153" s="243"/>
      <c r="S153" s="243"/>
      <c r="T153" s="245"/>
      <c r="U153" s="246" t="str">
        <f>IF($T153="", "", VLOOKUP($T153, CONTRATOS!$B:$E, 2, FALSE))</f>
        <v/>
      </c>
      <c r="V153" s="247">
        <f>IF(OR($T153="",TB_DEFESA!$C$2="Criação Baseline"),0,
   IF(VLOOKUP($T153, CONTRATOS!B:E, 3, FALSE)&lt;&gt;"",1,IF(VLOOKUP($T153, CONTRATOS!B:E, 4, FALSE)&lt;&gt;"",2,0)))</f>
        <v>0</v>
      </c>
      <c r="W153" s="248"/>
      <c r="X153" s="248"/>
      <c r="Y153" s="249"/>
      <c r="Z153" s="250"/>
      <c r="AA153" s="251"/>
      <c r="AB153" s="252"/>
      <c r="AC153" s="253"/>
      <c r="AD153" s="251"/>
      <c r="AE153" s="254" t="str">
        <f t="shared" si="95"/>
        <v/>
      </c>
      <c r="AF153" s="256" t="str">
        <f t="shared" si="106"/>
        <v/>
      </c>
      <c r="AG153" s="293" t="s">
        <v>62</v>
      </c>
      <c r="AH153" s="294" t="str">
        <f t="shared" si="107"/>
        <v/>
      </c>
      <c r="AI153" s="294" t="str">
        <f t="shared" si="108"/>
        <v/>
      </c>
      <c r="AJ153" s="295" t="str">
        <f t="shared" si="109"/>
        <v/>
      </c>
      <c r="AK153" s="296" t="str">
        <f t="shared" si="110"/>
        <v/>
      </c>
      <c r="AL153" s="297" t="str">
        <f t="shared" si="111"/>
        <v/>
      </c>
      <c r="AM153" s="294" t="str">
        <f t="shared" si="112"/>
        <v/>
      </c>
      <c r="AN153" s="294" t="str">
        <f t="shared" si="113"/>
        <v/>
      </c>
      <c r="AO153" s="298" t="str">
        <f t="shared" si="114"/>
        <v/>
      </c>
      <c r="AP153" s="299" t="str">
        <f t="shared" si="115"/>
        <v/>
      </c>
      <c r="AQ153" s="299" t="str">
        <f t="shared" si="116"/>
        <v/>
      </c>
      <c r="AR153" s="300" t="str">
        <f t="shared" si="96"/>
        <v/>
      </c>
      <c r="AS153" s="300" t="str">
        <f t="shared" si="97"/>
        <v/>
      </c>
      <c r="AT153" s="294" t="str">
        <f t="shared" si="98"/>
        <v/>
      </c>
      <c r="AU153" s="301" t="str">
        <f>IF(OR($B153="", $AP153= ""),"",IF(VLOOKUP($AP153, CONTRATOS!B:K,3,FALSE)="","",VLOOKUP($AP153, CONTRATOS!B:K, 3,FALSE)))</f>
        <v/>
      </c>
      <c r="AV153" s="301" t="str">
        <f>IF(OR($B153="", $AP153 = ""), "", IF(VLOOKUP($AP153, CONTRATOS!B:K,4,FALSE)="","",VLOOKUP($AP153, CONTRATOS!B:K,4, FALSE)))</f>
        <v/>
      </c>
      <c r="AW153" s="302" t="str">
        <f t="shared" si="99"/>
        <v/>
      </c>
      <c r="AX153" s="301" t="str">
        <f t="shared" si="100"/>
        <v/>
      </c>
      <c r="AY153" s="301" t="str">
        <f t="shared" si="101"/>
        <v/>
      </c>
      <c r="AZ153" s="301" t="str">
        <f t="shared" si="102"/>
        <v/>
      </c>
      <c r="BA153" s="301" t="str">
        <f t="shared" si="103"/>
        <v/>
      </c>
      <c r="BB153" s="303">
        <f t="shared" si="117"/>
        <v>0</v>
      </c>
      <c r="BC153" s="303" t="str">
        <f t="shared" si="118"/>
        <v/>
      </c>
      <c r="BD153" s="303" t="str">
        <f t="shared" si="119"/>
        <v/>
      </c>
      <c r="BF153" s="304">
        <f t="shared" si="120"/>
        <v>0</v>
      </c>
      <c r="BG153" s="304">
        <f t="shared" si="121"/>
        <v>0</v>
      </c>
      <c r="BH153" s="304" t="str">
        <f>IF( $B153="", "", IF(ISNA(VLOOKUP($C153, Defesa!$C$8:$C$30,1,FALSE)),1,0))</f>
        <v/>
      </c>
      <c r="BI153" s="305" t="str">
        <f t="shared" si="122"/>
        <v/>
      </c>
      <c r="BJ153" s="305" t="str">
        <f t="shared" si="123"/>
        <v/>
      </c>
      <c r="BK153" s="304" t="str">
        <f t="shared" si="124"/>
        <v/>
      </c>
      <c r="BL153" s="304">
        <f t="shared" si="125"/>
        <v>0</v>
      </c>
      <c r="BM153" s="304" t="str">
        <f>IF($AC153="", "", IF(ISNA(VLOOKUP($AC153, TABELAS!$Q:$Q, 1, FALSE)), 1, 0))</f>
        <v/>
      </c>
      <c r="BN153" s="306" t="str">
        <f t="shared" si="126"/>
        <v/>
      </c>
      <c r="BO153" s="304" t="str">
        <f t="shared" si="127"/>
        <v/>
      </c>
      <c r="BP153" s="304" t="str">
        <f t="shared" si="128"/>
        <v/>
      </c>
      <c r="BQ153" s="305" t="str">
        <f t="shared" si="129"/>
        <v/>
      </c>
      <c r="BR153" s="304" t="str">
        <f t="shared" si="130"/>
        <v/>
      </c>
      <c r="BS153" s="304" t="str">
        <f t="shared" si="131"/>
        <v/>
      </c>
      <c r="BT153" s="304" t="str">
        <f>IF(OR($B153="", $AH153 = "SIM"), "", IF( ISNA(VLOOKUP($AP153,#REF!, 1, FALSE)), 1, 0))</f>
        <v/>
      </c>
      <c r="BU153" s="304" t="str">
        <f t="shared" si="132"/>
        <v/>
      </c>
      <c r="BV153" s="304" t="str">
        <f>IF( $B153="", "", IF( ISNA(VLOOKUP($AN153, TABELAS!$T$2:$T$9,1,FALSE)), 1, 0))</f>
        <v/>
      </c>
      <c r="BW153" s="304" t="str">
        <f t="shared" si="133"/>
        <v/>
      </c>
      <c r="BX153" s="304" t="str">
        <f>IF( OR($B153="", $AH153 = "SIM"), "", IF( ISNA( VLOOKUP( $AQ153, SISTEMA!$B:$B, 1, FALSE)), 1, 0))</f>
        <v/>
      </c>
      <c r="BY153" s="305" t="str">
        <f t="shared" si="134"/>
        <v/>
      </c>
      <c r="BZ153" s="305" t="str">
        <f t="shared" si="135"/>
        <v/>
      </c>
      <c r="CA153" s="304" t="str">
        <f t="shared" si="136"/>
        <v/>
      </c>
      <c r="CB153" s="305" t="str">
        <f t="shared" si="137"/>
        <v/>
      </c>
      <c r="CC153" s="305" t="str">
        <f t="shared" si="138"/>
        <v/>
      </c>
      <c r="CD153" s="305" t="str">
        <f t="shared" si="139"/>
        <v/>
      </c>
    </row>
    <row r="154" spans="1:82" x14ac:dyDescent="0.2">
      <c r="A154" s="235"/>
      <c r="B154" s="236" t="str">
        <f t="shared" si="104"/>
        <v/>
      </c>
      <c r="C154" s="237" t="str">
        <f t="shared" si="94"/>
        <v/>
      </c>
      <c r="D154" s="237" t="str">
        <f t="shared" si="105"/>
        <v/>
      </c>
      <c r="E154" s="237" t="str">
        <f>IF($C154="", "", COUNTIF($M$8:$M154,$D154))</f>
        <v/>
      </c>
      <c r="F154" s="238">
        <v>147</v>
      </c>
      <c r="G154" s="239"/>
      <c r="H154" s="240"/>
      <c r="I154" s="240"/>
      <c r="J154" s="241"/>
      <c r="K154" s="240"/>
      <c r="L154" s="240"/>
      <c r="M154" s="240"/>
      <c r="N154" s="242"/>
      <c r="O154" s="243"/>
      <c r="P154" s="243"/>
      <c r="Q154" s="243"/>
      <c r="R154" s="243"/>
      <c r="S154" s="243"/>
      <c r="T154" s="245"/>
      <c r="U154" s="246" t="str">
        <f>IF($T154="", "", VLOOKUP($T154, CONTRATOS!$B:$E, 2, FALSE))</f>
        <v/>
      </c>
      <c r="V154" s="247">
        <f>IF(OR($T154="",TB_DEFESA!$C$2="Criação Baseline"),0,
   IF(VLOOKUP($T154, CONTRATOS!B:E, 3, FALSE)&lt;&gt;"",1,IF(VLOOKUP($T154, CONTRATOS!B:E, 4, FALSE)&lt;&gt;"",2,0)))</f>
        <v>0</v>
      </c>
      <c r="W154" s="248"/>
      <c r="X154" s="248"/>
      <c r="Y154" s="249"/>
      <c r="Z154" s="250"/>
      <c r="AA154" s="251"/>
      <c r="AB154" s="252"/>
      <c r="AC154" s="253"/>
      <c r="AD154" s="251"/>
      <c r="AE154" s="254" t="str">
        <f t="shared" si="95"/>
        <v/>
      </c>
      <c r="AF154" s="256" t="str">
        <f t="shared" si="106"/>
        <v/>
      </c>
      <c r="AG154" s="293" t="s">
        <v>62</v>
      </c>
      <c r="AH154" s="294" t="str">
        <f t="shared" si="107"/>
        <v/>
      </c>
      <c r="AI154" s="294" t="str">
        <f t="shared" si="108"/>
        <v/>
      </c>
      <c r="AJ154" s="295" t="str">
        <f t="shared" si="109"/>
        <v/>
      </c>
      <c r="AK154" s="296" t="str">
        <f t="shared" si="110"/>
        <v/>
      </c>
      <c r="AL154" s="297" t="str">
        <f t="shared" si="111"/>
        <v/>
      </c>
      <c r="AM154" s="294" t="str">
        <f t="shared" si="112"/>
        <v/>
      </c>
      <c r="AN154" s="294" t="str">
        <f t="shared" si="113"/>
        <v/>
      </c>
      <c r="AO154" s="298" t="str">
        <f t="shared" si="114"/>
        <v/>
      </c>
      <c r="AP154" s="299" t="str">
        <f t="shared" si="115"/>
        <v/>
      </c>
      <c r="AQ154" s="299" t="str">
        <f t="shared" si="116"/>
        <v/>
      </c>
      <c r="AR154" s="300" t="str">
        <f t="shared" si="96"/>
        <v/>
      </c>
      <c r="AS154" s="300" t="str">
        <f t="shared" si="97"/>
        <v/>
      </c>
      <c r="AT154" s="294" t="str">
        <f t="shared" si="98"/>
        <v/>
      </c>
      <c r="AU154" s="301" t="str">
        <f>IF(OR($B154="", $AP154= ""),"",IF(VLOOKUP($AP154, CONTRATOS!B:K,3,FALSE)="","",VLOOKUP($AP154, CONTRATOS!B:K, 3,FALSE)))</f>
        <v/>
      </c>
      <c r="AV154" s="301" t="str">
        <f>IF(OR($B154="", $AP154 = ""), "", IF(VLOOKUP($AP154, CONTRATOS!B:K,4,FALSE)="","",VLOOKUP($AP154, CONTRATOS!B:K,4, FALSE)))</f>
        <v/>
      </c>
      <c r="AW154" s="302" t="str">
        <f t="shared" si="99"/>
        <v/>
      </c>
      <c r="AX154" s="301" t="str">
        <f t="shared" si="100"/>
        <v/>
      </c>
      <c r="AY154" s="301" t="str">
        <f t="shared" si="101"/>
        <v/>
      </c>
      <c r="AZ154" s="301" t="str">
        <f t="shared" si="102"/>
        <v/>
      </c>
      <c r="BA154" s="301" t="str">
        <f t="shared" si="103"/>
        <v/>
      </c>
      <c r="BB154" s="303">
        <f t="shared" si="117"/>
        <v>0</v>
      </c>
      <c r="BC154" s="303" t="str">
        <f t="shared" si="118"/>
        <v/>
      </c>
      <c r="BD154" s="303" t="str">
        <f t="shared" si="119"/>
        <v/>
      </c>
      <c r="BF154" s="304">
        <f t="shared" si="120"/>
        <v>0</v>
      </c>
      <c r="BG154" s="304">
        <f t="shared" si="121"/>
        <v>0</v>
      </c>
      <c r="BH154" s="304" t="str">
        <f>IF( $B154="", "", IF(ISNA(VLOOKUP($C154, Defesa!$C$8:$C$30,1,FALSE)),1,0))</f>
        <v/>
      </c>
      <c r="BI154" s="305" t="str">
        <f t="shared" si="122"/>
        <v/>
      </c>
      <c r="BJ154" s="305" t="str">
        <f t="shared" si="123"/>
        <v/>
      </c>
      <c r="BK154" s="304" t="str">
        <f t="shared" si="124"/>
        <v/>
      </c>
      <c r="BL154" s="304">
        <f t="shared" si="125"/>
        <v>0</v>
      </c>
      <c r="BM154" s="304" t="str">
        <f>IF($AC154="", "", IF(ISNA(VLOOKUP($AC154, TABELAS!$Q:$Q, 1, FALSE)), 1, 0))</f>
        <v/>
      </c>
      <c r="BN154" s="306" t="str">
        <f t="shared" si="126"/>
        <v/>
      </c>
      <c r="BO154" s="304" t="str">
        <f t="shared" si="127"/>
        <v/>
      </c>
      <c r="BP154" s="304" t="str">
        <f t="shared" si="128"/>
        <v/>
      </c>
      <c r="BQ154" s="305" t="str">
        <f t="shared" si="129"/>
        <v/>
      </c>
      <c r="BR154" s="304" t="str">
        <f t="shared" si="130"/>
        <v/>
      </c>
      <c r="BS154" s="304" t="str">
        <f t="shared" si="131"/>
        <v/>
      </c>
      <c r="BT154" s="304" t="str">
        <f>IF(OR($B154="", $AH154 = "SIM"), "", IF( ISNA(VLOOKUP($AP154,#REF!, 1, FALSE)), 1, 0))</f>
        <v/>
      </c>
      <c r="BU154" s="304" t="str">
        <f t="shared" si="132"/>
        <v/>
      </c>
      <c r="BV154" s="304" t="str">
        <f>IF( $B154="", "", IF( ISNA(VLOOKUP($AN154, TABELAS!$T$2:$T$9,1,FALSE)), 1, 0))</f>
        <v/>
      </c>
      <c r="BW154" s="304" t="str">
        <f t="shared" si="133"/>
        <v/>
      </c>
      <c r="BX154" s="304" t="str">
        <f>IF( OR($B154="", $AH154 = "SIM"), "", IF( ISNA( VLOOKUP( $AQ154, SISTEMA!$B:$B, 1, FALSE)), 1, 0))</f>
        <v/>
      </c>
      <c r="BY154" s="305" t="str">
        <f t="shared" si="134"/>
        <v/>
      </c>
      <c r="BZ154" s="305" t="str">
        <f t="shared" si="135"/>
        <v/>
      </c>
      <c r="CA154" s="304" t="str">
        <f t="shared" si="136"/>
        <v/>
      </c>
      <c r="CB154" s="305" t="str">
        <f t="shared" si="137"/>
        <v/>
      </c>
      <c r="CC154" s="305" t="str">
        <f t="shared" si="138"/>
        <v/>
      </c>
      <c r="CD154" s="305" t="str">
        <f t="shared" si="139"/>
        <v/>
      </c>
    </row>
    <row r="155" spans="1:82" x14ac:dyDescent="0.2">
      <c r="A155" s="235"/>
      <c r="B155" s="236" t="str">
        <f t="shared" si="104"/>
        <v/>
      </c>
      <c r="C155" s="237" t="str">
        <f t="shared" si="94"/>
        <v/>
      </c>
      <c r="D155" s="237" t="str">
        <f t="shared" si="105"/>
        <v/>
      </c>
      <c r="E155" s="237" t="str">
        <f>IF($C155="", "", COUNTIF($M$8:$M155,$D155))</f>
        <v/>
      </c>
      <c r="F155" s="238">
        <v>148</v>
      </c>
      <c r="G155" s="239"/>
      <c r="H155" s="240"/>
      <c r="I155" s="240"/>
      <c r="J155" s="241"/>
      <c r="K155" s="240"/>
      <c r="L155" s="240"/>
      <c r="M155" s="240"/>
      <c r="N155" s="242"/>
      <c r="O155" s="243"/>
      <c r="P155" s="243"/>
      <c r="Q155" s="243"/>
      <c r="R155" s="243"/>
      <c r="S155" s="243"/>
      <c r="T155" s="245"/>
      <c r="U155" s="246" t="str">
        <f>IF($T155="", "", VLOOKUP($T155, CONTRATOS!$B:$E, 2, FALSE))</f>
        <v/>
      </c>
      <c r="V155" s="247">
        <f>IF(OR($T155="",TB_DEFESA!$C$2="Criação Baseline"),0,
   IF(VLOOKUP($T155, CONTRATOS!B:E, 3, FALSE)&lt;&gt;"",1,IF(VLOOKUP($T155, CONTRATOS!B:E, 4, FALSE)&lt;&gt;"",2,0)))</f>
        <v>0</v>
      </c>
      <c r="W155" s="248"/>
      <c r="X155" s="248"/>
      <c r="Y155" s="249"/>
      <c r="Z155" s="250"/>
      <c r="AA155" s="251"/>
      <c r="AB155" s="252"/>
      <c r="AC155" s="253"/>
      <c r="AD155" s="251"/>
      <c r="AE155" s="254" t="str">
        <f t="shared" si="95"/>
        <v/>
      </c>
      <c r="AF155" s="256" t="str">
        <f t="shared" si="106"/>
        <v/>
      </c>
      <c r="AG155" s="293" t="s">
        <v>62</v>
      </c>
      <c r="AH155" s="294" t="str">
        <f t="shared" si="107"/>
        <v/>
      </c>
      <c r="AI155" s="294" t="str">
        <f t="shared" si="108"/>
        <v/>
      </c>
      <c r="AJ155" s="295" t="str">
        <f t="shared" si="109"/>
        <v/>
      </c>
      <c r="AK155" s="296" t="str">
        <f t="shared" si="110"/>
        <v/>
      </c>
      <c r="AL155" s="297" t="str">
        <f t="shared" si="111"/>
        <v/>
      </c>
      <c r="AM155" s="294" t="str">
        <f t="shared" si="112"/>
        <v/>
      </c>
      <c r="AN155" s="294" t="str">
        <f t="shared" si="113"/>
        <v/>
      </c>
      <c r="AO155" s="298" t="str">
        <f t="shared" si="114"/>
        <v/>
      </c>
      <c r="AP155" s="299" t="str">
        <f t="shared" si="115"/>
        <v/>
      </c>
      <c r="AQ155" s="299" t="str">
        <f t="shared" si="116"/>
        <v/>
      </c>
      <c r="AR155" s="300" t="str">
        <f t="shared" si="96"/>
        <v/>
      </c>
      <c r="AS155" s="300" t="str">
        <f t="shared" si="97"/>
        <v/>
      </c>
      <c r="AT155" s="294" t="str">
        <f t="shared" si="98"/>
        <v/>
      </c>
      <c r="AU155" s="301" t="str">
        <f>IF(OR($B155="", $AP155= ""),"",IF(VLOOKUP($AP155, CONTRATOS!B:K,3,FALSE)="","",VLOOKUP($AP155, CONTRATOS!B:K, 3,FALSE)))</f>
        <v/>
      </c>
      <c r="AV155" s="301" t="str">
        <f>IF(OR($B155="", $AP155 = ""), "", IF(VLOOKUP($AP155, CONTRATOS!B:K,4,FALSE)="","",VLOOKUP($AP155, CONTRATOS!B:K,4, FALSE)))</f>
        <v/>
      </c>
      <c r="AW155" s="302" t="str">
        <f t="shared" si="99"/>
        <v/>
      </c>
      <c r="AX155" s="301" t="str">
        <f t="shared" si="100"/>
        <v/>
      </c>
      <c r="AY155" s="301" t="str">
        <f t="shared" si="101"/>
        <v/>
      </c>
      <c r="AZ155" s="301" t="str">
        <f t="shared" si="102"/>
        <v/>
      </c>
      <c r="BA155" s="301" t="str">
        <f t="shared" si="103"/>
        <v/>
      </c>
      <c r="BB155" s="303">
        <f t="shared" si="117"/>
        <v>0</v>
      </c>
      <c r="BC155" s="303" t="str">
        <f t="shared" si="118"/>
        <v/>
      </c>
      <c r="BD155" s="303" t="str">
        <f t="shared" si="119"/>
        <v/>
      </c>
      <c r="BF155" s="304">
        <f t="shared" si="120"/>
        <v>0</v>
      </c>
      <c r="BG155" s="304">
        <f t="shared" si="121"/>
        <v>0</v>
      </c>
      <c r="BH155" s="304" t="str">
        <f>IF( $B155="", "", IF(ISNA(VLOOKUP($C155, Defesa!$C$8:$C$30,1,FALSE)),1,0))</f>
        <v/>
      </c>
      <c r="BI155" s="305" t="str">
        <f t="shared" si="122"/>
        <v/>
      </c>
      <c r="BJ155" s="305" t="str">
        <f t="shared" si="123"/>
        <v/>
      </c>
      <c r="BK155" s="304" t="str">
        <f t="shared" si="124"/>
        <v/>
      </c>
      <c r="BL155" s="304">
        <f t="shared" si="125"/>
        <v>0</v>
      </c>
      <c r="BM155" s="304" t="str">
        <f>IF($AC155="", "", IF(ISNA(VLOOKUP($AC155, TABELAS!$Q:$Q, 1, FALSE)), 1, 0))</f>
        <v/>
      </c>
      <c r="BN155" s="306" t="str">
        <f t="shared" si="126"/>
        <v/>
      </c>
      <c r="BO155" s="304" t="str">
        <f t="shared" si="127"/>
        <v/>
      </c>
      <c r="BP155" s="304" t="str">
        <f t="shared" si="128"/>
        <v/>
      </c>
      <c r="BQ155" s="305" t="str">
        <f t="shared" si="129"/>
        <v/>
      </c>
      <c r="BR155" s="304" t="str">
        <f t="shared" si="130"/>
        <v/>
      </c>
      <c r="BS155" s="304" t="str">
        <f t="shared" si="131"/>
        <v/>
      </c>
      <c r="BT155" s="304" t="str">
        <f>IF(OR($B155="", $AH155 = "SIM"), "", IF( ISNA(VLOOKUP($AP155,#REF!, 1, FALSE)), 1, 0))</f>
        <v/>
      </c>
      <c r="BU155" s="304" t="str">
        <f t="shared" si="132"/>
        <v/>
      </c>
      <c r="BV155" s="304" t="str">
        <f>IF( $B155="", "", IF( ISNA(VLOOKUP($AN155, TABELAS!$T$2:$T$9,1,FALSE)), 1, 0))</f>
        <v/>
      </c>
      <c r="BW155" s="304" t="str">
        <f t="shared" si="133"/>
        <v/>
      </c>
      <c r="BX155" s="304" t="str">
        <f>IF( OR($B155="", $AH155 = "SIM"), "", IF( ISNA( VLOOKUP( $AQ155, SISTEMA!$B:$B, 1, FALSE)), 1, 0))</f>
        <v/>
      </c>
      <c r="BY155" s="305" t="str">
        <f t="shared" si="134"/>
        <v/>
      </c>
      <c r="BZ155" s="305" t="str">
        <f t="shared" si="135"/>
        <v/>
      </c>
      <c r="CA155" s="304" t="str">
        <f t="shared" si="136"/>
        <v/>
      </c>
      <c r="CB155" s="305" t="str">
        <f t="shared" si="137"/>
        <v/>
      </c>
      <c r="CC155" s="305" t="str">
        <f t="shared" si="138"/>
        <v/>
      </c>
      <c r="CD155" s="305" t="str">
        <f t="shared" si="139"/>
        <v/>
      </c>
    </row>
    <row r="156" spans="1:82" x14ac:dyDescent="0.2">
      <c r="A156" s="235"/>
      <c r="B156" s="236" t="str">
        <f t="shared" si="104"/>
        <v/>
      </c>
      <c r="C156" s="237" t="str">
        <f t="shared" si="94"/>
        <v/>
      </c>
      <c r="D156" s="237" t="str">
        <f t="shared" si="105"/>
        <v/>
      </c>
      <c r="E156" s="237" t="str">
        <f>IF($C156="", "", COUNTIF($M$8:$M156,$D156))</f>
        <v/>
      </c>
      <c r="F156" s="238">
        <v>149</v>
      </c>
      <c r="G156" s="239"/>
      <c r="H156" s="240"/>
      <c r="I156" s="240"/>
      <c r="J156" s="241"/>
      <c r="K156" s="240"/>
      <c r="L156" s="240"/>
      <c r="M156" s="240"/>
      <c r="N156" s="242"/>
      <c r="O156" s="243"/>
      <c r="P156" s="243"/>
      <c r="Q156" s="243"/>
      <c r="R156" s="243"/>
      <c r="S156" s="243"/>
      <c r="T156" s="245"/>
      <c r="U156" s="246" t="str">
        <f>IF($T156="", "", VLOOKUP($T156, CONTRATOS!$B:$E, 2, FALSE))</f>
        <v/>
      </c>
      <c r="V156" s="247">
        <f>IF(OR($T156="",TB_DEFESA!$C$2="Criação Baseline"),0,
   IF(VLOOKUP($T156, CONTRATOS!B:E, 3, FALSE)&lt;&gt;"",1,IF(VLOOKUP($T156, CONTRATOS!B:E, 4, FALSE)&lt;&gt;"",2,0)))</f>
        <v>0</v>
      </c>
      <c r="W156" s="248"/>
      <c r="X156" s="248"/>
      <c r="Y156" s="249"/>
      <c r="Z156" s="250"/>
      <c r="AA156" s="251"/>
      <c r="AB156" s="252"/>
      <c r="AC156" s="253"/>
      <c r="AD156" s="251"/>
      <c r="AE156" s="254" t="str">
        <f t="shared" si="95"/>
        <v/>
      </c>
      <c r="AF156" s="256" t="str">
        <f t="shared" si="106"/>
        <v/>
      </c>
      <c r="AG156" s="293" t="s">
        <v>62</v>
      </c>
      <c r="AH156" s="294" t="str">
        <f t="shared" si="107"/>
        <v/>
      </c>
      <c r="AI156" s="294" t="str">
        <f t="shared" si="108"/>
        <v/>
      </c>
      <c r="AJ156" s="295" t="str">
        <f t="shared" si="109"/>
        <v/>
      </c>
      <c r="AK156" s="296" t="str">
        <f t="shared" si="110"/>
        <v/>
      </c>
      <c r="AL156" s="297" t="str">
        <f t="shared" si="111"/>
        <v/>
      </c>
      <c r="AM156" s="294" t="str">
        <f t="shared" si="112"/>
        <v/>
      </c>
      <c r="AN156" s="294" t="str">
        <f t="shared" si="113"/>
        <v/>
      </c>
      <c r="AO156" s="298" t="str">
        <f t="shared" si="114"/>
        <v/>
      </c>
      <c r="AP156" s="299" t="str">
        <f t="shared" si="115"/>
        <v/>
      </c>
      <c r="AQ156" s="299" t="str">
        <f t="shared" si="116"/>
        <v/>
      </c>
      <c r="AR156" s="300" t="str">
        <f t="shared" si="96"/>
        <v/>
      </c>
      <c r="AS156" s="300" t="str">
        <f t="shared" si="97"/>
        <v/>
      </c>
      <c r="AT156" s="294" t="str">
        <f t="shared" si="98"/>
        <v/>
      </c>
      <c r="AU156" s="301" t="str">
        <f>IF(OR($B156="", $AP156= ""),"",IF(VLOOKUP($AP156, CONTRATOS!B:K,3,FALSE)="","",VLOOKUP($AP156, CONTRATOS!B:K, 3,FALSE)))</f>
        <v/>
      </c>
      <c r="AV156" s="301" t="str">
        <f>IF(OR($B156="", $AP156 = ""), "", IF(VLOOKUP($AP156, CONTRATOS!B:K,4,FALSE)="","",VLOOKUP($AP156, CONTRATOS!B:K,4, FALSE)))</f>
        <v/>
      </c>
      <c r="AW156" s="302" t="str">
        <f t="shared" si="99"/>
        <v/>
      </c>
      <c r="AX156" s="301" t="str">
        <f t="shared" si="100"/>
        <v/>
      </c>
      <c r="AY156" s="301" t="str">
        <f t="shared" si="101"/>
        <v/>
      </c>
      <c r="AZ156" s="301" t="str">
        <f t="shared" si="102"/>
        <v/>
      </c>
      <c r="BA156" s="301" t="str">
        <f t="shared" si="103"/>
        <v/>
      </c>
      <c r="BB156" s="303">
        <f t="shared" si="117"/>
        <v>0</v>
      </c>
      <c r="BC156" s="303" t="str">
        <f t="shared" si="118"/>
        <v/>
      </c>
      <c r="BD156" s="303" t="str">
        <f t="shared" si="119"/>
        <v/>
      </c>
      <c r="BF156" s="304">
        <f t="shared" si="120"/>
        <v>0</v>
      </c>
      <c r="BG156" s="304">
        <f t="shared" si="121"/>
        <v>0</v>
      </c>
      <c r="BH156" s="304" t="str">
        <f>IF( $B156="", "", IF(ISNA(VLOOKUP($C156, Defesa!$C$8:$C$30,1,FALSE)),1,0))</f>
        <v/>
      </c>
      <c r="BI156" s="305" t="str">
        <f t="shared" si="122"/>
        <v/>
      </c>
      <c r="BJ156" s="305" t="str">
        <f t="shared" si="123"/>
        <v/>
      </c>
      <c r="BK156" s="304" t="str">
        <f t="shared" si="124"/>
        <v/>
      </c>
      <c r="BL156" s="304">
        <f t="shared" si="125"/>
        <v>0</v>
      </c>
      <c r="BM156" s="304" t="str">
        <f>IF($AC156="", "", IF(ISNA(VLOOKUP($AC156, TABELAS!$Q:$Q, 1, FALSE)), 1, 0))</f>
        <v/>
      </c>
      <c r="BN156" s="306" t="str">
        <f t="shared" si="126"/>
        <v/>
      </c>
      <c r="BO156" s="304" t="str">
        <f t="shared" si="127"/>
        <v/>
      </c>
      <c r="BP156" s="304" t="str">
        <f t="shared" si="128"/>
        <v/>
      </c>
      <c r="BQ156" s="305" t="str">
        <f t="shared" si="129"/>
        <v/>
      </c>
      <c r="BR156" s="304" t="str">
        <f t="shared" si="130"/>
        <v/>
      </c>
      <c r="BS156" s="304" t="str">
        <f t="shared" si="131"/>
        <v/>
      </c>
      <c r="BT156" s="304" t="str">
        <f>IF(OR($B156="", $AH156 = "SIM"), "", IF( ISNA(VLOOKUP($AP156,#REF!, 1, FALSE)), 1, 0))</f>
        <v/>
      </c>
      <c r="BU156" s="304" t="str">
        <f t="shared" si="132"/>
        <v/>
      </c>
      <c r="BV156" s="304" t="str">
        <f>IF( $B156="", "", IF( ISNA(VLOOKUP($AN156, TABELAS!$T$2:$T$9,1,FALSE)), 1, 0))</f>
        <v/>
      </c>
      <c r="BW156" s="304" t="str">
        <f t="shared" si="133"/>
        <v/>
      </c>
      <c r="BX156" s="304" t="str">
        <f>IF( OR($B156="", $AH156 = "SIM"), "", IF( ISNA( VLOOKUP( $AQ156, SISTEMA!$B:$B, 1, FALSE)), 1, 0))</f>
        <v/>
      </c>
      <c r="BY156" s="305" t="str">
        <f t="shared" si="134"/>
        <v/>
      </c>
      <c r="BZ156" s="305" t="str">
        <f t="shared" si="135"/>
        <v/>
      </c>
      <c r="CA156" s="304" t="str">
        <f t="shared" si="136"/>
        <v/>
      </c>
      <c r="CB156" s="305" t="str">
        <f t="shared" si="137"/>
        <v/>
      </c>
      <c r="CC156" s="305" t="str">
        <f t="shared" si="138"/>
        <v/>
      </c>
      <c r="CD156" s="305" t="str">
        <f t="shared" si="139"/>
        <v/>
      </c>
    </row>
    <row r="157" spans="1:82" x14ac:dyDescent="0.2">
      <c r="A157" s="235"/>
      <c r="B157" s="236" t="str">
        <f t="shared" si="104"/>
        <v/>
      </c>
      <c r="C157" s="237" t="str">
        <f t="shared" si="94"/>
        <v/>
      </c>
      <c r="D157" s="237" t="str">
        <f t="shared" si="105"/>
        <v/>
      </c>
      <c r="E157" s="237" t="str">
        <f>IF($C157="", "", COUNTIF($M$8:$M157,$D157))</f>
        <v/>
      </c>
      <c r="F157" s="238">
        <v>150</v>
      </c>
      <c r="G157" s="239"/>
      <c r="H157" s="240"/>
      <c r="I157" s="240"/>
      <c r="J157" s="241"/>
      <c r="K157" s="240"/>
      <c r="L157" s="240"/>
      <c r="M157" s="240"/>
      <c r="N157" s="242"/>
      <c r="O157" s="243"/>
      <c r="P157" s="243"/>
      <c r="Q157" s="243"/>
      <c r="R157" s="243"/>
      <c r="S157" s="243"/>
      <c r="T157" s="245"/>
      <c r="U157" s="246" t="str">
        <f>IF($T157="", "", VLOOKUP($T157, CONTRATOS!$B:$E, 2, FALSE))</f>
        <v/>
      </c>
      <c r="V157" s="247">
        <f>IF(OR($T157="",TB_DEFESA!$C$2="Criação Baseline"),0,
   IF(VLOOKUP($T157, CONTRATOS!B:E, 3, FALSE)&lt;&gt;"",1,IF(VLOOKUP($T157, CONTRATOS!B:E, 4, FALSE)&lt;&gt;"",2,0)))</f>
        <v>0</v>
      </c>
      <c r="W157" s="248"/>
      <c r="X157" s="248"/>
      <c r="Y157" s="249"/>
      <c r="Z157" s="250"/>
      <c r="AA157" s="251"/>
      <c r="AB157" s="252"/>
      <c r="AC157" s="253"/>
      <c r="AD157" s="251"/>
      <c r="AE157" s="254" t="str">
        <f t="shared" si="95"/>
        <v/>
      </c>
      <c r="AF157" s="256" t="str">
        <f t="shared" si="106"/>
        <v/>
      </c>
      <c r="AG157" s="293" t="s">
        <v>62</v>
      </c>
      <c r="AH157" s="294" t="str">
        <f t="shared" si="107"/>
        <v/>
      </c>
      <c r="AI157" s="294" t="str">
        <f t="shared" si="108"/>
        <v/>
      </c>
      <c r="AJ157" s="295" t="str">
        <f t="shared" si="109"/>
        <v/>
      </c>
      <c r="AK157" s="296" t="str">
        <f t="shared" si="110"/>
        <v/>
      </c>
      <c r="AL157" s="297" t="str">
        <f t="shared" si="111"/>
        <v/>
      </c>
      <c r="AM157" s="294" t="str">
        <f t="shared" si="112"/>
        <v/>
      </c>
      <c r="AN157" s="294" t="str">
        <f t="shared" si="113"/>
        <v/>
      </c>
      <c r="AO157" s="298" t="str">
        <f t="shared" si="114"/>
        <v/>
      </c>
      <c r="AP157" s="299" t="str">
        <f t="shared" si="115"/>
        <v/>
      </c>
      <c r="AQ157" s="299" t="str">
        <f t="shared" si="116"/>
        <v/>
      </c>
      <c r="AR157" s="300" t="str">
        <f t="shared" si="96"/>
        <v/>
      </c>
      <c r="AS157" s="300" t="str">
        <f t="shared" si="97"/>
        <v/>
      </c>
      <c r="AT157" s="294" t="str">
        <f t="shared" si="98"/>
        <v/>
      </c>
      <c r="AU157" s="301" t="str">
        <f>IF(OR($B157="", $AP157= ""),"",IF(VLOOKUP($AP157, CONTRATOS!B:K,3,FALSE)="","",VLOOKUP($AP157, CONTRATOS!B:K, 3,FALSE)))</f>
        <v/>
      </c>
      <c r="AV157" s="301" t="str">
        <f>IF(OR($B157="", $AP157 = ""), "", IF(VLOOKUP($AP157, CONTRATOS!B:K,4,FALSE)="","",VLOOKUP($AP157, CONTRATOS!B:K,4, FALSE)))</f>
        <v/>
      </c>
      <c r="AW157" s="302" t="str">
        <f t="shared" si="99"/>
        <v/>
      </c>
      <c r="AX157" s="301" t="str">
        <f t="shared" si="100"/>
        <v/>
      </c>
      <c r="AY157" s="301" t="str">
        <f t="shared" si="101"/>
        <v/>
      </c>
      <c r="AZ157" s="301" t="str">
        <f t="shared" si="102"/>
        <v/>
      </c>
      <c r="BA157" s="301" t="str">
        <f t="shared" si="103"/>
        <v/>
      </c>
      <c r="BB157" s="303">
        <f t="shared" si="117"/>
        <v>0</v>
      </c>
      <c r="BC157" s="303" t="str">
        <f t="shared" si="118"/>
        <v/>
      </c>
      <c r="BD157" s="303" t="str">
        <f t="shared" si="119"/>
        <v/>
      </c>
      <c r="BF157" s="304">
        <f t="shared" si="120"/>
        <v>0</v>
      </c>
      <c r="BG157" s="304">
        <f t="shared" si="121"/>
        <v>0</v>
      </c>
      <c r="BH157" s="304" t="str">
        <f>IF( $B157="", "", IF(ISNA(VLOOKUP($C157, Defesa!$C$8:$C$30,1,FALSE)),1,0))</f>
        <v/>
      </c>
      <c r="BI157" s="305" t="str">
        <f t="shared" si="122"/>
        <v/>
      </c>
      <c r="BJ157" s="305" t="str">
        <f t="shared" si="123"/>
        <v/>
      </c>
      <c r="BK157" s="304" t="str">
        <f t="shared" si="124"/>
        <v/>
      </c>
      <c r="BL157" s="304">
        <f t="shared" si="125"/>
        <v>0</v>
      </c>
      <c r="BM157" s="304" t="str">
        <f>IF($AC157="", "", IF(ISNA(VLOOKUP($AC157, TABELAS!$Q:$Q, 1, FALSE)), 1, 0))</f>
        <v/>
      </c>
      <c r="BN157" s="306" t="str">
        <f t="shared" si="126"/>
        <v/>
      </c>
      <c r="BO157" s="304" t="str">
        <f t="shared" si="127"/>
        <v/>
      </c>
      <c r="BP157" s="304" t="str">
        <f t="shared" si="128"/>
        <v/>
      </c>
      <c r="BQ157" s="305" t="str">
        <f t="shared" si="129"/>
        <v/>
      </c>
      <c r="BR157" s="304" t="str">
        <f t="shared" si="130"/>
        <v/>
      </c>
      <c r="BS157" s="304" t="str">
        <f t="shared" si="131"/>
        <v/>
      </c>
      <c r="BT157" s="304" t="str">
        <f>IF(OR($B157="", $AH157 = "SIM"), "", IF( ISNA(VLOOKUP($AP157,#REF!, 1, FALSE)), 1, 0))</f>
        <v/>
      </c>
      <c r="BU157" s="304" t="str">
        <f t="shared" si="132"/>
        <v/>
      </c>
      <c r="BV157" s="304" t="str">
        <f>IF( $B157="", "", IF( ISNA(VLOOKUP($AN157, TABELAS!$T$2:$T$9,1,FALSE)), 1, 0))</f>
        <v/>
      </c>
      <c r="BW157" s="304" t="str">
        <f t="shared" si="133"/>
        <v/>
      </c>
      <c r="BX157" s="304" t="str">
        <f>IF( OR($B157="", $AH157 = "SIM"), "", IF( ISNA( VLOOKUP( $AQ157, SISTEMA!$B:$B, 1, FALSE)), 1, 0))</f>
        <v/>
      </c>
      <c r="BY157" s="305" t="str">
        <f t="shared" si="134"/>
        <v/>
      </c>
      <c r="BZ157" s="305" t="str">
        <f t="shared" si="135"/>
        <v/>
      </c>
      <c r="CA157" s="304" t="str">
        <f t="shared" si="136"/>
        <v/>
      </c>
      <c r="CB157" s="305" t="str">
        <f t="shared" si="137"/>
        <v/>
      </c>
      <c r="CC157" s="305" t="str">
        <f t="shared" si="138"/>
        <v/>
      </c>
      <c r="CD157" s="305" t="str">
        <f t="shared" si="139"/>
        <v/>
      </c>
    </row>
    <row r="158" spans="1:82" x14ac:dyDescent="0.2">
      <c r="A158" s="235"/>
      <c r="B158" s="236" t="str">
        <f t="shared" si="104"/>
        <v/>
      </c>
      <c r="C158" s="237" t="str">
        <f t="shared" si="94"/>
        <v/>
      </c>
      <c r="D158" s="237" t="str">
        <f t="shared" si="105"/>
        <v/>
      </c>
      <c r="E158" s="237" t="str">
        <f>IF($C158="", "", COUNTIF($M$8:$M158,$D158))</f>
        <v/>
      </c>
      <c r="F158" s="238">
        <v>151</v>
      </c>
      <c r="G158" s="239"/>
      <c r="H158" s="240"/>
      <c r="I158" s="240"/>
      <c r="J158" s="241"/>
      <c r="K158" s="240"/>
      <c r="L158" s="240"/>
      <c r="M158" s="240"/>
      <c r="N158" s="242"/>
      <c r="O158" s="243"/>
      <c r="P158" s="243"/>
      <c r="Q158" s="243"/>
      <c r="R158" s="243"/>
      <c r="S158" s="243"/>
      <c r="T158" s="245"/>
      <c r="U158" s="246" t="str">
        <f>IF($T158="", "", VLOOKUP($T158, CONTRATOS!$B:$E, 2, FALSE))</f>
        <v/>
      </c>
      <c r="V158" s="247">
        <f>IF(OR($T158="",TB_DEFESA!$C$2="Criação Baseline"),0,
   IF(VLOOKUP($T158, CONTRATOS!B:E, 3, FALSE)&lt;&gt;"",1,IF(VLOOKUP($T158, CONTRATOS!B:E, 4, FALSE)&lt;&gt;"",2,0)))</f>
        <v>0</v>
      </c>
      <c r="W158" s="248"/>
      <c r="X158" s="248"/>
      <c r="Y158" s="249"/>
      <c r="Z158" s="250"/>
      <c r="AA158" s="251"/>
      <c r="AB158" s="252"/>
      <c r="AC158" s="253"/>
      <c r="AD158" s="251"/>
      <c r="AE158" s="254" t="str">
        <f t="shared" si="95"/>
        <v/>
      </c>
      <c r="AF158" s="256" t="str">
        <f t="shared" si="106"/>
        <v/>
      </c>
      <c r="AG158" s="293" t="s">
        <v>62</v>
      </c>
      <c r="AH158" s="294" t="str">
        <f t="shared" si="107"/>
        <v/>
      </c>
      <c r="AI158" s="294" t="str">
        <f t="shared" si="108"/>
        <v/>
      </c>
      <c r="AJ158" s="295" t="str">
        <f t="shared" si="109"/>
        <v/>
      </c>
      <c r="AK158" s="296" t="str">
        <f t="shared" si="110"/>
        <v/>
      </c>
      <c r="AL158" s="297" t="str">
        <f t="shared" si="111"/>
        <v/>
      </c>
      <c r="AM158" s="294" t="str">
        <f t="shared" si="112"/>
        <v/>
      </c>
      <c r="AN158" s="294" t="str">
        <f t="shared" si="113"/>
        <v/>
      </c>
      <c r="AO158" s="298" t="str">
        <f t="shared" si="114"/>
        <v/>
      </c>
      <c r="AP158" s="299" t="str">
        <f t="shared" si="115"/>
        <v/>
      </c>
      <c r="AQ158" s="299" t="str">
        <f t="shared" si="116"/>
        <v/>
      </c>
      <c r="AR158" s="300" t="str">
        <f t="shared" si="96"/>
        <v/>
      </c>
      <c r="AS158" s="300" t="str">
        <f t="shared" si="97"/>
        <v/>
      </c>
      <c r="AT158" s="294" t="str">
        <f t="shared" si="98"/>
        <v/>
      </c>
      <c r="AU158" s="301" t="str">
        <f>IF(OR($B158="", $AP158= ""),"",IF(VLOOKUP($AP158, CONTRATOS!B:K,3,FALSE)="","",VLOOKUP($AP158, CONTRATOS!B:K, 3,FALSE)))</f>
        <v/>
      </c>
      <c r="AV158" s="301" t="str">
        <f>IF(OR($B158="", $AP158 = ""), "", IF(VLOOKUP($AP158, CONTRATOS!B:K,4,FALSE)="","",VLOOKUP($AP158, CONTRATOS!B:K,4, FALSE)))</f>
        <v/>
      </c>
      <c r="AW158" s="302" t="str">
        <f t="shared" si="99"/>
        <v/>
      </c>
      <c r="AX158" s="301" t="str">
        <f t="shared" si="100"/>
        <v/>
      </c>
      <c r="AY158" s="301" t="str">
        <f t="shared" si="101"/>
        <v/>
      </c>
      <c r="AZ158" s="301" t="str">
        <f t="shared" si="102"/>
        <v/>
      </c>
      <c r="BA158" s="301" t="str">
        <f t="shared" si="103"/>
        <v/>
      </c>
      <c r="BB158" s="303">
        <f t="shared" si="117"/>
        <v>0</v>
      </c>
      <c r="BC158" s="303" t="str">
        <f t="shared" si="118"/>
        <v/>
      </c>
      <c r="BD158" s="303" t="str">
        <f t="shared" si="119"/>
        <v/>
      </c>
      <c r="BF158" s="304">
        <f t="shared" si="120"/>
        <v>0</v>
      </c>
      <c r="BG158" s="304">
        <f t="shared" si="121"/>
        <v>0</v>
      </c>
      <c r="BH158" s="304" t="str">
        <f>IF( $B158="", "", IF(ISNA(VLOOKUP($C158, Defesa!$C$8:$C$30,1,FALSE)),1,0))</f>
        <v/>
      </c>
      <c r="BI158" s="305" t="str">
        <f t="shared" si="122"/>
        <v/>
      </c>
      <c r="BJ158" s="305" t="str">
        <f t="shared" si="123"/>
        <v/>
      </c>
      <c r="BK158" s="304" t="str">
        <f t="shared" si="124"/>
        <v/>
      </c>
      <c r="BL158" s="304">
        <f t="shared" si="125"/>
        <v>0</v>
      </c>
      <c r="BM158" s="304" t="str">
        <f>IF($AC158="", "", IF(ISNA(VLOOKUP($AC158, TABELAS!$Q:$Q, 1, FALSE)), 1, 0))</f>
        <v/>
      </c>
      <c r="BN158" s="306" t="str">
        <f t="shared" si="126"/>
        <v/>
      </c>
      <c r="BO158" s="304" t="str">
        <f t="shared" si="127"/>
        <v/>
      </c>
      <c r="BP158" s="304" t="str">
        <f t="shared" si="128"/>
        <v/>
      </c>
      <c r="BQ158" s="305" t="str">
        <f t="shared" si="129"/>
        <v/>
      </c>
      <c r="BR158" s="304" t="str">
        <f t="shared" si="130"/>
        <v/>
      </c>
      <c r="BS158" s="304" t="str">
        <f t="shared" si="131"/>
        <v/>
      </c>
      <c r="BT158" s="304" t="str">
        <f>IF(OR($B158="", $AH158 = "SIM"), "", IF( ISNA(VLOOKUP($AP158,#REF!, 1, FALSE)), 1, 0))</f>
        <v/>
      </c>
      <c r="BU158" s="304" t="str">
        <f t="shared" si="132"/>
        <v/>
      </c>
      <c r="BV158" s="304" t="str">
        <f>IF( $B158="", "", IF( ISNA(VLOOKUP($AN158, TABELAS!$T$2:$T$9,1,FALSE)), 1, 0))</f>
        <v/>
      </c>
      <c r="BW158" s="304" t="str">
        <f t="shared" si="133"/>
        <v/>
      </c>
      <c r="BX158" s="304" t="str">
        <f>IF( OR($B158="", $AH158 = "SIM"), "", IF( ISNA( VLOOKUP( $AQ158, SISTEMA!$B:$B, 1, FALSE)), 1, 0))</f>
        <v/>
      </c>
      <c r="BY158" s="305" t="str">
        <f t="shared" si="134"/>
        <v/>
      </c>
      <c r="BZ158" s="305" t="str">
        <f t="shared" si="135"/>
        <v/>
      </c>
      <c r="CA158" s="304" t="str">
        <f t="shared" si="136"/>
        <v/>
      </c>
      <c r="CB158" s="305" t="str">
        <f t="shared" si="137"/>
        <v/>
      </c>
      <c r="CC158" s="305" t="str">
        <f t="shared" si="138"/>
        <v/>
      </c>
      <c r="CD158" s="305" t="str">
        <f t="shared" si="139"/>
        <v/>
      </c>
    </row>
    <row r="159" spans="1:82" x14ac:dyDescent="0.2">
      <c r="A159" s="235"/>
      <c r="B159" s="236" t="str">
        <f t="shared" si="104"/>
        <v/>
      </c>
      <c r="C159" s="237" t="str">
        <f t="shared" si="94"/>
        <v/>
      </c>
      <c r="D159" s="237" t="str">
        <f t="shared" si="105"/>
        <v/>
      </c>
      <c r="E159" s="237" t="str">
        <f>IF($C159="", "", COUNTIF($M$8:$M159,$D159))</f>
        <v/>
      </c>
      <c r="F159" s="238">
        <v>152</v>
      </c>
      <c r="G159" s="239"/>
      <c r="H159" s="240"/>
      <c r="I159" s="240"/>
      <c r="J159" s="241"/>
      <c r="K159" s="240"/>
      <c r="L159" s="240"/>
      <c r="M159" s="240"/>
      <c r="N159" s="242"/>
      <c r="O159" s="243"/>
      <c r="P159" s="243"/>
      <c r="Q159" s="243"/>
      <c r="R159" s="243"/>
      <c r="S159" s="243"/>
      <c r="T159" s="245"/>
      <c r="U159" s="246" t="str">
        <f>IF($T159="", "", VLOOKUP($T159, CONTRATOS!$B:$E, 2, FALSE))</f>
        <v/>
      </c>
      <c r="V159" s="247">
        <f>IF(OR($T159="",TB_DEFESA!$C$2="Criação Baseline"),0,
   IF(VLOOKUP($T159, CONTRATOS!B:E, 3, FALSE)&lt;&gt;"",1,IF(VLOOKUP($T159, CONTRATOS!B:E, 4, FALSE)&lt;&gt;"",2,0)))</f>
        <v>0</v>
      </c>
      <c r="W159" s="248"/>
      <c r="X159" s="248"/>
      <c r="Y159" s="249"/>
      <c r="Z159" s="250"/>
      <c r="AA159" s="251"/>
      <c r="AB159" s="252"/>
      <c r="AC159" s="253"/>
      <c r="AD159" s="251"/>
      <c r="AE159" s="254" t="str">
        <f t="shared" si="95"/>
        <v/>
      </c>
      <c r="AF159" s="256" t="str">
        <f t="shared" si="106"/>
        <v/>
      </c>
      <c r="AG159" s="293" t="s">
        <v>62</v>
      </c>
      <c r="AH159" s="294" t="str">
        <f t="shared" si="107"/>
        <v/>
      </c>
      <c r="AI159" s="294" t="str">
        <f t="shared" si="108"/>
        <v/>
      </c>
      <c r="AJ159" s="295" t="str">
        <f t="shared" si="109"/>
        <v/>
      </c>
      <c r="AK159" s="296" t="str">
        <f t="shared" si="110"/>
        <v/>
      </c>
      <c r="AL159" s="297" t="str">
        <f t="shared" si="111"/>
        <v/>
      </c>
      <c r="AM159" s="294" t="str">
        <f t="shared" si="112"/>
        <v/>
      </c>
      <c r="AN159" s="294" t="str">
        <f t="shared" si="113"/>
        <v/>
      </c>
      <c r="AO159" s="298" t="str">
        <f t="shared" si="114"/>
        <v/>
      </c>
      <c r="AP159" s="299" t="str">
        <f t="shared" si="115"/>
        <v/>
      </c>
      <c r="AQ159" s="299" t="str">
        <f t="shared" si="116"/>
        <v/>
      </c>
      <c r="AR159" s="300" t="str">
        <f t="shared" si="96"/>
        <v/>
      </c>
      <c r="AS159" s="300" t="str">
        <f t="shared" si="97"/>
        <v/>
      </c>
      <c r="AT159" s="294" t="str">
        <f t="shared" si="98"/>
        <v/>
      </c>
      <c r="AU159" s="301" t="str">
        <f>IF(OR($B159="", $AP159= ""),"",IF(VLOOKUP($AP159, CONTRATOS!B:K,3,FALSE)="","",VLOOKUP($AP159, CONTRATOS!B:K, 3,FALSE)))</f>
        <v/>
      </c>
      <c r="AV159" s="301" t="str">
        <f>IF(OR($B159="", $AP159 = ""), "", IF(VLOOKUP($AP159, CONTRATOS!B:K,4,FALSE)="","",VLOOKUP($AP159, CONTRATOS!B:K,4, FALSE)))</f>
        <v/>
      </c>
      <c r="AW159" s="302" t="str">
        <f t="shared" si="99"/>
        <v/>
      </c>
      <c r="AX159" s="301" t="str">
        <f t="shared" si="100"/>
        <v/>
      </c>
      <c r="AY159" s="301" t="str">
        <f t="shared" si="101"/>
        <v/>
      </c>
      <c r="AZ159" s="301" t="str">
        <f t="shared" si="102"/>
        <v/>
      </c>
      <c r="BA159" s="301" t="str">
        <f t="shared" si="103"/>
        <v/>
      </c>
      <c r="BB159" s="303">
        <f t="shared" si="117"/>
        <v>0</v>
      </c>
      <c r="BC159" s="303" t="str">
        <f t="shared" si="118"/>
        <v/>
      </c>
      <c r="BD159" s="303" t="str">
        <f t="shared" si="119"/>
        <v/>
      </c>
      <c r="BF159" s="304">
        <f t="shared" si="120"/>
        <v>0</v>
      </c>
      <c r="BG159" s="304">
        <f t="shared" si="121"/>
        <v>0</v>
      </c>
      <c r="BH159" s="304" t="str">
        <f>IF( $B159="", "", IF(ISNA(VLOOKUP($C159, Defesa!$C$8:$C$30,1,FALSE)),1,0))</f>
        <v/>
      </c>
      <c r="BI159" s="305" t="str">
        <f t="shared" si="122"/>
        <v/>
      </c>
      <c r="BJ159" s="305" t="str">
        <f t="shared" si="123"/>
        <v/>
      </c>
      <c r="BK159" s="304" t="str">
        <f t="shared" si="124"/>
        <v/>
      </c>
      <c r="BL159" s="304">
        <f t="shared" si="125"/>
        <v>0</v>
      </c>
      <c r="BM159" s="304" t="str">
        <f>IF($AC159="", "", IF(ISNA(VLOOKUP($AC159, TABELAS!$Q:$Q, 1, FALSE)), 1, 0))</f>
        <v/>
      </c>
      <c r="BN159" s="306" t="str">
        <f t="shared" si="126"/>
        <v/>
      </c>
      <c r="BO159" s="304" t="str">
        <f t="shared" si="127"/>
        <v/>
      </c>
      <c r="BP159" s="304" t="str">
        <f t="shared" si="128"/>
        <v/>
      </c>
      <c r="BQ159" s="305" t="str">
        <f t="shared" si="129"/>
        <v/>
      </c>
      <c r="BR159" s="304" t="str">
        <f t="shared" si="130"/>
        <v/>
      </c>
      <c r="BS159" s="304" t="str">
        <f t="shared" si="131"/>
        <v/>
      </c>
      <c r="BT159" s="304" t="str">
        <f>IF(OR($B159="", $AH159 = "SIM"), "", IF( ISNA(VLOOKUP($AP159,#REF!, 1, FALSE)), 1, 0))</f>
        <v/>
      </c>
      <c r="BU159" s="304" t="str">
        <f t="shared" si="132"/>
        <v/>
      </c>
      <c r="BV159" s="304" t="str">
        <f>IF( $B159="", "", IF( ISNA(VLOOKUP($AN159, TABELAS!$T$2:$T$9,1,FALSE)), 1, 0))</f>
        <v/>
      </c>
      <c r="BW159" s="304" t="str">
        <f t="shared" si="133"/>
        <v/>
      </c>
      <c r="BX159" s="304" t="str">
        <f>IF( OR($B159="", $AH159 = "SIM"), "", IF( ISNA( VLOOKUP( $AQ159, SISTEMA!$B:$B, 1, FALSE)), 1, 0))</f>
        <v/>
      </c>
      <c r="BY159" s="305" t="str">
        <f t="shared" si="134"/>
        <v/>
      </c>
      <c r="BZ159" s="305" t="str">
        <f t="shared" si="135"/>
        <v/>
      </c>
      <c r="CA159" s="304" t="str">
        <f t="shared" si="136"/>
        <v/>
      </c>
      <c r="CB159" s="305" t="str">
        <f t="shared" si="137"/>
        <v/>
      </c>
      <c r="CC159" s="305" t="str">
        <f t="shared" si="138"/>
        <v/>
      </c>
      <c r="CD159" s="305" t="str">
        <f t="shared" si="139"/>
        <v/>
      </c>
    </row>
    <row r="160" spans="1:82" x14ac:dyDescent="0.2">
      <c r="A160" s="235"/>
      <c r="B160" s="236" t="str">
        <f t="shared" si="104"/>
        <v/>
      </c>
      <c r="C160" s="237" t="str">
        <f t="shared" si="94"/>
        <v/>
      </c>
      <c r="D160" s="237" t="str">
        <f t="shared" si="105"/>
        <v/>
      </c>
      <c r="E160" s="237" t="str">
        <f>IF($C160="", "", COUNTIF($M$8:$M160,$D160))</f>
        <v/>
      </c>
      <c r="F160" s="238">
        <v>153</v>
      </c>
      <c r="G160" s="239"/>
      <c r="H160" s="240"/>
      <c r="I160" s="240"/>
      <c r="J160" s="241"/>
      <c r="K160" s="240"/>
      <c r="L160" s="240"/>
      <c r="M160" s="240"/>
      <c r="N160" s="242"/>
      <c r="O160" s="243"/>
      <c r="P160" s="243"/>
      <c r="Q160" s="243"/>
      <c r="R160" s="243"/>
      <c r="S160" s="243"/>
      <c r="T160" s="245"/>
      <c r="U160" s="246" t="str">
        <f>IF($T160="", "", VLOOKUP($T160, CONTRATOS!$B:$E, 2, FALSE))</f>
        <v/>
      </c>
      <c r="V160" s="247">
        <f>IF(OR($T160="",TB_DEFESA!$C$2="Criação Baseline"),0,
   IF(VLOOKUP($T160, CONTRATOS!B:E, 3, FALSE)&lt;&gt;"",1,IF(VLOOKUP($T160, CONTRATOS!B:E, 4, FALSE)&lt;&gt;"",2,0)))</f>
        <v>0</v>
      </c>
      <c r="W160" s="248"/>
      <c r="X160" s="248"/>
      <c r="Y160" s="249"/>
      <c r="Z160" s="250"/>
      <c r="AA160" s="251"/>
      <c r="AB160" s="252"/>
      <c r="AC160" s="253"/>
      <c r="AD160" s="251"/>
      <c r="AE160" s="254" t="str">
        <f t="shared" si="95"/>
        <v/>
      </c>
      <c r="AF160" s="256" t="str">
        <f t="shared" si="106"/>
        <v/>
      </c>
      <c r="AG160" s="293" t="s">
        <v>62</v>
      </c>
      <c r="AH160" s="294" t="str">
        <f t="shared" si="107"/>
        <v/>
      </c>
      <c r="AI160" s="294" t="str">
        <f t="shared" si="108"/>
        <v/>
      </c>
      <c r="AJ160" s="295" t="str">
        <f t="shared" si="109"/>
        <v/>
      </c>
      <c r="AK160" s="296" t="str">
        <f t="shared" si="110"/>
        <v/>
      </c>
      <c r="AL160" s="297" t="str">
        <f t="shared" si="111"/>
        <v/>
      </c>
      <c r="AM160" s="294" t="str">
        <f t="shared" si="112"/>
        <v/>
      </c>
      <c r="AN160" s="294" t="str">
        <f t="shared" si="113"/>
        <v/>
      </c>
      <c r="AO160" s="298" t="str">
        <f t="shared" si="114"/>
        <v/>
      </c>
      <c r="AP160" s="299" t="str">
        <f t="shared" si="115"/>
        <v/>
      </c>
      <c r="AQ160" s="299" t="str">
        <f t="shared" si="116"/>
        <v/>
      </c>
      <c r="AR160" s="300" t="str">
        <f t="shared" si="96"/>
        <v/>
      </c>
      <c r="AS160" s="300" t="str">
        <f t="shared" si="97"/>
        <v/>
      </c>
      <c r="AT160" s="294" t="str">
        <f t="shared" si="98"/>
        <v/>
      </c>
      <c r="AU160" s="301" t="str">
        <f>IF(OR($B160="", $AP160= ""),"",IF(VLOOKUP($AP160, CONTRATOS!B:K,3,FALSE)="","",VLOOKUP($AP160, CONTRATOS!B:K, 3,FALSE)))</f>
        <v/>
      </c>
      <c r="AV160" s="301" t="str">
        <f>IF(OR($B160="", $AP160 = ""), "", IF(VLOOKUP($AP160, CONTRATOS!B:K,4,FALSE)="","",VLOOKUP($AP160, CONTRATOS!B:K,4, FALSE)))</f>
        <v/>
      </c>
      <c r="AW160" s="302" t="str">
        <f t="shared" si="99"/>
        <v/>
      </c>
      <c r="AX160" s="301" t="str">
        <f t="shared" si="100"/>
        <v/>
      </c>
      <c r="AY160" s="301" t="str">
        <f t="shared" si="101"/>
        <v/>
      </c>
      <c r="AZ160" s="301" t="str">
        <f t="shared" si="102"/>
        <v/>
      </c>
      <c r="BA160" s="301" t="str">
        <f t="shared" si="103"/>
        <v/>
      </c>
      <c r="BB160" s="303">
        <f t="shared" si="117"/>
        <v>0</v>
      </c>
      <c r="BC160" s="303" t="str">
        <f t="shared" si="118"/>
        <v/>
      </c>
      <c r="BD160" s="303" t="str">
        <f t="shared" si="119"/>
        <v/>
      </c>
      <c r="BF160" s="304">
        <f t="shared" si="120"/>
        <v>0</v>
      </c>
      <c r="BG160" s="304">
        <f t="shared" si="121"/>
        <v>0</v>
      </c>
      <c r="BH160" s="304" t="str">
        <f>IF( $B160="", "", IF(ISNA(VLOOKUP($C160, Defesa!$C$8:$C$30,1,FALSE)),1,0))</f>
        <v/>
      </c>
      <c r="BI160" s="305" t="str">
        <f t="shared" si="122"/>
        <v/>
      </c>
      <c r="BJ160" s="305" t="str">
        <f t="shared" si="123"/>
        <v/>
      </c>
      <c r="BK160" s="304" t="str">
        <f t="shared" si="124"/>
        <v/>
      </c>
      <c r="BL160" s="304">
        <f t="shared" si="125"/>
        <v>0</v>
      </c>
      <c r="BM160" s="304" t="str">
        <f>IF($AC160="", "", IF(ISNA(VLOOKUP($AC160, TABELAS!$Q:$Q, 1, FALSE)), 1, 0))</f>
        <v/>
      </c>
      <c r="BN160" s="306" t="str">
        <f t="shared" si="126"/>
        <v/>
      </c>
      <c r="BO160" s="304" t="str">
        <f t="shared" si="127"/>
        <v/>
      </c>
      <c r="BP160" s="304" t="str">
        <f t="shared" si="128"/>
        <v/>
      </c>
      <c r="BQ160" s="305" t="str">
        <f t="shared" si="129"/>
        <v/>
      </c>
      <c r="BR160" s="304" t="str">
        <f t="shared" si="130"/>
        <v/>
      </c>
      <c r="BS160" s="304" t="str">
        <f t="shared" si="131"/>
        <v/>
      </c>
      <c r="BT160" s="304" t="str">
        <f>IF(OR($B160="", $AH160 = "SIM"), "", IF( ISNA(VLOOKUP($AP160,#REF!, 1, FALSE)), 1, 0))</f>
        <v/>
      </c>
      <c r="BU160" s="304" t="str">
        <f t="shared" si="132"/>
        <v/>
      </c>
      <c r="BV160" s="304" t="str">
        <f>IF( $B160="", "", IF( ISNA(VLOOKUP($AN160, TABELAS!$T$2:$T$9,1,FALSE)), 1, 0))</f>
        <v/>
      </c>
      <c r="BW160" s="304" t="str">
        <f t="shared" si="133"/>
        <v/>
      </c>
      <c r="BX160" s="304" t="str">
        <f>IF( OR($B160="", $AH160 = "SIM"), "", IF( ISNA( VLOOKUP( $AQ160, SISTEMA!$B:$B, 1, FALSE)), 1, 0))</f>
        <v/>
      </c>
      <c r="BY160" s="305" t="str">
        <f t="shared" si="134"/>
        <v/>
      </c>
      <c r="BZ160" s="305" t="str">
        <f t="shared" si="135"/>
        <v/>
      </c>
      <c r="CA160" s="304" t="str">
        <f t="shared" si="136"/>
        <v/>
      </c>
      <c r="CB160" s="305" t="str">
        <f t="shared" si="137"/>
        <v/>
      </c>
      <c r="CC160" s="305" t="str">
        <f t="shared" si="138"/>
        <v/>
      </c>
      <c r="CD160" s="305" t="str">
        <f t="shared" si="139"/>
        <v/>
      </c>
    </row>
    <row r="161" spans="1:82" x14ac:dyDescent="0.2">
      <c r="A161" s="235"/>
      <c r="B161" s="236" t="str">
        <f t="shared" si="104"/>
        <v/>
      </c>
      <c r="C161" s="237" t="str">
        <f t="shared" si="94"/>
        <v/>
      </c>
      <c r="D161" s="237" t="str">
        <f t="shared" si="105"/>
        <v/>
      </c>
      <c r="E161" s="237" t="str">
        <f>IF($C161="", "", COUNTIF($M$8:$M161,$D161))</f>
        <v/>
      </c>
      <c r="F161" s="238">
        <v>154</v>
      </c>
      <c r="G161" s="239"/>
      <c r="H161" s="240"/>
      <c r="I161" s="240"/>
      <c r="J161" s="241"/>
      <c r="K161" s="240"/>
      <c r="L161" s="240"/>
      <c r="M161" s="240"/>
      <c r="N161" s="242"/>
      <c r="O161" s="243"/>
      <c r="P161" s="243"/>
      <c r="Q161" s="243"/>
      <c r="R161" s="243"/>
      <c r="S161" s="243"/>
      <c r="T161" s="245"/>
      <c r="U161" s="246" t="str">
        <f>IF($T161="", "", VLOOKUP($T161, CONTRATOS!$B:$E, 2, FALSE))</f>
        <v/>
      </c>
      <c r="V161" s="247">
        <f>IF(OR($T161="",TB_DEFESA!$C$2="Criação Baseline"),0,
   IF(VLOOKUP($T161, CONTRATOS!B:E, 3, FALSE)&lt;&gt;"",1,IF(VLOOKUP($T161, CONTRATOS!B:E, 4, FALSE)&lt;&gt;"",2,0)))</f>
        <v>0</v>
      </c>
      <c r="W161" s="248"/>
      <c r="X161" s="248"/>
      <c r="Y161" s="249"/>
      <c r="Z161" s="250"/>
      <c r="AA161" s="251"/>
      <c r="AB161" s="252"/>
      <c r="AC161" s="253"/>
      <c r="AD161" s="251"/>
      <c r="AE161" s="254" t="str">
        <f t="shared" si="95"/>
        <v/>
      </c>
      <c r="AF161" s="256" t="str">
        <f t="shared" si="106"/>
        <v/>
      </c>
      <c r="AG161" s="293" t="s">
        <v>62</v>
      </c>
      <c r="AH161" s="294" t="str">
        <f t="shared" si="107"/>
        <v/>
      </c>
      <c r="AI161" s="294" t="str">
        <f t="shared" si="108"/>
        <v/>
      </c>
      <c r="AJ161" s="295" t="str">
        <f t="shared" si="109"/>
        <v/>
      </c>
      <c r="AK161" s="296" t="str">
        <f t="shared" si="110"/>
        <v/>
      </c>
      <c r="AL161" s="297" t="str">
        <f t="shared" si="111"/>
        <v/>
      </c>
      <c r="AM161" s="294" t="str">
        <f t="shared" si="112"/>
        <v/>
      </c>
      <c r="AN161" s="294" t="str">
        <f t="shared" si="113"/>
        <v/>
      </c>
      <c r="AO161" s="298" t="str">
        <f t="shared" si="114"/>
        <v/>
      </c>
      <c r="AP161" s="299" t="str">
        <f t="shared" si="115"/>
        <v/>
      </c>
      <c r="AQ161" s="299" t="str">
        <f t="shared" si="116"/>
        <v/>
      </c>
      <c r="AR161" s="300" t="str">
        <f t="shared" si="96"/>
        <v/>
      </c>
      <c r="AS161" s="300" t="str">
        <f t="shared" si="97"/>
        <v/>
      </c>
      <c r="AT161" s="294" t="str">
        <f t="shared" si="98"/>
        <v/>
      </c>
      <c r="AU161" s="301" t="str">
        <f>IF(OR($B161="", $AP161= ""),"",IF(VLOOKUP($AP161, CONTRATOS!B:K,3,FALSE)="","",VLOOKUP($AP161, CONTRATOS!B:K, 3,FALSE)))</f>
        <v/>
      </c>
      <c r="AV161" s="301" t="str">
        <f>IF(OR($B161="", $AP161 = ""), "", IF(VLOOKUP($AP161, CONTRATOS!B:K,4,FALSE)="","",VLOOKUP($AP161, CONTRATOS!B:K,4, FALSE)))</f>
        <v/>
      </c>
      <c r="AW161" s="302" t="str">
        <f t="shared" si="99"/>
        <v/>
      </c>
      <c r="AX161" s="301" t="str">
        <f t="shared" si="100"/>
        <v/>
      </c>
      <c r="AY161" s="301" t="str">
        <f t="shared" si="101"/>
        <v/>
      </c>
      <c r="AZ161" s="301" t="str">
        <f t="shared" si="102"/>
        <v/>
      </c>
      <c r="BA161" s="301" t="str">
        <f t="shared" si="103"/>
        <v/>
      </c>
      <c r="BB161" s="303">
        <f t="shared" si="117"/>
        <v>0</v>
      </c>
      <c r="BC161" s="303" t="str">
        <f t="shared" si="118"/>
        <v/>
      </c>
      <c r="BD161" s="303" t="str">
        <f t="shared" si="119"/>
        <v/>
      </c>
      <c r="BF161" s="304">
        <f t="shared" si="120"/>
        <v>0</v>
      </c>
      <c r="BG161" s="304">
        <f t="shared" si="121"/>
        <v>0</v>
      </c>
      <c r="BH161" s="304" t="str">
        <f>IF( $B161="", "", IF(ISNA(VLOOKUP($C161, Defesa!$C$8:$C$30,1,FALSE)),1,0))</f>
        <v/>
      </c>
      <c r="BI161" s="305" t="str">
        <f t="shared" si="122"/>
        <v/>
      </c>
      <c r="BJ161" s="305" t="str">
        <f t="shared" si="123"/>
        <v/>
      </c>
      <c r="BK161" s="304" t="str">
        <f t="shared" si="124"/>
        <v/>
      </c>
      <c r="BL161" s="304">
        <f t="shared" si="125"/>
        <v>0</v>
      </c>
      <c r="BM161" s="304" t="str">
        <f>IF($AC161="", "", IF(ISNA(VLOOKUP($AC161, TABELAS!$Q:$Q, 1, FALSE)), 1, 0))</f>
        <v/>
      </c>
      <c r="BN161" s="306" t="str">
        <f t="shared" si="126"/>
        <v/>
      </c>
      <c r="BO161" s="304" t="str">
        <f t="shared" si="127"/>
        <v/>
      </c>
      <c r="BP161" s="304" t="str">
        <f t="shared" si="128"/>
        <v/>
      </c>
      <c r="BQ161" s="305" t="str">
        <f t="shared" si="129"/>
        <v/>
      </c>
      <c r="BR161" s="304" t="str">
        <f t="shared" si="130"/>
        <v/>
      </c>
      <c r="BS161" s="304" t="str">
        <f t="shared" si="131"/>
        <v/>
      </c>
      <c r="BT161" s="304" t="str">
        <f>IF(OR($B161="", $AH161 = "SIM"), "", IF( ISNA(VLOOKUP($AP161,#REF!, 1, FALSE)), 1, 0))</f>
        <v/>
      </c>
      <c r="BU161" s="304" t="str">
        <f t="shared" si="132"/>
        <v/>
      </c>
      <c r="BV161" s="304" t="str">
        <f>IF( $B161="", "", IF( ISNA(VLOOKUP($AN161, TABELAS!$T$2:$T$9,1,FALSE)), 1, 0))</f>
        <v/>
      </c>
      <c r="BW161" s="304" t="str">
        <f t="shared" si="133"/>
        <v/>
      </c>
      <c r="BX161" s="304" t="str">
        <f>IF( OR($B161="", $AH161 = "SIM"), "", IF( ISNA( VLOOKUP( $AQ161, SISTEMA!$B:$B, 1, FALSE)), 1, 0))</f>
        <v/>
      </c>
      <c r="BY161" s="305" t="str">
        <f t="shared" si="134"/>
        <v/>
      </c>
      <c r="BZ161" s="305" t="str">
        <f t="shared" si="135"/>
        <v/>
      </c>
      <c r="CA161" s="304" t="str">
        <f t="shared" si="136"/>
        <v/>
      </c>
      <c r="CB161" s="305" t="str">
        <f t="shared" si="137"/>
        <v/>
      </c>
      <c r="CC161" s="305" t="str">
        <f t="shared" si="138"/>
        <v/>
      </c>
      <c r="CD161" s="305" t="str">
        <f t="shared" si="139"/>
        <v/>
      </c>
    </row>
    <row r="162" spans="1:82" x14ac:dyDescent="0.2">
      <c r="A162" s="235"/>
      <c r="B162" s="236" t="str">
        <f t="shared" si="104"/>
        <v/>
      </c>
      <c r="C162" s="237" t="str">
        <f t="shared" si="94"/>
        <v/>
      </c>
      <c r="D162" s="237" t="str">
        <f t="shared" si="105"/>
        <v/>
      </c>
      <c r="E162" s="237" t="str">
        <f>IF($C162="", "", COUNTIF($M$8:$M162,$D162))</f>
        <v/>
      </c>
      <c r="F162" s="238">
        <v>155</v>
      </c>
      <c r="G162" s="239"/>
      <c r="H162" s="240"/>
      <c r="I162" s="240"/>
      <c r="J162" s="241"/>
      <c r="K162" s="240"/>
      <c r="L162" s="240"/>
      <c r="M162" s="240"/>
      <c r="N162" s="242"/>
      <c r="O162" s="243"/>
      <c r="P162" s="243"/>
      <c r="Q162" s="243"/>
      <c r="R162" s="243"/>
      <c r="S162" s="243"/>
      <c r="T162" s="245"/>
      <c r="U162" s="246" t="str">
        <f>IF($T162="", "", VLOOKUP($T162, CONTRATOS!$B:$E, 2, FALSE))</f>
        <v/>
      </c>
      <c r="V162" s="247">
        <f>IF(OR($T162="",TB_DEFESA!$C$2="Criação Baseline"),0,
   IF(VLOOKUP($T162, CONTRATOS!B:E, 3, FALSE)&lt;&gt;"",1,IF(VLOOKUP($T162, CONTRATOS!B:E, 4, FALSE)&lt;&gt;"",2,0)))</f>
        <v>0</v>
      </c>
      <c r="W162" s="248"/>
      <c r="X162" s="248"/>
      <c r="Y162" s="249"/>
      <c r="Z162" s="250"/>
      <c r="AA162" s="251"/>
      <c r="AB162" s="252"/>
      <c r="AC162" s="253"/>
      <c r="AD162" s="251"/>
      <c r="AE162" s="254" t="str">
        <f t="shared" si="95"/>
        <v/>
      </c>
      <c r="AF162" s="256" t="str">
        <f t="shared" si="106"/>
        <v/>
      </c>
      <c r="AG162" s="293" t="s">
        <v>62</v>
      </c>
      <c r="AH162" s="294" t="str">
        <f t="shared" si="107"/>
        <v/>
      </c>
      <c r="AI162" s="294" t="str">
        <f t="shared" si="108"/>
        <v/>
      </c>
      <c r="AJ162" s="295" t="str">
        <f t="shared" si="109"/>
        <v/>
      </c>
      <c r="AK162" s="296" t="str">
        <f t="shared" si="110"/>
        <v/>
      </c>
      <c r="AL162" s="297" t="str">
        <f t="shared" si="111"/>
        <v/>
      </c>
      <c r="AM162" s="294" t="str">
        <f t="shared" si="112"/>
        <v/>
      </c>
      <c r="AN162" s="294" t="str">
        <f t="shared" si="113"/>
        <v/>
      </c>
      <c r="AO162" s="298" t="str">
        <f t="shared" si="114"/>
        <v/>
      </c>
      <c r="AP162" s="299" t="str">
        <f t="shared" si="115"/>
        <v/>
      </c>
      <c r="AQ162" s="299" t="str">
        <f t="shared" si="116"/>
        <v/>
      </c>
      <c r="AR162" s="300" t="str">
        <f t="shared" si="96"/>
        <v/>
      </c>
      <c r="AS162" s="300" t="str">
        <f t="shared" si="97"/>
        <v/>
      </c>
      <c r="AT162" s="294" t="str">
        <f t="shared" si="98"/>
        <v/>
      </c>
      <c r="AU162" s="301" t="str">
        <f>IF(OR($B162="", $AP162= ""),"",IF(VLOOKUP($AP162, CONTRATOS!B:K,3,FALSE)="","",VLOOKUP($AP162, CONTRATOS!B:K, 3,FALSE)))</f>
        <v/>
      </c>
      <c r="AV162" s="301" t="str">
        <f>IF(OR($B162="", $AP162 = ""), "", IF(VLOOKUP($AP162, CONTRATOS!B:K,4,FALSE)="","",VLOOKUP($AP162, CONTRATOS!B:K,4, FALSE)))</f>
        <v/>
      </c>
      <c r="AW162" s="302" t="str">
        <f t="shared" si="99"/>
        <v/>
      </c>
      <c r="AX162" s="301" t="str">
        <f t="shared" si="100"/>
        <v/>
      </c>
      <c r="AY162" s="301" t="str">
        <f t="shared" si="101"/>
        <v/>
      </c>
      <c r="AZ162" s="301" t="str">
        <f t="shared" si="102"/>
        <v/>
      </c>
      <c r="BA162" s="301" t="str">
        <f t="shared" si="103"/>
        <v/>
      </c>
      <c r="BB162" s="303">
        <f t="shared" si="117"/>
        <v>0</v>
      </c>
      <c r="BC162" s="303" t="str">
        <f t="shared" si="118"/>
        <v/>
      </c>
      <c r="BD162" s="303" t="str">
        <f t="shared" si="119"/>
        <v/>
      </c>
      <c r="BF162" s="304">
        <f t="shared" si="120"/>
        <v>0</v>
      </c>
      <c r="BG162" s="304">
        <f t="shared" si="121"/>
        <v>0</v>
      </c>
      <c r="BH162" s="304" t="str">
        <f>IF( $B162="", "", IF(ISNA(VLOOKUP($C162, Defesa!$C$8:$C$30,1,FALSE)),1,0))</f>
        <v/>
      </c>
      <c r="BI162" s="305" t="str">
        <f t="shared" si="122"/>
        <v/>
      </c>
      <c r="BJ162" s="305" t="str">
        <f t="shared" si="123"/>
        <v/>
      </c>
      <c r="BK162" s="304" t="str">
        <f t="shared" si="124"/>
        <v/>
      </c>
      <c r="BL162" s="304">
        <f t="shared" si="125"/>
        <v>0</v>
      </c>
      <c r="BM162" s="304" t="str">
        <f>IF($AC162="", "", IF(ISNA(VLOOKUP($AC162, TABELAS!$Q:$Q, 1, FALSE)), 1, 0))</f>
        <v/>
      </c>
      <c r="BN162" s="306" t="str">
        <f t="shared" si="126"/>
        <v/>
      </c>
      <c r="BO162" s="304" t="str">
        <f t="shared" si="127"/>
        <v/>
      </c>
      <c r="BP162" s="304" t="str">
        <f t="shared" si="128"/>
        <v/>
      </c>
      <c r="BQ162" s="305" t="str">
        <f t="shared" si="129"/>
        <v/>
      </c>
      <c r="BR162" s="304" t="str">
        <f t="shared" si="130"/>
        <v/>
      </c>
      <c r="BS162" s="304" t="str">
        <f t="shared" si="131"/>
        <v/>
      </c>
      <c r="BT162" s="304" t="str">
        <f>IF(OR($B162="", $AH162 = "SIM"), "", IF( ISNA(VLOOKUP($AP162,#REF!, 1, FALSE)), 1, 0))</f>
        <v/>
      </c>
      <c r="BU162" s="304" t="str">
        <f t="shared" si="132"/>
        <v/>
      </c>
      <c r="BV162" s="304" t="str">
        <f>IF( $B162="", "", IF( ISNA(VLOOKUP($AN162, TABELAS!$T$2:$T$9,1,FALSE)), 1, 0))</f>
        <v/>
      </c>
      <c r="BW162" s="304" t="str">
        <f t="shared" si="133"/>
        <v/>
      </c>
      <c r="BX162" s="304" t="str">
        <f>IF( OR($B162="", $AH162 = "SIM"), "", IF( ISNA( VLOOKUP( $AQ162, SISTEMA!$B:$B, 1, FALSE)), 1, 0))</f>
        <v/>
      </c>
      <c r="BY162" s="305" t="str">
        <f t="shared" si="134"/>
        <v/>
      </c>
      <c r="BZ162" s="305" t="str">
        <f t="shared" si="135"/>
        <v/>
      </c>
      <c r="CA162" s="304" t="str">
        <f t="shared" si="136"/>
        <v/>
      </c>
      <c r="CB162" s="305" t="str">
        <f t="shared" si="137"/>
        <v/>
      </c>
      <c r="CC162" s="305" t="str">
        <f t="shared" si="138"/>
        <v/>
      </c>
      <c r="CD162" s="305" t="str">
        <f t="shared" si="139"/>
        <v/>
      </c>
    </row>
    <row r="163" spans="1:82" x14ac:dyDescent="0.2">
      <c r="A163" s="235"/>
      <c r="B163" s="236" t="str">
        <f t="shared" si="104"/>
        <v/>
      </c>
      <c r="C163" s="237" t="str">
        <f t="shared" si="94"/>
        <v/>
      </c>
      <c r="D163" s="237" t="str">
        <f t="shared" si="105"/>
        <v/>
      </c>
      <c r="E163" s="237" t="str">
        <f>IF($C163="", "", COUNTIF($M$8:$M163,$D163))</f>
        <v/>
      </c>
      <c r="F163" s="238">
        <v>156</v>
      </c>
      <c r="G163" s="239"/>
      <c r="H163" s="240"/>
      <c r="I163" s="240"/>
      <c r="J163" s="241"/>
      <c r="K163" s="240"/>
      <c r="L163" s="240"/>
      <c r="M163" s="240"/>
      <c r="N163" s="242"/>
      <c r="O163" s="243"/>
      <c r="P163" s="243"/>
      <c r="Q163" s="243"/>
      <c r="R163" s="243"/>
      <c r="S163" s="243"/>
      <c r="T163" s="245"/>
      <c r="U163" s="246" t="str">
        <f>IF($T163="", "", VLOOKUP($T163, CONTRATOS!$B:$E, 2, FALSE))</f>
        <v/>
      </c>
      <c r="V163" s="247">
        <f>IF(OR($T163="",TB_DEFESA!$C$2="Criação Baseline"),0,
   IF(VLOOKUP($T163, CONTRATOS!B:E, 3, FALSE)&lt;&gt;"",1,IF(VLOOKUP($T163, CONTRATOS!B:E, 4, FALSE)&lt;&gt;"",2,0)))</f>
        <v>0</v>
      </c>
      <c r="W163" s="248"/>
      <c r="X163" s="248"/>
      <c r="Y163" s="249"/>
      <c r="Z163" s="250"/>
      <c r="AA163" s="251"/>
      <c r="AB163" s="252"/>
      <c r="AC163" s="253"/>
      <c r="AD163" s="251"/>
      <c r="AE163" s="254" t="str">
        <f t="shared" si="95"/>
        <v/>
      </c>
      <c r="AF163" s="256" t="str">
        <f t="shared" si="106"/>
        <v/>
      </c>
      <c r="AG163" s="293" t="s">
        <v>62</v>
      </c>
      <c r="AH163" s="294" t="str">
        <f t="shared" si="107"/>
        <v/>
      </c>
      <c r="AI163" s="294" t="str">
        <f t="shared" si="108"/>
        <v/>
      </c>
      <c r="AJ163" s="295" t="str">
        <f t="shared" si="109"/>
        <v/>
      </c>
      <c r="AK163" s="296" t="str">
        <f t="shared" si="110"/>
        <v/>
      </c>
      <c r="AL163" s="297" t="str">
        <f t="shared" si="111"/>
        <v/>
      </c>
      <c r="AM163" s="294" t="str">
        <f t="shared" si="112"/>
        <v/>
      </c>
      <c r="AN163" s="294" t="str">
        <f t="shared" si="113"/>
        <v/>
      </c>
      <c r="AO163" s="298" t="str">
        <f t="shared" si="114"/>
        <v/>
      </c>
      <c r="AP163" s="299" t="str">
        <f t="shared" si="115"/>
        <v/>
      </c>
      <c r="AQ163" s="299" t="str">
        <f t="shared" si="116"/>
        <v/>
      </c>
      <c r="AR163" s="300" t="str">
        <f t="shared" si="96"/>
        <v/>
      </c>
      <c r="AS163" s="300" t="str">
        <f t="shared" si="97"/>
        <v/>
      </c>
      <c r="AT163" s="294" t="str">
        <f t="shared" si="98"/>
        <v/>
      </c>
      <c r="AU163" s="301" t="str">
        <f>IF(OR($B163="", $AP163= ""),"",IF(VLOOKUP($AP163, CONTRATOS!B:K,3,FALSE)="","",VLOOKUP($AP163, CONTRATOS!B:K, 3,FALSE)))</f>
        <v/>
      </c>
      <c r="AV163" s="301" t="str">
        <f>IF(OR($B163="", $AP163 = ""), "", IF(VLOOKUP($AP163, CONTRATOS!B:K,4,FALSE)="","",VLOOKUP($AP163, CONTRATOS!B:K,4, FALSE)))</f>
        <v/>
      </c>
      <c r="AW163" s="302" t="str">
        <f t="shared" si="99"/>
        <v/>
      </c>
      <c r="AX163" s="301" t="str">
        <f t="shared" si="100"/>
        <v/>
      </c>
      <c r="AY163" s="301" t="str">
        <f t="shared" si="101"/>
        <v/>
      </c>
      <c r="AZ163" s="301" t="str">
        <f t="shared" si="102"/>
        <v/>
      </c>
      <c r="BA163" s="301" t="str">
        <f t="shared" si="103"/>
        <v/>
      </c>
      <c r="BB163" s="303">
        <f t="shared" si="117"/>
        <v>0</v>
      </c>
      <c r="BC163" s="303" t="str">
        <f t="shared" si="118"/>
        <v/>
      </c>
      <c r="BD163" s="303" t="str">
        <f t="shared" si="119"/>
        <v/>
      </c>
      <c r="BF163" s="304">
        <f t="shared" si="120"/>
        <v>0</v>
      </c>
      <c r="BG163" s="304">
        <f t="shared" si="121"/>
        <v>0</v>
      </c>
      <c r="BH163" s="304" t="str">
        <f>IF( $B163="", "", IF(ISNA(VLOOKUP($C163, Defesa!$C$8:$C$30,1,FALSE)),1,0))</f>
        <v/>
      </c>
      <c r="BI163" s="305" t="str">
        <f t="shared" si="122"/>
        <v/>
      </c>
      <c r="BJ163" s="305" t="str">
        <f t="shared" si="123"/>
        <v/>
      </c>
      <c r="BK163" s="304" t="str">
        <f t="shared" si="124"/>
        <v/>
      </c>
      <c r="BL163" s="304">
        <f t="shared" si="125"/>
        <v>0</v>
      </c>
      <c r="BM163" s="304" t="str">
        <f>IF($AC163="", "", IF(ISNA(VLOOKUP($AC163, TABELAS!$Q:$Q, 1, FALSE)), 1, 0))</f>
        <v/>
      </c>
      <c r="BN163" s="306" t="str">
        <f t="shared" si="126"/>
        <v/>
      </c>
      <c r="BO163" s="304" t="str">
        <f t="shared" si="127"/>
        <v/>
      </c>
      <c r="BP163" s="304" t="str">
        <f t="shared" si="128"/>
        <v/>
      </c>
      <c r="BQ163" s="305" t="str">
        <f t="shared" si="129"/>
        <v/>
      </c>
      <c r="BR163" s="304" t="str">
        <f t="shared" si="130"/>
        <v/>
      </c>
      <c r="BS163" s="304" t="str">
        <f t="shared" si="131"/>
        <v/>
      </c>
      <c r="BT163" s="304" t="str">
        <f>IF(OR($B163="", $AH163 = "SIM"), "", IF( ISNA(VLOOKUP($AP163,#REF!, 1, FALSE)), 1, 0))</f>
        <v/>
      </c>
      <c r="BU163" s="304" t="str">
        <f t="shared" si="132"/>
        <v/>
      </c>
      <c r="BV163" s="304" t="str">
        <f>IF( $B163="", "", IF( ISNA(VLOOKUP($AN163, TABELAS!$T$2:$T$9,1,FALSE)), 1, 0))</f>
        <v/>
      </c>
      <c r="BW163" s="304" t="str">
        <f t="shared" si="133"/>
        <v/>
      </c>
      <c r="BX163" s="304" t="str">
        <f>IF( OR($B163="", $AH163 = "SIM"), "", IF( ISNA( VLOOKUP( $AQ163, SISTEMA!$B:$B, 1, FALSE)), 1, 0))</f>
        <v/>
      </c>
      <c r="BY163" s="305" t="str">
        <f t="shared" si="134"/>
        <v/>
      </c>
      <c r="BZ163" s="305" t="str">
        <f t="shared" si="135"/>
        <v/>
      </c>
      <c r="CA163" s="304" t="str">
        <f t="shared" si="136"/>
        <v/>
      </c>
      <c r="CB163" s="305" t="str">
        <f t="shared" si="137"/>
        <v/>
      </c>
      <c r="CC163" s="305" t="str">
        <f t="shared" si="138"/>
        <v/>
      </c>
      <c r="CD163" s="305" t="str">
        <f t="shared" si="139"/>
        <v/>
      </c>
    </row>
    <row r="164" spans="1:82" x14ac:dyDescent="0.2">
      <c r="A164" s="235"/>
      <c r="B164" s="236" t="str">
        <f t="shared" si="104"/>
        <v/>
      </c>
      <c r="C164" s="237" t="str">
        <f t="shared" si="94"/>
        <v/>
      </c>
      <c r="D164" s="237" t="str">
        <f t="shared" si="105"/>
        <v/>
      </c>
      <c r="E164" s="237" t="str">
        <f>IF($C164="", "", COUNTIF($M$8:$M164,$D164))</f>
        <v/>
      </c>
      <c r="F164" s="238">
        <v>157</v>
      </c>
      <c r="G164" s="239"/>
      <c r="H164" s="240"/>
      <c r="I164" s="240"/>
      <c r="J164" s="241"/>
      <c r="K164" s="240"/>
      <c r="L164" s="240"/>
      <c r="M164" s="240"/>
      <c r="N164" s="242"/>
      <c r="O164" s="243"/>
      <c r="P164" s="243"/>
      <c r="Q164" s="243"/>
      <c r="R164" s="243"/>
      <c r="S164" s="243"/>
      <c r="T164" s="245"/>
      <c r="U164" s="246" t="str">
        <f>IF($T164="", "", VLOOKUP($T164, CONTRATOS!$B:$E, 2, FALSE))</f>
        <v/>
      </c>
      <c r="V164" s="247">
        <f>IF(OR($T164="",TB_DEFESA!$C$2="Criação Baseline"),0,
   IF(VLOOKUP($T164, CONTRATOS!B:E, 3, FALSE)&lt;&gt;"",1,IF(VLOOKUP($T164, CONTRATOS!B:E, 4, FALSE)&lt;&gt;"",2,0)))</f>
        <v>0</v>
      </c>
      <c r="W164" s="248"/>
      <c r="X164" s="248"/>
      <c r="Y164" s="249"/>
      <c r="Z164" s="250"/>
      <c r="AA164" s="251"/>
      <c r="AB164" s="252"/>
      <c r="AC164" s="253"/>
      <c r="AD164" s="251"/>
      <c r="AE164" s="254" t="str">
        <f t="shared" si="95"/>
        <v/>
      </c>
      <c r="AF164" s="256" t="str">
        <f t="shared" si="106"/>
        <v/>
      </c>
      <c r="AG164" s="293" t="s">
        <v>62</v>
      </c>
      <c r="AH164" s="294" t="str">
        <f t="shared" si="107"/>
        <v/>
      </c>
      <c r="AI164" s="294" t="str">
        <f t="shared" si="108"/>
        <v/>
      </c>
      <c r="AJ164" s="295" t="str">
        <f t="shared" si="109"/>
        <v/>
      </c>
      <c r="AK164" s="296" t="str">
        <f t="shared" si="110"/>
        <v/>
      </c>
      <c r="AL164" s="297" t="str">
        <f t="shared" si="111"/>
        <v/>
      </c>
      <c r="AM164" s="294" t="str">
        <f t="shared" si="112"/>
        <v/>
      </c>
      <c r="AN164" s="294" t="str">
        <f t="shared" si="113"/>
        <v/>
      </c>
      <c r="AO164" s="298" t="str">
        <f t="shared" si="114"/>
        <v/>
      </c>
      <c r="AP164" s="299" t="str">
        <f t="shared" si="115"/>
        <v/>
      </c>
      <c r="AQ164" s="299" t="str">
        <f t="shared" si="116"/>
        <v/>
      </c>
      <c r="AR164" s="300" t="str">
        <f t="shared" si="96"/>
        <v/>
      </c>
      <c r="AS164" s="300" t="str">
        <f t="shared" si="97"/>
        <v/>
      </c>
      <c r="AT164" s="294" t="str">
        <f t="shared" si="98"/>
        <v/>
      </c>
      <c r="AU164" s="301" t="str">
        <f>IF(OR($B164="", $AP164= ""),"",IF(VLOOKUP($AP164, CONTRATOS!B:K,3,FALSE)="","",VLOOKUP($AP164, CONTRATOS!B:K, 3,FALSE)))</f>
        <v/>
      </c>
      <c r="AV164" s="301" t="str">
        <f>IF(OR($B164="", $AP164 = ""), "", IF(VLOOKUP($AP164, CONTRATOS!B:K,4,FALSE)="","",VLOOKUP($AP164, CONTRATOS!B:K,4, FALSE)))</f>
        <v/>
      </c>
      <c r="AW164" s="302" t="str">
        <f t="shared" si="99"/>
        <v/>
      </c>
      <c r="AX164" s="301" t="str">
        <f t="shared" si="100"/>
        <v/>
      </c>
      <c r="AY164" s="301" t="str">
        <f t="shared" si="101"/>
        <v/>
      </c>
      <c r="AZ164" s="301" t="str">
        <f t="shared" si="102"/>
        <v/>
      </c>
      <c r="BA164" s="301" t="str">
        <f t="shared" si="103"/>
        <v/>
      </c>
      <c r="BB164" s="303">
        <f t="shared" si="117"/>
        <v>0</v>
      </c>
      <c r="BC164" s="303" t="str">
        <f t="shared" si="118"/>
        <v/>
      </c>
      <c r="BD164" s="303" t="str">
        <f t="shared" si="119"/>
        <v/>
      </c>
      <c r="BF164" s="304">
        <f t="shared" si="120"/>
        <v>0</v>
      </c>
      <c r="BG164" s="304">
        <f t="shared" si="121"/>
        <v>0</v>
      </c>
      <c r="BH164" s="304" t="str">
        <f>IF( $B164="", "", IF(ISNA(VLOOKUP($C164, Defesa!$C$8:$C$30,1,FALSE)),1,0))</f>
        <v/>
      </c>
      <c r="BI164" s="305" t="str">
        <f t="shared" si="122"/>
        <v/>
      </c>
      <c r="BJ164" s="305" t="str">
        <f t="shared" si="123"/>
        <v/>
      </c>
      <c r="BK164" s="304" t="str">
        <f t="shared" si="124"/>
        <v/>
      </c>
      <c r="BL164" s="304">
        <f t="shared" si="125"/>
        <v>0</v>
      </c>
      <c r="BM164" s="304" t="str">
        <f>IF($AC164="", "", IF(ISNA(VLOOKUP($AC164, TABELAS!$Q:$Q, 1, FALSE)), 1, 0))</f>
        <v/>
      </c>
      <c r="BN164" s="306" t="str">
        <f t="shared" si="126"/>
        <v/>
      </c>
      <c r="BO164" s="304" t="str">
        <f t="shared" si="127"/>
        <v/>
      </c>
      <c r="BP164" s="304" t="str">
        <f t="shared" si="128"/>
        <v/>
      </c>
      <c r="BQ164" s="305" t="str">
        <f t="shared" si="129"/>
        <v/>
      </c>
      <c r="BR164" s="304" t="str">
        <f t="shared" si="130"/>
        <v/>
      </c>
      <c r="BS164" s="304" t="str">
        <f t="shared" si="131"/>
        <v/>
      </c>
      <c r="BT164" s="304" t="str">
        <f>IF(OR($B164="", $AH164 = "SIM"), "", IF( ISNA(VLOOKUP($AP164,#REF!, 1, FALSE)), 1, 0))</f>
        <v/>
      </c>
      <c r="BU164" s="304" t="str">
        <f t="shared" si="132"/>
        <v/>
      </c>
      <c r="BV164" s="304" t="str">
        <f>IF( $B164="", "", IF( ISNA(VLOOKUP($AN164, TABELAS!$T$2:$T$9,1,FALSE)), 1, 0))</f>
        <v/>
      </c>
      <c r="BW164" s="304" t="str">
        <f t="shared" si="133"/>
        <v/>
      </c>
      <c r="BX164" s="304" t="str">
        <f>IF( OR($B164="", $AH164 = "SIM"), "", IF( ISNA( VLOOKUP( $AQ164, SISTEMA!$B:$B, 1, FALSE)), 1, 0))</f>
        <v/>
      </c>
      <c r="BY164" s="305" t="str">
        <f t="shared" si="134"/>
        <v/>
      </c>
      <c r="BZ164" s="305" t="str">
        <f t="shared" si="135"/>
        <v/>
      </c>
      <c r="CA164" s="304" t="str">
        <f t="shared" si="136"/>
        <v/>
      </c>
      <c r="CB164" s="305" t="str">
        <f t="shared" si="137"/>
        <v/>
      </c>
      <c r="CC164" s="305" t="str">
        <f t="shared" si="138"/>
        <v/>
      </c>
      <c r="CD164" s="305" t="str">
        <f t="shared" si="139"/>
        <v/>
      </c>
    </row>
    <row r="165" spans="1:82" x14ac:dyDescent="0.2">
      <c r="A165" s="235"/>
      <c r="B165" s="236" t="str">
        <f t="shared" si="104"/>
        <v/>
      </c>
      <c r="C165" s="237" t="str">
        <f t="shared" si="94"/>
        <v/>
      </c>
      <c r="D165" s="237" t="str">
        <f t="shared" si="105"/>
        <v/>
      </c>
      <c r="E165" s="237" t="str">
        <f>IF($C165="", "", COUNTIF($M$8:$M165,$D165))</f>
        <v/>
      </c>
      <c r="F165" s="238">
        <v>158</v>
      </c>
      <c r="G165" s="239"/>
      <c r="H165" s="240"/>
      <c r="I165" s="240"/>
      <c r="J165" s="241"/>
      <c r="K165" s="240"/>
      <c r="L165" s="240"/>
      <c r="M165" s="240"/>
      <c r="N165" s="242"/>
      <c r="O165" s="243"/>
      <c r="P165" s="243"/>
      <c r="Q165" s="243"/>
      <c r="R165" s="243"/>
      <c r="S165" s="243"/>
      <c r="T165" s="245"/>
      <c r="U165" s="246" t="str">
        <f>IF($T165="", "", VLOOKUP($T165, CONTRATOS!$B:$E, 2, FALSE))</f>
        <v/>
      </c>
      <c r="V165" s="247">
        <f>IF(OR($T165="",TB_DEFESA!$C$2="Criação Baseline"),0,
   IF(VLOOKUP($T165, CONTRATOS!B:E, 3, FALSE)&lt;&gt;"",1,IF(VLOOKUP($T165, CONTRATOS!B:E, 4, FALSE)&lt;&gt;"",2,0)))</f>
        <v>0</v>
      </c>
      <c r="W165" s="248"/>
      <c r="X165" s="248"/>
      <c r="Y165" s="249"/>
      <c r="Z165" s="250"/>
      <c r="AA165" s="251"/>
      <c r="AB165" s="252"/>
      <c r="AC165" s="253"/>
      <c r="AD165" s="251"/>
      <c r="AE165" s="254" t="str">
        <f t="shared" si="95"/>
        <v/>
      </c>
      <c r="AF165" s="256" t="str">
        <f t="shared" si="106"/>
        <v/>
      </c>
      <c r="AG165" s="293" t="s">
        <v>62</v>
      </c>
      <c r="AH165" s="294" t="str">
        <f t="shared" si="107"/>
        <v/>
      </c>
      <c r="AI165" s="294" t="str">
        <f t="shared" si="108"/>
        <v/>
      </c>
      <c r="AJ165" s="295" t="str">
        <f t="shared" si="109"/>
        <v/>
      </c>
      <c r="AK165" s="296" t="str">
        <f t="shared" si="110"/>
        <v/>
      </c>
      <c r="AL165" s="297" t="str">
        <f t="shared" si="111"/>
        <v/>
      </c>
      <c r="AM165" s="294" t="str">
        <f t="shared" si="112"/>
        <v/>
      </c>
      <c r="AN165" s="294" t="str">
        <f t="shared" si="113"/>
        <v/>
      </c>
      <c r="AO165" s="298" t="str">
        <f t="shared" si="114"/>
        <v/>
      </c>
      <c r="AP165" s="299" t="str">
        <f t="shared" si="115"/>
        <v/>
      </c>
      <c r="AQ165" s="299" t="str">
        <f t="shared" si="116"/>
        <v/>
      </c>
      <c r="AR165" s="300" t="str">
        <f t="shared" si="96"/>
        <v/>
      </c>
      <c r="AS165" s="300" t="str">
        <f t="shared" si="97"/>
        <v/>
      </c>
      <c r="AT165" s="294" t="str">
        <f t="shared" si="98"/>
        <v/>
      </c>
      <c r="AU165" s="301" t="str">
        <f>IF(OR($B165="", $AP165= ""),"",IF(VLOOKUP($AP165, CONTRATOS!B:K,3,FALSE)="","",VLOOKUP($AP165, CONTRATOS!B:K, 3,FALSE)))</f>
        <v/>
      </c>
      <c r="AV165" s="301" t="str">
        <f>IF(OR($B165="", $AP165 = ""), "", IF(VLOOKUP($AP165, CONTRATOS!B:K,4,FALSE)="","",VLOOKUP($AP165, CONTRATOS!B:K,4, FALSE)))</f>
        <v/>
      </c>
      <c r="AW165" s="302" t="str">
        <f t="shared" si="99"/>
        <v/>
      </c>
      <c r="AX165" s="301" t="str">
        <f t="shared" si="100"/>
        <v/>
      </c>
      <c r="AY165" s="301" t="str">
        <f t="shared" si="101"/>
        <v/>
      </c>
      <c r="AZ165" s="301" t="str">
        <f t="shared" si="102"/>
        <v/>
      </c>
      <c r="BA165" s="301" t="str">
        <f t="shared" si="103"/>
        <v/>
      </c>
      <c r="BB165" s="303">
        <f t="shared" si="117"/>
        <v>0</v>
      </c>
      <c r="BC165" s="303" t="str">
        <f t="shared" si="118"/>
        <v/>
      </c>
      <c r="BD165" s="303" t="str">
        <f t="shared" si="119"/>
        <v/>
      </c>
      <c r="BF165" s="304">
        <f t="shared" si="120"/>
        <v>0</v>
      </c>
      <c r="BG165" s="304">
        <f t="shared" si="121"/>
        <v>0</v>
      </c>
      <c r="BH165" s="304" t="str">
        <f>IF( $B165="", "", IF(ISNA(VLOOKUP($C165, Defesa!$C$8:$C$30,1,FALSE)),1,0))</f>
        <v/>
      </c>
      <c r="BI165" s="305" t="str">
        <f t="shared" si="122"/>
        <v/>
      </c>
      <c r="BJ165" s="305" t="str">
        <f t="shared" si="123"/>
        <v/>
      </c>
      <c r="BK165" s="304" t="str">
        <f t="shared" si="124"/>
        <v/>
      </c>
      <c r="BL165" s="304">
        <f t="shared" si="125"/>
        <v>0</v>
      </c>
      <c r="BM165" s="304" t="str">
        <f>IF($AC165="", "", IF(ISNA(VLOOKUP($AC165, TABELAS!$Q:$Q, 1, FALSE)), 1, 0))</f>
        <v/>
      </c>
      <c r="BN165" s="306" t="str">
        <f t="shared" si="126"/>
        <v/>
      </c>
      <c r="BO165" s="304" t="str">
        <f t="shared" si="127"/>
        <v/>
      </c>
      <c r="BP165" s="304" t="str">
        <f t="shared" si="128"/>
        <v/>
      </c>
      <c r="BQ165" s="305" t="str">
        <f t="shared" si="129"/>
        <v/>
      </c>
      <c r="BR165" s="304" t="str">
        <f t="shared" si="130"/>
        <v/>
      </c>
      <c r="BS165" s="304" t="str">
        <f t="shared" si="131"/>
        <v/>
      </c>
      <c r="BT165" s="304" t="str">
        <f>IF(OR($B165="", $AH165 = "SIM"), "", IF( ISNA(VLOOKUP($AP165,#REF!, 1, FALSE)), 1, 0))</f>
        <v/>
      </c>
      <c r="BU165" s="304" t="str">
        <f t="shared" si="132"/>
        <v/>
      </c>
      <c r="BV165" s="304" t="str">
        <f>IF( $B165="", "", IF( ISNA(VLOOKUP($AN165, TABELAS!$T$2:$T$9,1,FALSE)), 1, 0))</f>
        <v/>
      </c>
      <c r="BW165" s="304" t="str">
        <f t="shared" si="133"/>
        <v/>
      </c>
      <c r="BX165" s="304" t="str">
        <f>IF( OR($B165="", $AH165 = "SIM"), "", IF( ISNA( VLOOKUP( $AQ165, SISTEMA!$B:$B, 1, FALSE)), 1, 0))</f>
        <v/>
      </c>
      <c r="BY165" s="305" t="str">
        <f t="shared" si="134"/>
        <v/>
      </c>
      <c r="BZ165" s="305" t="str">
        <f t="shared" si="135"/>
        <v/>
      </c>
      <c r="CA165" s="304" t="str">
        <f t="shared" si="136"/>
        <v/>
      </c>
      <c r="CB165" s="305" t="str">
        <f t="shared" si="137"/>
        <v/>
      </c>
      <c r="CC165" s="305" t="str">
        <f t="shared" si="138"/>
        <v/>
      </c>
      <c r="CD165" s="305" t="str">
        <f t="shared" si="139"/>
        <v/>
      </c>
    </row>
    <row r="166" spans="1:82" x14ac:dyDescent="0.2">
      <c r="A166" s="235"/>
      <c r="B166" s="236" t="str">
        <f t="shared" si="104"/>
        <v/>
      </c>
      <c r="C166" s="237" t="str">
        <f t="shared" si="94"/>
        <v/>
      </c>
      <c r="D166" s="237" t="str">
        <f t="shared" si="105"/>
        <v/>
      </c>
      <c r="E166" s="237" t="str">
        <f>IF($C166="", "", COUNTIF($M$8:$M166,$D166))</f>
        <v/>
      </c>
      <c r="F166" s="238">
        <v>159</v>
      </c>
      <c r="G166" s="239"/>
      <c r="H166" s="240"/>
      <c r="I166" s="240"/>
      <c r="J166" s="241"/>
      <c r="K166" s="240"/>
      <c r="L166" s="240"/>
      <c r="M166" s="240"/>
      <c r="N166" s="242"/>
      <c r="O166" s="243"/>
      <c r="P166" s="243"/>
      <c r="Q166" s="243"/>
      <c r="R166" s="243"/>
      <c r="S166" s="243"/>
      <c r="T166" s="245"/>
      <c r="U166" s="246" t="str">
        <f>IF($T166="", "", VLOOKUP($T166, CONTRATOS!$B:$E, 2, FALSE))</f>
        <v/>
      </c>
      <c r="V166" s="247">
        <f>IF(OR($T166="",TB_DEFESA!$C$2="Criação Baseline"),0,
   IF(VLOOKUP($T166, CONTRATOS!B:E, 3, FALSE)&lt;&gt;"",1,IF(VLOOKUP($T166, CONTRATOS!B:E, 4, FALSE)&lt;&gt;"",2,0)))</f>
        <v>0</v>
      </c>
      <c r="W166" s="248"/>
      <c r="X166" s="248"/>
      <c r="Y166" s="249"/>
      <c r="Z166" s="250"/>
      <c r="AA166" s="251"/>
      <c r="AB166" s="252"/>
      <c r="AC166" s="253"/>
      <c r="AD166" s="251"/>
      <c r="AE166" s="254" t="str">
        <f t="shared" si="95"/>
        <v/>
      </c>
      <c r="AF166" s="256" t="str">
        <f t="shared" si="106"/>
        <v/>
      </c>
      <c r="AG166" s="293" t="s">
        <v>62</v>
      </c>
      <c r="AH166" s="294" t="str">
        <f t="shared" si="107"/>
        <v/>
      </c>
      <c r="AI166" s="294" t="str">
        <f t="shared" si="108"/>
        <v/>
      </c>
      <c r="AJ166" s="295" t="str">
        <f t="shared" si="109"/>
        <v/>
      </c>
      <c r="AK166" s="296" t="str">
        <f t="shared" si="110"/>
        <v/>
      </c>
      <c r="AL166" s="297" t="str">
        <f t="shared" si="111"/>
        <v/>
      </c>
      <c r="AM166" s="294" t="str">
        <f t="shared" si="112"/>
        <v/>
      </c>
      <c r="AN166" s="294" t="str">
        <f t="shared" si="113"/>
        <v/>
      </c>
      <c r="AO166" s="298" t="str">
        <f t="shared" si="114"/>
        <v/>
      </c>
      <c r="AP166" s="299" t="str">
        <f t="shared" si="115"/>
        <v/>
      </c>
      <c r="AQ166" s="299" t="str">
        <f t="shared" si="116"/>
        <v/>
      </c>
      <c r="AR166" s="300" t="str">
        <f t="shared" si="96"/>
        <v/>
      </c>
      <c r="AS166" s="300" t="str">
        <f t="shared" si="97"/>
        <v/>
      </c>
      <c r="AT166" s="294" t="str">
        <f t="shared" si="98"/>
        <v/>
      </c>
      <c r="AU166" s="301" t="str">
        <f>IF(OR($B166="", $AP166= ""),"",IF(VLOOKUP($AP166, CONTRATOS!B:K,3,FALSE)="","",VLOOKUP($AP166, CONTRATOS!B:K, 3,FALSE)))</f>
        <v/>
      </c>
      <c r="AV166" s="301" t="str">
        <f>IF(OR($B166="", $AP166 = ""), "", IF(VLOOKUP($AP166, CONTRATOS!B:K,4,FALSE)="","",VLOOKUP($AP166, CONTRATOS!B:K,4, FALSE)))</f>
        <v/>
      </c>
      <c r="AW166" s="302" t="str">
        <f t="shared" si="99"/>
        <v/>
      </c>
      <c r="AX166" s="301" t="str">
        <f t="shared" si="100"/>
        <v/>
      </c>
      <c r="AY166" s="301" t="str">
        <f t="shared" si="101"/>
        <v/>
      </c>
      <c r="AZ166" s="301" t="str">
        <f t="shared" si="102"/>
        <v/>
      </c>
      <c r="BA166" s="301" t="str">
        <f t="shared" si="103"/>
        <v/>
      </c>
      <c r="BB166" s="303">
        <f t="shared" si="117"/>
        <v>0</v>
      </c>
      <c r="BC166" s="303" t="str">
        <f t="shared" si="118"/>
        <v/>
      </c>
      <c r="BD166" s="303" t="str">
        <f t="shared" si="119"/>
        <v/>
      </c>
      <c r="BF166" s="304">
        <f t="shared" si="120"/>
        <v>0</v>
      </c>
      <c r="BG166" s="304">
        <f t="shared" si="121"/>
        <v>0</v>
      </c>
      <c r="BH166" s="304" t="str">
        <f>IF( $B166="", "", IF(ISNA(VLOOKUP($C166, Defesa!$C$8:$C$30,1,FALSE)),1,0))</f>
        <v/>
      </c>
      <c r="BI166" s="305" t="str">
        <f t="shared" si="122"/>
        <v/>
      </c>
      <c r="BJ166" s="305" t="str">
        <f t="shared" si="123"/>
        <v/>
      </c>
      <c r="BK166" s="304" t="str">
        <f t="shared" si="124"/>
        <v/>
      </c>
      <c r="BL166" s="304">
        <f t="shared" si="125"/>
        <v>0</v>
      </c>
      <c r="BM166" s="304" t="str">
        <f>IF($AC166="", "", IF(ISNA(VLOOKUP($AC166, TABELAS!$Q:$Q, 1, FALSE)), 1, 0))</f>
        <v/>
      </c>
      <c r="BN166" s="306" t="str">
        <f t="shared" si="126"/>
        <v/>
      </c>
      <c r="BO166" s="304" t="str">
        <f t="shared" si="127"/>
        <v/>
      </c>
      <c r="BP166" s="304" t="str">
        <f t="shared" si="128"/>
        <v/>
      </c>
      <c r="BQ166" s="305" t="str">
        <f t="shared" si="129"/>
        <v/>
      </c>
      <c r="BR166" s="304" t="str">
        <f t="shared" si="130"/>
        <v/>
      </c>
      <c r="BS166" s="304" t="str">
        <f t="shared" si="131"/>
        <v/>
      </c>
      <c r="BT166" s="304" t="str">
        <f>IF(OR($B166="", $AH166 = "SIM"), "", IF( ISNA(VLOOKUP($AP166,#REF!, 1, FALSE)), 1, 0))</f>
        <v/>
      </c>
      <c r="BU166" s="304" t="str">
        <f t="shared" si="132"/>
        <v/>
      </c>
      <c r="BV166" s="304" t="str">
        <f>IF( $B166="", "", IF( ISNA(VLOOKUP($AN166, TABELAS!$T$2:$T$9,1,FALSE)), 1, 0))</f>
        <v/>
      </c>
      <c r="BW166" s="304" t="str">
        <f t="shared" si="133"/>
        <v/>
      </c>
      <c r="BX166" s="304" t="str">
        <f>IF( OR($B166="", $AH166 = "SIM"), "", IF( ISNA( VLOOKUP( $AQ166, SISTEMA!$B:$B, 1, FALSE)), 1, 0))</f>
        <v/>
      </c>
      <c r="BY166" s="305" t="str">
        <f t="shared" si="134"/>
        <v/>
      </c>
      <c r="BZ166" s="305" t="str">
        <f t="shared" si="135"/>
        <v/>
      </c>
      <c r="CA166" s="304" t="str">
        <f t="shared" si="136"/>
        <v/>
      </c>
      <c r="CB166" s="305" t="str">
        <f t="shared" si="137"/>
        <v/>
      </c>
      <c r="CC166" s="305" t="str">
        <f t="shared" si="138"/>
        <v/>
      </c>
      <c r="CD166" s="305" t="str">
        <f t="shared" si="139"/>
        <v/>
      </c>
    </row>
    <row r="167" spans="1:82" x14ac:dyDescent="0.2">
      <c r="A167" s="235"/>
      <c r="B167" s="236" t="str">
        <f t="shared" si="104"/>
        <v/>
      </c>
      <c r="C167" s="237" t="str">
        <f t="shared" si="94"/>
        <v/>
      </c>
      <c r="D167" s="237" t="str">
        <f t="shared" si="105"/>
        <v/>
      </c>
      <c r="E167" s="237" t="str">
        <f>IF($C167="", "", COUNTIF($M$8:$M167,$D167))</f>
        <v/>
      </c>
      <c r="F167" s="238">
        <v>160</v>
      </c>
      <c r="G167" s="239"/>
      <c r="H167" s="240"/>
      <c r="I167" s="240"/>
      <c r="J167" s="241"/>
      <c r="K167" s="240"/>
      <c r="L167" s="240"/>
      <c r="M167" s="240"/>
      <c r="N167" s="242"/>
      <c r="O167" s="243"/>
      <c r="P167" s="243"/>
      <c r="Q167" s="243"/>
      <c r="R167" s="243"/>
      <c r="S167" s="243"/>
      <c r="T167" s="245"/>
      <c r="U167" s="246" t="str">
        <f>IF($T167="", "", VLOOKUP($T167, CONTRATOS!$B:$E, 2, FALSE))</f>
        <v/>
      </c>
      <c r="V167" s="247">
        <f>IF(OR($T167="",TB_DEFESA!$C$2="Criação Baseline"),0,
   IF(VLOOKUP($T167, CONTRATOS!B:E, 3, FALSE)&lt;&gt;"",1,IF(VLOOKUP($T167, CONTRATOS!B:E, 4, FALSE)&lt;&gt;"",2,0)))</f>
        <v>0</v>
      </c>
      <c r="W167" s="248"/>
      <c r="X167" s="248"/>
      <c r="Y167" s="249"/>
      <c r="Z167" s="250"/>
      <c r="AA167" s="251"/>
      <c r="AB167" s="252"/>
      <c r="AC167" s="253"/>
      <c r="AD167" s="251"/>
      <c r="AE167" s="254" t="str">
        <f t="shared" si="95"/>
        <v/>
      </c>
      <c r="AF167" s="256" t="str">
        <f t="shared" si="106"/>
        <v/>
      </c>
      <c r="AG167" s="293" t="s">
        <v>62</v>
      </c>
      <c r="AH167" s="294" t="str">
        <f t="shared" si="107"/>
        <v/>
      </c>
      <c r="AI167" s="294" t="str">
        <f t="shared" si="108"/>
        <v/>
      </c>
      <c r="AJ167" s="295" t="str">
        <f t="shared" si="109"/>
        <v/>
      </c>
      <c r="AK167" s="296" t="str">
        <f t="shared" si="110"/>
        <v/>
      </c>
      <c r="AL167" s="297" t="str">
        <f t="shared" si="111"/>
        <v/>
      </c>
      <c r="AM167" s="294" t="str">
        <f t="shared" si="112"/>
        <v/>
      </c>
      <c r="AN167" s="294" t="str">
        <f t="shared" si="113"/>
        <v/>
      </c>
      <c r="AO167" s="298" t="str">
        <f t="shared" si="114"/>
        <v/>
      </c>
      <c r="AP167" s="299" t="str">
        <f t="shared" si="115"/>
        <v/>
      </c>
      <c r="AQ167" s="299" t="str">
        <f t="shared" si="116"/>
        <v/>
      </c>
      <c r="AR167" s="300" t="str">
        <f t="shared" si="96"/>
        <v/>
      </c>
      <c r="AS167" s="300" t="str">
        <f t="shared" si="97"/>
        <v/>
      </c>
      <c r="AT167" s="294" t="str">
        <f t="shared" si="98"/>
        <v/>
      </c>
      <c r="AU167" s="301" t="str">
        <f>IF(OR($B167="", $AP167= ""),"",IF(VLOOKUP($AP167, CONTRATOS!B:K,3,FALSE)="","",VLOOKUP($AP167, CONTRATOS!B:K, 3,FALSE)))</f>
        <v/>
      </c>
      <c r="AV167" s="301" t="str">
        <f>IF(OR($B167="", $AP167 = ""), "", IF(VLOOKUP($AP167, CONTRATOS!B:K,4,FALSE)="","",VLOOKUP($AP167, CONTRATOS!B:K,4, FALSE)))</f>
        <v/>
      </c>
      <c r="AW167" s="302" t="str">
        <f t="shared" si="99"/>
        <v/>
      </c>
      <c r="AX167" s="301" t="str">
        <f t="shared" si="100"/>
        <v/>
      </c>
      <c r="AY167" s="301" t="str">
        <f t="shared" si="101"/>
        <v/>
      </c>
      <c r="AZ167" s="301" t="str">
        <f t="shared" si="102"/>
        <v/>
      </c>
      <c r="BA167" s="301" t="str">
        <f t="shared" si="103"/>
        <v/>
      </c>
      <c r="BB167" s="303">
        <f t="shared" si="117"/>
        <v>0</v>
      </c>
      <c r="BC167" s="303" t="str">
        <f t="shared" si="118"/>
        <v/>
      </c>
      <c r="BD167" s="303" t="str">
        <f t="shared" si="119"/>
        <v/>
      </c>
      <c r="BF167" s="304">
        <f t="shared" si="120"/>
        <v>0</v>
      </c>
      <c r="BG167" s="304">
        <f t="shared" si="121"/>
        <v>0</v>
      </c>
      <c r="BH167" s="304" t="str">
        <f>IF( $B167="", "", IF(ISNA(VLOOKUP($C167, Defesa!$C$8:$C$30,1,FALSE)),1,0))</f>
        <v/>
      </c>
      <c r="BI167" s="305" t="str">
        <f t="shared" si="122"/>
        <v/>
      </c>
      <c r="BJ167" s="305" t="str">
        <f t="shared" si="123"/>
        <v/>
      </c>
      <c r="BK167" s="304" t="str">
        <f t="shared" si="124"/>
        <v/>
      </c>
      <c r="BL167" s="304">
        <f t="shared" si="125"/>
        <v>0</v>
      </c>
      <c r="BM167" s="304" t="str">
        <f>IF($AC167="", "", IF(ISNA(VLOOKUP($AC167, TABELAS!$Q:$Q, 1, FALSE)), 1, 0))</f>
        <v/>
      </c>
      <c r="BN167" s="306" t="str">
        <f t="shared" si="126"/>
        <v/>
      </c>
      <c r="BO167" s="304" t="str">
        <f t="shared" si="127"/>
        <v/>
      </c>
      <c r="BP167" s="304" t="str">
        <f t="shared" si="128"/>
        <v/>
      </c>
      <c r="BQ167" s="305" t="str">
        <f t="shared" si="129"/>
        <v/>
      </c>
      <c r="BR167" s="304" t="str">
        <f t="shared" si="130"/>
        <v/>
      </c>
      <c r="BS167" s="304" t="str">
        <f t="shared" si="131"/>
        <v/>
      </c>
      <c r="BT167" s="304" t="str">
        <f>IF(OR($B167="", $AH167 = "SIM"), "", IF( ISNA(VLOOKUP($AP167,#REF!, 1, FALSE)), 1, 0))</f>
        <v/>
      </c>
      <c r="BU167" s="304" t="str">
        <f t="shared" si="132"/>
        <v/>
      </c>
      <c r="BV167" s="304" t="str">
        <f>IF( $B167="", "", IF( ISNA(VLOOKUP($AN167, TABELAS!$T$2:$T$9,1,FALSE)), 1, 0))</f>
        <v/>
      </c>
      <c r="BW167" s="304" t="str">
        <f t="shared" si="133"/>
        <v/>
      </c>
      <c r="BX167" s="304" t="str">
        <f>IF( OR($B167="", $AH167 = "SIM"), "", IF( ISNA( VLOOKUP( $AQ167, SISTEMA!$B:$B, 1, FALSE)), 1, 0))</f>
        <v/>
      </c>
      <c r="BY167" s="305" t="str">
        <f t="shared" si="134"/>
        <v/>
      </c>
      <c r="BZ167" s="305" t="str">
        <f t="shared" si="135"/>
        <v/>
      </c>
      <c r="CA167" s="304" t="str">
        <f t="shared" si="136"/>
        <v/>
      </c>
      <c r="CB167" s="305" t="str">
        <f t="shared" si="137"/>
        <v/>
      </c>
      <c r="CC167" s="305" t="str">
        <f t="shared" si="138"/>
        <v/>
      </c>
      <c r="CD167" s="305" t="str">
        <f t="shared" si="139"/>
        <v/>
      </c>
    </row>
    <row r="168" spans="1:82" x14ac:dyDescent="0.2">
      <c r="A168" s="235"/>
      <c r="B168" s="236" t="str">
        <f t="shared" si="104"/>
        <v/>
      </c>
      <c r="C168" s="237" t="str">
        <f t="shared" si="94"/>
        <v/>
      </c>
      <c r="D168" s="237" t="str">
        <f t="shared" si="105"/>
        <v/>
      </c>
      <c r="E168" s="237" t="str">
        <f>IF($C168="", "", COUNTIF($M$8:$M168,$D168))</f>
        <v/>
      </c>
      <c r="F168" s="238">
        <v>161</v>
      </c>
      <c r="G168" s="239"/>
      <c r="H168" s="240"/>
      <c r="I168" s="240"/>
      <c r="J168" s="241"/>
      <c r="K168" s="240"/>
      <c r="L168" s="240"/>
      <c r="M168" s="240"/>
      <c r="N168" s="242"/>
      <c r="O168" s="243"/>
      <c r="P168" s="243"/>
      <c r="Q168" s="243"/>
      <c r="R168" s="243"/>
      <c r="S168" s="243"/>
      <c r="T168" s="245"/>
      <c r="U168" s="246" t="str">
        <f>IF($T168="", "", VLOOKUP($T168, CONTRATOS!$B:$E, 2, FALSE))</f>
        <v/>
      </c>
      <c r="V168" s="247">
        <f>IF(OR($T168="",TB_DEFESA!$C$2="Criação Baseline"),0,
   IF(VLOOKUP($T168, CONTRATOS!B:E, 3, FALSE)&lt;&gt;"",1,IF(VLOOKUP($T168, CONTRATOS!B:E, 4, FALSE)&lt;&gt;"",2,0)))</f>
        <v>0</v>
      </c>
      <c r="W168" s="248"/>
      <c r="X168" s="248"/>
      <c r="Y168" s="249"/>
      <c r="Z168" s="250"/>
      <c r="AA168" s="251"/>
      <c r="AB168" s="252"/>
      <c r="AC168" s="253"/>
      <c r="AD168" s="251"/>
      <c r="AE168" s="254" t="str">
        <f t="shared" si="95"/>
        <v/>
      </c>
      <c r="AF168" s="256" t="str">
        <f t="shared" si="106"/>
        <v/>
      </c>
      <c r="AG168" s="293" t="s">
        <v>62</v>
      </c>
      <c r="AH168" s="294" t="str">
        <f t="shared" si="107"/>
        <v/>
      </c>
      <c r="AI168" s="294" t="str">
        <f t="shared" si="108"/>
        <v/>
      </c>
      <c r="AJ168" s="295" t="str">
        <f t="shared" si="109"/>
        <v/>
      </c>
      <c r="AK168" s="296" t="str">
        <f t="shared" si="110"/>
        <v/>
      </c>
      <c r="AL168" s="297" t="str">
        <f t="shared" si="111"/>
        <v/>
      </c>
      <c r="AM168" s="294" t="str">
        <f t="shared" si="112"/>
        <v/>
      </c>
      <c r="AN168" s="294" t="str">
        <f t="shared" si="113"/>
        <v/>
      </c>
      <c r="AO168" s="298" t="str">
        <f t="shared" si="114"/>
        <v/>
      </c>
      <c r="AP168" s="299" t="str">
        <f t="shared" si="115"/>
        <v/>
      </c>
      <c r="AQ168" s="299" t="str">
        <f t="shared" si="116"/>
        <v/>
      </c>
      <c r="AR168" s="300" t="str">
        <f t="shared" si="96"/>
        <v/>
      </c>
      <c r="AS168" s="300" t="str">
        <f t="shared" si="97"/>
        <v/>
      </c>
      <c r="AT168" s="294" t="str">
        <f t="shared" si="98"/>
        <v/>
      </c>
      <c r="AU168" s="301" t="str">
        <f>IF(OR($B168="", $AP168= ""),"",IF(VLOOKUP($AP168, CONTRATOS!B:K,3,FALSE)="","",VLOOKUP($AP168, CONTRATOS!B:K, 3,FALSE)))</f>
        <v/>
      </c>
      <c r="AV168" s="301" t="str">
        <f>IF(OR($B168="", $AP168 = ""), "", IF(VLOOKUP($AP168, CONTRATOS!B:K,4,FALSE)="","",VLOOKUP($AP168, CONTRATOS!B:K,4, FALSE)))</f>
        <v/>
      </c>
      <c r="AW168" s="302" t="str">
        <f t="shared" si="99"/>
        <v/>
      </c>
      <c r="AX168" s="301" t="str">
        <f t="shared" si="100"/>
        <v/>
      </c>
      <c r="AY168" s="301" t="str">
        <f t="shared" si="101"/>
        <v/>
      </c>
      <c r="AZ168" s="301" t="str">
        <f t="shared" si="102"/>
        <v/>
      </c>
      <c r="BA168" s="301" t="str">
        <f t="shared" si="103"/>
        <v/>
      </c>
      <c r="BB168" s="303">
        <f t="shared" si="117"/>
        <v>0</v>
      </c>
      <c r="BC168" s="303" t="str">
        <f t="shared" si="118"/>
        <v/>
      </c>
      <c r="BD168" s="303" t="str">
        <f t="shared" si="119"/>
        <v/>
      </c>
      <c r="BF168" s="304">
        <f t="shared" si="120"/>
        <v>0</v>
      </c>
      <c r="BG168" s="304">
        <f t="shared" si="121"/>
        <v>0</v>
      </c>
      <c r="BH168" s="304" t="str">
        <f>IF( $B168="", "", IF(ISNA(VLOOKUP($C168, Defesa!$C$8:$C$30,1,FALSE)),1,0))</f>
        <v/>
      </c>
      <c r="BI168" s="305" t="str">
        <f t="shared" si="122"/>
        <v/>
      </c>
      <c r="BJ168" s="305" t="str">
        <f t="shared" si="123"/>
        <v/>
      </c>
      <c r="BK168" s="304" t="str">
        <f t="shared" si="124"/>
        <v/>
      </c>
      <c r="BL168" s="304">
        <f t="shared" si="125"/>
        <v>0</v>
      </c>
      <c r="BM168" s="304" t="str">
        <f>IF($AC168="", "", IF(ISNA(VLOOKUP($AC168, TABELAS!$Q:$Q, 1, FALSE)), 1, 0))</f>
        <v/>
      </c>
      <c r="BN168" s="306" t="str">
        <f t="shared" si="126"/>
        <v/>
      </c>
      <c r="BO168" s="304" t="str">
        <f t="shared" si="127"/>
        <v/>
      </c>
      <c r="BP168" s="304" t="str">
        <f t="shared" si="128"/>
        <v/>
      </c>
      <c r="BQ168" s="305" t="str">
        <f t="shared" si="129"/>
        <v/>
      </c>
      <c r="BR168" s="304" t="str">
        <f t="shared" si="130"/>
        <v/>
      </c>
      <c r="BS168" s="304" t="str">
        <f t="shared" si="131"/>
        <v/>
      </c>
      <c r="BT168" s="304" t="str">
        <f>IF(OR($B168="", $AH168 = "SIM"), "", IF( ISNA(VLOOKUP($AP168,#REF!, 1, FALSE)), 1, 0))</f>
        <v/>
      </c>
      <c r="BU168" s="304" t="str">
        <f t="shared" si="132"/>
        <v/>
      </c>
      <c r="BV168" s="304" t="str">
        <f>IF( $B168="", "", IF( ISNA(VLOOKUP($AN168, TABELAS!$T$2:$T$9,1,FALSE)), 1, 0))</f>
        <v/>
      </c>
      <c r="BW168" s="304" t="str">
        <f t="shared" si="133"/>
        <v/>
      </c>
      <c r="BX168" s="304" t="str">
        <f>IF( OR($B168="", $AH168 = "SIM"), "", IF( ISNA( VLOOKUP( $AQ168, SISTEMA!$B:$B, 1, FALSE)), 1, 0))</f>
        <v/>
      </c>
      <c r="BY168" s="305" t="str">
        <f t="shared" si="134"/>
        <v/>
      </c>
      <c r="BZ168" s="305" t="str">
        <f t="shared" si="135"/>
        <v/>
      </c>
      <c r="CA168" s="304" t="str">
        <f t="shared" si="136"/>
        <v/>
      </c>
      <c r="CB168" s="305" t="str">
        <f t="shared" si="137"/>
        <v/>
      </c>
      <c r="CC168" s="305" t="str">
        <f t="shared" si="138"/>
        <v/>
      </c>
      <c r="CD168" s="305" t="str">
        <f t="shared" si="139"/>
        <v/>
      </c>
    </row>
    <row r="169" spans="1:82" x14ac:dyDescent="0.2">
      <c r="A169" s="235"/>
      <c r="B169" s="236" t="str">
        <f t="shared" si="104"/>
        <v/>
      </c>
      <c r="C169" s="237" t="str">
        <f t="shared" si="94"/>
        <v/>
      </c>
      <c r="D169" s="237" t="str">
        <f t="shared" si="105"/>
        <v/>
      </c>
      <c r="E169" s="237" t="str">
        <f>IF($C169="", "", COUNTIF($M$8:$M169,$D169))</f>
        <v/>
      </c>
      <c r="F169" s="238">
        <v>162</v>
      </c>
      <c r="G169" s="239"/>
      <c r="H169" s="240"/>
      <c r="I169" s="240"/>
      <c r="J169" s="241"/>
      <c r="K169" s="240"/>
      <c r="L169" s="240"/>
      <c r="M169" s="240"/>
      <c r="N169" s="242"/>
      <c r="O169" s="243"/>
      <c r="P169" s="243"/>
      <c r="Q169" s="243"/>
      <c r="R169" s="243"/>
      <c r="S169" s="243"/>
      <c r="T169" s="245"/>
      <c r="U169" s="246" t="str">
        <f>IF($T169="", "", VLOOKUP($T169, CONTRATOS!$B:$E, 2, FALSE))</f>
        <v/>
      </c>
      <c r="V169" s="247">
        <f>IF(OR($T169="",TB_DEFESA!$C$2="Criação Baseline"),0,
   IF(VLOOKUP($T169, CONTRATOS!B:E, 3, FALSE)&lt;&gt;"",1,IF(VLOOKUP($T169, CONTRATOS!B:E, 4, FALSE)&lt;&gt;"",2,0)))</f>
        <v>0</v>
      </c>
      <c r="W169" s="248"/>
      <c r="X169" s="248"/>
      <c r="Y169" s="249"/>
      <c r="Z169" s="250"/>
      <c r="AA169" s="251"/>
      <c r="AB169" s="252"/>
      <c r="AC169" s="253"/>
      <c r="AD169" s="251"/>
      <c r="AE169" s="254" t="str">
        <f t="shared" si="95"/>
        <v/>
      </c>
      <c r="AF169" s="256" t="str">
        <f t="shared" si="106"/>
        <v/>
      </c>
      <c r="AG169" s="293" t="s">
        <v>62</v>
      </c>
      <c r="AH169" s="294" t="str">
        <f t="shared" si="107"/>
        <v/>
      </c>
      <c r="AI169" s="294" t="str">
        <f t="shared" si="108"/>
        <v/>
      </c>
      <c r="AJ169" s="295" t="str">
        <f t="shared" si="109"/>
        <v/>
      </c>
      <c r="AK169" s="296" t="str">
        <f t="shared" si="110"/>
        <v/>
      </c>
      <c r="AL169" s="297" t="str">
        <f t="shared" si="111"/>
        <v/>
      </c>
      <c r="AM169" s="294" t="str">
        <f t="shared" si="112"/>
        <v/>
      </c>
      <c r="AN169" s="294" t="str">
        <f t="shared" si="113"/>
        <v/>
      </c>
      <c r="AO169" s="298" t="str">
        <f t="shared" si="114"/>
        <v/>
      </c>
      <c r="AP169" s="299" t="str">
        <f t="shared" si="115"/>
        <v/>
      </c>
      <c r="AQ169" s="299" t="str">
        <f t="shared" si="116"/>
        <v/>
      </c>
      <c r="AR169" s="300" t="str">
        <f t="shared" si="96"/>
        <v/>
      </c>
      <c r="AS169" s="300" t="str">
        <f t="shared" si="97"/>
        <v/>
      </c>
      <c r="AT169" s="294" t="str">
        <f t="shared" si="98"/>
        <v/>
      </c>
      <c r="AU169" s="301" t="str">
        <f>IF(OR($B169="", $AP169= ""),"",IF(VLOOKUP($AP169, CONTRATOS!B:K,3,FALSE)="","",VLOOKUP($AP169, CONTRATOS!B:K, 3,FALSE)))</f>
        <v/>
      </c>
      <c r="AV169" s="301" t="str">
        <f>IF(OR($B169="", $AP169 = ""), "", IF(VLOOKUP($AP169, CONTRATOS!B:K,4,FALSE)="","",VLOOKUP($AP169, CONTRATOS!B:K,4, FALSE)))</f>
        <v/>
      </c>
      <c r="AW169" s="302" t="str">
        <f t="shared" si="99"/>
        <v/>
      </c>
      <c r="AX169" s="301" t="str">
        <f t="shared" si="100"/>
        <v/>
      </c>
      <c r="AY169" s="301" t="str">
        <f t="shared" si="101"/>
        <v/>
      </c>
      <c r="AZ169" s="301" t="str">
        <f t="shared" si="102"/>
        <v/>
      </c>
      <c r="BA169" s="301" t="str">
        <f t="shared" si="103"/>
        <v/>
      </c>
      <c r="BB169" s="303">
        <f t="shared" si="117"/>
        <v>0</v>
      </c>
      <c r="BC169" s="303" t="str">
        <f t="shared" si="118"/>
        <v/>
      </c>
      <c r="BD169" s="303" t="str">
        <f t="shared" si="119"/>
        <v/>
      </c>
      <c r="BF169" s="304">
        <f t="shared" si="120"/>
        <v>0</v>
      </c>
      <c r="BG169" s="304">
        <f t="shared" si="121"/>
        <v>0</v>
      </c>
      <c r="BH169" s="304" t="str">
        <f>IF( $B169="", "", IF(ISNA(VLOOKUP($C169, Defesa!$C$8:$C$30,1,FALSE)),1,0))</f>
        <v/>
      </c>
      <c r="BI169" s="305" t="str">
        <f t="shared" si="122"/>
        <v/>
      </c>
      <c r="BJ169" s="305" t="str">
        <f t="shared" si="123"/>
        <v/>
      </c>
      <c r="BK169" s="304" t="str">
        <f t="shared" si="124"/>
        <v/>
      </c>
      <c r="BL169" s="304">
        <f t="shared" si="125"/>
        <v>0</v>
      </c>
      <c r="BM169" s="304" t="str">
        <f>IF($AC169="", "", IF(ISNA(VLOOKUP($AC169, TABELAS!$Q:$Q, 1, FALSE)), 1, 0))</f>
        <v/>
      </c>
      <c r="BN169" s="306" t="str">
        <f t="shared" si="126"/>
        <v/>
      </c>
      <c r="BO169" s="304" t="str">
        <f t="shared" si="127"/>
        <v/>
      </c>
      <c r="BP169" s="304" t="str">
        <f t="shared" si="128"/>
        <v/>
      </c>
      <c r="BQ169" s="305" t="str">
        <f t="shared" si="129"/>
        <v/>
      </c>
      <c r="BR169" s="304" t="str">
        <f t="shared" si="130"/>
        <v/>
      </c>
      <c r="BS169" s="304" t="str">
        <f t="shared" si="131"/>
        <v/>
      </c>
      <c r="BT169" s="304" t="str">
        <f>IF(OR($B169="", $AH169 = "SIM"), "", IF( ISNA(VLOOKUP($AP169,#REF!, 1, FALSE)), 1, 0))</f>
        <v/>
      </c>
      <c r="BU169" s="304" t="str">
        <f t="shared" si="132"/>
        <v/>
      </c>
      <c r="BV169" s="304" t="str">
        <f>IF( $B169="", "", IF( ISNA(VLOOKUP($AN169, TABELAS!$T$2:$T$9,1,FALSE)), 1, 0))</f>
        <v/>
      </c>
      <c r="BW169" s="304" t="str">
        <f t="shared" si="133"/>
        <v/>
      </c>
      <c r="BX169" s="304" t="str">
        <f>IF( OR($B169="", $AH169 = "SIM"), "", IF( ISNA( VLOOKUP( $AQ169, SISTEMA!$B:$B, 1, FALSE)), 1, 0))</f>
        <v/>
      </c>
      <c r="BY169" s="305" t="str">
        <f t="shared" si="134"/>
        <v/>
      </c>
      <c r="BZ169" s="305" t="str">
        <f t="shared" si="135"/>
        <v/>
      </c>
      <c r="CA169" s="304" t="str">
        <f t="shared" si="136"/>
        <v/>
      </c>
      <c r="CB169" s="305" t="str">
        <f t="shared" si="137"/>
        <v/>
      </c>
      <c r="CC169" s="305" t="str">
        <f t="shared" si="138"/>
        <v/>
      </c>
      <c r="CD169" s="305" t="str">
        <f t="shared" si="139"/>
        <v/>
      </c>
    </row>
    <row r="170" spans="1:82" x14ac:dyDescent="0.2">
      <c r="A170" s="235"/>
      <c r="B170" s="236" t="str">
        <f t="shared" si="104"/>
        <v/>
      </c>
      <c r="C170" s="237" t="str">
        <f t="shared" si="94"/>
        <v/>
      </c>
      <c r="D170" s="237" t="str">
        <f t="shared" si="105"/>
        <v/>
      </c>
      <c r="E170" s="237" t="str">
        <f>IF($C170="", "", COUNTIF($M$8:$M170,$D170))</f>
        <v/>
      </c>
      <c r="F170" s="238">
        <v>163</v>
      </c>
      <c r="G170" s="239"/>
      <c r="H170" s="240"/>
      <c r="I170" s="240"/>
      <c r="J170" s="241"/>
      <c r="K170" s="240"/>
      <c r="L170" s="240"/>
      <c r="M170" s="240"/>
      <c r="N170" s="242"/>
      <c r="O170" s="243"/>
      <c r="P170" s="243"/>
      <c r="Q170" s="243"/>
      <c r="R170" s="243"/>
      <c r="S170" s="243"/>
      <c r="T170" s="245"/>
      <c r="U170" s="246" t="str">
        <f>IF($T170="", "", VLOOKUP($T170, CONTRATOS!$B:$E, 2, FALSE))</f>
        <v/>
      </c>
      <c r="V170" s="247">
        <f>IF(OR($T170="",TB_DEFESA!$C$2="Criação Baseline"),0,
   IF(VLOOKUP($T170, CONTRATOS!B:E, 3, FALSE)&lt;&gt;"",1,IF(VLOOKUP($T170, CONTRATOS!B:E, 4, FALSE)&lt;&gt;"",2,0)))</f>
        <v>0</v>
      </c>
      <c r="W170" s="248"/>
      <c r="X170" s="248"/>
      <c r="Y170" s="249"/>
      <c r="Z170" s="250"/>
      <c r="AA170" s="251"/>
      <c r="AB170" s="252"/>
      <c r="AC170" s="253"/>
      <c r="AD170" s="251"/>
      <c r="AE170" s="254" t="str">
        <f t="shared" si="95"/>
        <v/>
      </c>
      <c r="AF170" s="256" t="str">
        <f t="shared" si="106"/>
        <v/>
      </c>
      <c r="AG170" s="293" t="s">
        <v>62</v>
      </c>
      <c r="AH170" s="294" t="str">
        <f t="shared" si="107"/>
        <v/>
      </c>
      <c r="AI170" s="294" t="str">
        <f t="shared" si="108"/>
        <v/>
      </c>
      <c r="AJ170" s="295" t="str">
        <f t="shared" si="109"/>
        <v/>
      </c>
      <c r="AK170" s="296" t="str">
        <f t="shared" si="110"/>
        <v/>
      </c>
      <c r="AL170" s="297" t="str">
        <f t="shared" si="111"/>
        <v/>
      </c>
      <c r="AM170" s="294" t="str">
        <f t="shared" si="112"/>
        <v/>
      </c>
      <c r="AN170" s="294" t="str">
        <f t="shared" si="113"/>
        <v/>
      </c>
      <c r="AO170" s="298" t="str">
        <f t="shared" si="114"/>
        <v/>
      </c>
      <c r="AP170" s="299" t="str">
        <f t="shared" si="115"/>
        <v/>
      </c>
      <c r="AQ170" s="299" t="str">
        <f t="shared" si="116"/>
        <v/>
      </c>
      <c r="AR170" s="300" t="str">
        <f t="shared" si="96"/>
        <v/>
      </c>
      <c r="AS170" s="300" t="str">
        <f t="shared" si="97"/>
        <v/>
      </c>
      <c r="AT170" s="294" t="str">
        <f t="shared" si="98"/>
        <v/>
      </c>
      <c r="AU170" s="301" t="str">
        <f>IF(OR($B170="", $AP170= ""),"",IF(VLOOKUP($AP170, CONTRATOS!B:K,3,FALSE)="","",VLOOKUP($AP170, CONTRATOS!B:K, 3,FALSE)))</f>
        <v/>
      </c>
      <c r="AV170" s="301" t="str">
        <f>IF(OR($B170="", $AP170 = ""), "", IF(VLOOKUP($AP170, CONTRATOS!B:K,4,FALSE)="","",VLOOKUP($AP170, CONTRATOS!B:K,4, FALSE)))</f>
        <v/>
      </c>
      <c r="AW170" s="302" t="str">
        <f t="shared" si="99"/>
        <v/>
      </c>
      <c r="AX170" s="301" t="str">
        <f t="shared" si="100"/>
        <v/>
      </c>
      <c r="AY170" s="301" t="str">
        <f t="shared" si="101"/>
        <v/>
      </c>
      <c r="AZ170" s="301" t="str">
        <f t="shared" si="102"/>
        <v/>
      </c>
      <c r="BA170" s="301" t="str">
        <f t="shared" si="103"/>
        <v/>
      </c>
      <c r="BB170" s="303">
        <f t="shared" si="117"/>
        <v>0</v>
      </c>
      <c r="BC170" s="303" t="str">
        <f t="shared" si="118"/>
        <v/>
      </c>
      <c r="BD170" s="303" t="str">
        <f t="shared" si="119"/>
        <v/>
      </c>
      <c r="BF170" s="304">
        <f t="shared" si="120"/>
        <v>0</v>
      </c>
      <c r="BG170" s="304">
        <f t="shared" si="121"/>
        <v>0</v>
      </c>
      <c r="BH170" s="304" t="str">
        <f>IF( $B170="", "", IF(ISNA(VLOOKUP($C170, Defesa!$C$8:$C$30,1,FALSE)),1,0))</f>
        <v/>
      </c>
      <c r="BI170" s="305" t="str">
        <f t="shared" si="122"/>
        <v/>
      </c>
      <c r="BJ170" s="305" t="str">
        <f t="shared" si="123"/>
        <v/>
      </c>
      <c r="BK170" s="304" t="str">
        <f t="shared" si="124"/>
        <v/>
      </c>
      <c r="BL170" s="304">
        <f t="shared" si="125"/>
        <v>0</v>
      </c>
      <c r="BM170" s="304" t="str">
        <f>IF($AC170="", "", IF(ISNA(VLOOKUP($AC170, TABELAS!$Q:$Q, 1, FALSE)), 1, 0))</f>
        <v/>
      </c>
      <c r="BN170" s="306" t="str">
        <f t="shared" si="126"/>
        <v/>
      </c>
      <c r="BO170" s="304" t="str">
        <f t="shared" si="127"/>
        <v/>
      </c>
      <c r="BP170" s="304" t="str">
        <f t="shared" si="128"/>
        <v/>
      </c>
      <c r="BQ170" s="305" t="str">
        <f t="shared" si="129"/>
        <v/>
      </c>
      <c r="BR170" s="304" t="str">
        <f t="shared" si="130"/>
        <v/>
      </c>
      <c r="BS170" s="304" t="str">
        <f t="shared" si="131"/>
        <v/>
      </c>
      <c r="BT170" s="304" t="str">
        <f>IF(OR($B170="", $AH170 = "SIM"), "", IF( ISNA(VLOOKUP($AP170,#REF!, 1, FALSE)), 1, 0))</f>
        <v/>
      </c>
      <c r="BU170" s="304" t="str">
        <f t="shared" si="132"/>
        <v/>
      </c>
      <c r="BV170" s="304" t="str">
        <f>IF( $B170="", "", IF( ISNA(VLOOKUP($AN170, TABELAS!$T$2:$T$9,1,FALSE)), 1, 0))</f>
        <v/>
      </c>
      <c r="BW170" s="304" t="str">
        <f t="shared" si="133"/>
        <v/>
      </c>
      <c r="BX170" s="304" t="str">
        <f>IF( OR($B170="", $AH170 = "SIM"), "", IF( ISNA( VLOOKUP( $AQ170, SISTEMA!$B:$B, 1, FALSE)), 1, 0))</f>
        <v/>
      </c>
      <c r="BY170" s="305" t="str">
        <f t="shared" si="134"/>
        <v/>
      </c>
      <c r="BZ170" s="305" t="str">
        <f t="shared" si="135"/>
        <v/>
      </c>
      <c r="CA170" s="304" t="str">
        <f t="shared" si="136"/>
        <v/>
      </c>
      <c r="CB170" s="305" t="str">
        <f t="shared" si="137"/>
        <v/>
      </c>
      <c r="CC170" s="305" t="str">
        <f t="shared" si="138"/>
        <v/>
      </c>
      <c r="CD170" s="305" t="str">
        <f t="shared" si="139"/>
        <v/>
      </c>
    </row>
    <row r="171" spans="1:82" x14ac:dyDescent="0.2">
      <c r="A171" s="235"/>
      <c r="B171" s="236" t="str">
        <f t="shared" si="104"/>
        <v/>
      </c>
      <c r="C171" s="237" t="str">
        <f t="shared" si="94"/>
        <v/>
      </c>
      <c r="D171" s="237" t="str">
        <f t="shared" si="105"/>
        <v/>
      </c>
      <c r="E171" s="237" t="str">
        <f>IF($C171="", "", COUNTIF($M$8:$M171,$D171))</f>
        <v/>
      </c>
      <c r="F171" s="238">
        <v>164</v>
      </c>
      <c r="G171" s="239"/>
      <c r="H171" s="240"/>
      <c r="I171" s="240"/>
      <c r="J171" s="241"/>
      <c r="K171" s="240"/>
      <c r="L171" s="240"/>
      <c r="M171" s="240"/>
      <c r="N171" s="242"/>
      <c r="O171" s="243"/>
      <c r="P171" s="243"/>
      <c r="Q171" s="243"/>
      <c r="R171" s="243"/>
      <c r="S171" s="243"/>
      <c r="T171" s="245"/>
      <c r="U171" s="246" t="str">
        <f>IF($T171="", "", VLOOKUP($T171, CONTRATOS!$B:$E, 2, FALSE))</f>
        <v/>
      </c>
      <c r="V171" s="247">
        <f>IF(OR($T171="",TB_DEFESA!$C$2="Criação Baseline"),0,
   IF(VLOOKUP($T171, CONTRATOS!B:E, 3, FALSE)&lt;&gt;"",1,IF(VLOOKUP($T171, CONTRATOS!B:E, 4, FALSE)&lt;&gt;"",2,0)))</f>
        <v>0</v>
      </c>
      <c r="W171" s="248"/>
      <c r="X171" s="248"/>
      <c r="Y171" s="249"/>
      <c r="Z171" s="250"/>
      <c r="AA171" s="251"/>
      <c r="AB171" s="252"/>
      <c r="AC171" s="253"/>
      <c r="AD171" s="251"/>
      <c r="AE171" s="254" t="str">
        <f t="shared" si="95"/>
        <v/>
      </c>
      <c r="AF171" s="256" t="str">
        <f t="shared" si="106"/>
        <v/>
      </c>
      <c r="AG171" s="293" t="s">
        <v>62</v>
      </c>
      <c r="AH171" s="294" t="str">
        <f t="shared" si="107"/>
        <v/>
      </c>
      <c r="AI171" s="294" t="str">
        <f t="shared" si="108"/>
        <v/>
      </c>
      <c r="AJ171" s="295" t="str">
        <f t="shared" si="109"/>
        <v/>
      </c>
      <c r="AK171" s="296" t="str">
        <f t="shared" si="110"/>
        <v/>
      </c>
      <c r="AL171" s="297" t="str">
        <f t="shared" si="111"/>
        <v/>
      </c>
      <c r="AM171" s="294" t="str">
        <f t="shared" si="112"/>
        <v/>
      </c>
      <c r="AN171" s="294" t="str">
        <f t="shared" si="113"/>
        <v/>
      </c>
      <c r="AO171" s="298" t="str">
        <f t="shared" si="114"/>
        <v/>
      </c>
      <c r="AP171" s="299" t="str">
        <f t="shared" si="115"/>
        <v/>
      </c>
      <c r="AQ171" s="299" t="str">
        <f t="shared" si="116"/>
        <v/>
      </c>
      <c r="AR171" s="300" t="str">
        <f t="shared" si="96"/>
        <v/>
      </c>
      <c r="AS171" s="300" t="str">
        <f t="shared" si="97"/>
        <v/>
      </c>
      <c r="AT171" s="294" t="str">
        <f t="shared" si="98"/>
        <v/>
      </c>
      <c r="AU171" s="301" t="str">
        <f>IF(OR($B171="", $AP171= ""),"",IF(VLOOKUP($AP171, CONTRATOS!B:K,3,FALSE)="","",VLOOKUP($AP171, CONTRATOS!B:K, 3,FALSE)))</f>
        <v/>
      </c>
      <c r="AV171" s="301" t="str">
        <f>IF(OR($B171="", $AP171 = ""), "", IF(VLOOKUP($AP171, CONTRATOS!B:K,4,FALSE)="","",VLOOKUP($AP171, CONTRATOS!B:K,4, FALSE)))</f>
        <v/>
      </c>
      <c r="AW171" s="302" t="str">
        <f t="shared" si="99"/>
        <v/>
      </c>
      <c r="AX171" s="301" t="str">
        <f t="shared" si="100"/>
        <v/>
      </c>
      <c r="AY171" s="301" t="str">
        <f t="shared" si="101"/>
        <v/>
      </c>
      <c r="AZ171" s="301" t="str">
        <f t="shared" si="102"/>
        <v/>
      </c>
      <c r="BA171" s="301" t="str">
        <f t="shared" si="103"/>
        <v/>
      </c>
      <c r="BB171" s="303">
        <f t="shared" si="117"/>
        <v>0</v>
      </c>
      <c r="BC171" s="303" t="str">
        <f t="shared" si="118"/>
        <v/>
      </c>
      <c r="BD171" s="303" t="str">
        <f t="shared" si="119"/>
        <v/>
      </c>
      <c r="BF171" s="304">
        <f t="shared" si="120"/>
        <v>0</v>
      </c>
      <c r="BG171" s="304">
        <f t="shared" si="121"/>
        <v>0</v>
      </c>
      <c r="BH171" s="304" t="str">
        <f>IF( $B171="", "", IF(ISNA(VLOOKUP($C171, Defesa!$C$8:$C$30,1,FALSE)),1,0))</f>
        <v/>
      </c>
      <c r="BI171" s="305" t="str">
        <f t="shared" si="122"/>
        <v/>
      </c>
      <c r="BJ171" s="305" t="str">
        <f t="shared" si="123"/>
        <v/>
      </c>
      <c r="BK171" s="304" t="str">
        <f t="shared" si="124"/>
        <v/>
      </c>
      <c r="BL171" s="304">
        <f t="shared" si="125"/>
        <v>0</v>
      </c>
      <c r="BM171" s="304" t="str">
        <f>IF($AC171="", "", IF(ISNA(VLOOKUP($AC171, TABELAS!$Q:$Q, 1, FALSE)), 1, 0))</f>
        <v/>
      </c>
      <c r="BN171" s="306" t="str">
        <f t="shared" si="126"/>
        <v/>
      </c>
      <c r="BO171" s="304" t="str">
        <f t="shared" si="127"/>
        <v/>
      </c>
      <c r="BP171" s="304" t="str">
        <f t="shared" si="128"/>
        <v/>
      </c>
      <c r="BQ171" s="305" t="str">
        <f t="shared" si="129"/>
        <v/>
      </c>
      <c r="BR171" s="304" t="str">
        <f t="shared" si="130"/>
        <v/>
      </c>
      <c r="BS171" s="304" t="str">
        <f t="shared" si="131"/>
        <v/>
      </c>
      <c r="BT171" s="304" t="str">
        <f>IF(OR($B171="", $AH171 = "SIM"), "", IF( ISNA(VLOOKUP($AP171,#REF!, 1, FALSE)), 1, 0))</f>
        <v/>
      </c>
      <c r="BU171" s="304" t="str">
        <f t="shared" si="132"/>
        <v/>
      </c>
      <c r="BV171" s="304" t="str">
        <f>IF( $B171="", "", IF( ISNA(VLOOKUP($AN171, TABELAS!$T$2:$T$9,1,FALSE)), 1, 0))</f>
        <v/>
      </c>
      <c r="BW171" s="304" t="str">
        <f t="shared" si="133"/>
        <v/>
      </c>
      <c r="BX171" s="304" t="str">
        <f>IF( OR($B171="", $AH171 = "SIM"), "", IF( ISNA( VLOOKUP( $AQ171, SISTEMA!$B:$B, 1, FALSE)), 1, 0))</f>
        <v/>
      </c>
      <c r="BY171" s="305" t="str">
        <f t="shared" si="134"/>
        <v/>
      </c>
      <c r="BZ171" s="305" t="str">
        <f t="shared" si="135"/>
        <v/>
      </c>
      <c r="CA171" s="304" t="str">
        <f t="shared" si="136"/>
        <v/>
      </c>
      <c r="CB171" s="305" t="str">
        <f t="shared" si="137"/>
        <v/>
      </c>
      <c r="CC171" s="305" t="str">
        <f t="shared" si="138"/>
        <v/>
      </c>
      <c r="CD171" s="305" t="str">
        <f t="shared" si="139"/>
        <v/>
      </c>
    </row>
    <row r="172" spans="1:82" x14ac:dyDescent="0.2">
      <c r="A172" s="235"/>
      <c r="B172" s="236" t="str">
        <f t="shared" si="104"/>
        <v/>
      </c>
      <c r="C172" s="237" t="str">
        <f t="shared" si="94"/>
        <v/>
      </c>
      <c r="D172" s="237" t="str">
        <f t="shared" si="105"/>
        <v/>
      </c>
      <c r="E172" s="237" t="str">
        <f>IF($C172="", "", COUNTIF($M$8:$M172,$D172))</f>
        <v/>
      </c>
      <c r="F172" s="238">
        <v>165</v>
      </c>
      <c r="G172" s="239"/>
      <c r="H172" s="240"/>
      <c r="I172" s="240"/>
      <c r="J172" s="241"/>
      <c r="K172" s="240"/>
      <c r="L172" s="240"/>
      <c r="M172" s="240"/>
      <c r="N172" s="242"/>
      <c r="O172" s="243"/>
      <c r="P172" s="243"/>
      <c r="Q172" s="243"/>
      <c r="R172" s="243"/>
      <c r="S172" s="243"/>
      <c r="T172" s="245"/>
      <c r="U172" s="246" t="str">
        <f>IF($T172="", "", VLOOKUP($T172, CONTRATOS!$B:$E, 2, FALSE))</f>
        <v/>
      </c>
      <c r="V172" s="247">
        <f>IF(OR($T172="",TB_DEFESA!$C$2="Criação Baseline"),0,
   IF(VLOOKUP($T172, CONTRATOS!B:E, 3, FALSE)&lt;&gt;"",1,IF(VLOOKUP($T172, CONTRATOS!B:E, 4, FALSE)&lt;&gt;"",2,0)))</f>
        <v>0</v>
      </c>
      <c r="W172" s="248"/>
      <c r="X172" s="248"/>
      <c r="Y172" s="249"/>
      <c r="Z172" s="250"/>
      <c r="AA172" s="251"/>
      <c r="AB172" s="252"/>
      <c r="AC172" s="253"/>
      <c r="AD172" s="251"/>
      <c r="AE172" s="254" t="str">
        <f t="shared" si="95"/>
        <v/>
      </c>
      <c r="AF172" s="256" t="str">
        <f t="shared" si="106"/>
        <v/>
      </c>
      <c r="AG172" s="293" t="s">
        <v>62</v>
      </c>
      <c r="AH172" s="294" t="str">
        <f t="shared" si="107"/>
        <v/>
      </c>
      <c r="AI172" s="294" t="str">
        <f t="shared" si="108"/>
        <v/>
      </c>
      <c r="AJ172" s="295" t="str">
        <f t="shared" si="109"/>
        <v/>
      </c>
      <c r="AK172" s="296" t="str">
        <f t="shared" si="110"/>
        <v/>
      </c>
      <c r="AL172" s="297" t="str">
        <f t="shared" si="111"/>
        <v/>
      </c>
      <c r="AM172" s="294" t="str">
        <f t="shared" si="112"/>
        <v/>
      </c>
      <c r="AN172" s="294" t="str">
        <f t="shared" si="113"/>
        <v/>
      </c>
      <c r="AO172" s="298" t="str">
        <f t="shared" si="114"/>
        <v/>
      </c>
      <c r="AP172" s="299" t="str">
        <f t="shared" si="115"/>
        <v/>
      </c>
      <c r="AQ172" s="299" t="str">
        <f t="shared" si="116"/>
        <v/>
      </c>
      <c r="AR172" s="300" t="str">
        <f t="shared" si="96"/>
        <v/>
      </c>
      <c r="AS172" s="300" t="str">
        <f t="shared" si="97"/>
        <v/>
      </c>
      <c r="AT172" s="294" t="str">
        <f t="shared" si="98"/>
        <v/>
      </c>
      <c r="AU172" s="301" t="str">
        <f>IF(OR($B172="", $AP172= ""),"",IF(VLOOKUP($AP172, CONTRATOS!B:K,3,FALSE)="","",VLOOKUP($AP172, CONTRATOS!B:K, 3,FALSE)))</f>
        <v/>
      </c>
      <c r="AV172" s="301" t="str">
        <f>IF(OR($B172="", $AP172 = ""), "", IF(VLOOKUP($AP172, CONTRATOS!B:K,4,FALSE)="","",VLOOKUP($AP172, CONTRATOS!B:K,4, FALSE)))</f>
        <v/>
      </c>
      <c r="AW172" s="302" t="str">
        <f t="shared" si="99"/>
        <v/>
      </c>
      <c r="AX172" s="301" t="str">
        <f t="shared" si="100"/>
        <v/>
      </c>
      <c r="AY172" s="301" t="str">
        <f t="shared" si="101"/>
        <v/>
      </c>
      <c r="AZ172" s="301" t="str">
        <f t="shared" si="102"/>
        <v/>
      </c>
      <c r="BA172" s="301" t="str">
        <f t="shared" si="103"/>
        <v/>
      </c>
      <c r="BB172" s="303">
        <f t="shared" si="117"/>
        <v>0</v>
      </c>
      <c r="BC172" s="303" t="str">
        <f t="shared" si="118"/>
        <v/>
      </c>
      <c r="BD172" s="303" t="str">
        <f t="shared" si="119"/>
        <v/>
      </c>
      <c r="BF172" s="304">
        <f t="shared" si="120"/>
        <v>0</v>
      </c>
      <c r="BG172" s="304">
        <f t="shared" si="121"/>
        <v>0</v>
      </c>
      <c r="BH172" s="304" t="str">
        <f>IF( $B172="", "", IF(ISNA(VLOOKUP($C172, Defesa!$C$8:$C$30,1,FALSE)),1,0))</f>
        <v/>
      </c>
      <c r="BI172" s="305" t="str">
        <f t="shared" si="122"/>
        <v/>
      </c>
      <c r="BJ172" s="305" t="str">
        <f t="shared" si="123"/>
        <v/>
      </c>
      <c r="BK172" s="304" t="str">
        <f t="shared" si="124"/>
        <v/>
      </c>
      <c r="BL172" s="304">
        <f t="shared" si="125"/>
        <v>0</v>
      </c>
      <c r="BM172" s="304" t="str">
        <f>IF($AC172="", "", IF(ISNA(VLOOKUP($AC172, TABELAS!$Q:$Q, 1, FALSE)), 1, 0))</f>
        <v/>
      </c>
      <c r="BN172" s="306" t="str">
        <f t="shared" si="126"/>
        <v/>
      </c>
      <c r="BO172" s="304" t="str">
        <f t="shared" si="127"/>
        <v/>
      </c>
      <c r="BP172" s="304" t="str">
        <f t="shared" si="128"/>
        <v/>
      </c>
      <c r="BQ172" s="305" t="str">
        <f t="shared" si="129"/>
        <v/>
      </c>
      <c r="BR172" s="304" t="str">
        <f t="shared" si="130"/>
        <v/>
      </c>
      <c r="BS172" s="304" t="str">
        <f t="shared" si="131"/>
        <v/>
      </c>
      <c r="BT172" s="304" t="str">
        <f>IF(OR($B172="", $AH172 = "SIM"), "", IF( ISNA(VLOOKUP($AP172,#REF!, 1, FALSE)), 1, 0))</f>
        <v/>
      </c>
      <c r="BU172" s="304" t="str">
        <f t="shared" si="132"/>
        <v/>
      </c>
      <c r="BV172" s="304" t="str">
        <f>IF( $B172="", "", IF( ISNA(VLOOKUP($AN172, TABELAS!$T$2:$T$9,1,FALSE)), 1, 0))</f>
        <v/>
      </c>
      <c r="BW172" s="304" t="str">
        <f t="shared" si="133"/>
        <v/>
      </c>
      <c r="BX172" s="304" t="str">
        <f>IF( OR($B172="", $AH172 = "SIM"), "", IF( ISNA( VLOOKUP( $AQ172, SISTEMA!$B:$B, 1, FALSE)), 1, 0))</f>
        <v/>
      </c>
      <c r="BY172" s="305" t="str">
        <f t="shared" si="134"/>
        <v/>
      </c>
      <c r="BZ172" s="305" t="str">
        <f t="shared" si="135"/>
        <v/>
      </c>
      <c r="CA172" s="304" t="str">
        <f t="shared" si="136"/>
        <v/>
      </c>
      <c r="CB172" s="305" t="str">
        <f t="shared" si="137"/>
        <v/>
      </c>
      <c r="CC172" s="305" t="str">
        <f t="shared" si="138"/>
        <v/>
      </c>
      <c r="CD172" s="305" t="str">
        <f t="shared" si="139"/>
        <v/>
      </c>
    </row>
    <row r="173" spans="1:82" x14ac:dyDescent="0.2">
      <c r="A173" s="235"/>
      <c r="B173" s="236" t="str">
        <f t="shared" si="104"/>
        <v/>
      </c>
      <c r="C173" s="237" t="str">
        <f t="shared" si="94"/>
        <v/>
      </c>
      <c r="D173" s="237" t="str">
        <f t="shared" si="105"/>
        <v/>
      </c>
      <c r="E173" s="237" t="str">
        <f>IF($C173="", "", COUNTIF($M$8:$M173,$D173))</f>
        <v/>
      </c>
      <c r="F173" s="238">
        <v>166</v>
      </c>
      <c r="G173" s="239"/>
      <c r="H173" s="240"/>
      <c r="I173" s="240"/>
      <c r="J173" s="241"/>
      <c r="K173" s="240"/>
      <c r="L173" s="240"/>
      <c r="M173" s="240"/>
      <c r="N173" s="242"/>
      <c r="O173" s="243"/>
      <c r="P173" s="243"/>
      <c r="Q173" s="243"/>
      <c r="R173" s="243"/>
      <c r="S173" s="243"/>
      <c r="T173" s="245"/>
      <c r="U173" s="246" t="str">
        <f>IF($T173="", "", VLOOKUP($T173, CONTRATOS!$B:$E, 2, FALSE))</f>
        <v/>
      </c>
      <c r="V173" s="247">
        <f>IF(OR($T173="",TB_DEFESA!$C$2="Criação Baseline"),0,
   IF(VLOOKUP($T173, CONTRATOS!B:E, 3, FALSE)&lt;&gt;"",1,IF(VLOOKUP($T173, CONTRATOS!B:E, 4, FALSE)&lt;&gt;"",2,0)))</f>
        <v>0</v>
      </c>
      <c r="W173" s="248"/>
      <c r="X173" s="248"/>
      <c r="Y173" s="249"/>
      <c r="Z173" s="250"/>
      <c r="AA173" s="251"/>
      <c r="AB173" s="252"/>
      <c r="AC173" s="253"/>
      <c r="AD173" s="251"/>
      <c r="AE173" s="254" t="str">
        <f t="shared" si="95"/>
        <v/>
      </c>
      <c r="AF173" s="256" t="str">
        <f t="shared" si="106"/>
        <v/>
      </c>
      <c r="AG173" s="293" t="s">
        <v>62</v>
      </c>
      <c r="AH173" s="294" t="str">
        <f t="shared" si="107"/>
        <v/>
      </c>
      <c r="AI173" s="294" t="str">
        <f t="shared" si="108"/>
        <v/>
      </c>
      <c r="AJ173" s="295" t="str">
        <f t="shared" si="109"/>
        <v/>
      </c>
      <c r="AK173" s="296" t="str">
        <f t="shared" si="110"/>
        <v/>
      </c>
      <c r="AL173" s="297" t="str">
        <f t="shared" si="111"/>
        <v/>
      </c>
      <c r="AM173" s="294" t="str">
        <f t="shared" si="112"/>
        <v/>
      </c>
      <c r="AN173" s="294" t="str">
        <f t="shared" si="113"/>
        <v/>
      </c>
      <c r="AO173" s="298" t="str">
        <f t="shared" si="114"/>
        <v/>
      </c>
      <c r="AP173" s="299" t="str">
        <f t="shared" si="115"/>
        <v/>
      </c>
      <c r="AQ173" s="299" t="str">
        <f t="shared" si="116"/>
        <v/>
      </c>
      <c r="AR173" s="300" t="str">
        <f t="shared" si="96"/>
        <v/>
      </c>
      <c r="AS173" s="300" t="str">
        <f t="shared" si="97"/>
        <v/>
      </c>
      <c r="AT173" s="294" t="str">
        <f t="shared" si="98"/>
        <v/>
      </c>
      <c r="AU173" s="301" t="str">
        <f>IF(OR($B173="", $AP173= ""),"",IF(VLOOKUP($AP173, CONTRATOS!B:K,3,FALSE)="","",VLOOKUP($AP173, CONTRATOS!B:K, 3,FALSE)))</f>
        <v/>
      </c>
      <c r="AV173" s="301" t="str">
        <f>IF(OR($B173="", $AP173 = ""), "", IF(VLOOKUP($AP173, CONTRATOS!B:K,4,FALSE)="","",VLOOKUP($AP173, CONTRATOS!B:K,4, FALSE)))</f>
        <v/>
      </c>
      <c r="AW173" s="302" t="str">
        <f t="shared" si="99"/>
        <v/>
      </c>
      <c r="AX173" s="301" t="str">
        <f t="shared" si="100"/>
        <v/>
      </c>
      <c r="AY173" s="301" t="str">
        <f t="shared" si="101"/>
        <v/>
      </c>
      <c r="AZ173" s="301" t="str">
        <f t="shared" si="102"/>
        <v/>
      </c>
      <c r="BA173" s="301" t="str">
        <f t="shared" si="103"/>
        <v/>
      </c>
      <c r="BB173" s="303">
        <f t="shared" si="117"/>
        <v>0</v>
      </c>
      <c r="BC173" s="303" t="str">
        <f t="shared" si="118"/>
        <v/>
      </c>
      <c r="BD173" s="303" t="str">
        <f t="shared" si="119"/>
        <v/>
      </c>
      <c r="BF173" s="304">
        <f t="shared" si="120"/>
        <v>0</v>
      </c>
      <c r="BG173" s="304">
        <f t="shared" si="121"/>
        <v>0</v>
      </c>
      <c r="BH173" s="304" t="str">
        <f>IF( $B173="", "", IF(ISNA(VLOOKUP($C173, Defesa!$C$8:$C$30,1,FALSE)),1,0))</f>
        <v/>
      </c>
      <c r="BI173" s="305" t="str">
        <f t="shared" si="122"/>
        <v/>
      </c>
      <c r="BJ173" s="305" t="str">
        <f t="shared" si="123"/>
        <v/>
      </c>
      <c r="BK173" s="304" t="str">
        <f t="shared" si="124"/>
        <v/>
      </c>
      <c r="BL173" s="304">
        <f t="shared" si="125"/>
        <v>0</v>
      </c>
      <c r="BM173" s="304" t="str">
        <f>IF($AC173="", "", IF(ISNA(VLOOKUP($AC173, TABELAS!$Q:$Q, 1, FALSE)), 1, 0))</f>
        <v/>
      </c>
      <c r="BN173" s="306" t="str">
        <f t="shared" si="126"/>
        <v/>
      </c>
      <c r="BO173" s="304" t="str">
        <f t="shared" si="127"/>
        <v/>
      </c>
      <c r="BP173" s="304" t="str">
        <f t="shared" si="128"/>
        <v/>
      </c>
      <c r="BQ173" s="305" t="str">
        <f t="shared" si="129"/>
        <v/>
      </c>
      <c r="BR173" s="304" t="str">
        <f t="shared" si="130"/>
        <v/>
      </c>
      <c r="BS173" s="304" t="str">
        <f t="shared" si="131"/>
        <v/>
      </c>
      <c r="BT173" s="304" t="str">
        <f>IF(OR($B173="", $AH173 = "SIM"), "", IF( ISNA(VLOOKUP($AP173,#REF!, 1, FALSE)), 1, 0))</f>
        <v/>
      </c>
      <c r="BU173" s="304" t="str">
        <f t="shared" si="132"/>
        <v/>
      </c>
      <c r="BV173" s="304" t="str">
        <f>IF( $B173="", "", IF( ISNA(VLOOKUP($AN173, TABELAS!$T$2:$T$9,1,FALSE)), 1, 0))</f>
        <v/>
      </c>
      <c r="BW173" s="304" t="str">
        <f t="shared" si="133"/>
        <v/>
      </c>
      <c r="BX173" s="304" t="str">
        <f>IF( OR($B173="", $AH173 = "SIM"), "", IF( ISNA( VLOOKUP( $AQ173, SISTEMA!$B:$B, 1, FALSE)), 1, 0))</f>
        <v/>
      </c>
      <c r="BY173" s="305" t="str">
        <f t="shared" si="134"/>
        <v/>
      </c>
      <c r="BZ173" s="305" t="str">
        <f t="shared" si="135"/>
        <v/>
      </c>
      <c r="CA173" s="304" t="str">
        <f t="shared" si="136"/>
        <v/>
      </c>
      <c r="CB173" s="305" t="str">
        <f t="shared" si="137"/>
        <v/>
      </c>
      <c r="CC173" s="305" t="str">
        <f t="shared" si="138"/>
        <v/>
      </c>
      <c r="CD173" s="305" t="str">
        <f t="shared" si="139"/>
        <v/>
      </c>
    </row>
    <row r="174" spans="1:82" x14ac:dyDescent="0.2">
      <c r="A174" s="235"/>
      <c r="B174" s="236" t="str">
        <f t="shared" si="104"/>
        <v/>
      </c>
      <c r="C174" s="237" t="str">
        <f t="shared" si="94"/>
        <v/>
      </c>
      <c r="D174" s="237" t="str">
        <f t="shared" si="105"/>
        <v/>
      </c>
      <c r="E174" s="237" t="str">
        <f>IF($C174="", "", COUNTIF($M$8:$M174,$D174))</f>
        <v/>
      </c>
      <c r="F174" s="238">
        <v>167</v>
      </c>
      <c r="G174" s="239"/>
      <c r="H174" s="240"/>
      <c r="I174" s="240"/>
      <c r="J174" s="241"/>
      <c r="K174" s="240"/>
      <c r="L174" s="240"/>
      <c r="M174" s="240"/>
      <c r="N174" s="242"/>
      <c r="O174" s="243"/>
      <c r="P174" s="243"/>
      <c r="Q174" s="243"/>
      <c r="R174" s="243"/>
      <c r="S174" s="243"/>
      <c r="T174" s="245"/>
      <c r="U174" s="246" t="str">
        <f>IF($T174="", "", VLOOKUP($T174, CONTRATOS!$B:$E, 2, FALSE))</f>
        <v/>
      </c>
      <c r="V174" s="247">
        <f>IF(OR($T174="",TB_DEFESA!$C$2="Criação Baseline"),0,
   IF(VLOOKUP($T174, CONTRATOS!B:E, 3, FALSE)&lt;&gt;"",1,IF(VLOOKUP($T174, CONTRATOS!B:E, 4, FALSE)&lt;&gt;"",2,0)))</f>
        <v>0</v>
      </c>
      <c r="W174" s="248"/>
      <c r="X174" s="248"/>
      <c r="Y174" s="249"/>
      <c r="Z174" s="250"/>
      <c r="AA174" s="251"/>
      <c r="AB174" s="252"/>
      <c r="AC174" s="253"/>
      <c r="AD174" s="251"/>
      <c r="AE174" s="254" t="str">
        <f t="shared" si="95"/>
        <v/>
      </c>
      <c r="AF174" s="256" t="str">
        <f t="shared" si="106"/>
        <v/>
      </c>
      <c r="AG174" s="293" t="s">
        <v>62</v>
      </c>
      <c r="AH174" s="294" t="str">
        <f t="shared" si="107"/>
        <v/>
      </c>
      <c r="AI174" s="294" t="str">
        <f t="shared" si="108"/>
        <v/>
      </c>
      <c r="AJ174" s="295" t="str">
        <f t="shared" si="109"/>
        <v/>
      </c>
      <c r="AK174" s="296" t="str">
        <f t="shared" si="110"/>
        <v/>
      </c>
      <c r="AL174" s="297" t="str">
        <f t="shared" si="111"/>
        <v/>
      </c>
      <c r="AM174" s="294" t="str">
        <f t="shared" si="112"/>
        <v/>
      </c>
      <c r="AN174" s="294" t="str">
        <f t="shared" si="113"/>
        <v/>
      </c>
      <c r="AO174" s="298" t="str">
        <f t="shared" si="114"/>
        <v/>
      </c>
      <c r="AP174" s="299" t="str">
        <f t="shared" si="115"/>
        <v/>
      </c>
      <c r="AQ174" s="299" t="str">
        <f t="shared" si="116"/>
        <v/>
      </c>
      <c r="AR174" s="300" t="str">
        <f t="shared" si="96"/>
        <v/>
      </c>
      <c r="AS174" s="300" t="str">
        <f t="shared" si="97"/>
        <v/>
      </c>
      <c r="AT174" s="294" t="str">
        <f t="shared" si="98"/>
        <v/>
      </c>
      <c r="AU174" s="301" t="str">
        <f>IF(OR($B174="", $AP174= ""),"",IF(VLOOKUP($AP174, CONTRATOS!B:K,3,FALSE)="","",VLOOKUP($AP174, CONTRATOS!B:K, 3,FALSE)))</f>
        <v/>
      </c>
      <c r="AV174" s="301" t="str">
        <f>IF(OR($B174="", $AP174 = ""), "", IF(VLOOKUP($AP174, CONTRATOS!B:K,4,FALSE)="","",VLOOKUP($AP174, CONTRATOS!B:K,4, FALSE)))</f>
        <v/>
      </c>
      <c r="AW174" s="302" t="str">
        <f t="shared" si="99"/>
        <v/>
      </c>
      <c r="AX174" s="301" t="str">
        <f t="shared" si="100"/>
        <v/>
      </c>
      <c r="AY174" s="301" t="str">
        <f t="shared" si="101"/>
        <v/>
      </c>
      <c r="AZ174" s="301" t="str">
        <f t="shared" si="102"/>
        <v/>
      </c>
      <c r="BA174" s="301" t="str">
        <f t="shared" si="103"/>
        <v/>
      </c>
      <c r="BB174" s="303">
        <f t="shared" si="117"/>
        <v>0</v>
      </c>
      <c r="BC174" s="303" t="str">
        <f t="shared" si="118"/>
        <v/>
      </c>
      <c r="BD174" s="303" t="str">
        <f t="shared" si="119"/>
        <v/>
      </c>
      <c r="BF174" s="304">
        <f t="shared" si="120"/>
        <v>0</v>
      </c>
      <c r="BG174" s="304">
        <f t="shared" si="121"/>
        <v>0</v>
      </c>
      <c r="BH174" s="304" t="str">
        <f>IF( $B174="", "", IF(ISNA(VLOOKUP($C174, Defesa!$C$8:$C$30,1,FALSE)),1,0))</f>
        <v/>
      </c>
      <c r="BI174" s="305" t="str">
        <f t="shared" si="122"/>
        <v/>
      </c>
      <c r="BJ174" s="305" t="str">
        <f t="shared" si="123"/>
        <v/>
      </c>
      <c r="BK174" s="304" t="str">
        <f t="shared" si="124"/>
        <v/>
      </c>
      <c r="BL174" s="304">
        <f t="shared" si="125"/>
        <v>0</v>
      </c>
      <c r="BM174" s="304" t="str">
        <f>IF($AC174="", "", IF(ISNA(VLOOKUP($AC174, TABELAS!$Q:$Q, 1, FALSE)), 1, 0))</f>
        <v/>
      </c>
      <c r="BN174" s="306" t="str">
        <f t="shared" si="126"/>
        <v/>
      </c>
      <c r="BO174" s="304" t="str">
        <f t="shared" si="127"/>
        <v/>
      </c>
      <c r="BP174" s="304" t="str">
        <f t="shared" si="128"/>
        <v/>
      </c>
      <c r="BQ174" s="305" t="str">
        <f t="shared" si="129"/>
        <v/>
      </c>
      <c r="BR174" s="304" t="str">
        <f t="shared" si="130"/>
        <v/>
      </c>
      <c r="BS174" s="304" t="str">
        <f t="shared" si="131"/>
        <v/>
      </c>
      <c r="BT174" s="304" t="str">
        <f>IF(OR($B174="", $AH174 = "SIM"), "", IF( ISNA(VLOOKUP($AP174,#REF!, 1, FALSE)), 1, 0))</f>
        <v/>
      </c>
      <c r="BU174" s="304" t="str">
        <f t="shared" si="132"/>
        <v/>
      </c>
      <c r="BV174" s="304" t="str">
        <f>IF( $B174="", "", IF( ISNA(VLOOKUP($AN174, TABELAS!$T$2:$T$9,1,FALSE)), 1, 0))</f>
        <v/>
      </c>
      <c r="BW174" s="304" t="str">
        <f t="shared" si="133"/>
        <v/>
      </c>
      <c r="BX174" s="304" t="str">
        <f>IF( OR($B174="", $AH174 = "SIM"), "", IF( ISNA( VLOOKUP( $AQ174, SISTEMA!$B:$B, 1, FALSE)), 1, 0))</f>
        <v/>
      </c>
      <c r="BY174" s="305" t="str">
        <f t="shared" si="134"/>
        <v/>
      </c>
      <c r="BZ174" s="305" t="str">
        <f t="shared" si="135"/>
        <v/>
      </c>
      <c r="CA174" s="304" t="str">
        <f t="shared" si="136"/>
        <v/>
      </c>
      <c r="CB174" s="305" t="str">
        <f t="shared" si="137"/>
        <v/>
      </c>
      <c r="CC174" s="305" t="str">
        <f t="shared" si="138"/>
        <v/>
      </c>
      <c r="CD174" s="305" t="str">
        <f t="shared" si="139"/>
        <v/>
      </c>
    </row>
    <row r="175" spans="1:82" x14ac:dyDescent="0.2">
      <c r="A175" s="235"/>
      <c r="B175" s="236" t="str">
        <f t="shared" si="104"/>
        <v/>
      </c>
      <c r="C175" s="237" t="str">
        <f t="shared" si="94"/>
        <v/>
      </c>
      <c r="D175" s="237" t="str">
        <f t="shared" si="105"/>
        <v/>
      </c>
      <c r="E175" s="237" t="str">
        <f>IF($C175="", "", COUNTIF($M$8:$M175,$D175))</f>
        <v/>
      </c>
      <c r="F175" s="238">
        <v>168</v>
      </c>
      <c r="G175" s="239"/>
      <c r="H175" s="240"/>
      <c r="I175" s="240"/>
      <c r="J175" s="241"/>
      <c r="K175" s="240"/>
      <c r="L175" s="240"/>
      <c r="M175" s="240"/>
      <c r="N175" s="242"/>
      <c r="O175" s="243"/>
      <c r="P175" s="243"/>
      <c r="Q175" s="243"/>
      <c r="R175" s="243"/>
      <c r="S175" s="243"/>
      <c r="T175" s="245"/>
      <c r="U175" s="246" t="str">
        <f>IF($T175="", "", VLOOKUP($T175, CONTRATOS!$B:$E, 2, FALSE))</f>
        <v/>
      </c>
      <c r="V175" s="247">
        <f>IF(OR($T175="",TB_DEFESA!$C$2="Criação Baseline"),0,
   IF(VLOOKUP($T175, CONTRATOS!B:E, 3, FALSE)&lt;&gt;"",1,IF(VLOOKUP($T175, CONTRATOS!B:E, 4, FALSE)&lt;&gt;"",2,0)))</f>
        <v>0</v>
      </c>
      <c r="W175" s="248"/>
      <c r="X175" s="248"/>
      <c r="Y175" s="249"/>
      <c r="Z175" s="250"/>
      <c r="AA175" s="251"/>
      <c r="AB175" s="252"/>
      <c r="AC175" s="253"/>
      <c r="AD175" s="251"/>
      <c r="AE175" s="254" t="str">
        <f t="shared" si="95"/>
        <v/>
      </c>
      <c r="AF175" s="256" t="str">
        <f t="shared" si="106"/>
        <v/>
      </c>
      <c r="AG175" s="293" t="s">
        <v>62</v>
      </c>
      <c r="AH175" s="294" t="str">
        <f t="shared" si="107"/>
        <v/>
      </c>
      <c r="AI175" s="294" t="str">
        <f t="shared" si="108"/>
        <v/>
      </c>
      <c r="AJ175" s="295" t="str">
        <f t="shared" si="109"/>
        <v/>
      </c>
      <c r="AK175" s="296" t="str">
        <f t="shared" si="110"/>
        <v/>
      </c>
      <c r="AL175" s="297" t="str">
        <f t="shared" si="111"/>
        <v/>
      </c>
      <c r="AM175" s="294" t="str">
        <f t="shared" si="112"/>
        <v/>
      </c>
      <c r="AN175" s="294" t="str">
        <f t="shared" si="113"/>
        <v/>
      </c>
      <c r="AO175" s="298" t="str">
        <f t="shared" si="114"/>
        <v/>
      </c>
      <c r="AP175" s="299" t="str">
        <f t="shared" si="115"/>
        <v/>
      </c>
      <c r="AQ175" s="299" t="str">
        <f t="shared" si="116"/>
        <v/>
      </c>
      <c r="AR175" s="300" t="str">
        <f t="shared" si="96"/>
        <v/>
      </c>
      <c r="AS175" s="300" t="str">
        <f t="shared" si="97"/>
        <v/>
      </c>
      <c r="AT175" s="294" t="str">
        <f t="shared" si="98"/>
        <v/>
      </c>
      <c r="AU175" s="301" t="str">
        <f>IF(OR($B175="", $AP175= ""),"",IF(VLOOKUP($AP175, CONTRATOS!B:K,3,FALSE)="","",VLOOKUP($AP175, CONTRATOS!B:K, 3,FALSE)))</f>
        <v/>
      </c>
      <c r="AV175" s="301" t="str">
        <f>IF(OR($B175="", $AP175 = ""), "", IF(VLOOKUP($AP175, CONTRATOS!B:K,4,FALSE)="","",VLOOKUP($AP175, CONTRATOS!B:K,4, FALSE)))</f>
        <v/>
      </c>
      <c r="AW175" s="302" t="str">
        <f t="shared" si="99"/>
        <v/>
      </c>
      <c r="AX175" s="301" t="str">
        <f t="shared" si="100"/>
        <v/>
      </c>
      <c r="AY175" s="301" t="str">
        <f t="shared" si="101"/>
        <v/>
      </c>
      <c r="AZ175" s="301" t="str">
        <f t="shared" si="102"/>
        <v/>
      </c>
      <c r="BA175" s="301" t="str">
        <f t="shared" si="103"/>
        <v/>
      </c>
      <c r="BB175" s="303">
        <f t="shared" si="117"/>
        <v>0</v>
      </c>
      <c r="BC175" s="303" t="str">
        <f t="shared" si="118"/>
        <v/>
      </c>
      <c r="BD175" s="303" t="str">
        <f t="shared" si="119"/>
        <v/>
      </c>
      <c r="BF175" s="304">
        <f t="shared" si="120"/>
        <v>0</v>
      </c>
      <c r="BG175" s="304">
        <f t="shared" si="121"/>
        <v>0</v>
      </c>
      <c r="BH175" s="304" t="str">
        <f>IF( $B175="", "", IF(ISNA(VLOOKUP($C175, Defesa!$C$8:$C$30,1,FALSE)),1,0))</f>
        <v/>
      </c>
      <c r="BI175" s="305" t="str">
        <f t="shared" si="122"/>
        <v/>
      </c>
      <c r="BJ175" s="305" t="str">
        <f t="shared" si="123"/>
        <v/>
      </c>
      <c r="BK175" s="304" t="str">
        <f t="shared" si="124"/>
        <v/>
      </c>
      <c r="BL175" s="304">
        <f t="shared" si="125"/>
        <v>0</v>
      </c>
      <c r="BM175" s="304" t="str">
        <f>IF($AC175="", "", IF(ISNA(VLOOKUP($AC175, TABELAS!$Q:$Q, 1, FALSE)), 1, 0))</f>
        <v/>
      </c>
      <c r="BN175" s="306" t="str">
        <f t="shared" si="126"/>
        <v/>
      </c>
      <c r="BO175" s="304" t="str">
        <f t="shared" si="127"/>
        <v/>
      </c>
      <c r="BP175" s="304" t="str">
        <f t="shared" si="128"/>
        <v/>
      </c>
      <c r="BQ175" s="305" t="str">
        <f t="shared" si="129"/>
        <v/>
      </c>
      <c r="BR175" s="304" t="str">
        <f t="shared" si="130"/>
        <v/>
      </c>
      <c r="BS175" s="304" t="str">
        <f t="shared" si="131"/>
        <v/>
      </c>
      <c r="BT175" s="304" t="str">
        <f>IF(OR($B175="", $AH175 = "SIM"), "", IF( ISNA(VLOOKUP($AP175,#REF!, 1, FALSE)), 1, 0))</f>
        <v/>
      </c>
      <c r="BU175" s="304" t="str">
        <f t="shared" si="132"/>
        <v/>
      </c>
      <c r="BV175" s="304" t="str">
        <f>IF( $B175="", "", IF( ISNA(VLOOKUP($AN175, TABELAS!$T$2:$T$9,1,FALSE)), 1, 0))</f>
        <v/>
      </c>
      <c r="BW175" s="304" t="str">
        <f t="shared" si="133"/>
        <v/>
      </c>
      <c r="BX175" s="304" t="str">
        <f>IF( OR($B175="", $AH175 = "SIM"), "", IF( ISNA( VLOOKUP( $AQ175, SISTEMA!$B:$B, 1, FALSE)), 1, 0))</f>
        <v/>
      </c>
      <c r="BY175" s="305" t="str">
        <f t="shared" si="134"/>
        <v/>
      </c>
      <c r="BZ175" s="305" t="str">
        <f t="shared" si="135"/>
        <v/>
      </c>
      <c r="CA175" s="304" t="str">
        <f t="shared" si="136"/>
        <v/>
      </c>
      <c r="CB175" s="305" t="str">
        <f t="shared" si="137"/>
        <v/>
      </c>
      <c r="CC175" s="305" t="str">
        <f t="shared" si="138"/>
        <v/>
      </c>
      <c r="CD175" s="305" t="str">
        <f t="shared" si="139"/>
        <v/>
      </c>
    </row>
    <row r="176" spans="1:82" x14ac:dyDescent="0.2">
      <c r="A176" s="235"/>
      <c r="B176" s="236" t="str">
        <f t="shared" si="104"/>
        <v/>
      </c>
      <c r="C176" s="237" t="str">
        <f t="shared" si="94"/>
        <v/>
      </c>
      <c r="D176" s="237" t="str">
        <f t="shared" si="105"/>
        <v/>
      </c>
      <c r="E176" s="237" t="str">
        <f>IF($C176="", "", COUNTIF($M$8:$M176,$D176))</f>
        <v/>
      </c>
      <c r="F176" s="238">
        <v>169</v>
      </c>
      <c r="G176" s="239"/>
      <c r="H176" s="240"/>
      <c r="I176" s="240"/>
      <c r="J176" s="241"/>
      <c r="K176" s="240"/>
      <c r="L176" s="240"/>
      <c r="M176" s="240"/>
      <c r="N176" s="242"/>
      <c r="O176" s="243"/>
      <c r="P176" s="243"/>
      <c r="Q176" s="243"/>
      <c r="R176" s="243"/>
      <c r="S176" s="243"/>
      <c r="T176" s="245"/>
      <c r="U176" s="246" t="str">
        <f>IF($T176="", "", VLOOKUP($T176, CONTRATOS!$B:$E, 2, FALSE))</f>
        <v/>
      </c>
      <c r="V176" s="247">
        <f>IF(OR($T176="",TB_DEFESA!$C$2="Criação Baseline"),0,
   IF(VLOOKUP($T176, CONTRATOS!B:E, 3, FALSE)&lt;&gt;"",1,IF(VLOOKUP($T176, CONTRATOS!B:E, 4, FALSE)&lt;&gt;"",2,0)))</f>
        <v>0</v>
      </c>
      <c r="W176" s="248"/>
      <c r="X176" s="248"/>
      <c r="Y176" s="249"/>
      <c r="Z176" s="250"/>
      <c r="AA176" s="251"/>
      <c r="AB176" s="252"/>
      <c r="AC176" s="253"/>
      <c r="AD176" s="251"/>
      <c r="AE176" s="254" t="str">
        <f t="shared" si="95"/>
        <v/>
      </c>
      <c r="AF176" s="256" t="str">
        <f t="shared" si="106"/>
        <v/>
      </c>
      <c r="AG176" s="293" t="s">
        <v>62</v>
      </c>
      <c r="AH176" s="294" t="str">
        <f t="shared" si="107"/>
        <v/>
      </c>
      <c r="AI176" s="294" t="str">
        <f t="shared" si="108"/>
        <v/>
      </c>
      <c r="AJ176" s="295" t="str">
        <f t="shared" si="109"/>
        <v/>
      </c>
      <c r="AK176" s="296" t="str">
        <f t="shared" si="110"/>
        <v/>
      </c>
      <c r="AL176" s="297" t="str">
        <f t="shared" si="111"/>
        <v/>
      </c>
      <c r="AM176" s="294" t="str">
        <f t="shared" si="112"/>
        <v/>
      </c>
      <c r="AN176" s="294" t="str">
        <f t="shared" si="113"/>
        <v/>
      </c>
      <c r="AO176" s="298" t="str">
        <f t="shared" si="114"/>
        <v/>
      </c>
      <c r="AP176" s="299" t="str">
        <f t="shared" si="115"/>
        <v/>
      </c>
      <c r="AQ176" s="299" t="str">
        <f t="shared" si="116"/>
        <v/>
      </c>
      <c r="AR176" s="300" t="str">
        <f t="shared" si="96"/>
        <v/>
      </c>
      <c r="AS176" s="300" t="str">
        <f t="shared" si="97"/>
        <v/>
      </c>
      <c r="AT176" s="294" t="str">
        <f t="shared" si="98"/>
        <v/>
      </c>
      <c r="AU176" s="301" t="str">
        <f>IF(OR($B176="", $AP176= ""),"",IF(VLOOKUP($AP176, CONTRATOS!B:K,3,FALSE)="","",VLOOKUP($AP176, CONTRATOS!B:K, 3,FALSE)))</f>
        <v/>
      </c>
      <c r="AV176" s="301" t="str">
        <f>IF(OR($B176="", $AP176 = ""), "", IF(VLOOKUP($AP176, CONTRATOS!B:K,4,FALSE)="","",VLOOKUP($AP176, CONTRATOS!B:K,4, FALSE)))</f>
        <v/>
      </c>
      <c r="AW176" s="302" t="str">
        <f t="shared" si="99"/>
        <v/>
      </c>
      <c r="AX176" s="301" t="str">
        <f t="shared" si="100"/>
        <v/>
      </c>
      <c r="AY176" s="301" t="str">
        <f t="shared" si="101"/>
        <v/>
      </c>
      <c r="AZ176" s="301" t="str">
        <f t="shared" si="102"/>
        <v/>
      </c>
      <c r="BA176" s="301" t="str">
        <f t="shared" si="103"/>
        <v/>
      </c>
      <c r="BB176" s="303">
        <f t="shared" si="117"/>
        <v>0</v>
      </c>
      <c r="BC176" s="303" t="str">
        <f t="shared" si="118"/>
        <v/>
      </c>
      <c r="BD176" s="303" t="str">
        <f t="shared" si="119"/>
        <v/>
      </c>
      <c r="BF176" s="304">
        <f t="shared" si="120"/>
        <v>0</v>
      </c>
      <c r="BG176" s="304">
        <f t="shared" si="121"/>
        <v>0</v>
      </c>
      <c r="BH176" s="304" t="str">
        <f>IF( $B176="", "", IF(ISNA(VLOOKUP($C176, Defesa!$C$8:$C$30,1,FALSE)),1,0))</f>
        <v/>
      </c>
      <c r="BI176" s="305" t="str">
        <f t="shared" si="122"/>
        <v/>
      </c>
      <c r="BJ176" s="305" t="str">
        <f t="shared" si="123"/>
        <v/>
      </c>
      <c r="BK176" s="304" t="str">
        <f t="shared" si="124"/>
        <v/>
      </c>
      <c r="BL176" s="304">
        <f t="shared" si="125"/>
        <v>0</v>
      </c>
      <c r="BM176" s="304" t="str">
        <f>IF($AC176="", "", IF(ISNA(VLOOKUP($AC176, TABELAS!$Q:$Q, 1, FALSE)), 1, 0))</f>
        <v/>
      </c>
      <c r="BN176" s="306" t="str">
        <f t="shared" si="126"/>
        <v/>
      </c>
      <c r="BO176" s="304" t="str">
        <f t="shared" si="127"/>
        <v/>
      </c>
      <c r="BP176" s="304" t="str">
        <f t="shared" si="128"/>
        <v/>
      </c>
      <c r="BQ176" s="305" t="str">
        <f t="shared" si="129"/>
        <v/>
      </c>
      <c r="BR176" s="304" t="str">
        <f t="shared" si="130"/>
        <v/>
      </c>
      <c r="BS176" s="304" t="str">
        <f t="shared" si="131"/>
        <v/>
      </c>
      <c r="BT176" s="304" t="str">
        <f>IF(OR($B176="", $AH176 = "SIM"), "", IF( ISNA(VLOOKUP($AP176,#REF!, 1, FALSE)), 1, 0))</f>
        <v/>
      </c>
      <c r="BU176" s="304" t="str">
        <f t="shared" si="132"/>
        <v/>
      </c>
      <c r="BV176" s="304" t="str">
        <f>IF( $B176="", "", IF( ISNA(VLOOKUP($AN176, TABELAS!$T$2:$T$9,1,FALSE)), 1, 0))</f>
        <v/>
      </c>
      <c r="BW176" s="304" t="str">
        <f t="shared" si="133"/>
        <v/>
      </c>
      <c r="BX176" s="304" t="str">
        <f>IF( OR($B176="", $AH176 = "SIM"), "", IF( ISNA( VLOOKUP( $AQ176, SISTEMA!$B:$B, 1, FALSE)), 1, 0))</f>
        <v/>
      </c>
      <c r="BY176" s="305" t="str">
        <f t="shared" si="134"/>
        <v/>
      </c>
      <c r="BZ176" s="305" t="str">
        <f t="shared" si="135"/>
        <v/>
      </c>
      <c r="CA176" s="304" t="str">
        <f t="shared" si="136"/>
        <v/>
      </c>
      <c r="CB176" s="305" t="str">
        <f t="shared" si="137"/>
        <v/>
      </c>
      <c r="CC176" s="305" t="str">
        <f t="shared" si="138"/>
        <v/>
      </c>
      <c r="CD176" s="305" t="str">
        <f t="shared" si="139"/>
        <v/>
      </c>
    </row>
    <row r="177" spans="1:82" x14ac:dyDescent="0.2">
      <c r="A177" s="235"/>
      <c r="B177" s="236" t="str">
        <f t="shared" si="104"/>
        <v/>
      </c>
      <c r="C177" s="237" t="str">
        <f t="shared" si="94"/>
        <v/>
      </c>
      <c r="D177" s="237" t="str">
        <f t="shared" si="105"/>
        <v/>
      </c>
      <c r="E177" s="237" t="str">
        <f>IF($C177="", "", COUNTIF($M$8:$M177,$D177))</f>
        <v/>
      </c>
      <c r="F177" s="238">
        <v>170</v>
      </c>
      <c r="G177" s="239"/>
      <c r="H177" s="240"/>
      <c r="I177" s="240"/>
      <c r="J177" s="241"/>
      <c r="K177" s="240"/>
      <c r="L177" s="240"/>
      <c r="M177" s="240"/>
      <c r="N177" s="242"/>
      <c r="O177" s="243"/>
      <c r="P177" s="243"/>
      <c r="Q177" s="243"/>
      <c r="R177" s="243"/>
      <c r="S177" s="243"/>
      <c r="T177" s="245"/>
      <c r="U177" s="246" t="str">
        <f>IF($T177="", "", VLOOKUP($T177, CONTRATOS!$B:$E, 2, FALSE))</f>
        <v/>
      </c>
      <c r="V177" s="247">
        <f>IF(OR($T177="",TB_DEFESA!$C$2="Criação Baseline"),0,
   IF(VLOOKUP($T177, CONTRATOS!B:E, 3, FALSE)&lt;&gt;"",1,IF(VLOOKUP($T177, CONTRATOS!B:E, 4, FALSE)&lt;&gt;"",2,0)))</f>
        <v>0</v>
      </c>
      <c r="W177" s="248"/>
      <c r="X177" s="248"/>
      <c r="Y177" s="249"/>
      <c r="Z177" s="250"/>
      <c r="AA177" s="251"/>
      <c r="AB177" s="252"/>
      <c r="AC177" s="253"/>
      <c r="AD177" s="251"/>
      <c r="AE177" s="254" t="str">
        <f t="shared" si="95"/>
        <v/>
      </c>
      <c r="AF177" s="256" t="str">
        <f t="shared" si="106"/>
        <v/>
      </c>
      <c r="AG177" s="293" t="s">
        <v>62</v>
      </c>
      <c r="AH177" s="294" t="str">
        <f t="shared" si="107"/>
        <v/>
      </c>
      <c r="AI177" s="294" t="str">
        <f t="shared" si="108"/>
        <v/>
      </c>
      <c r="AJ177" s="295" t="str">
        <f t="shared" si="109"/>
        <v/>
      </c>
      <c r="AK177" s="296" t="str">
        <f t="shared" si="110"/>
        <v/>
      </c>
      <c r="AL177" s="297" t="str">
        <f t="shared" si="111"/>
        <v/>
      </c>
      <c r="AM177" s="294" t="str">
        <f t="shared" si="112"/>
        <v/>
      </c>
      <c r="AN177" s="294" t="str">
        <f t="shared" si="113"/>
        <v/>
      </c>
      <c r="AO177" s="298" t="str">
        <f t="shared" si="114"/>
        <v/>
      </c>
      <c r="AP177" s="299" t="str">
        <f t="shared" si="115"/>
        <v/>
      </c>
      <c r="AQ177" s="299" t="str">
        <f t="shared" si="116"/>
        <v/>
      </c>
      <c r="AR177" s="300" t="str">
        <f t="shared" si="96"/>
        <v/>
      </c>
      <c r="AS177" s="300" t="str">
        <f t="shared" si="97"/>
        <v/>
      </c>
      <c r="AT177" s="294" t="str">
        <f t="shared" si="98"/>
        <v/>
      </c>
      <c r="AU177" s="301" t="str">
        <f>IF(OR($B177="", $AP177= ""),"",IF(VLOOKUP($AP177, CONTRATOS!B:K,3,FALSE)="","",VLOOKUP($AP177, CONTRATOS!B:K, 3,FALSE)))</f>
        <v/>
      </c>
      <c r="AV177" s="301" t="str">
        <f>IF(OR($B177="", $AP177 = ""), "", IF(VLOOKUP($AP177, CONTRATOS!B:K,4,FALSE)="","",VLOOKUP($AP177, CONTRATOS!B:K,4, FALSE)))</f>
        <v/>
      </c>
      <c r="AW177" s="302" t="str">
        <f t="shared" si="99"/>
        <v/>
      </c>
      <c r="AX177" s="301" t="str">
        <f t="shared" si="100"/>
        <v/>
      </c>
      <c r="AY177" s="301" t="str">
        <f t="shared" si="101"/>
        <v/>
      </c>
      <c r="AZ177" s="301" t="str">
        <f t="shared" si="102"/>
        <v/>
      </c>
      <c r="BA177" s="301" t="str">
        <f t="shared" si="103"/>
        <v/>
      </c>
      <c r="BB177" s="303">
        <f t="shared" si="117"/>
        <v>0</v>
      </c>
      <c r="BC177" s="303" t="str">
        <f t="shared" si="118"/>
        <v/>
      </c>
      <c r="BD177" s="303" t="str">
        <f t="shared" si="119"/>
        <v/>
      </c>
      <c r="BF177" s="304">
        <f t="shared" si="120"/>
        <v>0</v>
      </c>
      <c r="BG177" s="304">
        <f t="shared" si="121"/>
        <v>0</v>
      </c>
      <c r="BH177" s="304" t="str">
        <f>IF( $B177="", "", IF(ISNA(VLOOKUP($C177, Defesa!$C$8:$C$30,1,FALSE)),1,0))</f>
        <v/>
      </c>
      <c r="BI177" s="305" t="str">
        <f t="shared" si="122"/>
        <v/>
      </c>
      <c r="BJ177" s="305" t="str">
        <f t="shared" si="123"/>
        <v/>
      </c>
      <c r="BK177" s="304" t="str">
        <f t="shared" si="124"/>
        <v/>
      </c>
      <c r="BL177" s="304">
        <f t="shared" si="125"/>
        <v>0</v>
      </c>
      <c r="BM177" s="304" t="str">
        <f>IF($AC177="", "", IF(ISNA(VLOOKUP($AC177, TABELAS!$Q:$Q, 1, FALSE)), 1, 0))</f>
        <v/>
      </c>
      <c r="BN177" s="306" t="str">
        <f t="shared" si="126"/>
        <v/>
      </c>
      <c r="BO177" s="304" t="str">
        <f t="shared" si="127"/>
        <v/>
      </c>
      <c r="BP177" s="304" t="str">
        <f t="shared" si="128"/>
        <v/>
      </c>
      <c r="BQ177" s="305" t="str">
        <f t="shared" si="129"/>
        <v/>
      </c>
      <c r="BR177" s="304" t="str">
        <f t="shared" si="130"/>
        <v/>
      </c>
      <c r="BS177" s="304" t="str">
        <f t="shared" si="131"/>
        <v/>
      </c>
      <c r="BT177" s="304" t="str">
        <f>IF(OR($B177="", $AH177 = "SIM"), "", IF( ISNA(VLOOKUP($AP177,#REF!, 1, FALSE)), 1, 0))</f>
        <v/>
      </c>
      <c r="BU177" s="304" t="str">
        <f t="shared" si="132"/>
        <v/>
      </c>
      <c r="BV177" s="304" t="str">
        <f>IF( $B177="", "", IF( ISNA(VLOOKUP($AN177, TABELAS!$T$2:$T$9,1,FALSE)), 1, 0))</f>
        <v/>
      </c>
      <c r="BW177" s="304" t="str">
        <f t="shared" si="133"/>
        <v/>
      </c>
      <c r="BX177" s="304" t="str">
        <f>IF( OR($B177="", $AH177 = "SIM"), "", IF( ISNA( VLOOKUP( $AQ177, SISTEMA!$B:$B, 1, FALSE)), 1, 0))</f>
        <v/>
      </c>
      <c r="BY177" s="305" t="str">
        <f t="shared" si="134"/>
        <v/>
      </c>
      <c r="BZ177" s="305" t="str">
        <f t="shared" si="135"/>
        <v/>
      </c>
      <c r="CA177" s="304" t="str">
        <f t="shared" si="136"/>
        <v/>
      </c>
      <c r="CB177" s="305" t="str">
        <f t="shared" si="137"/>
        <v/>
      </c>
      <c r="CC177" s="305" t="str">
        <f t="shared" si="138"/>
        <v/>
      </c>
      <c r="CD177" s="305" t="str">
        <f t="shared" si="139"/>
        <v/>
      </c>
    </row>
    <row r="178" spans="1:82" x14ac:dyDescent="0.2">
      <c r="A178" s="235"/>
      <c r="B178" s="236" t="str">
        <f t="shared" si="104"/>
        <v/>
      </c>
      <c r="C178" s="237" t="str">
        <f t="shared" si="94"/>
        <v/>
      </c>
      <c r="D178" s="237" t="str">
        <f t="shared" si="105"/>
        <v/>
      </c>
      <c r="E178" s="237" t="str">
        <f>IF($C178="", "", COUNTIF($M$8:$M178,$D178))</f>
        <v/>
      </c>
      <c r="F178" s="238">
        <v>171</v>
      </c>
      <c r="G178" s="239"/>
      <c r="H178" s="240"/>
      <c r="I178" s="240"/>
      <c r="J178" s="241"/>
      <c r="K178" s="240"/>
      <c r="L178" s="240"/>
      <c r="M178" s="240"/>
      <c r="N178" s="242"/>
      <c r="O178" s="243"/>
      <c r="P178" s="243"/>
      <c r="Q178" s="243"/>
      <c r="R178" s="243"/>
      <c r="S178" s="243"/>
      <c r="T178" s="245"/>
      <c r="U178" s="246" t="str">
        <f>IF($T178="", "", VLOOKUP($T178, CONTRATOS!$B:$E, 2, FALSE))</f>
        <v/>
      </c>
      <c r="V178" s="247">
        <f>IF(OR($T178="",TB_DEFESA!$C$2="Criação Baseline"),0,
   IF(VLOOKUP($T178, CONTRATOS!B:E, 3, FALSE)&lt;&gt;"",1,IF(VLOOKUP($T178, CONTRATOS!B:E, 4, FALSE)&lt;&gt;"",2,0)))</f>
        <v>0</v>
      </c>
      <c r="W178" s="248"/>
      <c r="X178" s="248"/>
      <c r="Y178" s="249"/>
      <c r="Z178" s="250"/>
      <c r="AA178" s="251"/>
      <c r="AB178" s="252"/>
      <c r="AC178" s="253"/>
      <c r="AD178" s="251"/>
      <c r="AE178" s="254" t="str">
        <f t="shared" si="95"/>
        <v/>
      </c>
      <c r="AF178" s="256" t="str">
        <f t="shared" si="106"/>
        <v/>
      </c>
      <c r="AG178" s="293" t="s">
        <v>62</v>
      </c>
      <c r="AH178" s="294" t="str">
        <f t="shared" si="107"/>
        <v/>
      </c>
      <c r="AI178" s="294" t="str">
        <f t="shared" si="108"/>
        <v/>
      </c>
      <c r="AJ178" s="295" t="str">
        <f t="shared" si="109"/>
        <v/>
      </c>
      <c r="AK178" s="296" t="str">
        <f t="shared" si="110"/>
        <v/>
      </c>
      <c r="AL178" s="297" t="str">
        <f t="shared" si="111"/>
        <v/>
      </c>
      <c r="AM178" s="294" t="str">
        <f t="shared" si="112"/>
        <v/>
      </c>
      <c r="AN178" s="294" t="str">
        <f t="shared" si="113"/>
        <v/>
      </c>
      <c r="AO178" s="298" t="str">
        <f t="shared" si="114"/>
        <v/>
      </c>
      <c r="AP178" s="299" t="str">
        <f t="shared" si="115"/>
        <v/>
      </c>
      <c r="AQ178" s="299" t="str">
        <f t="shared" si="116"/>
        <v/>
      </c>
      <c r="AR178" s="300" t="str">
        <f t="shared" si="96"/>
        <v/>
      </c>
      <c r="AS178" s="300" t="str">
        <f t="shared" si="97"/>
        <v/>
      </c>
      <c r="AT178" s="294" t="str">
        <f t="shared" si="98"/>
        <v/>
      </c>
      <c r="AU178" s="301" t="str">
        <f>IF(OR($B178="", $AP178= ""),"",IF(VLOOKUP($AP178, CONTRATOS!B:K,3,FALSE)="","",VLOOKUP($AP178, CONTRATOS!B:K, 3,FALSE)))</f>
        <v/>
      </c>
      <c r="AV178" s="301" t="str">
        <f>IF(OR($B178="", $AP178 = ""), "", IF(VLOOKUP($AP178, CONTRATOS!B:K,4,FALSE)="","",VLOOKUP($AP178, CONTRATOS!B:K,4, FALSE)))</f>
        <v/>
      </c>
      <c r="AW178" s="302" t="str">
        <f t="shared" si="99"/>
        <v/>
      </c>
      <c r="AX178" s="301" t="str">
        <f t="shared" si="100"/>
        <v/>
      </c>
      <c r="AY178" s="301" t="str">
        <f t="shared" si="101"/>
        <v/>
      </c>
      <c r="AZ178" s="301" t="str">
        <f t="shared" si="102"/>
        <v/>
      </c>
      <c r="BA178" s="301" t="str">
        <f t="shared" si="103"/>
        <v/>
      </c>
      <c r="BB178" s="303">
        <f t="shared" si="117"/>
        <v>0</v>
      </c>
      <c r="BC178" s="303" t="str">
        <f t="shared" si="118"/>
        <v/>
      </c>
      <c r="BD178" s="303" t="str">
        <f t="shared" si="119"/>
        <v/>
      </c>
      <c r="BF178" s="304">
        <f t="shared" si="120"/>
        <v>0</v>
      </c>
      <c r="BG178" s="304">
        <f t="shared" si="121"/>
        <v>0</v>
      </c>
      <c r="BH178" s="304" t="str">
        <f>IF( $B178="", "", IF(ISNA(VLOOKUP($C178, Defesa!$C$8:$C$30,1,FALSE)),1,0))</f>
        <v/>
      </c>
      <c r="BI178" s="305" t="str">
        <f t="shared" si="122"/>
        <v/>
      </c>
      <c r="BJ178" s="305" t="str">
        <f t="shared" si="123"/>
        <v/>
      </c>
      <c r="BK178" s="304" t="str">
        <f t="shared" si="124"/>
        <v/>
      </c>
      <c r="BL178" s="304">
        <f t="shared" si="125"/>
        <v>0</v>
      </c>
      <c r="BM178" s="304" t="str">
        <f>IF($AC178="", "", IF(ISNA(VLOOKUP($AC178, TABELAS!$Q:$Q, 1, FALSE)), 1, 0))</f>
        <v/>
      </c>
      <c r="BN178" s="306" t="str">
        <f t="shared" si="126"/>
        <v/>
      </c>
      <c r="BO178" s="304" t="str">
        <f t="shared" si="127"/>
        <v/>
      </c>
      <c r="BP178" s="304" t="str">
        <f t="shared" si="128"/>
        <v/>
      </c>
      <c r="BQ178" s="305" t="str">
        <f t="shared" si="129"/>
        <v/>
      </c>
      <c r="BR178" s="304" t="str">
        <f t="shared" si="130"/>
        <v/>
      </c>
      <c r="BS178" s="304" t="str">
        <f t="shared" si="131"/>
        <v/>
      </c>
      <c r="BT178" s="304" t="str">
        <f>IF(OR($B178="", $AH178 = "SIM"), "", IF( ISNA(VLOOKUP($AP178,#REF!, 1, FALSE)), 1, 0))</f>
        <v/>
      </c>
      <c r="BU178" s="304" t="str">
        <f t="shared" si="132"/>
        <v/>
      </c>
      <c r="BV178" s="304" t="str">
        <f>IF( $B178="", "", IF( ISNA(VLOOKUP($AN178, TABELAS!$T$2:$T$9,1,FALSE)), 1, 0))</f>
        <v/>
      </c>
      <c r="BW178" s="304" t="str">
        <f t="shared" si="133"/>
        <v/>
      </c>
      <c r="BX178" s="304" t="str">
        <f>IF( OR($B178="", $AH178 = "SIM"), "", IF( ISNA( VLOOKUP( $AQ178, SISTEMA!$B:$B, 1, FALSE)), 1, 0))</f>
        <v/>
      </c>
      <c r="BY178" s="305" t="str">
        <f t="shared" si="134"/>
        <v/>
      </c>
      <c r="BZ178" s="305" t="str">
        <f t="shared" si="135"/>
        <v/>
      </c>
      <c r="CA178" s="304" t="str">
        <f t="shared" si="136"/>
        <v/>
      </c>
      <c r="CB178" s="305" t="str">
        <f t="shared" si="137"/>
        <v/>
      </c>
      <c r="CC178" s="305" t="str">
        <f t="shared" si="138"/>
        <v/>
      </c>
      <c r="CD178" s="305" t="str">
        <f t="shared" si="139"/>
        <v/>
      </c>
    </row>
    <row r="179" spans="1:82" x14ac:dyDescent="0.2">
      <c r="A179" s="235"/>
      <c r="B179" s="236" t="str">
        <f t="shared" si="104"/>
        <v/>
      </c>
      <c r="C179" s="237" t="str">
        <f t="shared" si="94"/>
        <v/>
      </c>
      <c r="D179" s="237" t="str">
        <f t="shared" si="105"/>
        <v/>
      </c>
      <c r="E179" s="237" t="str">
        <f>IF($C179="", "", COUNTIF($M$8:$M179,$D179))</f>
        <v/>
      </c>
      <c r="F179" s="238">
        <v>172</v>
      </c>
      <c r="G179" s="239"/>
      <c r="H179" s="240"/>
      <c r="I179" s="240"/>
      <c r="J179" s="241"/>
      <c r="K179" s="240"/>
      <c r="L179" s="240"/>
      <c r="M179" s="240"/>
      <c r="N179" s="242"/>
      <c r="O179" s="243"/>
      <c r="P179" s="243"/>
      <c r="Q179" s="243"/>
      <c r="R179" s="243"/>
      <c r="S179" s="243"/>
      <c r="T179" s="245"/>
      <c r="U179" s="246" t="str">
        <f>IF($T179="", "", VLOOKUP($T179, CONTRATOS!$B:$E, 2, FALSE))</f>
        <v/>
      </c>
      <c r="V179" s="247">
        <f>IF(OR($T179="",TB_DEFESA!$C$2="Criação Baseline"),0,
   IF(VLOOKUP($T179, CONTRATOS!B:E, 3, FALSE)&lt;&gt;"",1,IF(VLOOKUP($T179, CONTRATOS!B:E, 4, FALSE)&lt;&gt;"",2,0)))</f>
        <v>0</v>
      </c>
      <c r="W179" s="248"/>
      <c r="X179" s="248"/>
      <c r="Y179" s="249"/>
      <c r="Z179" s="250"/>
      <c r="AA179" s="251"/>
      <c r="AB179" s="252"/>
      <c r="AC179" s="253"/>
      <c r="AD179" s="251"/>
      <c r="AE179" s="254" t="str">
        <f t="shared" si="95"/>
        <v/>
      </c>
      <c r="AF179" s="256" t="str">
        <f t="shared" si="106"/>
        <v/>
      </c>
      <c r="AG179" s="293" t="s">
        <v>62</v>
      </c>
      <c r="AH179" s="294" t="str">
        <f t="shared" si="107"/>
        <v/>
      </c>
      <c r="AI179" s="294" t="str">
        <f t="shared" si="108"/>
        <v/>
      </c>
      <c r="AJ179" s="295" t="str">
        <f t="shared" si="109"/>
        <v/>
      </c>
      <c r="AK179" s="296" t="str">
        <f t="shared" si="110"/>
        <v/>
      </c>
      <c r="AL179" s="297" t="str">
        <f t="shared" si="111"/>
        <v/>
      </c>
      <c r="AM179" s="294" t="str">
        <f t="shared" si="112"/>
        <v/>
      </c>
      <c r="AN179" s="294" t="str">
        <f t="shared" si="113"/>
        <v/>
      </c>
      <c r="AO179" s="298" t="str">
        <f t="shared" si="114"/>
        <v/>
      </c>
      <c r="AP179" s="299" t="str">
        <f t="shared" si="115"/>
        <v/>
      </c>
      <c r="AQ179" s="299" t="str">
        <f t="shared" si="116"/>
        <v/>
      </c>
      <c r="AR179" s="300" t="str">
        <f t="shared" si="96"/>
        <v/>
      </c>
      <c r="AS179" s="300" t="str">
        <f t="shared" si="97"/>
        <v/>
      </c>
      <c r="AT179" s="294" t="str">
        <f t="shared" si="98"/>
        <v/>
      </c>
      <c r="AU179" s="301" t="str">
        <f>IF(OR($B179="", $AP179= ""),"",IF(VLOOKUP($AP179, CONTRATOS!B:K,3,FALSE)="","",VLOOKUP($AP179, CONTRATOS!B:K, 3,FALSE)))</f>
        <v/>
      </c>
      <c r="AV179" s="301" t="str">
        <f>IF(OR($B179="", $AP179 = ""), "", IF(VLOOKUP($AP179, CONTRATOS!B:K,4,FALSE)="","",VLOOKUP($AP179, CONTRATOS!B:K,4, FALSE)))</f>
        <v/>
      </c>
      <c r="AW179" s="302" t="str">
        <f t="shared" si="99"/>
        <v/>
      </c>
      <c r="AX179" s="301" t="str">
        <f t="shared" si="100"/>
        <v/>
      </c>
      <c r="AY179" s="301" t="str">
        <f t="shared" si="101"/>
        <v/>
      </c>
      <c r="AZ179" s="301" t="str">
        <f t="shared" si="102"/>
        <v/>
      </c>
      <c r="BA179" s="301" t="str">
        <f t="shared" si="103"/>
        <v/>
      </c>
      <c r="BB179" s="303">
        <f t="shared" si="117"/>
        <v>0</v>
      </c>
      <c r="BC179" s="303" t="str">
        <f t="shared" si="118"/>
        <v/>
      </c>
      <c r="BD179" s="303" t="str">
        <f t="shared" si="119"/>
        <v/>
      </c>
      <c r="BF179" s="304">
        <f t="shared" si="120"/>
        <v>0</v>
      </c>
      <c r="BG179" s="304">
        <f t="shared" si="121"/>
        <v>0</v>
      </c>
      <c r="BH179" s="304" t="str">
        <f>IF( $B179="", "", IF(ISNA(VLOOKUP($C179, Defesa!$C$8:$C$30,1,FALSE)),1,0))</f>
        <v/>
      </c>
      <c r="BI179" s="305" t="str">
        <f t="shared" si="122"/>
        <v/>
      </c>
      <c r="BJ179" s="305" t="str">
        <f t="shared" si="123"/>
        <v/>
      </c>
      <c r="BK179" s="304" t="str">
        <f t="shared" si="124"/>
        <v/>
      </c>
      <c r="BL179" s="304">
        <f t="shared" si="125"/>
        <v>0</v>
      </c>
      <c r="BM179" s="304" t="str">
        <f>IF($AC179="", "", IF(ISNA(VLOOKUP($AC179, TABELAS!$Q:$Q, 1, FALSE)), 1, 0))</f>
        <v/>
      </c>
      <c r="BN179" s="306" t="str">
        <f t="shared" si="126"/>
        <v/>
      </c>
      <c r="BO179" s="304" t="str">
        <f t="shared" si="127"/>
        <v/>
      </c>
      <c r="BP179" s="304" t="str">
        <f t="shared" si="128"/>
        <v/>
      </c>
      <c r="BQ179" s="305" t="str">
        <f t="shared" si="129"/>
        <v/>
      </c>
      <c r="BR179" s="304" t="str">
        <f t="shared" si="130"/>
        <v/>
      </c>
      <c r="BS179" s="304" t="str">
        <f t="shared" si="131"/>
        <v/>
      </c>
      <c r="BT179" s="304" t="str">
        <f>IF(OR($B179="", $AH179 = "SIM"), "", IF( ISNA(VLOOKUP($AP179,#REF!, 1, FALSE)), 1, 0))</f>
        <v/>
      </c>
      <c r="BU179" s="304" t="str">
        <f t="shared" si="132"/>
        <v/>
      </c>
      <c r="BV179" s="304" t="str">
        <f>IF( $B179="", "", IF( ISNA(VLOOKUP($AN179, TABELAS!$T$2:$T$9,1,FALSE)), 1, 0))</f>
        <v/>
      </c>
      <c r="BW179" s="304" t="str">
        <f t="shared" si="133"/>
        <v/>
      </c>
      <c r="BX179" s="304" t="str">
        <f>IF( OR($B179="", $AH179 = "SIM"), "", IF( ISNA( VLOOKUP( $AQ179, SISTEMA!$B:$B, 1, FALSE)), 1, 0))</f>
        <v/>
      </c>
      <c r="BY179" s="305" t="str">
        <f t="shared" si="134"/>
        <v/>
      </c>
      <c r="BZ179" s="305" t="str">
        <f t="shared" si="135"/>
        <v/>
      </c>
      <c r="CA179" s="304" t="str">
        <f t="shared" si="136"/>
        <v/>
      </c>
      <c r="CB179" s="305" t="str">
        <f t="shared" si="137"/>
        <v/>
      </c>
      <c r="CC179" s="305" t="str">
        <f t="shared" si="138"/>
        <v/>
      </c>
      <c r="CD179" s="305" t="str">
        <f t="shared" si="139"/>
        <v/>
      </c>
    </row>
    <row r="180" spans="1:82" x14ac:dyDescent="0.2">
      <c r="A180" s="235"/>
      <c r="B180" s="236" t="str">
        <f t="shared" si="104"/>
        <v/>
      </c>
      <c r="C180" s="237" t="str">
        <f t="shared" si="94"/>
        <v/>
      </c>
      <c r="D180" s="237" t="str">
        <f t="shared" si="105"/>
        <v/>
      </c>
      <c r="E180" s="237" t="str">
        <f>IF($C180="", "", COUNTIF($M$8:$M180,$D180))</f>
        <v/>
      </c>
      <c r="F180" s="238">
        <v>173</v>
      </c>
      <c r="G180" s="239"/>
      <c r="H180" s="240"/>
      <c r="I180" s="240"/>
      <c r="J180" s="241"/>
      <c r="K180" s="240"/>
      <c r="L180" s="240"/>
      <c r="M180" s="240"/>
      <c r="N180" s="242"/>
      <c r="O180" s="243"/>
      <c r="P180" s="243"/>
      <c r="Q180" s="243"/>
      <c r="R180" s="243"/>
      <c r="S180" s="243"/>
      <c r="T180" s="245"/>
      <c r="U180" s="246" t="str">
        <f>IF($T180="", "", VLOOKUP($T180, CONTRATOS!$B:$E, 2, FALSE))</f>
        <v/>
      </c>
      <c r="V180" s="247">
        <f>IF(OR($T180="",TB_DEFESA!$C$2="Criação Baseline"),0,
   IF(VLOOKUP($T180, CONTRATOS!B:E, 3, FALSE)&lt;&gt;"",1,IF(VLOOKUP($T180, CONTRATOS!B:E, 4, FALSE)&lt;&gt;"",2,0)))</f>
        <v>0</v>
      </c>
      <c r="W180" s="248"/>
      <c r="X180" s="248"/>
      <c r="Y180" s="249"/>
      <c r="Z180" s="250"/>
      <c r="AA180" s="251"/>
      <c r="AB180" s="252"/>
      <c r="AC180" s="253"/>
      <c r="AD180" s="251"/>
      <c r="AE180" s="254" t="str">
        <f t="shared" si="95"/>
        <v/>
      </c>
      <c r="AF180" s="256" t="str">
        <f t="shared" si="106"/>
        <v/>
      </c>
      <c r="AG180" s="293" t="s">
        <v>62</v>
      </c>
      <c r="AH180" s="294" t="str">
        <f t="shared" si="107"/>
        <v/>
      </c>
      <c r="AI180" s="294" t="str">
        <f t="shared" si="108"/>
        <v/>
      </c>
      <c r="AJ180" s="295" t="str">
        <f t="shared" si="109"/>
        <v/>
      </c>
      <c r="AK180" s="296" t="str">
        <f t="shared" si="110"/>
        <v/>
      </c>
      <c r="AL180" s="297" t="str">
        <f t="shared" si="111"/>
        <v/>
      </c>
      <c r="AM180" s="294" t="str">
        <f t="shared" si="112"/>
        <v/>
      </c>
      <c r="AN180" s="294" t="str">
        <f t="shared" si="113"/>
        <v/>
      </c>
      <c r="AO180" s="298" t="str">
        <f t="shared" si="114"/>
        <v/>
      </c>
      <c r="AP180" s="299" t="str">
        <f t="shared" si="115"/>
        <v/>
      </c>
      <c r="AQ180" s="299" t="str">
        <f t="shared" si="116"/>
        <v/>
      </c>
      <c r="AR180" s="300" t="str">
        <f t="shared" si="96"/>
        <v/>
      </c>
      <c r="AS180" s="300" t="str">
        <f t="shared" si="97"/>
        <v/>
      </c>
      <c r="AT180" s="294" t="str">
        <f t="shared" si="98"/>
        <v/>
      </c>
      <c r="AU180" s="301" t="str">
        <f>IF(OR($B180="", $AP180= ""),"",IF(VLOOKUP($AP180, CONTRATOS!B:K,3,FALSE)="","",VLOOKUP($AP180, CONTRATOS!B:K, 3,FALSE)))</f>
        <v/>
      </c>
      <c r="AV180" s="301" t="str">
        <f>IF(OR($B180="", $AP180 = ""), "", IF(VLOOKUP($AP180, CONTRATOS!B:K,4,FALSE)="","",VLOOKUP($AP180, CONTRATOS!B:K,4, FALSE)))</f>
        <v/>
      </c>
      <c r="AW180" s="302" t="str">
        <f t="shared" si="99"/>
        <v/>
      </c>
      <c r="AX180" s="301" t="str">
        <f t="shared" si="100"/>
        <v/>
      </c>
      <c r="AY180" s="301" t="str">
        <f t="shared" si="101"/>
        <v/>
      </c>
      <c r="AZ180" s="301" t="str">
        <f t="shared" si="102"/>
        <v/>
      </c>
      <c r="BA180" s="301" t="str">
        <f t="shared" si="103"/>
        <v/>
      </c>
      <c r="BB180" s="303">
        <f t="shared" si="117"/>
        <v>0</v>
      </c>
      <c r="BC180" s="303" t="str">
        <f t="shared" si="118"/>
        <v/>
      </c>
      <c r="BD180" s="303" t="str">
        <f t="shared" si="119"/>
        <v/>
      </c>
      <c r="BF180" s="304">
        <f t="shared" si="120"/>
        <v>0</v>
      </c>
      <c r="BG180" s="304">
        <f t="shared" si="121"/>
        <v>0</v>
      </c>
      <c r="BH180" s="304" t="str">
        <f>IF( $B180="", "", IF(ISNA(VLOOKUP($C180, Defesa!$C$8:$C$30,1,FALSE)),1,0))</f>
        <v/>
      </c>
      <c r="BI180" s="305" t="str">
        <f t="shared" si="122"/>
        <v/>
      </c>
      <c r="BJ180" s="305" t="str">
        <f t="shared" si="123"/>
        <v/>
      </c>
      <c r="BK180" s="304" t="str">
        <f t="shared" si="124"/>
        <v/>
      </c>
      <c r="BL180" s="304">
        <f t="shared" si="125"/>
        <v>0</v>
      </c>
      <c r="BM180" s="304" t="str">
        <f>IF($AC180="", "", IF(ISNA(VLOOKUP($AC180, TABELAS!$Q:$Q, 1, FALSE)), 1, 0))</f>
        <v/>
      </c>
      <c r="BN180" s="306" t="str">
        <f t="shared" si="126"/>
        <v/>
      </c>
      <c r="BO180" s="304" t="str">
        <f t="shared" si="127"/>
        <v/>
      </c>
      <c r="BP180" s="304" t="str">
        <f t="shared" si="128"/>
        <v/>
      </c>
      <c r="BQ180" s="305" t="str">
        <f t="shared" si="129"/>
        <v/>
      </c>
      <c r="BR180" s="304" t="str">
        <f t="shared" si="130"/>
        <v/>
      </c>
      <c r="BS180" s="304" t="str">
        <f t="shared" si="131"/>
        <v/>
      </c>
      <c r="BT180" s="304" t="str">
        <f>IF(OR($B180="", $AH180 = "SIM"), "", IF( ISNA(VLOOKUP($AP180,#REF!, 1, FALSE)), 1, 0))</f>
        <v/>
      </c>
      <c r="BU180" s="304" t="str">
        <f t="shared" si="132"/>
        <v/>
      </c>
      <c r="BV180" s="304" t="str">
        <f>IF( $B180="", "", IF( ISNA(VLOOKUP($AN180, TABELAS!$T$2:$T$9,1,FALSE)), 1, 0))</f>
        <v/>
      </c>
      <c r="BW180" s="304" t="str">
        <f t="shared" si="133"/>
        <v/>
      </c>
      <c r="BX180" s="304" t="str">
        <f>IF( OR($B180="", $AH180 = "SIM"), "", IF( ISNA( VLOOKUP( $AQ180, SISTEMA!$B:$B, 1, FALSE)), 1, 0))</f>
        <v/>
      </c>
      <c r="BY180" s="305" t="str">
        <f t="shared" si="134"/>
        <v/>
      </c>
      <c r="BZ180" s="305" t="str">
        <f t="shared" si="135"/>
        <v/>
      </c>
      <c r="CA180" s="304" t="str">
        <f t="shared" si="136"/>
        <v/>
      </c>
      <c r="CB180" s="305" t="str">
        <f t="shared" si="137"/>
        <v/>
      </c>
      <c r="CC180" s="305" t="str">
        <f t="shared" si="138"/>
        <v/>
      </c>
      <c r="CD180" s="305" t="str">
        <f t="shared" si="139"/>
        <v/>
      </c>
    </row>
    <row r="181" spans="1:82" x14ac:dyDescent="0.2">
      <c r="A181" s="235"/>
      <c r="B181" s="236" t="str">
        <f t="shared" si="104"/>
        <v/>
      </c>
      <c r="C181" s="237" t="str">
        <f t="shared" si="94"/>
        <v/>
      </c>
      <c r="D181" s="237" t="str">
        <f t="shared" si="105"/>
        <v/>
      </c>
      <c r="E181" s="237" t="str">
        <f>IF($C181="", "", COUNTIF($M$8:$M181,$D181))</f>
        <v/>
      </c>
      <c r="F181" s="238">
        <v>174</v>
      </c>
      <c r="G181" s="239"/>
      <c r="H181" s="240"/>
      <c r="I181" s="240"/>
      <c r="J181" s="241"/>
      <c r="K181" s="240"/>
      <c r="L181" s="240"/>
      <c r="M181" s="240"/>
      <c r="N181" s="242"/>
      <c r="O181" s="243"/>
      <c r="P181" s="243"/>
      <c r="Q181" s="243"/>
      <c r="R181" s="243"/>
      <c r="S181" s="243"/>
      <c r="T181" s="245"/>
      <c r="U181" s="246" t="str">
        <f>IF($T181="", "", VLOOKUP($T181, CONTRATOS!$B:$E, 2, FALSE))</f>
        <v/>
      </c>
      <c r="V181" s="247">
        <f>IF(OR($T181="",TB_DEFESA!$C$2="Criação Baseline"),0,
   IF(VLOOKUP($T181, CONTRATOS!B:E, 3, FALSE)&lt;&gt;"",1,IF(VLOOKUP($T181, CONTRATOS!B:E, 4, FALSE)&lt;&gt;"",2,0)))</f>
        <v>0</v>
      </c>
      <c r="W181" s="248"/>
      <c r="X181" s="248"/>
      <c r="Y181" s="249"/>
      <c r="Z181" s="250"/>
      <c r="AA181" s="251"/>
      <c r="AB181" s="252"/>
      <c r="AC181" s="253"/>
      <c r="AD181" s="251"/>
      <c r="AE181" s="254" t="str">
        <f t="shared" si="95"/>
        <v/>
      </c>
      <c r="AF181" s="256" t="str">
        <f t="shared" si="106"/>
        <v/>
      </c>
      <c r="AG181" s="293" t="s">
        <v>62</v>
      </c>
      <c r="AH181" s="294" t="str">
        <f t="shared" si="107"/>
        <v/>
      </c>
      <c r="AI181" s="294" t="str">
        <f t="shared" si="108"/>
        <v/>
      </c>
      <c r="AJ181" s="295" t="str">
        <f t="shared" si="109"/>
        <v/>
      </c>
      <c r="AK181" s="296" t="str">
        <f t="shared" si="110"/>
        <v/>
      </c>
      <c r="AL181" s="297" t="str">
        <f t="shared" si="111"/>
        <v/>
      </c>
      <c r="AM181" s="294" t="str">
        <f t="shared" si="112"/>
        <v/>
      </c>
      <c r="AN181" s="294" t="str">
        <f t="shared" si="113"/>
        <v/>
      </c>
      <c r="AO181" s="298" t="str">
        <f t="shared" si="114"/>
        <v/>
      </c>
      <c r="AP181" s="299" t="str">
        <f t="shared" si="115"/>
        <v/>
      </c>
      <c r="AQ181" s="299" t="str">
        <f t="shared" si="116"/>
        <v/>
      </c>
      <c r="AR181" s="300" t="str">
        <f t="shared" si="96"/>
        <v/>
      </c>
      <c r="AS181" s="300" t="str">
        <f t="shared" si="97"/>
        <v/>
      </c>
      <c r="AT181" s="294" t="str">
        <f t="shared" si="98"/>
        <v/>
      </c>
      <c r="AU181" s="301" t="str">
        <f>IF(OR($B181="", $AP181= ""),"",IF(VLOOKUP($AP181, CONTRATOS!B:K,3,FALSE)="","",VLOOKUP($AP181, CONTRATOS!B:K, 3,FALSE)))</f>
        <v/>
      </c>
      <c r="AV181" s="301" t="str">
        <f>IF(OR($B181="", $AP181 = ""), "", IF(VLOOKUP($AP181, CONTRATOS!B:K,4,FALSE)="","",VLOOKUP($AP181, CONTRATOS!B:K,4, FALSE)))</f>
        <v/>
      </c>
      <c r="AW181" s="302" t="str">
        <f t="shared" si="99"/>
        <v/>
      </c>
      <c r="AX181" s="301" t="str">
        <f t="shared" si="100"/>
        <v/>
      </c>
      <c r="AY181" s="301" t="str">
        <f t="shared" si="101"/>
        <v/>
      </c>
      <c r="AZ181" s="301" t="str">
        <f t="shared" si="102"/>
        <v/>
      </c>
      <c r="BA181" s="301" t="str">
        <f t="shared" si="103"/>
        <v/>
      </c>
      <c r="BB181" s="303">
        <f t="shared" si="117"/>
        <v>0</v>
      </c>
      <c r="BC181" s="303" t="str">
        <f t="shared" si="118"/>
        <v/>
      </c>
      <c r="BD181" s="303" t="str">
        <f t="shared" si="119"/>
        <v/>
      </c>
      <c r="BF181" s="304">
        <f t="shared" si="120"/>
        <v>0</v>
      </c>
      <c r="BG181" s="304">
        <f t="shared" si="121"/>
        <v>0</v>
      </c>
      <c r="BH181" s="304" t="str">
        <f>IF( $B181="", "", IF(ISNA(VLOOKUP($C181, Defesa!$C$8:$C$30,1,FALSE)),1,0))</f>
        <v/>
      </c>
      <c r="BI181" s="305" t="str">
        <f t="shared" si="122"/>
        <v/>
      </c>
      <c r="BJ181" s="305" t="str">
        <f t="shared" si="123"/>
        <v/>
      </c>
      <c r="BK181" s="304" t="str">
        <f t="shared" si="124"/>
        <v/>
      </c>
      <c r="BL181" s="304">
        <f t="shared" si="125"/>
        <v>0</v>
      </c>
      <c r="BM181" s="304" t="str">
        <f>IF($AC181="", "", IF(ISNA(VLOOKUP($AC181, TABELAS!$Q:$Q, 1, FALSE)), 1, 0))</f>
        <v/>
      </c>
      <c r="BN181" s="306" t="str">
        <f t="shared" si="126"/>
        <v/>
      </c>
      <c r="BO181" s="304" t="str">
        <f t="shared" si="127"/>
        <v/>
      </c>
      <c r="BP181" s="304" t="str">
        <f t="shared" si="128"/>
        <v/>
      </c>
      <c r="BQ181" s="305" t="str">
        <f t="shared" si="129"/>
        <v/>
      </c>
      <c r="BR181" s="304" t="str">
        <f t="shared" si="130"/>
        <v/>
      </c>
      <c r="BS181" s="304" t="str">
        <f t="shared" si="131"/>
        <v/>
      </c>
      <c r="BT181" s="304" t="str">
        <f>IF(OR($B181="", $AH181 = "SIM"), "", IF( ISNA(VLOOKUP($AP181,#REF!, 1, FALSE)), 1, 0))</f>
        <v/>
      </c>
      <c r="BU181" s="304" t="str">
        <f t="shared" si="132"/>
        <v/>
      </c>
      <c r="BV181" s="304" t="str">
        <f>IF( $B181="", "", IF( ISNA(VLOOKUP($AN181, TABELAS!$T$2:$T$9,1,FALSE)), 1, 0))</f>
        <v/>
      </c>
      <c r="BW181" s="304" t="str">
        <f t="shared" si="133"/>
        <v/>
      </c>
      <c r="BX181" s="304" t="str">
        <f>IF( OR($B181="", $AH181 = "SIM"), "", IF( ISNA( VLOOKUP( $AQ181, SISTEMA!$B:$B, 1, FALSE)), 1, 0))</f>
        <v/>
      </c>
      <c r="BY181" s="305" t="str">
        <f t="shared" si="134"/>
        <v/>
      </c>
      <c r="BZ181" s="305" t="str">
        <f t="shared" si="135"/>
        <v/>
      </c>
      <c r="CA181" s="304" t="str">
        <f t="shared" si="136"/>
        <v/>
      </c>
      <c r="CB181" s="305" t="str">
        <f t="shared" si="137"/>
        <v/>
      </c>
      <c r="CC181" s="305" t="str">
        <f t="shared" si="138"/>
        <v/>
      </c>
      <c r="CD181" s="305" t="str">
        <f t="shared" si="139"/>
        <v/>
      </c>
    </row>
    <row r="182" spans="1:82" x14ac:dyDescent="0.2">
      <c r="A182" s="235"/>
      <c r="B182" s="236" t="str">
        <f t="shared" si="104"/>
        <v/>
      </c>
      <c r="C182" s="237" t="str">
        <f t="shared" si="94"/>
        <v/>
      </c>
      <c r="D182" s="237" t="str">
        <f t="shared" si="105"/>
        <v/>
      </c>
      <c r="E182" s="237" t="str">
        <f>IF($C182="", "", COUNTIF($M$8:$M182,$D182))</f>
        <v/>
      </c>
      <c r="F182" s="238">
        <v>175</v>
      </c>
      <c r="G182" s="239"/>
      <c r="H182" s="240"/>
      <c r="I182" s="240"/>
      <c r="J182" s="241"/>
      <c r="K182" s="240"/>
      <c r="L182" s="240"/>
      <c r="M182" s="240"/>
      <c r="N182" s="242"/>
      <c r="O182" s="243"/>
      <c r="P182" s="243"/>
      <c r="Q182" s="243"/>
      <c r="R182" s="243"/>
      <c r="S182" s="243"/>
      <c r="T182" s="245"/>
      <c r="U182" s="246" t="str">
        <f>IF($T182="", "", VLOOKUP($T182, CONTRATOS!$B:$E, 2, FALSE))</f>
        <v/>
      </c>
      <c r="V182" s="247">
        <f>IF(OR($T182="",TB_DEFESA!$C$2="Criação Baseline"),0,
   IF(VLOOKUP($T182, CONTRATOS!B:E, 3, FALSE)&lt;&gt;"",1,IF(VLOOKUP($T182, CONTRATOS!B:E, 4, FALSE)&lt;&gt;"",2,0)))</f>
        <v>0</v>
      </c>
      <c r="W182" s="248"/>
      <c r="X182" s="248"/>
      <c r="Y182" s="249"/>
      <c r="Z182" s="250"/>
      <c r="AA182" s="251"/>
      <c r="AB182" s="252"/>
      <c r="AC182" s="253"/>
      <c r="AD182" s="251"/>
      <c r="AE182" s="254" t="str">
        <f t="shared" si="95"/>
        <v/>
      </c>
      <c r="AF182" s="256" t="str">
        <f t="shared" si="106"/>
        <v/>
      </c>
      <c r="AG182" s="293" t="s">
        <v>62</v>
      </c>
      <c r="AH182" s="294" t="str">
        <f t="shared" si="107"/>
        <v/>
      </c>
      <c r="AI182" s="294" t="str">
        <f t="shared" si="108"/>
        <v/>
      </c>
      <c r="AJ182" s="295" t="str">
        <f t="shared" si="109"/>
        <v/>
      </c>
      <c r="AK182" s="296" t="str">
        <f t="shared" si="110"/>
        <v/>
      </c>
      <c r="AL182" s="297" t="str">
        <f t="shared" si="111"/>
        <v/>
      </c>
      <c r="AM182" s="294" t="str">
        <f t="shared" si="112"/>
        <v/>
      </c>
      <c r="AN182" s="294" t="str">
        <f t="shared" si="113"/>
        <v/>
      </c>
      <c r="AO182" s="298" t="str">
        <f t="shared" si="114"/>
        <v/>
      </c>
      <c r="AP182" s="299" t="str">
        <f t="shared" si="115"/>
        <v/>
      </c>
      <c r="AQ182" s="299" t="str">
        <f t="shared" si="116"/>
        <v/>
      </c>
      <c r="AR182" s="300" t="str">
        <f t="shared" si="96"/>
        <v/>
      </c>
      <c r="AS182" s="300" t="str">
        <f t="shared" si="97"/>
        <v/>
      </c>
      <c r="AT182" s="294" t="str">
        <f t="shared" si="98"/>
        <v/>
      </c>
      <c r="AU182" s="301" t="str">
        <f>IF(OR($B182="", $AP182= ""),"",IF(VLOOKUP($AP182, CONTRATOS!B:K,3,FALSE)="","",VLOOKUP($AP182, CONTRATOS!B:K, 3,FALSE)))</f>
        <v/>
      </c>
      <c r="AV182" s="301" t="str">
        <f>IF(OR($B182="", $AP182 = ""), "", IF(VLOOKUP($AP182, CONTRATOS!B:K,4,FALSE)="","",VLOOKUP($AP182, CONTRATOS!B:K,4, FALSE)))</f>
        <v/>
      </c>
      <c r="AW182" s="302" t="str">
        <f t="shared" si="99"/>
        <v/>
      </c>
      <c r="AX182" s="301" t="str">
        <f t="shared" si="100"/>
        <v/>
      </c>
      <c r="AY182" s="301" t="str">
        <f t="shared" si="101"/>
        <v/>
      </c>
      <c r="AZ182" s="301" t="str">
        <f t="shared" si="102"/>
        <v/>
      </c>
      <c r="BA182" s="301" t="str">
        <f t="shared" si="103"/>
        <v/>
      </c>
      <c r="BB182" s="303">
        <f t="shared" si="117"/>
        <v>0</v>
      </c>
      <c r="BC182" s="303" t="str">
        <f t="shared" si="118"/>
        <v/>
      </c>
      <c r="BD182" s="303" t="str">
        <f t="shared" si="119"/>
        <v/>
      </c>
      <c r="BF182" s="304">
        <f t="shared" si="120"/>
        <v>0</v>
      </c>
      <c r="BG182" s="304">
        <f t="shared" si="121"/>
        <v>0</v>
      </c>
      <c r="BH182" s="304" t="str">
        <f>IF( $B182="", "", IF(ISNA(VLOOKUP($C182, Defesa!$C$8:$C$30,1,FALSE)),1,0))</f>
        <v/>
      </c>
      <c r="BI182" s="305" t="str">
        <f t="shared" si="122"/>
        <v/>
      </c>
      <c r="BJ182" s="305" t="str">
        <f t="shared" si="123"/>
        <v/>
      </c>
      <c r="BK182" s="304" t="str">
        <f t="shared" si="124"/>
        <v/>
      </c>
      <c r="BL182" s="304">
        <f t="shared" si="125"/>
        <v>0</v>
      </c>
      <c r="BM182" s="304" t="str">
        <f>IF($AC182="", "", IF(ISNA(VLOOKUP($AC182, TABELAS!$Q:$Q, 1, FALSE)), 1, 0))</f>
        <v/>
      </c>
      <c r="BN182" s="306" t="str">
        <f t="shared" si="126"/>
        <v/>
      </c>
      <c r="BO182" s="304" t="str">
        <f t="shared" si="127"/>
        <v/>
      </c>
      <c r="BP182" s="304" t="str">
        <f t="shared" si="128"/>
        <v/>
      </c>
      <c r="BQ182" s="305" t="str">
        <f t="shared" si="129"/>
        <v/>
      </c>
      <c r="BR182" s="304" t="str">
        <f t="shared" si="130"/>
        <v/>
      </c>
      <c r="BS182" s="304" t="str">
        <f t="shared" si="131"/>
        <v/>
      </c>
      <c r="BT182" s="304" t="str">
        <f>IF(OR($B182="", $AH182 = "SIM"), "", IF( ISNA(VLOOKUP($AP182,#REF!, 1, FALSE)), 1, 0))</f>
        <v/>
      </c>
      <c r="BU182" s="304" t="str">
        <f t="shared" si="132"/>
        <v/>
      </c>
      <c r="BV182" s="304" t="str">
        <f>IF( $B182="", "", IF( ISNA(VLOOKUP($AN182, TABELAS!$T$2:$T$9,1,FALSE)), 1, 0))</f>
        <v/>
      </c>
      <c r="BW182" s="304" t="str">
        <f t="shared" si="133"/>
        <v/>
      </c>
      <c r="BX182" s="304" t="str">
        <f>IF( OR($B182="", $AH182 = "SIM"), "", IF( ISNA( VLOOKUP( $AQ182, SISTEMA!$B:$B, 1, FALSE)), 1, 0))</f>
        <v/>
      </c>
      <c r="BY182" s="305" t="str">
        <f t="shared" si="134"/>
        <v/>
      </c>
      <c r="BZ182" s="305" t="str">
        <f t="shared" si="135"/>
        <v/>
      </c>
      <c r="CA182" s="304" t="str">
        <f t="shared" si="136"/>
        <v/>
      </c>
      <c r="CB182" s="305" t="str">
        <f t="shared" si="137"/>
        <v/>
      </c>
      <c r="CC182" s="305" t="str">
        <f t="shared" si="138"/>
        <v/>
      </c>
      <c r="CD182" s="305" t="str">
        <f t="shared" si="139"/>
        <v/>
      </c>
    </row>
    <row r="183" spans="1:82" x14ac:dyDescent="0.2">
      <c r="A183" s="235"/>
      <c r="B183" s="236" t="str">
        <f t="shared" si="104"/>
        <v/>
      </c>
      <c r="C183" s="237" t="str">
        <f t="shared" si="94"/>
        <v/>
      </c>
      <c r="D183" s="237" t="str">
        <f t="shared" si="105"/>
        <v/>
      </c>
      <c r="E183" s="237" t="str">
        <f>IF($C183="", "", COUNTIF($M$8:$M183,$D183))</f>
        <v/>
      </c>
      <c r="F183" s="238">
        <v>176</v>
      </c>
      <c r="G183" s="239"/>
      <c r="H183" s="240"/>
      <c r="I183" s="240"/>
      <c r="J183" s="241"/>
      <c r="K183" s="240"/>
      <c r="L183" s="240"/>
      <c r="M183" s="240"/>
      <c r="N183" s="242"/>
      <c r="O183" s="243"/>
      <c r="P183" s="243"/>
      <c r="Q183" s="243"/>
      <c r="R183" s="243"/>
      <c r="S183" s="243"/>
      <c r="T183" s="245"/>
      <c r="U183" s="246" t="str">
        <f>IF($T183="", "", VLOOKUP($T183, CONTRATOS!$B:$E, 2, FALSE))</f>
        <v/>
      </c>
      <c r="V183" s="247">
        <f>IF(OR($T183="",TB_DEFESA!$C$2="Criação Baseline"),0,
   IF(VLOOKUP($T183, CONTRATOS!B:E, 3, FALSE)&lt;&gt;"",1,IF(VLOOKUP($T183, CONTRATOS!B:E, 4, FALSE)&lt;&gt;"",2,0)))</f>
        <v>0</v>
      </c>
      <c r="W183" s="248"/>
      <c r="X183" s="248"/>
      <c r="Y183" s="249"/>
      <c r="Z183" s="250"/>
      <c r="AA183" s="251"/>
      <c r="AB183" s="252"/>
      <c r="AC183" s="253"/>
      <c r="AD183" s="251"/>
      <c r="AE183" s="254" t="str">
        <f t="shared" si="95"/>
        <v/>
      </c>
      <c r="AF183" s="256" t="str">
        <f t="shared" si="106"/>
        <v/>
      </c>
      <c r="AG183" s="293" t="s">
        <v>62</v>
      </c>
      <c r="AH183" s="294" t="str">
        <f t="shared" si="107"/>
        <v/>
      </c>
      <c r="AI183" s="294" t="str">
        <f t="shared" si="108"/>
        <v/>
      </c>
      <c r="AJ183" s="295" t="str">
        <f t="shared" si="109"/>
        <v/>
      </c>
      <c r="AK183" s="296" t="str">
        <f t="shared" si="110"/>
        <v/>
      </c>
      <c r="AL183" s="297" t="str">
        <f t="shared" si="111"/>
        <v/>
      </c>
      <c r="AM183" s="294" t="str">
        <f t="shared" si="112"/>
        <v/>
      </c>
      <c r="AN183" s="294" t="str">
        <f t="shared" si="113"/>
        <v/>
      </c>
      <c r="AO183" s="298" t="str">
        <f t="shared" si="114"/>
        <v/>
      </c>
      <c r="AP183" s="299" t="str">
        <f t="shared" si="115"/>
        <v/>
      </c>
      <c r="AQ183" s="299" t="str">
        <f t="shared" si="116"/>
        <v/>
      </c>
      <c r="AR183" s="300" t="str">
        <f t="shared" si="96"/>
        <v/>
      </c>
      <c r="AS183" s="300" t="str">
        <f t="shared" si="97"/>
        <v/>
      </c>
      <c r="AT183" s="294" t="str">
        <f t="shared" si="98"/>
        <v/>
      </c>
      <c r="AU183" s="301" t="str">
        <f>IF(OR($B183="", $AP183= ""),"",IF(VLOOKUP($AP183, CONTRATOS!B:K,3,FALSE)="","",VLOOKUP($AP183, CONTRATOS!B:K, 3,FALSE)))</f>
        <v/>
      </c>
      <c r="AV183" s="301" t="str">
        <f>IF(OR($B183="", $AP183 = ""), "", IF(VLOOKUP($AP183, CONTRATOS!B:K,4,FALSE)="","",VLOOKUP($AP183, CONTRATOS!B:K,4, FALSE)))</f>
        <v/>
      </c>
      <c r="AW183" s="302" t="str">
        <f t="shared" si="99"/>
        <v/>
      </c>
      <c r="AX183" s="301" t="str">
        <f t="shared" si="100"/>
        <v/>
      </c>
      <c r="AY183" s="301" t="str">
        <f t="shared" si="101"/>
        <v/>
      </c>
      <c r="AZ183" s="301" t="str">
        <f t="shared" si="102"/>
        <v/>
      </c>
      <c r="BA183" s="301" t="str">
        <f t="shared" si="103"/>
        <v/>
      </c>
      <c r="BB183" s="303">
        <f t="shared" si="117"/>
        <v>0</v>
      </c>
      <c r="BC183" s="303" t="str">
        <f t="shared" si="118"/>
        <v/>
      </c>
      <c r="BD183" s="303" t="str">
        <f t="shared" si="119"/>
        <v/>
      </c>
      <c r="BF183" s="304">
        <f t="shared" si="120"/>
        <v>0</v>
      </c>
      <c r="BG183" s="304">
        <f t="shared" si="121"/>
        <v>0</v>
      </c>
      <c r="BH183" s="304" t="str">
        <f>IF( $B183="", "", IF(ISNA(VLOOKUP($C183, Defesa!$C$8:$C$30,1,FALSE)),1,0))</f>
        <v/>
      </c>
      <c r="BI183" s="305" t="str">
        <f t="shared" si="122"/>
        <v/>
      </c>
      <c r="BJ183" s="305" t="str">
        <f t="shared" si="123"/>
        <v/>
      </c>
      <c r="BK183" s="304" t="str">
        <f t="shared" si="124"/>
        <v/>
      </c>
      <c r="BL183" s="304">
        <f t="shared" si="125"/>
        <v>0</v>
      </c>
      <c r="BM183" s="304" t="str">
        <f>IF($AC183="", "", IF(ISNA(VLOOKUP($AC183, TABELAS!$Q:$Q, 1, FALSE)), 1, 0))</f>
        <v/>
      </c>
      <c r="BN183" s="306" t="str">
        <f t="shared" si="126"/>
        <v/>
      </c>
      <c r="BO183" s="304" t="str">
        <f t="shared" si="127"/>
        <v/>
      </c>
      <c r="BP183" s="304" t="str">
        <f t="shared" si="128"/>
        <v/>
      </c>
      <c r="BQ183" s="305" t="str">
        <f t="shared" si="129"/>
        <v/>
      </c>
      <c r="BR183" s="304" t="str">
        <f t="shared" si="130"/>
        <v/>
      </c>
      <c r="BS183" s="304" t="str">
        <f t="shared" si="131"/>
        <v/>
      </c>
      <c r="BT183" s="304" t="str">
        <f>IF(OR($B183="", $AH183 = "SIM"), "", IF( ISNA(VLOOKUP($AP183,#REF!, 1, FALSE)), 1, 0))</f>
        <v/>
      </c>
      <c r="BU183" s="304" t="str">
        <f t="shared" si="132"/>
        <v/>
      </c>
      <c r="BV183" s="304" t="str">
        <f>IF( $B183="", "", IF( ISNA(VLOOKUP($AN183, TABELAS!$T$2:$T$9,1,FALSE)), 1, 0))</f>
        <v/>
      </c>
      <c r="BW183" s="304" t="str">
        <f t="shared" si="133"/>
        <v/>
      </c>
      <c r="BX183" s="304" t="str">
        <f>IF( OR($B183="", $AH183 = "SIM"), "", IF( ISNA( VLOOKUP( $AQ183, SISTEMA!$B:$B, 1, FALSE)), 1, 0))</f>
        <v/>
      </c>
      <c r="BY183" s="305" t="str">
        <f t="shared" si="134"/>
        <v/>
      </c>
      <c r="BZ183" s="305" t="str">
        <f t="shared" si="135"/>
        <v/>
      </c>
      <c r="CA183" s="304" t="str">
        <f t="shared" si="136"/>
        <v/>
      </c>
      <c r="CB183" s="305" t="str">
        <f t="shared" si="137"/>
        <v/>
      </c>
      <c r="CC183" s="305" t="str">
        <f t="shared" si="138"/>
        <v/>
      </c>
      <c r="CD183" s="305" t="str">
        <f t="shared" si="139"/>
        <v/>
      </c>
    </row>
    <row r="184" spans="1:82" x14ac:dyDescent="0.2">
      <c r="A184" s="235"/>
      <c r="B184" s="236" t="str">
        <f t="shared" si="104"/>
        <v/>
      </c>
      <c r="C184" s="237" t="str">
        <f t="shared" si="94"/>
        <v/>
      </c>
      <c r="D184" s="237" t="str">
        <f t="shared" si="105"/>
        <v/>
      </c>
      <c r="E184" s="237" t="str">
        <f>IF($C184="", "", COUNTIF($M$8:$M184,$D184))</f>
        <v/>
      </c>
      <c r="F184" s="238">
        <v>177</v>
      </c>
      <c r="G184" s="239"/>
      <c r="H184" s="240"/>
      <c r="I184" s="240"/>
      <c r="J184" s="241"/>
      <c r="K184" s="240"/>
      <c r="L184" s="240"/>
      <c r="M184" s="240"/>
      <c r="N184" s="242"/>
      <c r="O184" s="243"/>
      <c r="P184" s="243"/>
      <c r="Q184" s="243"/>
      <c r="R184" s="243"/>
      <c r="S184" s="243"/>
      <c r="T184" s="245"/>
      <c r="U184" s="246" t="str">
        <f>IF($T184="", "", VLOOKUP($T184, CONTRATOS!$B:$E, 2, FALSE))</f>
        <v/>
      </c>
      <c r="V184" s="247">
        <f>IF(OR($T184="",TB_DEFESA!$C$2="Criação Baseline"),0,
   IF(VLOOKUP($T184, CONTRATOS!B:E, 3, FALSE)&lt;&gt;"",1,IF(VLOOKUP($T184, CONTRATOS!B:E, 4, FALSE)&lt;&gt;"",2,0)))</f>
        <v>0</v>
      </c>
      <c r="W184" s="248"/>
      <c r="X184" s="248"/>
      <c r="Y184" s="249"/>
      <c r="Z184" s="250"/>
      <c r="AA184" s="251"/>
      <c r="AB184" s="252"/>
      <c r="AC184" s="253"/>
      <c r="AD184" s="251"/>
      <c r="AE184" s="254" t="str">
        <f t="shared" si="95"/>
        <v/>
      </c>
      <c r="AF184" s="256" t="str">
        <f t="shared" si="106"/>
        <v/>
      </c>
      <c r="AG184" s="293" t="s">
        <v>62</v>
      </c>
      <c r="AH184" s="294" t="str">
        <f t="shared" si="107"/>
        <v/>
      </c>
      <c r="AI184" s="294" t="str">
        <f t="shared" si="108"/>
        <v/>
      </c>
      <c r="AJ184" s="295" t="str">
        <f t="shared" si="109"/>
        <v/>
      </c>
      <c r="AK184" s="296" t="str">
        <f t="shared" si="110"/>
        <v/>
      </c>
      <c r="AL184" s="297" t="str">
        <f t="shared" si="111"/>
        <v/>
      </c>
      <c r="AM184" s="294" t="str">
        <f t="shared" si="112"/>
        <v/>
      </c>
      <c r="AN184" s="294" t="str">
        <f t="shared" si="113"/>
        <v/>
      </c>
      <c r="AO184" s="298" t="str">
        <f t="shared" si="114"/>
        <v/>
      </c>
      <c r="AP184" s="299" t="str">
        <f t="shared" si="115"/>
        <v/>
      </c>
      <c r="AQ184" s="299" t="str">
        <f t="shared" si="116"/>
        <v/>
      </c>
      <c r="AR184" s="300" t="str">
        <f t="shared" si="96"/>
        <v/>
      </c>
      <c r="AS184" s="300" t="str">
        <f t="shared" si="97"/>
        <v/>
      </c>
      <c r="AT184" s="294" t="str">
        <f t="shared" si="98"/>
        <v/>
      </c>
      <c r="AU184" s="301" t="str">
        <f>IF(OR($B184="", $AP184= ""),"",IF(VLOOKUP($AP184, CONTRATOS!B:K,3,FALSE)="","",VLOOKUP($AP184, CONTRATOS!B:K, 3,FALSE)))</f>
        <v/>
      </c>
      <c r="AV184" s="301" t="str">
        <f>IF(OR($B184="", $AP184 = ""), "", IF(VLOOKUP($AP184, CONTRATOS!B:K,4,FALSE)="","",VLOOKUP($AP184, CONTRATOS!B:K,4, FALSE)))</f>
        <v/>
      </c>
      <c r="AW184" s="302" t="str">
        <f t="shared" si="99"/>
        <v/>
      </c>
      <c r="AX184" s="301" t="str">
        <f t="shared" si="100"/>
        <v/>
      </c>
      <c r="AY184" s="301" t="str">
        <f t="shared" si="101"/>
        <v/>
      </c>
      <c r="AZ184" s="301" t="str">
        <f t="shared" si="102"/>
        <v/>
      </c>
      <c r="BA184" s="301" t="str">
        <f t="shared" si="103"/>
        <v/>
      </c>
      <c r="BB184" s="303">
        <f t="shared" si="117"/>
        <v>0</v>
      </c>
      <c r="BC184" s="303" t="str">
        <f t="shared" si="118"/>
        <v/>
      </c>
      <c r="BD184" s="303" t="str">
        <f t="shared" si="119"/>
        <v/>
      </c>
      <c r="BF184" s="304">
        <f t="shared" si="120"/>
        <v>0</v>
      </c>
      <c r="BG184" s="304">
        <f t="shared" si="121"/>
        <v>0</v>
      </c>
      <c r="BH184" s="304" t="str">
        <f>IF( $B184="", "", IF(ISNA(VLOOKUP($C184, Defesa!$C$8:$C$30,1,FALSE)),1,0))</f>
        <v/>
      </c>
      <c r="BI184" s="305" t="str">
        <f t="shared" si="122"/>
        <v/>
      </c>
      <c r="BJ184" s="305" t="str">
        <f t="shared" si="123"/>
        <v/>
      </c>
      <c r="BK184" s="304" t="str">
        <f t="shared" si="124"/>
        <v/>
      </c>
      <c r="BL184" s="304">
        <f t="shared" si="125"/>
        <v>0</v>
      </c>
      <c r="BM184" s="304" t="str">
        <f>IF($AC184="", "", IF(ISNA(VLOOKUP($AC184, TABELAS!$Q:$Q, 1, FALSE)), 1, 0))</f>
        <v/>
      </c>
      <c r="BN184" s="306" t="str">
        <f t="shared" si="126"/>
        <v/>
      </c>
      <c r="BO184" s="304" t="str">
        <f t="shared" si="127"/>
        <v/>
      </c>
      <c r="BP184" s="304" t="str">
        <f t="shared" si="128"/>
        <v/>
      </c>
      <c r="BQ184" s="305" t="str">
        <f t="shared" si="129"/>
        <v/>
      </c>
      <c r="BR184" s="304" t="str">
        <f t="shared" si="130"/>
        <v/>
      </c>
      <c r="BS184" s="304" t="str">
        <f t="shared" si="131"/>
        <v/>
      </c>
      <c r="BT184" s="304" t="str">
        <f>IF(OR($B184="", $AH184 = "SIM"), "", IF( ISNA(VLOOKUP($AP184,#REF!, 1, FALSE)), 1, 0))</f>
        <v/>
      </c>
      <c r="BU184" s="304" t="str">
        <f t="shared" si="132"/>
        <v/>
      </c>
      <c r="BV184" s="304" t="str">
        <f>IF( $B184="", "", IF( ISNA(VLOOKUP($AN184, TABELAS!$T$2:$T$9,1,FALSE)), 1, 0))</f>
        <v/>
      </c>
      <c r="BW184" s="304" t="str">
        <f t="shared" si="133"/>
        <v/>
      </c>
      <c r="BX184" s="304" t="str">
        <f>IF( OR($B184="", $AH184 = "SIM"), "", IF( ISNA( VLOOKUP( $AQ184, SISTEMA!$B:$B, 1, FALSE)), 1, 0))</f>
        <v/>
      </c>
      <c r="BY184" s="305" t="str">
        <f t="shared" si="134"/>
        <v/>
      </c>
      <c r="BZ184" s="305" t="str">
        <f t="shared" si="135"/>
        <v/>
      </c>
      <c r="CA184" s="304" t="str">
        <f t="shared" si="136"/>
        <v/>
      </c>
      <c r="CB184" s="305" t="str">
        <f t="shared" si="137"/>
        <v/>
      </c>
      <c r="CC184" s="305" t="str">
        <f t="shared" si="138"/>
        <v/>
      </c>
      <c r="CD184" s="305" t="str">
        <f t="shared" si="139"/>
        <v/>
      </c>
    </row>
    <row r="185" spans="1:82" x14ac:dyDescent="0.2">
      <c r="A185" s="235"/>
      <c r="B185" s="236" t="str">
        <f t="shared" si="104"/>
        <v/>
      </c>
      <c r="C185" s="237" t="str">
        <f t="shared" si="94"/>
        <v/>
      </c>
      <c r="D185" s="237" t="str">
        <f t="shared" si="105"/>
        <v/>
      </c>
      <c r="E185" s="237" t="str">
        <f>IF($C185="", "", COUNTIF($M$8:$M185,$D185))</f>
        <v/>
      </c>
      <c r="F185" s="238">
        <v>178</v>
      </c>
      <c r="G185" s="239"/>
      <c r="H185" s="240"/>
      <c r="I185" s="240"/>
      <c r="J185" s="241"/>
      <c r="K185" s="240"/>
      <c r="L185" s="240"/>
      <c r="M185" s="240"/>
      <c r="N185" s="242"/>
      <c r="O185" s="243"/>
      <c r="P185" s="243"/>
      <c r="Q185" s="243"/>
      <c r="R185" s="243"/>
      <c r="S185" s="243"/>
      <c r="T185" s="245"/>
      <c r="U185" s="246" t="str">
        <f>IF($T185="", "", VLOOKUP($T185, CONTRATOS!$B:$E, 2, FALSE))</f>
        <v/>
      </c>
      <c r="V185" s="247">
        <f>IF(OR($T185="",TB_DEFESA!$C$2="Criação Baseline"),0,
   IF(VLOOKUP($T185, CONTRATOS!B:E, 3, FALSE)&lt;&gt;"",1,IF(VLOOKUP($T185, CONTRATOS!B:E, 4, FALSE)&lt;&gt;"",2,0)))</f>
        <v>0</v>
      </c>
      <c r="W185" s="248"/>
      <c r="X185" s="248"/>
      <c r="Y185" s="249"/>
      <c r="Z185" s="250"/>
      <c r="AA185" s="251"/>
      <c r="AB185" s="252"/>
      <c r="AC185" s="253"/>
      <c r="AD185" s="251"/>
      <c r="AE185" s="254" t="str">
        <f t="shared" si="95"/>
        <v/>
      </c>
      <c r="AF185" s="256" t="str">
        <f t="shared" si="106"/>
        <v/>
      </c>
      <c r="AG185" s="293" t="s">
        <v>62</v>
      </c>
      <c r="AH185" s="294" t="str">
        <f t="shared" si="107"/>
        <v/>
      </c>
      <c r="AI185" s="294" t="str">
        <f t="shared" si="108"/>
        <v/>
      </c>
      <c r="AJ185" s="295" t="str">
        <f t="shared" si="109"/>
        <v/>
      </c>
      <c r="AK185" s="296" t="str">
        <f t="shared" si="110"/>
        <v/>
      </c>
      <c r="AL185" s="297" t="str">
        <f t="shared" si="111"/>
        <v/>
      </c>
      <c r="AM185" s="294" t="str">
        <f t="shared" si="112"/>
        <v/>
      </c>
      <c r="AN185" s="294" t="str">
        <f t="shared" si="113"/>
        <v/>
      </c>
      <c r="AO185" s="298" t="str">
        <f t="shared" si="114"/>
        <v/>
      </c>
      <c r="AP185" s="299" t="str">
        <f t="shared" si="115"/>
        <v/>
      </c>
      <c r="AQ185" s="299" t="str">
        <f t="shared" si="116"/>
        <v/>
      </c>
      <c r="AR185" s="300" t="str">
        <f t="shared" si="96"/>
        <v/>
      </c>
      <c r="AS185" s="300" t="str">
        <f t="shared" si="97"/>
        <v/>
      </c>
      <c r="AT185" s="294" t="str">
        <f t="shared" si="98"/>
        <v/>
      </c>
      <c r="AU185" s="301" t="str">
        <f>IF(OR($B185="", $AP185= ""),"",IF(VLOOKUP($AP185, CONTRATOS!B:K,3,FALSE)="","",VLOOKUP($AP185, CONTRATOS!B:K, 3,FALSE)))</f>
        <v/>
      </c>
      <c r="AV185" s="301" t="str">
        <f>IF(OR($B185="", $AP185 = ""), "", IF(VLOOKUP($AP185, CONTRATOS!B:K,4,FALSE)="","",VLOOKUP($AP185, CONTRATOS!B:K,4, FALSE)))</f>
        <v/>
      </c>
      <c r="AW185" s="302" t="str">
        <f t="shared" si="99"/>
        <v/>
      </c>
      <c r="AX185" s="301" t="str">
        <f t="shared" si="100"/>
        <v/>
      </c>
      <c r="AY185" s="301" t="str">
        <f t="shared" si="101"/>
        <v/>
      </c>
      <c r="AZ185" s="301" t="str">
        <f t="shared" si="102"/>
        <v/>
      </c>
      <c r="BA185" s="301" t="str">
        <f t="shared" si="103"/>
        <v/>
      </c>
      <c r="BB185" s="303">
        <f t="shared" si="117"/>
        <v>0</v>
      </c>
      <c r="BC185" s="303" t="str">
        <f t="shared" si="118"/>
        <v/>
      </c>
      <c r="BD185" s="303" t="str">
        <f t="shared" si="119"/>
        <v/>
      </c>
      <c r="BF185" s="304">
        <f t="shared" si="120"/>
        <v>0</v>
      </c>
      <c r="BG185" s="304">
        <f t="shared" si="121"/>
        <v>0</v>
      </c>
      <c r="BH185" s="304" t="str">
        <f>IF( $B185="", "", IF(ISNA(VLOOKUP($C185, Defesa!$C$8:$C$30,1,FALSE)),1,0))</f>
        <v/>
      </c>
      <c r="BI185" s="305" t="str">
        <f t="shared" si="122"/>
        <v/>
      </c>
      <c r="BJ185" s="305" t="str">
        <f t="shared" si="123"/>
        <v/>
      </c>
      <c r="BK185" s="304" t="str">
        <f t="shared" si="124"/>
        <v/>
      </c>
      <c r="BL185" s="304">
        <f t="shared" si="125"/>
        <v>0</v>
      </c>
      <c r="BM185" s="304" t="str">
        <f>IF($AC185="", "", IF(ISNA(VLOOKUP($AC185, TABELAS!$Q:$Q, 1, FALSE)), 1, 0))</f>
        <v/>
      </c>
      <c r="BN185" s="306" t="str">
        <f t="shared" si="126"/>
        <v/>
      </c>
      <c r="BO185" s="304" t="str">
        <f t="shared" si="127"/>
        <v/>
      </c>
      <c r="BP185" s="304" t="str">
        <f t="shared" si="128"/>
        <v/>
      </c>
      <c r="BQ185" s="305" t="str">
        <f t="shared" si="129"/>
        <v/>
      </c>
      <c r="BR185" s="304" t="str">
        <f t="shared" si="130"/>
        <v/>
      </c>
      <c r="BS185" s="304" t="str">
        <f t="shared" si="131"/>
        <v/>
      </c>
      <c r="BT185" s="304" t="str">
        <f>IF(OR($B185="", $AH185 = "SIM"), "", IF( ISNA(VLOOKUP($AP185,#REF!, 1, FALSE)), 1, 0))</f>
        <v/>
      </c>
      <c r="BU185" s="304" t="str">
        <f t="shared" si="132"/>
        <v/>
      </c>
      <c r="BV185" s="304" t="str">
        <f>IF( $B185="", "", IF( ISNA(VLOOKUP($AN185, TABELAS!$T$2:$T$9,1,FALSE)), 1, 0))</f>
        <v/>
      </c>
      <c r="BW185" s="304" t="str">
        <f t="shared" si="133"/>
        <v/>
      </c>
      <c r="BX185" s="304" t="str">
        <f>IF( OR($B185="", $AH185 = "SIM"), "", IF( ISNA( VLOOKUP( $AQ185, SISTEMA!$B:$B, 1, FALSE)), 1, 0))</f>
        <v/>
      </c>
      <c r="BY185" s="305" t="str">
        <f t="shared" si="134"/>
        <v/>
      </c>
      <c r="BZ185" s="305" t="str">
        <f t="shared" si="135"/>
        <v/>
      </c>
      <c r="CA185" s="304" t="str">
        <f t="shared" si="136"/>
        <v/>
      </c>
      <c r="CB185" s="305" t="str">
        <f t="shared" si="137"/>
        <v/>
      </c>
      <c r="CC185" s="305" t="str">
        <f t="shared" si="138"/>
        <v/>
      </c>
      <c r="CD185" s="305" t="str">
        <f t="shared" si="139"/>
        <v/>
      </c>
    </row>
    <row r="186" spans="1:82" x14ac:dyDescent="0.2">
      <c r="A186" s="235"/>
      <c r="B186" s="236" t="str">
        <f t="shared" si="104"/>
        <v/>
      </c>
      <c r="C186" s="237" t="str">
        <f t="shared" si="94"/>
        <v/>
      </c>
      <c r="D186" s="237" t="str">
        <f t="shared" si="105"/>
        <v/>
      </c>
      <c r="E186" s="237" t="str">
        <f>IF($C186="", "", COUNTIF($M$8:$M186,$D186))</f>
        <v/>
      </c>
      <c r="F186" s="238">
        <v>179</v>
      </c>
      <c r="G186" s="239"/>
      <c r="H186" s="240"/>
      <c r="I186" s="240"/>
      <c r="J186" s="241"/>
      <c r="K186" s="240"/>
      <c r="L186" s="240"/>
      <c r="M186" s="240"/>
      <c r="N186" s="242"/>
      <c r="O186" s="243"/>
      <c r="P186" s="243"/>
      <c r="Q186" s="243"/>
      <c r="R186" s="243"/>
      <c r="S186" s="243"/>
      <c r="T186" s="245"/>
      <c r="U186" s="246" t="str">
        <f>IF($T186="", "", VLOOKUP($T186, CONTRATOS!$B:$E, 2, FALSE))</f>
        <v/>
      </c>
      <c r="V186" s="247">
        <f>IF(OR($T186="",TB_DEFESA!$C$2="Criação Baseline"),0,
   IF(VLOOKUP($T186, CONTRATOS!B:E, 3, FALSE)&lt;&gt;"",1,IF(VLOOKUP($T186, CONTRATOS!B:E, 4, FALSE)&lt;&gt;"",2,0)))</f>
        <v>0</v>
      </c>
      <c r="W186" s="248"/>
      <c r="X186" s="248"/>
      <c r="Y186" s="249"/>
      <c r="Z186" s="250"/>
      <c r="AA186" s="251"/>
      <c r="AB186" s="252"/>
      <c r="AC186" s="253"/>
      <c r="AD186" s="251"/>
      <c r="AE186" s="254" t="str">
        <f t="shared" si="95"/>
        <v/>
      </c>
      <c r="AF186" s="256" t="str">
        <f t="shared" si="106"/>
        <v/>
      </c>
      <c r="AG186" s="293" t="s">
        <v>62</v>
      </c>
      <c r="AH186" s="294" t="str">
        <f t="shared" si="107"/>
        <v/>
      </c>
      <c r="AI186" s="294" t="str">
        <f t="shared" si="108"/>
        <v/>
      </c>
      <c r="AJ186" s="295" t="str">
        <f t="shared" si="109"/>
        <v/>
      </c>
      <c r="AK186" s="296" t="str">
        <f t="shared" si="110"/>
        <v/>
      </c>
      <c r="AL186" s="297" t="str">
        <f t="shared" si="111"/>
        <v/>
      </c>
      <c r="AM186" s="294" t="str">
        <f t="shared" si="112"/>
        <v/>
      </c>
      <c r="AN186" s="294" t="str">
        <f t="shared" si="113"/>
        <v/>
      </c>
      <c r="AO186" s="298" t="str">
        <f t="shared" si="114"/>
        <v/>
      </c>
      <c r="AP186" s="299" t="str">
        <f t="shared" si="115"/>
        <v/>
      </c>
      <c r="AQ186" s="299" t="str">
        <f t="shared" si="116"/>
        <v/>
      </c>
      <c r="AR186" s="300" t="str">
        <f t="shared" si="96"/>
        <v/>
      </c>
      <c r="AS186" s="300" t="str">
        <f t="shared" si="97"/>
        <v/>
      </c>
      <c r="AT186" s="294" t="str">
        <f t="shared" si="98"/>
        <v/>
      </c>
      <c r="AU186" s="301" t="str">
        <f>IF(OR($B186="", $AP186= ""),"",IF(VLOOKUP($AP186, CONTRATOS!B:K,3,FALSE)="","",VLOOKUP($AP186, CONTRATOS!B:K, 3,FALSE)))</f>
        <v/>
      </c>
      <c r="AV186" s="301" t="str">
        <f>IF(OR($B186="", $AP186 = ""), "", IF(VLOOKUP($AP186, CONTRATOS!B:K,4,FALSE)="","",VLOOKUP($AP186, CONTRATOS!B:K,4, FALSE)))</f>
        <v/>
      </c>
      <c r="AW186" s="302" t="str">
        <f t="shared" si="99"/>
        <v/>
      </c>
      <c r="AX186" s="301" t="str">
        <f t="shared" si="100"/>
        <v/>
      </c>
      <c r="AY186" s="301" t="str">
        <f t="shared" si="101"/>
        <v/>
      </c>
      <c r="AZ186" s="301" t="str">
        <f t="shared" si="102"/>
        <v/>
      </c>
      <c r="BA186" s="301" t="str">
        <f t="shared" si="103"/>
        <v/>
      </c>
      <c r="BB186" s="303">
        <f t="shared" si="117"/>
        <v>0</v>
      </c>
      <c r="BC186" s="303" t="str">
        <f t="shared" si="118"/>
        <v/>
      </c>
      <c r="BD186" s="303" t="str">
        <f t="shared" si="119"/>
        <v/>
      </c>
      <c r="BF186" s="304">
        <f t="shared" si="120"/>
        <v>0</v>
      </c>
      <c r="BG186" s="304">
        <f t="shared" si="121"/>
        <v>0</v>
      </c>
      <c r="BH186" s="304" t="str">
        <f>IF( $B186="", "", IF(ISNA(VLOOKUP($C186, Defesa!$C$8:$C$30,1,FALSE)),1,0))</f>
        <v/>
      </c>
      <c r="BI186" s="305" t="str">
        <f t="shared" si="122"/>
        <v/>
      </c>
      <c r="BJ186" s="305" t="str">
        <f t="shared" si="123"/>
        <v/>
      </c>
      <c r="BK186" s="304" t="str">
        <f t="shared" si="124"/>
        <v/>
      </c>
      <c r="BL186" s="304">
        <f t="shared" si="125"/>
        <v>0</v>
      </c>
      <c r="BM186" s="304" t="str">
        <f>IF($AC186="", "", IF(ISNA(VLOOKUP($AC186, TABELAS!$Q:$Q, 1, FALSE)), 1, 0))</f>
        <v/>
      </c>
      <c r="BN186" s="306" t="str">
        <f t="shared" si="126"/>
        <v/>
      </c>
      <c r="BO186" s="304" t="str">
        <f t="shared" si="127"/>
        <v/>
      </c>
      <c r="BP186" s="304" t="str">
        <f t="shared" si="128"/>
        <v/>
      </c>
      <c r="BQ186" s="305" t="str">
        <f t="shared" si="129"/>
        <v/>
      </c>
      <c r="BR186" s="304" t="str">
        <f t="shared" si="130"/>
        <v/>
      </c>
      <c r="BS186" s="304" t="str">
        <f t="shared" si="131"/>
        <v/>
      </c>
      <c r="BT186" s="304" t="str">
        <f>IF(OR($B186="", $AH186 = "SIM"), "", IF( ISNA(VLOOKUP($AP186,#REF!, 1, FALSE)), 1, 0))</f>
        <v/>
      </c>
      <c r="BU186" s="304" t="str">
        <f t="shared" si="132"/>
        <v/>
      </c>
      <c r="BV186" s="304" t="str">
        <f>IF( $B186="", "", IF( ISNA(VLOOKUP($AN186, TABELAS!$T$2:$T$9,1,FALSE)), 1, 0))</f>
        <v/>
      </c>
      <c r="BW186" s="304" t="str">
        <f t="shared" si="133"/>
        <v/>
      </c>
      <c r="BX186" s="304" t="str">
        <f>IF( OR($B186="", $AH186 = "SIM"), "", IF( ISNA( VLOOKUP( $AQ186, SISTEMA!$B:$B, 1, FALSE)), 1, 0))</f>
        <v/>
      </c>
      <c r="BY186" s="305" t="str">
        <f t="shared" si="134"/>
        <v/>
      </c>
      <c r="BZ186" s="305" t="str">
        <f t="shared" si="135"/>
        <v/>
      </c>
      <c r="CA186" s="304" t="str">
        <f t="shared" si="136"/>
        <v/>
      </c>
      <c r="CB186" s="305" t="str">
        <f t="shared" si="137"/>
        <v/>
      </c>
      <c r="CC186" s="305" t="str">
        <f t="shared" si="138"/>
        <v/>
      </c>
      <c r="CD186" s="305" t="str">
        <f t="shared" si="139"/>
        <v/>
      </c>
    </row>
    <row r="187" spans="1:82" x14ac:dyDescent="0.2">
      <c r="A187" s="235"/>
      <c r="B187" s="236" t="str">
        <f t="shared" si="104"/>
        <v/>
      </c>
      <c r="C187" s="237" t="str">
        <f t="shared" si="94"/>
        <v/>
      </c>
      <c r="D187" s="237" t="str">
        <f t="shared" si="105"/>
        <v/>
      </c>
      <c r="E187" s="237" t="str">
        <f>IF($C187="", "", COUNTIF($M$8:$M187,$D187))</f>
        <v/>
      </c>
      <c r="F187" s="238">
        <v>180</v>
      </c>
      <c r="G187" s="239"/>
      <c r="H187" s="240"/>
      <c r="I187" s="240"/>
      <c r="J187" s="241"/>
      <c r="K187" s="240"/>
      <c r="L187" s="240"/>
      <c r="M187" s="240"/>
      <c r="N187" s="242"/>
      <c r="O187" s="243"/>
      <c r="P187" s="243"/>
      <c r="Q187" s="243"/>
      <c r="R187" s="243"/>
      <c r="S187" s="243"/>
      <c r="T187" s="245"/>
      <c r="U187" s="246" t="str">
        <f>IF($T187="", "", VLOOKUP($T187, CONTRATOS!$B:$E, 2, FALSE))</f>
        <v/>
      </c>
      <c r="V187" s="247">
        <f>IF(OR($T187="",TB_DEFESA!$C$2="Criação Baseline"),0,
   IF(VLOOKUP($T187, CONTRATOS!B:E, 3, FALSE)&lt;&gt;"",1,IF(VLOOKUP($T187, CONTRATOS!B:E, 4, FALSE)&lt;&gt;"",2,0)))</f>
        <v>0</v>
      </c>
      <c r="W187" s="248"/>
      <c r="X187" s="248"/>
      <c r="Y187" s="249"/>
      <c r="Z187" s="250"/>
      <c r="AA187" s="251"/>
      <c r="AB187" s="252"/>
      <c r="AC187" s="253"/>
      <c r="AD187" s="251"/>
      <c r="AE187" s="254" t="str">
        <f t="shared" si="95"/>
        <v/>
      </c>
      <c r="AF187" s="256" t="str">
        <f t="shared" si="106"/>
        <v/>
      </c>
      <c r="AG187" s="293" t="s">
        <v>62</v>
      </c>
      <c r="AH187" s="294" t="str">
        <f t="shared" si="107"/>
        <v/>
      </c>
      <c r="AI187" s="294" t="str">
        <f t="shared" si="108"/>
        <v/>
      </c>
      <c r="AJ187" s="295" t="str">
        <f t="shared" si="109"/>
        <v/>
      </c>
      <c r="AK187" s="296" t="str">
        <f t="shared" si="110"/>
        <v/>
      </c>
      <c r="AL187" s="297" t="str">
        <f t="shared" si="111"/>
        <v/>
      </c>
      <c r="AM187" s="294" t="str">
        <f t="shared" si="112"/>
        <v/>
      </c>
      <c r="AN187" s="294" t="str">
        <f t="shared" si="113"/>
        <v/>
      </c>
      <c r="AO187" s="298" t="str">
        <f t="shared" si="114"/>
        <v/>
      </c>
      <c r="AP187" s="299" t="str">
        <f t="shared" si="115"/>
        <v/>
      </c>
      <c r="AQ187" s="299" t="str">
        <f t="shared" si="116"/>
        <v/>
      </c>
      <c r="AR187" s="300" t="str">
        <f t="shared" si="96"/>
        <v/>
      </c>
      <c r="AS187" s="300" t="str">
        <f t="shared" si="97"/>
        <v/>
      </c>
      <c r="AT187" s="294" t="str">
        <f t="shared" si="98"/>
        <v/>
      </c>
      <c r="AU187" s="301" t="str">
        <f>IF(OR($B187="", $AP187= ""),"",IF(VLOOKUP($AP187, CONTRATOS!B:K,3,FALSE)="","",VLOOKUP($AP187, CONTRATOS!B:K, 3,FALSE)))</f>
        <v/>
      </c>
      <c r="AV187" s="301" t="str">
        <f>IF(OR($B187="", $AP187 = ""), "", IF(VLOOKUP($AP187, CONTRATOS!B:K,4,FALSE)="","",VLOOKUP($AP187, CONTRATOS!B:K,4, FALSE)))</f>
        <v/>
      </c>
      <c r="AW187" s="302" t="str">
        <f t="shared" si="99"/>
        <v/>
      </c>
      <c r="AX187" s="301" t="str">
        <f t="shared" si="100"/>
        <v/>
      </c>
      <c r="AY187" s="301" t="str">
        <f t="shared" si="101"/>
        <v/>
      </c>
      <c r="AZ187" s="301" t="str">
        <f t="shared" si="102"/>
        <v/>
      </c>
      <c r="BA187" s="301" t="str">
        <f t="shared" si="103"/>
        <v/>
      </c>
      <c r="BB187" s="303">
        <f t="shared" si="117"/>
        <v>0</v>
      </c>
      <c r="BC187" s="303" t="str">
        <f t="shared" si="118"/>
        <v/>
      </c>
      <c r="BD187" s="303" t="str">
        <f t="shared" si="119"/>
        <v/>
      </c>
      <c r="BF187" s="304">
        <f t="shared" si="120"/>
        <v>0</v>
      </c>
      <c r="BG187" s="304">
        <f t="shared" si="121"/>
        <v>0</v>
      </c>
      <c r="BH187" s="304" t="str">
        <f>IF( $B187="", "", IF(ISNA(VLOOKUP($C187, Defesa!$C$8:$C$30,1,FALSE)),1,0))</f>
        <v/>
      </c>
      <c r="BI187" s="305" t="str">
        <f t="shared" si="122"/>
        <v/>
      </c>
      <c r="BJ187" s="305" t="str">
        <f t="shared" si="123"/>
        <v/>
      </c>
      <c r="BK187" s="304" t="str">
        <f t="shared" si="124"/>
        <v/>
      </c>
      <c r="BL187" s="304">
        <f t="shared" si="125"/>
        <v>0</v>
      </c>
      <c r="BM187" s="304" t="str">
        <f>IF($AC187="", "", IF(ISNA(VLOOKUP($AC187, TABELAS!$Q:$Q, 1, FALSE)), 1, 0))</f>
        <v/>
      </c>
      <c r="BN187" s="306" t="str">
        <f t="shared" si="126"/>
        <v/>
      </c>
      <c r="BO187" s="304" t="str">
        <f t="shared" si="127"/>
        <v/>
      </c>
      <c r="BP187" s="304" t="str">
        <f t="shared" si="128"/>
        <v/>
      </c>
      <c r="BQ187" s="305" t="str">
        <f t="shared" si="129"/>
        <v/>
      </c>
      <c r="BR187" s="304" t="str">
        <f t="shared" si="130"/>
        <v/>
      </c>
      <c r="BS187" s="304" t="str">
        <f t="shared" si="131"/>
        <v/>
      </c>
      <c r="BT187" s="304" t="str">
        <f>IF(OR($B187="", $AH187 = "SIM"), "", IF( ISNA(VLOOKUP($AP187,#REF!, 1, FALSE)), 1, 0))</f>
        <v/>
      </c>
      <c r="BU187" s="304" t="str">
        <f t="shared" si="132"/>
        <v/>
      </c>
      <c r="BV187" s="304" t="str">
        <f>IF( $B187="", "", IF( ISNA(VLOOKUP($AN187, TABELAS!$T$2:$T$9,1,FALSE)), 1, 0))</f>
        <v/>
      </c>
      <c r="BW187" s="304" t="str">
        <f t="shared" si="133"/>
        <v/>
      </c>
      <c r="BX187" s="304" t="str">
        <f>IF( OR($B187="", $AH187 = "SIM"), "", IF( ISNA( VLOOKUP( $AQ187, SISTEMA!$B:$B, 1, FALSE)), 1, 0))</f>
        <v/>
      </c>
      <c r="BY187" s="305" t="str">
        <f t="shared" si="134"/>
        <v/>
      </c>
      <c r="BZ187" s="305" t="str">
        <f t="shared" si="135"/>
        <v/>
      </c>
      <c r="CA187" s="304" t="str">
        <f t="shared" si="136"/>
        <v/>
      </c>
      <c r="CB187" s="305" t="str">
        <f t="shared" si="137"/>
        <v/>
      </c>
      <c r="CC187" s="305" t="str">
        <f t="shared" si="138"/>
        <v/>
      </c>
      <c r="CD187" s="305" t="str">
        <f t="shared" si="139"/>
        <v/>
      </c>
    </row>
    <row r="188" spans="1:82" x14ac:dyDescent="0.2">
      <c r="A188" s="235"/>
      <c r="B188" s="236" t="str">
        <f t="shared" si="104"/>
        <v/>
      </c>
      <c r="C188" s="237" t="str">
        <f t="shared" si="94"/>
        <v/>
      </c>
      <c r="D188" s="237" t="str">
        <f t="shared" si="105"/>
        <v/>
      </c>
      <c r="E188" s="237" t="str">
        <f>IF($C188="", "", COUNTIF($M$8:$M188,$D188))</f>
        <v/>
      </c>
      <c r="F188" s="238">
        <v>181</v>
      </c>
      <c r="G188" s="239"/>
      <c r="H188" s="240"/>
      <c r="I188" s="240"/>
      <c r="J188" s="241"/>
      <c r="K188" s="240"/>
      <c r="L188" s="240"/>
      <c r="M188" s="240"/>
      <c r="N188" s="242"/>
      <c r="O188" s="243"/>
      <c r="P188" s="243"/>
      <c r="Q188" s="243"/>
      <c r="R188" s="243"/>
      <c r="S188" s="243"/>
      <c r="T188" s="245"/>
      <c r="U188" s="246" t="str">
        <f>IF($T188="", "", VLOOKUP($T188, CONTRATOS!$B:$E, 2, FALSE))</f>
        <v/>
      </c>
      <c r="V188" s="247">
        <f>IF(OR($T188="",TB_DEFESA!$C$2="Criação Baseline"),0,
   IF(VLOOKUP($T188, CONTRATOS!B:E, 3, FALSE)&lt;&gt;"",1,IF(VLOOKUP($T188, CONTRATOS!B:E, 4, FALSE)&lt;&gt;"",2,0)))</f>
        <v>0</v>
      </c>
      <c r="W188" s="248"/>
      <c r="X188" s="248"/>
      <c r="Y188" s="249"/>
      <c r="Z188" s="250"/>
      <c r="AA188" s="251"/>
      <c r="AB188" s="252"/>
      <c r="AC188" s="253"/>
      <c r="AD188" s="251"/>
      <c r="AE188" s="254" t="str">
        <f t="shared" si="95"/>
        <v/>
      </c>
      <c r="AF188" s="256" t="str">
        <f t="shared" si="106"/>
        <v/>
      </c>
      <c r="AG188" s="293" t="s">
        <v>62</v>
      </c>
      <c r="AH188" s="294" t="str">
        <f t="shared" si="107"/>
        <v/>
      </c>
      <c r="AI188" s="294" t="str">
        <f t="shared" si="108"/>
        <v/>
      </c>
      <c r="AJ188" s="295" t="str">
        <f t="shared" si="109"/>
        <v/>
      </c>
      <c r="AK188" s="296" t="str">
        <f t="shared" si="110"/>
        <v/>
      </c>
      <c r="AL188" s="297" t="str">
        <f t="shared" si="111"/>
        <v/>
      </c>
      <c r="AM188" s="294" t="str">
        <f t="shared" si="112"/>
        <v/>
      </c>
      <c r="AN188" s="294" t="str">
        <f t="shared" si="113"/>
        <v/>
      </c>
      <c r="AO188" s="298" t="str">
        <f t="shared" si="114"/>
        <v/>
      </c>
      <c r="AP188" s="299" t="str">
        <f t="shared" si="115"/>
        <v/>
      </c>
      <c r="AQ188" s="299" t="str">
        <f t="shared" si="116"/>
        <v/>
      </c>
      <c r="AR188" s="300" t="str">
        <f t="shared" si="96"/>
        <v/>
      </c>
      <c r="AS188" s="300" t="str">
        <f t="shared" si="97"/>
        <v/>
      </c>
      <c r="AT188" s="294" t="str">
        <f t="shared" si="98"/>
        <v/>
      </c>
      <c r="AU188" s="301" t="str">
        <f>IF(OR($B188="", $AP188= ""),"",IF(VLOOKUP($AP188, CONTRATOS!B:K,3,FALSE)="","",VLOOKUP($AP188, CONTRATOS!B:K, 3,FALSE)))</f>
        <v/>
      </c>
      <c r="AV188" s="301" t="str">
        <f>IF(OR($B188="", $AP188 = ""), "", IF(VLOOKUP($AP188, CONTRATOS!B:K,4,FALSE)="","",VLOOKUP($AP188, CONTRATOS!B:K,4, FALSE)))</f>
        <v/>
      </c>
      <c r="AW188" s="302" t="str">
        <f t="shared" si="99"/>
        <v/>
      </c>
      <c r="AX188" s="301" t="str">
        <f t="shared" si="100"/>
        <v/>
      </c>
      <c r="AY188" s="301" t="str">
        <f t="shared" si="101"/>
        <v/>
      </c>
      <c r="AZ188" s="301" t="str">
        <f t="shared" si="102"/>
        <v/>
      </c>
      <c r="BA188" s="301" t="str">
        <f t="shared" si="103"/>
        <v/>
      </c>
      <c r="BB188" s="303">
        <f t="shared" si="117"/>
        <v>0</v>
      </c>
      <c r="BC188" s="303" t="str">
        <f t="shared" si="118"/>
        <v/>
      </c>
      <c r="BD188" s="303" t="str">
        <f t="shared" si="119"/>
        <v/>
      </c>
      <c r="BF188" s="304">
        <f t="shared" si="120"/>
        <v>0</v>
      </c>
      <c r="BG188" s="304">
        <f t="shared" si="121"/>
        <v>0</v>
      </c>
      <c r="BH188" s="304" t="str">
        <f>IF( $B188="", "", IF(ISNA(VLOOKUP($C188, Defesa!$C$8:$C$30,1,FALSE)),1,0))</f>
        <v/>
      </c>
      <c r="BI188" s="305" t="str">
        <f t="shared" si="122"/>
        <v/>
      </c>
      <c r="BJ188" s="305" t="str">
        <f t="shared" si="123"/>
        <v/>
      </c>
      <c r="BK188" s="304" t="str">
        <f t="shared" si="124"/>
        <v/>
      </c>
      <c r="BL188" s="304">
        <f t="shared" si="125"/>
        <v>0</v>
      </c>
      <c r="BM188" s="304" t="str">
        <f>IF($AC188="", "", IF(ISNA(VLOOKUP($AC188, TABELAS!$Q:$Q, 1, FALSE)), 1, 0))</f>
        <v/>
      </c>
      <c r="BN188" s="306" t="str">
        <f t="shared" si="126"/>
        <v/>
      </c>
      <c r="BO188" s="304" t="str">
        <f t="shared" si="127"/>
        <v/>
      </c>
      <c r="BP188" s="304" t="str">
        <f t="shared" si="128"/>
        <v/>
      </c>
      <c r="BQ188" s="305" t="str">
        <f t="shared" si="129"/>
        <v/>
      </c>
      <c r="BR188" s="304" t="str">
        <f t="shared" si="130"/>
        <v/>
      </c>
      <c r="BS188" s="304" t="str">
        <f t="shared" si="131"/>
        <v/>
      </c>
      <c r="BT188" s="304" t="str">
        <f>IF(OR($B188="", $AH188 = "SIM"), "", IF( ISNA(VLOOKUP($AP188,#REF!, 1, FALSE)), 1, 0))</f>
        <v/>
      </c>
      <c r="BU188" s="304" t="str">
        <f t="shared" si="132"/>
        <v/>
      </c>
      <c r="BV188" s="304" t="str">
        <f>IF( $B188="", "", IF( ISNA(VLOOKUP($AN188, TABELAS!$T$2:$T$9,1,FALSE)), 1, 0))</f>
        <v/>
      </c>
      <c r="BW188" s="304" t="str">
        <f t="shared" si="133"/>
        <v/>
      </c>
      <c r="BX188" s="304" t="str">
        <f>IF( OR($B188="", $AH188 = "SIM"), "", IF( ISNA( VLOOKUP( $AQ188, SISTEMA!$B:$B, 1, FALSE)), 1, 0))</f>
        <v/>
      </c>
      <c r="BY188" s="305" t="str">
        <f t="shared" si="134"/>
        <v/>
      </c>
      <c r="BZ188" s="305" t="str">
        <f t="shared" si="135"/>
        <v/>
      </c>
      <c r="CA188" s="304" t="str">
        <f t="shared" si="136"/>
        <v/>
      </c>
      <c r="CB188" s="305" t="str">
        <f t="shared" si="137"/>
        <v/>
      </c>
      <c r="CC188" s="305" t="str">
        <f t="shared" si="138"/>
        <v/>
      </c>
      <c r="CD188" s="305" t="str">
        <f t="shared" si="139"/>
        <v/>
      </c>
    </row>
    <row r="189" spans="1:82" x14ac:dyDescent="0.2">
      <c r="A189" s="235"/>
      <c r="B189" s="236" t="str">
        <f t="shared" si="104"/>
        <v/>
      </c>
      <c r="C189" s="237" t="str">
        <f t="shared" si="94"/>
        <v/>
      </c>
      <c r="D189" s="237" t="str">
        <f t="shared" si="105"/>
        <v/>
      </c>
      <c r="E189" s="237" t="str">
        <f>IF($C189="", "", COUNTIF($M$8:$M189,$D189))</f>
        <v/>
      </c>
      <c r="F189" s="238">
        <v>182</v>
      </c>
      <c r="G189" s="239"/>
      <c r="H189" s="240"/>
      <c r="I189" s="240"/>
      <c r="J189" s="241"/>
      <c r="K189" s="240"/>
      <c r="L189" s="240"/>
      <c r="M189" s="240"/>
      <c r="N189" s="242"/>
      <c r="O189" s="243"/>
      <c r="P189" s="243"/>
      <c r="Q189" s="243"/>
      <c r="R189" s="243"/>
      <c r="S189" s="243"/>
      <c r="T189" s="245"/>
      <c r="U189" s="246" t="str">
        <f>IF($T189="", "", VLOOKUP($T189, CONTRATOS!$B:$E, 2, FALSE))</f>
        <v/>
      </c>
      <c r="V189" s="247">
        <f>IF(OR($T189="",TB_DEFESA!$C$2="Criação Baseline"),0,
   IF(VLOOKUP($T189, CONTRATOS!B:E, 3, FALSE)&lt;&gt;"",1,IF(VLOOKUP($T189, CONTRATOS!B:E, 4, FALSE)&lt;&gt;"",2,0)))</f>
        <v>0</v>
      </c>
      <c r="W189" s="248"/>
      <c r="X189" s="248"/>
      <c r="Y189" s="249"/>
      <c r="Z189" s="250"/>
      <c r="AA189" s="251"/>
      <c r="AB189" s="252"/>
      <c r="AC189" s="253"/>
      <c r="AD189" s="251"/>
      <c r="AE189" s="254" t="str">
        <f t="shared" si="95"/>
        <v/>
      </c>
      <c r="AF189" s="256" t="str">
        <f t="shared" si="106"/>
        <v/>
      </c>
      <c r="AG189" s="293" t="s">
        <v>62</v>
      </c>
      <c r="AH189" s="294" t="str">
        <f t="shared" si="107"/>
        <v/>
      </c>
      <c r="AI189" s="294" t="str">
        <f t="shared" si="108"/>
        <v/>
      </c>
      <c r="AJ189" s="295" t="str">
        <f t="shared" si="109"/>
        <v/>
      </c>
      <c r="AK189" s="296" t="str">
        <f t="shared" si="110"/>
        <v/>
      </c>
      <c r="AL189" s="297" t="str">
        <f t="shared" si="111"/>
        <v/>
      </c>
      <c r="AM189" s="294" t="str">
        <f t="shared" si="112"/>
        <v/>
      </c>
      <c r="AN189" s="294" t="str">
        <f t="shared" si="113"/>
        <v/>
      </c>
      <c r="AO189" s="298" t="str">
        <f t="shared" si="114"/>
        <v/>
      </c>
      <c r="AP189" s="299" t="str">
        <f t="shared" si="115"/>
        <v/>
      </c>
      <c r="AQ189" s="299" t="str">
        <f t="shared" si="116"/>
        <v/>
      </c>
      <c r="AR189" s="300" t="str">
        <f t="shared" si="96"/>
        <v/>
      </c>
      <c r="AS189" s="300" t="str">
        <f t="shared" si="97"/>
        <v/>
      </c>
      <c r="AT189" s="294" t="str">
        <f t="shared" si="98"/>
        <v/>
      </c>
      <c r="AU189" s="301" t="str">
        <f>IF(OR($B189="", $AP189= ""),"",IF(VLOOKUP($AP189, CONTRATOS!B:K,3,FALSE)="","",VLOOKUP($AP189, CONTRATOS!B:K, 3,FALSE)))</f>
        <v/>
      </c>
      <c r="AV189" s="301" t="str">
        <f>IF(OR($B189="", $AP189 = ""), "", IF(VLOOKUP($AP189, CONTRATOS!B:K,4,FALSE)="","",VLOOKUP($AP189, CONTRATOS!B:K,4, FALSE)))</f>
        <v/>
      </c>
      <c r="AW189" s="302" t="str">
        <f t="shared" si="99"/>
        <v/>
      </c>
      <c r="AX189" s="301" t="str">
        <f t="shared" si="100"/>
        <v/>
      </c>
      <c r="AY189" s="301" t="str">
        <f t="shared" si="101"/>
        <v/>
      </c>
      <c r="AZ189" s="301" t="str">
        <f t="shared" si="102"/>
        <v/>
      </c>
      <c r="BA189" s="301" t="str">
        <f t="shared" si="103"/>
        <v/>
      </c>
      <c r="BB189" s="303">
        <f t="shared" si="117"/>
        <v>0</v>
      </c>
      <c r="BC189" s="303" t="str">
        <f t="shared" si="118"/>
        <v/>
      </c>
      <c r="BD189" s="303" t="str">
        <f t="shared" si="119"/>
        <v/>
      </c>
      <c r="BF189" s="304">
        <f t="shared" si="120"/>
        <v>0</v>
      </c>
      <c r="BG189" s="304">
        <f t="shared" si="121"/>
        <v>0</v>
      </c>
      <c r="BH189" s="304" t="str">
        <f>IF( $B189="", "", IF(ISNA(VLOOKUP($C189, Defesa!$C$8:$C$30,1,FALSE)),1,0))</f>
        <v/>
      </c>
      <c r="BI189" s="305" t="str">
        <f t="shared" si="122"/>
        <v/>
      </c>
      <c r="BJ189" s="305" t="str">
        <f t="shared" si="123"/>
        <v/>
      </c>
      <c r="BK189" s="304" t="str">
        <f t="shared" si="124"/>
        <v/>
      </c>
      <c r="BL189" s="304">
        <f t="shared" si="125"/>
        <v>0</v>
      </c>
      <c r="BM189" s="304" t="str">
        <f>IF($AC189="", "", IF(ISNA(VLOOKUP($AC189, TABELAS!$Q:$Q, 1, FALSE)), 1, 0))</f>
        <v/>
      </c>
      <c r="BN189" s="306" t="str">
        <f t="shared" si="126"/>
        <v/>
      </c>
      <c r="BO189" s="304" t="str">
        <f t="shared" si="127"/>
        <v/>
      </c>
      <c r="BP189" s="304" t="str">
        <f t="shared" si="128"/>
        <v/>
      </c>
      <c r="BQ189" s="305" t="str">
        <f t="shared" si="129"/>
        <v/>
      </c>
      <c r="BR189" s="304" t="str">
        <f t="shared" si="130"/>
        <v/>
      </c>
      <c r="BS189" s="304" t="str">
        <f t="shared" si="131"/>
        <v/>
      </c>
      <c r="BT189" s="304" t="str">
        <f>IF(OR($B189="", $AH189 = "SIM"), "", IF( ISNA(VLOOKUP($AP189,#REF!, 1, FALSE)), 1, 0))</f>
        <v/>
      </c>
      <c r="BU189" s="304" t="str">
        <f t="shared" si="132"/>
        <v/>
      </c>
      <c r="BV189" s="304" t="str">
        <f>IF( $B189="", "", IF( ISNA(VLOOKUP($AN189, TABELAS!$T$2:$T$9,1,FALSE)), 1, 0))</f>
        <v/>
      </c>
      <c r="BW189" s="304" t="str">
        <f t="shared" si="133"/>
        <v/>
      </c>
      <c r="BX189" s="304" t="str">
        <f>IF( OR($B189="", $AH189 = "SIM"), "", IF( ISNA( VLOOKUP( $AQ189, SISTEMA!$B:$B, 1, FALSE)), 1, 0))</f>
        <v/>
      </c>
      <c r="BY189" s="305" t="str">
        <f t="shared" si="134"/>
        <v/>
      </c>
      <c r="BZ189" s="305" t="str">
        <f t="shared" si="135"/>
        <v/>
      </c>
      <c r="CA189" s="304" t="str">
        <f t="shared" si="136"/>
        <v/>
      </c>
      <c r="CB189" s="305" t="str">
        <f t="shared" si="137"/>
        <v/>
      </c>
      <c r="CC189" s="305" t="str">
        <f t="shared" si="138"/>
        <v/>
      </c>
      <c r="CD189" s="305" t="str">
        <f t="shared" si="139"/>
        <v/>
      </c>
    </row>
    <row r="190" spans="1:82" x14ac:dyDescent="0.2">
      <c r="A190" s="235"/>
      <c r="B190" s="236" t="str">
        <f t="shared" si="104"/>
        <v/>
      </c>
      <c r="C190" s="237" t="str">
        <f t="shared" si="94"/>
        <v/>
      </c>
      <c r="D190" s="237" t="str">
        <f t="shared" si="105"/>
        <v/>
      </c>
      <c r="E190" s="237" t="str">
        <f>IF($C190="", "", COUNTIF($M$8:$M190,$D190))</f>
        <v/>
      </c>
      <c r="F190" s="238">
        <v>183</v>
      </c>
      <c r="G190" s="239"/>
      <c r="H190" s="240"/>
      <c r="I190" s="240"/>
      <c r="J190" s="241"/>
      <c r="K190" s="240"/>
      <c r="L190" s="240"/>
      <c r="M190" s="240"/>
      <c r="N190" s="242"/>
      <c r="O190" s="243"/>
      <c r="P190" s="243"/>
      <c r="Q190" s="243"/>
      <c r="R190" s="243"/>
      <c r="S190" s="243"/>
      <c r="T190" s="245"/>
      <c r="U190" s="246" t="str">
        <f>IF($T190="", "", VLOOKUP($T190, CONTRATOS!$B:$E, 2, FALSE))</f>
        <v/>
      </c>
      <c r="V190" s="247">
        <f>IF(OR($T190="",TB_DEFESA!$C$2="Criação Baseline"),0,
   IF(VLOOKUP($T190, CONTRATOS!B:E, 3, FALSE)&lt;&gt;"",1,IF(VLOOKUP($T190, CONTRATOS!B:E, 4, FALSE)&lt;&gt;"",2,0)))</f>
        <v>0</v>
      </c>
      <c r="W190" s="248"/>
      <c r="X190" s="248"/>
      <c r="Y190" s="249"/>
      <c r="Z190" s="250"/>
      <c r="AA190" s="251"/>
      <c r="AB190" s="252"/>
      <c r="AC190" s="253"/>
      <c r="AD190" s="251"/>
      <c r="AE190" s="254" t="str">
        <f t="shared" si="95"/>
        <v/>
      </c>
      <c r="AF190" s="256" t="str">
        <f t="shared" si="106"/>
        <v/>
      </c>
      <c r="AG190" s="293" t="s">
        <v>62</v>
      </c>
      <c r="AH190" s="294" t="str">
        <f t="shared" si="107"/>
        <v/>
      </c>
      <c r="AI190" s="294" t="str">
        <f t="shared" si="108"/>
        <v/>
      </c>
      <c r="AJ190" s="295" t="str">
        <f t="shared" si="109"/>
        <v/>
      </c>
      <c r="AK190" s="296" t="str">
        <f t="shared" si="110"/>
        <v/>
      </c>
      <c r="AL190" s="297" t="str">
        <f t="shared" si="111"/>
        <v/>
      </c>
      <c r="AM190" s="294" t="str">
        <f t="shared" si="112"/>
        <v/>
      </c>
      <c r="AN190" s="294" t="str">
        <f t="shared" si="113"/>
        <v/>
      </c>
      <c r="AO190" s="298" t="str">
        <f t="shared" si="114"/>
        <v/>
      </c>
      <c r="AP190" s="299" t="str">
        <f t="shared" si="115"/>
        <v/>
      </c>
      <c r="AQ190" s="299" t="str">
        <f t="shared" si="116"/>
        <v/>
      </c>
      <c r="AR190" s="300" t="str">
        <f t="shared" si="96"/>
        <v/>
      </c>
      <c r="AS190" s="300" t="str">
        <f t="shared" si="97"/>
        <v/>
      </c>
      <c r="AT190" s="294" t="str">
        <f t="shared" si="98"/>
        <v/>
      </c>
      <c r="AU190" s="301" t="str">
        <f>IF(OR($B190="", $AP190= ""),"",IF(VLOOKUP($AP190, CONTRATOS!B:K,3,FALSE)="","",VLOOKUP($AP190, CONTRATOS!B:K, 3,FALSE)))</f>
        <v/>
      </c>
      <c r="AV190" s="301" t="str">
        <f>IF(OR($B190="", $AP190 = ""), "", IF(VLOOKUP($AP190, CONTRATOS!B:K,4,FALSE)="","",VLOOKUP($AP190, CONTRATOS!B:K,4, FALSE)))</f>
        <v/>
      </c>
      <c r="AW190" s="302" t="str">
        <f t="shared" si="99"/>
        <v/>
      </c>
      <c r="AX190" s="301" t="str">
        <f t="shared" si="100"/>
        <v/>
      </c>
      <c r="AY190" s="301" t="str">
        <f t="shared" si="101"/>
        <v/>
      </c>
      <c r="AZ190" s="301" t="str">
        <f t="shared" si="102"/>
        <v/>
      </c>
      <c r="BA190" s="301" t="str">
        <f t="shared" si="103"/>
        <v/>
      </c>
      <c r="BB190" s="303">
        <f t="shared" si="117"/>
        <v>0</v>
      </c>
      <c r="BC190" s="303" t="str">
        <f t="shared" si="118"/>
        <v/>
      </c>
      <c r="BD190" s="303" t="str">
        <f t="shared" si="119"/>
        <v/>
      </c>
      <c r="BF190" s="304">
        <f t="shared" si="120"/>
        <v>0</v>
      </c>
      <c r="BG190" s="304">
        <f t="shared" si="121"/>
        <v>0</v>
      </c>
      <c r="BH190" s="304" t="str">
        <f>IF( $B190="", "", IF(ISNA(VLOOKUP($C190, Defesa!$C$8:$C$30,1,FALSE)),1,0))</f>
        <v/>
      </c>
      <c r="BI190" s="305" t="str">
        <f t="shared" si="122"/>
        <v/>
      </c>
      <c r="BJ190" s="305" t="str">
        <f t="shared" si="123"/>
        <v/>
      </c>
      <c r="BK190" s="304" t="str">
        <f t="shared" si="124"/>
        <v/>
      </c>
      <c r="BL190" s="304">
        <f t="shared" si="125"/>
        <v>0</v>
      </c>
      <c r="BM190" s="304" t="str">
        <f>IF($AC190="", "", IF(ISNA(VLOOKUP($AC190, TABELAS!$Q:$Q, 1, FALSE)), 1, 0))</f>
        <v/>
      </c>
      <c r="BN190" s="306" t="str">
        <f t="shared" si="126"/>
        <v/>
      </c>
      <c r="BO190" s="304" t="str">
        <f t="shared" si="127"/>
        <v/>
      </c>
      <c r="BP190" s="304" t="str">
        <f t="shared" si="128"/>
        <v/>
      </c>
      <c r="BQ190" s="305" t="str">
        <f t="shared" si="129"/>
        <v/>
      </c>
      <c r="BR190" s="304" t="str">
        <f t="shared" si="130"/>
        <v/>
      </c>
      <c r="BS190" s="304" t="str">
        <f t="shared" si="131"/>
        <v/>
      </c>
      <c r="BT190" s="304" t="str">
        <f>IF(OR($B190="", $AH190 = "SIM"), "", IF( ISNA(VLOOKUP($AP190,#REF!, 1, FALSE)), 1, 0))</f>
        <v/>
      </c>
      <c r="BU190" s="304" t="str">
        <f t="shared" si="132"/>
        <v/>
      </c>
      <c r="BV190" s="304" t="str">
        <f>IF( $B190="", "", IF( ISNA(VLOOKUP($AN190, TABELAS!$T$2:$T$9,1,FALSE)), 1, 0))</f>
        <v/>
      </c>
      <c r="BW190" s="304" t="str">
        <f t="shared" si="133"/>
        <v/>
      </c>
      <c r="BX190" s="304" t="str">
        <f>IF( OR($B190="", $AH190 = "SIM"), "", IF( ISNA( VLOOKUP( $AQ190, SISTEMA!$B:$B, 1, FALSE)), 1, 0))</f>
        <v/>
      </c>
      <c r="BY190" s="305" t="str">
        <f t="shared" si="134"/>
        <v/>
      </c>
      <c r="BZ190" s="305" t="str">
        <f t="shared" si="135"/>
        <v/>
      </c>
      <c r="CA190" s="304" t="str">
        <f t="shared" si="136"/>
        <v/>
      </c>
      <c r="CB190" s="305" t="str">
        <f t="shared" si="137"/>
        <v/>
      </c>
      <c r="CC190" s="305" t="str">
        <f t="shared" si="138"/>
        <v/>
      </c>
      <c r="CD190" s="305" t="str">
        <f t="shared" si="139"/>
        <v/>
      </c>
    </row>
    <row r="191" spans="1:82" x14ac:dyDescent="0.2">
      <c r="A191" s="235"/>
      <c r="B191" s="236" t="str">
        <f t="shared" si="104"/>
        <v/>
      </c>
      <c r="C191" s="237" t="str">
        <f t="shared" si="94"/>
        <v/>
      </c>
      <c r="D191" s="237" t="str">
        <f t="shared" si="105"/>
        <v/>
      </c>
      <c r="E191" s="237" t="str">
        <f>IF($C191="", "", COUNTIF($M$8:$M191,$D191))</f>
        <v/>
      </c>
      <c r="F191" s="238">
        <v>184</v>
      </c>
      <c r="G191" s="239"/>
      <c r="H191" s="240"/>
      <c r="I191" s="240"/>
      <c r="J191" s="241"/>
      <c r="K191" s="240"/>
      <c r="L191" s="240"/>
      <c r="M191" s="240"/>
      <c r="N191" s="242"/>
      <c r="O191" s="243"/>
      <c r="P191" s="243"/>
      <c r="Q191" s="243"/>
      <c r="R191" s="243"/>
      <c r="S191" s="243"/>
      <c r="T191" s="245"/>
      <c r="U191" s="246" t="str">
        <f>IF($T191="", "", VLOOKUP($T191, CONTRATOS!$B:$E, 2, FALSE))</f>
        <v/>
      </c>
      <c r="V191" s="247">
        <f>IF(OR($T191="",TB_DEFESA!$C$2="Criação Baseline"),0,
   IF(VLOOKUP($T191, CONTRATOS!B:E, 3, FALSE)&lt;&gt;"",1,IF(VLOOKUP($T191, CONTRATOS!B:E, 4, FALSE)&lt;&gt;"",2,0)))</f>
        <v>0</v>
      </c>
      <c r="W191" s="248"/>
      <c r="X191" s="248"/>
      <c r="Y191" s="249"/>
      <c r="Z191" s="250"/>
      <c r="AA191" s="251"/>
      <c r="AB191" s="252"/>
      <c r="AC191" s="253"/>
      <c r="AD191" s="251"/>
      <c r="AE191" s="254" t="str">
        <f t="shared" si="95"/>
        <v/>
      </c>
      <c r="AF191" s="256" t="str">
        <f t="shared" si="106"/>
        <v/>
      </c>
      <c r="AG191" s="293" t="s">
        <v>62</v>
      </c>
      <c r="AH191" s="294" t="str">
        <f t="shared" si="107"/>
        <v/>
      </c>
      <c r="AI191" s="294" t="str">
        <f t="shared" si="108"/>
        <v/>
      </c>
      <c r="AJ191" s="295" t="str">
        <f t="shared" si="109"/>
        <v/>
      </c>
      <c r="AK191" s="296" t="str">
        <f t="shared" si="110"/>
        <v/>
      </c>
      <c r="AL191" s="297" t="str">
        <f t="shared" si="111"/>
        <v/>
      </c>
      <c r="AM191" s="294" t="str">
        <f t="shared" si="112"/>
        <v/>
      </c>
      <c r="AN191" s="294" t="str">
        <f t="shared" si="113"/>
        <v/>
      </c>
      <c r="AO191" s="298" t="str">
        <f t="shared" si="114"/>
        <v/>
      </c>
      <c r="AP191" s="299" t="str">
        <f t="shared" si="115"/>
        <v/>
      </c>
      <c r="AQ191" s="299" t="str">
        <f t="shared" si="116"/>
        <v/>
      </c>
      <c r="AR191" s="300" t="str">
        <f t="shared" si="96"/>
        <v/>
      </c>
      <c r="AS191" s="300" t="str">
        <f t="shared" si="97"/>
        <v/>
      </c>
      <c r="AT191" s="294" t="str">
        <f t="shared" si="98"/>
        <v/>
      </c>
      <c r="AU191" s="301" t="str">
        <f>IF(OR($B191="", $AP191= ""),"",IF(VLOOKUP($AP191, CONTRATOS!B:K,3,FALSE)="","",VLOOKUP($AP191, CONTRATOS!B:K, 3,FALSE)))</f>
        <v/>
      </c>
      <c r="AV191" s="301" t="str">
        <f>IF(OR($B191="", $AP191 = ""), "", IF(VLOOKUP($AP191, CONTRATOS!B:K,4,FALSE)="","",VLOOKUP($AP191, CONTRATOS!B:K,4, FALSE)))</f>
        <v/>
      </c>
      <c r="AW191" s="302" t="str">
        <f t="shared" si="99"/>
        <v/>
      </c>
      <c r="AX191" s="301" t="str">
        <f t="shared" si="100"/>
        <v/>
      </c>
      <c r="AY191" s="301" t="str">
        <f t="shared" si="101"/>
        <v/>
      </c>
      <c r="AZ191" s="301" t="str">
        <f t="shared" si="102"/>
        <v/>
      </c>
      <c r="BA191" s="301" t="str">
        <f t="shared" si="103"/>
        <v/>
      </c>
      <c r="BB191" s="303">
        <f t="shared" si="117"/>
        <v>0</v>
      </c>
      <c r="BC191" s="303" t="str">
        <f t="shared" si="118"/>
        <v/>
      </c>
      <c r="BD191" s="303" t="str">
        <f t="shared" si="119"/>
        <v/>
      </c>
      <c r="BF191" s="304">
        <f t="shared" si="120"/>
        <v>0</v>
      </c>
      <c r="BG191" s="304">
        <f t="shared" si="121"/>
        <v>0</v>
      </c>
      <c r="BH191" s="304" t="str">
        <f>IF( $B191="", "", IF(ISNA(VLOOKUP($C191, Defesa!$C$8:$C$30,1,FALSE)),1,0))</f>
        <v/>
      </c>
      <c r="BI191" s="305" t="str">
        <f t="shared" si="122"/>
        <v/>
      </c>
      <c r="BJ191" s="305" t="str">
        <f t="shared" si="123"/>
        <v/>
      </c>
      <c r="BK191" s="304" t="str">
        <f t="shared" si="124"/>
        <v/>
      </c>
      <c r="BL191" s="304">
        <f t="shared" si="125"/>
        <v>0</v>
      </c>
      <c r="BM191" s="304" t="str">
        <f>IF($AC191="", "", IF(ISNA(VLOOKUP($AC191, TABELAS!$Q:$Q, 1, FALSE)), 1, 0))</f>
        <v/>
      </c>
      <c r="BN191" s="306" t="str">
        <f t="shared" si="126"/>
        <v/>
      </c>
      <c r="BO191" s="304" t="str">
        <f t="shared" si="127"/>
        <v/>
      </c>
      <c r="BP191" s="304" t="str">
        <f t="shared" si="128"/>
        <v/>
      </c>
      <c r="BQ191" s="305" t="str">
        <f t="shared" si="129"/>
        <v/>
      </c>
      <c r="BR191" s="304" t="str">
        <f t="shared" si="130"/>
        <v/>
      </c>
      <c r="BS191" s="304" t="str">
        <f t="shared" si="131"/>
        <v/>
      </c>
      <c r="BT191" s="304" t="str">
        <f>IF(OR($B191="", $AH191 = "SIM"), "", IF( ISNA(VLOOKUP($AP191,#REF!, 1, FALSE)), 1, 0))</f>
        <v/>
      </c>
      <c r="BU191" s="304" t="str">
        <f t="shared" si="132"/>
        <v/>
      </c>
      <c r="BV191" s="304" t="str">
        <f>IF( $B191="", "", IF( ISNA(VLOOKUP($AN191, TABELAS!$T$2:$T$9,1,FALSE)), 1, 0))</f>
        <v/>
      </c>
      <c r="BW191" s="304" t="str">
        <f t="shared" si="133"/>
        <v/>
      </c>
      <c r="BX191" s="304" t="str">
        <f>IF( OR($B191="", $AH191 = "SIM"), "", IF( ISNA( VLOOKUP( $AQ191, SISTEMA!$B:$B, 1, FALSE)), 1, 0))</f>
        <v/>
      </c>
      <c r="BY191" s="305" t="str">
        <f t="shared" si="134"/>
        <v/>
      </c>
      <c r="BZ191" s="305" t="str">
        <f t="shared" si="135"/>
        <v/>
      </c>
      <c r="CA191" s="304" t="str">
        <f t="shared" si="136"/>
        <v/>
      </c>
      <c r="CB191" s="305" t="str">
        <f t="shared" si="137"/>
        <v/>
      </c>
      <c r="CC191" s="305" t="str">
        <f t="shared" si="138"/>
        <v/>
      </c>
      <c r="CD191" s="305" t="str">
        <f t="shared" si="139"/>
        <v/>
      </c>
    </row>
    <row r="192" spans="1:82" x14ac:dyDescent="0.2">
      <c r="A192" s="235"/>
      <c r="B192" s="236" t="str">
        <f t="shared" si="104"/>
        <v/>
      </c>
      <c r="C192" s="237" t="str">
        <f t="shared" si="94"/>
        <v/>
      </c>
      <c r="D192" s="237" t="str">
        <f t="shared" si="105"/>
        <v/>
      </c>
      <c r="E192" s="237" t="str">
        <f>IF($C192="", "", COUNTIF($M$8:$M192,$D192))</f>
        <v/>
      </c>
      <c r="F192" s="238">
        <v>185</v>
      </c>
      <c r="G192" s="239"/>
      <c r="H192" s="240"/>
      <c r="I192" s="240"/>
      <c r="J192" s="241"/>
      <c r="K192" s="240"/>
      <c r="L192" s="240"/>
      <c r="M192" s="240"/>
      <c r="N192" s="242"/>
      <c r="O192" s="243"/>
      <c r="P192" s="243"/>
      <c r="Q192" s="243"/>
      <c r="R192" s="243"/>
      <c r="S192" s="243"/>
      <c r="T192" s="245"/>
      <c r="U192" s="246" t="str">
        <f>IF($T192="", "", VLOOKUP($T192, CONTRATOS!$B:$E, 2, FALSE))</f>
        <v/>
      </c>
      <c r="V192" s="247">
        <f>IF(OR($T192="",TB_DEFESA!$C$2="Criação Baseline"),0,
   IF(VLOOKUP($T192, CONTRATOS!B:E, 3, FALSE)&lt;&gt;"",1,IF(VLOOKUP($T192, CONTRATOS!B:E, 4, FALSE)&lt;&gt;"",2,0)))</f>
        <v>0</v>
      </c>
      <c r="W192" s="248"/>
      <c r="X192" s="248"/>
      <c r="Y192" s="249"/>
      <c r="Z192" s="250"/>
      <c r="AA192" s="251"/>
      <c r="AB192" s="252"/>
      <c r="AC192" s="253"/>
      <c r="AD192" s="251"/>
      <c r="AE192" s="254" t="str">
        <f t="shared" si="95"/>
        <v/>
      </c>
      <c r="AF192" s="256" t="str">
        <f t="shared" si="106"/>
        <v/>
      </c>
      <c r="AG192" s="293" t="s">
        <v>62</v>
      </c>
      <c r="AH192" s="294" t="str">
        <f t="shared" si="107"/>
        <v/>
      </c>
      <c r="AI192" s="294" t="str">
        <f t="shared" si="108"/>
        <v/>
      </c>
      <c r="AJ192" s="295" t="str">
        <f t="shared" si="109"/>
        <v/>
      </c>
      <c r="AK192" s="296" t="str">
        <f t="shared" si="110"/>
        <v/>
      </c>
      <c r="AL192" s="297" t="str">
        <f t="shared" si="111"/>
        <v/>
      </c>
      <c r="AM192" s="294" t="str">
        <f t="shared" si="112"/>
        <v/>
      </c>
      <c r="AN192" s="294" t="str">
        <f t="shared" si="113"/>
        <v/>
      </c>
      <c r="AO192" s="298" t="str">
        <f t="shared" si="114"/>
        <v/>
      </c>
      <c r="AP192" s="299" t="str">
        <f t="shared" si="115"/>
        <v/>
      </c>
      <c r="AQ192" s="299" t="str">
        <f t="shared" si="116"/>
        <v/>
      </c>
      <c r="AR192" s="300" t="str">
        <f t="shared" si="96"/>
        <v/>
      </c>
      <c r="AS192" s="300" t="str">
        <f t="shared" si="97"/>
        <v/>
      </c>
      <c r="AT192" s="294" t="str">
        <f t="shared" si="98"/>
        <v/>
      </c>
      <c r="AU192" s="301" t="str">
        <f>IF(OR($B192="", $AP192= ""),"",IF(VLOOKUP($AP192, CONTRATOS!B:K,3,FALSE)="","",VLOOKUP($AP192, CONTRATOS!B:K, 3,FALSE)))</f>
        <v/>
      </c>
      <c r="AV192" s="301" t="str">
        <f>IF(OR($B192="", $AP192 = ""), "", IF(VLOOKUP($AP192, CONTRATOS!B:K,4,FALSE)="","",VLOOKUP($AP192, CONTRATOS!B:K,4, FALSE)))</f>
        <v/>
      </c>
      <c r="AW192" s="302" t="str">
        <f t="shared" si="99"/>
        <v/>
      </c>
      <c r="AX192" s="301" t="str">
        <f t="shared" si="100"/>
        <v/>
      </c>
      <c r="AY192" s="301" t="str">
        <f t="shared" si="101"/>
        <v/>
      </c>
      <c r="AZ192" s="301" t="str">
        <f t="shared" si="102"/>
        <v/>
      </c>
      <c r="BA192" s="301" t="str">
        <f t="shared" si="103"/>
        <v/>
      </c>
      <c r="BB192" s="303">
        <f t="shared" si="117"/>
        <v>0</v>
      </c>
      <c r="BC192" s="303" t="str">
        <f t="shared" si="118"/>
        <v/>
      </c>
      <c r="BD192" s="303" t="str">
        <f t="shared" si="119"/>
        <v/>
      </c>
      <c r="BF192" s="304">
        <f t="shared" si="120"/>
        <v>0</v>
      </c>
      <c r="BG192" s="304">
        <f t="shared" si="121"/>
        <v>0</v>
      </c>
      <c r="BH192" s="304" t="str">
        <f>IF( $B192="", "", IF(ISNA(VLOOKUP($C192, Defesa!$C$8:$C$30,1,FALSE)),1,0))</f>
        <v/>
      </c>
      <c r="BI192" s="305" t="str">
        <f t="shared" si="122"/>
        <v/>
      </c>
      <c r="BJ192" s="305" t="str">
        <f t="shared" si="123"/>
        <v/>
      </c>
      <c r="BK192" s="304" t="str">
        <f t="shared" si="124"/>
        <v/>
      </c>
      <c r="BL192" s="304">
        <f t="shared" si="125"/>
        <v>0</v>
      </c>
      <c r="BM192" s="304" t="str">
        <f>IF($AC192="", "", IF(ISNA(VLOOKUP($AC192, TABELAS!$Q:$Q, 1, FALSE)), 1, 0))</f>
        <v/>
      </c>
      <c r="BN192" s="306" t="str">
        <f t="shared" si="126"/>
        <v/>
      </c>
      <c r="BO192" s="304" t="str">
        <f t="shared" si="127"/>
        <v/>
      </c>
      <c r="BP192" s="304" t="str">
        <f t="shared" si="128"/>
        <v/>
      </c>
      <c r="BQ192" s="305" t="str">
        <f t="shared" si="129"/>
        <v/>
      </c>
      <c r="BR192" s="304" t="str">
        <f t="shared" si="130"/>
        <v/>
      </c>
      <c r="BS192" s="304" t="str">
        <f t="shared" si="131"/>
        <v/>
      </c>
      <c r="BT192" s="304" t="str">
        <f>IF(OR($B192="", $AH192 = "SIM"), "", IF( ISNA(VLOOKUP($AP192,#REF!, 1, FALSE)), 1, 0))</f>
        <v/>
      </c>
      <c r="BU192" s="304" t="str">
        <f t="shared" si="132"/>
        <v/>
      </c>
      <c r="BV192" s="304" t="str">
        <f>IF( $B192="", "", IF( ISNA(VLOOKUP($AN192, TABELAS!$T$2:$T$9,1,FALSE)), 1, 0))</f>
        <v/>
      </c>
      <c r="BW192" s="304" t="str">
        <f t="shared" si="133"/>
        <v/>
      </c>
      <c r="BX192" s="304" t="str">
        <f>IF( OR($B192="", $AH192 = "SIM"), "", IF( ISNA( VLOOKUP( $AQ192, SISTEMA!$B:$B, 1, FALSE)), 1, 0))</f>
        <v/>
      </c>
      <c r="BY192" s="305" t="str">
        <f t="shared" si="134"/>
        <v/>
      </c>
      <c r="BZ192" s="305" t="str">
        <f t="shared" si="135"/>
        <v/>
      </c>
      <c r="CA192" s="304" t="str">
        <f t="shared" si="136"/>
        <v/>
      </c>
      <c r="CB192" s="305" t="str">
        <f t="shared" si="137"/>
        <v/>
      </c>
      <c r="CC192" s="305" t="str">
        <f t="shared" si="138"/>
        <v/>
      </c>
      <c r="CD192" s="305" t="str">
        <f t="shared" si="139"/>
        <v/>
      </c>
    </row>
    <row r="193" spans="1:82" x14ac:dyDescent="0.2">
      <c r="A193" s="235"/>
      <c r="B193" s="236" t="str">
        <f t="shared" si="104"/>
        <v/>
      </c>
      <c r="C193" s="237" t="str">
        <f t="shared" si="94"/>
        <v/>
      </c>
      <c r="D193" s="237" t="str">
        <f t="shared" si="105"/>
        <v/>
      </c>
      <c r="E193" s="237" t="str">
        <f>IF($C193="", "", COUNTIF($M$8:$M193,$D193))</f>
        <v/>
      </c>
      <c r="F193" s="238">
        <v>186</v>
      </c>
      <c r="G193" s="239"/>
      <c r="H193" s="240"/>
      <c r="I193" s="240"/>
      <c r="J193" s="241"/>
      <c r="K193" s="240"/>
      <c r="L193" s="240"/>
      <c r="M193" s="240"/>
      <c r="N193" s="242"/>
      <c r="O193" s="243"/>
      <c r="P193" s="243"/>
      <c r="Q193" s="243"/>
      <c r="R193" s="243"/>
      <c r="S193" s="243"/>
      <c r="T193" s="245"/>
      <c r="U193" s="246" t="str">
        <f>IF($T193="", "", VLOOKUP($T193, CONTRATOS!$B:$E, 2, FALSE))</f>
        <v/>
      </c>
      <c r="V193" s="247">
        <f>IF(OR($T193="",TB_DEFESA!$C$2="Criação Baseline"),0,
   IF(VLOOKUP($T193, CONTRATOS!B:E, 3, FALSE)&lt;&gt;"",1,IF(VLOOKUP($T193, CONTRATOS!B:E, 4, FALSE)&lt;&gt;"",2,0)))</f>
        <v>0</v>
      </c>
      <c r="W193" s="248"/>
      <c r="X193" s="248"/>
      <c r="Y193" s="249"/>
      <c r="Z193" s="250"/>
      <c r="AA193" s="251"/>
      <c r="AB193" s="252"/>
      <c r="AC193" s="253"/>
      <c r="AD193" s="251"/>
      <c r="AE193" s="254" t="str">
        <f t="shared" si="95"/>
        <v/>
      </c>
      <c r="AF193" s="256" t="str">
        <f t="shared" si="106"/>
        <v/>
      </c>
      <c r="AG193" s="293" t="s">
        <v>62</v>
      </c>
      <c r="AH193" s="294" t="str">
        <f t="shared" si="107"/>
        <v/>
      </c>
      <c r="AI193" s="294" t="str">
        <f t="shared" si="108"/>
        <v/>
      </c>
      <c r="AJ193" s="295" t="str">
        <f t="shared" si="109"/>
        <v/>
      </c>
      <c r="AK193" s="296" t="str">
        <f t="shared" si="110"/>
        <v/>
      </c>
      <c r="AL193" s="297" t="str">
        <f t="shared" si="111"/>
        <v/>
      </c>
      <c r="AM193" s="294" t="str">
        <f t="shared" si="112"/>
        <v/>
      </c>
      <c r="AN193" s="294" t="str">
        <f t="shared" si="113"/>
        <v/>
      </c>
      <c r="AO193" s="298" t="str">
        <f t="shared" si="114"/>
        <v/>
      </c>
      <c r="AP193" s="299" t="str">
        <f t="shared" si="115"/>
        <v/>
      </c>
      <c r="AQ193" s="299" t="str">
        <f t="shared" si="116"/>
        <v/>
      </c>
      <c r="AR193" s="300" t="str">
        <f t="shared" si="96"/>
        <v/>
      </c>
      <c r="AS193" s="300" t="str">
        <f t="shared" si="97"/>
        <v/>
      </c>
      <c r="AT193" s="294" t="str">
        <f t="shared" si="98"/>
        <v/>
      </c>
      <c r="AU193" s="301" t="str">
        <f>IF(OR($B193="", $AP193= ""),"",IF(VLOOKUP($AP193, CONTRATOS!B:K,3,FALSE)="","",VLOOKUP($AP193, CONTRATOS!B:K, 3,FALSE)))</f>
        <v/>
      </c>
      <c r="AV193" s="301" t="str">
        <f>IF(OR($B193="", $AP193 = ""), "", IF(VLOOKUP($AP193, CONTRATOS!B:K,4,FALSE)="","",VLOOKUP($AP193, CONTRATOS!B:K,4, FALSE)))</f>
        <v/>
      </c>
      <c r="AW193" s="302" t="str">
        <f t="shared" si="99"/>
        <v/>
      </c>
      <c r="AX193" s="301" t="str">
        <f t="shared" si="100"/>
        <v/>
      </c>
      <c r="AY193" s="301" t="str">
        <f t="shared" si="101"/>
        <v/>
      </c>
      <c r="AZ193" s="301" t="str">
        <f t="shared" si="102"/>
        <v/>
      </c>
      <c r="BA193" s="301" t="str">
        <f t="shared" si="103"/>
        <v/>
      </c>
      <c r="BB193" s="303">
        <f t="shared" si="117"/>
        <v>0</v>
      </c>
      <c r="BC193" s="303" t="str">
        <f t="shared" si="118"/>
        <v/>
      </c>
      <c r="BD193" s="303" t="str">
        <f t="shared" si="119"/>
        <v/>
      </c>
      <c r="BF193" s="304">
        <f t="shared" si="120"/>
        <v>0</v>
      </c>
      <c r="BG193" s="304">
        <f t="shared" si="121"/>
        <v>0</v>
      </c>
      <c r="BH193" s="304" t="str">
        <f>IF( $B193="", "", IF(ISNA(VLOOKUP($C193, Defesa!$C$8:$C$30,1,FALSE)),1,0))</f>
        <v/>
      </c>
      <c r="BI193" s="305" t="str">
        <f t="shared" si="122"/>
        <v/>
      </c>
      <c r="BJ193" s="305" t="str">
        <f t="shared" si="123"/>
        <v/>
      </c>
      <c r="BK193" s="304" t="str">
        <f t="shared" si="124"/>
        <v/>
      </c>
      <c r="BL193" s="304">
        <f t="shared" si="125"/>
        <v>0</v>
      </c>
      <c r="BM193" s="304" t="str">
        <f>IF($AC193="", "", IF(ISNA(VLOOKUP($AC193, TABELAS!$Q:$Q, 1, FALSE)), 1, 0))</f>
        <v/>
      </c>
      <c r="BN193" s="306" t="str">
        <f t="shared" si="126"/>
        <v/>
      </c>
      <c r="BO193" s="304" t="str">
        <f t="shared" si="127"/>
        <v/>
      </c>
      <c r="BP193" s="304" t="str">
        <f t="shared" si="128"/>
        <v/>
      </c>
      <c r="BQ193" s="305" t="str">
        <f t="shared" si="129"/>
        <v/>
      </c>
      <c r="BR193" s="304" t="str">
        <f t="shared" si="130"/>
        <v/>
      </c>
      <c r="BS193" s="304" t="str">
        <f t="shared" si="131"/>
        <v/>
      </c>
      <c r="BT193" s="304" t="str">
        <f>IF(OR($B193="", $AH193 = "SIM"), "", IF( ISNA(VLOOKUP($AP193,#REF!, 1, FALSE)), 1, 0))</f>
        <v/>
      </c>
      <c r="BU193" s="304" t="str">
        <f t="shared" si="132"/>
        <v/>
      </c>
      <c r="BV193" s="304" t="str">
        <f>IF( $B193="", "", IF( ISNA(VLOOKUP($AN193, TABELAS!$T$2:$T$9,1,FALSE)), 1, 0))</f>
        <v/>
      </c>
      <c r="BW193" s="304" t="str">
        <f t="shared" si="133"/>
        <v/>
      </c>
      <c r="BX193" s="304" t="str">
        <f>IF( OR($B193="", $AH193 = "SIM"), "", IF( ISNA( VLOOKUP( $AQ193, SISTEMA!$B:$B, 1, FALSE)), 1, 0))</f>
        <v/>
      </c>
      <c r="BY193" s="305" t="str">
        <f t="shared" si="134"/>
        <v/>
      </c>
      <c r="BZ193" s="305" t="str">
        <f t="shared" si="135"/>
        <v/>
      </c>
      <c r="CA193" s="304" t="str">
        <f t="shared" si="136"/>
        <v/>
      </c>
      <c r="CB193" s="305" t="str">
        <f t="shared" si="137"/>
        <v/>
      </c>
      <c r="CC193" s="305" t="str">
        <f t="shared" si="138"/>
        <v/>
      </c>
      <c r="CD193" s="305" t="str">
        <f t="shared" si="139"/>
        <v/>
      </c>
    </row>
    <row r="194" spans="1:82" x14ac:dyDescent="0.2">
      <c r="A194" s="235"/>
      <c r="B194" s="236" t="str">
        <f t="shared" si="104"/>
        <v/>
      </c>
      <c r="C194" s="237" t="str">
        <f t="shared" si="94"/>
        <v/>
      </c>
      <c r="D194" s="237" t="str">
        <f t="shared" si="105"/>
        <v/>
      </c>
      <c r="E194" s="237" t="str">
        <f>IF($C194="", "", COUNTIF($M$8:$M194,$D194))</f>
        <v/>
      </c>
      <c r="F194" s="238">
        <v>187</v>
      </c>
      <c r="G194" s="239"/>
      <c r="H194" s="240"/>
      <c r="I194" s="240"/>
      <c r="J194" s="241"/>
      <c r="K194" s="240"/>
      <c r="L194" s="240"/>
      <c r="M194" s="240"/>
      <c r="N194" s="242"/>
      <c r="O194" s="243"/>
      <c r="P194" s="243"/>
      <c r="Q194" s="243"/>
      <c r="R194" s="243"/>
      <c r="S194" s="243"/>
      <c r="T194" s="245"/>
      <c r="U194" s="246" t="str">
        <f>IF($T194="", "", VLOOKUP($T194, CONTRATOS!$B:$E, 2, FALSE))</f>
        <v/>
      </c>
      <c r="V194" s="247">
        <f>IF(OR($T194="",TB_DEFESA!$C$2="Criação Baseline"),0,
   IF(VLOOKUP($T194, CONTRATOS!B:E, 3, FALSE)&lt;&gt;"",1,IF(VLOOKUP($T194, CONTRATOS!B:E, 4, FALSE)&lt;&gt;"",2,0)))</f>
        <v>0</v>
      </c>
      <c r="W194" s="248"/>
      <c r="X194" s="248"/>
      <c r="Y194" s="249"/>
      <c r="Z194" s="250"/>
      <c r="AA194" s="251"/>
      <c r="AB194" s="252"/>
      <c r="AC194" s="253"/>
      <c r="AD194" s="251"/>
      <c r="AE194" s="254" t="str">
        <f t="shared" si="95"/>
        <v/>
      </c>
      <c r="AF194" s="256" t="str">
        <f t="shared" si="106"/>
        <v/>
      </c>
      <c r="AG194" s="293" t="s">
        <v>62</v>
      </c>
      <c r="AH194" s="294" t="str">
        <f t="shared" si="107"/>
        <v/>
      </c>
      <c r="AI194" s="294" t="str">
        <f t="shared" si="108"/>
        <v/>
      </c>
      <c r="AJ194" s="295" t="str">
        <f t="shared" si="109"/>
        <v/>
      </c>
      <c r="AK194" s="296" t="str">
        <f t="shared" si="110"/>
        <v/>
      </c>
      <c r="AL194" s="297" t="str">
        <f t="shared" si="111"/>
        <v/>
      </c>
      <c r="AM194" s="294" t="str">
        <f t="shared" si="112"/>
        <v/>
      </c>
      <c r="AN194" s="294" t="str">
        <f t="shared" si="113"/>
        <v/>
      </c>
      <c r="AO194" s="298" t="str">
        <f t="shared" si="114"/>
        <v/>
      </c>
      <c r="AP194" s="299" t="str">
        <f t="shared" si="115"/>
        <v/>
      </c>
      <c r="AQ194" s="299" t="str">
        <f t="shared" si="116"/>
        <v/>
      </c>
      <c r="AR194" s="300" t="str">
        <f t="shared" si="96"/>
        <v/>
      </c>
      <c r="AS194" s="300" t="str">
        <f t="shared" si="97"/>
        <v/>
      </c>
      <c r="AT194" s="294" t="str">
        <f t="shared" si="98"/>
        <v/>
      </c>
      <c r="AU194" s="301" t="str">
        <f>IF(OR($B194="", $AP194= ""),"",IF(VLOOKUP($AP194, CONTRATOS!B:K,3,FALSE)="","",VLOOKUP($AP194, CONTRATOS!B:K, 3,FALSE)))</f>
        <v/>
      </c>
      <c r="AV194" s="301" t="str">
        <f>IF(OR($B194="", $AP194 = ""), "", IF(VLOOKUP($AP194, CONTRATOS!B:K,4,FALSE)="","",VLOOKUP($AP194, CONTRATOS!B:K,4, FALSE)))</f>
        <v/>
      </c>
      <c r="AW194" s="302" t="str">
        <f t="shared" si="99"/>
        <v/>
      </c>
      <c r="AX194" s="301" t="str">
        <f t="shared" si="100"/>
        <v/>
      </c>
      <c r="AY194" s="301" t="str">
        <f t="shared" si="101"/>
        <v/>
      </c>
      <c r="AZ194" s="301" t="str">
        <f t="shared" si="102"/>
        <v/>
      </c>
      <c r="BA194" s="301" t="str">
        <f t="shared" si="103"/>
        <v/>
      </c>
      <c r="BB194" s="303">
        <f t="shared" si="117"/>
        <v>0</v>
      </c>
      <c r="BC194" s="303" t="str">
        <f t="shared" si="118"/>
        <v/>
      </c>
      <c r="BD194" s="303" t="str">
        <f t="shared" si="119"/>
        <v/>
      </c>
      <c r="BF194" s="304">
        <f t="shared" si="120"/>
        <v>0</v>
      </c>
      <c r="BG194" s="304">
        <f t="shared" si="121"/>
        <v>0</v>
      </c>
      <c r="BH194" s="304" t="str">
        <f>IF( $B194="", "", IF(ISNA(VLOOKUP($C194, Defesa!$C$8:$C$30,1,FALSE)),1,0))</f>
        <v/>
      </c>
      <c r="BI194" s="305" t="str">
        <f t="shared" si="122"/>
        <v/>
      </c>
      <c r="BJ194" s="305" t="str">
        <f t="shared" si="123"/>
        <v/>
      </c>
      <c r="BK194" s="304" t="str">
        <f t="shared" si="124"/>
        <v/>
      </c>
      <c r="BL194" s="304">
        <f t="shared" si="125"/>
        <v>0</v>
      </c>
      <c r="BM194" s="304" t="str">
        <f>IF($AC194="", "", IF(ISNA(VLOOKUP($AC194, TABELAS!$Q:$Q, 1, FALSE)), 1, 0))</f>
        <v/>
      </c>
      <c r="BN194" s="306" t="str">
        <f t="shared" si="126"/>
        <v/>
      </c>
      <c r="BO194" s="304" t="str">
        <f t="shared" si="127"/>
        <v/>
      </c>
      <c r="BP194" s="304" t="str">
        <f t="shared" si="128"/>
        <v/>
      </c>
      <c r="BQ194" s="305" t="str">
        <f t="shared" si="129"/>
        <v/>
      </c>
      <c r="BR194" s="304" t="str">
        <f t="shared" si="130"/>
        <v/>
      </c>
      <c r="BS194" s="304" t="str">
        <f t="shared" si="131"/>
        <v/>
      </c>
      <c r="BT194" s="304" t="str">
        <f>IF(OR($B194="", $AH194 = "SIM"), "", IF( ISNA(VLOOKUP($AP194,#REF!, 1, FALSE)), 1, 0))</f>
        <v/>
      </c>
      <c r="BU194" s="304" t="str">
        <f t="shared" si="132"/>
        <v/>
      </c>
      <c r="BV194" s="304" t="str">
        <f>IF( $B194="", "", IF( ISNA(VLOOKUP($AN194, TABELAS!$T$2:$T$9,1,FALSE)), 1, 0))</f>
        <v/>
      </c>
      <c r="BW194" s="304" t="str">
        <f t="shared" si="133"/>
        <v/>
      </c>
      <c r="BX194" s="304" t="str">
        <f>IF( OR($B194="", $AH194 = "SIM"), "", IF( ISNA( VLOOKUP( $AQ194, SISTEMA!$B:$B, 1, FALSE)), 1, 0))</f>
        <v/>
      </c>
      <c r="BY194" s="305" t="str">
        <f t="shared" si="134"/>
        <v/>
      </c>
      <c r="BZ194" s="305" t="str">
        <f t="shared" si="135"/>
        <v/>
      </c>
      <c r="CA194" s="304" t="str">
        <f t="shared" si="136"/>
        <v/>
      </c>
      <c r="CB194" s="305" t="str">
        <f t="shared" si="137"/>
        <v/>
      </c>
      <c r="CC194" s="305" t="str">
        <f t="shared" si="138"/>
        <v/>
      </c>
      <c r="CD194" s="305" t="str">
        <f t="shared" si="139"/>
        <v/>
      </c>
    </row>
    <row r="195" spans="1:82" x14ac:dyDescent="0.2">
      <c r="A195" s="235"/>
      <c r="B195" s="236" t="str">
        <f t="shared" si="104"/>
        <v/>
      </c>
      <c r="C195" s="237" t="str">
        <f t="shared" si="94"/>
        <v/>
      </c>
      <c r="D195" s="237" t="str">
        <f t="shared" si="105"/>
        <v/>
      </c>
      <c r="E195" s="237" t="str">
        <f>IF($C195="", "", COUNTIF($M$8:$M195,$D195))</f>
        <v/>
      </c>
      <c r="F195" s="238">
        <v>188</v>
      </c>
      <c r="G195" s="239"/>
      <c r="H195" s="240"/>
      <c r="I195" s="240"/>
      <c r="J195" s="241"/>
      <c r="K195" s="240"/>
      <c r="L195" s="240"/>
      <c r="M195" s="240"/>
      <c r="N195" s="242"/>
      <c r="O195" s="243"/>
      <c r="P195" s="243"/>
      <c r="Q195" s="243"/>
      <c r="R195" s="243"/>
      <c r="S195" s="243"/>
      <c r="T195" s="245"/>
      <c r="U195" s="246" t="str">
        <f>IF($T195="", "", VLOOKUP($T195, CONTRATOS!$B:$E, 2, FALSE))</f>
        <v/>
      </c>
      <c r="V195" s="247">
        <f>IF(OR($T195="",TB_DEFESA!$C$2="Criação Baseline"),0,
   IF(VLOOKUP($T195, CONTRATOS!B:E, 3, FALSE)&lt;&gt;"",1,IF(VLOOKUP($T195, CONTRATOS!B:E, 4, FALSE)&lt;&gt;"",2,0)))</f>
        <v>0</v>
      </c>
      <c r="W195" s="248"/>
      <c r="X195" s="248"/>
      <c r="Y195" s="249"/>
      <c r="Z195" s="250"/>
      <c r="AA195" s="251"/>
      <c r="AB195" s="252"/>
      <c r="AC195" s="253"/>
      <c r="AD195" s="251"/>
      <c r="AE195" s="254" t="str">
        <f t="shared" si="95"/>
        <v/>
      </c>
      <c r="AF195" s="256" t="str">
        <f t="shared" si="106"/>
        <v/>
      </c>
      <c r="AG195" s="293" t="s">
        <v>62</v>
      </c>
      <c r="AH195" s="294" t="str">
        <f t="shared" si="107"/>
        <v/>
      </c>
      <c r="AI195" s="294" t="str">
        <f t="shared" si="108"/>
        <v/>
      </c>
      <c r="AJ195" s="295" t="str">
        <f t="shared" si="109"/>
        <v/>
      </c>
      <c r="AK195" s="296" t="str">
        <f t="shared" si="110"/>
        <v/>
      </c>
      <c r="AL195" s="297" t="str">
        <f t="shared" si="111"/>
        <v/>
      </c>
      <c r="AM195" s="294" t="str">
        <f t="shared" si="112"/>
        <v/>
      </c>
      <c r="AN195" s="294" t="str">
        <f t="shared" si="113"/>
        <v/>
      </c>
      <c r="AO195" s="298" t="str">
        <f t="shared" si="114"/>
        <v/>
      </c>
      <c r="AP195" s="299" t="str">
        <f t="shared" si="115"/>
        <v/>
      </c>
      <c r="AQ195" s="299" t="str">
        <f t="shared" si="116"/>
        <v/>
      </c>
      <c r="AR195" s="300" t="str">
        <f t="shared" si="96"/>
        <v/>
      </c>
      <c r="AS195" s="300" t="str">
        <f t="shared" si="97"/>
        <v/>
      </c>
      <c r="AT195" s="294" t="str">
        <f t="shared" si="98"/>
        <v/>
      </c>
      <c r="AU195" s="301" t="str">
        <f>IF(OR($B195="", $AP195= ""),"",IF(VLOOKUP($AP195, CONTRATOS!B:K,3,FALSE)="","",VLOOKUP($AP195, CONTRATOS!B:K, 3,FALSE)))</f>
        <v/>
      </c>
      <c r="AV195" s="301" t="str">
        <f>IF(OR($B195="", $AP195 = ""), "", IF(VLOOKUP($AP195, CONTRATOS!B:K,4,FALSE)="","",VLOOKUP($AP195, CONTRATOS!B:K,4, FALSE)))</f>
        <v/>
      </c>
      <c r="AW195" s="302" t="str">
        <f t="shared" si="99"/>
        <v/>
      </c>
      <c r="AX195" s="301" t="str">
        <f t="shared" si="100"/>
        <v/>
      </c>
      <c r="AY195" s="301" t="str">
        <f t="shared" si="101"/>
        <v/>
      </c>
      <c r="AZ195" s="301" t="str">
        <f t="shared" si="102"/>
        <v/>
      </c>
      <c r="BA195" s="301" t="str">
        <f t="shared" si="103"/>
        <v/>
      </c>
      <c r="BB195" s="303">
        <f t="shared" si="117"/>
        <v>0</v>
      </c>
      <c r="BC195" s="303" t="str">
        <f t="shared" si="118"/>
        <v/>
      </c>
      <c r="BD195" s="303" t="str">
        <f t="shared" si="119"/>
        <v/>
      </c>
      <c r="BF195" s="304">
        <f t="shared" si="120"/>
        <v>0</v>
      </c>
      <c r="BG195" s="304">
        <f t="shared" si="121"/>
        <v>0</v>
      </c>
      <c r="BH195" s="304" t="str">
        <f>IF( $B195="", "", IF(ISNA(VLOOKUP($C195, Defesa!$C$8:$C$30,1,FALSE)),1,0))</f>
        <v/>
      </c>
      <c r="BI195" s="305" t="str">
        <f t="shared" si="122"/>
        <v/>
      </c>
      <c r="BJ195" s="305" t="str">
        <f t="shared" si="123"/>
        <v/>
      </c>
      <c r="BK195" s="304" t="str">
        <f t="shared" si="124"/>
        <v/>
      </c>
      <c r="BL195" s="304">
        <f t="shared" si="125"/>
        <v>0</v>
      </c>
      <c r="BM195" s="304" t="str">
        <f>IF($AC195="", "", IF(ISNA(VLOOKUP($AC195, TABELAS!$Q:$Q, 1, FALSE)), 1, 0))</f>
        <v/>
      </c>
      <c r="BN195" s="306" t="str">
        <f t="shared" si="126"/>
        <v/>
      </c>
      <c r="BO195" s="304" t="str">
        <f t="shared" si="127"/>
        <v/>
      </c>
      <c r="BP195" s="304" t="str">
        <f t="shared" si="128"/>
        <v/>
      </c>
      <c r="BQ195" s="305" t="str">
        <f t="shared" si="129"/>
        <v/>
      </c>
      <c r="BR195" s="304" t="str">
        <f t="shared" si="130"/>
        <v/>
      </c>
      <c r="BS195" s="304" t="str">
        <f t="shared" si="131"/>
        <v/>
      </c>
      <c r="BT195" s="304" t="str">
        <f>IF(OR($B195="", $AH195 = "SIM"), "", IF( ISNA(VLOOKUP($AP195,#REF!, 1, FALSE)), 1, 0))</f>
        <v/>
      </c>
      <c r="BU195" s="304" t="str">
        <f t="shared" si="132"/>
        <v/>
      </c>
      <c r="BV195" s="304" t="str">
        <f>IF( $B195="", "", IF( ISNA(VLOOKUP($AN195, TABELAS!$T$2:$T$9,1,FALSE)), 1, 0))</f>
        <v/>
      </c>
      <c r="BW195" s="304" t="str">
        <f t="shared" si="133"/>
        <v/>
      </c>
      <c r="BX195" s="304" t="str">
        <f>IF( OR($B195="", $AH195 = "SIM"), "", IF( ISNA( VLOOKUP( $AQ195, SISTEMA!$B:$B, 1, FALSE)), 1, 0))</f>
        <v/>
      </c>
      <c r="BY195" s="305" t="str">
        <f t="shared" si="134"/>
        <v/>
      </c>
      <c r="BZ195" s="305" t="str">
        <f t="shared" si="135"/>
        <v/>
      </c>
      <c r="CA195" s="304" t="str">
        <f t="shared" si="136"/>
        <v/>
      </c>
      <c r="CB195" s="305" t="str">
        <f t="shared" si="137"/>
        <v/>
      </c>
      <c r="CC195" s="305" t="str">
        <f t="shared" si="138"/>
        <v/>
      </c>
      <c r="CD195" s="305" t="str">
        <f t="shared" si="139"/>
        <v/>
      </c>
    </row>
    <row r="196" spans="1:82" x14ac:dyDescent="0.2">
      <c r="A196" s="235"/>
      <c r="B196" s="236" t="str">
        <f t="shared" si="104"/>
        <v/>
      </c>
      <c r="C196" s="237" t="str">
        <f t="shared" si="94"/>
        <v/>
      </c>
      <c r="D196" s="237" t="str">
        <f t="shared" si="105"/>
        <v/>
      </c>
      <c r="E196" s="237" t="str">
        <f>IF($C196="", "", COUNTIF($M$8:$M196,$D196))</f>
        <v/>
      </c>
      <c r="F196" s="238">
        <v>189</v>
      </c>
      <c r="G196" s="239"/>
      <c r="H196" s="240"/>
      <c r="I196" s="240"/>
      <c r="J196" s="241"/>
      <c r="K196" s="240"/>
      <c r="L196" s="240"/>
      <c r="M196" s="240"/>
      <c r="N196" s="242"/>
      <c r="O196" s="243"/>
      <c r="P196" s="243"/>
      <c r="Q196" s="243"/>
      <c r="R196" s="243"/>
      <c r="S196" s="243"/>
      <c r="T196" s="245"/>
      <c r="U196" s="246" t="str">
        <f>IF($T196="", "", VLOOKUP($T196, CONTRATOS!$B:$E, 2, FALSE))</f>
        <v/>
      </c>
      <c r="V196" s="247">
        <f>IF(OR($T196="",TB_DEFESA!$C$2="Criação Baseline"),0,
   IF(VLOOKUP($T196, CONTRATOS!B:E, 3, FALSE)&lt;&gt;"",1,IF(VLOOKUP($T196, CONTRATOS!B:E, 4, FALSE)&lt;&gt;"",2,0)))</f>
        <v>0</v>
      </c>
      <c r="W196" s="248"/>
      <c r="X196" s="248"/>
      <c r="Y196" s="249"/>
      <c r="Z196" s="250"/>
      <c r="AA196" s="251"/>
      <c r="AB196" s="252"/>
      <c r="AC196" s="253"/>
      <c r="AD196" s="251"/>
      <c r="AE196" s="254" t="str">
        <f t="shared" si="95"/>
        <v/>
      </c>
      <c r="AF196" s="256" t="str">
        <f t="shared" si="106"/>
        <v/>
      </c>
      <c r="AG196" s="293" t="s">
        <v>62</v>
      </c>
      <c r="AH196" s="294" t="str">
        <f t="shared" si="107"/>
        <v/>
      </c>
      <c r="AI196" s="294" t="str">
        <f t="shared" si="108"/>
        <v/>
      </c>
      <c r="AJ196" s="295" t="str">
        <f t="shared" si="109"/>
        <v/>
      </c>
      <c r="AK196" s="296" t="str">
        <f t="shared" si="110"/>
        <v/>
      </c>
      <c r="AL196" s="297" t="str">
        <f t="shared" si="111"/>
        <v/>
      </c>
      <c r="AM196" s="294" t="str">
        <f t="shared" si="112"/>
        <v/>
      </c>
      <c r="AN196" s="294" t="str">
        <f t="shared" si="113"/>
        <v/>
      </c>
      <c r="AO196" s="298" t="str">
        <f t="shared" si="114"/>
        <v/>
      </c>
      <c r="AP196" s="299" t="str">
        <f t="shared" si="115"/>
        <v/>
      </c>
      <c r="AQ196" s="299" t="str">
        <f t="shared" si="116"/>
        <v/>
      </c>
      <c r="AR196" s="300" t="str">
        <f t="shared" si="96"/>
        <v/>
      </c>
      <c r="AS196" s="300" t="str">
        <f t="shared" si="97"/>
        <v/>
      </c>
      <c r="AT196" s="294" t="str">
        <f t="shared" si="98"/>
        <v/>
      </c>
      <c r="AU196" s="301" t="str">
        <f>IF(OR($B196="", $AP196= ""),"",IF(VLOOKUP($AP196, CONTRATOS!B:K,3,FALSE)="","",VLOOKUP($AP196, CONTRATOS!B:K, 3,FALSE)))</f>
        <v/>
      </c>
      <c r="AV196" s="301" t="str">
        <f>IF(OR($B196="", $AP196 = ""), "", IF(VLOOKUP($AP196, CONTRATOS!B:K,4,FALSE)="","",VLOOKUP($AP196, CONTRATOS!B:K,4, FALSE)))</f>
        <v/>
      </c>
      <c r="AW196" s="302" t="str">
        <f t="shared" si="99"/>
        <v/>
      </c>
      <c r="AX196" s="301" t="str">
        <f t="shared" si="100"/>
        <v/>
      </c>
      <c r="AY196" s="301" t="str">
        <f t="shared" si="101"/>
        <v/>
      </c>
      <c r="AZ196" s="301" t="str">
        <f t="shared" si="102"/>
        <v/>
      </c>
      <c r="BA196" s="301" t="str">
        <f t="shared" si="103"/>
        <v/>
      </c>
      <c r="BB196" s="303">
        <f t="shared" si="117"/>
        <v>0</v>
      </c>
      <c r="BC196" s="303" t="str">
        <f t="shared" si="118"/>
        <v/>
      </c>
      <c r="BD196" s="303" t="str">
        <f t="shared" si="119"/>
        <v/>
      </c>
      <c r="BF196" s="304">
        <f t="shared" si="120"/>
        <v>0</v>
      </c>
      <c r="BG196" s="304">
        <f t="shared" si="121"/>
        <v>0</v>
      </c>
      <c r="BH196" s="304" t="str">
        <f>IF( $B196="", "", IF(ISNA(VLOOKUP($C196, Defesa!$C$8:$C$30,1,FALSE)),1,0))</f>
        <v/>
      </c>
      <c r="BI196" s="305" t="str">
        <f t="shared" si="122"/>
        <v/>
      </c>
      <c r="BJ196" s="305" t="str">
        <f t="shared" si="123"/>
        <v/>
      </c>
      <c r="BK196" s="304" t="str">
        <f t="shared" si="124"/>
        <v/>
      </c>
      <c r="BL196" s="304">
        <f t="shared" si="125"/>
        <v>0</v>
      </c>
      <c r="BM196" s="304" t="str">
        <f>IF($AC196="", "", IF(ISNA(VLOOKUP($AC196, TABELAS!$Q:$Q, 1, FALSE)), 1, 0))</f>
        <v/>
      </c>
      <c r="BN196" s="306" t="str">
        <f t="shared" si="126"/>
        <v/>
      </c>
      <c r="BO196" s="304" t="str">
        <f t="shared" si="127"/>
        <v/>
      </c>
      <c r="BP196" s="304" t="str">
        <f t="shared" si="128"/>
        <v/>
      </c>
      <c r="BQ196" s="305" t="str">
        <f t="shared" si="129"/>
        <v/>
      </c>
      <c r="BR196" s="304" t="str">
        <f t="shared" si="130"/>
        <v/>
      </c>
      <c r="BS196" s="304" t="str">
        <f t="shared" si="131"/>
        <v/>
      </c>
      <c r="BT196" s="304" t="str">
        <f>IF(OR($B196="", $AH196 = "SIM"), "", IF( ISNA(VLOOKUP($AP196,#REF!, 1, FALSE)), 1, 0))</f>
        <v/>
      </c>
      <c r="BU196" s="304" t="str">
        <f t="shared" si="132"/>
        <v/>
      </c>
      <c r="BV196" s="304" t="str">
        <f>IF( $B196="", "", IF( ISNA(VLOOKUP($AN196, TABELAS!$T$2:$T$9,1,FALSE)), 1, 0))</f>
        <v/>
      </c>
      <c r="BW196" s="304" t="str">
        <f t="shared" si="133"/>
        <v/>
      </c>
      <c r="BX196" s="304" t="str">
        <f>IF( OR($B196="", $AH196 = "SIM"), "", IF( ISNA( VLOOKUP( $AQ196, SISTEMA!$B:$B, 1, FALSE)), 1, 0))</f>
        <v/>
      </c>
      <c r="BY196" s="305" t="str">
        <f t="shared" si="134"/>
        <v/>
      </c>
      <c r="BZ196" s="305" t="str">
        <f t="shared" si="135"/>
        <v/>
      </c>
      <c r="CA196" s="304" t="str">
        <f t="shared" si="136"/>
        <v/>
      </c>
      <c r="CB196" s="305" t="str">
        <f t="shared" si="137"/>
        <v/>
      </c>
      <c r="CC196" s="305" t="str">
        <f t="shared" si="138"/>
        <v/>
      </c>
      <c r="CD196" s="305" t="str">
        <f t="shared" si="139"/>
        <v/>
      </c>
    </row>
    <row r="197" spans="1:82" x14ac:dyDescent="0.2">
      <c r="A197" s="235"/>
      <c r="B197" s="236" t="str">
        <f t="shared" si="104"/>
        <v/>
      </c>
      <c r="C197" s="237" t="str">
        <f t="shared" si="94"/>
        <v/>
      </c>
      <c r="D197" s="237" t="str">
        <f t="shared" si="105"/>
        <v/>
      </c>
      <c r="E197" s="237" t="str">
        <f>IF($C197="", "", COUNTIF($M$8:$M197,$D197))</f>
        <v/>
      </c>
      <c r="F197" s="238">
        <v>190</v>
      </c>
      <c r="G197" s="239"/>
      <c r="H197" s="240"/>
      <c r="I197" s="240"/>
      <c r="J197" s="241"/>
      <c r="K197" s="240"/>
      <c r="L197" s="240"/>
      <c r="M197" s="240"/>
      <c r="N197" s="242"/>
      <c r="O197" s="243"/>
      <c r="P197" s="243"/>
      <c r="Q197" s="243"/>
      <c r="R197" s="243"/>
      <c r="S197" s="243"/>
      <c r="T197" s="245"/>
      <c r="U197" s="246" t="str">
        <f>IF($T197="", "", VLOOKUP($T197, CONTRATOS!$B:$E, 2, FALSE))</f>
        <v/>
      </c>
      <c r="V197" s="247">
        <f>IF(OR($T197="",TB_DEFESA!$C$2="Criação Baseline"),0,
   IF(VLOOKUP($T197, CONTRATOS!B:E, 3, FALSE)&lt;&gt;"",1,IF(VLOOKUP($T197, CONTRATOS!B:E, 4, FALSE)&lt;&gt;"",2,0)))</f>
        <v>0</v>
      </c>
      <c r="W197" s="248"/>
      <c r="X197" s="248"/>
      <c r="Y197" s="249"/>
      <c r="Z197" s="250"/>
      <c r="AA197" s="251"/>
      <c r="AB197" s="252"/>
      <c r="AC197" s="253"/>
      <c r="AD197" s="251"/>
      <c r="AE197" s="254" t="str">
        <f t="shared" si="95"/>
        <v/>
      </c>
      <c r="AF197" s="256" t="str">
        <f t="shared" si="106"/>
        <v/>
      </c>
      <c r="AG197" s="293" t="s">
        <v>62</v>
      </c>
      <c r="AH197" s="294" t="str">
        <f t="shared" si="107"/>
        <v/>
      </c>
      <c r="AI197" s="294" t="str">
        <f t="shared" si="108"/>
        <v/>
      </c>
      <c r="AJ197" s="295" t="str">
        <f t="shared" si="109"/>
        <v/>
      </c>
      <c r="AK197" s="296" t="str">
        <f t="shared" si="110"/>
        <v/>
      </c>
      <c r="AL197" s="297" t="str">
        <f t="shared" si="111"/>
        <v/>
      </c>
      <c r="AM197" s="294" t="str">
        <f t="shared" si="112"/>
        <v/>
      </c>
      <c r="AN197" s="294" t="str">
        <f t="shared" si="113"/>
        <v/>
      </c>
      <c r="AO197" s="298" t="str">
        <f t="shared" si="114"/>
        <v/>
      </c>
      <c r="AP197" s="299" t="str">
        <f t="shared" si="115"/>
        <v/>
      </c>
      <c r="AQ197" s="299" t="str">
        <f t="shared" si="116"/>
        <v/>
      </c>
      <c r="AR197" s="300" t="str">
        <f t="shared" si="96"/>
        <v/>
      </c>
      <c r="AS197" s="300" t="str">
        <f t="shared" si="97"/>
        <v/>
      </c>
      <c r="AT197" s="294" t="str">
        <f t="shared" si="98"/>
        <v/>
      </c>
      <c r="AU197" s="301" t="str">
        <f>IF(OR($B197="", $AP197= ""),"",IF(VLOOKUP($AP197, CONTRATOS!B:K,3,FALSE)="","",VLOOKUP($AP197, CONTRATOS!B:K, 3,FALSE)))</f>
        <v/>
      </c>
      <c r="AV197" s="301" t="str">
        <f>IF(OR($B197="", $AP197 = ""), "", IF(VLOOKUP($AP197, CONTRATOS!B:K,4,FALSE)="","",VLOOKUP($AP197, CONTRATOS!B:K,4, FALSE)))</f>
        <v/>
      </c>
      <c r="AW197" s="302" t="str">
        <f t="shared" si="99"/>
        <v/>
      </c>
      <c r="AX197" s="301" t="str">
        <f t="shared" si="100"/>
        <v/>
      </c>
      <c r="AY197" s="301" t="str">
        <f t="shared" si="101"/>
        <v/>
      </c>
      <c r="AZ197" s="301" t="str">
        <f t="shared" si="102"/>
        <v/>
      </c>
      <c r="BA197" s="301" t="str">
        <f t="shared" si="103"/>
        <v/>
      </c>
      <c r="BB197" s="303">
        <f t="shared" si="117"/>
        <v>0</v>
      </c>
      <c r="BC197" s="303" t="str">
        <f t="shared" si="118"/>
        <v/>
      </c>
      <c r="BD197" s="303" t="str">
        <f t="shared" si="119"/>
        <v/>
      </c>
      <c r="BF197" s="304">
        <f t="shared" si="120"/>
        <v>0</v>
      </c>
      <c r="BG197" s="304">
        <f t="shared" si="121"/>
        <v>0</v>
      </c>
      <c r="BH197" s="304" t="str">
        <f>IF( $B197="", "", IF(ISNA(VLOOKUP($C197, Defesa!$C$8:$C$30,1,FALSE)),1,0))</f>
        <v/>
      </c>
      <c r="BI197" s="305" t="str">
        <f t="shared" si="122"/>
        <v/>
      </c>
      <c r="BJ197" s="305" t="str">
        <f t="shared" si="123"/>
        <v/>
      </c>
      <c r="BK197" s="304" t="str">
        <f t="shared" si="124"/>
        <v/>
      </c>
      <c r="BL197" s="304">
        <f t="shared" si="125"/>
        <v>0</v>
      </c>
      <c r="BM197" s="304" t="str">
        <f>IF($AC197="", "", IF(ISNA(VLOOKUP($AC197, TABELAS!$Q:$Q, 1, FALSE)), 1, 0))</f>
        <v/>
      </c>
      <c r="BN197" s="306" t="str">
        <f t="shared" si="126"/>
        <v/>
      </c>
      <c r="BO197" s="304" t="str">
        <f t="shared" si="127"/>
        <v/>
      </c>
      <c r="BP197" s="304" t="str">
        <f t="shared" si="128"/>
        <v/>
      </c>
      <c r="BQ197" s="305" t="str">
        <f t="shared" si="129"/>
        <v/>
      </c>
      <c r="BR197" s="304" t="str">
        <f t="shared" si="130"/>
        <v/>
      </c>
      <c r="BS197" s="304" t="str">
        <f t="shared" si="131"/>
        <v/>
      </c>
      <c r="BT197" s="304" t="str">
        <f>IF(OR($B197="", $AH197 = "SIM"), "", IF( ISNA(VLOOKUP($AP197,#REF!, 1, FALSE)), 1, 0))</f>
        <v/>
      </c>
      <c r="BU197" s="304" t="str">
        <f t="shared" si="132"/>
        <v/>
      </c>
      <c r="BV197" s="304" t="str">
        <f>IF( $B197="", "", IF( ISNA(VLOOKUP($AN197, TABELAS!$T$2:$T$9,1,FALSE)), 1, 0))</f>
        <v/>
      </c>
      <c r="BW197" s="304" t="str">
        <f t="shared" si="133"/>
        <v/>
      </c>
      <c r="BX197" s="304" t="str">
        <f>IF( OR($B197="", $AH197 = "SIM"), "", IF( ISNA( VLOOKUP( $AQ197, SISTEMA!$B:$B, 1, FALSE)), 1, 0))</f>
        <v/>
      </c>
      <c r="BY197" s="305" t="str">
        <f t="shared" si="134"/>
        <v/>
      </c>
      <c r="BZ197" s="305" t="str">
        <f t="shared" si="135"/>
        <v/>
      </c>
      <c r="CA197" s="304" t="str">
        <f t="shared" si="136"/>
        <v/>
      </c>
      <c r="CB197" s="305" t="str">
        <f t="shared" si="137"/>
        <v/>
      </c>
      <c r="CC197" s="305" t="str">
        <f t="shared" si="138"/>
        <v/>
      </c>
      <c r="CD197" s="305" t="str">
        <f t="shared" si="139"/>
        <v/>
      </c>
    </row>
    <row r="198" spans="1:82" x14ac:dyDescent="0.2">
      <c r="A198" s="235"/>
      <c r="B198" s="236" t="str">
        <f t="shared" si="104"/>
        <v/>
      </c>
      <c r="C198" s="237" t="str">
        <f t="shared" si="94"/>
        <v/>
      </c>
      <c r="D198" s="237" t="str">
        <f t="shared" si="105"/>
        <v/>
      </c>
      <c r="E198" s="237" t="str">
        <f>IF($C198="", "", COUNTIF($M$8:$M198,$D198))</f>
        <v/>
      </c>
      <c r="F198" s="238">
        <v>191</v>
      </c>
      <c r="G198" s="239"/>
      <c r="H198" s="240"/>
      <c r="I198" s="240"/>
      <c r="J198" s="241"/>
      <c r="K198" s="240"/>
      <c r="L198" s="240"/>
      <c r="M198" s="240"/>
      <c r="N198" s="242"/>
      <c r="O198" s="243"/>
      <c r="P198" s="243"/>
      <c r="Q198" s="243"/>
      <c r="R198" s="243"/>
      <c r="S198" s="243"/>
      <c r="T198" s="245"/>
      <c r="U198" s="246" t="str">
        <f>IF($T198="", "", VLOOKUP($T198, CONTRATOS!$B:$E, 2, FALSE))</f>
        <v/>
      </c>
      <c r="V198" s="247">
        <f>IF(OR($T198="",TB_DEFESA!$C$2="Criação Baseline"),0,
   IF(VLOOKUP($T198, CONTRATOS!B:E, 3, FALSE)&lt;&gt;"",1,IF(VLOOKUP($T198, CONTRATOS!B:E, 4, FALSE)&lt;&gt;"",2,0)))</f>
        <v>0</v>
      </c>
      <c r="W198" s="248"/>
      <c r="X198" s="248"/>
      <c r="Y198" s="249"/>
      <c r="Z198" s="250"/>
      <c r="AA198" s="251"/>
      <c r="AB198" s="252"/>
      <c r="AC198" s="253"/>
      <c r="AD198" s="251"/>
      <c r="AE198" s="254" t="str">
        <f t="shared" si="95"/>
        <v/>
      </c>
      <c r="AF198" s="256" t="str">
        <f t="shared" si="106"/>
        <v/>
      </c>
      <c r="AG198" s="293" t="s">
        <v>62</v>
      </c>
      <c r="AH198" s="294" t="str">
        <f t="shared" si="107"/>
        <v/>
      </c>
      <c r="AI198" s="294" t="str">
        <f t="shared" si="108"/>
        <v/>
      </c>
      <c r="AJ198" s="295" t="str">
        <f t="shared" si="109"/>
        <v/>
      </c>
      <c r="AK198" s="296" t="str">
        <f t="shared" si="110"/>
        <v/>
      </c>
      <c r="AL198" s="297" t="str">
        <f t="shared" si="111"/>
        <v/>
      </c>
      <c r="AM198" s="294" t="str">
        <f t="shared" si="112"/>
        <v/>
      </c>
      <c r="AN198" s="294" t="str">
        <f t="shared" si="113"/>
        <v/>
      </c>
      <c r="AO198" s="298" t="str">
        <f t="shared" si="114"/>
        <v/>
      </c>
      <c r="AP198" s="299" t="str">
        <f t="shared" si="115"/>
        <v/>
      </c>
      <c r="AQ198" s="299" t="str">
        <f t="shared" si="116"/>
        <v/>
      </c>
      <c r="AR198" s="300" t="str">
        <f t="shared" si="96"/>
        <v/>
      </c>
      <c r="AS198" s="300" t="str">
        <f t="shared" si="97"/>
        <v/>
      </c>
      <c r="AT198" s="294" t="str">
        <f t="shared" si="98"/>
        <v/>
      </c>
      <c r="AU198" s="301" t="str">
        <f>IF(OR($B198="", $AP198= ""),"",IF(VLOOKUP($AP198, CONTRATOS!B:K,3,FALSE)="","",VLOOKUP($AP198, CONTRATOS!B:K, 3,FALSE)))</f>
        <v/>
      </c>
      <c r="AV198" s="301" t="str">
        <f>IF(OR($B198="", $AP198 = ""), "", IF(VLOOKUP($AP198, CONTRATOS!B:K,4,FALSE)="","",VLOOKUP($AP198, CONTRATOS!B:K,4, FALSE)))</f>
        <v/>
      </c>
      <c r="AW198" s="302" t="str">
        <f t="shared" si="99"/>
        <v/>
      </c>
      <c r="AX198" s="301" t="str">
        <f t="shared" si="100"/>
        <v/>
      </c>
      <c r="AY198" s="301" t="str">
        <f t="shared" si="101"/>
        <v/>
      </c>
      <c r="AZ198" s="301" t="str">
        <f t="shared" si="102"/>
        <v/>
      </c>
      <c r="BA198" s="301" t="str">
        <f t="shared" si="103"/>
        <v/>
      </c>
      <c r="BB198" s="303">
        <f t="shared" si="117"/>
        <v>0</v>
      </c>
      <c r="BC198" s="303" t="str">
        <f t="shared" si="118"/>
        <v/>
      </c>
      <c r="BD198" s="303" t="str">
        <f t="shared" si="119"/>
        <v/>
      </c>
      <c r="BF198" s="304">
        <f t="shared" si="120"/>
        <v>0</v>
      </c>
      <c r="BG198" s="304">
        <f t="shared" si="121"/>
        <v>0</v>
      </c>
      <c r="BH198" s="304" t="str">
        <f>IF( $B198="", "", IF(ISNA(VLOOKUP($C198, Defesa!$C$8:$C$30,1,FALSE)),1,0))</f>
        <v/>
      </c>
      <c r="BI198" s="305" t="str">
        <f t="shared" si="122"/>
        <v/>
      </c>
      <c r="BJ198" s="305" t="str">
        <f t="shared" si="123"/>
        <v/>
      </c>
      <c r="BK198" s="304" t="str">
        <f t="shared" si="124"/>
        <v/>
      </c>
      <c r="BL198" s="304">
        <f t="shared" si="125"/>
        <v>0</v>
      </c>
      <c r="BM198" s="304" t="str">
        <f>IF($AC198="", "", IF(ISNA(VLOOKUP($AC198, TABELAS!$Q:$Q, 1, FALSE)), 1, 0))</f>
        <v/>
      </c>
      <c r="BN198" s="306" t="str">
        <f t="shared" si="126"/>
        <v/>
      </c>
      <c r="BO198" s="304" t="str">
        <f t="shared" si="127"/>
        <v/>
      </c>
      <c r="BP198" s="304" t="str">
        <f t="shared" si="128"/>
        <v/>
      </c>
      <c r="BQ198" s="305" t="str">
        <f t="shared" si="129"/>
        <v/>
      </c>
      <c r="BR198" s="304" t="str">
        <f t="shared" si="130"/>
        <v/>
      </c>
      <c r="BS198" s="304" t="str">
        <f t="shared" si="131"/>
        <v/>
      </c>
      <c r="BT198" s="304" t="str">
        <f>IF(OR($B198="", $AH198 = "SIM"), "", IF( ISNA(VLOOKUP($AP198,#REF!, 1, FALSE)), 1, 0))</f>
        <v/>
      </c>
      <c r="BU198" s="304" t="str">
        <f t="shared" si="132"/>
        <v/>
      </c>
      <c r="BV198" s="304" t="str">
        <f>IF( $B198="", "", IF( ISNA(VLOOKUP($AN198, TABELAS!$T$2:$T$9,1,FALSE)), 1, 0))</f>
        <v/>
      </c>
      <c r="BW198" s="304" t="str">
        <f t="shared" si="133"/>
        <v/>
      </c>
      <c r="BX198" s="304" t="str">
        <f>IF( OR($B198="", $AH198 = "SIM"), "", IF( ISNA( VLOOKUP( $AQ198, SISTEMA!$B:$B, 1, FALSE)), 1, 0))</f>
        <v/>
      </c>
      <c r="BY198" s="305" t="str">
        <f t="shared" si="134"/>
        <v/>
      </c>
      <c r="BZ198" s="305" t="str">
        <f t="shared" si="135"/>
        <v/>
      </c>
      <c r="CA198" s="304" t="str">
        <f t="shared" si="136"/>
        <v/>
      </c>
      <c r="CB198" s="305" t="str">
        <f t="shared" si="137"/>
        <v/>
      </c>
      <c r="CC198" s="305" t="str">
        <f t="shared" si="138"/>
        <v/>
      </c>
      <c r="CD198" s="305" t="str">
        <f t="shared" si="139"/>
        <v/>
      </c>
    </row>
    <row r="199" spans="1:82" x14ac:dyDescent="0.2">
      <c r="A199" s="235"/>
      <c r="B199" s="236" t="str">
        <f t="shared" si="104"/>
        <v/>
      </c>
      <c r="C199" s="237" t="str">
        <f t="shared" si="94"/>
        <v/>
      </c>
      <c r="D199" s="237" t="str">
        <f t="shared" si="105"/>
        <v/>
      </c>
      <c r="E199" s="237" t="str">
        <f>IF($C199="", "", COUNTIF($M$8:$M199,$D199))</f>
        <v/>
      </c>
      <c r="F199" s="238">
        <v>192</v>
      </c>
      <c r="G199" s="239"/>
      <c r="H199" s="240"/>
      <c r="I199" s="240"/>
      <c r="J199" s="241"/>
      <c r="K199" s="240"/>
      <c r="L199" s="240"/>
      <c r="M199" s="240"/>
      <c r="N199" s="242"/>
      <c r="O199" s="243"/>
      <c r="P199" s="243"/>
      <c r="Q199" s="243"/>
      <c r="R199" s="243"/>
      <c r="S199" s="243"/>
      <c r="T199" s="245"/>
      <c r="U199" s="246" t="str">
        <f>IF($T199="", "", VLOOKUP($T199, CONTRATOS!$B:$E, 2, FALSE))</f>
        <v/>
      </c>
      <c r="V199" s="247">
        <f>IF(OR($T199="",TB_DEFESA!$C$2="Criação Baseline"),0,
   IF(VLOOKUP($T199, CONTRATOS!B:E, 3, FALSE)&lt;&gt;"",1,IF(VLOOKUP($T199, CONTRATOS!B:E, 4, FALSE)&lt;&gt;"",2,0)))</f>
        <v>0</v>
      </c>
      <c r="W199" s="248"/>
      <c r="X199" s="248"/>
      <c r="Y199" s="249"/>
      <c r="Z199" s="250"/>
      <c r="AA199" s="251"/>
      <c r="AB199" s="252"/>
      <c r="AC199" s="253"/>
      <c r="AD199" s="251"/>
      <c r="AE199" s="254" t="str">
        <f t="shared" si="95"/>
        <v/>
      </c>
      <c r="AF199" s="256" t="str">
        <f t="shared" si="106"/>
        <v/>
      </c>
      <c r="AG199" s="293" t="s">
        <v>62</v>
      </c>
      <c r="AH199" s="294" t="str">
        <f t="shared" si="107"/>
        <v/>
      </c>
      <c r="AI199" s="294" t="str">
        <f t="shared" si="108"/>
        <v/>
      </c>
      <c r="AJ199" s="295" t="str">
        <f t="shared" si="109"/>
        <v/>
      </c>
      <c r="AK199" s="296" t="str">
        <f t="shared" si="110"/>
        <v/>
      </c>
      <c r="AL199" s="297" t="str">
        <f t="shared" si="111"/>
        <v/>
      </c>
      <c r="AM199" s="294" t="str">
        <f t="shared" si="112"/>
        <v/>
      </c>
      <c r="AN199" s="294" t="str">
        <f t="shared" si="113"/>
        <v/>
      </c>
      <c r="AO199" s="298" t="str">
        <f t="shared" si="114"/>
        <v/>
      </c>
      <c r="AP199" s="299" t="str">
        <f t="shared" si="115"/>
        <v/>
      </c>
      <c r="AQ199" s="299" t="str">
        <f t="shared" si="116"/>
        <v/>
      </c>
      <c r="AR199" s="300" t="str">
        <f t="shared" si="96"/>
        <v/>
      </c>
      <c r="AS199" s="300" t="str">
        <f t="shared" si="97"/>
        <v/>
      </c>
      <c r="AT199" s="294" t="str">
        <f t="shared" si="98"/>
        <v/>
      </c>
      <c r="AU199" s="301" t="str">
        <f>IF(OR($B199="", $AP199= ""),"",IF(VLOOKUP($AP199, CONTRATOS!B:K,3,FALSE)="","",VLOOKUP($AP199, CONTRATOS!B:K, 3,FALSE)))</f>
        <v/>
      </c>
      <c r="AV199" s="301" t="str">
        <f>IF(OR($B199="", $AP199 = ""), "", IF(VLOOKUP($AP199, CONTRATOS!B:K,4,FALSE)="","",VLOOKUP($AP199, CONTRATOS!B:K,4, FALSE)))</f>
        <v/>
      </c>
      <c r="AW199" s="302" t="str">
        <f t="shared" si="99"/>
        <v/>
      </c>
      <c r="AX199" s="301" t="str">
        <f t="shared" si="100"/>
        <v/>
      </c>
      <c r="AY199" s="301" t="str">
        <f t="shared" si="101"/>
        <v/>
      </c>
      <c r="AZ199" s="301" t="str">
        <f t="shared" si="102"/>
        <v/>
      </c>
      <c r="BA199" s="301" t="str">
        <f t="shared" si="103"/>
        <v/>
      </c>
      <c r="BB199" s="303">
        <f t="shared" si="117"/>
        <v>0</v>
      </c>
      <c r="BC199" s="303" t="str">
        <f t="shared" si="118"/>
        <v/>
      </c>
      <c r="BD199" s="303" t="str">
        <f t="shared" si="119"/>
        <v/>
      </c>
      <c r="BF199" s="304">
        <f t="shared" si="120"/>
        <v>0</v>
      </c>
      <c r="BG199" s="304">
        <f t="shared" si="121"/>
        <v>0</v>
      </c>
      <c r="BH199" s="304" t="str">
        <f>IF( $B199="", "", IF(ISNA(VLOOKUP($C199, Defesa!$C$8:$C$30,1,FALSE)),1,0))</f>
        <v/>
      </c>
      <c r="BI199" s="305" t="str">
        <f t="shared" si="122"/>
        <v/>
      </c>
      <c r="BJ199" s="305" t="str">
        <f t="shared" si="123"/>
        <v/>
      </c>
      <c r="BK199" s="304" t="str">
        <f t="shared" si="124"/>
        <v/>
      </c>
      <c r="BL199" s="304">
        <f t="shared" si="125"/>
        <v>0</v>
      </c>
      <c r="BM199" s="304" t="str">
        <f>IF($AC199="", "", IF(ISNA(VLOOKUP($AC199, TABELAS!$Q:$Q, 1, FALSE)), 1, 0))</f>
        <v/>
      </c>
      <c r="BN199" s="306" t="str">
        <f t="shared" si="126"/>
        <v/>
      </c>
      <c r="BO199" s="304" t="str">
        <f t="shared" si="127"/>
        <v/>
      </c>
      <c r="BP199" s="304" t="str">
        <f t="shared" si="128"/>
        <v/>
      </c>
      <c r="BQ199" s="305" t="str">
        <f t="shared" si="129"/>
        <v/>
      </c>
      <c r="BR199" s="304" t="str">
        <f t="shared" si="130"/>
        <v/>
      </c>
      <c r="BS199" s="304" t="str">
        <f t="shared" si="131"/>
        <v/>
      </c>
      <c r="BT199" s="304" t="str">
        <f>IF(OR($B199="", $AH199 = "SIM"), "", IF( ISNA(VLOOKUP($AP199,#REF!, 1, FALSE)), 1, 0))</f>
        <v/>
      </c>
      <c r="BU199" s="304" t="str">
        <f t="shared" si="132"/>
        <v/>
      </c>
      <c r="BV199" s="304" t="str">
        <f>IF( $B199="", "", IF( ISNA(VLOOKUP($AN199, TABELAS!$T$2:$T$9,1,FALSE)), 1, 0))</f>
        <v/>
      </c>
      <c r="BW199" s="304" t="str">
        <f t="shared" si="133"/>
        <v/>
      </c>
      <c r="BX199" s="304" t="str">
        <f>IF( OR($B199="", $AH199 = "SIM"), "", IF( ISNA( VLOOKUP( $AQ199, SISTEMA!$B:$B, 1, FALSE)), 1, 0))</f>
        <v/>
      </c>
      <c r="BY199" s="305" t="str">
        <f t="shared" si="134"/>
        <v/>
      </c>
      <c r="BZ199" s="305" t="str">
        <f t="shared" si="135"/>
        <v/>
      </c>
      <c r="CA199" s="304" t="str">
        <f t="shared" si="136"/>
        <v/>
      </c>
      <c r="CB199" s="305" t="str">
        <f t="shared" si="137"/>
        <v/>
      </c>
      <c r="CC199" s="305" t="str">
        <f t="shared" si="138"/>
        <v/>
      </c>
      <c r="CD199" s="305" t="str">
        <f t="shared" si="139"/>
        <v/>
      </c>
    </row>
    <row r="200" spans="1:82" x14ac:dyDescent="0.2">
      <c r="A200" s="235"/>
      <c r="B200" s="236" t="str">
        <f t="shared" si="104"/>
        <v/>
      </c>
      <c r="C200" s="237" t="str">
        <f t="shared" ref="C200:C263" si="140">IF($K200&lt;&gt;"",$K200, IF($AB200 = "", "", $C199))</f>
        <v/>
      </c>
      <c r="D200" s="237" t="str">
        <f t="shared" si="105"/>
        <v/>
      </c>
      <c r="E200" s="237" t="str">
        <f>IF($C200="", "", COUNTIF($M$8:$M200,$D200))</f>
        <v/>
      </c>
      <c r="F200" s="238">
        <v>193</v>
      </c>
      <c r="G200" s="239"/>
      <c r="H200" s="240"/>
      <c r="I200" s="240"/>
      <c r="J200" s="241"/>
      <c r="K200" s="240"/>
      <c r="L200" s="240"/>
      <c r="M200" s="240"/>
      <c r="N200" s="242"/>
      <c r="O200" s="243"/>
      <c r="P200" s="243"/>
      <c r="Q200" s="243"/>
      <c r="R200" s="243"/>
      <c r="S200" s="243"/>
      <c r="T200" s="245"/>
      <c r="U200" s="246" t="str">
        <f>IF($T200="", "", VLOOKUP($T200, CONTRATOS!$B:$E, 2, FALSE))</f>
        <v/>
      </c>
      <c r="V200" s="247">
        <f>IF(OR($T200="",TB_DEFESA!$C$2="Criação Baseline"),0,
   IF(VLOOKUP($T200, CONTRATOS!B:E, 3, FALSE)&lt;&gt;"",1,IF(VLOOKUP($T200, CONTRATOS!B:E, 4, FALSE)&lt;&gt;"",2,0)))</f>
        <v>0</v>
      </c>
      <c r="W200" s="248"/>
      <c r="X200" s="248"/>
      <c r="Y200" s="249"/>
      <c r="Z200" s="250"/>
      <c r="AA200" s="251"/>
      <c r="AB200" s="252"/>
      <c r="AC200" s="253"/>
      <c r="AD200" s="251"/>
      <c r="AE200" s="254" t="str">
        <f t="shared" ref="AE200:AE263" si="141">IF(AT200="","",IF(V200=1,1,IF(AT200=0,0,AD200/AT200)))</f>
        <v/>
      </c>
      <c r="AF200" s="256" t="str">
        <f t="shared" si="106"/>
        <v/>
      </c>
      <c r="AG200" s="293" t="s">
        <v>62</v>
      </c>
      <c r="AH200" s="294" t="str">
        <f t="shared" si="107"/>
        <v/>
      </c>
      <c r="AI200" s="294" t="str">
        <f t="shared" si="108"/>
        <v/>
      </c>
      <c r="AJ200" s="295" t="str">
        <f t="shared" si="109"/>
        <v/>
      </c>
      <c r="AK200" s="296" t="str">
        <f t="shared" si="110"/>
        <v/>
      </c>
      <c r="AL200" s="297" t="str">
        <f t="shared" si="111"/>
        <v/>
      </c>
      <c r="AM200" s="294" t="str">
        <f t="shared" si="112"/>
        <v/>
      </c>
      <c r="AN200" s="294" t="str">
        <f t="shared" si="113"/>
        <v/>
      </c>
      <c r="AO200" s="298" t="str">
        <f t="shared" si="114"/>
        <v/>
      </c>
      <c r="AP200" s="299" t="str">
        <f t="shared" si="115"/>
        <v/>
      </c>
      <c r="AQ200" s="299" t="str">
        <f t="shared" si="116"/>
        <v/>
      </c>
      <c r="AR200" s="300" t="str">
        <f t="shared" ref="AR200:AR263" si="142">IF($B200 = "", "",  IF($Y200= "", IF(ISNUMBER($AR199), $AR199, 0), $Y200))</f>
        <v/>
      </c>
      <c r="AS200" s="300" t="str">
        <f t="shared" ref="AS200:AS263" si="143">IF($B200 = "", "",  IF($Z200= "", IF(ISNUMBER($AS199), $AS199, 0), $Z200))</f>
        <v/>
      </c>
      <c r="AT200" s="294" t="str">
        <f t="shared" ref="AT200:AT263" si="144">IF($B200="", "", IF($AA200=0, $AT199, $AA200))</f>
        <v/>
      </c>
      <c r="AU200" s="301" t="str">
        <f>IF(OR($B200="", $AP200= ""),"",IF(VLOOKUP($AP200, CONTRATOS!B:K,3,FALSE)="","",VLOOKUP($AP200, CONTRATOS!B:K, 3,FALSE)))</f>
        <v/>
      </c>
      <c r="AV200" s="301" t="str">
        <f>IF(OR($B200="", $AP200 = ""), "", IF(VLOOKUP($AP200, CONTRATOS!B:K,4,FALSE)="","",VLOOKUP($AP200, CONTRATOS!B:K,4, FALSE)))</f>
        <v/>
      </c>
      <c r="AW200" s="302" t="str">
        <f t="shared" ref="AW200:AW263" si="145">IF($B200="", "", IF($V200=1, 1, IF( OR($AT200 = "", $AT200=0), 0, $AD200/$AT200)))</f>
        <v/>
      </c>
      <c r="AX200" s="301" t="str">
        <f t="shared" ref="AX200:AX263" si="146">IF( $B200="", "", IF( $K200="",$AX199, IF($S200 = "", "", $S200)))</f>
        <v/>
      </c>
      <c r="AY200" s="301" t="str">
        <f t="shared" ref="AY200:AY263" si="147">IF( $B200="", "", IF( $K200="",$AY199, IF($P200 = "", "", $P200)))</f>
        <v/>
      </c>
      <c r="AZ200" s="301" t="str">
        <f t="shared" ref="AZ200:AZ263" si="148">IF( $B200="", "", IF( $K200="",$AZ199, IF($Q200 = "", "", $Q200)))</f>
        <v/>
      </c>
      <c r="BA200" s="301" t="str">
        <f t="shared" ref="BA200:BA263" si="149">IF( $B200="", "", IF( $K200="",$BA199, IF($R200 = "", "", $R200)))</f>
        <v/>
      </c>
      <c r="BB200" s="303">
        <f t="shared" si="117"/>
        <v>0</v>
      </c>
      <c r="BC200" s="303" t="str">
        <f t="shared" si="118"/>
        <v/>
      </c>
      <c r="BD200" s="303" t="str">
        <f t="shared" si="119"/>
        <v/>
      </c>
      <c r="BF200" s="304">
        <f t="shared" si="120"/>
        <v>0</v>
      </c>
      <c r="BG200" s="304">
        <f t="shared" si="121"/>
        <v>0</v>
      </c>
      <c r="BH200" s="304" t="str">
        <f>IF( $B200="", "", IF(ISNA(VLOOKUP($C200, Defesa!$C$8:$C$30,1,FALSE)),1,0))</f>
        <v/>
      </c>
      <c r="BI200" s="305" t="str">
        <f t="shared" si="122"/>
        <v/>
      </c>
      <c r="BJ200" s="305" t="str">
        <f t="shared" si="123"/>
        <v/>
      </c>
      <c r="BK200" s="304" t="str">
        <f t="shared" si="124"/>
        <v/>
      </c>
      <c r="BL200" s="304">
        <f t="shared" si="125"/>
        <v>0</v>
      </c>
      <c r="BM200" s="304" t="str">
        <f>IF($AC200="", "", IF(ISNA(VLOOKUP($AC200, TABELAS!$Q:$Q, 1, FALSE)), 1, 0))</f>
        <v/>
      </c>
      <c r="BN200" s="306" t="str">
        <f t="shared" si="126"/>
        <v/>
      </c>
      <c r="BO200" s="304" t="str">
        <f t="shared" si="127"/>
        <v/>
      </c>
      <c r="BP200" s="304" t="str">
        <f t="shared" si="128"/>
        <v/>
      </c>
      <c r="BQ200" s="305" t="str">
        <f t="shared" si="129"/>
        <v/>
      </c>
      <c r="BR200" s="304" t="str">
        <f t="shared" si="130"/>
        <v/>
      </c>
      <c r="BS200" s="304" t="str">
        <f t="shared" si="131"/>
        <v/>
      </c>
      <c r="BT200" s="304" t="str">
        <f>IF(OR($B200="", $AH200 = "SIM"), "", IF( ISNA(VLOOKUP($AP200,#REF!, 1, FALSE)), 1, 0))</f>
        <v/>
      </c>
      <c r="BU200" s="304" t="str">
        <f t="shared" si="132"/>
        <v/>
      </c>
      <c r="BV200" s="304" t="str">
        <f>IF( $B200="", "", IF( ISNA(VLOOKUP($AN200, TABELAS!$T$2:$T$9,1,FALSE)), 1, 0))</f>
        <v/>
      </c>
      <c r="BW200" s="304" t="str">
        <f t="shared" si="133"/>
        <v/>
      </c>
      <c r="BX200" s="304" t="str">
        <f>IF( OR($B200="", $AH200 = "SIM"), "", IF( ISNA( VLOOKUP( $AQ200, SISTEMA!$B:$B, 1, FALSE)), 1, 0))</f>
        <v/>
      </c>
      <c r="BY200" s="305" t="str">
        <f t="shared" si="134"/>
        <v/>
      </c>
      <c r="BZ200" s="305" t="str">
        <f t="shared" si="135"/>
        <v/>
      </c>
      <c r="CA200" s="304" t="str">
        <f t="shared" si="136"/>
        <v/>
      </c>
      <c r="CB200" s="305" t="str">
        <f t="shared" si="137"/>
        <v/>
      </c>
      <c r="CC200" s="305" t="str">
        <f t="shared" si="138"/>
        <v/>
      </c>
      <c r="CD200" s="305" t="str">
        <f t="shared" si="139"/>
        <v/>
      </c>
    </row>
    <row r="201" spans="1:82" x14ac:dyDescent="0.2">
      <c r="A201" s="235"/>
      <c r="B201" s="236" t="str">
        <f t="shared" ref="B201:B264" si="150" xml:space="preserve"> IF( C201 = "", "", C201 &amp; "." &amp; D201 &amp; "."  &amp; E201)</f>
        <v/>
      </c>
      <c r="C201" s="237" t="str">
        <f t="shared" si="140"/>
        <v/>
      </c>
      <c r="D201" s="237" t="str">
        <f t="shared" ref="D201:D264" si="151">IF( $C201 = "", "", IF( $M201="", IF(AND($C200=$C201,$G201 = ""), $D200, ""), TEXT($M201,"000")))</f>
        <v/>
      </c>
      <c r="E201" s="237" t="str">
        <f>IF($C201="", "", COUNTIF($M$8:$M201,$D201))</f>
        <v/>
      </c>
      <c r="F201" s="238">
        <v>194</v>
      </c>
      <c r="G201" s="239"/>
      <c r="H201" s="240"/>
      <c r="I201" s="240"/>
      <c r="J201" s="241"/>
      <c r="K201" s="240"/>
      <c r="L201" s="240"/>
      <c r="M201" s="240"/>
      <c r="N201" s="242"/>
      <c r="O201" s="243"/>
      <c r="P201" s="243"/>
      <c r="Q201" s="243"/>
      <c r="R201" s="243"/>
      <c r="S201" s="243"/>
      <c r="T201" s="245"/>
      <c r="U201" s="246" t="str">
        <f>IF($T201="", "", VLOOKUP($T201, CONTRATOS!$B:$E, 2, FALSE))</f>
        <v/>
      </c>
      <c r="V201" s="247">
        <f>IF(OR($T201="",TB_DEFESA!$C$2="Criação Baseline"),0,
   IF(VLOOKUP($T201, CONTRATOS!B:E, 3, FALSE)&lt;&gt;"",1,IF(VLOOKUP($T201, CONTRATOS!B:E, 4, FALSE)&lt;&gt;"",2,0)))</f>
        <v>0</v>
      </c>
      <c r="W201" s="248"/>
      <c r="X201" s="248"/>
      <c r="Y201" s="249"/>
      <c r="Z201" s="250"/>
      <c r="AA201" s="251"/>
      <c r="AB201" s="252"/>
      <c r="AC201" s="253"/>
      <c r="AD201" s="251"/>
      <c r="AE201" s="254" t="str">
        <f t="shared" si="141"/>
        <v/>
      </c>
      <c r="AF201" s="256" t="str">
        <f t="shared" ref="AF201:AF264" si="152">IF(B201= "", "", IF(SUM($BF201:$CD201) = 0, 0, 1))</f>
        <v/>
      </c>
      <c r="AG201" s="293" t="s">
        <v>62</v>
      </c>
      <c r="AH201" s="294" t="str">
        <f t="shared" ref="AH201:AH264" si="153">IF($B201="","", IF( AND($G201="", $B201 = $B200 ), $AH200, $G201))</f>
        <v/>
      </c>
      <c r="AI201" s="294" t="str">
        <f t="shared" ref="AI201:AI264" si="154">IF($B201 = "", "",  IF( AND($H201= "", $B201 = $B200 ), $AI200, $H201))</f>
        <v/>
      </c>
      <c r="AJ201" s="295" t="str">
        <f t="shared" ref="AJ201:AJ264" si="155">IF(AND($AB201="", $V201=""),"",IF(AND($I201="",$B201=$B200), $AJ200, IF($I201="","",$I201)))</f>
        <v/>
      </c>
      <c r="AK201" s="296" t="str">
        <f t="shared" ref="AK201:AK264" si="156">IF($B201="", "", IF( AND($J201 = "",$B201=$B200), $AK200, $J201))</f>
        <v/>
      </c>
      <c r="AL201" s="297" t="str">
        <f t="shared" ref="AL201:AL264" si="157">IF( $B201= "", "",  IF( AND($L201= "",$B201=$B200), $AL200, $L201))</f>
        <v/>
      </c>
      <c r="AM201" s="294" t="str">
        <f t="shared" ref="AM201:AM264" si="158">IF( $B201 = "", "",  IF(AND($N201= "",$B201=$B200), $AM200, $O201))</f>
        <v/>
      </c>
      <c r="AN201" s="294" t="str">
        <f t="shared" ref="AN201:AN264" si="159">IF( $B201 = "", "",  IF( AND($X201= "",$B201=$B200), $AN200, $X201))</f>
        <v/>
      </c>
      <c r="AO201" s="298" t="str">
        <f t="shared" ref="AO201:AO264" si="160">IF($B201="", "",  IF( AND($U201= "",$B201=$B200), $AO200, $U201))</f>
        <v/>
      </c>
      <c r="AP201" s="299" t="str">
        <f t="shared" ref="AP201:AP264" si="161">IF( $B201 = "", "",  IF( AND($U201= "",$B201=$B200), $AP200, IF($T201 = "", "", $T201)))</f>
        <v/>
      </c>
      <c r="AQ201" s="299" t="str">
        <f t="shared" ref="AQ201:AQ264" si="162">IF($B201="","",IF(AND($W201="",$B201=$B200),$AQ200,IF($W201="","",$W201)))</f>
        <v/>
      </c>
      <c r="AR201" s="300" t="str">
        <f t="shared" si="142"/>
        <v/>
      </c>
      <c r="AS201" s="300" t="str">
        <f t="shared" si="143"/>
        <v/>
      </c>
      <c r="AT201" s="294" t="str">
        <f t="shared" si="144"/>
        <v/>
      </c>
      <c r="AU201" s="301" t="str">
        <f>IF(OR($B201="", $AP201= ""),"",IF(VLOOKUP($AP201, CONTRATOS!B:K,3,FALSE)="","",VLOOKUP($AP201, CONTRATOS!B:K, 3,FALSE)))</f>
        <v/>
      </c>
      <c r="AV201" s="301" t="str">
        <f>IF(OR($B201="", $AP201 = ""), "", IF(VLOOKUP($AP201, CONTRATOS!B:K,4,FALSE)="","",VLOOKUP($AP201, CONTRATOS!B:K,4, FALSE)))</f>
        <v/>
      </c>
      <c r="AW201" s="302" t="str">
        <f t="shared" si="145"/>
        <v/>
      </c>
      <c r="AX201" s="301" t="str">
        <f t="shared" si="146"/>
        <v/>
      </c>
      <c r="AY201" s="301" t="str">
        <f t="shared" si="147"/>
        <v/>
      </c>
      <c r="AZ201" s="301" t="str">
        <f t="shared" si="148"/>
        <v/>
      </c>
      <c r="BA201" s="301" t="str">
        <f t="shared" si="149"/>
        <v/>
      </c>
      <c r="BB201" s="303">
        <f t="shared" ref="BB201:BB264" si="163">IF( $B201 = "", 0, ROW($B201))</f>
        <v>0</v>
      </c>
      <c r="BC201" s="303" t="str">
        <f t="shared" ref="BC201:BC264" si="164">IF($AC201="","",IF($AC201="Próximos Anos",$AC201,RIGHT($AC201,4)))</f>
        <v/>
      </c>
      <c r="BD201" s="303" t="str">
        <f t="shared" ref="BD201:BD264" si="165">IF($B201="", "", IF($B201=$B200, $BD200, $V201))</f>
        <v/>
      </c>
      <c r="BF201" s="304">
        <f t="shared" ref="BF201:BF264" si="166">IF( AND($G201="SIM", OR($H201="", $I201="", $J201="", $K201="", $L201="", $M201="", $O201="", $P201="", $Q201="", $R201="", $X201="",  $AA201="", $AB201="", $AC201="", $AD201="")), 1, 0)</f>
        <v>0</v>
      </c>
      <c r="BG201" s="304">
        <f t="shared" ref="BG201:BG264" si="167">IF(AND($G201="NÃO", OR($H201="", $I201="", $J201="", $K201="", $L201="", $M201="", $O201="", $T201="", $W201="", $X201="", $AA201="")), 1,
    IF( AND($AH201="NÃO",  $AU201 ="", OR( $AB201="", $AC201="", $AD201="")), 1,
    IF( AND($AH201="NÃO",  $AU201 &lt;&gt; "", OR($AB201&lt;&gt;"", $AC201&lt;&gt;"", $AD201&lt;&gt;"") ), 1, 0 ) ) )</f>
        <v>0</v>
      </c>
      <c r="BH201" s="304" t="str">
        <f>IF( $B201="", "", IF(ISNA(VLOOKUP($C201, Defesa!$C$8:$C$30,1,FALSE)),1,0))</f>
        <v/>
      </c>
      <c r="BI201" s="305" t="str">
        <f t="shared" ref="BI201:BI264" si="168">IF($B201= "", "",  IF(OR($D201 = "N/A", LEFT($D201, 2) = "ME", AND(LEN($D201) = 12, LEFT($D201, 4) = "PROP")), 0, 1))</f>
        <v/>
      </c>
      <c r="BJ201" s="305" t="str">
        <f t="shared" ref="BJ201:BJ264" si="169">IF($B201="","",IF(AND($AL201="N/A",LEFT($D201,4)&lt;&gt;"PROP"),0,IF(OR(AND(LEN($AL201)=10,LEFT($AL201,2)="AF",LEFT($AL201,4)&lt;&gt;"AFFT")),0,1)))</f>
        <v/>
      </c>
      <c r="BK201" s="304" t="str">
        <f t="shared" ref="BK201:BK264" si="170">IF($B201="", "", IF(COUNTIFS($AB:$AB, $AB201,$B:$B, $B201)&gt;1, 1, 0))</f>
        <v/>
      </c>
      <c r="BL201" s="304">
        <f t="shared" ref="BL201:BL264" si="171">IF( OR($B201= "",$V201 = 1), 0,  IF( OR($AC201 = "", $AD201="", $AB201=""), 1, 0))</f>
        <v>0</v>
      </c>
      <c r="BM201" s="304" t="str">
        <f>IF($AC201="", "", IF(ISNA(VLOOKUP($AC201, TABELAS!$Q:$Q, 1, FALSE)), 1, 0))</f>
        <v/>
      </c>
      <c r="BN201" s="306" t="str">
        <f t="shared" ref="BN201:BN264" si="172">IF($B201= "", "", IF( SUMIFS($AW:$AW,$C:$C, $C201,$D:$D, $D201,$E:$E, $E201) = 1, 0, 1))</f>
        <v/>
      </c>
      <c r="BO201" s="304" t="str">
        <f t="shared" ref="BO201:BO264" si="173">IF( $B201 ="", "", IF( AND($V201 = 1, OR( $AC201 &lt;&gt; "", $AB201 &lt;&gt; "", $AD201 &lt;&gt; "")), 1, 0))</f>
        <v/>
      </c>
      <c r="BP201" s="304" t="str">
        <f t="shared" ref="BP201:BP264" si="174" xml:space="preserve"> IF($B201 = "", "", IF(AND( $AI201 = "SIM", $AP201= "&lt; A DEFINIR &gt;"), 1, 0))</f>
        <v/>
      </c>
      <c r="BQ201" s="305" t="str">
        <f t="shared" ref="BQ201:BQ264" si="175">IF($B201="", "", IF( AND($AI201="SIM", OR(LEFT($D201,2)="ME", $D201 = "N/A")), 1, 0))</f>
        <v/>
      </c>
      <c r="BR201" s="304" t="str">
        <f t="shared" ref="BR201:BR264" si="176" xml:space="preserve"> IF($B201 = "", "", IF( AND( $AJ201 = "SIM", OR($AP201= "&lt; A DEFINIR &gt;", $V201 = 1, $AI201 = "ESTIMATIVA")), 1, 0))</f>
        <v/>
      </c>
      <c r="BS201" s="304" t="str">
        <f t="shared" ref="BS201:BS264" si="177" xml:space="preserve"> IF(B201 = "", "", IF(AND($X201 &lt;&gt; "N/A",  V201 = 1), 1, 0))</f>
        <v/>
      </c>
      <c r="BT201" s="304" t="str">
        <f>IF(OR($B201="", $AH201 = "SIM"), "", IF( ISNA(VLOOKUP($AP201,#REF!, 1, FALSE)), 1, 0))</f>
        <v/>
      </c>
      <c r="BU201" s="304" t="str">
        <f t="shared" ref="BU201:BU264" si="178">IF($AP201="", "", IF( AND(OR($AO201=4600046592, $U201 = 4600041840), $AN201&lt;&gt; "BTSA Fixa R2"), 1,0))</f>
        <v/>
      </c>
      <c r="BV201" s="304" t="str">
        <f>IF( $B201="", "", IF( ISNA(VLOOKUP($AN201, TABELAS!$T$2:$T$9,1,FALSE)), 1, 0))</f>
        <v/>
      </c>
      <c r="BW201" s="304" t="str">
        <f t="shared" ref="BW201:BW264" si="179" xml:space="preserve"> IF($B201 = "", "", IF( AND( $AN201 = "N/A", $V201 = 0), 1, 0) )</f>
        <v/>
      </c>
      <c r="BX201" s="304" t="str">
        <f>IF( OR($B201="", $AH201 = "SIM"), "", IF( ISNA( VLOOKUP( $AQ201, SISTEMA!$B:$B, 1, FALSE)), 1, 0))</f>
        <v/>
      </c>
      <c r="BY201" s="305" t="str">
        <f t="shared" ref="BY201:BY264" si="180">IF( $B201="", "", IF( AND($AI201="ESTIMATIVA", LEFT($D201, 4)="PROP"), 1, 0))</f>
        <v/>
      </c>
      <c r="BZ201" s="305" t="str">
        <f t="shared" ref="BZ201:BZ264" si="181">IF( $B201="", "", IF( AND($AX201&lt;&gt;"", $V201 = 1), 1, 0))</f>
        <v/>
      </c>
      <c r="CA201" s="304" t="str">
        <f t="shared" ref="CA201:CA264" si="182">IF($B201="", "", IF( AND($AM201 &lt;&gt; "SERVIÇOS", $AM201 &lt;&gt; "HARDWARE", $AM201 &lt;&gt; "SOFTWARE", $AM201 &lt;&gt; "FACILITIES", $AM201 &lt;&gt; "VIAGENS"  ), 1, 0))</f>
        <v/>
      </c>
      <c r="CB201" s="305" t="str">
        <f t="shared" ref="CB201:CB264" si="183">IF( $B201="", "", IF( AND( $AH201 = "NÃO", OR( $AM201 = "SOFTWARE", $AM201 = "HARDWARE", $AM201 = "FACILITIES")), 1, 0))</f>
        <v/>
      </c>
      <c r="CC201" s="305" t="str">
        <f t="shared" ref="CC201:CC264" si="184">IF( $B201="", "", IF( AND($AI201="COMPLEMENTO", LEFT($D201, 4)="PROP"), 1, 0))</f>
        <v/>
      </c>
      <c r="CD201" s="305" t="str">
        <f t="shared" ref="CD201:CD264" si="185">IF( $B201="", "", IF( AND($D201=$D200, $AP201 &lt;&gt; $AP200), 1, 0))</f>
        <v/>
      </c>
    </row>
    <row r="202" spans="1:82" x14ac:dyDescent="0.2">
      <c r="A202" s="235"/>
      <c r="B202" s="236" t="str">
        <f t="shared" si="150"/>
        <v/>
      </c>
      <c r="C202" s="237" t="str">
        <f t="shared" si="140"/>
        <v/>
      </c>
      <c r="D202" s="237" t="str">
        <f t="shared" si="151"/>
        <v/>
      </c>
      <c r="E202" s="237" t="str">
        <f>IF($C202="", "", COUNTIF($M$8:$M202,$D202))</f>
        <v/>
      </c>
      <c r="F202" s="238">
        <v>195</v>
      </c>
      <c r="G202" s="239"/>
      <c r="H202" s="240"/>
      <c r="I202" s="240"/>
      <c r="J202" s="241"/>
      <c r="K202" s="240"/>
      <c r="L202" s="240"/>
      <c r="M202" s="240"/>
      <c r="N202" s="242"/>
      <c r="O202" s="243"/>
      <c r="P202" s="243"/>
      <c r="Q202" s="243"/>
      <c r="R202" s="243"/>
      <c r="S202" s="243"/>
      <c r="T202" s="245"/>
      <c r="U202" s="246" t="str">
        <f>IF($T202="", "", VLOOKUP($T202, CONTRATOS!$B:$E, 2, FALSE))</f>
        <v/>
      </c>
      <c r="V202" s="247">
        <f>IF(OR($T202="",TB_DEFESA!$C$2="Criação Baseline"),0,
   IF(VLOOKUP($T202, CONTRATOS!B:E, 3, FALSE)&lt;&gt;"",1,IF(VLOOKUP($T202, CONTRATOS!B:E, 4, FALSE)&lt;&gt;"",2,0)))</f>
        <v>0</v>
      </c>
      <c r="W202" s="248"/>
      <c r="X202" s="248"/>
      <c r="Y202" s="249"/>
      <c r="Z202" s="250"/>
      <c r="AA202" s="251"/>
      <c r="AB202" s="252"/>
      <c r="AC202" s="253"/>
      <c r="AD202" s="251"/>
      <c r="AE202" s="254" t="str">
        <f t="shared" si="141"/>
        <v/>
      </c>
      <c r="AF202" s="256" t="str">
        <f t="shared" si="152"/>
        <v/>
      </c>
      <c r="AG202" s="293" t="s">
        <v>62</v>
      </c>
      <c r="AH202" s="294" t="str">
        <f t="shared" si="153"/>
        <v/>
      </c>
      <c r="AI202" s="294" t="str">
        <f t="shared" si="154"/>
        <v/>
      </c>
      <c r="AJ202" s="295" t="str">
        <f t="shared" si="155"/>
        <v/>
      </c>
      <c r="AK202" s="296" t="str">
        <f t="shared" si="156"/>
        <v/>
      </c>
      <c r="AL202" s="297" t="str">
        <f t="shared" si="157"/>
        <v/>
      </c>
      <c r="AM202" s="294" t="str">
        <f t="shared" si="158"/>
        <v/>
      </c>
      <c r="AN202" s="294" t="str">
        <f t="shared" si="159"/>
        <v/>
      </c>
      <c r="AO202" s="298" t="str">
        <f t="shared" si="160"/>
        <v/>
      </c>
      <c r="AP202" s="299" t="str">
        <f t="shared" si="161"/>
        <v/>
      </c>
      <c r="AQ202" s="299" t="str">
        <f t="shared" si="162"/>
        <v/>
      </c>
      <c r="AR202" s="300" t="str">
        <f t="shared" si="142"/>
        <v/>
      </c>
      <c r="AS202" s="300" t="str">
        <f t="shared" si="143"/>
        <v/>
      </c>
      <c r="AT202" s="294" t="str">
        <f t="shared" si="144"/>
        <v/>
      </c>
      <c r="AU202" s="301" t="str">
        <f>IF(OR($B202="", $AP202= ""),"",IF(VLOOKUP($AP202, CONTRATOS!B:K,3,FALSE)="","",VLOOKUP($AP202, CONTRATOS!B:K, 3,FALSE)))</f>
        <v/>
      </c>
      <c r="AV202" s="301" t="str">
        <f>IF(OR($B202="", $AP202 = ""), "", IF(VLOOKUP($AP202, CONTRATOS!B:K,4,FALSE)="","",VLOOKUP($AP202, CONTRATOS!B:K,4, FALSE)))</f>
        <v/>
      </c>
      <c r="AW202" s="302" t="str">
        <f t="shared" si="145"/>
        <v/>
      </c>
      <c r="AX202" s="301" t="str">
        <f t="shared" si="146"/>
        <v/>
      </c>
      <c r="AY202" s="301" t="str">
        <f t="shared" si="147"/>
        <v/>
      </c>
      <c r="AZ202" s="301" t="str">
        <f t="shared" si="148"/>
        <v/>
      </c>
      <c r="BA202" s="301" t="str">
        <f t="shared" si="149"/>
        <v/>
      </c>
      <c r="BB202" s="303">
        <f t="shared" si="163"/>
        <v>0</v>
      </c>
      <c r="BC202" s="303" t="str">
        <f t="shared" si="164"/>
        <v/>
      </c>
      <c r="BD202" s="303" t="str">
        <f t="shared" si="165"/>
        <v/>
      </c>
      <c r="BF202" s="304">
        <f t="shared" si="166"/>
        <v>0</v>
      </c>
      <c r="BG202" s="304">
        <f t="shared" si="167"/>
        <v>0</v>
      </c>
      <c r="BH202" s="304" t="str">
        <f>IF( $B202="", "", IF(ISNA(VLOOKUP($C202, Defesa!$C$8:$C$30,1,FALSE)),1,0))</f>
        <v/>
      </c>
      <c r="BI202" s="305" t="str">
        <f t="shared" si="168"/>
        <v/>
      </c>
      <c r="BJ202" s="305" t="str">
        <f t="shared" si="169"/>
        <v/>
      </c>
      <c r="BK202" s="304" t="str">
        <f t="shared" si="170"/>
        <v/>
      </c>
      <c r="BL202" s="304">
        <f t="shared" si="171"/>
        <v>0</v>
      </c>
      <c r="BM202" s="304" t="str">
        <f>IF($AC202="", "", IF(ISNA(VLOOKUP($AC202, TABELAS!$Q:$Q, 1, FALSE)), 1, 0))</f>
        <v/>
      </c>
      <c r="BN202" s="306" t="str">
        <f t="shared" si="172"/>
        <v/>
      </c>
      <c r="BO202" s="304" t="str">
        <f t="shared" si="173"/>
        <v/>
      </c>
      <c r="BP202" s="304" t="str">
        <f t="shared" si="174"/>
        <v/>
      </c>
      <c r="BQ202" s="305" t="str">
        <f t="shared" si="175"/>
        <v/>
      </c>
      <c r="BR202" s="304" t="str">
        <f t="shared" si="176"/>
        <v/>
      </c>
      <c r="BS202" s="304" t="str">
        <f t="shared" si="177"/>
        <v/>
      </c>
      <c r="BT202" s="304" t="str">
        <f>IF(OR($B202="", $AH202 = "SIM"), "", IF( ISNA(VLOOKUP($AP202,#REF!, 1, FALSE)), 1, 0))</f>
        <v/>
      </c>
      <c r="BU202" s="304" t="str">
        <f t="shared" si="178"/>
        <v/>
      </c>
      <c r="BV202" s="304" t="str">
        <f>IF( $B202="", "", IF( ISNA(VLOOKUP($AN202, TABELAS!$T$2:$T$9,1,FALSE)), 1, 0))</f>
        <v/>
      </c>
      <c r="BW202" s="304" t="str">
        <f t="shared" si="179"/>
        <v/>
      </c>
      <c r="BX202" s="304" t="str">
        <f>IF( OR($B202="", $AH202 = "SIM"), "", IF( ISNA( VLOOKUP( $AQ202, SISTEMA!$B:$B, 1, FALSE)), 1, 0))</f>
        <v/>
      </c>
      <c r="BY202" s="305" t="str">
        <f t="shared" si="180"/>
        <v/>
      </c>
      <c r="BZ202" s="305" t="str">
        <f t="shared" si="181"/>
        <v/>
      </c>
      <c r="CA202" s="304" t="str">
        <f t="shared" si="182"/>
        <v/>
      </c>
      <c r="CB202" s="305" t="str">
        <f t="shared" si="183"/>
        <v/>
      </c>
      <c r="CC202" s="305" t="str">
        <f t="shared" si="184"/>
        <v/>
      </c>
      <c r="CD202" s="305" t="str">
        <f t="shared" si="185"/>
        <v/>
      </c>
    </row>
    <row r="203" spans="1:82" x14ac:dyDescent="0.2">
      <c r="A203" s="235"/>
      <c r="B203" s="236" t="str">
        <f t="shared" si="150"/>
        <v/>
      </c>
      <c r="C203" s="237" t="str">
        <f t="shared" si="140"/>
        <v/>
      </c>
      <c r="D203" s="237" t="str">
        <f t="shared" si="151"/>
        <v/>
      </c>
      <c r="E203" s="237" t="str">
        <f>IF($C203="", "", COUNTIF($M$8:$M203,$D203))</f>
        <v/>
      </c>
      <c r="F203" s="238">
        <v>196</v>
      </c>
      <c r="G203" s="239"/>
      <c r="H203" s="240"/>
      <c r="I203" s="240"/>
      <c r="J203" s="241"/>
      <c r="K203" s="240"/>
      <c r="L203" s="240"/>
      <c r="M203" s="240"/>
      <c r="N203" s="242"/>
      <c r="O203" s="243"/>
      <c r="P203" s="243"/>
      <c r="Q203" s="243"/>
      <c r="R203" s="243"/>
      <c r="S203" s="243"/>
      <c r="T203" s="245"/>
      <c r="U203" s="246" t="str">
        <f>IF($T203="", "", VLOOKUP($T203, CONTRATOS!$B:$E, 2, FALSE))</f>
        <v/>
      </c>
      <c r="V203" s="247">
        <f>IF(OR($T203="",TB_DEFESA!$C$2="Criação Baseline"),0,
   IF(VLOOKUP($T203, CONTRATOS!B:E, 3, FALSE)&lt;&gt;"",1,IF(VLOOKUP($T203, CONTRATOS!B:E, 4, FALSE)&lt;&gt;"",2,0)))</f>
        <v>0</v>
      </c>
      <c r="W203" s="248"/>
      <c r="X203" s="248"/>
      <c r="Y203" s="249"/>
      <c r="Z203" s="250"/>
      <c r="AA203" s="251"/>
      <c r="AB203" s="252"/>
      <c r="AC203" s="253"/>
      <c r="AD203" s="251"/>
      <c r="AE203" s="254" t="str">
        <f t="shared" si="141"/>
        <v/>
      </c>
      <c r="AF203" s="256" t="str">
        <f t="shared" si="152"/>
        <v/>
      </c>
      <c r="AG203" s="293" t="s">
        <v>62</v>
      </c>
      <c r="AH203" s="294" t="str">
        <f t="shared" si="153"/>
        <v/>
      </c>
      <c r="AI203" s="294" t="str">
        <f t="shared" si="154"/>
        <v/>
      </c>
      <c r="AJ203" s="295" t="str">
        <f t="shared" si="155"/>
        <v/>
      </c>
      <c r="AK203" s="296" t="str">
        <f t="shared" si="156"/>
        <v/>
      </c>
      <c r="AL203" s="297" t="str">
        <f t="shared" si="157"/>
        <v/>
      </c>
      <c r="AM203" s="294" t="str">
        <f t="shared" si="158"/>
        <v/>
      </c>
      <c r="AN203" s="294" t="str">
        <f t="shared" si="159"/>
        <v/>
      </c>
      <c r="AO203" s="298" t="str">
        <f t="shared" si="160"/>
        <v/>
      </c>
      <c r="AP203" s="299" t="str">
        <f t="shared" si="161"/>
        <v/>
      </c>
      <c r="AQ203" s="299" t="str">
        <f t="shared" si="162"/>
        <v/>
      </c>
      <c r="AR203" s="300" t="str">
        <f t="shared" si="142"/>
        <v/>
      </c>
      <c r="AS203" s="300" t="str">
        <f t="shared" si="143"/>
        <v/>
      </c>
      <c r="AT203" s="294" t="str">
        <f t="shared" si="144"/>
        <v/>
      </c>
      <c r="AU203" s="301" t="str">
        <f>IF(OR($B203="", $AP203= ""),"",IF(VLOOKUP($AP203, CONTRATOS!B:K,3,FALSE)="","",VLOOKUP($AP203, CONTRATOS!B:K, 3,FALSE)))</f>
        <v/>
      </c>
      <c r="AV203" s="301" t="str">
        <f>IF(OR($B203="", $AP203 = ""), "", IF(VLOOKUP($AP203, CONTRATOS!B:K,4,FALSE)="","",VLOOKUP($AP203, CONTRATOS!B:K,4, FALSE)))</f>
        <v/>
      </c>
      <c r="AW203" s="302" t="str">
        <f t="shared" si="145"/>
        <v/>
      </c>
      <c r="AX203" s="301" t="str">
        <f t="shared" si="146"/>
        <v/>
      </c>
      <c r="AY203" s="301" t="str">
        <f t="shared" si="147"/>
        <v/>
      </c>
      <c r="AZ203" s="301" t="str">
        <f t="shared" si="148"/>
        <v/>
      </c>
      <c r="BA203" s="301" t="str">
        <f t="shared" si="149"/>
        <v/>
      </c>
      <c r="BB203" s="303">
        <f t="shared" si="163"/>
        <v>0</v>
      </c>
      <c r="BC203" s="303" t="str">
        <f t="shared" si="164"/>
        <v/>
      </c>
      <c r="BD203" s="303" t="str">
        <f t="shared" si="165"/>
        <v/>
      </c>
      <c r="BF203" s="304">
        <f t="shared" si="166"/>
        <v>0</v>
      </c>
      <c r="BG203" s="304">
        <f t="shared" si="167"/>
        <v>0</v>
      </c>
      <c r="BH203" s="304" t="str">
        <f>IF( $B203="", "", IF(ISNA(VLOOKUP($C203, Defesa!$C$8:$C$30,1,FALSE)),1,0))</f>
        <v/>
      </c>
      <c r="BI203" s="305" t="str">
        <f t="shared" si="168"/>
        <v/>
      </c>
      <c r="BJ203" s="305" t="str">
        <f t="shared" si="169"/>
        <v/>
      </c>
      <c r="BK203" s="304" t="str">
        <f t="shared" si="170"/>
        <v/>
      </c>
      <c r="BL203" s="304">
        <f t="shared" si="171"/>
        <v>0</v>
      </c>
      <c r="BM203" s="304" t="str">
        <f>IF($AC203="", "", IF(ISNA(VLOOKUP($AC203, TABELAS!$Q:$Q, 1, FALSE)), 1, 0))</f>
        <v/>
      </c>
      <c r="BN203" s="306" t="str">
        <f t="shared" si="172"/>
        <v/>
      </c>
      <c r="BO203" s="304" t="str">
        <f t="shared" si="173"/>
        <v/>
      </c>
      <c r="BP203" s="304" t="str">
        <f t="shared" si="174"/>
        <v/>
      </c>
      <c r="BQ203" s="305" t="str">
        <f t="shared" si="175"/>
        <v/>
      </c>
      <c r="BR203" s="304" t="str">
        <f t="shared" si="176"/>
        <v/>
      </c>
      <c r="BS203" s="304" t="str">
        <f t="shared" si="177"/>
        <v/>
      </c>
      <c r="BT203" s="304" t="str">
        <f>IF(OR($B203="", $AH203 = "SIM"), "", IF( ISNA(VLOOKUP($AP203,#REF!, 1, FALSE)), 1, 0))</f>
        <v/>
      </c>
      <c r="BU203" s="304" t="str">
        <f t="shared" si="178"/>
        <v/>
      </c>
      <c r="BV203" s="304" t="str">
        <f>IF( $B203="", "", IF( ISNA(VLOOKUP($AN203, TABELAS!$T$2:$T$9,1,FALSE)), 1, 0))</f>
        <v/>
      </c>
      <c r="BW203" s="304" t="str">
        <f t="shared" si="179"/>
        <v/>
      </c>
      <c r="BX203" s="304" t="str">
        <f>IF( OR($B203="", $AH203 = "SIM"), "", IF( ISNA( VLOOKUP( $AQ203, SISTEMA!$B:$B, 1, FALSE)), 1, 0))</f>
        <v/>
      </c>
      <c r="BY203" s="305" t="str">
        <f t="shared" si="180"/>
        <v/>
      </c>
      <c r="BZ203" s="305" t="str">
        <f t="shared" si="181"/>
        <v/>
      </c>
      <c r="CA203" s="304" t="str">
        <f t="shared" si="182"/>
        <v/>
      </c>
      <c r="CB203" s="305" t="str">
        <f t="shared" si="183"/>
        <v/>
      </c>
      <c r="CC203" s="305" t="str">
        <f t="shared" si="184"/>
        <v/>
      </c>
      <c r="CD203" s="305" t="str">
        <f t="shared" si="185"/>
        <v/>
      </c>
    </row>
    <row r="204" spans="1:82" x14ac:dyDescent="0.2">
      <c r="A204" s="235"/>
      <c r="B204" s="236" t="str">
        <f t="shared" si="150"/>
        <v/>
      </c>
      <c r="C204" s="237" t="str">
        <f t="shared" si="140"/>
        <v/>
      </c>
      <c r="D204" s="237" t="str">
        <f t="shared" si="151"/>
        <v/>
      </c>
      <c r="E204" s="237" t="str">
        <f>IF($C204="", "", COUNTIF($M$8:$M204,$D204))</f>
        <v/>
      </c>
      <c r="F204" s="238">
        <v>197</v>
      </c>
      <c r="G204" s="239"/>
      <c r="H204" s="240"/>
      <c r="I204" s="240"/>
      <c r="J204" s="241"/>
      <c r="K204" s="240"/>
      <c r="L204" s="240"/>
      <c r="M204" s="240"/>
      <c r="N204" s="242"/>
      <c r="O204" s="243"/>
      <c r="P204" s="243"/>
      <c r="Q204" s="243"/>
      <c r="R204" s="243"/>
      <c r="S204" s="243"/>
      <c r="T204" s="245"/>
      <c r="U204" s="246" t="str">
        <f>IF($T204="", "", VLOOKUP($T204, CONTRATOS!$B:$E, 2, FALSE))</f>
        <v/>
      </c>
      <c r="V204" s="247">
        <f>IF(OR($T204="",TB_DEFESA!$C$2="Criação Baseline"),0,
   IF(VLOOKUP($T204, CONTRATOS!B:E, 3, FALSE)&lt;&gt;"",1,IF(VLOOKUP($T204, CONTRATOS!B:E, 4, FALSE)&lt;&gt;"",2,0)))</f>
        <v>0</v>
      </c>
      <c r="W204" s="248"/>
      <c r="X204" s="248"/>
      <c r="Y204" s="249"/>
      <c r="Z204" s="250"/>
      <c r="AA204" s="251"/>
      <c r="AB204" s="252"/>
      <c r="AC204" s="253"/>
      <c r="AD204" s="251"/>
      <c r="AE204" s="254" t="str">
        <f t="shared" si="141"/>
        <v/>
      </c>
      <c r="AF204" s="256" t="str">
        <f t="shared" si="152"/>
        <v/>
      </c>
      <c r="AG204" s="293" t="s">
        <v>62</v>
      </c>
      <c r="AH204" s="294" t="str">
        <f t="shared" si="153"/>
        <v/>
      </c>
      <c r="AI204" s="294" t="str">
        <f t="shared" si="154"/>
        <v/>
      </c>
      <c r="AJ204" s="295" t="str">
        <f t="shared" si="155"/>
        <v/>
      </c>
      <c r="AK204" s="296" t="str">
        <f t="shared" si="156"/>
        <v/>
      </c>
      <c r="AL204" s="297" t="str">
        <f t="shared" si="157"/>
        <v/>
      </c>
      <c r="AM204" s="294" t="str">
        <f t="shared" si="158"/>
        <v/>
      </c>
      <c r="AN204" s="294" t="str">
        <f t="shared" si="159"/>
        <v/>
      </c>
      <c r="AO204" s="298" t="str">
        <f t="shared" si="160"/>
        <v/>
      </c>
      <c r="AP204" s="299" t="str">
        <f t="shared" si="161"/>
        <v/>
      </c>
      <c r="AQ204" s="299" t="str">
        <f t="shared" si="162"/>
        <v/>
      </c>
      <c r="AR204" s="300" t="str">
        <f t="shared" si="142"/>
        <v/>
      </c>
      <c r="AS204" s="300" t="str">
        <f t="shared" si="143"/>
        <v/>
      </c>
      <c r="AT204" s="294" t="str">
        <f t="shared" si="144"/>
        <v/>
      </c>
      <c r="AU204" s="301" t="str">
        <f>IF(OR($B204="", $AP204= ""),"",IF(VLOOKUP($AP204, CONTRATOS!B:K,3,FALSE)="","",VLOOKUP($AP204, CONTRATOS!B:K, 3,FALSE)))</f>
        <v/>
      </c>
      <c r="AV204" s="301" t="str">
        <f>IF(OR($B204="", $AP204 = ""), "", IF(VLOOKUP($AP204, CONTRATOS!B:K,4,FALSE)="","",VLOOKUP($AP204, CONTRATOS!B:K,4, FALSE)))</f>
        <v/>
      </c>
      <c r="AW204" s="302" t="str">
        <f t="shared" si="145"/>
        <v/>
      </c>
      <c r="AX204" s="301" t="str">
        <f t="shared" si="146"/>
        <v/>
      </c>
      <c r="AY204" s="301" t="str">
        <f t="shared" si="147"/>
        <v/>
      </c>
      <c r="AZ204" s="301" t="str">
        <f t="shared" si="148"/>
        <v/>
      </c>
      <c r="BA204" s="301" t="str">
        <f t="shared" si="149"/>
        <v/>
      </c>
      <c r="BB204" s="303">
        <f t="shared" si="163"/>
        <v>0</v>
      </c>
      <c r="BC204" s="303" t="str">
        <f t="shared" si="164"/>
        <v/>
      </c>
      <c r="BD204" s="303" t="str">
        <f t="shared" si="165"/>
        <v/>
      </c>
      <c r="BF204" s="304">
        <f t="shared" si="166"/>
        <v>0</v>
      </c>
      <c r="BG204" s="304">
        <f t="shared" si="167"/>
        <v>0</v>
      </c>
      <c r="BH204" s="304" t="str">
        <f>IF( $B204="", "", IF(ISNA(VLOOKUP($C204, Defesa!$C$8:$C$30,1,FALSE)),1,0))</f>
        <v/>
      </c>
      <c r="BI204" s="305" t="str">
        <f t="shared" si="168"/>
        <v/>
      </c>
      <c r="BJ204" s="305" t="str">
        <f t="shared" si="169"/>
        <v/>
      </c>
      <c r="BK204" s="304" t="str">
        <f t="shared" si="170"/>
        <v/>
      </c>
      <c r="BL204" s="304">
        <f t="shared" si="171"/>
        <v>0</v>
      </c>
      <c r="BM204" s="304" t="str">
        <f>IF($AC204="", "", IF(ISNA(VLOOKUP($AC204, TABELAS!$Q:$Q, 1, FALSE)), 1, 0))</f>
        <v/>
      </c>
      <c r="BN204" s="306" t="str">
        <f t="shared" si="172"/>
        <v/>
      </c>
      <c r="BO204" s="304" t="str">
        <f t="shared" si="173"/>
        <v/>
      </c>
      <c r="BP204" s="304" t="str">
        <f t="shared" si="174"/>
        <v/>
      </c>
      <c r="BQ204" s="305" t="str">
        <f t="shared" si="175"/>
        <v/>
      </c>
      <c r="BR204" s="304" t="str">
        <f t="shared" si="176"/>
        <v/>
      </c>
      <c r="BS204" s="304" t="str">
        <f t="shared" si="177"/>
        <v/>
      </c>
      <c r="BT204" s="304" t="str">
        <f>IF(OR($B204="", $AH204 = "SIM"), "", IF( ISNA(VLOOKUP($AP204,#REF!, 1, FALSE)), 1, 0))</f>
        <v/>
      </c>
      <c r="BU204" s="304" t="str">
        <f t="shared" si="178"/>
        <v/>
      </c>
      <c r="BV204" s="304" t="str">
        <f>IF( $B204="", "", IF( ISNA(VLOOKUP($AN204, TABELAS!$T$2:$T$9,1,FALSE)), 1, 0))</f>
        <v/>
      </c>
      <c r="BW204" s="304" t="str">
        <f t="shared" si="179"/>
        <v/>
      </c>
      <c r="BX204" s="304" t="str">
        <f>IF( OR($B204="", $AH204 = "SIM"), "", IF( ISNA( VLOOKUP( $AQ204, SISTEMA!$B:$B, 1, FALSE)), 1, 0))</f>
        <v/>
      </c>
      <c r="BY204" s="305" t="str">
        <f t="shared" si="180"/>
        <v/>
      </c>
      <c r="BZ204" s="305" t="str">
        <f t="shared" si="181"/>
        <v/>
      </c>
      <c r="CA204" s="304" t="str">
        <f t="shared" si="182"/>
        <v/>
      </c>
      <c r="CB204" s="305" t="str">
        <f t="shared" si="183"/>
        <v/>
      </c>
      <c r="CC204" s="305" t="str">
        <f t="shared" si="184"/>
        <v/>
      </c>
      <c r="CD204" s="305" t="str">
        <f t="shared" si="185"/>
        <v/>
      </c>
    </row>
    <row r="205" spans="1:82" x14ac:dyDescent="0.2">
      <c r="A205" s="235"/>
      <c r="B205" s="236" t="str">
        <f t="shared" si="150"/>
        <v/>
      </c>
      <c r="C205" s="237" t="str">
        <f t="shared" si="140"/>
        <v/>
      </c>
      <c r="D205" s="237" t="str">
        <f t="shared" si="151"/>
        <v/>
      </c>
      <c r="E205" s="237" t="str">
        <f>IF($C205="", "", COUNTIF($M$8:$M205,$D205))</f>
        <v/>
      </c>
      <c r="F205" s="238">
        <v>198</v>
      </c>
      <c r="G205" s="239"/>
      <c r="H205" s="240"/>
      <c r="I205" s="240"/>
      <c r="J205" s="241"/>
      <c r="K205" s="240"/>
      <c r="L205" s="240"/>
      <c r="M205" s="240"/>
      <c r="N205" s="242"/>
      <c r="O205" s="243"/>
      <c r="P205" s="243"/>
      <c r="Q205" s="243"/>
      <c r="R205" s="243"/>
      <c r="S205" s="243"/>
      <c r="T205" s="245"/>
      <c r="U205" s="246" t="str">
        <f>IF($T205="", "", VLOOKUP($T205, CONTRATOS!$B:$E, 2, FALSE))</f>
        <v/>
      </c>
      <c r="V205" s="247">
        <f>IF(OR($T205="",TB_DEFESA!$C$2="Criação Baseline"),0,
   IF(VLOOKUP($T205, CONTRATOS!B:E, 3, FALSE)&lt;&gt;"",1,IF(VLOOKUP($T205, CONTRATOS!B:E, 4, FALSE)&lt;&gt;"",2,0)))</f>
        <v>0</v>
      </c>
      <c r="W205" s="248"/>
      <c r="X205" s="248"/>
      <c r="Y205" s="249"/>
      <c r="Z205" s="250"/>
      <c r="AA205" s="251"/>
      <c r="AB205" s="252"/>
      <c r="AC205" s="253"/>
      <c r="AD205" s="251"/>
      <c r="AE205" s="254" t="str">
        <f t="shared" si="141"/>
        <v/>
      </c>
      <c r="AF205" s="256" t="str">
        <f t="shared" si="152"/>
        <v/>
      </c>
      <c r="AG205" s="293" t="s">
        <v>62</v>
      </c>
      <c r="AH205" s="294" t="str">
        <f t="shared" si="153"/>
        <v/>
      </c>
      <c r="AI205" s="294" t="str">
        <f t="shared" si="154"/>
        <v/>
      </c>
      <c r="AJ205" s="295" t="str">
        <f t="shared" si="155"/>
        <v/>
      </c>
      <c r="AK205" s="296" t="str">
        <f t="shared" si="156"/>
        <v/>
      </c>
      <c r="AL205" s="297" t="str">
        <f t="shared" si="157"/>
        <v/>
      </c>
      <c r="AM205" s="294" t="str">
        <f t="shared" si="158"/>
        <v/>
      </c>
      <c r="AN205" s="294" t="str">
        <f t="shared" si="159"/>
        <v/>
      </c>
      <c r="AO205" s="298" t="str">
        <f t="shared" si="160"/>
        <v/>
      </c>
      <c r="AP205" s="299" t="str">
        <f t="shared" si="161"/>
        <v/>
      </c>
      <c r="AQ205" s="299" t="str">
        <f t="shared" si="162"/>
        <v/>
      </c>
      <c r="AR205" s="300" t="str">
        <f t="shared" si="142"/>
        <v/>
      </c>
      <c r="AS205" s="300" t="str">
        <f t="shared" si="143"/>
        <v/>
      </c>
      <c r="AT205" s="294" t="str">
        <f t="shared" si="144"/>
        <v/>
      </c>
      <c r="AU205" s="301" t="str">
        <f>IF(OR($B205="", $AP205= ""),"",IF(VLOOKUP($AP205, CONTRATOS!B:K,3,FALSE)="","",VLOOKUP($AP205, CONTRATOS!B:K, 3,FALSE)))</f>
        <v/>
      </c>
      <c r="AV205" s="301" t="str">
        <f>IF(OR($B205="", $AP205 = ""), "", IF(VLOOKUP($AP205, CONTRATOS!B:K,4,FALSE)="","",VLOOKUP($AP205, CONTRATOS!B:K,4, FALSE)))</f>
        <v/>
      </c>
      <c r="AW205" s="302" t="str">
        <f t="shared" si="145"/>
        <v/>
      </c>
      <c r="AX205" s="301" t="str">
        <f t="shared" si="146"/>
        <v/>
      </c>
      <c r="AY205" s="301" t="str">
        <f t="shared" si="147"/>
        <v/>
      </c>
      <c r="AZ205" s="301" t="str">
        <f t="shared" si="148"/>
        <v/>
      </c>
      <c r="BA205" s="301" t="str">
        <f t="shared" si="149"/>
        <v/>
      </c>
      <c r="BB205" s="303">
        <f t="shared" si="163"/>
        <v>0</v>
      </c>
      <c r="BC205" s="303" t="str">
        <f t="shared" si="164"/>
        <v/>
      </c>
      <c r="BD205" s="303" t="str">
        <f t="shared" si="165"/>
        <v/>
      </c>
      <c r="BF205" s="304">
        <f t="shared" si="166"/>
        <v>0</v>
      </c>
      <c r="BG205" s="304">
        <f t="shared" si="167"/>
        <v>0</v>
      </c>
      <c r="BH205" s="304" t="str">
        <f>IF( $B205="", "", IF(ISNA(VLOOKUP($C205, Defesa!$C$8:$C$30,1,FALSE)),1,0))</f>
        <v/>
      </c>
      <c r="BI205" s="305" t="str">
        <f t="shared" si="168"/>
        <v/>
      </c>
      <c r="BJ205" s="305" t="str">
        <f t="shared" si="169"/>
        <v/>
      </c>
      <c r="BK205" s="304" t="str">
        <f t="shared" si="170"/>
        <v/>
      </c>
      <c r="BL205" s="304">
        <f t="shared" si="171"/>
        <v>0</v>
      </c>
      <c r="BM205" s="304" t="str">
        <f>IF($AC205="", "", IF(ISNA(VLOOKUP($AC205, TABELAS!$Q:$Q, 1, FALSE)), 1, 0))</f>
        <v/>
      </c>
      <c r="BN205" s="306" t="str">
        <f t="shared" si="172"/>
        <v/>
      </c>
      <c r="BO205" s="304" t="str">
        <f t="shared" si="173"/>
        <v/>
      </c>
      <c r="BP205" s="304" t="str">
        <f t="shared" si="174"/>
        <v/>
      </c>
      <c r="BQ205" s="305" t="str">
        <f t="shared" si="175"/>
        <v/>
      </c>
      <c r="BR205" s="304" t="str">
        <f t="shared" si="176"/>
        <v/>
      </c>
      <c r="BS205" s="304" t="str">
        <f t="shared" si="177"/>
        <v/>
      </c>
      <c r="BT205" s="304" t="str">
        <f>IF(OR($B205="", $AH205 = "SIM"), "", IF( ISNA(VLOOKUP($AP205,#REF!, 1, FALSE)), 1, 0))</f>
        <v/>
      </c>
      <c r="BU205" s="304" t="str">
        <f t="shared" si="178"/>
        <v/>
      </c>
      <c r="BV205" s="304" t="str">
        <f>IF( $B205="", "", IF( ISNA(VLOOKUP($AN205, TABELAS!$T$2:$T$9,1,FALSE)), 1, 0))</f>
        <v/>
      </c>
      <c r="BW205" s="304" t="str">
        <f t="shared" si="179"/>
        <v/>
      </c>
      <c r="BX205" s="304" t="str">
        <f>IF( OR($B205="", $AH205 = "SIM"), "", IF( ISNA( VLOOKUP( $AQ205, SISTEMA!$B:$B, 1, FALSE)), 1, 0))</f>
        <v/>
      </c>
      <c r="BY205" s="305" t="str">
        <f t="shared" si="180"/>
        <v/>
      </c>
      <c r="BZ205" s="305" t="str">
        <f t="shared" si="181"/>
        <v/>
      </c>
      <c r="CA205" s="304" t="str">
        <f t="shared" si="182"/>
        <v/>
      </c>
      <c r="CB205" s="305" t="str">
        <f t="shared" si="183"/>
        <v/>
      </c>
      <c r="CC205" s="305" t="str">
        <f t="shared" si="184"/>
        <v/>
      </c>
      <c r="CD205" s="305" t="str">
        <f t="shared" si="185"/>
        <v/>
      </c>
    </row>
    <row r="206" spans="1:82" x14ac:dyDescent="0.2">
      <c r="A206" s="235"/>
      <c r="B206" s="236" t="str">
        <f t="shared" si="150"/>
        <v/>
      </c>
      <c r="C206" s="237" t="str">
        <f t="shared" si="140"/>
        <v/>
      </c>
      <c r="D206" s="237" t="str">
        <f t="shared" si="151"/>
        <v/>
      </c>
      <c r="E206" s="237" t="str">
        <f>IF($C206="", "", COUNTIF($M$8:$M206,$D206))</f>
        <v/>
      </c>
      <c r="F206" s="238">
        <v>199</v>
      </c>
      <c r="G206" s="239"/>
      <c r="H206" s="240"/>
      <c r="I206" s="240"/>
      <c r="J206" s="241"/>
      <c r="K206" s="240"/>
      <c r="L206" s="240"/>
      <c r="M206" s="240"/>
      <c r="N206" s="242"/>
      <c r="O206" s="243"/>
      <c r="P206" s="243"/>
      <c r="Q206" s="243"/>
      <c r="R206" s="243"/>
      <c r="S206" s="243"/>
      <c r="T206" s="245"/>
      <c r="U206" s="246" t="str">
        <f>IF($T206="", "", VLOOKUP($T206, CONTRATOS!$B:$E, 2, FALSE))</f>
        <v/>
      </c>
      <c r="V206" s="247">
        <f>IF(OR($T206="",TB_DEFESA!$C$2="Criação Baseline"),0,
   IF(VLOOKUP($T206, CONTRATOS!B:E, 3, FALSE)&lt;&gt;"",1,IF(VLOOKUP($T206, CONTRATOS!B:E, 4, FALSE)&lt;&gt;"",2,0)))</f>
        <v>0</v>
      </c>
      <c r="W206" s="248"/>
      <c r="X206" s="248"/>
      <c r="Y206" s="249"/>
      <c r="Z206" s="250"/>
      <c r="AA206" s="251"/>
      <c r="AB206" s="252"/>
      <c r="AC206" s="253"/>
      <c r="AD206" s="251"/>
      <c r="AE206" s="254" t="str">
        <f t="shared" si="141"/>
        <v/>
      </c>
      <c r="AF206" s="256" t="str">
        <f t="shared" si="152"/>
        <v/>
      </c>
      <c r="AG206" s="293" t="s">
        <v>62</v>
      </c>
      <c r="AH206" s="294" t="str">
        <f t="shared" si="153"/>
        <v/>
      </c>
      <c r="AI206" s="294" t="str">
        <f t="shared" si="154"/>
        <v/>
      </c>
      <c r="AJ206" s="295" t="str">
        <f t="shared" si="155"/>
        <v/>
      </c>
      <c r="AK206" s="296" t="str">
        <f t="shared" si="156"/>
        <v/>
      </c>
      <c r="AL206" s="297" t="str">
        <f t="shared" si="157"/>
        <v/>
      </c>
      <c r="AM206" s="294" t="str">
        <f t="shared" si="158"/>
        <v/>
      </c>
      <c r="AN206" s="294" t="str">
        <f t="shared" si="159"/>
        <v/>
      </c>
      <c r="AO206" s="298" t="str">
        <f t="shared" si="160"/>
        <v/>
      </c>
      <c r="AP206" s="299" t="str">
        <f t="shared" si="161"/>
        <v/>
      </c>
      <c r="AQ206" s="299" t="str">
        <f t="shared" si="162"/>
        <v/>
      </c>
      <c r="AR206" s="300" t="str">
        <f t="shared" si="142"/>
        <v/>
      </c>
      <c r="AS206" s="300" t="str">
        <f t="shared" si="143"/>
        <v/>
      </c>
      <c r="AT206" s="294" t="str">
        <f t="shared" si="144"/>
        <v/>
      </c>
      <c r="AU206" s="301" t="str">
        <f>IF(OR($B206="", $AP206= ""),"",IF(VLOOKUP($AP206, CONTRATOS!B:K,3,FALSE)="","",VLOOKUP($AP206, CONTRATOS!B:K, 3,FALSE)))</f>
        <v/>
      </c>
      <c r="AV206" s="301" t="str">
        <f>IF(OR($B206="", $AP206 = ""), "", IF(VLOOKUP($AP206, CONTRATOS!B:K,4,FALSE)="","",VLOOKUP($AP206, CONTRATOS!B:K,4, FALSE)))</f>
        <v/>
      </c>
      <c r="AW206" s="302" t="str">
        <f t="shared" si="145"/>
        <v/>
      </c>
      <c r="AX206" s="301" t="str">
        <f t="shared" si="146"/>
        <v/>
      </c>
      <c r="AY206" s="301" t="str">
        <f t="shared" si="147"/>
        <v/>
      </c>
      <c r="AZ206" s="301" t="str">
        <f t="shared" si="148"/>
        <v/>
      </c>
      <c r="BA206" s="301" t="str">
        <f t="shared" si="149"/>
        <v/>
      </c>
      <c r="BB206" s="303">
        <f t="shared" si="163"/>
        <v>0</v>
      </c>
      <c r="BC206" s="303" t="str">
        <f t="shared" si="164"/>
        <v/>
      </c>
      <c r="BD206" s="303" t="str">
        <f t="shared" si="165"/>
        <v/>
      </c>
      <c r="BF206" s="304">
        <f t="shared" si="166"/>
        <v>0</v>
      </c>
      <c r="BG206" s="304">
        <f t="shared" si="167"/>
        <v>0</v>
      </c>
      <c r="BH206" s="304" t="str">
        <f>IF( $B206="", "", IF(ISNA(VLOOKUP($C206, Defesa!$C$8:$C$30,1,FALSE)),1,0))</f>
        <v/>
      </c>
      <c r="BI206" s="305" t="str">
        <f t="shared" si="168"/>
        <v/>
      </c>
      <c r="BJ206" s="305" t="str">
        <f t="shared" si="169"/>
        <v/>
      </c>
      <c r="BK206" s="304" t="str">
        <f t="shared" si="170"/>
        <v/>
      </c>
      <c r="BL206" s="304">
        <f t="shared" si="171"/>
        <v>0</v>
      </c>
      <c r="BM206" s="304" t="str">
        <f>IF($AC206="", "", IF(ISNA(VLOOKUP($AC206, TABELAS!$Q:$Q, 1, FALSE)), 1, 0))</f>
        <v/>
      </c>
      <c r="BN206" s="306" t="str">
        <f t="shared" si="172"/>
        <v/>
      </c>
      <c r="BO206" s="304" t="str">
        <f t="shared" si="173"/>
        <v/>
      </c>
      <c r="BP206" s="304" t="str">
        <f t="shared" si="174"/>
        <v/>
      </c>
      <c r="BQ206" s="305" t="str">
        <f t="shared" si="175"/>
        <v/>
      </c>
      <c r="BR206" s="304" t="str">
        <f t="shared" si="176"/>
        <v/>
      </c>
      <c r="BS206" s="304" t="str">
        <f t="shared" si="177"/>
        <v/>
      </c>
      <c r="BT206" s="304" t="str">
        <f>IF(OR($B206="", $AH206 = "SIM"), "", IF( ISNA(VLOOKUP($AP206,#REF!, 1, FALSE)), 1, 0))</f>
        <v/>
      </c>
      <c r="BU206" s="304" t="str">
        <f t="shared" si="178"/>
        <v/>
      </c>
      <c r="BV206" s="304" t="str">
        <f>IF( $B206="", "", IF( ISNA(VLOOKUP($AN206, TABELAS!$T$2:$T$9,1,FALSE)), 1, 0))</f>
        <v/>
      </c>
      <c r="BW206" s="304" t="str">
        <f t="shared" si="179"/>
        <v/>
      </c>
      <c r="BX206" s="304" t="str">
        <f>IF( OR($B206="", $AH206 = "SIM"), "", IF( ISNA( VLOOKUP( $AQ206, SISTEMA!$B:$B, 1, FALSE)), 1, 0))</f>
        <v/>
      </c>
      <c r="BY206" s="305" t="str">
        <f t="shared" si="180"/>
        <v/>
      </c>
      <c r="BZ206" s="305" t="str">
        <f t="shared" si="181"/>
        <v/>
      </c>
      <c r="CA206" s="304" t="str">
        <f t="shared" si="182"/>
        <v/>
      </c>
      <c r="CB206" s="305" t="str">
        <f t="shared" si="183"/>
        <v/>
      </c>
      <c r="CC206" s="305" t="str">
        <f t="shared" si="184"/>
        <v/>
      </c>
      <c r="CD206" s="305" t="str">
        <f t="shared" si="185"/>
        <v/>
      </c>
    </row>
    <row r="207" spans="1:82" x14ac:dyDescent="0.2">
      <c r="A207" s="235"/>
      <c r="B207" s="236" t="str">
        <f t="shared" si="150"/>
        <v/>
      </c>
      <c r="C207" s="237" t="str">
        <f t="shared" si="140"/>
        <v/>
      </c>
      <c r="D207" s="237" t="str">
        <f t="shared" si="151"/>
        <v/>
      </c>
      <c r="E207" s="237" t="str">
        <f>IF($C207="", "", COUNTIF($M$8:$M207,$D207))</f>
        <v/>
      </c>
      <c r="F207" s="238">
        <v>200</v>
      </c>
      <c r="G207" s="239"/>
      <c r="H207" s="240"/>
      <c r="I207" s="240"/>
      <c r="J207" s="241"/>
      <c r="K207" s="240"/>
      <c r="L207" s="240"/>
      <c r="M207" s="240"/>
      <c r="N207" s="242"/>
      <c r="O207" s="243"/>
      <c r="P207" s="243"/>
      <c r="Q207" s="243"/>
      <c r="R207" s="243"/>
      <c r="S207" s="243"/>
      <c r="T207" s="245"/>
      <c r="U207" s="246" t="str">
        <f>IF($T207="", "", VLOOKUP($T207, CONTRATOS!$B:$E, 2, FALSE))</f>
        <v/>
      </c>
      <c r="V207" s="247">
        <f>IF(OR($T207="",TB_DEFESA!$C$2="Criação Baseline"),0,
   IF(VLOOKUP($T207, CONTRATOS!B:E, 3, FALSE)&lt;&gt;"",1,IF(VLOOKUP($T207, CONTRATOS!B:E, 4, FALSE)&lt;&gt;"",2,0)))</f>
        <v>0</v>
      </c>
      <c r="W207" s="248"/>
      <c r="X207" s="248"/>
      <c r="Y207" s="249"/>
      <c r="Z207" s="250"/>
      <c r="AA207" s="251"/>
      <c r="AB207" s="252"/>
      <c r="AC207" s="253"/>
      <c r="AD207" s="251"/>
      <c r="AE207" s="254" t="str">
        <f t="shared" si="141"/>
        <v/>
      </c>
      <c r="AF207" s="256" t="str">
        <f t="shared" si="152"/>
        <v/>
      </c>
      <c r="AG207" s="293" t="s">
        <v>62</v>
      </c>
      <c r="AH207" s="294" t="str">
        <f t="shared" si="153"/>
        <v/>
      </c>
      <c r="AI207" s="294" t="str">
        <f t="shared" si="154"/>
        <v/>
      </c>
      <c r="AJ207" s="295" t="str">
        <f t="shared" si="155"/>
        <v/>
      </c>
      <c r="AK207" s="296" t="str">
        <f t="shared" si="156"/>
        <v/>
      </c>
      <c r="AL207" s="297" t="str">
        <f t="shared" si="157"/>
        <v/>
      </c>
      <c r="AM207" s="294" t="str">
        <f t="shared" si="158"/>
        <v/>
      </c>
      <c r="AN207" s="294" t="str">
        <f t="shared" si="159"/>
        <v/>
      </c>
      <c r="AO207" s="298" t="str">
        <f t="shared" si="160"/>
        <v/>
      </c>
      <c r="AP207" s="299" t="str">
        <f t="shared" si="161"/>
        <v/>
      </c>
      <c r="AQ207" s="299" t="str">
        <f t="shared" si="162"/>
        <v/>
      </c>
      <c r="AR207" s="300" t="str">
        <f t="shared" si="142"/>
        <v/>
      </c>
      <c r="AS207" s="300" t="str">
        <f t="shared" si="143"/>
        <v/>
      </c>
      <c r="AT207" s="294" t="str">
        <f t="shared" si="144"/>
        <v/>
      </c>
      <c r="AU207" s="301" t="str">
        <f>IF(OR($B207="", $AP207= ""),"",IF(VLOOKUP($AP207, CONTRATOS!B:K,3,FALSE)="","",VLOOKUP($AP207, CONTRATOS!B:K, 3,FALSE)))</f>
        <v/>
      </c>
      <c r="AV207" s="301" t="str">
        <f>IF(OR($B207="", $AP207 = ""), "", IF(VLOOKUP($AP207, CONTRATOS!B:K,4,FALSE)="","",VLOOKUP($AP207, CONTRATOS!B:K,4, FALSE)))</f>
        <v/>
      </c>
      <c r="AW207" s="302" t="str">
        <f t="shared" si="145"/>
        <v/>
      </c>
      <c r="AX207" s="301" t="str">
        <f t="shared" si="146"/>
        <v/>
      </c>
      <c r="AY207" s="301" t="str">
        <f t="shared" si="147"/>
        <v/>
      </c>
      <c r="AZ207" s="301" t="str">
        <f t="shared" si="148"/>
        <v/>
      </c>
      <c r="BA207" s="301" t="str">
        <f t="shared" si="149"/>
        <v/>
      </c>
      <c r="BB207" s="303">
        <f t="shared" si="163"/>
        <v>0</v>
      </c>
      <c r="BC207" s="303" t="str">
        <f t="shared" si="164"/>
        <v/>
      </c>
      <c r="BD207" s="303" t="str">
        <f t="shared" si="165"/>
        <v/>
      </c>
      <c r="BF207" s="304">
        <f t="shared" si="166"/>
        <v>0</v>
      </c>
      <c r="BG207" s="304">
        <f t="shared" si="167"/>
        <v>0</v>
      </c>
      <c r="BH207" s="304" t="str">
        <f>IF( $B207="", "", IF(ISNA(VLOOKUP($C207, Defesa!$C$8:$C$30,1,FALSE)),1,0))</f>
        <v/>
      </c>
      <c r="BI207" s="305" t="str">
        <f t="shared" si="168"/>
        <v/>
      </c>
      <c r="BJ207" s="305" t="str">
        <f t="shared" si="169"/>
        <v/>
      </c>
      <c r="BK207" s="304" t="str">
        <f t="shared" si="170"/>
        <v/>
      </c>
      <c r="BL207" s="304">
        <f t="shared" si="171"/>
        <v>0</v>
      </c>
      <c r="BM207" s="304" t="str">
        <f>IF($AC207="", "", IF(ISNA(VLOOKUP($AC207, TABELAS!$Q:$Q, 1, FALSE)), 1, 0))</f>
        <v/>
      </c>
      <c r="BN207" s="306" t="str">
        <f t="shared" si="172"/>
        <v/>
      </c>
      <c r="BO207" s="304" t="str">
        <f t="shared" si="173"/>
        <v/>
      </c>
      <c r="BP207" s="304" t="str">
        <f t="shared" si="174"/>
        <v/>
      </c>
      <c r="BQ207" s="305" t="str">
        <f t="shared" si="175"/>
        <v/>
      </c>
      <c r="BR207" s="304" t="str">
        <f t="shared" si="176"/>
        <v/>
      </c>
      <c r="BS207" s="304" t="str">
        <f t="shared" si="177"/>
        <v/>
      </c>
      <c r="BT207" s="304" t="str">
        <f>IF(OR($B207="", $AH207 = "SIM"), "", IF( ISNA(VLOOKUP($AP207,#REF!, 1, FALSE)), 1, 0))</f>
        <v/>
      </c>
      <c r="BU207" s="304" t="str">
        <f t="shared" si="178"/>
        <v/>
      </c>
      <c r="BV207" s="304" t="str">
        <f>IF( $B207="", "", IF( ISNA(VLOOKUP($AN207, TABELAS!$T$2:$T$9,1,FALSE)), 1, 0))</f>
        <v/>
      </c>
      <c r="BW207" s="304" t="str">
        <f t="shared" si="179"/>
        <v/>
      </c>
      <c r="BX207" s="304" t="str">
        <f>IF( OR($B207="", $AH207 = "SIM"), "", IF( ISNA( VLOOKUP( $AQ207, SISTEMA!$B:$B, 1, FALSE)), 1, 0))</f>
        <v/>
      </c>
      <c r="BY207" s="305" t="str">
        <f t="shared" si="180"/>
        <v/>
      </c>
      <c r="BZ207" s="305" t="str">
        <f t="shared" si="181"/>
        <v/>
      </c>
      <c r="CA207" s="304" t="str">
        <f t="shared" si="182"/>
        <v/>
      </c>
      <c r="CB207" s="305" t="str">
        <f t="shared" si="183"/>
        <v/>
      </c>
      <c r="CC207" s="305" t="str">
        <f t="shared" si="184"/>
        <v/>
      </c>
      <c r="CD207" s="305" t="str">
        <f t="shared" si="185"/>
        <v/>
      </c>
    </row>
    <row r="208" spans="1:82" x14ac:dyDescent="0.2">
      <c r="A208" s="235"/>
      <c r="B208" s="236" t="str">
        <f t="shared" si="150"/>
        <v/>
      </c>
      <c r="C208" s="237" t="str">
        <f t="shared" si="140"/>
        <v/>
      </c>
      <c r="D208" s="237" t="str">
        <f t="shared" si="151"/>
        <v/>
      </c>
      <c r="E208" s="237" t="str">
        <f>IF($C208="", "", COUNTIF($M$8:$M208,$D208))</f>
        <v/>
      </c>
      <c r="F208" s="238">
        <v>201</v>
      </c>
      <c r="G208" s="239"/>
      <c r="H208" s="240"/>
      <c r="I208" s="240"/>
      <c r="J208" s="241"/>
      <c r="K208" s="240"/>
      <c r="L208" s="240"/>
      <c r="M208" s="240"/>
      <c r="N208" s="242"/>
      <c r="O208" s="243"/>
      <c r="P208" s="243"/>
      <c r="Q208" s="243"/>
      <c r="R208" s="243"/>
      <c r="S208" s="243"/>
      <c r="T208" s="245"/>
      <c r="U208" s="246" t="str">
        <f>IF($T208="", "", VLOOKUP($T208, CONTRATOS!$B:$E, 2, FALSE))</f>
        <v/>
      </c>
      <c r="V208" s="247">
        <f>IF(OR($T208="",TB_DEFESA!$C$2="Criação Baseline"),0,
   IF(VLOOKUP($T208, CONTRATOS!B:E, 3, FALSE)&lt;&gt;"",1,IF(VLOOKUP($T208, CONTRATOS!B:E, 4, FALSE)&lt;&gt;"",2,0)))</f>
        <v>0</v>
      </c>
      <c r="W208" s="248"/>
      <c r="X208" s="248"/>
      <c r="Y208" s="249"/>
      <c r="Z208" s="250"/>
      <c r="AA208" s="251"/>
      <c r="AB208" s="252"/>
      <c r="AC208" s="253"/>
      <c r="AD208" s="251"/>
      <c r="AE208" s="254" t="str">
        <f t="shared" si="141"/>
        <v/>
      </c>
      <c r="AF208" s="256" t="str">
        <f t="shared" si="152"/>
        <v/>
      </c>
      <c r="AG208" s="293" t="s">
        <v>62</v>
      </c>
      <c r="AH208" s="294" t="str">
        <f t="shared" si="153"/>
        <v/>
      </c>
      <c r="AI208" s="294" t="str">
        <f t="shared" si="154"/>
        <v/>
      </c>
      <c r="AJ208" s="295" t="str">
        <f t="shared" si="155"/>
        <v/>
      </c>
      <c r="AK208" s="296" t="str">
        <f t="shared" si="156"/>
        <v/>
      </c>
      <c r="AL208" s="297" t="str">
        <f t="shared" si="157"/>
        <v/>
      </c>
      <c r="AM208" s="294" t="str">
        <f t="shared" si="158"/>
        <v/>
      </c>
      <c r="AN208" s="294" t="str">
        <f t="shared" si="159"/>
        <v/>
      </c>
      <c r="AO208" s="298" t="str">
        <f t="shared" si="160"/>
        <v/>
      </c>
      <c r="AP208" s="299" t="str">
        <f t="shared" si="161"/>
        <v/>
      </c>
      <c r="AQ208" s="299" t="str">
        <f t="shared" si="162"/>
        <v/>
      </c>
      <c r="AR208" s="300" t="str">
        <f t="shared" si="142"/>
        <v/>
      </c>
      <c r="AS208" s="300" t="str">
        <f t="shared" si="143"/>
        <v/>
      </c>
      <c r="AT208" s="294" t="str">
        <f t="shared" si="144"/>
        <v/>
      </c>
      <c r="AU208" s="301" t="str">
        <f>IF(OR($B208="", $AP208= ""),"",IF(VLOOKUP($AP208, CONTRATOS!B:K,3,FALSE)="","",VLOOKUP($AP208, CONTRATOS!B:K, 3,FALSE)))</f>
        <v/>
      </c>
      <c r="AV208" s="301" t="str">
        <f>IF(OR($B208="", $AP208 = ""), "", IF(VLOOKUP($AP208, CONTRATOS!B:K,4,FALSE)="","",VLOOKUP($AP208, CONTRATOS!B:K,4, FALSE)))</f>
        <v/>
      </c>
      <c r="AW208" s="302" t="str">
        <f t="shared" si="145"/>
        <v/>
      </c>
      <c r="AX208" s="301" t="str">
        <f t="shared" si="146"/>
        <v/>
      </c>
      <c r="AY208" s="301" t="str">
        <f t="shared" si="147"/>
        <v/>
      </c>
      <c r="AZ208" s="301" t="str">
        <f t="shared" si="148"/>
        <v/>
      </c>
      <c r="BA208" s="301" t="str">
        <f t="shared" si="149"/>
        <v/>
      </c>
      <c r="BB208" s="303">
        <f t="shared" si="163"/>
        <v>0</v>
      </c>
      <c r="BC208" s="303" t="str">
        <f t="shared" si="164"/>
        <v/>
      </c>
      <c r="BD208" s="303" t="str">
        <f t="shared" si="165"/>
        <v/>
      </c>
      <c r="BF208" s="304">
        <f t="shared" si="166"/>
        <v>0</v>
      </c>
      <c r="BG208" s="304">
        <f t="shared" si="167"/>
        <v>0</v>
      </c>
      <c r="BH208" s="304" t="str">
        <f>IF( $B208="", "", IF(ISNA(VLOOKUP($C208, Defesa!$C$8:$C$30,1,FALSE)),1,0))</f>
        <v/>
      </c>
      <c r="BI208" s="305" t="str">
        <f t="shared" si="168"/>
        <v/>
      </c>
      <c r="BJ208" s="305" t="str">
        <f t="shared" si="169"/>
        <v/>
      </c>
      <c r="BK208" s="304" t="str">
        <f t="shared" si="170"/>
        <v/>
      </c>
      <c r="BL208" s="304">
        <f t="shared" si="171"/>
        <v>0</v>
      </c>
      <c r="BM208" s="304" t="str">
        <f>IF($AC208="", "", IF(ISNA(VLOOKUP($AC208, TABELAS!$Q:$Q, 1, FALSE)), 1, 0))</f>
        <v/>
      </c>
      <c r="BN208" s="306" t="str">
        <f t="shared" si="172"/>
        <v/>
      </c>
      <c r="BO208" s="304" t="str">
        <f t="shared" si="173"/>
        <v/>
      </c>
      <c r="BP208" s="304" t="str">
        <f t="shared" si="174"/>
        <v/>
      </c>
      <c r="BQ208" s="305" t="str">
        <f t="shared" si="175"/>
        <v/>
      </c>
      <c r="BR208" s="304" t="str">
        <f t="shared" si="176"/>
        <v/>
      </c>
      <c r="BS208" s="304" t="str">
        <f t="shared" si="177"/>
        <v/>
      </c>
      <c r="BT208" s="304" t="str">
        <f>IF(OR($B208="", $AH208 = "SIM"), "", IF( ISNA(VLOOKUP($AP208,#REF!, 1, FALSE)), 1, 0))</f>
        <v/>
      </c>
      <c r="BU208" s="304" t="str">
        <f t="shared" si="178"/>
        <v/>
      </c>
      <c r="BV208" s="304" t="str">
        <f>IF( $B208="", "", IF( ISNA(VLOOKUP($AN208, TABELAS!$T$2:$T$9,1,FALSE)), 1, 0))</f>
        <v/>
      </c>
      <c r="BW208" s="304" t="str">
        <f t="shared" si="179"/>
        <v/>
      </c>
      <c r="BX208" s="304" t="str">
        <f>IF( OR($B208="", $AH208 = "SIM"), "", IF( ISNA( VLOOKUP( $AQ208, SISTEMA!$B:$B, 1, FALSE)), 1, 0))</f>
        <v/>
      </c>
      <c r="BY208" s="305" t="str">
        <f t="shared" si="180"/>
        <v/>
      </c>
      <c r="BZ208" s="305" t="str">
        <f t="shared" si="181"/>
        <v/>
      </c>
      <c r="CA208" s="304" t="str">
        <f t="shared" si="182"/>
        <v/>
      </c>
      <c r="CB208" s="305" t="str">
        <f t="shared" si="183"/>
        <v/>
      </c>
      <c r="CC208" s="305" t="str">
        <f t="shared" si="184"/>
        <v/>
      </c>
      <c r="CD208" s="305" t="str">
        <f t="shared" si="185"/>
        <v/>
      </c>
    </row>
    <row r="209" spans="1:82" x14ac:dyDescent="0.2">
      <c r="A209" s="235"/>
      <c r="B209" s="236" t="str">
        <f t="shared" si="150"/>
        <v/>
      </c>
      <c r="C209" s="237" t="str">
        <f t="shared" si="140"/>
        <v/>
      </c>
      <c r="D209" s="237" t="str">
        <f t="shared" si="151"/>
        <v/>
      </c>
      <c r="E209" s="237" t="str">
        <f>IF($C209="", "", COUNTIF($M$8:$M209,$D209))</f>
        <v/>
      </c>
      <c r="F209" s="238">
        <v>202</v>
      </c>
      <c r="G209" s="239"/>
      <c r="H209" s="240"/>
      <c r="I209" s="240"/>
      <c r="J209" s="241"/>
      <c r="K209" s="240"/>
      <c r="L209" s="240"/>
      <c r="M209" s="240"/>
      <c r="N209" s="242"/>
      <c r="O209" s="243"/>
      <c r="P209" s="243"/>
      <c r="Q209" s="243"/>
      <c r="R209" s="243"/>
      <c r="S209" s="243"/>
      <c r="T209" s="245"/>
      <c r="U209" s="246" t="str">
        <f>IF($T209="", "", VLOOKUP($T209, CONTRATOS!$B:$E, 2, FALSE))</f>
        <v/>
      </c>
      <c r="V209" s="247">
        <f>IF(OR($T209="",TB_DEFESA!$C$2="Criação Baseline"),0,
   IF(VLOOKUP($T209, CONTRATOS!B:E, 3, FALSE)&lt;&gt;"",1,IF(VLOOKUP($T209, CONTRATOS!B:E, 4, FALSE)&lt;&gt;"",2,0)))</f>
        <v>0</v>
      </c>
      <c r="W209" s="248"/>
      <c r="X209" s="248"/>
      <c r="Y209" s="249"/>
      <c r="Z209" s="250"/>
      <c r="AA209" s="251"/>
      <c r="AB209" s="252"/>
      <c r="AC209" s="253"/>
      <c r="AD209" s="251"/>
      <c r="AE209" s="254" t="str">
        <f t="shared" si="141"/>
        <v/>
      </c>
      <c r="AF209" s="256" t="str">
        <f t="shared" si="152"/>
        <v/>
      </c>
      <c r="AG209" s="293" t="s">
        <v>62</v>
      </c>
      <c r="AH209" s="294" t="str">
        <f t="shared" si="153"/>
        <v/>
      </c>
      <c r="AI209" s="294" t="str">
        <f t="shared" si="154"/>
        <v/>
      </c>
      <c r="AJ209" s="295" t="str">
        <f t="shared" si="155"/>
        <v/>
      </c>
      <c r="AK209" s="296" t="str">
        <f t="shared" si="156"/>
        <v/>
      </c>
      <c r="AL209" s="297" t="str">
        <f t="shared" si="157"/>
        <v/>
      </c>
      <c r="AM209" s="294" t="str">
        <f t="shared" si="158"/>
        <v/>
      </c>
      <c r="AN209" s="294" t="str">
        <f t="shared" si="159"/>
        <v/>
      </c>
      <c r="AO209" s="298" t="str">
        <f t="shared" si="160"/>
        <v/>
      </c>
      <c r="AP209" s="299" t="str">
        <f t="shared" si="161"/>
        <v/>
      </c>
      <c r="AQ209" s="299" t="str">
        <f t="shared" si="162"/>
        <v/>
      </c>
      <c r="AR209" s="300" t="str">
        <f t="shared" si="142"/>
        <v/>
      </c>
      <c r="AS209" s="300" t="str">
        <f t="shared" si="143"/>
        <v/>
      </c>
      <c r="AT209" s="294" t="str">
        <f t="shared" si="144"/>
        <v/>
      </c>
      <c r="AU209" s="301" t="str">
        <f>IF(OR($B209="", $AP209= ""),"",IF(VLOOKUP($AP209, CONTRATOS!B:K,3,FALSE)="","",VLOOKUP($AP209, CONTRATOS!B:K, 3,FALSE)))</f>
        <v/>
      </c>
      <c r="AV209" s="301" t="str">
        <f>IF(OR($B209="", $AP209 = ""), "", IF(VLOOKUP($AP209, CONTRATOS!B:K,4,FALSE)="","",VLOOKUP($AP209, CONTRATOS!B:K,4, FALSE)))</f>
        <v/>
      </c>
      <c r="AW209" s="302" t="str">
        <f t="shared" si="145"/>
        <v/>
      </c>
      <c r="AX209" s="301" t="str">
        <f t="shared" si="146"/>
        <v/>
      </c>
      <c r="AY209" s="301" t="str">
        <f t="shared" si="147"/>
        <v/>
      </c>
      <c r="AZ209" s="301" t="str">
        <f t="shared" si="148"/>
        <v/>
      </c>
      <c r="BA209" s="301" t="str">
        <f t="shared" si="149"/>
        <v/>
      </c>
      <c r="BB209" s="303">
        <f t="shared" si="163"/>
        <v>0</v>
      </c>
      <c r="BC209" s="303" t="str">
        <f t="shared" si="164"/>
        <v/>
      </c>
      <c r="BD209" s="303" t="str">
        <f t="shared" si="165"/>
        <v/>
      </c>
      <c r="BF209" s="304">
        <f t="shared" si="166"/>
        <v>0</v>
      </c>
      <c r="BG209" s="304">
        <f t="shared" si="167"/>
        <v>0</v>
      </c>
      <c r="BH209" s="304" t="str">
        <f>IF( $B209="", "", IF(ISNA(VLOOKUP($C209, Defesa!$C$8:$C$30,1,FALSE)),1,0))</f>
        <v/>
      </c>
      <c r="BI209" s="305" t="str">
        <f t="shared" si="168"/>
        <v/>
      </c>
      <c r="BJ209" s="305" t="str">
        <f t="shared" si="169"/>
        <v/>
      </c>
      <c r="BK209" s="304" t="str">
        <f t="shared" si="170"/>
        <v/>
      </c>
      <c r="BL209" s="304">
        <f t="shared" si="171"/>
        <v>0</v>
      </c>
      <c r="BM209" s="304" t="str">
        <f>IF($AC209="", "", IF(ISNA(VLOOKUP($AC209, TABELAS!$Q:$Q, 1, FALSE)), 1, 0))</f>
        <v/>
      </c>
      <c r="BN209" s="306" t="str">
        <f t="shared" si="172"/>
        <v/>
      </c>
      <c r="BO209" s="304" t="str">
        <f t="shared" si="173"/>
        <v/>
      </c>
      <c r="BP209" s="304" t="str">
        <f t="shared" si="174"/>
        <v/>
      </c>
      <c r="BQ209" s="305" t="str">
        <f t="shared" si="175"/>
        <v/>
      </c>
      <c r="BR209" s="304" t="str">
        <f t="shared" si="176"/>
        <v/>
      </c>
      <c r="BS209" s="304" t="str">
        <f t="shared" si="177"/>
        <v/>
      </c>
      <c r="BT209" s="304" t="str">
        <f>IF(OR($B209="", $AH209 = "SIM"), "", IF( ISNA(VLOOKUP($AP209,#REF!, 1, FALSE)), 1, 0))</f>
        <v/>
      </c>
      <c r="BU209" s="304" t="str">
        <f t="shared" si="178"/>
        <v/>
      </c>
      <c r="BV209" s="304" t="str">
        <f>IF( $B209="", "", IF( ISNA(VLOOKUP($AN209, TABELAS!$T$2:$T$9,1,FALSE)), 1, 0))</f>
        <v/>
      </c>
      <c r="BW209" s="304" t="str">
        <f t="shared" si="179"/>
        <v/>
      </c>
      <c r="BX209" s="304" t="str">
        <f>IF( OR($B209="", $AH209 = "SIM"), "", IF( ISNA( VLOOKUP( $AQ209, SISTEMA!$B:$B, 1, FALSE)), 1, 0))</f>
        <v/>
      </c>
      <c r="BY209" s="305" t="str">
        <f t="shared" si="180"/>
        <v/>
      </c>
      <c r="BZ209" s="305" t="str">
        <f t="shared" si="181"/>
        <v/>
      </c>
      <c r="CA209" s="304" t="str">
        <f t="shared" si="182"/>
        <v/>
      </c>
      <c r="CB209" s="305" t="str">
        <f t="shared" si="183"/>
        <v/>
      </c>
      <c r="CC209" s="305" t="str">
        <f t="shared" si="184"/>
        <v/>
      </c>
      <c r="CD209" s="305" t="str">
        <f t="shared" si="185"/>
        <v/>
      </c>
    </row>
    <row r="210" spans="1:82" x14ac:dyDescent="0.2">
      <c r="A210" s="235"/>
      <c r="B210" s="236" t="str">
        <f t="shared" si="150"/>
        <v/>
      </c>
      <c r="C210" s="237" t="str">
        <f t="shared" si="140"/>
        <v/>
      </c>
      <c r="D210" s="237" t="str">
        <f t="shared" si="151"/>
        <v/>
      </c>
      <c r="E210" s="237" t="str">
        <f>IF($C210="", "", COUNTIF($M$8:$M210,$D210))</f>
        <v/>
      </c>
      <c r="F210" s="238">
        <v>203</v>
      </c>
      <c r="G210" s="239"/>
      <c r="H210" s="240"/>
      <c r="I210" s="240"/>
      <c r="J210" s="241"/>
      <c r="K210" s="240"/>
      <c r="L210" s="240"/>
      <c r="M210" s="240"/>
      <c r="N210" s="242"/>
      <c r="O210" s="243"/>
      <c r="P210" s="243"/>
      <c r="Q210" s="243"/>
      <c r="R210" s="243"/>
      <c r="S210" s="243"/>
      <c r="T210" s="245"/>
      <c r="U210" s="246" t="str">
        <f>IF($T210="", "", VLOOKUP($T210, CONTRATOS!$B:$E, 2, FALSE))</f>
        <v/>
      </c>
      <c r="V210" s="247">
        <f>IF(OR($T210="",TB_DEFESA!$C$2="Criação Baseline"),0,
   IF(VLOOKUP($T210, CONTRATOS!B:E, 3, FALSE)&lt;&gt;"",1,IF(VLOOKUP($T210, CONTRATOS!B:E, 4, FALSE)&lt;&gt;"",2,0)))</f>
        <v>0</v>
      </c>
      <c r="W210" s="248"/>
      <c r="X210" s="248"/>
      <c r="Y210" s="249"/>
      <c r="Z210" s="250"/>
      <c r="AA210" s="251"/>
      <c r="AB210" s="252"/>
      <c r="AC210" s="253"/>
      <c r="AD210" s="251"/>
      <c r="AE210" s="254" t="str">
        <f t="shared" si="141"/>
        <v/>
      </c>
      <c r="AF210" s="256" t="str">
        <f t="shared" si="152"/>
        <v/>
      </c>
      <c r="AG210" s="293" t="s">
        <v>62</v>
      </c>
      <c r="AH210" s="294" t="str">
        <f t="shared" si="153"/>
        <v/>
      </c>
      <c r="AI210" s="294" t="str">
        <f t="shared" si="154"/>
        <v/>
      </c>
      <c r="AJ210" s="295" t="str">
        <f t="shared" si="155"/>
        <v/>
      </c>
      <c r="AK210" s="296" t="str">
        <f t="shared" si="156"/>
        <v/>
      </c>
      <c r="AL210" s="297" t="str">
        <f t="shared" si="157"/>
        <v/>
      </c>
      <c r="AM210" s="294" t="str">
        <f t="shared" si="158"/>
        <v/>
      </c>
      <c r="AN210" s="294" t="str">
        <f t="shared" si="159"/>
        <v/>
      </c>
      <c r="AO210" s="298" t="str">
        <f t="shared" si="160"/>
        <v/>
      </c>
      <c r="AP210" s="299" t="str">
        <f t="shared" si="161"/>
        <v/>
      </c>
      <c r="AQ210" s="299" t="str">
        <f t="shared" si="162"/>
        <v/>
      </c>
      <c r="AR210" s="300" t="str">
        <f t="shared" si="142"/>
        <v/>
      </c>
      <c r="AS210" s="300" t="str">
        <f t="shared" si="143"/>
        <v/>
      </c>
      <c r="AT210" s="294" t="str">
        <f t="shared" si="144"/>
        <v/>
      </c>
      <c r="AU210" s="301" t="str">
        <f>IF(OR($B210="", $AP210= ""),"",IF(VLOOKUP($AP210, CONTRATOS!B:K,3,FALSE)="","",VLOOKUP($AP210, CONTRATOS!B:K, 3,FALSE)))</f>
        <v/>
      </c>
      <c r="AV210" s="301" t="str">
        <f>IF(OR($B210="", $AP210 = ""), "", IF(VLOOKUP($AP210, CONTRATOS!B:K,4,FALSE)="","",VLOOKUP($AP210, CONTRATOS!B:K,4, FALSE)))</f>
        <v/>
      </c>
      <c r="AW210" s="302" t="str">
        <f t="shared" si="145"/>
        <v/>
      </c>
      <c r="AX210" s="301" t="str">
        <f t="shared" si="146"/>
        <v/>
      </c>
      <c r="AY210" s="301" t="str">
        <f t="shared" si="147"/>
        <v/>
      </c>
      <c r="AZ210" s="301" t="str">
        <f t="shared" si="148"/>
        <v/>
      </c>
      <c r="BA210" s="301" t="str">
        <f t="shared" si="149"/>
        <v/>
      </c>
      <c r="BB210" s="303">
        <f t="shared" si="163"/>
        <v>0</v>
      </c>
      <c r="BC210" s="303" t="str">
        <f t="shared" si="164"/>
        <v/>
      </c>
      <c r="BD210" s="303" t="str">
        <f t="shared" si="165"/>
        <v/>
      </c>
      <c r="BF210" s="304">
        <f t="shared" si="166"/>
        <v>0</v>
      </c>
      <c r="BG210" s="304">
        <f t="shared" si="167"/>
        <v>0</v>
      </c>
      <c r="BH210" s="304" t="str">
        <f>IF( $B210="", "", IF(ISNA(VLOOKUP($C210, Defesa!$C$8:$C$30,1,FALSE)),1,0))</f>
        <v/>
      </c>
      <c r="BI210" s="305" t="str">
        <f t="shared" si="168"/>
        <v/>
      </c>
      <c r="BJ210" s="305" t="str">
        <f t="shared" si="169"/>
        <v/>
      </c>
      <c r="BK210" s="304" t="str">
        <f t="shared" si="170"/>
        <v/>
      </c>
      <c r="BL210" s="304">
        <f t="shared" si="171"/>
        <v>0</v>
      </c>
      <c r="BM210" s="304" t="str">
        <f>IF($AC210="", "", IF(ISNA(VLOOKUP($AC210, TABELAS!$Q:$Q, 1, FALSE)), 1, 0))</f>
        <v/>
      </c>
      <c r="BN210" s="306" t="str">
        <f t="shared" si="172"/>
        <v/>
      </c>
      <c r="BO210" s="304" t="str">
        <f t="shared" si="173"/>
        <v/>
      </c>
      <c r="BP210" s="304" t="str">
        <f t="shared" si="174"/>
        <v/>
      </c>
      <c r="BQ210" s="305" t="str">
        <f t="shared" si="175"/>
        <v/>
      </c>
      <c r="BR210" s="304" t="str">
        <f t="shared" si="176"/>
        <v/>
      </c>
      <c r="BS210" s="304" t="str">
        <f t="shared" si="177"/>
        <v/>
      </c>
      <c r="BT210" s="304" t="str">
        <f>IF(OR($B210="", $AH210 = "SIM"), "", IF( ISNA(VLOOKUP($AP210,#REF!, 1, FALSE)), 1, 0))</f>
        <v/>
      </c>
      <c r="BU210" s="304" t="str">
        <f t="shared" si="178"/>
        <v/>
      </c>
      <c r="BV210" s="304" t="str">
        <f>IF( $B210="", "", IF( ISNA(VLOOKUP($AN210, TABELAS!$T$2:$T$9,1,FALSE)), 1, 0))</f>
        <v/>
      </c>
      <c r="BW210" s="304" t="str">
        <f t="shared" si="179"/>
        <v/>
      </c>
      <c r="BX210" s="304" t="str">
        <f>IF( OR($B210="", $AH210 = "SIM"), "", IF( ISNA( VLOOKUP( $AQ210, SISTEMA!$B:$B, 1, FALSE)), 1, 0))</f>
        <v/>
      </c>
      <c r="BY210" s="305" t="str">
        <f t="shared" si="180"/>
        <v/>
      </c>
      <c r="BZ210" s="305" t="str">
        <f t="shared" si="181"/>
        <v/>
      </c>
      <c r="CA210" s="304" t="str">
        <f t="shared" si="182"/>
        <v/>
      </c>
      <c r="CB210" s="305" t="str">
        <f t="shared" si="183"/>
        <v/>
      </c>
      <c r="CC210" s="305" t="str">
        <f t="shared" si="184"/>
        <v/>
      </c>
      <c r="CD210" s="305" t="str">
        <f t="shared" si="185"/>
        <v/>
      </c>
    </row>
    <row r="211" spans="1:82" x14ac:dyDescent="0.2">
      <c r="A211" s="235"/>
      <c r="B211" s="236" t="str">
        <f t="shared" si="150"/>
        <v/>
      </c>
      <c r="C211" s="237" t="str">
        <f t="shared" si="140"/>
        <v/>
      </c>
      <c r="D211" s="237" t="str">
        <f t="shared" si="151"/>
        <v/>
      </c>
      <c r="E211" s="237" t="str">
        <f>IF($C211="", "", COUNTIF($M$8:$M211,$D211))</f>
        <v/>
      </c>
      <c r="F211" s="238">
        <v>204</v>
      </c>
      <c r="G211" s="239"/>
      <c r="H211" s="240"/>
      <c r="I211" s="240"/>
      <c r="J211" s="241"/>
      <c r="K211" s="240"/>
      <c r="L211" s="240"/>
      <c r="M211" s="240"/>
      <c r="N211" s="242"/>
      <c r="O211" s="243"/>
      <c r="P211" s="243"/>
      <c r="Q211" s="243"/>
      <c r="R211" s="243"/>
      <c r="S211" s="243"/>
      <c r="T211" s="245"/>
      <c r="U211" s="246" t="str">
        <f>IF($T211="", "", VLOOKUP($T211, CONTRATOS!$B:$E, 2, FALSE))</f>
        <v/>
      </c>
      <c r="V211" s="247">
        <f>IF(OR($T211="",TB_DEFESA!$C$2="Criação Baseline"),0,
   IF(VLOOKUP($T211, CONTRATOS!B:E, 3, FALSE)&lt;&gt;"",1,IF(VLOOKUP($T211, CONTRATOS!B:E, 4, FALSE)&lt;&gt;"",2,0)))</f>
        <v>0</v>
      </c>
      <c r="W211" s="248"/>
      <c r="X211" s="248"/>
      <c r="Y211" s="249"/>
      <c r="Z211" s="250"/>
      <c r="AA211" s="251"/>
      <c r="AB211" s="252"/>
      <c r="AC211" s="253"/>
      <c r="AD211" s="251"/>
      <c r="AE211" s="254" t="str">
        <f t="shared" si="141"/>
        <v/>
      </c>
      <c r="AF211" s="256" t="str">
        <f t="shared" si="152"/>
        <v/>
      </c>
      <c r="AG211" s="293" t="s">
        <v>62</v>
      </c>
      <c r="AH211" s="294" t="str">
        <f t="shared" si="153"/>
        <v/>
      </c>
      <c r="AI211" s="294" t="str">
        <f t="shared" si="154"/>
        <v/>
      </c>
      <c r="AJ211" s="295" t="str">
        <f t="shared" si="155"/>
        <v/>
      </c>
      <c r="AK211" s="296" t="str">
        <f t="shared" si="156"/>
        <v/>
      </c>
      <c r="AL211" s="297" t="str">
        <f t="shared" si="157"/>
        <v/>
      </c>
      <c r="AM211" s="294" t="str">
        <f t="shared" si="158"/>
        <v/>
      </c>
      <c r="AN211" s="294" t="str">
        <f t="shared" si="159"/>
        <v/>
      </c>
      <c r="AO211" s="298" t="str">
        <f t="shared" si="160"/>
        <v/>
      </c>
      <c r="AP211" s="299" t="str">
        <f t="shared" si="161"/>
        <v/>
      </c>
      <c r="AQ211" s="299" t="str">
        <f t="shared" si="162"/>
        <v/>
      </c>
      <c r="AR211" s="300" t="str">
        <f t="shared" si="142"/>
        <v/>
      </c>
      <c r="AS211" s="300" t="str">
        <f t="shared" si="143"/>
        <v/>
      </c>
      <c r="AT211" s="294" t="str">
        <f t="shared" si="144"/>
        <v/>
      </c>
      <c r="AU211" s="301" t="str">
        <f>IF(OR($B211="", $AP211= ""),"",IF(VLOOKUP($AP211, CONTRATOS!B:K,3,FALSE)="","",VLOOKUP($AP211, CONTRATOS!B:K, 3,FALSE)))</f>
        <v/>
      </c>
      <c r="AV211" s="301" t="str">
        <f>IF(OR($B211="", $AP211 = ""), "", IF(VLOOKUP($AP211, CONTRATOS!B:K,4,FALSE)="","",VLOOKUP($AP211, CONTRATOS!B:K,4, FALSE)))</f>
        <v/>
      </c>
      <c r="AW211" s="302" t="str">
        <f t="shared" si="145"/>
        <v/>
      </c>
      <c r="AX211" s="301" t="str">
        <f t="shared" si="146"/>
        <v/>
      </c>
      <c r="AY211" s="301" t="str">
        <f t="shared" si="147"/>
        <v/>
      </c>
      <c r="AZ211" s="301" t="str">
        <f t="shared" si="148"/>
        <v/>
      </c>
      <c r="BA211" s="301" t="str">
        <f t="shared" si="149"/>
        <v/>
      </c>
      <c r="BB211" s="303">
        <f t="shared" si="163"/>
        <v>0</v>
      </c>
      <c r="BC211" s="303" t="str">
        <f t="shared" si="164"/>
        <v/>
      </c>
      <c r="BD211" s="303" t="str">
        <f t="shared" si="165"/>
        <v/>
      </c>
      <c r="BF211" s="304">
        <f t="shared" si="166"/>
        <v>0</v>
      </c>
      <c r="BG211" s="304">
        <f t="shared" si="167"/>
        <v>0</v>
      </c>
      <c r="BH211" s="304" t="str">
        <f>IF( $B211="", "", IF(ISNA(VLOOKUP($C211, Defesa!$C$8:$C$30,1,FALSE)),1,0))</f>
        <v/>
      </c>
      <c r="BI211" s="305" t="str">
        <f t="shared" si="168"/>
        <v/>
      </c>
      <c r="BJ211" s="305" t="str">
        <f t="shared" si="169"/>
        <v/>
      </c>
      <c r="BK211" s="304" t="str">
        <f t="shared" si="170"/>
        <v/>
      </c>
      <c r="BL211" s="304">
        <f t="shared" si="171"/>
        <v>0</v>
      </c>
      <c r="BM211" s="304" t="str">
        <f>IF($AC211="", "", IF(ISNA(VLOOKUP($AC211, TABELAS!$Q:$Q, 1, FALSE)), 1, 0))</f>
        <v/>
      </c>
      <c r="BN211" s="306" t="str">
        <f t="shared" si="172"/>
        <v/>
      </c>
      <c r="BO211" s="304" t="str">
        <f t="shared" si="173"/>
        <v/>
      </c>
      <c r="BP211" s="304" t="str">
        <f t="shared" si="174"/>
        <v/>
      </c>
      <c r="BQ211" s="305" t="str">
        <f t="shared" si="175"/>
        <v/>
      </c>
      <c r="BR211" s="304" t="str">
        <f t="shared" si="176"/>
        <v/>
      </c>
      <c r="BS211" s="304" t="str">
        <f t="shared" si="177"/>
        <v/>
      </c>
      <c r="BT211" s="304" t="str">
        <f>IF(OR($B211="", $AH211 = "SIM"), "", IF( ISNA(VLOOKUP($AP211,#REF!, 1, FALSE)), 1, 0))</f>
        <v/>
      </c>
      <c r="BU211" s="304" t="str">
        <f t="shared" si="178"/>
        <v/>
      </c>
      <c r="BV211" s="304" t="str">
        <f>IF( $B211="", "", IF( ISNA(VLOOKUP($AN211, TABELAS!$T$2:$T$9,1,FALSE)), 1, 0))</f>
        <v/>
      </c>
      <c r="BW211" s="304" t="str">
        <f t="shared" si="179"/>
        <v/>
      </c>
      <c r="BX211" s="304" t="str">
        <f>IF( OR($B211="", $AH211 = "SIM"), "", IF( ISNA( VLOOKUP( $AQ211, SISTEMA!$B:$B, 1, FALSE)), 1, 0))</f>
        <v/>
      </c>
      <c r="BY211" s="305" t="str">
        <f t="shared" si="180"/>
        <v/>
      </c>
      <c r="BZ211" s="305" t="str">
        <f t="shared" si="181"/>
        <v/>
      </c>
      <c r="CA211" s="304" t="str">
        <f t="shared" si="182"/>
        <v/>
      </c>
      <c r="CB211" s="305" t="str">
        <f t="shared" si="183"/>
        <v/>
      </c>
      <c r="CC211" s="305" t="str">
        <f t="shared" si="184"/>
        <v/>
      </c>
      <c r="CD211" s="305" t="str">
        <f t="shared" si="185"/>
        <v/>
      </c>
    </row>
    <row r="212" spans="1:82" x14ac:dyDescent="0.2">
      <c r="A212" s="235"/>
      <c r="B212" s="236" t="str">
        <f t="shared" si="150"/>
        <v/>
      </c>
      <c r="C212" s="237" t="str">
        <f t="shared" si="140"/>
        <v/>
      </c>
      <c r="D212" s="237" t="str">
        <f t="shared" si="151"/>
        <v/>
      </c>
      <c r="E212" s="237" t="str">
        <f>IF($C212="", "", COUNTIF($M$8:$M212,$D212))</f>
        <v/>
      </c>
      <c r="F212" s="238">
        <v>205</v>
      </c>
      <c r="G212" s="239"/>
      <c r="H212" s="240"/>
      <c r="I212" s="240"/>
      <c r="J212" s="241"/>
      <c r="K212" s="240"/>
      <c r="L212" s="240"/>
      <c r="M212" s="240"/>
      <c r="N212" s="242"/>
      <c r="O212" s="243"/>
      <c r="P212" s="243"/>
      <c r="Q212" s="243"/>
      <c r="R212" s="243"/>
      <c r="S212" s="243"/>
      <c r="T212" s="245"/>
      <c r="U212" s="246" t="str">
        <f>IF($T212="", "", VLOOKUP($T212, CONTRATOS!$B:$E, 2, FALSE))</f>
        <v/>
      </c>
      <c r="V212" s="247">
        <f>IF(OR($T212="",TB_DEFESA!$C$2="Criação Baseline"),0,
   IF(VLOOKUP($T212, CONTRATOS!B:E, 3, FALSE)&lt;&gt;"",1,IF(VLOOKUP($T212, CONTRATOS!B:E, 4, FALSE)&lt;&gt;"",2,0)))</f>
        <v>0</v>
      </c>
      <c r="W212" s="248"/>
      <c r="X212" s="248"/>
      <c r="Y212" s="249"/>
      <c r="Z212" s="250"/>
      <c r="AA212" s="251"/>
      <c r="AB212" s="252"/>
      <c r="AC212" s="253"/>
      <c r="AD212" s="251"/>
      <c r="AE212" s="254" t="str">
        <f t="shared" si="141"/>
        <v/>
      </c>
      <c r="AF212" s="256" t="str">
        <f t="shared" si="152"/>
        <v/>
      </c>
      <c r="AG212" s="293" t="s">
        <v>62</v>
      </c>
      <c r="AH212" s="294" t="str">
        <f t="shared" si="153"/>
        <v/>
      </c>
      <c r="AI212" s="294" t="str">
        <f t="shared" si="154"/>
        <v/>
      </c>
      <c r="AJ212" s="295" t="str">
        <f t="shared" si="155"/>
        <v/>
      </c>
      <c r="AK212" s="296" t="str">
        <f t="shared" si="156"/>
        <v/>
      </c>
      <c r="AL212" s="297" t="str">
        <f t="shared" si="157"/>
        <v/>
      </c>
      <c r="AM212" s="294" t="str">
        <f t="shared" si="158"/>
        <v/>
      </c>
      <c r="AN212" s="294" t="str">
        <f t="shared" si="159"/>
        <v/>
      </c>
      <c r="AO212" s="298" t="str">
        <f t="shared" si="160"/>
        <v/>
      </c>
      <c r="AP212" s="299" t="str">
        <f t="shared" si="161"/>
        <v/>
      </c>
      <c r="AQ212" s="299" t="str">
        <f t="shared" si="162"/>
        <v/>
      </c>
      <c r="AR212" s="300" t="str">
        <f t="shared" si="142"/>
        <v/>
      </c>
      <c r="AS212" s="300" t="str">
        <f t="shared" si="143"/>
        <v/>
      </c>
      <c r="AT212" s="294" t="str">
        <f t="shared" si="144"/>
        <v/>
      </c>
      <c r="AU212" s="301" t="str">
        <f>IF(OR($B212="", $AP212= ""),"",IF(VLOOKUP($AP212, CONTRATOS!B:K,3,FALSE)="","",VLOOKUP($AP212, CONTRATOS!B:K, 3,FALSE)))</f>
        <v/>
      </c>
      <c r="AV212" s="301" t="str">
        <f>IF(OR($B212="", $AP212 = ""), "", IF(VLOOKUP($AP212, CONTRATOS!B:K,4,FALSE)="","",VLOOKUP($AP212, CONTRATOS!B:K,4, FALSE)))</f>
        <v/>
      </c>
      <c r="AW212" s="302" t="str">
        <f t="shared" si="145"/>
        <v/>
      </c>
      <c r="AX212" s="301" t="str">
        <f t="shared" si="146"/>
        <v/>
      </c>
      <c r="AY212" s="301" t="str">
        <f t="shared" si="147"/>
        <v/>
      </c>
      <c r="AZ212" s="301" t="str">
        <f t="shared" si="148"/>
        <v/>
      </c>
      <c r="BA212" s="301" t="str">
        <f t="shared" si="149"/>
        <v/>
      </c>
      <c r="BB212" s="303">
        <f t="shared" si="163"/>
        <v>0</v>
      </c>
      <c r="BC212" s="303" t="str">
        <f t="shared" si="164"/>
        <v/>
      </c>
      <c r="BD212" s="303" t="str">
        <f t="shared" si="165"/>
        <v/>
      </c>
      <c r="BF212" s="304">
        <f t="shared" si="166"/>
        <v>0</v>
      </c>
      <c r="BG212" s="304">
        <f t="shared" si="167"/>
        <v>0</v>
      </c>
      <c r="BH212" s="304" t="str">
        <f>IF( $B212="", "", IF(ISNA(VLOOKUP($C212, Defesa!$C$8:$C$30,1,FALSE)),1,0))</f>
        <v/>
      </c>
      <c r="BI212" s="305" t="str">
        <f t="shared" si="168"/>
        <v/>
      </c>
      <c r="BJ212" s="305" t="str">
        <f t="shared" si="169"/>
        <v/>
      </c>
      <c r="BK212" s="304" t="str">
        <f t="shared" si="170"/>
        <v/>
      </c>
      <c r="BL212" s="304">
        <f t="shared" si="171"/>
        <v>0</v>
      </c>
      <c r="BM212" s="304" t="str">
        <f>IF($AC212="", "", IF(ISNA(VLOOKUP($AC212, TABELAS!$Q:$Q, 1, FALSE)), 1, 0))</f>
        <v/>
      </c>
      <c r="BN212" s="306" t="str">
        <f t="shared" si="172"/>
        <v/>
      </c>
      <c r="BO212" s="304" t="str">
        <f t="shared" si="173"/>
        <v/>
      </c>
      <c r="BP212" s="304" t="str">
        <f t="shared" si="174"/>
        <v/>
      </c>
      <c r="BQ212" s="305" t="str">
        <f t="shared" si="175"/>
        <v/>
      </c>
      <c r="BR212" s="304" t="str">
        <f t="shared" si="176"/>
        <v/>
      </c>
      <c r="BS212" s="304" t="str">
        <f t="shared" si="177"/>
        <v/>
      </c>
      <c r="BT212" s="304" t="str">
        <f>IF(OR($B212="", $AH212 = "SIM"), "", IF( ISNA(VLOOKUP($AP212,#REF!, 1, FALSE)), 1, 0))</f>
        <v/>
      </c>
      <c r="BU212" s="304" t="str">
        <f t="shared" si="178"/>
        <v/>
      </c>
      <c r="BV212" s="304" t="str">
        <f>IF( $B212="", "", IF( ISNA(VLOOKUP($AN212, TABELAS!$T$2:$T$9,1,FALSE)), 1, 0))</f>
        <v/>
      </c>
      <c r="BW212" s="304" t="str">
        <f t="shared" si="179"/>
        <v/>
      </c>
      <c r="BX212" s="304" t="str">
        <f>IF( OR($B212="", $AH212 = "SIM"), "", IF( ISNA( VLOOKUP( $AQ212, SISTEMA!$B:$B, 1, FALSE)), 1, 0))</f>
        <v/>
      </c>
      <c r="BY212" s="305" t="str">
        <f t="shared" si="180"/>
        <v/>
      </c>
      <c r="BZ212" s="305" t="str">
        <f t="shared" si="181"/>
        <v/>
      </c>
      <c r="CA212" s="304" t="str">
        <f t="shared" si="182"/>
        <v/>
      </c>
      <c r="CB212" s="305" t="str">
        <f t="shared" si="183"/>
        <v/>
      </c>
      <c r="CC212" s="305" t="str">
        <f t="shared" si="184"/>
        <v/>
      </c>
      <c r="CD212" s="305" t="str">
        <f t="shared" si="185"/>
        <v/>
      </c>
    </row>
    <row r="213" spans="1:82" x14ac:dyDescent="0.2">
      <c r="A213" s="235"/>
      <c r="B213" s="236" t="str">
        <f t="shared" si="150"/>
        <v/>
      </c>
      <c r="C213" s="237" t="str">
        <f t="shared" si="140"/>
        <v/>
      </c>
      <c r="D213" s="237" t="str">
        <f t="shared" si="151"/>
        <v/>
      </c>
      <c r="E213" s="237" t="str">
        <f>IF($C213="", "", COUNTIF($M$8:$M213,$D213))</f>
        <v/>
      </c>
      <c r="F213" s="238">
        <v>206</v>
      </c>
      <c r="G213" s="239"/>
      <c r="H213" s="240"/>
      <c r="I213" s="240"/>
      <c r="J213" s="241"/>
      <c r="K213" s="240"/>
      <c r="L213" s="240"/>
      <c r="M213" s="240"/>
      <c r="N213" s="242"/>
      <c r="O213" s="243"/>
      <c r="P213" s="243"/>
      <c r="Q213" s="243"/>
      <c r="R213" s="243"/>
      <c r="S213" s="243"/>
      <c r="T213" s="245"/>
      <c r="U213" s="246" t="str">
        <f>IF($T213="", "", VLOOKUP($T213, CONTRATOS!$B:$E, 2, FALSE))</f>
        <v/>
      </c>
      <c r="V213" s="247">
        <f>IF(OR($T213="",TB_DEFESA!$C$2="Criação Baseline"),0,
   IF(VLOOKUP($T213, CONTRATOS!B:E, 3, FALSE)&lt;&gt;"",1,IF(VLOOKUP($T213, CONTRATOS!B:E, 4, FALSE)&lt;&gt;"",2,0)))</f>
        <v>0</v>
      </c>
      <c r="W213" s="248"/>
      <c r="X213" s="248"/>
      <c r="Y213" s="249"/>
      <c r="Z213" s="250"/>
      <c r="AA213" s="251"/>
      <c r="AB213" s="252"/>
      <c r="AC213" s="253"/>
      <c r="AD213" s="251"/>
      <c r="AE213" s="254" t="str">
        <f t="shared" si="141"/>
        <v/>
      </c>
      <c r="AF213" s="256" t="str">
        <f t="shared" si="152"/>
        <v/>
      </c>
      <c r="AG213" s="293" t="s">
        <v>62</v>
      </c>
      <c r="AH213" s="294" t="str">
        <f t="shared" si="153"/>
        <v/>
      </c>
      <c r="AI213" s="294" t="str">
        <f t="shared" si="154"/>
        <v/>
      </c>
      <c r="AJ213" s="295" t="str">
        <f t="shared" si="155"/>
        <v/>
      </c>
      <c r="AK213" s="296" t="str">
        <f t="shared" si="156"/>
        <v/>
      </c>
      <c r="AL213" s="297" t="str">
        <f t="shared" si="157"/>
        <v/>
      </c>
      <c r="AM213" s="294" t="str">
        <f t="shared" si="158"/>
        <v/>
      </c>
      <c r="AN213" s="294" t="str">
        <f t="shared" si="159"/>
        <v/>
      </c>
      <c r="AO213" s="298" t="str">
        <f t="shared" si="160"/>
        <v/>
      </c>
      <c r="AP213" s="299" t="str">
        <f t="shared" si="161"/>
        <v/>
      </c>
      <c r="AQ213" s="299" t="str">
        <f t="shared" si="162"/>
        <v/>
      </c>
      <c r="AR213" s="300" t="str">
        <f t="shared" si="142"/>
        <v/>
      </c>
      <c r="AS213" s="300" t="str">
        <f t="shared" si="143"/>
        <v/>
      </c>
      <c r="AT213" s="294" t="str">
        <f t="shared" si="144"/>
        <v/>
      </c>
      <c r="AU213" s="301" t="str">
        <f>IF(OR($B213="", $AP213= ""),"",IF(VLOOKUP($AP213, CONTRATOS!B:K,3,FALSE)="","",VLOOKUP($AP213, CONTRATOS!B:K, 3,FALSE)))</f>
        <v/>
      </c>
      <c r="AV213" s="301" t="str">
        <f>IF(OR($B213="", $AP213 = ""), "", IF(VLOOKUP($AP213, CONTRATOS!B:K,4,FALSE)="","",VLOOKUP($AP213, CONTRATOS!B:K,4, FALSE)))</f>
        <v/>
      </c>
      <c r="AW213" s="302" t="str">
        <f t="shared" si="145"/>
        <v/>
      </c>
      <c r="AX213" s="301" t="str">
        <f t="shared" si="146"/>
        <v/>
      </c>
      <c r="AY213" s="301" t="str">
        <f t="shared" si="147"/>
        <v/>
      </c>
      <c r="AZ213" s="301" t="str">
        <f t="shared" si="148"/>
        <v/>
      </c>
      <c r="BA213" s="301" t="str">
        <f t="shared" si="149"/>
        <v/>
      </c>
      <c r="BB213" s="303">
        <f t="shared" si="163"/>
        <v>0</v>
      </c>
      <c r="BC213" s="303" t="str">
        <f t="shared" si="164"/>
        <v/>
      </c>
      <c r="BD213" s="303" t="str">
        <f t="shared" si="165"/>
        <v/>
      </c>
      <c r="BF213" s="304">
        <f t="shared" si="166"/>
        <v>0</v>
      </c>
      <c r="BG213" s="304">
        <f t="shared" si="167"/>
        <v>0</v>
      </c>
      <c r="BH213" s="304" t="str">
        <f>IF( $B213="", "", IF(ISNA(VLOOKUP($C213, Defesa!$C$8:$C$30,1,FALSE)),1,0))</f>
        <v/>
      </c>
      <c r="BI213" s="305" t="str">
        <f t="shared" si="168"/>
        <v/>
      </c>
      <c r="BJ213" s="305" t="str">
        <f t="shared" si="169"/>
        <v/>
      </c>
      <c r="BK213" s="304" t="str">
        <f t="shared" si="170"/>
        <v/>
      </c>
      <c r="BL213" s="304">
        <f t="shared" si="171"/>
        <v>0</v>
      </c>
      <c r="BM213" s="304" t="str">
        <f>IF($AC213="", "", IF(ISNA(VLOOKUP($AC213, TABELAS!$Q:$Q, 1, FALSE)), 1, 0))</f>
        <v/>
      </c>
      <c r="BN213" s="306" t="str">
        <f t="shared" si="172"/>
        <v/>
      </c>
      <c r="BO213" s="304" t="str">
        <f t="shared" si="173"/>
        <v/>
      </c>
      <c r="BP213" s="304" t="str">
        <f t="shared" si="174"/>
        <v/>
      </c>
      <c r="BQ213" s="305" t="str">
        <f t="shared" si="175"/>
        <v/>
      </c>
      <c r="BR213" s="304" t="str">
        <f t="shared" si="176"/>
        <v/>
      </c>
      <c r="BS213" s="304" t="str">
        <f t="shared" si="177"/>
        <v/>
      </c>
      <c r="BT213" s="304" t="str">
        <f>IF(OR($B213="", $AH213 = "SIM"), "", IF( ISNA(VLOOKUP($AP213,#REF!, 1, FALSE)), 1, 0))</f>
        <v/>
      </c>
      <c r="BU213" s="304" t="str">
        <f t="shared" si="178"/>
        <v/>
      </c>
      <c r="BV213" s="304" t="str">
        <f>IF( $B213="", "", IF( ISNA(VLOOKUP($AN213, TABELAS!$T$2:$T$9,1,FALSE)), 1, 0))</f>
        <v/>
      </c>
      <c r="BW213" s="304" t="str">
        <f t="shared" si="179"/>
        <v/>
      </c>
      <c r="BX213" s="304" t="str">
        <f>IF( OR($B213="", $AH213 = "SIM"), "", IF( ISNA( VLOOKUP( $AQ213, SISTEMA!$B:$B, 1, FALSE)), 1, 0))</f>
        <v/>
      </c>
      <c r="BY213" s="305" t="str">
        <f t="shared" si="180"/>
        <v/>
      </c>
      <c r="BZ213" s="305" t="str">
        <f t="shared" si="181"/>
        <v/>
      </c>
      <c r="CA213" s="304" t="str">
        <f t="shared" si="182"/>
        <v/>
      </c>
      <c r="CB213" s="305" t="str">
        <f t="shared" si="183"/>
        <v/>
      </c>
      <c r="CC213" s="305" t="str">
        <f t="shared" si="184"/>
        <v/>
      </c>
      <c r="CD213" s="305" t="str">
        <f t="shared" si="185"/>
        <v/>
      </c>
    </row>
    <row r="214" spans="1:82" x14ac:dyDescent="0.2">
      <c r="A214" s="235"/>
      <c r="B214" s="236" t="str">
        <f t="shared" si="150"/>
        <v/>
      </c>
      <c r="C214" s="237" t="str">
        <f t="shared" si="140"/>
        <v/>
      </c>
      <c r="D214" s="237" t="str">
        <f t="shared" si="151"/>
        <v/>
      </c>
      <c r="E214" s="237" t="str">
        <f>IF($C214="", "", COUNTIF($M$8:$M214,$D214))</f>
        <v/>
      </c>
      <c r="F214" s="238">
        <v>207</v>
      </c>
      <c r="G214" s="239"/>
      <c r="H214" s="240"/>
      <c r="I214" s="240"/>
      <c r="J214" s="241"/>
      <c r="K214" s="240"/>
      <c r="L214" s="240"/>
      <c r="M214" s="240"/>
      <c r="N214" s="242"/>
      <c r="O214" s="243"/>
      <c r="P214" s="243"/>
      <c r="Q214" s="243"/>
      <c r="R214" s="243"/>
      <c r="S214" s="243"/>
      <c r="T214" s="245"/>
      <c r="U214" s="246" t="str">
        <f>IF($T214="", "", VLOOKUP($T214, CONTRATOS!$B:$E, 2, FALSE))</f>
        <v/>
      </c>
      <c r="V214" s="247">
        <f>IF(OR($T214="",TB_DEFESA!$C$2="Criação Baseline"),0,
   IF(VLOOKUP($T214, CONTRATOS!B:E, 3, FALSE)&lt;&gt;"",1,IF(VLOOKUP($T214, CONTRATOS!B:E, 4, FALSE)&lt;&gt;"",2,0)))</f>
        <v>0</v>
      </c>
      <c r="W214" s="248"/>
      <c r="X214" s="248"/>
      <c r="Y214" s="249"/>
      <c r="Z214" s="250"/>
      <c r="AA214" s="251"/>
      <c r="AB214" s="252"/>
      <c r="AC214" s="253"/>
      <c r="AD214" s="251"/>
      <c r="AE214" s="254" t="str">
        <f t="shared" si="141"/>
        <v/>
      </c>
      <c r="AF214" s="256" t="str">
        <f t="shared" si="152"/>
        <v/>
      </c>
      <c r="AG214" s="293" t="s">
        <v>62</v>
      </c>
      <c r="AH214" s="294" t="str">
        <f t="shared" si="153"/>
        <v/>
      </c>
      <c r="AI214" s="294" t="str">
        <f t="shared" si="154"/>
        <v/>
      </c>
      <c r="AJ214" s="295" t="str">
        <f t="shared" si="155"/>
        <v/>
      </c>
      <c r="AK214" s="296" t="str">
        <f t="shared" si="156"/>
        <v/>
      </c>
      <c r="AL214" s="297" t="str">
        <f t="shared" si="157"/>
        <v/>
      </c>
      <c r="AM214" s="294" t="str">
        <f t="shared" si="158"/>
        <v/>
      </c>
      <c r="AN214" s="294" t="str">
        <f t="shared" si="159"/>
        <v/>
      </c>
      <c r="AO214" s="298" t="str">
        <f t="shared" si="160"/>
        <v/>
      </c>
      <c r="AP214" s="299" t="str">
        <f t="shared" si="161"/>
        <v/>
      </c>
      <c r="AQ214" s="299" t="str">
        <f t="shared" si="162"/>
        <v/>
      </c>
      <c r="AR214" s="300" t="str">
        <f t="shared" si="142"/>
        <v/>
      </c>
      <c r="AS214" s="300" t="str">
        <f t="shared" si="143"/>
        <v/>
      </c>
      <c r="AT214" s="294" t="str">
        <f t="shared" si="144"/>
        <v/>
      </c>
      <c r="AU214" s="301" t="str">
        <f>IF(OR($B214="", $AP214= ""),"",IF(VLOOKUP($AP214, CONTRATOS!B:K,3,FALSE)="","",VLOOKUP($AP214, CONTRATOS!B:K, 3,FALSE)))</f>
        <v/>
      </c>
      <c r="AV214" s="301" t="str">
        <f>IF(OR($B214="", $AP214 = ""), "", IF(VLOOKUP($AP214, CONTRATOS!B:K,4,FALSE)="","",VLOOKUP($AP214, CONTRATOS!B:K,4, FALSE)))</f>
        <v/>
      </c>
      <c r="AW214" s="302" t="str">
        <f t="shared" si="145"/>
        <v/>
      </c>
      <c r="AX214" s="301" t="str">
        <f t="shared" si="146"/>
        <v/>
      </c>
      <c r="AY214" s="301" t="str">
        <f t="shared" si="147"/>
        <v/>
      </c>
      <c r="AZ214" s="301" t="str">
        <f t="shared" si="148"/>
        <v/>
      </c>
      <c r="BA214" s="301" t="str">
        <f t="shared" si="149"/>
        <v/>
      </c>
      <c r="BB214" s="303">
        <f t="shared" si="163"/>
        <v>0</v>
      </c>
      <c r="BC214" s="303" t="str">
        <f t="shared" si="164"/>
        <v/>
      </c>
      <c r="BD214" s="303" t="str">
        <f t="shared" si="165"/>
        <v/>
      </c>
      <c r="BF214" s="304">
        <f t="shared" si="166"/>
        <v>0</v>
      </c>
      <c r="BG214" s="304">
        <f t="shared" si="167"/>
        <v>0</v>
      </c>
      <c r="BH214" s="304" t="str">
        <f>IF( $B214="", "", IF(ISNA(VLOOKUP($C214, Defesa!$C$8:$C$30,1,FALSE)),1,0))</f>
        <v/>
      </c>
      <c r="BI214" s="305" t="str">
        <f t="shared" si="168"/>
        <v/>
      </c>
      <c r="BJ214" s="305" t="str">
        <f t="shared" si="169"/>
        <v/>
      </c>
      <c r="BK214" s="304" t="str">
        <f t="shared" si="170"/>
        <v/>
      </c>
      <c r="BL214" s="304">
        <f t="shared" si="171"/>
        <v>0</v>
      </c>
      <c r="BM214" s="304" t="str">
        <f>IF($AC214="", "", IF(ISNA(VLOOKUP($AC214, TABELAS!$Q:$Q, 1, FALSE)), 1, 0))</f>
        <v/>
      </c>
      <c r="BN214" s="306" t="str">
        <f t="shared" si="172"/>
        <v/>
      </c>
      <c r="BO214" s="304" t="str">
        <f t="shared" si="173"/>
        <v/>
      </c>
      <c r="BP214" s="304" t="str">
        <f t="shared" si="174"/>
        <v/>
      </c>
      <c r="BQ214" s="305" t="str">
        <f t="shared" si="175"/>
        <v/>
      </c>
      <c r="BR214" s="304" t="str">
        <f t="shared" si="176"/>
        <v/>
      </c>
      <c r="BS214" s="304" t="str">
        <f t="shared" si="177"/>
        <v/>
      </c>
      <c r="BT214" s="304" t="str">
        <f>IF(OR($B214="", $AH214 = "SIM"), "", IF( ISNA(VLOOKUP($AP214,#REF!, 1, FALSE)), 1, 0))</f>
        <v/>
      </c>
      <c r="BU214" s="304" t="str">
        <f t="shared" si="178"/>
        <v/>
      </c>
      <c r="BV214" s="304" t="str">
        <f>IF( $B214="", "", IF( ISNA(VLOOKUP($AN214, TABELAS!$T$2:$T$9,1,FALSE)), 1, 0))</f>
        <v/>
      </c>
      <c r="BW214" s="304" t="str">
        <f t="shared" si="179"/>
        <v/>
      </c>
      <c r="BX214" s="304" t="str">
        <f>IF( OR($B214="", $AH214 = "SIM"), "", IF( ISNA( VLOOKUP( $AQ214, SISTEMA!$B:$B, 1, FALSE)), 1, 0))</f>
        <v/>
      </c>
      <c r="BY214" s="305" t="str">
        <f t="shared" si="180"/>
        <v/>
      </c>
      <c r="BZ214" s="305" t="str">
        <f t="shared" si="181"/>
        <v/>
      </c>
      <c r="CA214" s="304" t="str">
        <f t="shared" si="182"/>
        <v/>
      </c>
      <c r="CB214" s="305" t="str">
        <f t="shared" si="183"/>
        <v/>
      </c>
      <c r="CC214" s="305" t="str">
        <f t="shared" si="184"/>
        <v/>
      </c>
      <c r="CD214" s="305" t="str">
        <f t="shared" si="185"/>
        <v/>
      </c>
    </row>
    <row r="215" spans="1:82" x14ac:dyDescent="0.2">
      <c r="A215" s="235"/>
      <c r="B215" s="236" t="str">
        <f t="shared" si="150"/>
        <v/>
      </c>
      <c r="C215" s="237" t="str">
        <f t="shared" si="140"/>
        <v/>
      </c>
      <c r="D215" s="237" t="str">
        <f t="shared" si="151"/>
        <v/>
      </c>
      <c r="E215" s="237" t="str">
        <f>IF($C215="", "", COUNTIF($M$8:$M215,$D215))</f>
        <v/>
      </c>
      <c r="F215" s="238">
        <v>208</v>
      </c>
      <c r="G215" s="239"/>
      <c r="H215" s="240"/>
      <c r="I215" s="240"/>
      <c r="J215" s="241"/>
      <c r="K215" s="240"/>
      <c r="L215" s="240"/>
      <c r="M215" s="240"/>
      <c r="N215" s="242"/>
      <c r="O215" s="243"/>
      <c r="P215" s="243"/>
      <c r="Q215" s="243"/>
      <c r="R215" s="243"/>
      <c r="S215" s="243"/>
      <c r="T215" s="245"/>
      <c r="U215" s="246" t="str">
        <f>IF($T215="", "", VLOOKUP($T215, CONTRATOS!$B:$E, 2, FALSE))</f>
        <v/>
      </c>
      <c r="V215" s="247">
        <f>IF(OR($T215="",TB_DEFESA!$C$2="Criação Baseline"),0,
   IF(VLOOKUP($T215, CONTRATOS!B:E, 3, FALSE)&lt;&gt;"",1,IF(VLOOKUP($T215, CONTRATOS!B:E, 4, FALSE)&lt;&gt;"",2,0)))</f>
        <v>0</v>
      </c>
      <c r="W215" s="248"/>
      <c r="X215" s="248"/>
      <c r="Y215" s="249"/>
      <c r="Z215" s="250"/>
      <c r="AA215" s="251"/>
      <c r="AB215" s="252"/>
      <c r="AC215" s="253"/>
      <c r="AD215" s="251"/>
      <c r="AE215" s="254" t="str">
        <f t="shared" si="141"/>
        <v/>
      </c>
      <c r="AF215" s="256" t="str">
        <f t="shared" si="152"/>
        <v/>
      </c>
      <c r="AG215" s="293" t="s">
        <v>62</v>
      </c>
      <c r="AH215" s="294" t="str">
        <f t="shared" si="153"/>
        <v/>
      </c>
      <c r="AI215" s="294" t="str">
        <f t="shared" si="154"/>
        <v/>
      </c>
      <c r="AJ215" s="295" t="str">
        <f t="shared" si="155"/>
        <v/>
      </c>
      <c r="AK215" s="296" t="str">
        <f t="shared" si="156"/>
        <v/>
      </c>
      <c r="AL215" s="297" t="str">
        <f t="shared" si="157"/>
        <v/>
      </c>
      <c r="AM215" s="294" t="str">
        <f t="shared" si="158"/>
        <v/>
      </c>
      <c r="AN215" s="294" t="str">
        <f t="shared" si="159"/>
        <v/>
      </c>
      <c r="AO215" s="298" t="str">
        <f t="shared" si="160"/>
        <v/>
      </c>
      <c r="AP215" s="299" t="str">
        <f t="shared" si="161"/>
        <v/>
      </c>
      <c r="AQ215" s="299" t="str">
        <f t="shared" si="162"/>
        <v/>
      </c>
      <c r="AR215" s="300" t="str">
        <f t="shared" si="142"/>
        <v/>
      </c>
      <c r="AS215" s="300" t="str">
        <f t="shared" si="143"/>
        <v/>
      </c>
      <c r="AT215" s="294" t="str">
        <f t="shared" si="144"/>
        <v/>
      </c>
      <c r="AU215" s="301" t="str">
        <f>IF(OR($B215="", $AP215= ""),"",IF(VLOOKUP($AP215, CONTRATOS!B:K,3,FALSE)="","",VLOOKUP($AP215, CONTRATOS!B:K, 3,FALSE)))</f>
        <v/>
      </c>
      <c r="AV215" s="301" t="str">
        <f>IF(OR($B215="", $AP215 = ""), "", IF(VLOOKUP($AP215, CONTRATOS!B:K,4,FALSE)="","",VLOOKUP($AP215, CONTRATOS!B:K,4, FALSE)))</f>
        <v/>
      </c>
      <c r="AW215" s="302" t="str">
        <f t="shared" si="145"/>
        <v/>
      </c>
      <c r="AX215" s="301" t="str">
        <f t="shared" si="146"/>
        <v/>
      </c>
      <c r="AY215" s="301" t="str">
        <f t="shared" si="147"/>
        <v/>
      </c>
      <c r="AZ215" s="301" t="str">
        <f t="shared" si="148"/>
        <v/>
      </c>
      <c r="BA215" s="301" t="str">
        <f t="shared" si="149"/>
        <v/>
      </c>
      <c r="BB215" s="303">
        <f t="shared" si="163"/>
        <v>0</v>
      </c>
      <c r="BC215" s="303" t="str">
        <f t="shared" si="164"/>
        <v/>
      </c>
      <c r="BD215" s="303" t="str">
        <f t="shared" si="165"/>
        <v/>
      </c>
      <c r="BF215" s="304">
        <f t="shared" si="166"/>
        <v>0</v>
      </c>
      <c r="BG215" s="304">
        <f t="shared" si="167"/>
        <v>0</v>
      </c>
      <c r="BH215" s="304" t="str">
        <f>IF( $B215="", "", IF(ISNA(VLOOKUP($C215, Defesa!$C$8:$C$30,1,FALSE)),1,0))</f>
        <v/>
      </c>
      <c r="BI215" s="305" t="str">
        <f t="shared" si="168"/>
        <v/>
      </c>
      <c r="BJ215" s="305" t="str">
        <f t="shared" si="169"/>
        <v/>
      </c>
      <c r="BK215" s="304" t="str">
        <f t="shared" si="170"/>
        <v/>
      </c>
      <c r="BL215" s="304">
        <f t="shared" si="171"/>
        <v>0</v>
      </c>
      <c r="BM215" s="304" t="str">
        <f>IF($AC215="", "", IF(ISNA(VLOOKUP($AC215, TABELAS!$Q:$Q, 1, FALSE)), 1, 0))</f>
        <v/>
      </c>
      <c r="BN215" s="306" t="str">
        <f t="shared" si="172"/>
        <v/>
      </c>
      <c r="BO215" s="304" t="str">
        <f t="shared" si="173"/>
        <v/>
      </c>
      <c r="BP215" s="304" t="str">
        <f t="shared" si="174"/>
        <v/>
      </c>
      <c r="BQ215" s="305" t="str">
        <f t="shared" si="175"/>
        <v/>
      </c>
      <c r="BR215" s="304" t="str">
        <f t="shared" si="176"/>
        <v/>
      </c>
      <c r="BS215" s="304" t="str">
        <f t="shared" si="177"/>
        <v/>
      </c>
      <c r="BT215" s="304" t="str">
        <f>IF(OR($B215="", $AH215 = "SIM"), "", IF( ISNA(VLOOKUP($AP215,#REF!, 1, FALSE)), 1, 0))</f>
        <v/>
      </c>
      <c r="BU215" s="304" t="str">
        <f t="shared" si="178"/>
        <v/>
      </c>
      <c r="BV215" s="304" t="str">
        <f>IF( $B215="", "", IF( ISNA(VLOOKUP($AN215, TABELAS!$T$2:$T$9,1,FALSE)), 1, 0))</f>
        <v/>
      </c>
      <c r="BW215" s="304" t="str">
        <f t="shared" si="179"/>
        <v/>
      </c>
      <c r="BX215" s="304" t="str">
        <f>IF( OR($B215="", $AH215 = "SIM"), "", IF( ISNA( VLOOKUP( $AQ215, SISTEMA!$B:$B, 1, FALSE)), 1, 0))</f>
        <v/>
      </c>
      <c r="BY215" s="305" t="str">
        <f t="shared" si="180"/>
        <v/>
      </c>
      <c r="BZ215" s="305" t="str">
        <f t="shared" si="181"/>
        <v/>
      </c>
      <c r="CA215" s="304" t="str">
        <f t="shared" si="182"/>
        <v/>
      </c>
      <c r="CB215" s="305" t="str">
        <f t="shared" si="183"/>
        <v/>
      </c>
      <c r="CC215" s="305" t="str">
        <f t="shared" si="184"/>
        <v/>
      </c>
      <c r="CD215" s="305" t="str">
        <f t="shared" si="185"/>
        <v/>
      </c>
    </row>
    <row r="216" spans="1:82" x14ac:dyDescent="0.2">
      <c r="A216" s="235"/>
      <c r="B216" s="236" t="str">
        <f t="shared" si="150"/>
        <v/>
      </c>
      <c r="C216" s="237" t="str">
        <f t="shared" si="140"/>
        <v/>
      </c>
      <c r="D216" s="237" t="str">
        <f t="shared" si="151"/>
        <v/>
      </c>
      <c r="E216" s="237" t="str">
        <f>IF($C216="", "", COUNTIF($M$8:$M216,$D216))</f>
        <v/>
      </c>
      <c r="F216" s="238">
        <v>209</v>
      </c>
      <c r="G216" s="239"/>
      <c r="H216" s="240"/>
      <c r="I216" s="240"/>
      <c r="J216" s="241"/>
      <c r="K216" s="240"/>
      <c r="L216" s="240"/>
      <c r="M216" s="240"/>
      <c r="N216" s="242"/>
      <c r="O216" s="243"/>
      <c r="P216" s="243"/>
      <c r="Q216" s="243"/>
      <c r="R216" s="243"/>
      <c r="S216" s="243"/>
      <c r="T216" s="245"/>
      <c r="U216" s="246" t="str">
        <f>IF($T216="", "", VLOOKUP($T216, CONTRATOS!$B:$E, 2, FALSE))</f>
        <v/>
      </c>
      <c r="V216" s="247">
        <f>IF(OR($T216="",TB_DEFESA!$C$2="Criação Baseline"),0,
   IF(VLOOKUP($T216, CONTRATOS!B:E, 3, FALSE)&lt;&gt;"",1,IF(VLOOKUP($T216, CONTRATOS!B:E, 4, FALSE)&lt;&gt;"",2,0)))</f>
        <v>0</v>
      </c>
      <c r="W216" s="248"/>
      <c r="X216" s="248"/>
      <c r="Y216" s="249"/>
      <c r="Z216" s="250"/>
      <c r="AA216" s="251"/>
      <c r="AB216" s="252"/>
      <c r="AC216" s="253"/>
      <c r="AD216" s="251"/>
      <c r="AE216" s="254" t="str">
        <f t="shared" si="141"/>
        <v/>
      </c>
      <c r="AF216" s="256" t="str">
        <f t="shared" si="152"/>
        <v/>
      </c>
      <c r="AG216" s="293" t="s">
        <v>62</v>
      </c>
      <c r="AH216" s="294" t="str">
        <f t="shared" si="153"/>
        <v/>
      </c>
      <c r="AI216" s="294" t="str">
        <f t="shared" si="154"/>
        <v/>
      </c>
      <c r="AJ216" s="295" t="str">
        <f t="shared" si="155"/>
        <v/>
      </c>
      <c r="AK216" s="296" t="str">
        <f t="shared" si="156"/>
        <v/>
      </c>
      <c r="AL216" s="297" t="str">
        <f t="shared" si="157"/>
        <v/>
      </c>
      <c r="AM216" s="294" t="str">
        <f t="shared" si="158"/>
        <v/>
      </c>
      <c r="AN216" s="294" t="str">
        <f t="shared" si="159"/>
        <v/>
      </c>
      <c r="AO216" s="298" t="str">
        <f t="shared" si="160"/>
        <v/>
      </c>
      <c r="AP216" s="299" t="str">
        <f t="shared" si="161"/>
        <v/>
      </c>
      <c r="AQ216" s="299" t="str">
        <f t="shared" si="162"/>
        <v/>
      </c>
      <c r="AR216" s="300" t="str">
        <f t="shared" si="142"/>
        <v/>
      </c>
      <c r="AS216" s="300" t="str">
        <f t="shared" si="143"/>
        <v/>
      </c>
      <c r="AT216" s="294" t="str">
        <f t="shared" si="144"/>
        <v/>
      </c>
      <c r="AU216" s="301" t="str">
        <f>IF(OR($B216="", $AP216= ""),"",IF(VLOOKUP($AP216, CONTRATOS!B:K,3,FALSE)="","",VLOOKUP($AP216, CONTRATOS!B:K, 3,FALSE)))</f>
        <v/>
      </c>
      <c r="AV216" s="301" t="str">
        <f>IF(OR($B216="", $AP216 = ""), "", IF(VLOOKUP($AP216, CONTRATOS!B:K,4,FALSE)="","",VLOOKUP($AP216, CONTRATOS!B:K,4, FALSE)))</f>
        <v/>
      </c>
      <c r="AW216" s="302" t="str">
        <f t="shared" si="145"/>
        <v/>
      </c>
      <c r="AX216" s="301" t="str">
        <f t="shared" si="146"/>
        <v/>
      </c>
      <c r="AY216" s="301" t="str">
        <f t="shared" si="147"/>
        <v/>
      </c>
      <c r="AZ216" s="301" t="str">
        <f t="shared" si="148"/>
        <v/>
      </c>
      <c r="BA216" s="301" t="str">
        <f t="shared" si="149"/>
        <v/>
      </c>
      <c r="BB216" s="303">
        <f t="shared" si="163"/>
        <v>0</v>
      </c>
      <c r="BC216" s="303" t="str">
        <f t="shared" si="164"/>
        <v/>
      </c>
      <c r="BD216" s="303" t="str">
        <f t="shared" si="165"/>
        <v/>
      </c>
      <c r="BF216" s="304">
        <f t="shared" si="166"/>
        <v>0</v>
      </c>
      <c r="BG216" s="304">
        <f t="shared" si="167"/>
        <v>0</v>
      </c>
      <c r="BH216" s="304" t="str">
        <f>IF( $B216="", "", IF(ISNA(VLOOKUP($C216, Defesa!$C$8:$C$30,1,FALSE)),1,0))</f>
        <v/>
      </c>
      <c r="BI216" s="305" t="str">
        <f t="shared" si="168"/>
        <v/>
      </c>
      <c r="BJ216" s="305" t="str">
        <f t="shared" si="169"/>
        <v/>
      </c>
      <c r="BK216" s="304" t="str">
        <f t="shared" si="170"/>
        <v/>
      </c>
      <c r="BL216" s="304">
        <f t="shared" si="171"/>
        <v>0</v>
      </c>
      <c r="BM216" s="304" t="str">
        <f>IF($AC216="", "", IF(ISNA(VLOOKUP($AC216, TABELAS!$Q:$Q, 1, FALSE)), 1, 0))</f>
        <v/>
      </c>
      <c r="BN216" s="306" t="str">
        <f t="shared" si="172"/>
        <v/>
      </c>
      <c r="BO216" s="304" t="str">
        <f t="shared" si="173"/>
        <v/>
      </c>
      <c r="BP216" s="304" t="str">
        <f t="shared" si="174"/>
        <v/>
      </c>
      <c r="BQ216" s="305" t="str">
        <f t="shared" si="175"/>
        <v/>
      </c>
      <c r="BR216" s="304" t="str">
        <f t="shared" si="176"/>
        <v/>
      </c>
      <c r="BS216" s="304" t="str">
        <f t="shared" si="177"/>
        <v/>
      </c>
      <c r="BT216" s="304" t="str">
        <f>IF(OR($B216="", $AH216 = "SIM"), "", IF( ISNA(VLOOKUP($AP216,#REF!, 1, FALSE)), 1, 0))</f>
        <v/>
      </c>
      <c r="BU216" s="304" t="str">
        <f t="shared" si="178"/>
        <v/>
      </c>
      <c r="BV216" s="304" t="str">
        <f>IF( $B216="", "", IF( ISNA(VLOOKUP($AN216, TABELAS!$T$2:$T$9,1,FALSE)), 1, 0))</f>
        <v/>
      </c>
      <c r="BW216" s="304" t="str">
        <f t="shared" si="179"/>
        <v/>
      </c>
      <c r="BX216" s="304" t="str">
        <f>IF( OR($B216="", $AH216 = "SIM"), "", IF( ISNA( VLOOKUP( $AQ216, SISTEMA!$B:$B, 1, FALSE)), 1, 0))</f>
        <v/>
      </c>
      <c r="BY216" s="305" t="str">
        <f t="shared" si="180"/>
        <v/>
      </c>
      <c r="BZ216" s="305" t="str">
        <f t="shared" si="181"/>
        <v/>
      </c>
      <c r="CA216" s="304" t="str">
        <f t="shared" si="182"/>
        <v/>
      </c>
      <c r="CB216" s="305" t="str">
        <f t="shared" si="183"/>
        <v/>
      </c>
      <c r="CC216" s="305" t="str">
        <f t="shared" si="184"/>
        <v/>
      </c>
      <c r="CD216" s="305" t="str">
        <f t="shared" si="185"/>
        <v/>
      </c>
    </row>
    <row r="217" spans="1:82" x14ac:dyDescent="0.2">
      <c r="A217" s="235"/>
      <c r="B217" s="236" t="str">
        <f t="shared" si="150"/>
        <v/>
      </c>
      <c r="C217" s="237" t="str">
        <f t="shared" si="140"/>
        <v/>
      </c>
      <c r="D217" s="237" t="str">
        <f t="shared" si="151"/>
        <v/>
      </c>
      <c r="E217" s="237" t="str">
        <f>IF($C217="", "", COUNTIF($M$8:$M217,$D217))</f>
        <v/>
      </c>
      <c r="F217" s="238">
        <v>210</v>
      </c>
      <c r="G217" s="239"/>
      <c r="H217" s="240"/>
      <c r="I217" s="240"/>
      <c r="J217" s="241"/>
      <c r="K217" s="240"/>
      <c r="L217" s="240"/>
      <c r="M217" s="240"/>
      <c r="N217" s="242"/>
      <c r="O217" s="243"/>
      <c r="P217" s="243"/>
      <c r="Q217" s="243"/>
      <c r="R217" s="243"/>
      <c r="S217" s="243"/>
      <c r="T217" s="245"/>
      <c r="U217" s="246" t="str">
        <f>IF($T217="", "", VLOOKUP($T217, CONTRATOS!$B:$E, 2, FALSE))</f>
        <v/>
      </c>
      <c r="V217" s="247">
        <f>IF(OR($T217="",TB_DEFESA!$C$2="Criação Baseline"),0,
   IF(VLOOKUP($T217, CONTRATOS!B:E, 3, FALSE)&lt;&gt;"",1,IF(VLOOKUP($T217, CONTRATOS!B:E, 4, FALSE)&lt;&gt;"",2,0)))</f>
        <v>0</v>
      </c>
      <c r="W217" s="248"/>
      <c r="X217" s="248"/>
      <c r="Y217" s="249"/>
      <c r="Z217" s="250"/>
      <c r="AA217" s="251"/>
      <c r="AB217" s="252"/>
      <c r="AC217" s="253"/>
      <c r="AD217" s="251"/>
      <c r="AE217" s="254" t="str">
        <f t="shared" si="141"/>
        <v/>
      </c>
      <c r="AF217" s="256" t="str">
        <f t="shared" si="152"/>
        <v/>
      </c>
      <c r="AG217" s="293" t="s">
        <v>62</v>
      </c>
      <c r="AH217" s="294" t="str">
        <f t="shared" si="153"/>
        <v/>
      </c>
      <c r="AI217" s="294" t="str">
        <f t="shared" si="154"/>
        <v/>
      </c>
      <c r="AJ217" s="295" t="str">
        <f t="shared" si="155"/>
        <v/>
      </c>
      <c r="AK217" s="296" t="str">
        <f t="shared" si="156"/>
        <v/>
      </c>
      <c r="AL217" s="297" t="str">
        <f t="shared" si="157"/>
        <v/>
      </c>
      <c r="AM217" s="294" t="str">
        <f t="shared" si="158"/>
        <v/>
      </c>
      <c r="AN217" s="294" t="str">
        <f t="shared" si="159"/>
        <v/>
      </c>
      <c r="AO217" s="298" t="str">
        <f t="shared" si="160"/>
        <v/>
      </c>
      <c r="AP217" s="299" t="str">
        <f t="shared" si="161"/>
        <v/>
      </c>
      <c r="AQ217" s="299" t="str">
        <f t="shared" si="162"/>
        <v/>
      </c>
      <c r="AR217" s="300" t="str">
        <f t="shared" si="142"/>
        <v/>
      </c>
      <c r="AS217" s="300" t="str">
        <f t="shared" si="143"/>
        <v/>
      </c>
      <c r="AT217" s="294" t="str">
        <f t="shared" si="144"/>
        <v/>
      </c>
      <c r="AU217" s="301" t="str">
        <f>IF(OR($B217="", $AP217= ""),"",IF(VLOOKUP($AP217, CONTRATOS!B:K,3,FALSE)="","",VLOOKUP($AP217, CONTRATOS!B:K, 3,FALSE)))</f>
        <v/>
      </c>
      <c r="AV217" s="301" t="str">
        <f>IF(OR($B217="", $AP217 = ""), "", IF(VLOOKUP($AP217, CONTRATOS!B:K,4,FALSE)="","",VLOOKUP($AP217, CONTRATOS!B:K,4, FALSE)))</f>
        <v/>
      </c>
      <c r="AW217" s="302" t="str">
        <f t="shared" si="145"/>
        <v/>
      </c>
      <c r="AX217" s="301" t="str">
        <f t="shared" si="146"/>
        <v/>
      </c>
      <c r="AY217" s="301" t="str">
        <f t="shared" si="147"/>
        <v/>
      </c>
      <c r="AZ217" s="301" t="str">
        <f t="shared" si="148"/>
        <v/>
      </c>
      <c r="BA217" s="301" t="str">
        <f t="shared" si="149"/>
        <v/>
      </c>
      <c r="BB217" s="303">
        <f t="shared" si="163"/>
        <v>0</v>
      </c>
      <c r="BC217" s="303" t="str">
        <f t="shared" si="164"/>
        <v/>
      </c>
      <c r="BD217" s="303" t="str">
        <f t="shared" si="165"/>
        <v/>
      </c>
      <c r="BF217" s="304">
        <f t="shared" si="166"/>
        <v>0</v>
      </c>
      <c r="BG217" s="304">
        <f t="shared" si="167"/>
        <v>0</v>
      </c>
      <c r="BH217" s="304" t="str">
        <f>IF( $B217="", "", IF(ISNA(VLOOKUP($C217, Defesa!$C$8:$C$30,1,FALSE)),1,0))</f>
        <v/>
      </c>
      <c r="BI217" s="305" t="str">
        <f t="shared" si="168"/>
        <v/>
      </c>
      <c r="BJ217" s="305" t="str">
        <f t="shared" si="169"/>
        <v/>
      </c>
      <c r="BK217" s="304" t="str">
        <f t="shared" si="170"/>
        <v/>
      </c>
      <c r="BL217" s="304">
        <f t="shared" si="171"/>
        <v>0</v>
      </c>
      <c r="BM217" s="304" t="str">
        <f>IF($AC217="", "", IF(ISNA(VLOOKUP($AC217, TABELAS!$Q:$Q, 1, FALSE)), 1, 0))</f>
        <v/>
      </c>
      <c r="BN217" s="306" t="str">
        <f t="shared" si="172"/>
        <v/>
      </c>
      <c r="BO217" s="304" t="str">
        <f t="shared" si="173"/>
        <v/>
      </c>
      <c r="BP217" s="304" t="str">
        <f t="shared" si="174"/>
        <v/>
      </c>
      <c r="BQ217" s="305" t="str">
        <f t="shared" si="175"/>
        <v/>
      </c>
      <c r="BR217" s="304" t="str">
        <f t="shared" si="176"/>
        <v/>
      </c>
      <c r="BS217" s="304" t="str">
        <f t="shared" si="177"/>
        <v/>
      </c>
      <c r="BT217" s="304" t="str">
        <f>IF(OR($B217="", $AH217 = "SIM"), "", IF( ISNA(VLOOKUP($AP217,#REF!, 1, FALSE)), 1, 0))</f>
        <v/>
      </c>
      <c r="BU217" s="304" t="str">
        <f t="shared" si="178"/>
        <v/>
      </c>
      <c r="BV217" s="304" t="str">
        <f>IF( $B217="", "", IF( ISNA(VLOOKUP($AN217, TABELAS!$T$2:$T$9,1,FALSE)), 1, 0))</f>
        <v/>
      </c>
      <c r="BW217" s="304" t="str">
        <f t="shared" si="179"/>
        <v/>
      </c>
      <c r="BX217" s="304" t="str">
        <f>IF( OR($B217="", $AH217 = "SIM"), "", IF( ISNA( VLOOKUP( $AQ217, SISTEMA!$B:$B, 1, FALSE)), 1, 0))</f>
        <v/>
      </c>
      <c r="BY217" s="305" t="str">
        <f t="shared" si="180"/>
        <v/>
      </c>
      <c r="BZ217" s="305" t="str">
        <f t="shared" si="181"/>
        <v/>
      </c>
      <c r="CA217" s="304" t="str">
        <f t="shared" si="182"/>
        <v/>
      </c>
      <c r="CB217" s="305" t="str">
        <f t="shared" si="183"/>
        <v/>
      </c>
      <c r="CC217" s="305" t="str">
        <f t="shared" si="184"/>
        <v/>
      </c>
      <c r="CD217" s="305" t="str">
        <f t="shared" si="185"/>
        <v/>
      </c>
    </row>
    <row r="218" spans="1:82" x14ac:dyDescent="0.2">
      <c r="A218" s="235"/>
      <c r="B218" s="236" t="str">
        <f t="shared" si="150"/>
        <v/>
      </c>
      <c r="C218" s="237" t="str">
        <f t="shared" si="140"/>
        <v/>
      </c>
      <c r="D218" s="237" t="str">
        <f t="shared" si="151"/>
        <v/>
      </c>
      <c r="E218" s="237" t="str">
        <f>IF($C218="", "", COUNTIF($M$8:$M218,$D218))</f>
        <v/>
      </c>
      <c r="F218" s="238">
        <v>211</v>
      </c>
      <c r="G218" s="239"/>
      <c r="H218" s="240"/>
      <c r="I218" s="240"/>
      <c r="J218" s="241"/>
      <c r="K218" s="240"/>
      <c r="L218" s="240"/>
      <c r="M218" s="240"/>
      <c r="N218" s="242"/>
      <c r="O218" s="243"/>
      <c r="P218" s="243"/>
      <c r="Q218" s="243"/>
      <c r="R218" s="243"/>
      <c r="S218" s="243"/>
      <c r="T218" s="245"/>
      <c r="U218" s="246" t="str">
        <f>IF($T218="", "", VLOOKUP($T218, CONTRATOS!$B:$E, 2, FALSE))</f>
        <v/>
      </c>
      <c r="V218" s="247">
        <f>IF(OR($T218="",TB_DEFESA!$C$2="Criação Baseline"),0,
   IF(VLOOKUP($T218, CONTRATOS!B:E, 3, FALSE)&lt;&gt;"",1,IF(VLOOKUP($T218, CONTRATOS!B:E, 4, FALSE)&lt;&gt;"",2,0)))</f>
        <v>0</v>
      </c>
      <c r="W218" s="248"/>
      <c r="X218" s="248"/>
      <c r="Y218" s="249"/>
      <c r="Z218" s="250"/>
      <c r="AA218" s="251"/>
      <c r="AB218" s="252"/>
      <c r="AC218" s="253"/>
      <c r="AD218" s="251"/>
      <c r="AE218" s="254" t="str">
        <f t="shared" si="141"/>
        <v/>
      </c>
      <c r="AF218" s="256" t="str">
        <f t="shared" si="152"/>
        <v/>
      </c>
      <c r="AG218" s="293" t="s">
        <v>62</v>
      </c>
      <c r="AH218" s="294" t="str">
        <f t="shared" si="153"/>
        <v/>
      </c>
      <c r="AI218" s="294" t="str">
        <f t="shared" si="154"/>
        <v/>
      </c>
      <c r="AJ218" s="295" t="str">
        <f t="shared" si="155"/>
        <v/>
      </c>
      <c r="AK218" s="296" t="str">
        <f t="shared" si="156"/>
        <v/>
      </c>
      <c r="AL218" s="297" t="str">
        <f t="shared" si="157"/>
        <v/>
      </c>
      <c r="AM218" s="294" t="str">
        <f t="shared" si="158"/>
        <v/>
      </c>
      <c r="AN218" s="294" t="str">
        <f t="shared" si="159"/>
        <v/>
      </c>
      <c r="AO218" s="298" t="str">
        <f t="shared" si="160"/>
        <v/>
      </c>
      <c r="AP218" s="299" t="str">
        <f t="shared" si="161"/>
        <v/>
      </c>
      <c r="AQ218" s="299" t="str">
        <f t="shared" si="162"/>
        <v/>
      </c>
      <c r="AR218" s="300" t="str">
        <f t="shared" si="142"/>
        <v/>
      </c>
      <c r="AS218" s="300" t="str">
        <f t="shared" si="143"/>
        <v/>
      </c>
      <c r="AT218" s="294" t="str">
        <f t="shared" si="144"/>
        <v/>
      </c>
      <c r="AU218" s="301" t="str">
        <f>IF(OR($B218="", $AP218= ""),"",IF(VLOOKUP($AP218, CONTRATOS!B:K,3,FALSE)="","",VLOOKUP($AP218, CONTRATOS!B:K, 3,FALSE)))</f>
        <v/>
      </c>
      <c r="AV218" s="301" t="str">
        <f>IF(OR($B218="", $AP218 = ""), "", IF(VLOOKUP($AP218, CONTRATOS!B:K,4,FALSE)="","",VLOOKUP($AP218, CONTRATOS!B:K,4, FALSE)))</f>
        <v/>
      </c>
      <c r="AW218" s="302" t="str">
        <f t="shared" si="145"/>
        <v/>
      </c>
      <c r="AX218" s="301" t="str">
        <f t="shared" si="146"/>
        <v/>
      </c>
      <c r="AY218" s="301" t="str">
        <f t="shared" si="147"/>
        <v/>
      </c>
      <c r="AZ218" s="301" t="str">
        <f t="shared" si="148"/>
        <v/>
      </c>
      <c r="BA218" s="301" t="str">
        <f t="shared" si="149"/>
        <v/>
      </c>
      <c r="BB218" s="303">
        <f t="shared" si="163"/>
        <v>0</v>
      </c>
      <c r="BC218" s="303" t="str">
        <f t="shared" si="164"/>
        <v/>
      </c>
      <c r="BD218" s="303" t="str">
        <f t="shared" si="165"/>
        <v/>
      </c>
      <c r="BF218" s="304">
        <f t="shared" si="166"/>
        <v>0</v>
      </c>
      <c r="BG218" s="304">
        <f t="shared" si="167"/>
        <v>0</v>
      </c>
      <c r="BH218" s="304" t="str">
        <f>IF( $B218="", "", IF(ISNA(VLOOKUP($C218, Defesa!$C$8:$C$30,1,FALSE)),1,0))</f>
        <v/>
      </c>
      <c r="BI218" s="305" t="str">
        <f t="shared" si="168"/>
        <v/>
      </c>
      <c r="BJ218" s="305" t="str">
        <f t="shared" si="169"/>
        <v/>
      </c>
      <c r="BK218" s="304" t="str">
        <f t="shared" si="170"/>
        <v/>
      </c>
      <c r="BL218" s="304">
        <f t="shared" si="171"/>
        <v>0</v>
      </c>
      <c r="BM218" s="304" t="str">
        <f>IF($AC218="", "", IF(ISNA(VLOOKUP($AC218, TABELAS!$Q:$Q, 1, FALSE)), 1, 0))</f>
        <v/>
      </c>
      <c r="BN218" s="306" t="str">
        <f t="shared" si="172"/>
        <v/>
      </c>
      <c r="BO218" s="304" t="str">
        <f t="shared" si="173"/>
        <v/>
      </c>
      <c r="BP218" s="304" t="str">
        <f t="shared" si="174"/>
        <v/>
      </c>
      <c r="BQ218" s="305" t="str">
        <f t="shared" si="175"/>
        <v/>
      </c>
      <c r="BR218" s="304" t="str">
        <f t="shared" si="176"/>
        <v/>
      </c>
      <c r="BS218" s="304" t="str">
        <f t="shared" si="177"/>
        <v/>
      </c>
      <c r="BT218" s="304" t="str">
        <f>IF(OR($B218="", $AH218 = "SIM"), "", IF( ISNA(VLOOKUP($AP218,#REF!, 1, FALSE)), 1, 0))</f>
        <v/>
      </c>
      <c r="BU218" s="304" t="str">
        <f t="shared" si="178"/>
        <v/>
      </c>
      <c r="BV218" s="304" t="str">
        <f>IF( $B218="", "", IF( ISNA(VLOOKUP($AN218, TABELAS!$T$2:$T$9,1,FALSE)), 1, 0))</f>
        <v/>
      </c>
      <c r="BW218" s="304" t="str">
        <f t="shared" si="179"/>
        <v/>
      </c>
      <c r="BX218" s="304" t="str">
        <f>IF( OR($B218="", $AH218 = "SIM"), "", IF( ISNA( VLOOKUP( $AQ218, SISTEMA!$B:$B, 1, FALSE)), 1, 0))</f>
        <v/>
      </c>
      <c r="BY218" s="305" t="str">
        <f t="shared" si="180"/>
        <v/>
      </c>
      <c r="BZ218" s="305" t="str">
        <f t="shared" si="181"/>
        <v/>
      </c>
      <c r="CA218" s="304" t="str">
        <f t="shared" si="182"/>
        <v/>
      </c>
      <c r="CB218" s="305" t="str">
        <f t="shared" si="183"/>
        <v/>
      </c>
      <c r="CC218" s="305" t="str">
        <f t="shared" si="184"/>
        <v/>
      </c>
      <c r="CD218" s="305" t="str">
        <f t="shared" si="185"/>
        <v/>
      </c>
    </row>
    <row r="219" spans="1:82" x14ac:dyDescent="0.2">
      <c r="A219" s="235"/>
      <c r="B219" s="236" t="str">
        <f t="shared" si="150"/>
        <v/>
      </c>
      <c r="C219" s="237" t="str">
        <f t="shared" si="140"/>
        <v/>
      </c>
      <c r="D219" s="237" t="str">
        <f t="shared" si="151"/>
        <v/>
      </c>
      <c r="E219" s="237" t="str">
        <f>IF($C219="", "", COUNTIF($M$8:$M219,$D219))</f>
        <v/>
      </c>
      <c r="F219" s="238">
        <v>212</v>
      </c>
      <c r="G219" s="239"/>
      <c r="H219" s="240"/>
      <c r="I219" s="240"/>
      <c r="J219" s="241"/>
      <c r="K219" s="240"/>
      <c r="L219" s="240"/>
      <c r="M219" s="240"/>
      <c r="N219" s="242"/>
      <c r="O219" s="243"/>
      <c r="P219" s="243"/>
      <c r="Q219" s="243"/>
      <c r="R219" s="243"/>
      <c r="S219" s="243"/>
      <c r="T219" s="245"/>
      <c r="U219" s="246" t="str">
        <f>IF($T219="", "", VLOOKUP($T219, CONTRATOS!$B:$E, 2, FALSE))</f>
        <v/>
      </c>
      <c r="V219" s="247">
        <f>IF(OR($T219="",TB_DEFESA!$C$2="Criação Baseline"),0,
   IF(VLOOKUP($T219, CONTRATOS!B:E, 3, FALSE)&lt;&gt;"",1,IF(VLOOKUP($T219, CONTRATOS!B:E, 4, FALSE)&lt;&gt;"",2,0)))</f>
        <v>0</v>
      </c>
      <c r="W219" s="248"/>
      <c r="X219" s="248"/>
      <c r="Y219" s="249"/>
      <c r="Z219" s="250"/>
      <c r="AA219" s="251"/>
      <c r="AB219" s="252"/>
      <c r="AC219" s="253"/>
      <c r="AD219" s="251"/>
      <c r="AE219" s="254" t="str">
        <f t="shared" si="141"/>
        <v/>
      </c>
      <c r="AF219" s="256" t="str">
        <f t="shared" si="152"/>
        <v/>
      </c>
      <c r="AG219" s="293" t="s">
        <v>62</v>
      </c>
      <c r="AH219" s="294" t="str">
        <f t="shared" si="153"/>
        <v/>
      </c>
      <c r="AI219" s="294" t="str">
        <f t="shared" si="154"/>
        <v/>
      </c>
      <c r="AJ219" s="295" t="str">
        <f t="shared" si="155"/>
        <v/>
      </c>
      <c r="AK219" s="296" t="str">
        <f t="shared" si="156"/>
        <v/>
      </c>
      <c r="AL219" s="297" t="str">
        <f t="shared" si="157"/>
        <v/>
      </c>
      <c r="AM219" s="294" t="str">
        <f t="shared" si="158"/>
        <v/>
      </c>
      <c r="AN219" s="294" t="str">
        <f t="shared" si="159"/>
        <v/>
      </c>
      <c r="AO219" s="298" t="str">
        <f t="shared" si="160"/>
        <v/>
      </c>
      <c r="AP219" s="299" t="str">
        <f t="shared" si="161"/>
        <v/>
      </c>
      <c r="AQ219" s="299" t="str">
        <f t="shared" si="162"/>
        <v/>
      </c>
      <c r="AR219" s="300" t="str">
        <f t="shared" si="142"/>
        <v/>
      </c>
      <c r="AS219" s="300" t="str">
        <f t="shared" si="143"/>
        <v/>
      </c>
      <c r="AT219" s="294" t="str">
        <f t="shared" si="144"/>
        <v/>
      </c>
      <c r="AU219" s="301" t="str">
        <f>IF(OR($B219="", $AP219= ""),"",IF(VLOOKUP($AP219, CONTRATOS!B:K,3,FALSE)="","",VLOOKUP($AP219, CONTRATOS!B:K, 3,FALSE)))</f>
        <v/>
      </c>
      <c r="AV219" s="301" t="str">
        <f>IF(OR($B219="", $AP219 = ""), "", IF(VLOOKUP($AP219, CONTRATOS!B:K,4,FALSE)="","",VLOOKUP($AP219, CONTRATOS!B:K,4, FALSE)))</f>
        <v/>
      </c>
      <c r="AW219" s="302" t="str">
        <f t="shared" si="145"/>
        <v/>
      </c>
      <c r="AX219" s="301" t="str">
        <f t="shared" si="146"/>
        <v/>
      </c>
      <c r="AY219" s="301" t="str">
        <f t="shared" si="147"/>
        <v/>
      </c>
      <c r="AZ219" s="301" t="str">
        <f t="shared" si="148"/>
        <v/>
      </c>
      <c r="BA219" s="301" t="str">
        <f t="shared" si="149"/>
        <v/>
      </c>
      <c r="BB219" s="303">
        <f t="shared" si="163"/>
        <v>0</v>
      </c>
      <c r="BC219" s="303" t="str">
        <f t="shared" si="164"/>
        <v/>
      </c>
      <c r="BD219" s="303" t="str">
        <f t="shared" si="165"/>
        <v/>
      </c>
      <c r="BF219" s="304">
        <f t="shared" si="166"/>
        <v>0</v>
      </c>
      <c r="BG219" s="304">
        <f t="shared" si="167"/>
        <v>0</v>
      </c>
      <c r="BH219" s="304" t="str">
        <f>IF( $B219="", "", IF(ISNA(VLOOKUP($C219, Defesa!$C$8:$C$30,1,FALSE)),1,0))</f>
        <v/>
      </c>
      <c r="BI219" s="305" t="str">
        <f t="shared" si="168"/>
        <v/>
      </c>
      <c r="BJ219" s="305" t="str">
        <f t="shared" si="169"/>
        <v/>
      </c>
      <c r="BK219" s="304" t="str">
        <f t="shared" si="170"/>
        <v/>
      </c>
      <c r="BL219" s="304">
        <f t="shared" si="171"/>
        <v>0</v>
      </c>
      <c r="BM219" s="304" t="str">
        <f>IF($AC219="", "", IF(ISNA(VLOOKUP($AC219, TABELAS!$Q:$Q, 1, FALSE)), 1, 0))</f>
        <v/>
      </c>
      <c r="BN219" s="306" t="str">
        <f t="shared" si="172"/>
        <v/>
      </c>
      <c r="BO219" s="304" t="str">
        <f t="shared" si="173"/>
        <v/>
      </c>
      <c r="BP219" s="304" t="str">
        <f t="shared" si="174"/>
        <v/>
      </c>
      <c r="BQ219" s="305" t="str">
        <f t="shared" si="175"/>
        <v/>
      </c>
      <c r="BR219" s="304" t="str">
        <f t="shared" si="176"/>
        <v/>
      </c>
      <c r="BS219" s="304" t="str">
        <f t="shared" si="177"/>
        <v/>
      </c>
      <c r="BT219" s="304" t="str">
        <f>IF(OR($B219="", $AH219 = "SIM"), "", IF( ISNA(VLOOKUP($AP219,#REF!, 1, FALSE)), 1, 0))</f>
        <v/>
      </c>
      <c r="BU219" s="304" t="str">
        <f t="shared" si="178"/>
        <v/>
      </c>
      <c r="BV219" s="304" t="str">
        <f>IF( $B219="", "", IF( ISNA(VLOOKUP($AN219, TABELAS!$T$2:$T$9,1,FALSE)), 1, 0))</f>
        <v/>
      </c>
      <c r="BW219" s="304" t="str">
        <f t="shared" si="179"/>
        <v/>
      </c>
      <c r="BX219" s="304" t="str">
        <f>IF( OR($B219="", $AH219 = "SIM"), "", IF( ISNA( VLOOKUP( $AQ219, SISTEMA!$B:$B, 1, FALSE)), 1, 0))</f>
        <v/>
      </c>
      <c r="BY219" s="305" t="str">
        <f t="shared" si="180"/>
        <v/>
      </c>
      <c r="BZ219" s="305" t="str">
        <f t="shared" si="181"/>
        <v/>
      </c>
      <c r="CA219" s="304" t="str">
        <f t="shared" si="182"/>
        <v/>
      </c>
      <c r="CB219" s="305" t="str">
        <f t="shared" si="183"/>
        <v/>
      </c>
      <c r="CC219" s="305" t="str">
        <f t="shared" si="184"/>
        <v/>
      </c>
      <c r="CD219" s="305" t="str">
        <f t="shared" si="185"/>
        <v/>
      </c>
    </row>
    <row r="220" spans="1:82" x14ac:dyDescent="0.2">
      <c r="A220" s="235"/>
      <c r="B220" s="236" t="str">
        <f t="shared" si="150"/>
        <v/>
      </c>
      <c r="C220" s="237" t="str">
        <f t="shared" si="140"/>
        <v/>
      </c>
      <c r="D220" s="237" t="str">
        <f t="shared" si="151"/>
        <v/>
      </c>
      <c r="E220" s="237" t="str">
        <f>IF($C220="", "", COUNTIF($M$8:$M220,$D220))</f>
        <v/>
      </c>
      <c r="F220" s="238">
        <v>213</v>
      </c>
      <c r="G220" s="239"/>
      <c r="H220" s="240"/>
      <c r="I220" s="240"/>
      <c r="J220" s="241"/>
      <c r="K220" s="240"/>
      <c r="L220" s="240"/>
      <c r="M220" s="240"/>
      <c r="N220" s="242"/>
      <c r="O220" s="243"/>
      <c r="P220" s="243"/>
      <c r="Q220" s="243"/>
      <c r="R220" s="243"/>
      <c r="S220" s="243"/>
      <c r="T220" s="245"/>
      <c r="U220" s="246" t="str">
        <f>IF($T220="", "", VLOOKUP($T220, CONTRATOS!$B:$E, 2, FALSE))</f>
        <v/>
      </c>
      <c r="V220" s="247">
        <f>IF(OR($T220="",TB_DEFESA!$C$2="Criação Baseline"),0,
   IF(VLOOKUP($T220, CONTRATOS!B:E, 3, FALSE)&lt;&gt;"",1,IF(VLOOKUP($T220, CONTRATOS!B:E, 4, FALSE)&lt;&gt;"",2,0)))</f>
        <v>0</v>
      </c>
      <c r="W220" s="248"/>
      <c r="X220" s="248"/>
      <c r="Y220" s="249"/>
      <c r="Z220" s="250"/>
      <c r="AA220" s="251"/>
      <c r="AB220" s="252"/>
      <c r="AC220" s="253"/>
      <c r="AD220" s="251"/>
      <c r="AE220" s="254" t="str">
        <f t="shared" si="141"/>
        <v/>
      </c>
      <c r="AF220" s="256" t="str">
        <f t="shared" si="152"/>
        <v/>
      </c>
      <c r="AG220" s="293" t="s">
        <v>62</v>
      </c>
      <c r="AH220" s="294" t="str">
        <f t="shared" si="153"/>
        <v/>
      </c>
      <c r="AI220" s="294" t="str">
        <f t="shared" si="154"/>
        <v/>
      </c>
      <c r="AJ220" s="295" t="str">
        <f t="shared" si="155"/>
        <v/>
      </c>
      <c r="AK220" s="296" t="str">
        <f t="shared" si="156"/>
        <v/>
      </c>
      <c r="AL220" s="297" t="str">
        <f t="shared" si="157"/>
        <v/>
      </c>
      <c r="AM220" s="294" t="str">
        <f t="shared" si="158"/>
        <v/>
      </c>
      <c r="AN220" s="294" t="str">
        <f t="shared" si="159"/>
        <v/>
      </c>
      <c r="AO220" s="298" t="str">
        <f t="shared" si="160"/>
        <v/>
      </c>
      <c r="AP220" s="299" t="str">
        <f t="shared" si="161"/>
        <v/>
      </c>
      <c r="AQ220" s="299" t="str">
        <f t="shared" si="162"/>
        <v/>
      </c>
      <c r="AR220" s="300" t="str">
        <f t="shared" si="142"/>
        <v/>
      </c>
      <c r="AS220" s="300" t="str">
        <f t="shared" si="143"/>
        <v/>
      </c>
      <c r="AT220" s="294" t="str">
        <f t="shared" si="144"/>
        <v/>
      </c>
      <c r="AU220" s="301" t="str">
        <f>IF(OR($B220="", $AP220= ""),"",IF(VLOOKUP($AP220, CONTRATOS!B:K,3,FALSE)="","",VLOOKUP($AP220, CONTRATOS!B:K, 3,FALSE)))</f>
        <v/>
      </c>
      <c r="AV220" s="301" t="str">
        <f>IF(OR($B220="", $AP220 = ""), "", IF(VLOOKUP($AP220, CONTRATOS!B:K,4,FALSE)="","",VLOOKUP($AP220, CONTRATOS!B:K,4, FALSE)))</f>
        <v/>
      </c>
      <c r="AW220" s="302" t="str">
        <f t="shared" si="145"/>
        <v/>
      </c>
      <c r="AX220" s="301" t="str">
        <f t="shared" si="146"/>
        <v/>
      </c>
      <c r="AY220" s="301" t="str">
        <f t="shared" si="147"/>
        <v/>
      </c>
      <c r="AZ220" s="301" t="str">
        <f t="shared" si="148"/>
        <v/>
      </c>
      <c r="BA220" s="301" t="str">
        <f t="shared" si="149"/>
        <v/>
      </c>
      <c r="BB220" s="303">
        <f t="shared" si="163"/>
        <v>0</v>
      </c>
      <c r="BC220" s="303" t="str">
        <f t="shared" si="164"/>
        <v/>
      </c>
      <c r="BD220" s="303" t="str">
        <f t="shared" si="165"/>
        <v/>
      </c>
      <c r="BF220" s="304">
        <f t="shared" si="166"/>
        <v>0</v>
      </c>
      <c r="BG220" s="304">
        <f t="shared" si="167"/>
        <v>0</v>
      </c>
      <c r="BH220" s="304" t="str">
        <f>IF( $B220="", "", IF(ISNA(VLOOKUP($C220, Defesa!$C$8:$C$30,1,FALSE)),1,0))</f>
        <v/>
      </c>
      <c r="BI220" s="305" t="str">
        <f t="shared" si="168"/>
        <v/>
      </c>
      <c r="BJ220" s="305" t="str">
        <f t="shared" si="169"/>
        <v/>
      </c>
      <c r="BK220" s="304" t="str">
        <f t="shared" si="170"/>
        <v/>
      </c>
      <c r="BL220" s="304">
        <f t="shared" si="171"/>
        <v>0</v>
      </c>
      <c r="BM220" s="304" t="str">
        <f>IF($AC220="", "", IF(ISNA(VLOOKUP($AC220, TABELAS!$Q:$Q, 1, FALSE)), 1, 0))</f>
        <v/>
      </c>
      <c r="BN220" s="306" t="str">
        <f t="shared" si="172"/>
        <v/>
      </c>
      <c r="BO220" s="304" t="str">
        <f t="shared" si="173"/>
        <v/>
      </c>
      <c r="BP220" s="304" t="str">
        <f t="shared" si="174"/>
        <v/>
      </c>
      <c r="BQ220" s="305" t="str">
        <f t="shared" si="175"/>
        <v/>
      </c>
      <c r="BR220" s="304" t="str">
        <f t="shared" si="176"/>
        <v/>
      </c>
      <c r="BS220" s="304" t="str">
        <f t="shared" si="177"/>
        <v/>
      </c>
      <c r="BT220" s="304" t="str">
        <f>IF(OR($B220="", $AH220 = "SIM"), "", IF( ISNA(VLOOKUP($AP220,#REF!, 1, FALSE)), 1, 0))</f>
        <v/>
      </c>
      <c r="BU220" s="304" t="str">
        <f t="shared" si="178"/>
        <v/>
      </c>
      <c r="BV220" s="304" t="str">
        <f>IF( $B220="", "", IF( ISNA(VLOOKUP($AN220, TABELAS!$T$2:$T$9,1,FALSE)), 1, 0))</f>
        <v/>
      </c>
      <c r="BW220" s="304" t="str">
        <f t="shared" si="179"/>
        <v/>
      </c>
      <c r="BX220" s="304" t="str">
        <f>IF( OR($B220="", $AH220 = "SIM"), "", IF( ISNA( VLOOKUP( $AQ220, SISTEMA!$B:$B, 1, FALSE)), 1, 0))</f>
        <v/>
      </c>
      <c r="BY220" s="305" t="str">
        <f t="shared" si="180"/>
        <v/>
      </c>
      <c r="BZ220" s="305" t="str">
        <f t="shared" si="181"/>
        <v/>
      </c>
      <c r="CA220" s="304" t="str">
        <f t="shared" si="182"/>
        <v/>
      </c>
      <c r="CB220" s="305" t="str">
        <f t="shared" si="183"/>
        <v/>
      </c>
      <c r="CC220" s="305" t="str">
        <f t="shared" si="184"/>
        <v/>
      </c>
      <c r="CD220" s="305" t="str">
        <f t="shared" si="185"/>
        <v/>
      </c>
    </row>
    <row r="221" spans="1:82" x14ac:dyDescent="0.2">
      <c r="A221" s="235"/>
      <c r="B221" s="236" t="str">
        <f t="shared" si="150"/>
        <v/>
      </c>
      <c r="C221" s="237" t="str">
        <f t="shared" si="140"/>
        <v/>
      </c>
      <c r="D221" s="237" t="str">
        <f t="shared" si="151"/>
        <v/>
      </c>
      <c r="E221" s="237" t="str">
        <f>IF($C221="", "", COUNTIF($M$8:$M221,$D221))</f>
        <v/>
      </c>
      <c r="F221" s="238">
        <v>214</v>
      </c>
      <c r="G221" s="239"/>
      <c r="H221" s="240"/>
      <c r="I221" s="240"/>
      <c r="J221" s="241"/>
      <c r="K221" s="240"/>
      <c r="L221" s="240"/>
      <c r="M221" s="240"/>
      <c r="N221" s="242"/>
      <c r="O221" s="243"/>
      <c r="P221" s="243"/>
      <c r="Q221" s="243"/>
      <c r="R221" s="243"/>
      <c r="S221" s="243"/>
      <c r="T221" s="245"/>
      <c r="U221" s="246" t="str">
        <f>IF($T221="", "", VLOOKUP($T221, CONTRATOS!$B:$E, 2, FALSE))</f>
        <v/>
      </c>
      <c r="V221" s="247">
        <f>IF(OR($T221="",TB_DEFESA!$C$2="Criação Baseline"),0,
   IF(VLOOKUP($T221, CONTRATOS!B:E, 3, FALSE)&lt;&gt;"",1,IF(VLOOKUP($T221, CONTRATOS!B:E, 4, FALSE)&lt;&gt;"",2,0)))</f>
        <v>0</v>
      </c>
      <c r="W221" s="248"/>
      <c r="X221" s="248"/>
      <c r="Y221" s="249"/>
      <c r="Z221" s="250"/>
      <c r="AA221" s="251"/>
      <c r="AB221" s="252"/>
      <c r="AC221" s="253"/>
      <c r="AD221" s="251"/>
      <c r="AE221" s="254" t="str">
        <f t="shared" si="141"/>
        <v/>
      </c>
      <c r="AF221" s="256" t="str">
        <f t="shared" si="152"/>
        <v/>
      </c>
      <c r="AG221" s="293" t="s">
        <v>62</v>
      </c>
      <c r="AH221" s="294" t="str">
        <f t="shared" si="153"/>
        <v/>
      </c>
      <c r="AI221" s="294" t="str">
        <f t="shared" si="154"/>
        <v/>
      </c>
      <c r="AJ221" s="295" t="str">
        <f t="shared" si="155"/>
        <v/>
      </c>
      <c r="AK221" s="296" t="str">
        <f t="shared" si="156"/>
        <v/>
      </c>
      <c r="AL221" s="297" t="str">
        <f t="shared" si="157"/>
        <v/>
      </c>
      <c r="AM221" s="294" t="str">
        <f t="shared" si="158"/>
        <v/>
      </c>
      <c r="AN221" s="294" t="str">
        <f t="shared" si="159"/>
        <v/>
      </c>
      <c r="AO221" s="298" t="str">
        <f t="shared" si="160"/>
        <v/>
      </c>
      <c r="AP221" s="299" t="str">
        <f t="shared" si="161"/>
        <v/>
      </c>
      <c r="AQ221" s="299" t="str">
        <f t="shared" si="162"/>
        <v/>
      </c>
      <c r="AR221" s="300" t="str">
        <f t="shared" si="142"/>
        <v/>
      </c>
      <c r="AS221" s="300" t="str">
        <f t="shared" si="143"/>
        <v/>
      </c>
      <c r="AT221" s="294" t="str">
        <f t="shared" si="144"/>
        <v/>
      </c>
      <c r="AU221" s="301" t="str">
        <f>IF(OR($B221="", $AP221= ""),"",IF(VLOOKUP($AP221, CONTRATOS!B:K,3,FALSE)="","",VLOOKUP($AP221, CONTRATOS!B:K, 3,FALSE)))</f>
        <v/>
      </c>
      <c r="AV221" s="301" t="str">
        <f>IF(OR($B221="", $AP221 = ""), "", IF(VLOOKUP($AP221, CONTRATOS!B:K,4,FALSE)="","",VLOOKUP($AP221, CONTRATOS!B:K,4, FALSE)))</f>
        <v/>
      </c>
      <c r="AW221" s="302" t="str">
        <f t="shared" si="145"/>
        <v/>
      </c>
      <c r="AX221" s="301" t="str">
        <f t="shared" si="146"/>
        <v/>
      </c>
      <c r="AY221" s="301" t="str">
        <f t="shared" si="147"/>
        <v/>
      </c>
      <c r="AZ221" s="301" t="str">
        <f t="shared" si="148"/>
        <v/>
      </c>
      <c r="BA221" s="301" t="str">
        <f t="shared" si="149"/>
        <v/>
      </c>
      <c r="BB221" s="303">
        <f t="shared" si="163"/>
        <v>0</v>
      </c>
      <c r="BC221" s="303" t="str">
        <f t="shared" si="164"/>
        <v/>
      </c>
      <c r="BD221" s="303" t="str">
        <f t="shared" si="165"/>
        <v/>
      </c>
      <c r="BF221" s="304">
        <f t="shared" si="166"/>
        <v>0</v>
      </c>
      <c r="BG221" s="304">
        <f t="shared" si="167"/>
        <v>0</v>
      </c>
      <c r="BH221" s="304" t="str">
        <f>IF( $B221="", "", IF(ISNA(VLOOKUP($C221, Defesa!$C$8:$C$30,1,FALSE)),1,0))</f>
        <v/>
      </c>
      <c r="BI221" s="305" t="str">
        <f t="shared" si="168"/>
        <v/>
      </c>
      <c r="BJ221" s="305" t="str">
        <f t="shared" si="169"/>
        <v/>
      </c>
      <c r="BK221" s="304" t="str">
        <f t="shared" si="170"/>
        <v/>
      </c>
      <c r="BL221" s="304">
        <f t="shared" si="171"/>
        <v>0</v>
      </c>
      <c r="BM221" s="304" t="str">
        <f>IF($AC221="", "", IF(ISNA(VLOOKUP($AC221, TABELAS!$Q:$Q, 1, FALSE)), 1, 0))</f>
        <v/>
      </c>
      <c r="BN221" s="306" t="str">
        <f t="shared" si="172"/>
        <v/>
      </c>
      <c r="BO221" s="304" t="str">
        <f t="shared" si="173"/>
        <v/>
      </c>
      <c r="BP221" s="304" t="str">
        <f t="shared" si="174"/>
        <v/>
      </c>
      <c r="BQ221" s="305" t="str">
        <f t="shared" si="175"/>
        <v/>
      </c>
      <c r="BR221" s="304" t="str">
        <f t="shared" si="176"/>
        <v/>
      </c>
      <c r="BS221" s="304" t="str">
        <f t="shared" si="177"/>
        <v/>
      </c>
      <c r="BT221" s="304" t="str">
        <f>IF(OR($B221="", $AH221 = "SIM"), "", IF( ISNA(VLOOKUP($AP221,#REF!, 1, FALSE)), 1, 0))</f>
        <v/>
      </c>
      <c r="BU221" s="304" t="str">
        <f t="shared" si="178"/>
        <v/>
      </c>
      <c r="BV221" s="304" t="str">
        <f>IF( $B221="", "", IF( ISNA(VLOOKUP($AN221, TABELAS!$T$2:$T$9,1,FALSE)), 1, 0))</f>
        <v/>
      </c>
      <c r="BW221" s="304" t="str">
        <f t="shared" si="179"/>
        <v/>
      </c>
      <c r="BX221" s="304" t="str">
        <f>IF( OR($B221="", $AH221 = "SIM"), "", IF( ISNA( VLOOKUP( $AQ221, SISTEMA!$B:$B, 1, FALSE)), 1, 0))</f>
        <v/>
      </c>
      <c r="BY221" s="305" t="str">
        <f t="shared" si="180"/>
        <v/>
      </c>
      <c r="BZ221" s="305" t="str">
        <f t="shared" si="181"/>
        <v/>
      </c>
      <c r="CA221" s="304" t="str">
        <f t="shared" si="182"/>
        <v/>
      </c>
      <c r="CB221" s="305" t="str">
        <f t="shared" si="183"/>
        <v/>
      </c>
      <c r="CC221" s="305" t="str">
        <f t="shared" si="184"/>
        <v/>
      </c>
      <c r="CD221" s="305" t="str">
        <f t="shared" si="185"/>
        <v/>
      </c>
    </row>
    <row r="222" spans="1:82" x14ac:dyDescent="0.2">
      <c r="A222" s="235"/>
      <c r="B222" s="236" t="str">
        <f t="shared" si="150"/>
        <v/>
      </c>
      <c r="C222" s="237" t="str">
        <f t="shared" si="140"/>
        <v/>
      </c>
      <c r="D222" s="237" t="str">
        <f t="shared" si="151"/>
        <v/>
      </c>
      <c r="E222" s="237" t="str">
        <f>IF($C222="", "", COUNTIF($M$8:$M222,$D222))</f>
        <v/>
      </c>
      <c r="F222" s="238">
        <v>215</v>
      </c>
      <c r="G222" s="239"/>
      <c r="H222" s="240"/>
      <c r="I222" s="240"/>
      <c r="J222" s="241"/>
      <c r="K222" s="240"/>
      <c r="L222" s="240"/>
      <c r="M222" s="240"/>
      <c r="N222" s="242"/>
      <c r="O222" s="243"/>
      <c r="P222" s="243"/>
      <c r="Q222" s="243"/>
      <c r="R222" s="243"/>
      <c r="S222" s="243"/>
      <c r="T222" s="245"/>
      <c r="U222" s="246" t="str">
        <f>IF($T222="", "", VLOOKUP($T222, CONTRATOS!$B:$E, 2, FALSE))</f>
        <v/>
      </c>
      <c r="V222" s="247">
        <f>IF(OR($T222="",TB_DEFESA!$C$2="Criação Baseline"),0,
   IF(VLOOKUP($T222, CONTRATOS!B:E, 3, FALSE)&lt;&gt;"",1,IF(VLOOKUP($T222, CONTRATOS!B:E, 4, FALSE)&lt;&gt;"",2,0)))</f>
        <v>0</v>
      </c>
      <c r="W222" s="248"/>
      <c r="X222" s="248"/>
      <c r="Y222" s="249"/>
      <c r="Z222" s="250"/>
      <c r="AA222" s="251"/>
      <c r="AB222" s="252"/>
      <c r="AC222" s="253"/>
      <c r="AD222" s="251"/>
      <c r="AE222" s="254" t="str">
        <f t="shared" si="141"/>
        <v/>
      </c>
      <c r="AF222" s="256" t="str">
        <f t="shared" si="152"/>
        <v/>
      </c>
      <c r="AG222" s="293" t="s">
        <v>62</v>
      </c>
      <c r="AH222" s="294" t="str">
        <f t="shared" si="153"/>
        <v/>
      </c>
      <c r="AI222" s="294" t="str">
        <f t="shared" si="154"/>
        <v/>
      </c>
      <c r="AJ222" s="295" t="str">
        <f t="shared" si="155"/>
        <v/>
      </c>
      <c r="AK222" s="296" t="str">
        <f t="shared" si="156"/>
        <v/>
      </c>
      <c r="AL222" s="297" t="str">
        <f t="shared" si="157"/>
        <v/>
      </c>
      <c r="AM222" s="294" t="str">
        <f t="shared" si="158"/>
        <v/>
      </c>
      <c r="AN222" s="294" t="str">
        <f t="shared" si="159"/>
        <v/>
      </c>
      <c r="AO222" s="298" t="str">
        <f t="shared" si="160"/>
        <v/>
      </c>
      <c r="AP222" s="299" t="str">
        <f t="shared" si="161"/>
        <v/>
      </c>
      <c r="AQ222" s="299" t="str">
        <f t="shared" si="162"/>
        <v/>
      </c>
      <c r="AR222" s="300" t="str">
        <f t="shared" si="142"/>
        <v/>
      </c>
      <c r="AS222" s="300" t="str">
        <f t="shared" si="143"/>
        <v/>
      </c>
      <c r="AT222" s="294" t="str">
        <f t="shared" si="144"/>
        <v/>
      </c>
      <c r="AU222" s="301" t="str">
        <f>IF(OR($B222="", $AP222= ""),"",IF(VLOOKUP($AP222, CONTRATOS!B:K,3,FALSE)="","",VLOOKUP($AP222, CONTRATOS!B:K, 3,FALSE)))</f>
        <v/>
      </c>
      <c r="AV222" s="301" t="str">
        <f>IF(OR($B222="", $AP222 = ""), "", IF(VLOOKUP($AP222, CONTRATOS!B:K,4,FALSE)="","",VLOOKUP($AP222, CONTRATOS!B:K,4, FALSE)))</f>
        <v/>
      </c>
      <c r="AW222" s="302" t="str">
        <f t="shared" si="145"/>
        <v/>
      </c>
      <c r="AX222" s="301" t="str">
        <f t="shared" si="146"/>
        <v/>
      </c>
      <c r="AY222" s="301" t="str">
        <f t="shared" si="147"/>
        <v/>
      </c>
      <c r="AZ222" s="301" t="str">
        <f t="shared" si="148"/>
        <v/>
      </c>
      <c r="BA222" s="301" t="str">
        <f t="shared" si="149"/>
        <v/>
      </c>
      <c r="BB222" s="303">
        <f t="shared" si="163"/>
        <v>0</v>
      </c>
      <c r="BC222" s="303" t="str">
        <f t="shared" si="164"/>
        <v/>
      </c>
      <c r="BD222" s="303" t="str">
        <f t="shared" si="165"/>
        <v/>
      </c>
      <c r="BF222" s="304">
        <f t="shared" si="166"/>
        <v>0</v>
      </c>
      <c r="BG222" s="304">
        <f t="shared" si="167"/>
        <v>0</v>
      </c>
      <c r="BH222" s="304" t="str">
        <f>IF( $B222="", "", IF(ISNA(VLOOKUP($C222, Defesa!$C$8:$C$30,1,FALSE)),1,0))</f>
        <v/>
      </c>
      <c r="BI222" s="305" t="str">
        <f t="shared" si="168"/>
        <v/>
      </c>
      <c r="BJ222" s="305" t="str">
        <f t="shared" si="169"/>
        <v/>
      </c>
      <c r="BK222" s="304" t="str">
        <f t="shared" si="170"/>
        <v/>
      </c>
      <c r="BL222" s="304">
        <f t="shared" si="171"/>
        <v>0</v>
      </c>
      <c r="BM222" s="304" t="str">
        <f>IF($AC222="", "", IF(ISNA(VLOOKUP($AC222, TABELAS!$Q:$Q, 1, FALSE)), 1, 0))</f>
        <v/>
      </c>
      <c r="BN222" s="306" t="str">
        <f t="shared" si="172"/>
        <v/>
      </c>
      <c r="BO222" s="304" t="str">
        <f t="shared" si="173"/>
        <v/>
      </c>
      <c r="BP222" s="304" t="str">
        <f t="shared" si="174"/>
        <v/>
      </c>
      <c r="BQ222" s="305" t="str">
        <f t="shared" si="175"/>
        <v/>
      </c>
      <c r="BR222" s="304" t="str">
        <f t="shared" si="176"/>
        <v/>
      </c>
      <c r="BS222" s="304" t="str">
        <f t="shared" si="177"/>
        <v/>
      </c>
      <c r="BT222" s="304" t="str">
        <f>IF(OR($B222="", $AH222 = "SIM"), "", IF( ISNA(VLOOKUP($AP222,#REF!, 1, FALSE)), 1, 0))</f>
        <v/>
      </c>
      <c r="BU222" s="304" t="str">
        <f t="shared" si="178"/>
        <v/>
      </c>
      <c r="BV222" s="304" t="str">
        <f>IF( $B222="", "", IF( ISNA(VLOOKUP($AN222, TABELAS!$T$2:$T$9,1,FALSE)), 1, 0))</f>
        <v/>
      </c>
      <c r="BW222" s="304" t="str">
        <f t="shared" si="179"/>
        <v/>
      </c>
      <c r="BX222" s="304" t="str">
        <f>IF( OR($B222="", $AH222 = "SIM"), "", IF( ISNA( VLOOKUP( $AQ222, SISTEMA!$B:$B, 1, FALSE)), 1, 0))</f>
        <v/>
      </c>
      <c r="BY222" s="305" t="str">
        <f t="shared" si="180"/>
        <v/>
      </c>
      <c r="BZ222" s="305" t="str">
        <f t="shared" si="181"/>
        <v/>
      </c>
      <c r="CA222" s="304" t="str">
        <f t="shared" si="182"/>
        <v/>
      </c>
      <c r="CB222" s="305" t="str">
        <f t="shared" si="183"/>
        <v/>
      </c>
      <c r="CC222" s="305" t="str">
        <f t="shared" si="184"/>
        <v/>
      </c>
      <c r="CD222" s="305" t="str">
        <f t="shared" si="185"/>
        <v/>
      </c>
    </row>
    <row r="223" spans="1:82" x14ac:dyDescent="0.2">
      <c r="A223" s="235"/>
      <c r="B223" s="236" t="str">
        <f t="shared" si="150"/>
        <v/>
      </c>
      <c r="C223" s="237" t="str">
        <f t="shared" si="140"/>
        <v/>
      </c>
      <c r="D223" s="237" t="str">
        <f t="shared" si="151"/>
        <v/>
      </c>
      <c r="E223" s="237" t="str">
        <f>IF($C223="", "", COUNTIF($M$8:$M223,$D223))</f>
        <v/>
      </c>
      <c r="F223" s="238">
        <v>216</v>
      </c>
      <c r="G223" s="239"/>
      <c r="H223" s="240"/>
      <c r="I223" s="240"/>
      <c r="J223" s="241"/>
      <c r="K223" s="240"/>
      <c r="L223" s="240"/>
      <c r="M223" s="240"/>
      <c r="N223" s="242"/>
      <c r="O223" s="243"/>
      <c r="P223" s="243"/>
      <c r="Q223" s="243"/>
      <c r="R223" s="243"/>
      <c r="S223" s="243"/>
      <c r="T223" s="245"/>
      <c r="U223" s="246" t="str">
        <f>IF($T223="", "", VLOOKUP($T223, CONTRATOS!$B:$E, 2, FALSE))</f>
        <v/>
      </c>
      <c r="V223" s="247">
        <f>IF(OR($T223="",TB_DEFESA!$C$2="Criação Baseline"),0,
   IF(VLOOKUP($T223, CONTRATOS!B:E, 3, FALSE)&lt;&gt;"",1,IF(VLOOKUP($T223, CONTRATOS!B:E, 4, FALSE)&lt;&gt;"",2,0)))</f>
        <v>0</v>
      </c>
      <c r="W223" s="248"/>
      <c r="X223" s="248"/>
      <c r="Y223" s="249"/>
      <c r="Z223" s="250"/>
      <c r="AA223" s="251"/>
      <c r="AB223" s="252"/>
      <c r="AC223" s="253"/>
      <c r="AD223" s="251"/>
      <c r="AE223" s="254" t="str">
        <f t="shared" si="141"/>
        <v/>
      </c>
      <c r="AF223" s="256" t="str">
        <f t="shared" si="152"/>
        <v/>
      </c>
      <c r="AG223" s="293" t="s">
        <v>62</v>
      </c>
      <c r="AH223" s="294" t="str">
        <f t="shared" si="153"/>
        <v/>
      </c>
      <c r="AI223" s="294" t="str">
        <f t="shared" si="154"/>
        <v/>
      </c>
      <c r="AJ223" s="295" t="str">
        <f t="shared" si="155"/>
        <v/>
      </c>
      <c r="AK223" s="296" t="str">
        <f t="shared" si="156"/>
        <v/>
      </c>
      <c r="AL223" s="297" t="str">
        <f t="shared" si="157"/>
        <v/>
      </c>
      <c r="AM223" s="294" t="str">
        <f t="shared" si="158"/>
        <v/>
      </c>
      <c r="AN223" s="294" t="str">
        <f t="shared" si="159"/>
        <v/>
      </c>
      <c r="AO223" s="298" t="str">
        <f t="shared" si="160"/>
        <v/>
      </c>
      <c r="AP223" s="299" t="str">
        <f t="shared" si="161"/>
        <v/>
      </c>
      <c r="AQ223" s="299" t="str">
        <f t="shared" si="162"/>
        <v/>
      </c>
      <c r="AR223" s="300" t="str">
        <f t="shared" si="142"/>
        <v/>
      </c>
      <c r="AS223" s="300" t="str">
        <f t="shared" si="143"/>
        <v/>
      </c>
      <c r="AT223" s="294" t="str">
        <f t="shared" si="144"/>
        <v/>
      </c>
      <c r="AU223" s="301" t="str">
        <f>IF(OR($B223="", $AP223= ""),"",IF(VLOOKUP($AP223, CONTRATOS!B:K,3,FALSE)="","",VLOOKUP($AP223, CONTRATOS!B:K, 3,FALSE)))</f>
        <v/>
      </c>
      <c r="AV223" s="301" t="str">
        <f>IF(OR($B223="", $AP223 = ""), "", IF(VLOOKUP($AP223, CONTRATOS!B:K,4,FALSE)="","",VLOOKUP($AP223, CONTRATOS!B:K,4, FALSE)))</f>
        <v/>
      </c>
      <c r="AW223" s="302" t="str">
        <f t="shared" si="145"/>
        <v/>
      </c>
      <c r="AX223" s="301" t="str">
        <f t="shared" si="146"/>
        <v/>
      </c>
      <c r="AY223" s="301" t="str">
        <f t="shared" si="147"/>
        <v/>
      </c>
      <c r="AZ223" s="301" t="str">
        <f t="shared" si="148"/>
        <v/>
      </c>
      <c r="BA223" s="301" t="str">
        <f t="shared" si="149"/>
        <v/>
      </c>
      <c r="BB223" s="303">
        <f t="shared" si="163"/>
        <v>0</v>
      </c>
      <c r="BC223" s="303" t="str">
        <f t="shared" si="164"/>
        <v/>
      </c>
      <c r="BD223" s="303" t="str">
        <f t="shared" si="165"/>
        <v/>
      </c>
      <c r="BF223" s="304">
        <f t="shared" si="166"/>
        <v>0</v>
      </c>
      <c r="BG223" s="304">
        <f t="shared" si="167"/>
        <v>0</v>
      </c>
      <c r="BH223" s="304" t="str">
        <f>IF( $B223="", "", IF(ISNA(VLOOKUP($C223, Defesa!$C$8:$C$30,1,FALSE)),1,0))</f>
        <v/>
      </c>
      <c r="BI223" s="305" t="str">
        <f t="shared" si="168"/>
        <v/>
      </c>
      <c r="BJ223" s="305" t="str">
        <f t="shared" si="169"/>
        <v/>
      </c>
      <c r="BK223" s="304" t="str">
        <f t="shared" si="170"/>
        <v/>
      </c>
      <c r="BL223" s="304">
        <f t="shared" si="171"/>
        <v>0</v>
      </c>
      <c r="BM223" s="304" t="str">
        <f>IF($AC223="", "", IF(ISNA(VLOOKUP($AC223, TABELAS!$Q:$Q, 1, FALSE)), 1, 0))</f>
        <v/>
      </c>
      <c r="BN223" s="306" t="str">
        <f t="shared" si="172"/>
        <v/>
      </c>
      <c r="BO223" s="304" t="str">
        <f t="shared" si="173"/>
        <v/>
      </c>
      <c r="BP223" s="304" t="str">
        <f t="shared" si="174"/>
        <v/>
      </c>
      <c r="BQ223" s="305" t="str">
        <f t="shared" si="175"/>
        <v/>
      </c>
      <c r="BR223" s="304" t="str">
        <f t="shared" si="176"/>
        <v/>
      </c>
      <c r="BS223" s="304" t="str">
        <f t="shared" si="177"/>
        <v/>
      </c>
      <c r="BT223" s="304" t="str">
        <f>IF(OR($B223="", $AH223 = "SIM"), "", IF( ISNA(VLOOKUP($AP223,#REF!, 1, FALSE)), 1, 0))</f>
        <v/>
      </c>
      <c r="BU223" s="304" t="str">
        <f t="shared" si="178"/>
        <v/>
      </c>
      <c r="BV223" s="304" t="str">
        <f>IF( $B223="", "", IF( ISNA(VLOOKUP($AN223, TABELAS!$T$2:$T$9,1,FALSE)), 1, 0))</f>
        <v/>
      </c>
      <c r="BW223" s="304" t="str">
        <f t="shared" si="179"/>
        <v/>
      </c>
      <c r="BX223" s="304" t="str">
        <f>IF( OR($B223="", $AH223 = "SIM"), "", IF( ISNA( VLOOKUP( $AQ223, SISTEMA!$B:$B, 1, FALSE)), 1, 0))</f>
        <v/>
      </c>
      <c r="BY223" s="305" t="str">
        <f t="shared" si="180"/>
        <v/>
      </c>
      <c r="BZ223" s="305" t="str">
        <f t="shared" si="181"/>
        <v/>
      </c>
      <c r="CA223" s="304" t="str">
        <f t="shared" si="182"/>
        <v/>
      </c>
      <c r="CB223" s="305" t="str">
        <f t="shared" si="183"/>
        <v/>
      </c>
      <c r="CC223" s="305" t="str">
        <f t="shared" si="184"/>
        <v/>
      </c>
      <c r="CD223" s="305" t="str">
        <f t="shared" si="185"/>
        <v/>
      </c>
    </row>
    <row r="224" spans="1:82" x14ac:dyDescent="0.2">
      <c r="A224" s="235"/>
      <c r="B224" s="236" t="str">
        <f t="shared" si="150"/>
        <v/>
      </c>
      <c r="C224" s="237" t="str">
        <f t="shared" si="140"/>
        <v/>
      </c>
      <c r="D224" s="237" t="str">
        <f t="shared" si="151"/>
        <v/>
      </c>
      <c r="E224" s="237" t="str">
        <f>IF($C224="", "", COUNTIF($M$8:$M224,$D224))</f>
        <v/>
      </c>
      <c r="F224" s="238">
        <v>217</v>
      </c>
      <c r="G224" s="239"/>
      <c r="H224" s="240"/>
      <c r="I224" s="240"/>
      <c r="J224" s="241"/>
      <c r="K224" s="240"/>
      <c r="L224" s="240"/>
      <c r="M224" s="240"/>
      <c r="N224" s="242"/>
      <c r="O224" s="243"/>
      <c r="P224" s="243"/>
      <c r="Q224" s="243"/>
      <c r="R224" s="243"/>
      <c r="S224" s="243"/>
      <c r="T224" s="245"/>
      <c r="U224" s="246" t="str">
        <f>IF($T224="", "", VLOOKUP($T224, CONTRATOS!$B:$E, 2, FALSE))</f>
        <v/>
      </c>
      <c r="V224" s="247">
        <f>IF(OR($T224="",TB_DEFESA!$C$2="Criação Baseline"),0,
   IF(VLOOKUP($T224, CONTRATOS!B:E, 3, FALSE)&lt;&gt;"",1,IF(VLOOKUP($T224, CONTRATOS!B:E, 4, FALSE)&lt;&gt;"",2,0)))</f>
        <v>0</v>
      </c>
      <c r="W224" s="248"/>
      <c r="X224" s="248"/>
      <c r="Y224" s="249"/>
      <c r="Z224" s="250"/>
      <c r="AA224" s="251"/>
      <c r="AB224" s="252"/>
      <c r="AC224" s="253"/>
      <c r="AD224" s="251"/>
      <c r="AE224" s="254" t="str">
        <f t="shared" si="141"/>
        <v/>
      </c>
      <c r="AF224" s="256" t="str">
        <f t="shared" si="152"/>
        <v/>
      </c>
      <c r="AG224" s="293" t="s">
        <v>62</v>
      </c>
      <c r="AH224" s="294" t="str">
        <f t="shared" si="153"/>
        <v/>
      </c>
      <c r="AI224" s="294" t="str">
        <f t="shared" si="154"/>
        <v/>
      </c>
      <c r="AJ224" s="295" t="str">
        <f t="shared" si="155"/>
        <v/>
      </c>
      <c r="AK224" s="296" t="str">
        <f t="shared" si="156"/>
        <v/>
      </c>
      <c r="AL224" s="297" t="str">
        <f t="shared" si="157"/>
        <v/>
      </c>
      <c r="AM224" s="294" t="str">
        <f t="shared" si="158"/>
        <v/>
      </c>
      <c r="AN224" s="294" t="str">
        <f t="shared" si="159"/>
        <v/>
      </c>
      <c r="AO224" s="298" t="str">
        <f t="shared" si="160"/>
        <v/>
      </c>
      <c r="AP224" s="299" t="str">
        <f t="shared" si="161"/>
        <v/>
      </c>
      <c r="AQ224" s="299" t="str">
        <f t="shared" si="162"/>
        <v/>
      </c>
      <c r="AR224" s="300" t="str">
        <f t="shared" si="142"/>
        <v/>
      </c>
      <c r="AS224" s="300" t="str">
        <f t="shared" si="143"/>
        <v/>
      </c>
      <c r="AT224" s="294" t="str">
        <f t="shared" si="144"/>
        <v/>
      </c>
      <c r="AU224" s="301" t="str">
        <f>IF(OR($B224="", $AP224= ""),"",IF(VLOOKUP($AP224, CONTRATOS!B:K,3,FALSE)="","",VLOOKUP($AP224, CONTRATOS!B:K, 3,FALSE)))</f>
        <v/>
      </c>
      <c r="AV224" s="301" t="str">
        <f>IF(OR($B224="", $AP224 = ""), "", IF(VLOOKUP($AP224, CONTRATOS!B:K,4,FALSE)="","",VLOOKUP($AP224, CONTRATOS!B:K,4, FALSE)))</f>
        <v/>
      </c>
      <c r="AW224" s="302" t="str">
        <f t="shared" si="145"/>
        <v/>
      </c>
      <c r="AX224" s="301" t="str">
        <f t="shared" si="146"/>
        <v/>
      </c>
      <c r="AY224" s="301" t="str">
        <f t="shared" si="147"/>
        <v/>
      </c>
      <c r="AZ224" s="301" t="str">
        <f t="shared" si="148"/>
        <v/>
      </c>
      <c r="BA224" s="301" t="str">
        <f t="shared" si="149"/>
        <v/>
      </c>
      <c r="BB224" s="303">
        <f t="shared" si="163"/>
        <v>0</v>
      </c>
      <c r="BC224" s="303" t="str">
        <f t="shared" si="164"/>
        <v/>
      </c>
      <c r="BD224" s="303" t="str">
        <f t="shared" si="165"/>
        <v/>
      </c>
      <c r="BF224" s="304">
        <f t="shared" si="166"/>
        <v>0</v>
      </c>
      <c r="BG224" s="304">
        <f t="shared" si="167"/>
        <v>0</v>
      </c>
      <c r="BH224" s="304" t="str">
        <f>IF( $B224="", "", IF(ISNA(VLOOKUP($C224, Defesa!$C$8:$C$30,1,FALSE)),1,0))</f>
        <v/>
      </c>
      <c r="BI224" s="305" t="str">
        <f t="shared" si="168"/>
        <v/>
      </c>
      <c r="BJ224" s="305" t="str">
        <f t="shared" si="169"/>
        <v/>
      </c>
      <c r="BK224" s="304" t="str">
        <f t="shared" si="170"/>
        <v/>
      </c>
      <c r="BL224" s="304">
        <f t="shared" si="171"/>
        <v>0</v>
      </c>
      <c r="BM224" s="304" t="str">
        <f>IF($AC224="", "", IF(ISNA(VLOOKUP($AC224, TABELAS!$Q:$Q, 1, FALSE)), 1, 0))</f>
        <v/>
      </c>
      <c r="BN224" s="306" t="str">
        <f t="shared" si="172"/>
        <v/>
      </c>
      <c r="BO224" s="304" t="str">
        <f t="shared" si="173"/>
        <v/>
      </c>
      <c r="BP224" s="304" t="str">
        <f t="shared" si="174"/>
        <v/>
      </c>
      <c r="BQ224" s="305" t="str">
        <f t="shared" si="175"/>
        <v/>
      </c>
      <c r="BR224" s="304" t="str">
        <f t="shared" si="176"/>
        <v/>
      </c>
      <c r="BS224" s="304" t="str">
        <f t="shared" si="177"/>
        <v/>
      </c>
      <c r="BT224" s="304" t="str">
        <f>IF(OR($B224="", $AH224 = "SIM"), "", IF( ISNA(VLOOKUP($AP224,#REF!, 1, FALSE)), 1, 0))</f>
        <v/>
      </c>
      <c r="BU224" s="304" t="str">
        <f t="shared" si="178"/>
        <v/>
      </c>
      <c r="BV224" s="304" t="str">
        <f>IF( $B224="", "", IF( ISNA(VLOOKUP($AN224, TABELAS!$T$2:$T$9,1,FALSE)), 1, 0))</f>
        <v/>
      </c>
      <c r="BW224" s="304" t="str">
        <f t="shared" si="179"/>
        <v/>
      </c>
      <c r="BX224" s="304" t="str">
        <f>IF( OR($B224="", $AH224 = "SIM"), "", IF( ISNA( VLOOKUP( $AQ224, SISTEMA!$B:$B, 1, FALSE)), 1, 0))</f>
        <v/>
      </c>
      <c r="BY224" s="305" t="str">
        <f t="shared" si="180"/>
        <v/>
      </c>
      <c r="BZ224" s="305" t="str">
        <f t="shared" si="181"/>
        <v/>
      </c>
      <c r="CA224" s="304" t="str">
        <f t="shared" si="182"/>
        <v/>
      </c>
      <c r="CB224" s="305" t="str">
        <f t="shared" si="183"/>
        <v/>
      </c>
      <c r="CC224" s="305" t="str">
        <f t="shared" si="184"/>
        <v/>
      </c>
      <c r="CD224" s="305" t="str">
        <f t="shared" si="185"/>
        <v/>
      </c>
    </row>
    <row r="225" spans="1:82" x14ac:dyDescent="0.2">
      <c r="A225" s="235"/>
      <c r="B225" s="236" t="str">
        <f t="shared" si="150"/>
        <v/>
      </c>
      <c r="C225" s="237" t="str">
        <f t="shared" si="140"/>
        <v/>
      </c>
      <c r="D225" s="237" t="str">
        <f t="shared" si="151"/>
        <v/>
      </c>
      <c r="E225" s="237" t="str">
        <f>IF($C225="", "", COUNTIF($M$8:$M225,$D225))</f>
        <v/>
      </c>
      <c r="F225" s="238">
        <v>218</v>
      </c>
      <c r="G225" s="239"/>
      <c r="H225" s="240"/>
      <c r="I225" s="240"/>
      <c r="J225" s="241"/>
      <c r="K225" s="240"/>
      <c r="L225" s="240"/>
      <c r="M225" s="240"/>
      <c r="N225" s="242"/>
      <c r="O225" s="243"/>
      <c r="P225" s="243"/>
      <c r="Q225" s="243"/>
      <c r="R225" s="243"/>
      <c r="S225" s="243"/>
      <c r="T225" s="245"/>
      <c r="U225" s="246" t="str">
        <f>IF($T225="", "", VLOOKUP($T225, CONTRATOS!$B:$E, 2, FALSE))</f>
        <v/>
      </c>
      <c r="V225" s="247">
        <f>IF(OR($T225="",TB_DEFESA!$C$2="Criação Baseline"),0,
   IF(VLOOKUP($T225, CONTRATOS!B:E, 3, FALSE)&lt;&gt;"",1,IF(VLOOKUP($T225, CONTRATOS!B:E, 4, FALSE)&lt;&gt;"",2,0)))</f>
        <v>0</v>
      </c>
      <c r="W225" s="248"/>
      <c r="X225" s="248"/>
      <c r="Y225" s="249"/>
      <c r="Z225" s="250"/>
      <c r="AA225" s="251"/>
      <c r="AB225" s="252"/>
      <c r="AC225" s="253"/>
      <c r="AD225" s="251"/>
      <c r="AE225" s="254" t="str">
        <f t="shared" si="141"/>
        <v/>
      </c>
      <c r="AF225" s="256" t="str">
        <f t="shared" si="152"/>
        <v/>
      </c>
      <c r="AG225" s="293" t="s">
        <v>62</v>
      </c>
      <c r="AH225" s="294" t="str">
        <f t="shared" si="153"/>
        <v/>
      </c>
      <c r="AI225" s="294" t="str">
        <f t="shared" si="154"/>
        <v/>
      </c>
      <c r="AJ225" s="295" t="str">
        <f t="shared" si="155"/>
        <v/>
      </c>
      <c r="AK225" s="296" t="str">
        <f t="shared" si="156"/>
        <v/>
      </c>
      <c r="AL225" s="297" t="str">
        <f t="shared" si="157"/>
        <v/>
      </c>
      <c r="AM225" s="294" t="str">
        <f t="shared" si="158"/>
        <v/>
      </c>
      <c r="AN225" s="294" t="str">
        <f t="shared" si="159"/>
        <v/>
      </c>
      <c r="AO225" s="298" t="str">
        <f t="shared" si="160"/>
        <v/>
      </c>
      <c r="AP225" s="299" t="str">
        <f t="shared" si="161"/>
        <v/>
      </c>
      <c r="AQ225" s="299" t="str">
        <f t="shared" si="162"/>
        <v/>
      </c>
      <c r="AR225" s="300" t="str">
        <f t="shared" si="142"/>
        <v/>
      </c>
      <c r="AS225" s="300" t="str">
        <f t="shared" si="143"/>
        <v/>
      </c>
      <c r="AT225" s="294" t="str">
        <f t="shared" si="144"/>
        <v/>
      </c>
      <c r="AU225" s="301" t="str">
        <f>IF(OR($B225="", $AP225= ""),"",IF(VLOOKUP($AP225, CONTRATOS!B:K,3,FALSE)="","",VLOOKUP($AP225, CONTRATOS!B:K, 3,FALSE)))</f>
        <v/>
      </c>
      <c r="AV225" s="301" t="str">
        <f>IF(OR($B225="", $AP225 = ""), "", IF(VLOOKUP($AP225, CONTRATOS!B:K,4,FALSE)="","",VLOOKUP($AP225, CONTRATOS!B:K,4, FALSE)))</f>
        <v/>
      </c>
      <c r="AW225" s="302" t="str">
        <f t="shared" si="145"/>
        <v/>
      </c>
      <c r="AX225" s="301" t="str">
        <f t="shared" si="146"/>
        <v/>
      </c>
      <c r="AY225" s="301" t="str">
        <f t="shared" si="147"/>
        <v/>
      </c>
      <c r="AZ225" s="301" t="str">
        <f t="shared" si="148"/>
        <v/>
      </c>
      <c r="BA225" s="301" t="str">
        <f t="shared" si="149"/>
        <v/>
      </c>
      <c r="BB225" s="303">
        <f t="shared" si="163"/>
        <v>0</v>
      </c>
      <c r="BC225" s="303" t="str">
        <f t="shared" si="164"/>
        <v/>
      </c>
      <c r="BD225" s="303" t="str">
        <f t="shared" si="165"/>
        <v/>
      </c>
      <c r="BF225" s="304">
        <f t="shared" si="166"/>
        <v>0</v>
      </c>
      <c r="BG225" s="304">
        <f t="shared" si="167"/>
        <v>0</v>
      </c>
      <c r="BH225" s="304" t="str">
        <f>IF( $B225="", "", IF(ISNA(VLOOKUP($C225, Defesa!$C$8:$C$30,1,FALSE)),1,0))</f>
        <v/>
      </c>
      <c r="BI225" s="305" t="str">
        <f t="shared" si="168"/>
        <v/>
      </c>
      <c r="BJ225" s="305" t="str">
        <f t="shared" si="169"/>
        <v/>
      </c>
      <c r="BK225" s="304" t="str">
        <f t="shared" si="170"/>
        <v/>
      </c>
      <c r="BL225" s="304">
        <f t="shared" si="171"/>
        <v>0</v>
      </c>
      <c r="BM225" s="304" t="str">
        <f>IF($AC225="", "", IF(ISNA(VLOOKUP($AC225, TABELAS!$Q:$Q, 1, FALSE)), 1, 0))</f>
        <v/>
      </c>
      <c r="BN225" s="306" t="str">
        <f t="shared" si="172"/>
        <v/>
      </c>
      <c r="BO225" s="304" t="str">
        <f t="shared" si="173"/>
        <v/>
      </c>
      <c r="BP225" s="304" t="str">
        <f t="shared" si="174"/>
        <v/>
      </c>
      <c r="BQ225" s="305" t="str">
        <f t="shared" si="175"/>
        <v/>
      </c>
      <c r="BR225" s="304" t="str">
        <f t="shared" si="176"/>
        <v/>
      </c>
      <c r="BS225" s="304" t="str">
        <f t="shared" si="177"/>
        <v/>
      </c>
      <c r="BT225" s="304" t="str">
        <f>IF(OR($B225="", $AH225 = "SIM"), "", IF( ISNA(VLOOKUP($AP225,#REF!, 1, FALSE)), 1, 0))</f>
        <v/>
      </c>
      <c r="BU225" s="304" t="str">
        <f t="shared" si="178"/>
        <v/>
      </c>
      <c r="BV225" s="304" t="str">
        <f>IF( $B225="", "", IF( ISNA(VLOOKUP($AN225, TABELAS!$T$2:$T$9,1,FALSE)), 1, 0))</f>
        <v/>
      </c>
      <c r="BW225" s="304" t="str">
        <f t="shared" si="179"/>
        <v/>
      </c>
      <c r="BX225" s="304" t="str">
        <f>IF( OR($B225="", $AH225 = "SIM"), "", IF( ISNA( VLOOKUP( $AQ225, SISTEMA!$B:$B, 1, FALSE)), 1, 0))</f>
        <v/>
      </c>
      <c r="BY225" s="305" t="str">
        <f t="shared" si="180"/>
        <v/>
      </c>
      <c r="BZ225" s="305" t="str">
        <f t="shared" si="181"/>
        <v/>
      </c>
      <c r="CA225" s="304" t="str">
        <f t="shared" si="182"/>
        <v/>
      </c>
      <c r="CB225" s="305" t="str">
        <f t="shared" si="183"/>
        <v/>
      </c>
      <c r="CC225" s="305" t="str">
        <f t="shared" si="184"/>
        <v/>
      </c>
      <c r="CD225" s="305" t="str">
        <f t="shared" si="185"/>
        <v/>
      </c>
    </row>
    <row r="226" spans="1:82" x14ac:dyDescent="0.2">
      <c r="A226" s="235"/>
      <c r="B226" s="236" t="str">
        <f t="shared" si="150"/>
        <v/>
      </c>
      <c r="C226" s="237" t="str">
        <f t="shared" si="140"/>
        <v/>
      </c>
      <c r="D226" s="237" t="str">
        <f t="shared" si="151"/>
        <v/>
      </c>
      <c r="E226" s="237" t="str">
        <f>IF($C226="", "", COUNTIF($M$8:$M226,$D226))</f>
        <v/>
      </c>
      <c r="F226" s="238">
        <v>219</v>
      </c>
      <c r="G226" s="239"/>
      <c r="H226" s="240"/>
      <c r="I226" s="240"/>
      <c r="J226" s="241"/>
      <c r="K226" s="240"/>
      <c r="L226" s="240"/>
      <c r="M226" s="240"/>
      <c r="N226" s="242"/>
      <c r="O226" s="243"/>
      <c r="P226" s="243"/>
      <c r="Q226" s="243"/>
      <c r="R226" s="243"/>
      <c r="S226" s="243"/>
      <c r="T226" s="245"/>
      <c r="U226" s="246" t="str">
        <f>IF($T226="", "", VLOOKUP($T226, CONTRATOS!$B:$E, 2, FALSE))</f>
        <v/>
      </c>
      <c r="V226" s="247">
        <f>IF(OR($T226="",TB_DEFESA!$C$2="Criação Baseline"),0,
   IF(VLOOKUP($T226, CONTRATOS!B:E, 3, FALSE)&lt;&gt;"",1,IF(VLOOKUP($T226, CONTRATOS!B:E, 4, FALSE)&lt;&gt;"",2,0)))</f>
        <v>0</v>
      </c>
      <c r="W226" s="248"/>
      <c r="X226" s="248"/>
      <c r="Y226" s="249"/>
      <c r="Z226" s="250"/>
      <c r="AA226" s="251"/>
      <c r="AB226" s="252"/>
      <c r="AC226" s="253"/>
      <c r="AD226" s="251"/>
      <c r="AE226" s="254" t="str">
        <f t="shared" si="141"/>
        <v/>
      </c>
      <c r="AF226" s="256" t="str">
        <f t="shared" si="152"/>
        <v/>
      </c>
      <c r="AG226" s="293" t="s">
        <v>62</v>
      </c>
      <c r="AH226" s="294" t="str">
        <f t="shared" si="153"/>
        <v/>
      </c>
      <c r="AI226" s="294" t="str">
        <f t="shared" si="154"/>
        <v/>
      </c>
      <c r="AJ226" s="295" t="str">
        <f t="shared" si="155"/>
        <v/>
      </c>
      <c r="AK226" s="296" t="str">
        <f t="shared" si="156"/>
        <v/>
      </c>
      <c r="AL226" s="297" t="str">
        <f t="shared" si="157"/>
        <v/>
      </c>
      <c r="AM226" s="294" t="str">
        <f t="shared" si="158"/>
        <v/>
      </c>
      <c r="AN226" s="294" t="str">
        <f t="shared" si="159"/>
        <v/>
      </c>
      <c r="AO226" s="298" t="str">
        <f t="shared" si="160"/>
        <v/>
      </c>
      <c r="AP226" s="299" t="str">
        <f t="shared" si="161"/>
        <v/>
      </c>
      <c r="AQ226" s="299" t="str">
        <f t="shared" si="162"/>
        <v/>
      </c>
      <c r="AR226" s="300" t="str">
        <f t="shared" si="142"/>
        <v/>
      </c>
      <c r="AS226" s="300" t="str">
        <f t="shared" si="143"/>
        <v/>
      </c>
      <c r="AT226" s="294" t="str">
        <f t="shared" si="144"/>
        <v/>
      </c>
      <c r="AU226" s="301" t="str">
        <f>IF(OR($B226="", $AP226= ""),"",IF(VLOOKUP($AP226, CONTRATOS!B:K,3,FALSE)="","",VLOOKUP($AP226, CONTRATOS!B:K, 3,FALSE)))</f>
        <v/>
      </c>
      <c r="AV226" s="301" t="str">
        <f>IF(OR($B226="", $AP226 = ""), "", IF(VLOOKUP($AP226, CONTRATOS!B:K,4,FALSE)="","",VLOOKUP($AP226, CONTRATOS!B:K,4, FALSE)))</f>
        <v/>
      </c>
      <c r="AW226" s="302" t="str">
        <f t="shared" si="145"/>
        <v/>
      </c>
      <c r="AX226" s="301" t="str">
        <f t="shared" si="146"/>
        <v/>
      </c>
      <c r="AY226" s="301" t="str">
        <f t="shared" si="147"/>
        <v/>
      </c>
      <c r="AZ226" s="301" t="str">
        <f t="shared" si="148"/>
        <v/>
      </c>
      <c r="BA226" s="301" t="str">
        <f t="shared" si="149"/>
        <v/>
      </c>
      <c r="BB226" s="303">
        <f t="shared" si="163"/>
        <v>0</v>
      </c>
      <c r="BC226" s="303" t="str">
        <f t="shared" si="164"/>
        <v/>
      </c>
      <c r="BD226" s="303" t="str">
        <f t="shared" si="165"/>
        <v/>
      </c>
      <c r="BF226" s="304">
        <f t="shared" si="166"/>
        <v>0</v>
      </c>
      <c r="BG226" s="304">
        <f t="shared" si="167"/>
        <v>0</v>
      </c>
      <c r="BH226" s="304" t="str">
        <f>IF( $B226="", "", IF(ISNA(VLOOKUP($C226, Defesa!$C$8:$C$30,1,FALSE)),1,0))</f>
        <v/>
      </c>
      <c r="BI226" s="305" t="str">
        <f t="shared" si="168"/>
        <v/>
      </c>
      <c r="BJ226" s="305" t="str">
        <f t="shared" si="169"/>
        <v/>
      </c>
      <c r="BK226" s="304" t="str">
        <f t="shared" si="170"/>
        <v/>
      </c>
      <c r="BL226" s="304">
        <f t="shared" si="171"/>
        <v>0</v>
      </c>
      <c r="BM226" s="304" t="str">
        <f>IF($AC226="", "", IF(ISNA(VLOOKUP($AC226, TABELAS!$Q:$Q, 1, FALSE)), 1, 0))</f>
        <v/>
      </c>
      <c r="BN226" s="306" t="str">
        <f t="shared" si="172"/>
        <v/>
      </c>
      <c r="BO226" s="304" t="str">
        <f t="shared" si="173"/>
        <v/>
      </c>
      <c r="BP226" s="304" t="str">
        <f t="shared" si="174"/>
        <v/>
      </c>
      <c r="BQ226" s="305" t="str">
        <f t="shared" si="175"/>
        <v/>
      </c>
      <c r="BR226" s="304" t="str">
        <f t="shared" si="176"/>
        <v/>
      </c>
      <c r="BS226" s="304" t="str">
        <f t="shared" si="177"/>
        <v/>
      </c>
      <c r="BT226" s="304" t="str">
        <f>IF(OR($B226="", $AH226 = "SIM"), "", IF( ISNA(VLOOKUP($AP226,#REF!, 1, FALSE)), 1, 0))</f>
        <v/>
      </c>
      <c r="BU226" s="304" t="str">
        <f t="shared" si="178"/>
        <v/>
      </c>
      <c r="BV226" s="304" t="str">
        <f>IF( $B226="", "", IF( ISNA(VLOOKUP($AN226, TABELAS!$T$2:$T$9,1,FALSE)), 1, 0))</f>
        <v/>
      </c>
      <c r="BW226" s="304" t="str">
        <f t="shared" si="179"/>
        <v/>
      </c>
      <c r="BX226" s="304" t="str">
        <f>IF( OR($B226="", $AH226 = "SIM"), "", IF( ISNA( VLOOKUP( $AQ226, SISTEMA!$B:$B, 1, FALSE)), 1, 0))</f>
        <v/>
      </c>
      <c r="BY226" s="305" t="str">
        <f t="shared" si="180"/>
        <v/>
      </c>
      <c r="BZ226" s="305" t="str">
        <f t="shared" si="181"/>
        <v/>
      </c>
      <c r="CA226" s="304" t="str">
        <f t="shared" si="182"/>
        <v/>
      </c>
      <c r="CB226" s="305" t="str">
        <f t="shared" si="183"/>
        <v/>
      </c>
      <c r="CC226" s="305" t="str">
        <f t="shared" si="184"/>
        <v/>
      </c>
      <c r="CD226" s="305" t="str">
        <f t="shared" si="185"/>
        <v/>
      </c>
    </row>
    <row r="227" spans="1:82" x14ac:dyDescent="0.2">
      <c r="A227" s="235"/>
      <c r="B227" s="236" t="str">
        <f t="shared" si="150"/>
        <v/>
      </c>
      <c r="C227" s="237" t="str">
        <f t="shared" si="140"/>
        <v/>
      </c>
      <c r="D227" s="237" t="str">
        <f t="shared" si="151"/>
        <v/>
      </c>
      <c r="E227" s="237" t="str">
        <f>IF($C227="", "", COUNTIF($M$8:$M227,$D227))</f>
        <v/>
      </c>
      <c r="F227" s="238">
        <v>220</v>
      </c>
      <c r="G227" s="239"/>
      <c r="H227" s="240"/>
      <c r="I227" s="240"/>
      <c r="J227" s="241"/>
      <c r="K227" s="240"/>
      <c r="L227" s="240"/>
      <c r="M227" s="240"/>
      <c r="N227" s="242"/>
      <c r="O227" s="243"/>
      <c r="P227" s="243"/>
      <c r="Q227" s="243"/>
      <c r="R227" s="243"/>
      <c r="S227" s="243"/>
      <c r="T227" s="245"/>
      <c r="U227" s="246" t="str">
        <f>IF($T227="", "", VLOOKUP($T227, CONTRATOS!$B:$E, 2, FALSE))</f>
        <v/>
      </c>
      <c r="V227" s="247">
        <f>IF(OR($T227="",TB_DEFESA!$C$2="Criação Baseline"),0,
   IF(VLOOKUP($T227, CONTRATOS!B:E, 3, FALSE)&lt;&gt;"",1,IF(VLOOKUP($T227, CONTRATOS!B:E, 4, FALSE)&lt;&gt;"",2,0)))</f>
        <v>0</v>
      </c>
      <c r="W227" s="248"/>
      <c r="X227" s="248"/>
      <c r="Y227" s="249"/>
      <c r="Z227" s="250"/>
      <c r="AA227" s="251"/>
      <c r="AB227" s="252"/>
      <c r="AC227" s="253"/>
      <c r="AD227" s="251"/>
      <c r="AE227" s="254" t="str">
        <f t="shared" si="141"/>
        <v/>
      </c>
      <c r="AF227" s="256" t="str">
        <f t="shared" si="152"/>
        <v/>
      </c>
      <c r="AG227" s="293" t="s">
        <v>62</v>
      </c>
      <c r="AH227" s="294" t="str">
        <f t="shared" si="153"/>
        <v/>
      </c>
      <c r="AI227" s="294" t="str">
        <f t="shared" si="154"/>
        <v/>
      </c>
      <c r="AJ227" s="295" t="str">
        <f t="shared" si="155"/>
        <v/>
      </c>
      <c r="AK227" s="296" t="str">
        <f t="shared" si="156"/>
        <v/>
      </c>
      <c r="AL227" s="297" t="str">
        <f t="shared" si="157"/>
        <v/>
      </c>
      <c r="AM227" s="294" t="str">
        <f t="shared" si="158"/>
        <v/>
      </c>
      <c r="AN227" s="294" t="str">
        <f t="shared" si="159"/>
        <v/>
      </c>
      <c r="AO227" s="298" t="str">
        <f t="shared" si="160"/>
        <v/>
      </c>
      <c r="AP227" s="299" t="str">
        <f t="shared" si="161"/>
        <v/>
      </c>
      <c r="AQ227" s="299" t="str">
        <f t="shared" si="162"/>
        <v/>
      </c>
      <c r="AR227" s="300" t="str">
        <f t="shared" si="142"/>
        <v/>
      </c>
      <c r="AS227" s="300" t="str">
        <f t="shared" si="143"/>
        <v/>
      </c>
      <c r="AT227" s="294" t="str">
        <f t="shared" si="144"/>
        <v/>
      </c>
      <c r="AU227" s="301" t="str">
        <f>IF(OR($B227="", $AP227= ""),"",IF(VLOOKUP($AP227, CONTRATOS!B:K,3,FALSE)="","",VLOOKUP($AP227, CONTRATOS!B:K, 3,FALSE)))</f>
        <v/>
      </c>
      <c r="AV227" s="301" t="str">
        <f>IF(OR($B227="", $AP227 = ""), "", IF(VLOOKUP($AP227, CONTRATOS!B:K,4,FALSE)="","",VLOOKUP($AP227, CONTRATOS!B:K,4, FALSE)))</f>
        <v/>
      </c>
      <c r="AW227" s="302" t="str">
        <f t="shared" si="145"/>
        <v/>
      </c>
      <c r="AX227" s="301" t="str">
        <f t="shared" si="146"/>
        <v/>
      </c>
      <c r="AY227" s="301" t="str">
        <f t="shared" si="147"/>
        <v/>
      </c>
      <c r="AZ227" s="301" t="str">
        <f t="shared" si="148"/>
        <v/>
      </c>
      <c r="BA227" s="301" t="str">
        <f t="shared" si="149"/>
        <v/>
      </c>
      <c r="BB227" s="303">
        <f t="shared" si="163"/>
        <v>0</v>
      </c>
      <c r="BC227" s="303" t="str">
        <f t="shared" si="164"/>
        <v/>
      </c>
      <c r="BD227" s="303" t="str">
        <f t="shared" si="165"/>
        <v/>
      </c>
      <c r="BF227" s="304">
        <f t="shared" si="166"/>
        <v>0</v>
      </c>
      <c r="BG227" s="304">
        <f t="shared" si="167"/>
        <v>0</v>
      </c>
      <c r="BH227" s="304" t="str">
        <f>IF( $B227="", "", IF(ISNA(VLOOKUP($C227, Defesa!$C$8:$C$30,1,FALSE)),1,0))</f>
        <v/>
      </c>
      <c r="BI227" s="305" t="str">
        <f t="shared" si="168"/>
        <v/>
      </c>
      <c r="BJ227" s="305" t="str">
        <f t="shared" si="169"/>
        <v/>
      </c>
      <c r="BK227" s="304" t="str">
        <f t="shared" si="170"/>
        <v/>
      </c>
      <c r="BL227" s="304">
        <f t="shared" si="171"/>
        <v>0</v>
      </c>
      <c r="BM227" s="304" t="str">
        <f>IF($AC227="", "", IF(ISNA(VLOOKUP($AC227, TABELAS!$Q:$Q, 1, FALSE)), 1, 0))</f>
        <v/>
      </c>
      <c r="BN227" s="306" t="str">
        <f t="shared" si="172"/>
        <v/>
      </c>
      <c r="BO227" s="304" t="str">
        <f t="shared" si="173"/>
        <v/>
      </c>
      <c r="BP227" s="304" t="str">
        <f t="shared" si="174"/>
        <v/>
      </c>
      <c r="BQ227" s="305" t="str">
        <f t="shared" si="175"/>
        <v/>
      </c>
      <c r="BR227" s="304" t="str">
        <f t="shared" si="176"/>
        <v/>
      </c>
      <c r="BS227" s="304" t="str">
        <f t="shared" si="177"/>
        <v/>
      </c>
      <c r="BT227" s="304" t="str">
        <f>IF(OR($B227="", $AH227 = "SIM"), "", IF( ISNA(VLOOKUP($AP227,#REF!, 1, FALSE)), 1, 0))</f>
        <v/>
      </c>
      <c r="BU227" s="304" t="str">
        <f t="shared" si="178"/>
        <v/>
      </c>
      <c r="BV227" s="304" t="str">
        <f>IF( $B227="", "", IF( ISNA(VLOOKUP($AN227, TABELAS!$T$2:$T$9,1,FALSE)), 1, 0))</f>
        <v/>
      </c>
      <c r="BW227" s="304" t="str">
        <f t="shared" si="179"/>
        <v/>
      </c>
      <c r="BX227" s="304" t="str">
        <f>IF( OR($B227="", $AH227 = "SIM"), "", IF( ISNA( VLOOKUP( $AQ227, SISTEMA!$B:$B, 1, FALSE)), 1, 0))</f>
        <v/>
      </c>
      <c r="BY227" s="305" t="str">
        <f t="shared" si="180"/>
        <v/>
      </c>
      <c r="BZ227" s="305" t="str">
        <f t="shared" si="181"/>
        <v/>
      </c>
      <c r="CA227" s="304" t="str">
        <f t="shared" si="182"/>
        <v/>
      </c>
      <c r="CB227" s="305" t="str">
        <f t="shared" si="183"/>
        <v/>
      </c>
      <c r="CC227" s="305" t="str">
        <f t="shared" si="184"/>
        <v/>
      </c>
      <c r="CD227" s="305" t="str">
        <f t="shared" si="185"/>
        <v/>
      </c>
    </row>
    <row r="228" spans="1:82" x14ac:dyDescent="0.2">
      <c r="A228" s="235"/>
      <c r="B228" s="236" t="str">
        <f t="shared" si="150"/>
        <v/>
      </c>
      <c r="C228" s="237" t="str">
        <f t="shared" si="140"/>
        <v/>
      </c>
      <c r="D228" s="237" t="str">
        <f t="shared" si="151"/>
        <v/>
      </c>
      <c r="E228" s="237" t="str">
        <f>IF($C228="", "", COUNTIF($M$8:$M228,$D228))</f>
        <v/>
      </c>
      <c r="F228" s="238">
        <v>221</v>
      </c>
      <c r="G228" s="239"/>
      <c r="H228" s="240"/>
      <c r="I228" s="240"/>
      <c r="J228" s="241"/>
      <c r="K228" s="240"/>
      <c r="L228" s="240"/>
      <c r="M228" s="240"/>
      <c r="N228" s="242"/>
      <c r="O228" s="243"/>
      <c r="P228" s="243"/>
      <c r="Q228" s="243"/>
      <c r="R228" s="243"/>
      <c r="S228" s="243"/>
      <c r="T228" s="245"/>
      <c r="U228" s="246" t="str">
        <f>IF($T228="", "", VLOOKUP($T228, CONTRATOS!$B:$E, 2, FALSE))</f>
        <v/>
      </c>
      <c r="V228" s="247">
        <f>IF(OR($T228="",TB_DEFESA!$C$2="Criação Baseline"),0,
   IF(VLOOKUP($T228, CONTRATOS!B:E, 3, FALSE)&lt;&gt;"",1,IF(VLOOKUP($T228, CONTRATOS!B:E, 4, FALSE)&lt;&gt;"",2,0)))</f>
        <v>0</v>
      </c>
      <c r="W228" s="248"/>
      <c r="X228" s="248"/>
      <c r="Y228" s="249"/>
      <c r="Z228" s="250"/>
      <c r="AA228" s="251"/>
      <c r="AB228" s="252"/>
      <c r="AC228" s="253"/>
      <c r="AD228" s="251"/>
      <c r="AE228" s="254" t="str">
        <f t="shared" si="141"/>
        <v/>
      </c>
      <c r="AF228" s="256" t="str">
        <f t="shared" si="152"/>
        <v/>
      </c>
      <c r="AG228" s="293" t="s">
        <v>62</v>
      </c>
      <c r="AH228" s="294" t="str">
        <f t="shared" si="153"/>
        <v/>
      </c>
      <c r="AI228" s="294" t="str">
        <f t="shared" si="154"/>
        <v/>
      </c>
      <c r="AJ228" s="295" t="str">
        <f t="shared" si="155"/>
        <v/>
      </c>
      <c r="AK228" s="296" t="str">
        <f t="shared" si="156"/>
        <v/>
      </c>
      <c r="AL228" s="297" t="str">
        <f t="shared" si="157"/>
        <v/>
      </c>
      <c r="AM228" s="294" t="str">
        <f t="shared" si="158"/>
        <v/>
      </c>
      <c r="AN228" s="294" t="str">
        <f t="shared" si="159"/>
        <v/>
      </c>
      <c r="AO228" s="298" t="str">
        <f t="shared" si="160"/>
        <v/>
      </c>
      <c r="AP228" s="299" t="str">
        <f t="shared" si="161"/>
        <v/>
      </c>
      <c r="AQ228" s="299" t="str">
        <f t="shared" si="162"/>
        <v/>
      </c>
      <c r="AR228" s="300" t="str">
        <f t="shared" si="142"/>
        <v/>
      </c>
      <c r="AS228" s="300" t="str">
        <f t="shared" si="143"/>
        <v/>
      </c>
      <c r="AT228" s="294" t="str">
        <f t="shared" si="144"/>
        <v/>
      </c>
      <c r="AU228" s="301" t="str">
        <f>IF(OR($B228="", $AP228= ""),"",IF(VLOOKUP($AP228, CONTRATOS!B:K,3,FALSE)="","",VLOOKUP($AP228, CONTRATOS!B:K, 3,FALSE)))</f>
        <v/>
      </c>
      <c r="AV228" s="301" t="str">
        <f>IF(OR($B228="", $AP228 = ""), "", IF(VLOOKUP($AP228, CONTRATOS!B:K,4,FALSE)="","",VLOOKUP($AP228, CONTRATOS!B:K,4, FALSE)))</f>
        <v/>
      </c>
      <c r="AW228" s="302" t="str">
        <f t="shared" si="145"/>
        <v/>
      </c>
      <c r="AX228" s="301" t="str">
        <f t="shared" si="146"/>
        <v/>
      </c>
      <c r="AY228" s="301" t="str">
        <f t="shared" si="147"/>
        <v/>
      </c>
      <c r="AZ228" s="301" t="str">
        <f t="shared" si="148"/>
        <v/>
      </c>
      <c r="BA228" s="301" t="str">
        <f t="shared" si="149"/>
        <v/>
      </c>
      <c r="BB228" s="303">
        <f t="shared" si="163"/>
        <v>0</v>
      </c>
      <c r="BC228" s="303" t="str">
        <f t="shared" si="164"/>
        <v/>
      </c>
      <c r="BD228" s="303" t="str">
        <f t="shared" si="165"/>
        <v/>
      </c>
      <c r="BF228" s="304">
        <f t="shared" si="166"/>
        <v>0</v>
      </c>
      <c r="BG228" s="304">
        <f t="shared" si="167"/>
        <v>0</v>
      </c>
      <c r="BH228" s="304" t="str">
        <f>IF( $B228="", "", IF(ISNA(VLOOKUP($C228, Defesa!$C$8:$C$30,1,FALSE)),1,0))</f>
        <v/>
      </c>
      <c r="BI228" s="305" t="str">
        <f t="shared" si="168"/>
        <v/>
      </c>
      <c r="BJ228" s="305" t="str">
        <f t="shared" si="169"/>
        <v/>
      </c>
      <c r="BK228" s="304" t="str">
        <f t="shared" si="170"/>
        <v/>
      </c>
      <c r="BL228" s="304">
        <f t="shared" si="171"/>
        <v>0</v>
      </c>
      <c r="BM228" s="304" t="str">
        <f>IF($AC228="", "", IF(ISNA(VLOOKUP($AC228, TABELAS!$Q:$Q, 1, FALSE)), 1, 0))</f>
        <v/>
      </c>
      <c r="BN228" s="306" t="str">
        <f t="shared" si="172"/>
        <v/>
      </c>
      <c r="BO228" s="304" t="str">
        <f t="shared" si="173"/>
        <v/>
      </c>
      <c r="BP228" s="304" t="str">
        <f t="shared" si="174"/>
        <v/>
      </c>
      <c r="BQ228" s="305" t="str">
        <f t="shared" si="175"/>
        <v/>
      </c>
      <c r="BR228" s="304" t="str">
        <f t="shared" si="176"/>
        <v/>
      </c>
      <c r="BS228" s="304" t="str">
        <f t="shared" si="177"/>
        <v/>
      </c>
      <c r="BT228" s="304" t="str">
        <f>IF(OR($B228="", $AH228 = "SIM"), "", IF( ISNA(VLOOKUP($AP228,#REF!, 1, FALSE)), 1, 0))</f>
        <v/>
      </c>
      <c r="BU228" s="304" t="str">
        <f t="shared" si="178"/>
        <v/>
      </c>
      <c r="BV228" s="304" t="str">
        <f>IF( $B228="", "", IF( ISNA(VLOOKUP($AN228, TABELAS!$T$2:$T$9,1,FALSE)), 1, 0))</f>
        <v/>
      </c>
      <c r="BW228" s="304" t="str">
        <f t="shared" si="179"/>
        <v/>
      </c>
      <c r="BX228" s="304" t="str">
        <f>IF( OR($B228="", $AH228 = "SIM"), "", IF( ISNA( VLOOKUP( $AQ228, SISTEMA!$B:$B, 1, FALSE)), 1, 0))</f>
        <v/>
      </c>
      <c r="BY228" s="305" t="str">
        <f t="shared" si="180"/>
        <v/>
      </c>
      <c r="BZ228" s="305" t="str">
        <f t="shared" si="181"/>
        <v/>
      </c>
      <c r="CA228" s="304" t="str">
        <f t="shared" si="182"/>
        <v/>
      </c>
      <c r="CB228" s="305" t="str">
        <f t="shared" si="183"/>
        <v/>
      </c>
      <c r="CC228" s="305" t="str">
        <f t="shared" si="184"/>
        <v/>
      </c>
      <c r="CD228" s="305" t="str">
        <f t="shared" si="185"/>
        <v/>
      </c>
    </row>
    <row r="229" spans="1:82" x14ac:dyDescent="0.2">
      <c r="A229" s="235"/>
      <c r="B229" s="236" t="str">
        <f t="shared" si="150"/>
        <v/>
      </c>
      <c r="C229" s="237" t="str">
        <f t="shared" si="140"/>
        <v/>
      </c>
      <c r="D229" s="237" t="str">
        <f t="shared" si="151"/>
        <v/>
      </c>
      <c r="E229" s="237" t="str">
        <f>IF($C229="", "", COUNTIF($M$8:$M229,$D229))</f>
        <v/>
      </c>
      <c r="F229" s="238">
        <v>222</v>
      </c>
      <c r="G229" s="239"/>
      <c r="H229" s="240"/>
      <c r="I229" s="240"/>
      <c r="J229" s="241"/>
      <c r="K229" s="240"/>
      <c r="L229" s="240"/>
      <c r="M229" s="240"/>
      <c r="N229" s="242"/>
      <c r="O229" s="243"/>
      <c r="P229" s="243"/>
      <c r="Q229" s="243"/>
      <c r="R229" s="243"/>
      <c r="S229" s="243"/>
      <c r="T229" s="245"/>
      <c r="U229" s="246" t="str">
        <f>IF($T229="", "", VLOOKUP($T229, CONTRATOS!$B:$E, 2, FALSE))</f>
        <v/>
      </c>
      <c r="V229" s="247">
        <f>IF(OR($T229="",TB_DEFESA!$C$2="Criação Baseline"),0,
   IF(VLOOKUP($T229, CONTRATOS!B:E, 3, FALSE)&lt;&gt;"",1,IF(VLOOKUP($T229, CONTRATOS!B:E, 4, FALSE)&lt;&gt;"",2,0)))</f>
        <v>0</v>
      </c>
      <c r="W229" s="248"/>
      <c r="X229" s="248"/>
      <c r="Y229" s="249"/>
      <c r="Z229" s="250"/>
      <c r="AA229" s="251"/>
      <c r="AB229" s="252"/>
      <c r="AC229" s="253"/>
      <c r="AD229" s="251"/>
      <c r="AE229" s="254" t="str">
        <f t="shared" si="141"/>
        <v/>
      </c>
      <c r="AF229" s="256" t="str">
        <f t="shared" si="152"/>
        <v/>
      </c>
      <c r="AG229" s="293" t="s">
        <v>62</v>
      </c>
      <c r="AH229" s="294" t="str">
        <f t="shared" si="153"/>
        <v/>
      </c>
      <c r="AI229" s="294" t="str">
        <f t="shared" si="154"/>
        <v/>
      </c>
      <c r="AJ229" s="295" t="str">
        <f t="shared" si="155"/>
        <v/>
      </c>
      <c r="AK229" s="296" t="str">
        <f t="shared" si="156"/>
        <v/>
      </c>
      <c r="AL229" s="297" t="str">
        <f t="shared" si="157"/>
        <v/>
      </c>
      <c r="AM229" s="294" t="str">
        <f t="shared" si="158"/>
        <v/>
      </c>
      <c r="AN229" s="294" t="str">
        <f t="shared" si="159"/>
        <v/>
      </c>
      <c r="AO229" s="298" t="str">
        <f t="shared" si="160"/>
        <v/>
      </c>
      <c r="AP229" s="299" t="str">
        <f t="shared" si="161"/>
        <v/>
      </c>
      <c r="AQ229" s="299" t="str">
        <f t="shared" si="162"/>
        <v/>
      </c>
      <c r="AR229" s="300" t="str">
        <f t="shared" si="142"/>
        <v/>
      </c>
      <c r="AS229" s="300" t="str">
        <f t="shared" si="143"/>
        <v/>
      </c>
      <c r="AT229" s="294" t="str">
        <f t="shared" si="144"/>
        <v/>
      </c>
      <c r="AU229" s="301" t="str">
        <f>IF(OR($B229="", $AP229= ""),"",IF(VLOOKUP($AP229, CONTRATOS!B:K,3,FALSE)="","",VLOOKUP($AP229, CONTRATOS!B:K, 3,FALSE)))</f>
        <v/>
      </c>
      <c r="AV229" s="301" t="str">
        <f>IF(OR($B229="", $AP229 = ""), "", IF(VLOOKUP($AP229, CONTRATOS!B:K,4,FALSE)="","",VLOOKUP($AP229, CONTRATOS!B:K,4, FALSE)))</f>
        <v/>
      </c>
      <c r="AW229" s="302" t="str">
        <f t="shared" si="145"/>
        <v/>
      </c>
      <c r="AX229" s="301" t="str">
        <f t="shared" si="146"/>
        <v/>
      </c>
      <c r="AY229" s="301" t="str">
        <f t="shared" si="147"/>
        <v/>
      </c>
      <c r="AZ229" s="301" t="str">
        <f t="shared" si="148"/>
        <v/>
      </c>
      <c r="BA229" s="301" t="str">
        <f t="shared" si="149"/>
        <v/>
      </c>
      <c r="BB229" s="303">
        <f t="shared" si="163"/>
        <v>0</v>
      </c>
      <c r="BC229" s="303" t="str">
        <f t="shared" si="164"/>
        <v/>
      </c>
      <c r="BD229" s="303" t="str">
        <f t="shared" si="165"/>
        <v/>
      </c>
      <c r="BF229" s="304">
        <f t="shared" si="166"/>
        <v>0</v>
      </c>
      <c r="BG229" s="304">
        <f t="shared" si="167"/>
        <v>0</v>
      </c>
      <c r="BH229" s="304" t="str">
        <f>IF( $B229="", "", IF(ISNA(VLOOKUP($C229, Defesa!$C$8:$C$30,1,FALSE)),1,0))</f>
        <v/>
      </c>
      <c r="BI229" s="305" t="str">
        <f t="shared" si="168"/>
        <v/>
      </c>
      <c r="BJ229" s="305" t="str">
        <f t="shared" si="169"/>
        <v/>
      </c>
      <c r="BK229" s="304" t="str">
        <f t="shared" si="170"/>
        <v/>
      </c>
      <c r="BL229" s="304">
        <f t="shared" si="171"/>
        <v>0</v>
      </c>
      <c r="BM229" s="304" t="str">
        <f>IF($AC229="", "", IF(ISNA(VLOOKUP($AC229, TABELAS!$Q:$Q, 1, FALSE)), 1, 0))</f>
        <v/>
      </c>
      <c r="BN229" s="306" t="str">
        <f t="shared" si="172"/>
        <v/>
      </c>
      <c r="BO229" s="304" t="str">
        <f t="shared" si="173"/>
        <v/>
      </c>
      <c r="BP229" s="304" t="str">
        <f t="shared" si="174"/>
        <v/>
      </c>
      <c r="BQ229" s="305" t="str">
        <f t="shared" si="175"/>
        <v/>
      </c>
      <c r="BR229" s="304" t="str">
        <f t="shared" si="176"/>
        <v/>
      </c>
      <c r="BS229" s="304" t="str">
        <f t="shared" si="177"/>
        <v/>
      </c>
      <c r="BT229" s="304" t="str">
        <f>IF(OR($B229="", $AH229 = "SIM"), "", IF( ISNA(VLOOKUP($AP229,#REF!, 1, FALSE)), 1, 0))</f>
        <v/>
      </c>
      <c r="BU229" s="304" t="str">
        <f t="shared" si="178"/>
        <v/>
      </c>
      <c r="BV229" s="304" t="str">
        <f>IF( $B229="", "", IF( ISNA(VLOOKUP($AN229, TABELAS!$T$2:$T$9,1,FALSE)), 1, 0))</f>
        <v/>
      </c>
      <c r="BW229" s="304" t="str">
        <f t="shared" si="179"/>
        <v/>
      </c>
      <c r="BX229" s="304" t="str">
        <f>IF( OR($B229="", $AH229 = "SIM"), "", IF( ISNA( VLOOKUP( $AQ229, SISTEMA!$B:$B, 1, FALSE)), 1, 0))</f>
        <v/>
      </c>
      <c r="BY229" s="305" t="str">
        <f t="shared" si="180"/>
        <v/>
      </c>
      <c r="BZ229" s="305" t="str">
        <f t="shared" si="181"/>
        <v/>
      </c>
      <c r="CA229" s="304" t="str">
        <f t="shared" si="182"/>
        <v/>
      </c>
      <c r="CB229" s="305" t="str">
        <f t="shared" si="183"/>
        <v/>
      </c>
      <c r="CC229" s="305" t="str">
        <f t="shared" si="184"/>
        <v/>
      </c>
      <c r="CD229" s="305" t="str">
        <f t="shared" si="185"/>
        <v/>
      </c>
    </row>
    <row r="230" spans="1:82" x14ac:dyDescent="0.2">
      <c r="A230" s="235"/>
      <c r="B230" s="236" t="str">
        <f t="shared" si="150"/>
        <v/>
      </c>
      <c r="C230" s="237" t="str">
        <f t="shared" si="140"/>
        <v/>
      </c>
      <c r="D230" s="237" t="str">
        <f t="shared" si="151"/>
        <v/>
      </c>
      <c r="E230" s="237" t="str">
        <f>IF($C230="", "", COUNTIF($M$8:$M230,$D230))</f>
        <v/>
      </c>
      <c r="F230" s="238">
        <v>223</v>
      </c>
      <c r="G230" s="239"/>
      <c r="H230" s="240"/>
      <c r="I230" s="240"/>
      <c r="J230" s="241"/>
      <c r="K230" s="240"/>
      <c r="L230" s="240"/>
      <c r="M230" s="240"/>
      <c r="N230" s="242"/>
      <c r="O230" s="243"/>
      <c r="P230" s="243"/>
      <c r="Q230" s="243"/>
      <c r="R230" s="243"/>
      <c r="S230" s="243"/>
      <c r="T230" s="245"/>
      <c r="U230" s="246" t="str">
        <f>IF($T230="", "", VLOOKUP($T230, CONTRATOS!$B:$E, 2, FALSE))</f>
        <v/>
      </c>
      <c r="V230" s="247">
        <f>IF(OR($T230="",TB_DEFESA!$C$2="Criação Baseline"),0,
   IF(VLOOKUP($T230, CONTRATOS!B:E, 3, FALSE)&lt;&gt;"",1,IF(VLOOKUP($T230, CONTRATOS!B:E, 4, FALSE)&lt;&gt;"",2,0)))</f>
        <v>0</v>
      </c>
      <c r="W230" s="248"/>
      <c r="X230" s="248"/>
      <c r="Y230" s="249"/>
      <c r="Z230" s="250"/>
      <c r="AA230" s="251"/>
      <c r="AB230" s="252"/>
      <c r="AC230" s="253"/>
      <c r="AD230" s="251"/>
      <c r="AE230" s="254" t="str">
        <f t="shared" si="141"/>
        <v/>
      </c>
      <c r="AF230" s="256" t="str">
        <f t="shared" si="152"/>
        <v/>
      </c>
      <c r="AG230" s="293" t="s">
        <v>62</v>
      </c>
      <c r="AH230" s="294" t="str">
        <f t="shared" si="153"/>
        <v/>
      </c>
      <c r="AI230" s="294" t="str">
        <f t="shared" si="154"/>
        <v/>
      </c>
      <c r="AJ230" s="295" t="str">
        <f t="shared" si="155"/>
        <v/>
      </c>
      <c r="AK230" s="296" t="str">
        <f t="shared" si="156"/>
        <v/>
      </c>
      <c r="AL230" s="297" t="str">
        <f t="shared" si="157"/>
        <v/>
      </c>
      <c r="AM230" s="294" t="str">
        <f t="shared" si="158"/>
        <v/>
      </c>
      <c r="AN230" s="294" t="str">
        <f t="shared" si="159"/>
        <v/>
      </c>
      <c r="AO230" s="298" t="str">
        <f t="shared" si="160"/>
        <v/>
      </c>
      <c r="AP230" s="299" t="str">
        <f t="shared" si="161"/>
        <v/>
      </c>
      <c r="AQ230" s="299" t="str">
        <f t="shared" si="162"/>
        <v/>
      </c>
      <c r="AR230" s="300" t="str">
        <f t="shared" si="142"/>
        <v/>
      </c>
      <c r="AS230" s="300" t="str">
        <f t="shared" si="143"/>
        <v/>
      </c>
      <c r="AT230" s="294" t="str">
        <f t="shared" si="144"/>
        <v/>
      </c>
      <c r="AU230" s="301" t="str">
        <f>IF(OR($B230="", $AP230= ""),"",IF(VLOOKUP($AP230, CONTRATOS!B:K,3,FALSE)="","",VLOOKUP($AP230, CONTRATOS!B:K, 3,FALSE)))</f>
        <v/>
      </c>
      <c r="AV230" s="301" t="str">
        <f>IF(OR($B230="", $AP230 = ""), "", IF(VLOOKUP($AP230, CONTRATOS!B:K,4,FALSE)="","",VLOOKUP($AP230, CONTRATOS!B:K,4, FALSE)))</f>
        <v/>
      </c>
      <c r="AW230" s="302" t="str">
        <f t="shared" si="145"/>
        <v/>
      </c>
      <c r="AX230" s="301" t="str">
        <f t="shared" si="146"/>
        <v/>
      </c>
      <c r="AY230" s="301" t="str">
        <f t="shared" si="147"/>
        <v/>
      </c>
      <c r="AZ230" s="301" t="str">
        <f t="shared" si="148"/>
        <v/>
      </c>
      <c r="BA230" s="301" t="str">
        <f t="shared" si="149"/>
        <v/>
      </c>
      <c r="BB230" s="303">
        <f t="shared" si="163"/>
        <v>0</v>
      </c>
      <c r="BC230" s="303" t="str">
        <f t="shared" si="164"/>
        <v/>
      </c>
      <c r="BD230" s="303" t="str">
        <f t="shared" si="165"/>
        <v/>
      </c>
      <c r="BF230" s="304">
        <f t="shared" si="166"/>
        <v>0</v>
      </c>
      <c r="BG230" s="304">
        <f t="shared" si="167"/>
        <v>0</v>
      </c>
      <c r="BH230" s="304" t="str">
        <f>IF( $B230="", "", IF(ISNA(VLOOKUP($C230, Defesa!$C$8:$C$30,1,FALSE)),1,0))</f>
        <v/>
      </c>
      <c r="BI230" s="305" t="str">
        <f t="shared" si="168"/>
        <v/>
      </c>
      <c r="BJ230" s="305" t="str">
        <f t="shared" si="169"/>
        <v/>
      </c>
      <c r="BK230" s="304" t="str">
        <f t="shared" si="170"/>
        <v/>
      </c>
      <c r="BL230" s="304">
        <f t="shared" si="171"/>
        <v>0</v>
      </c>
      <c r="BM230" s="304" t="str">
        <f>IF($AC230="", "", IF(ISNA(VLOOKUP($AC230, TABELAS!$Q:$Q, 1, FALSE)), 1, 0))</f>
        <v/>
      </c>
      <c r="BN230" s="306" t="str">
        <f t="shared" si="172"/>
        <v/>
      </c>
      <c r="BO230" s="304" t="str">
        <f t="shared" si="173"/>
        <v/>
      </c>
      <c r="BP230" s="304" t="str">
        <f t="shared" si="174"/>
        <v/>
      </c>
      <c r="BQ230" s="305" t="str">
        <f t="shared" si="175"/>
        <v/>
      </c>
      <c r="BR230" s="304" t="str">
        <f t="shared" si="176"/>
        <v/>
      </c>
      <c r="BS230" s="304" t="str">
        <f t="shared" si="177"/>
        <v/>
      </c>
      <c r="BT230" s="304" t="str">
        <f>IF(OR($B230="", $AH230 = "SIM"), "", IF( ISNA(VLOOKUP($AP230,#REF!, 1, FALSE)), 1, 0))</f>
        <v/>
      </c>
      <c r="BU230" s="304" t="str">
        <f t="shared" si="178"/>
        <v/>
      </c>
      <c r="BV230" s="304" t="str">
        <f>IF( $B230="", "", IF( ISNA(VLOOKUP($AN230, TABELAS!$T$2:$T$9,1,FALSE)), 1, 0))</f>
        <v/>
      </c>
      <c r="BW230" s="304" t="str">
        <f t="shared" si="179"/>
        <v/>
      </c>
      <c r="BX230" s="304" t="str">
        <f>IF( OR($B230="", $AH230 = "SIM"), "", IF( ISNA( VLOOKUP( $AQ230, SISTEMA!$B:$B, 1, FALSE)), 1, 0))</f>
        <v/>
      </c>
      <c r="BY230" s="305" t="str">
        <f t="shared" si="180"/>
        <v/>
      </c>
      <c r="BZ230" s="305" t="str">
        <f t="shared" si="181"/>
        <v/>
      </c>
      <c r="CA230" s="304" t="str">
        <f t="shared" si="182"/>
        <v/>
      </c>
      <c r="CB230" s="305" t="str">
        <f t="shared" si="183"/>
        <v/>
      </c>
      <c r="CC230" s="305" t="str">
        <f t="shared" si="184"/>
        <v/>
      </c>
      <c r="CD230" s="305" t="str">
        <f t="shared" si="185"/>
        <v/>
      </c>
    </row>
    <row r="231" spans="1:82" x14ac:dyDescent="0.2">
      <c r="A231" s="235"/>
      <c r="B231" s="236" t="str">
        <f t="shared" si="150"/>
        <v/>
      </c>
      <c r="C231" s="237" t="str">
        <f t="shared" si="140"/>
        <v/>
      </c>
      <c r="D231" s="237" t="str">
        <f t="shared" si="151"/>
        <v/>
      </c>
      <c r="E231" s="237" t="str">
        <f>IF($C231="", "", COUNTIF($M$8:$M231,$D231))</f>
        <v/>
      </c>
      <c r="F231" s="238">
        <v>224</v>
      </c>
      <c r="G231" s="239"/>
      <c r="H231" s="240"/>
      <c r="I231" s="240"/>
      <c r="J231" s="241"/>
      <c r="K231" s="240"/>
      <c r="L231" s="240"/>
      <c r="M231" s="240"/>
      <c r="N231" s="242"/>
      <c r="O231" s="243"/>
      <c r="P231" s="243"/>
      <c r="Q231" s="243"/>
      <c r="R231" s="243"/>
      <c r="S231" s="243"/>
      <c r="T231" s="245"/>
      <c r="U231" s="246" t="str">
        <f>IF($T231="", "", VLOOKUP($T231, CONTRATOS!$B:$E, 2, FALSE))</f>
        <v/>
      </c>
      <c r="V231" s="247">
        <f>IF(OR($T231="",TB_DEFESA!$C$2="Criação Baseline"),0,
   IF(VLOOKUP($T231, CONTRATOS!B:E, 3, FALSE)&lt;&gt;"",1,IF(VLOOKUP($T231, CONTRATOS!B:E, 4, FALSE)&lt;&gt;"",2,0)))</f>
        <v>0</v>
      </c>
      <c r="W231" s="248"/>
      <c r="X231" s="248"/>
      <c r="Y231" s="249"/>
      <c r="Z231" s="250"/>
      <c r="AA231" s="251"/>
      <c r="AB231" s="252"/>
      <c r="AC231" s="253"/>
      <c r="AD231" s="251"/>
      <c r="AE231" s="254" t="str">
        <f t="shared" si="141"/>
        <v/>
      </c>
      <c r="AF231" s="256" t="str">
        <f t="shared" si="152"/>
        <v/>
      </c>
      <c r="AG231" s="293" t="s">
        <v>62</v>
      </c>
      <c r="AH231" s="294" t="str">
        <f t="shared" si="153"/>
        <v/>
      </c>
      <c r="AI231" s="294" t="str">
        <f t="shared" si="154"/>
        <v/>
      </c>
      <c r="AJ231" s="295" t="str">
        <f t="shared" si="155"/>
        <v/>
      </c>
      <c r="AK231" s="296" t="str">
        <f t="shared" si="156"/>
        <v/>
      </c>
      <c r="AL231" s="297" t="str">
        <f t="shared" si="157"/>
        <v/>
      </c>
      <c r="AM231" s="294" t="str">
        <f t="shared" si="158"/>
        <v/>
      </c>
      <c r="AN231" s="294" t="str">
        <f t="shared" si="159"/>
        <v/>
      </c>
      <c r="AO231" s="298" t="str">
        <f t="shared" si="160"/>
        <v/>
      </c>
      <c r="AP231" s="299" t="str">
        <f t="shared" si="161"/>
        <v/>
      </c>
      <c r="AQ231" s="299" t="str">
        <f t="shared" si="162"/>
        <v/>
      </c>
      <c r="AR231" s="300" t="str">
        <f t="shared" si="142"/>
        <v/>
      </c>
      <c r="AS231" s="300" t="str">
        <f t="shared" si="143"/>
        <v/>
      </c>
      <c r="AT231" s="294" t="str">
        <f t="shared" si="144"/>
        <v/>
      </c>
      <c r="AU231" s="301" t="str">
        <f>IF(OR($B231="", $AP231= ""),"",IF(VLOOKUP($AP231, CONTRATOS!B:K,3,FALSE)="","",VLOOKUP($AP231, CONTRATOS!B:K, 3,FALSE)))</f>
        <v/>
      </c>
      <c r="AV231" s="301" t="str">
        <f>IF(OR($B231="", $AP231 = ""), "", IF(VLOOKUP($AP231, CONTRATOS!B:K,4,FALSE)="","",VLOOKUP($AP231, CONTRATOS!B:K,4, FALSE)))</f>
        <v/>
      </c>
      <c r="AW231" s="302" t="str">
        <f t="shared" si="145"/>
        <v/>
      </c>
      <c r="AX231" s="301" t="str">
        <f t="shared" si="146"/>
        <v/>
      </c>
      <c r="AY231" s="301" t="str">
        <f t="shared" si="147"/>
        <v/>
      </c>
      <c r="AZ231" s="301" t="str">
        <f t="shared" si="148"/>
        <v/>
      </c>
      <c r="BA231" s="301" t="str">
        <f t="shared" si="149"/>
        <v/>
      </c>
      <c r="BB231" s="303">
        <f t="shared" si="163"/>
        <v>0</v>
      </c>
      <c r="BC231" s="303" t="str">
        <f t="shared" si="164"/>
        <v/>
      </c>
      <c r="BD231" s="303" t="str">
        <f t="shared" si="165"/>
        <v/>
      </c>
      <c r="BF231" s="304">
        <f t="shared" si="166"/>
        <v>0</v>
      </c>
      <c r="BG231" s="304">
        <f t="shared" si="167"/>
        <v>0</v>
      </c>
      <c r="BH231" s="304" t="str">
        <f>IF( $B231="", "", IF(ISNA(VLOOKUP($C231, Defesa!$C$8:$C$30,1,FALSE)),1,0))</f>
        <v/>
      </c>
      <c r="BI231" s="305" t="str">
        <f t="shared" si="168"/>
        <v/>
      </c>
      <c r="BJ231" s="305" t="str">
        <f t="shared" si="169"/>
        <v/>
      </c>
      <c r="BK231" s="304" t="str">
        <f t="shared" si="170"/>
        <v/>
      </c>
      <c r="BL231" s="304">
        <f t="shared" si="171"/>
        <v>0</v>
      </c>
      <c r="BM231" s="304" t="str">
        <f>IF($AC231="", "", IF(ISNA(VLOOKUP($AC231, TABELAS!$Q:$Q, 1, FALSE)), 1, 0))</f>
        <v/>
      </c>
      <c r="BN231" s="306" t="str">
        <f t="shared" si="172"/>
        <v/>
      </c>
      <c r="BO231" s="304" t="str">
        <f t="shared" si="173"/>
        <v/>
      </c>
      <c r="BP231" s="304" t="str">
        <f t="shared" si="174"/>
        <v/>
      </c>
      <c r="BQ231" s="305" t="str">
        <f t="shared" si="175"/>
        <v/>
      </c>
      <c r="BR231" s="304" t="str">
        <f t="shared" si="176"/>
        <v/>
      </c>
      <c r="BS231" s="304" t="str">
        <f t="shared" si="177"/>
        <v/>
      </c>
      <c r="BT231" s="304" t="str">
        <f>IF(OR($B231="", $AH231 = "SIM"), "", IF( ISNA(VLOOKUP($AP231,#REF!, 1, FALSE)), 1, 0))</f>
        <v/>
      </c>
      <c r="BU231" s="304" t="str">
        <f t="shared" si="178"/>
        <v/>
      </c>
      <c r="BV231" s="304" t="str">
        <f>IF( $B231="", "", IF( ISNA(VLOOKUP($AN231, TABELAS!$T$2:$T$9,1,FALSE)), 1, 0))</f>
        <v/>
      </c>
      <c r="BW231" s="304" t="str">
        <f t="shared" si="179"/>
        <v/>
      </c>
      <c r="BX231" s="304" t="str">
        <f>IF( OR($B231="", $AH231 = "SIM"), "", IF( ISNA( VLOOKUP( $AQ231, SISTEMA!$B:$B, 1, FALSE)), 1, 0))</f>
        <v/>
      </c>
      <c r="BY231" s="305" t="str">
        <f t="shared" si="180"/>
        <v/>
      </c>
      <c r="BZ231" s="305" t="str">
        <f t="shared" si="181"/>
        <v/>
      </c>
      <c r="CA231" s="304" t="str">
        <f t="shared" si="182"/>
        <v/>
      </c>
      <c r="CB231" s="305" t="str">
        <f t="shared" si="183"/>
        <v/>
      </c>
      <c r="CC231" s="305" t="str">
        <f t="shared" si="184"/>
        <v/>
      </c>
      <c r="CD231" s="305" t="str">
        <f t="shared" si="185"/>
        <v/>
      </c>
    </row>
    <row r="232" spans="1:82" x14ac:dyDescent="0.2">
      <c r="A232" s="235"/>
      <c r="B232" s="236" t="str">
        <f t="shared" si="150"/>
        <v/>
      </c>
      <c r="C232" s="237" t="str">
        <f t="shared" si="140"/>
        <v/>
      </c>
      <c r="D232" s="237" t="str">
        <f t="shared" si="151"/>
        <v/>
      </c>
      <c r="E232" s="237" t="str">
        <f>IF($C232="", "", COUNTIF($M$8:$M232,$D232))</f>
        <v/>
      </c>
      <c r="F232" s="238">
        <v>225</v>
      </c>
      <c r="G232" s="239"/>
      <c r="H232" s="240"/>
      <c r="I232" s="240"/>
      <c r="J232" s="241"/>
      <c r="K232" s="240"/>
      <c r="L232" s="240"/>
      <c r="M232" s="240"/>
      <c r="N232" s="242"/>
      <c r="O232" s="243"/>
      <c r="P232" s="243"/>
      <c r="Q232" s="243"/>
      <c r="R232" s="243"/>
      <c r="S232" s="243"/>
      <c r="T232" s="245"/>
      <c r="U232" s="246" t="str">
        <f>IF($T232="", "", VLOOKUP($T232, CONTRATOS!$B:$E, 2, FALSE))</f>
        <v/>
      </c>
      <c r="V232" s="247">
        <f>IF(OR($T232="",TB_DEFESA!$C$2="Criação Baseline"),0,
   IF(VLOOKUP($T232, CONTRATOS!B:E, 3, FALSE)&lt;&gt;"",1,IF(VLOOKUP($T232, CONTRATOS!B:E, 4, FALSE)&lt;&gt;"",2,0)))</f>
        <v>0</v>
      </c>
      <c r="W232" s="248"/>
      <c r="X232" s="248"/>
      <c r="Y232" s="249"/>
      <c r="Z232" s="250"/>
      <c r="AA232" s="251"/>
      <c r="AB232" s="252"/>
      <c r="AC232" s="253"/>
      <c r="AD232" s="251"/>
      <c r="AE232" s="254" t="str">
        <f t="shared" si="141"/>
        <v/>
      </c>
      <c r="AF232" s="256" t="str">
        <f t="shared" si="152"/>
        <v/>
      </c>
      <c r="AG232" s="293" t="s">
        <v>62</v>
      </c>
      <c r="AH232" s="294" t="str">
        <f t="shared" si="153"/>
        <v/>
      </c>
      <c r="AI232" s="294" t="str">
        <f t="shared" si="154"/>
        <v/>
      </c>
      <c r="AJ232" s="295" t="str">
        <f t="shared" si="155"/>
        <v/>
      </c>
      <c r="AK232" s="296" t="str">
        <f t="shared" si="156"/>
        <v/>
      </c>
      <c r="AL232" s="297" t="str">
        <f t="shared" si="157"/>
        <v/>
      </c>
      <c r="AM232" s="294" t="str">
        <f t="shared" si="158"/>
        <v/>
      </c>
      <c r="AN232" s="294" t="str">
        <f t="shared" si="159"/>
        <v/>
      </c>
      <c r="AO232" s="298" t="str">
        <f t="shared" si="160"/>
        <v/>
      </c>
      <c r="AP232" s="299" t="str">
        <f t="shared" si="161"/>
        <v/>
      </c>
      <c r="AQ232" s="299" t="str">
        <f t="shared" si="162"/>
        <v/>
      </c>
      <c r="AR232" s="300" t="str">
        <f t="shared" si="142"/>
        <v/>
      </c>
      <c r="AS232" s="300" t="str">
        <f t="shared" si="143"/>
        <v/>
      </c>
      <c r="AT232" s="294" t="str">
        <f t="shared" si="144"/>
        <v/>
      </c>
      <c r="AU232" s="301" t="str">
        <f>IF(OR($B232="", $AP232= ""),"",IF(VLOOKUP($AP232, CONTRATOS!B:K,3,FALSE)="","",VLOOKUP($AP232, CONTRATOS!B:K, 3,FALSE)))</f>
        <v/>
      </c>
      <c r="AV232" s="301" t="str">
        <f>IF(OR($B232="", $AP232 = ""), "", IF(VLOOKUP($AP232, CONTRATOS!B:K,4,FALSE)="","",VLOOKUP($AP232, CONTRATOS!B:K,4, FALSE)))</f>
        <v/>
      </c>
      <c r="AW232" s="302" t="str">
        <f t="shared" si="145"/>
        <v/>
      </c>
      <c r="AX232" s="301" t="str">
        <f t="shared" si="146"/>
        <v/>
      </c>
      <c r="AY232" s="301" t="str">
        <f t="shared" si="147"/>
        <v/>
      </c>
      <c r="AZ232" s="301" t="str">
        <f t="shared" si="148"/>
        <v/>
      </c>
      <c r="BA232" s="301" t="str">
        <f t="shared" si="149"/>
        <v/>
      </c>
      <c r="BB232" s="303">
        <f t="shared" si="163"/>
        <v>0</v>
      </c>
      <c r="BC232" s="303" t="str">
        <f t="shared" si="164"/>
        <v/>
      </c>
      <c r="BD232" s="303" t="str">
        <f t="shared" si="165"/>
        <v/>
      </c>
      <c r="BF232" s="304">
        <f t="shared" si="166"/>
        <v>0</v>
      </c>
      <c r="BG232" s="304">
        <f t="shared" si="167"/>
        <v>0</v>
      </c>
      <c r="BH232" s="304" t="str">
        <f>IF( $B232="", "", IF(ISNA(VLOOKUP($C232, Defesa!$C$8:$C$30,1,FALSE)),1,0))</f>
        <v/>
      </c>
      <c r="BI232" s="305" t="str">
        <f t="shared" si="168"/>
        <v/>
      </c>
      <c r="BJ232" s="305" t="str">
        <f t="shared" si="169"/>
        <v/>
      </c>
      <c r="BK232" s="304" t="str">
        <f t="shared" si="170"/>
        <v/>
      </c>
      <c r="BL232" s="304">
        <f t="shared" si="171"/>
        <v>0</v>
      </c>
      <c r="BM232" s="304" t="str">
        <f>IF($AC232="", "", IF(ISNA(VLOOKUP($AC232, TABELAS!$Q:$Q, 1, FALSE)), 1, 0))</f>
        <v/>
      </c>
      <c r="BN232" s="306" t="str">
        <f t="shared" si="172"/>
        <v/>
      </c>
      <c r="BO232" s="304" t="str">
        <f t="shared" si="173"/>
        <v/>
      </c>
      <c r="BP232" s="304" t="str">
        <f t="shared" si="174"/>
        <v/>
      </c>
      <c r="BQ232" s="305" t="str">
        <f t="shared" si="175"/>
        <v/>
      </c>
      <c r="BR232" s="304" t="str">
        <f t="shared" si="176"/>
        <v/>
      </c>
      <c r="BS232" s="304" t="str">
        <f t="shared" si="177"/>
        <v/>
      </c>
      <c r="BT232" s="304" t="str">
        <f>IF(OR($B232="", $AH232 = "SIM"), "", IF( ISNA(VLOOKUP($AP232,#REF!, 1, FALSE)), 1, 0))</f>
        <v/>
      </c>
      <c r="BU232" s="304" t="str">
        <f t="shared" si="178"/>
        <v/>
      </c>
      <c r="BV232" s="304" t="str">
        <f>IF( $B232="", "", IF( ISNA(VLOOKUP($AN232, TABELAS!$T$2:$T$9,1,FALSE)), 1, 0))</f>
        <v/>
      </c>
      <c r="BW232" s="304" t="str">
        <f t="shared" si="179"/>
        <v/>
      </c>
      <c r="BX232" s="304" t="str">
        <f>IF( OR($B232="", $AH232 = "SIM"), "", IF( ISNA( VLOOKUP( $AQ232, SISTEMA!$B:$B, 1, FALSE)), 1, 0))</f>
        <v/>
      </c>
      <c r="BY232" s="305" t="str">
        <f t="shared" si="180"/>
        <v/>
      </c>
      <c r="BZ232" s="305" t="str">
        <f t="shared" si="181"/>
        <v/>
      </c>
      <c r="CA232" s="304" t="str">
        <f t="shared" si="182"/>
        <v/>
      </c>
      <c r="CB232" s="305" t="str">
        <f t="shared" si="183"/>
        <v/>
      </c>
      <c r="CC232" s="305" t="str">
        <f t="shared" si="184"/>
        <v/>
      </c>
      <c r="CD232" s="305" t="str">
        <f t="shared" si="185"/>
        <v/>
      </c>
    </row>
    <row r="233" spans="1:82" x14ac:dyDescent="0.2">
      <c r="A233" s="235"/>
      <c r="B233" s="236" t="str">
        <f t="shared" si="150"/>
        <v/>
      </c>
      <c r="C233" s="237" t="str">
        <f t="shared" si="140"/>
        <v/>
      </c>
      <c r="D233" s="237" t="str">
        <f t="shared" si="151"/>
        <v/>
      </c>
      <c r="E233" s="237" t="str">
        <f>IF($C233="", "", COUNTIF($M$8:$M233,$D233))</f>
        <v/>
      </c>
      <c r="F233" s="238">
        <v>226</v>
      </c>
      <c r="G233" s="239"/>
      <c r="H233" s="240"/>
      <c r="I233" s="240"/>
      <c r="J233" s="241"/>
      <c r="K233" s="240"/>
      <c r="L233" s="240"/>
      <c r="M233" s="240"/>
      <c r="N233" s="242"/>
      <c r="O233" s="243"/>
      <c r="P233" s="243"/>
      <c r="Q233" s="243"/>
      <c r="R233" s="243"/>
      <c r="S233" s="243"/>
      <c r="T233" s="245"/>
      <c r="U233" s="246" t="str">
        <f>IF($T233="", "", VLOOKUP($T233, CONTRATOS!$B:$E, 2, FALSE))</f>
        <v/>
      </c>
      <c r="V233" s="247">
        <f>IF(OR($T233="",TB_DEFESA!$C$2="Criação Baseline"),0,
   IF(VLOOKUP($T233, CONTRATOS!B:E, 3, FALSE)&lt;&gt;"",1,IF(VLOOKUP($T233, CONTRATOS!B:E, 4, FALSE)&lt;&gt;"",2,0)))</f>
        <v>0</v>
      </c>
      <c r="W233" s="248"/>
      <c r="X233" s="248"/>
      <c r="Y233" s="249"/>
      <c r="Z233" s="250"/>
      <c r="AA233" s="251"/>
      <c r="AB233" s="252"/>
      <c r="AC233" s="253"/>
      <c r="AD233" s="251"/>
      <c r="AE233" s="254" t="str">
        <f t="shared" si="141"/>
        <v/>
      </c>
      <c r="AF233" s="256" t="str">
        <f t="shared" si="152"/>
        <v/>
      </c>
      <c r="AG233" s="293" t="s">
        <v>62</v>
      </c>
      <c r="AH233" s="294" t="str">
        <f t="shared" si="153"/>
        <v/>
      </c>
      <c r="AI233" s="294" t="str">
        <f t="shared" si="154"/>
        <v/>
      </c>
      <c r="AJ233" s="295" t="str">
        <f t="shared" si="155"/>
        <v/>
      </c>
      <c r="AK233" s="296" t="str">
        <f t="shared" si="156"/>
        <v/>
      </c>
      <c r="AL233" s="297" t="str">
        <f t="shared" si="157"/>
        <v/>
      </c>
      <c r="AM233" s="294" t="str">
        <f t="shared" si="158"/>
        <v/>
      </c>
      <c r="AN233" s="294" t="str">
        <f t="shared" si="159"/>
        <v/>
      </c>
      <c r="AO233" s="298" t="str">
        <f t="shared" si="160"/>
        <v/>
      </c>
      <c r="AP233" s="299" t="str">
        <f t="shared" si="161"/>
        <v/>
      </c>
      <c r="AQ233" s="299" t="str">
        <f t="shared" si="162"/>
        <v/>
      </c>
      <c r="AR233" s="300" t="str">
        <f t="shared" si="142"/>
        <v/>
      </c>
      <c r="AS233" s="300" t="str">
        <f t="shared" si="143"/>
        <v/>
      </c>
      <c r="AT233" s="294" t="str">
        <f t="shared" si="144"/>
        <v/>
      </c>
      <c r="AU233" s="301" t="str">
        <f>IF(OR($B233="", $AP233= ""),"",IF(VLOOKUP($AP233, CONTRATOS!B:K,3,FALSE)="","",VLOOKUP($AP233, CONTRATOS!B:K, 3,FALSE)))</f>
        <v/>
      </c>
      <c r="AV233" s="301" t="str">
        <f>IF(OR($B233="", $AP233 = ""), "", IF(VLOOKUP($AP233, CONTRATOS!B:K,4,FALSE)="","",VLOOKUP($AP233, CONTRATOS!B:K,4, FALSE)))</f>
        <v/>
      </c>
      <c r="AW233" s="302" t="str">
        <f t="shared" si="145"/>
        <v/>
      </c>
      <c r="AX233" s="301" t="str">
        <f t="shared" si="146"/>
        <v/>
      </c>
      <c r="AY233" s="301" t="str">
        <f t="shared" si="147"/>
        <v/>
      </c>
      <c r="AZ233" s="301" t="str">
        <f t="shared" si="148"/>
        <v/>
      </c>
      <c r="BA233" s="301" t="str">
        <f t="shared" si="149"/>
        <v/>
      </c>
      <c r="BB233" s="303">
        <f t="shared" si="163"/>
        <v>0</v>
      </c>
      <c r="BC233" s="303" t="str">
        <f t="shared" si="164"/>
        <v/>
      </c>
      <c r="BD233" s="303" t="str">
        <f t="shared" si="165"/>
        <v/>
      </c>
      <c r="BF233" s="304">
        <f t="shared" si="166"/>
        <v>0</v>
      </c>
      <c r="BG233" s="304">
        <f t="shared" si="167"/>
        <v>0</v>
      </c>
      <c r="BH233" s="304" t="str">
        <f>IF( $B233="", "", IF(ISNA(VLOOKUP($C233, Defesa!$C$8:$C$30,1,FALSE)),1,0))</f>
        <v/>
      </c>
      <c r="BI233" s="305" t="str">
        <f t="shared" si="168"/>
        <v/>
      </c>
      <c r="BJ233" s="305" t="str">
        <f t="shared" si="169"/>
        <v/>
      </c>
      <c r="BK233" s="304" t="str">
        <f t="shared" si="170"/>
        <v/>
      </c>
      <c r="BL233" s="304">
        <f t="shared" si="171"/>
        <v>0</v>
      </c>
      <c r="BM233" s="304" t="str">
        <f>IF($AC233="", "", IF(ISNA(VLOOKUP($AC233, TABELAS!$Q:$Q, 1, FALSE)), 1, 0))</f>
        <v/>
      </c>
      <c r="BN233" s="306" t="str">
        <f t="shared" si="172"/>
        <v/>
      </c>
      <c r="BO233" s="304" t="str">
        <f t="shared" si="173"/>
        <v/>
      </c>
      <c r="BP233" s="304" t="str">
        <f t="shared" si="174"/>
        <v/>
      </c>
      <c r="BQ233" s="305" t="str">
        <f t="shared" si="175"/>
        <v/>
      </c>
      <c r="BR233" s="304" t="str">
        <f t="shared" si="176"/>
        <v/>
      </c>
      <c r="BS233" s="304" t="str">
        <f t="shared" si="177"/>
        <v/>
      </c>
      <c r="BT233" s="304" t="str">
        <f>IF(OR($B233="", $AH233 = "SIM"), "", IF( ISNA(VLOOKUP($AP233,#REF!, 1, FALSE)), 1, 0))</f>
        <v/>
      </c>
      <c r="BU233" s="304" t="str">
        <f t="shared" si="178"/>
        <v/>
      </c>
      <c r="BV233" s="304" t="str">
        <f>IF( $B233="", "", IF( ISNA(VLOOKUP($AN233, TABELAS!$T$2:$T$9,1,FALSE)), 1, 0))</f>
        <v/>
      </c>
      <c r="BW233" s="304" t="str">
        <f t="shared" si="179"/>
        <v/>
      </c>
      <c r="BX233" s="304" t="str">
        <f>IF( OR($B233="", $AH233 = "SIM"), "", IF( ISNA( VLOOKUP( $AQ233, SISTEMA!$B:$B, 1, FALSE)), 1, 0))</f>
        <v/>
      </c>
      <c r="BY233" s="305" t="str">
        <f t="shared" si="180"/>
        <v/>
      </c>
      <c r="BZ233" s="305" t="str">
        <f t="shared" si="181"/>
        <v/>
      </c>
      <c r="CA233" s="304" t="str">
        <f t="shared" si="182"/>
        <v/>
      </c>
      <c r="CB233" s="305" t="str">
        <f t="shared" si="183"/>
        <v/>
      </c>
      <c r="CC233" s="305" t="str">
        <f t="shared" si="184"/>
        <v/>
      </c>
      <c r="CD233" s="305" t="str">
        <f t="shared" si="185"/>
        <v/>
      </c>
    </row>
    <row r="234" spans="1:82" x14ac:dyDescent="0.2">
      <c r="A234" s="235"/>
      <c r="B234" s="236" t="str">
        <f t="shared" si="150"/>
        <v/>
      </c>
      <c r="C234" s="237" t="str">
        <f t="shared" si="140"/>
        <v/>
      </c>
      <c r="D234" s="237" t="str">
        <f t="shared" si="151"/>
        <v/>
      </c>
      <c r="E234" s="237" t="str">
        <f>IF($C234="", "", COUNTIF($M$8:$M234,$D234))</f>
        <v/>
      </c>
      <c r="F234" s="238">
        <v>227</v>
      </c>
      <c r="G234" s="239"/>
      <c r="H234" s="240"/>
      <c r="I234" s="240"/>
      <c r="J234" s="241"/>
      <c r="K234" s="240"/>
      <c r="L234" s="240"/>
      <c r="M234" s="240"/>
      <c r="N234" s="242"/>
      <c r="O234" s="243"/>
      <c r="P234" s="243"/>
      <c r="Q234" s="243"/>
      <c r="R234" s="243"/>
      <c r="S234" s="243"/>
      <c r="T234" s="245"/>
      <c r="U234" s="246" t="str">
        <f>IF($T234="", "", VLOOKUP($T234, CONTRATOS!$B:$E, 2, FALSE))</f>
        <v/>
      </c>
      <c r="V234" s="247">
        <f>IF(OR($T234="",TB_DEFESA!$C$2="Criação Baseline"),0,
   IF(VLOOKUP($T234, CONTRATOS!B:E, 3, FALSE)&lt;&gt;"",1,IF(VLOOKUP($T234, CONTRATOS!B:E, 4, FALSE)&lt;&gt;"",2,0)))</f>
        <v>0</v>
      </c>
      <c r="W234" s="248"/>
      <c r="X234" s="248"/>
      <c r="Y234" s="249"/>
      <c r="Z234" s="250"/>
      <c r="AA234" s="251"/>
      <c r="AB234" s="252"/>
      <c r="AC234" s="253"/>
      <c r="AD234" s="251"/>
      <c r="AE234" s="254" t="str">
        <f t="shared" si="141"/>
        <v/>
      </c>
      <c r="AF234" s="256" t="str">
        <f t="shared" si="152"/>
        <v/>
      </c>
      <c r="AG234" s="293" t="s">
        <v>62</v>
      </c>
      <c r="AH234" s="294" t="str">
        <f t="shared" si="153"/>
        <v/>
      </c>
      <c r="AI234" s="294" t="str">
        <f t="shared" si="154"/>
        <v/>
      </c>
      <c r="AJ234" s="295" t="str">
        <f t="shared" si="155"/>
        <v/>
      </c>
      <c r="AK234" s="296" t="str">
        <f t="shared" si="156"/>
        <v/>
      </c>
      <c r="AL234" s="297" t="str">
        <f t="shared" si="157"/>
        <v/>
      </c>
      <c r="AM234" s="294" t="str">
        <f t="shared" si="158"/>
        <v/>
      </c>
      <c r="AN234" s="294" t="str">
        <f t="shared" si="159"/>
        <v/>
      </c>
      <c r="AO234" s="298" t="str">
        <f t="shared" si="160"/>
        <v/>
      </c>
      <c r="AP234" s="299" t="str">
        <f t="shared" si="161"/>
        <v/>
      </c>
      <c r="AQ234" s="299" t="str">
        <f t="shared" si="162"/>
        <v/>
      </c>
      <c r="AR234" s="300" t="str">
        <f t="shared" si="142"/>
        <v/>
      </c>
      <c r="AS234" s="300" t="str">
        <f t="shared" si="143"/>
        <v/>
      </c>
      <c r="AT234" s="294" t="str">
        <f t="shared" si="144"/>
        <v/>
      </c>
      <c r="AU234" s="301" t="str">
        <f>IF(OR($B234="", $AP234= ""),"",IF(VLOOKUP($AP234, CONTRATOS!B:K,3,FALSE)="","",VLOOKUP($AP234, CONTRATOS!B:K, 3,FALSE)))</f>
        <v/>
      </c>
      <c r="AV234" s="301" t="str">
        <f>IF(OR($B234="", $AP234 = ""), "", IF(VLOOKUP($AP234, CONTRATOS!B:K,4,FALSE)="","",VLOOKUP($AP234, CONTRATOS!B:K,4, FALSE)))</f>
        <v/>
      </c>
      <c r="AW234" s="302" t="str">
        <f t="shared" si="145"/>
        <v/>
      </c>
      <c r="AX234" s="301" t="str">
        <f t="shared" si="146"/>
        <v/>
      </c>
      <c r="AY234" s="301" t="str">
        <f t="shared" si="147"/>
        <v/>
      </c>
      <c r="AZ234" s="301" t="str">
        <f t="shared" si="148"/>
        <v/>
      </c>
      <c r="BA234" s="301" t="str">
        <f t="shared" si="149"/>
        <v/>
      </c>
      <c r="BB234" s="303">
        <f t="shared" si="163"/>
        <v>0</v>
      </c>
      <c r="BC234" s="303" t="str">
        <f t="shared" si="164"/>
        <v/>
      </c>
      <c r="BD234" s="303" t="str">
        <f t="shared" si="165"/>
        <v/>
      </c>
      <c r="BF234" s="304">
        <f t="shared" si="166"/>
        <v>0</v>
      </c>
      <c r="BG234" s="304">
        <f t="shared" si="167"/>
        <v>0</v>
      </c>
      <c r="BH234" s="304" t="str">
        <f>IF( $B234="", "", IF(ISNA(VLOOKUP($C234, Defesa!$C$8:$C$30,1,FALSE)),1,0))</f>
        <v/>
      </c>
      <c r="BI234" s="305" t="str">
        <f t="shared" si="168"/>
        <v/>
      </c>
      <c r="BJ234" s="305" t="str">
        <f t="shared" si="169"/>
        <v/>
      </c>
      <c r="BK234" s="304" t="str">
        <f t="shared" si="170"/>
        <v/>
      </c>
      <c r="BL234" s="304">
        <f t="shared" si="171"/>
        <v>0</v>
      </c>
      <c r="BM234" s="304" t="str">
        <f>IF($AC234="", "", IF(ISNA(VLOOKUP($AC234, TABELAS!$Q:$Q, 1, FALSE)), 1, 0))</f>
        <v/>
      </c>
      <c r="BN234" s="306" t="str">
        <f t="shared" si="172"/>
        <v/>
      </c>
      <c r="BO234" s="304" t="str">
        <f t="shared" si="173"/>
        <v/>
      </c>
      <c r="BP234" s="304" t="str">
        <f t="shared" si="174"/>
        <v/>
      </c>
      <c r="BQ234" s="305" t="str">
        <f t="shared" si="175"/>
        <v/>
      </c>
      <c r="BR234" s="304" t="str">
        <f t="shared" si="176"/>
        <v/>
      </c>
      <c r="BS234" s="304" t="str">
        <f t="shared" si="177"/>
        <v/>
      </c>
      <c r="BT234" s="304" t="str">
        <f>IF(OR($B234="", $AH234 = "SIM"), "", IF( ISNA(VLOOKUP($AP234,#REF!, 1, FALSE)), 1, 0))</f>
        <v/>
      </c>
      <c r="BU234" s="304" t="str">
        <f t="shared" si="178"/>
        <v/>
      </c>
      <c r="BV234" s="304" t="str">
        <f>IF( $B234="", "", IF( ISNA(VLOOKUP($AN234, TABELAS!$T$2:$T$9,1,FALSE)), 1, 0))</f>
        <v/>
      </c>
      <c r="BW234" s="304" t="str">
        <f t="shared" si="179"/>
        <v/>
      </c>
      <c r="BX234" s="304" t="str">
        <f>IF( OR($B234="", $AH234 = "SIM"), "", IF( ISNA( VLOOKUP( $AQ234, SISTEMA!$B:$B, 1, FALSE)), 1, 0))</f>
        <v/>
      </c>
      <c r="BY234" s="305" t="str">
        <f t="shared" si="180"/>
        <v/>
      </c>
      <c r="BZ234" s="305" t="str">
        <f t="shared" si="181"/>
        <v/>
      </c>
      <c r="CA234" s="304" t="str">
        <f t="shared" si="182"/>
        <v/>
      </c>
      <c r="CB234" s="305" t="str">
        <f t="shared" si="183"/>
        <v/>
      </c>
      <c r="CC234" s="305" t="str">
        <f t="shared" si="184"/>
        <v/>
      </c>
      <c r="CD234" s="305" t="str">
        <f t="shared" si="185"/>
        <v/>
      </c>
    </row>
    <row r="235" spans="1:82" x14ac:dyDescent="0.2">
      <c r="A235" s="235"/>
      <c r="B235" s="236" t="str">
        <f t="shared" si="150"/>
        <v/>
      </c>
      <c r="C235" s="237" t="str">
        <f t="shared" si="140"/>
        <v/>
      </c>
      <c r="D235" s="237" t="str">
        <f t="shared" si="151"/>
        <v/>
      </c>
      <c r="E235" s="237" t="str">
        <f>IF($C235="", "", COUNTIF($M$8:$M235,$D235))</f>
        <v/>
      </c>
      <c r="F235" s="238">
        <v>228</v>
      </c>
      <c r="G235" s="239"/>
      <c r="H235" s="240"/>
      <c r="I235" s="240"/>
      <c r="J235" s="241"/>
      <c r="K235" s="240"/>
      <c r="L235" s="240"/>
      <c r="M235" s="240"/>
      <c r="N235" s="242"/>
      <c r="O235" s="243"/>
      <c r="P235" s="243"/>
      <c r="Q235" s="243"/>
      <c r="R235" s="243"/>
      <c r="S235" s="243"/>
      <c r="T235" s="245"/>
      <c r="U235" s="246" t="str">
        <f>IF($T235="", "", VLOOKUP($T235, CONTRATOS!$B:$E, 2, FALSE))</f>
        <v/>
      </c>
      <c r="V235" s="247">
        <f>IF(OR($T235="",TB_DEFESA!$C$2="Criação Baseline"),0,
   IF(VLOOKUP($T235, CONTRATOS!B:E, 3, FALSE)&lt;&gt;"",1,IF(VLOOKUP($T235, CONTRATOS!B:E, 4, FALSE)&lt;&gt;"",2,0)))</f>
        <v>0</v>
      </c>
      <c r="W235" s="248"/>
      <c r="X235" s="248"/>
      <c r="Y235" s="249"/>
      <c r="Z235" s="250"/>
      <c r="AA235" s="251"/>
      <c r="AB235" s="252"/>
      <c r="AC235" s="253"/>
      <c r="AD235" s="251"/>
      <c r="AE235" s="254" t="str">
        <f t="shared" si="141"/>
        <v/>
      </c>
      <c r="AF235" s="256" t="str">
        <f t="shared" si="152"/>
        <v/>
      </c>
      <c r="AG235" s="293" t="s">
        <v>62</v>
      </c>
      <c r="AH235" s="294" t="str">
        <f t="shared" si="153"/>
        <v/>
      </c>
      <c r="AI235" s="294" t="str">
        <f t="shared" si="154"/>
        <v/>
      </c>
      <c r="AJ235" s="295" t="str">
        <f t="shared" si="155"/>
        <v/>
      </c>
      <c r="AK235" s="296" t="str">
        <f t="shared" si="156"/>
        <v/>
      </c>
      <c r="AL235" s="297" t="str">
        <f t="shared" si="157"/>
        <v/>
      </c>
      <c r="AM235" s="294" t="str">
        <f t="shared" si="158"/>
        <v/>
      </c>
      <c r="AN235" s="294" t="str">
        <f t="shared" si="159"/>
        <v/>
      </c>
      <c r="AO235" s="298" t="str">
        <f t="shared" si="160"/>
        <v/>
      </c>
      <c r="AP235" s="299" t="str">
        <f t="shared" si="161"/>
        <v/>
      </c>
      <c r="AQ235" s="299" t="str">
        <f t="shared" si="162"/>
        <v/>
      </c>
      <c r="AR235" s="300" t="str">
        <f t="shared" si="142"/>
        <v/>
      </c>
      <c r="AS235" s="300" t="str">
        <f t="shared" si="143"/>
        <v/>
      </c>
      <c r="AT235" s="294" t="str">
        <f t="shared" si="144"/>
        <v/>
      </c>
      <c r="AU235" s="301" t="str">
        <f>IF(OR($B235="", $AP235= ""),"",IF(VLOOKUP($AP235, CONTRATOS!B:K,3,FALSE)="","",VLOOKUP($AP235, CONTRATOS!B:K, 3,FALSE)))</f>
        <v/>
      </c>
      <c r="AV235" s="301" t="str">
        <f>IF(OR($B235="", $AP235 = ""), "", IF(VLOOKUP($AP235, CONTRATOS!B:K,4,FALSE)="","",VLOOKUP($AP235, CONTRATOS!B:K,4, FALSE)))</f>
        <v/>
      </c>
      <c r="AW235" s="302" t="str">
        <f t="shared" si="145"/>
        <v/>
      </c>
      <c r="AX235" s="301" t="str">
        <f t="shared" si="146"/>
        <v/>
      </c>
      <c r="AY235" s="301" t="str">
        <f t="shared" si="147"/>
        <v/>
      </c>
      <c r="AZ235" s="301" t="str">
        <f t="shared" si="148"/>
        <v/>
      </c>
      <c r="BA235" s="301" t="str">
        <f t="shared" si="149"/>
        <v/>
      </c>
      <c r="BB235" s="303">
        <f t="shared" si="163"/>
        <v>0</v>
      </c>
      <c r="BC235" s="303" t="str">
        <f t="shared" si="164"/>
        <v/>
      </c>
      <c r="BD235" s="303" t="str">
        <f t="shared" si="165"/>
        <v/>
      </c>
      <c r="BF235" s="304">
        <f t="shared" si="166"/>
        <v>0</v>
      </c>
      <c r="BG235" s="304">
        <f t="shared" si="167"/>
        <v>0</v>
      </c>
      <c r="BH235" s="304" t="str">
        <f>IF( $B235="", "", IF(ISNA(VLOOKUP($C235, Defesa!$C$8:$C$30,1,FALSE)),1,0))</f>
        <v/>
      </c>
      <c r="BI235" s="305" t="str">
        <f t="shared" si="168"/>
        <v/>
      </c>
      <c r="BJ235" s="305" t="str">
        <f t="shared" si="169"/>
        <v/>
      </c>
      <c r="BK235" s="304" t="str">
        <f t="shared" si="170"/>
        <v/>
      </c>
      <c r="BL235" s="304">
        <f t="shared" si="171"/>
        <v>0</v>
      </c>
      <c r="BM235" s="304" t="str">
        <f>IF($AC235="", "", IF(ISNA(VLOOKUP($AC235, TABELAS!$Q:$Q, 1, FALSE)), 1, 0))</f>
        <v/>
      </c>
      <c r="BN235" s="306" t="str">
        <f t="shared" si="172"/>
        <v/>
      </c>
      <c r="BO235" s="304" t="str">
        <f t="shared" si="173"/>
        <v/>
      </c>
      <c r="BP235" s="304" t="str">
        <f t="shared" si="174"/>
        <v/>
      </c>
      <c r="BQ235" s="305" t="str">
        <f t="shared" si="175"/>
        <v/>
      </c>
      <c r="BR235" s="304" t="str">
        <f t="shared" si="176"/>
        <v/>
      </c>
      <c r="BS235" s="304" t="str">
        <f t="shared" si="177"/>
        <v/>
      </c>
      <c r="BT235" s="304" t="str">
        <f>IF(OR($B235="", $AH235 = "SIM"), "", IF( ISNA(VLOOKUP($AP235,#REF!, 1, FALSE)), 1, 0))</f>
        <v/>
      </c>
      <c r="BU235" s="304" t="str">
        <f t="shared" si="178"/>
        <v/>
      </c>
      <c r="BV235" s="304" t="str">
        <f>IF( $B235="", "", IF( ISNA(VLOOKUP($AN235, TABELAS!$T$2:$T$9,1,FALSE)), 1, 0))</f>
        <v/>
      </c>
      <c r="BW235" s="304" t="str">
        <f t="shared" si="179"/>
        <v/>
      </c>
      <c r="BX235" s="304" t="str">
        <f>IF( OR($B235="", $AH235 = "SIM"), "", IF( ISNA( VLOOKUP( $AQ235, SISTEMA!$B:$B, 1, FALSE)), 1, 0))</f>
        <v/>
      </c>
      <c r="BY235" s="305" t="str">
        <f t="shared" si="180"/>
        <v/>
      </c>
      <c r="BZ235" s="305" t="str">
        <f t="shared" si="181"/>
        <v/>
      </c>
      <c r="CA235" s="304" t="str">
        <f t="shared" si="182"/>
        <v/>
      </c>
      <c r="CB235" s="305" t="str">
        <f t="shared" si="183"/>
        <v/>
      </c>
      <c r="CC235" s="305" t="str">
        <f t="shared" si="184"/>
        <v/>
      </c>
      <c r="CD235" s="305" t="str">
        <f t="shared" si="185"/>
        <v/>
      </c>
    </row>
    <row r="236" spans="1:82" x14ac:dyDescent="0.2">
      <c r="A236" s="235"/>
      <c r="B236" s="236" t="str">
        <f t="shared" si="150"/>
        <v/>
      </c>
      <c r="C236" s="237" t="str">
        <f t="shared" si="140"/>
        <v/>
      </c>
      <c r="D236" s="237" t="str">
        <f t="shared" si="151"/>
        <v/>
      </c>
      <c r="E236" s="237" t="str">
        <f>IF($C236="", "", COUNTIF($M$8:$M236,$D236))</f>
        <v/>
      </c>
      <c r="F236" s="238">
        <v>229</v>
      </c>
      <c r="G236" s="239"/>
      <c r="H236" s="240"/>
      <c r="I236" s="240"/>
      <c r="J236" s="241"/>
      <c r="K236" s="240"/>
      <c r="L236" s="240"/>
      <c r="M236" s="240"/>
      <c r="N236" s="242"/>
      <c r="O236" s="243"/>
      <c r="P236" s="243"/>
      <c r="Q236" s="243"/>
      <c r="R236" s="243"/>
      <c r="S236" s="243"/>
      <c r="T236" s="245"/>
      <c r="U236" s="246" t="str">
        <f>IF($T236="", "", VLOOKUP($T236, CONTRATOS!$B:$E, 2, FALSE))</f>
        <v/>
      </c>
      <c r="V236" s="247">
        <f>IF(OR($T236="",TB_DEFESA!$C$2="Criação Baseline"),0,
   IF(VLOOKUP($T236, CONTRATOS!B:E, 3, FALSE)&lt;&gt;"",1,IF(VLOOKUP($T236, CONTRATOS!B:E, 4, FALSE)&lt;&gt;"",2,0)))</f>
        <v>0</v>
      </c>
      <c r="W236" s="248"/>
      <c r="X236" s="248"/>
      <c r="Y236" s="249"/>
      <c r="Z236" s="250"/>
      <c r="AA236" s="251"/>
      <c r="AB236" s="252"/>
      <c r="AC236" s="253"/>
      <c r="AD236" s="251"/>
      <c r="AE236" s="254" t="str">
        <f t="shared" si="141"/>
        <v/>
      </c>
      <c r="AF236" s="256" t="str">
        <f t="shared" si="152"/>
        <v/>
      </c>
      <c r="AG236" s="293" t="s">
        <v>62</v>
      </c>
      <c r="AH236" s="294" t="str">
        <f t="shared" si="153"/>
        <v/>
      </c>
      <c r="AI236" s="294" t="str">
        <f t="shared" si="154"/>
        <v/>
      </c>
      <c r="AJ236" s="295" t="str">
        <f t="shared" si="155"/>
        <v/>
      </c>
      <c r="AK236" s="296" t="str">
        <f t="shared" si="156"/>
        <v/>
      </c>
      <c r="AL236" s="297" t="str">
        <f t="shared" si="157"/>
        <v/>
      </c>
      <c r="AM236" s="294" t="str">
        <f t="shared" si="158"/>
        <v/>
      </c>
      <c r="AN236" s="294" t="str">
        <f t="shared" si="159"/>
        <v/>
      </c>
      <c r="AO236" s="298" t="str">
        <f t="shared" si="160"/>
        <v/>
      </c>
      <c r="AP236" s="299" t="str">
        <f t="shared" si="161"/>
        <v/>
      </c>
      <c r="AQ236" s="299" t="str">
        <f t="shared" si="162"/>
        <v/>
      </c>
      <c r="AR236" s="300" t="str">
        <f t="shared" si="142"/>
        <v/>
      </c>
      <c r="AS236" s="300" t="str">
        <f t="shared" si="143"/>
        <v/>
      </c>
      <c r="AT236" s="294" t="str">
        <f t="shared" si="144"/>
        <v/>
      </c>
      <c r="AU236" s="301" t="str">
        <f>IF(OR($B236="", $AP236= ""),"",IF(VLOOKUP($AP236, CONTRATOS!B:K,3,FALSE)="","",VLOOKUP($AP236, CONTRATOS!B:K, 3,FALSE)))</f>
        <v/>
      </c>
      <c r="AV236" s="301" t="str">
        <f>IF(OR($B236="", $AP236 = ""), "", IF(VLOOKUP($AP236, CONTRATOS!B:K,4,FALSE)="","",VLOOKUP($AP236, CONTRATOS!B:K,4, FALSE)))</f>
        <v/>
      </c>
      <c r="AW236" s="302" t="str">
        <f t="shared" si="145"/>
        <v/>
      </c>
      <c r="AX236" s="301" t="str">
        <f t="shared" si="146"/>
        <v/>
      </c>
      <c r="AY236" s="301" t="str">
        <f t="shared" si="147"/>
        <v/>
      </c>
      <c r="AZ236" s="301" t="str">
        <f t="shared" si="148"/>
        <v/>
      </c>
      <c r="BA236" s="301" t="str">
        <f t="shared" si="149"/>
        <v/>
      </c>
      <c r="BB236" s="303">
        <f t="shared" si="163"/>
        <v>0</v>
      </c>
      <c r="BC236" s="303" t="str">
        <f t="shared" si="164"/>
        <v/>
      </c>
      <c r="BD236" s="303" t="str">
        <f t="shared" si="165"/>
        <v/>
      </c>
      <c r="BF236" s="304">
        <f t="shared" si="166"/>
        <v>0</v>
      </c>
      <c r="BG236" s="304">
        <f t="shared" si="167"/>
        <v>0</v>
      </c>
      <c r="BH236" s="304" t="str">
        <f>IF( $B236="", "", IF(ISNA(VLOOKUP($C236, Defesa!$C$8:$C$30,1,FALSE)),1,0))</f>
        <v/>
      </c>
      <c r="BI236" s="305" t="str">
        <f t="shared" si="168"/>
        <v/>
      </c>
      <c r="BJ236" s="305" t="str">
        <f t="shared" si="169"/>
        <v/>
      </c>
      <c r="BK236" s="304" t="str">
        <f t="shared" si="170"/>
        <v/>
      </c>
      <c r="BL236" s="304">
        <f t="shared" si="171"/>
        <v>0</v>
      </c>
      <c r="BM236" s="304" t="str">
        <f>IF($AC236="", "", IF(ISNA(VLOOKUP($AC236, TABELAS!$Q:$Q, 1, FALSE)), 1, 0))</f>
        <v/>
      </c>
      <c r="BN236" s="306" t="str">
        <f t="shared" si="172"/>
        <v/>
      </c>
      <c r="BO236" s="304" t="str">
        <f t="shared" si="173"/>
        <v/>
      </c>
      <c r="BP236" s="304" t="str">
        <f t="shared" si="174"/>
        <v/>
      </c>
      <c r="BQ236" s="305" t="str">
        <f t="shared" si="175"/>
        <v/>
      </c>
      <c r="BR236" s="304" t="str">
        <f t="shared" si="176"/>
        <v/>
      </c>
      <c r="BS236" s="304" t="str">
        <f t="shared" si="177"/>
        <v/>
      </c>
      <c r="BT236" s="304" t="str">
        <f>IF(OR($B236="", $AH236 = "SIM"), "", IF( ISNA(VLOOKUP($AP236,#REF!, 1, FALSE)), 1, 0))</f>
        <v/>
      </c>
      <c r="BU236" s="304" t="str">
        <f t="shared" si="178"/>
        <v/>
      </c>
      <c r="BV236" s="304" t="str">
        <f>IF( $B236="", "", IF( ISNA(VLOOKUP($AN236, TABELAS!$T$2:$T$9,1,FALSE)), 1, 0))</f>
        <v/>
      </c>
      <c r="BW236" s="304" t="str">
        <f t="shared" si="179"/>
        <v/>
      </c>
      <c r="BX236" s="304" t="str">
        <f>IF( OR($B236="", $AH236 = "SIM"), "", IF( ISNA( VLOOKUP( $AQ236, SISTEMA!$B:$B, 1, FALSE)), 1, 0))</f>
        <v/>
      </c>
      <c r="BY236" s="305" t="str">
        <f t="shared" si="180"/>
        <v/>
      </c>
      <c r="BZ236" s="305" t="str">
        <f t="shared" si="181"/>
        <v/>
      </c>
      <c r="CA236" s="304" t="str">
        <f t="shared" si="182"/>
        <v/>
      </c>
      <c r="CB236" s="305" t="str">
        <f t="shared" si="183"/>
        <v/>
      </c>
      <c r="CC236" s="305" t="str">
        <f t="shared" si="184"/>
        <v/>
      </c>
      <c r="CD236" s="305" t="str">
        <f t="shared" si="185"/>
        <v/>
      </c>
    </row>
    <row r="237" spans="1:82" x14ac:dyDescent="0.2">
      <c r="A237" s="235"/>
      <c r="B237" s="236" t="str">
        <f t="shared" si="150"/>
        <v/>
      </c>
      <c r="C237" s="237" t="str">
        <f t="shared" si="140"/>
        <v/>
      </c>
      <c r="D237" s="237" t="str">
        <f t="shared" si="151"/>
        <v/>
      </c>
      <c r="E237" s="237" t="str">
        <f>IF($C237="", "", COUNTIF($M$8:$M237,$D237))</f>
        <v/>
      </c>
      <c r="F237" s="238">
        <v>230</v>
      </c>
      <c r="G237" s="239"/>
      <c r="H237" s="240"/>
      <c r="I237" s="240"/>
      <c r="J237" s="241"/>
      <c r="K237" s="240"/>
      <c r="L237" s="240"/>
      <c r="M237" s="240"/>
      <c r="N237" s="242"/>
      <c r="O237" s="243"/>
      <c r="P237" s="243"/>
      <c r="Q237" s="243"/>
      <c r="R237" s="243"/>
      <c r="S237" s="243"/>
      <c r="T237" s="245"/>
      <c r="U237" s="246" t="str">
        <f>IF($T237="", "", VLOOKUP($T237, CONTRATOS!$B:$E, 2, FALSE))</f>
        <v/>
      </c>
      <c r="V237" s="247">
        <f>IF(OR($T237="",TB_DEFESA!$C$2="Criação Baseline"),0,
   IF(VLOOKUP($T237, CONTRATOS!B:E, 3, FALSE)&lt;&gt;"",1,IF(VLOOKUP($T237, CONTRATOS!B:E, 4, FALSE)&lt;&gt;"",2,0)))</f>
        <v>0</v>
      </c>
      <c r="W237" s="248"/>
      <c r="X237" s="248"/>
      <c r="Y237" s="249"/>
      <c r="Z237" s="250"/>
      <c r="AA237" s="251"/>
      <c r="AB237" s="252"/>
      <c r="AC237" s="253"/>
      <c r="AD237" s="251"/>
      <c r="AE237" s="254" t="str">
        <f t="shared" si="141"/>
        <v/>
      </c>
      <c r="AF237" s="256" t="str">
        <f t="shared" si="152"/>
        <v/>
      </c>
      <c r="AG237" s="293" t="s">
        <v>62</v>
      </c>
      <c r="AH237" s="294" t="str">
        <f t="shared" si="153"/>
        <v/>
      </c>
      <c r="AI237" s="294" t="str">
        <f t="shared" si="154"/>
        <v/>
      </c>
      <c r="AJ237" s="295" t="str">
        <f t="shared" si="155"/>
        <v/>
      </c>
      <c r="AK237" s="296" t="str">
        <f t="shared" si="156"/>
        <v/>
      </c>
      <c r="AL237" s="297" t="str">
        <f t="shared" si="157"/>
        <v/>
      </c>
      <c r="AM237" s="294" t="str">
        <f t="shared" si="158"/>
        <v/>
      </c>
      <c r="AN237" s="294" t="str">
        <f t="shared" si="159"/>
        <v/>
      </c>
      <c r="AO237" s="298" t="str">
        <f t="shared" si="160"/>
        <v/>
      </c>
      <c r="AP237" s="299" t="str">
        <f t="shared" si="161"/>
        <v/>
      </c>
      <c r="AQ237" s="299" t="str">
        <f t="shared" si="162"/>
        <v/>
      </c>
      <c r="AR237" s="300" t="str">
        <f t="shared" si="142"/>
        <v/>
      </c>
      <c r="AS237" s="300" t="str">
        <f t="shared" si="143"/>
        <v/>
      </c>
      <c r="AT237" s="294" t="str">
        <f t="shared" si="144"/>
        <v/>
      </c>
      <c r="AU237" s="301" t="str">
        <f>IF(OR($B237="", $AP237= ""),"",IF(VLOOKUP($AP237, CONTRATOS!B:K,3,FALSE)="","",VLOOKUP($AP237, CONTRATOS!B:K, 3,FALSE)))</f>
        <v/>
      </c>
      <c r="AV237" s="301" t="str">
        <f>IF(OR($B237="", $AP237 = ""), "", IF(VLOOKUP($AP237, CONTRATOS!B:K,4,FALSE)="","",VLOOKUP($AP237, CONTRATOS!B:K,4, FALSE)))</f>
        <v/>
      </c>
      <c r="AW237" s="302" t="str">
        <f t="shared" si="145"/>
        <v/>
      </c>
      <c r="AX237" s="301" t="str">
        <f t="shared" si="146"/>
        <v/>
      </c>
      <c r="AY237" s="301" t="str">
        <f t="shared" si="147"/>
        <v/>
      </c>
      <c r="AZ237" s="301" t="str">
        <f t="shared" si="148"/>
        <v/>
      </c>
      <c r="BA237" s="301" t="str">
        <f t="shared" si="149"/>
        <v/>
      </c>
      <c r="BB237" s="303">
        <f t="shared" si="163"/>
        <v>0</v>
      </c>
      <c r="BC237" s="303" t="str">
        <f t="shared" si="164"/>
        <v/>
      </c>
      <c r="BD237" s="303" t="str">
        <f t="shared" si="165"/>
        <v/>
      </c>
      <c r="BF237" s="304">
        <f t="shared" si="166"/>
        <v>0</v>
      </c>
      <c r="BG237" s="304">
        <f t="shared" si="167"/>
        <v>0</v>
      </c>
      <c r="BH237" s="304" t="str">
        <f>IF( $B237="", "", IF(ISNA(VLOOKUP($C237, Defesa!$C$8:$C$30,1,FALSE)),1,0))</f>
        <v/>
      </c>
      <c r="BI237" s="305" t="str">
        <f t="shared" si="168"/>
        <v/>
      </c>
      <c r="BJ237" s="305" t="str">
        <f t="shared" si="169"/>
        <v/>
      </c>
      <c r="BK237" s="304" t="str">
        <f t="shared" si="170"/>
        <v/>
      </c>
      <c r="BL237" s="304">
        <f t="shared" si="171"/>
        <v>0</v>
      </c>
      <c r="BM237" s="304" t="str">
        <f>IF($AC237="", "", IF(ISNA(VLOOKUP($AC237, TABELAS!$Q:$Q, 1, FALSE)), 1, 0))</f>
        <v/>
      </c>
      <c r="BN237" s="306" t="str">
        <f t="shared" si="172"/>
        <v/>
      </c>
      <c r="BO237" s="304" t="str">
        <f t="shared" si="173"/>
        <v/>
      </c>
      <c r="BP237" s="304" t="str">
        <f t="shared" si="174"/>
        <v/>
      </c>
      <c r="BQ237" s="305" t="str">
        <f t="shared" si="175"/>
        <v/>
      </c>
      <c r="BR237" s="304" t="str">
        <f t="shared" si="176"/>
        <v/>
      </c>
      <c r="BS237" s="304" t="str">
        <f t="shared" si="177"/>
        <v/>
      </c>
      <c r="BT237" s="304" t="str">
        <f>IF(OR($B237="", $AH237 = "SIM"), "", IF( ISNA(VLOOKUP($AP237,#REF!, 1, FALSE)), 1, 0))</f>
        <v/>
      </c>
      <c r="BU237" s="304" t="str">
        <f t="shared" si="178"/>
        <v/>
      </c>
      <c r="BV237" s="304" t="str">
        <f>IF( $B237="", "", IF( ISNA(VLOOKUP($AN237, TABELAS!$T$2:$T$9,1,FALSE)), 1, 0))</f>
        <v/>
      </c>
      <c r="BW237" s="304" t="str">
        <f t="shared" si="179"/>
        <v/>
      </c>
      <c r="BX237" s="304" t="str">
        <f>IF( OR($B237="", $AH237 = "SIM"), "", IF( ISNA( VLOOKUP( $AQ237, SISTEMA!$B:$B, 1, FALSE)), 1, 0))</f>
        <v/>
      </c>
      <c r="BY237" s="305" t="str">
        <f t="shared" si="180"/>
        <v/>
      </c>
      <c r="BZ237" s="305" t="str">
        <f t="shared" si="181"/>
        <v/>
      </c>
      <c r="CA237" s="304" t="str">
        <f t="shared" si="182"/>
        <v/>
      </c>
      <c r="CB237" s="305" t="str">
        <f t="shared" si="183"/>
        <v/>
      </c>
      <c r="CC237" s="305" t="str">
        <f t="shared" si="184"/>
        <v/>
      </c>
      <c r="CD237" s="305" t="str">
        <f t="shared" si="185"/>
        <v/>
      </c>
    </row>
    <row r="238" spans="1:82" x14ac:dyDescent="0.2">
      <c r="A238" s="235"/>
      <c r="B238" s="236" t="str">
        <f t="shared" si="150"/>
        <v/>
      </c>
      <c r="C238" s="237" t="str">
        <f t="shared" si="140"/>
        <v/>
      </c>
      <c r="D238" s="237" t="str">
        <f t="shared" si="151"/>
        <v/>
      </c>
      <c r="E238" s="237" t="str">
        <f>IF($C238="", "", COUNTIF($M$8:$M238,$D238))</f>
        <v/>
      </c>
      <c r="F238" s="238">
        <v>231</v>
      </c>
      <c r="G238" s="239"/>
      <c r="H238" s="240"/>
      <c r="I238" s="240"/>
      <c r="J238" s="241"/>
      <c r="K238" s="240"/>
      <c r="L238" s="240"/>
      <c r="M238" s="240"/>
      <c r="N238" s="242"/>
      <c r="O238" s="243"/>
      <c r="P238" s="243"/>
      <c r="Q238" s="243"/>
      <c r="R238" s="243"/>
      <c r="S238" s="243"/>
      <c r="T238" s="245"/>
      <c r="U238" s="246" t="str">
        <f>IF($T238="", "", VLOOKUP($T238, CONTRATOS!$B:$E, 2, FALSE))</f>
        <v/>
      </c>
      <c r="V238" s="247">
        <f>IF(OR($T238="",TB_DEFESA!$C$2="Criação Baseline"),0,
   IF(VLOOKUP($T238, CONTRATOS!B:E, 3, FALSE)&lt;&gt;"",1,IF(VLOOKUP($T238, CONTRATOS!B:E, 4, FALSE)&lt;&gt;"",2,0)))</f>
        <v>0</v>
      </c>
      <c r="W238" s="248"/>
      <c r="X238" s="248"/>
      <c r="Y238" s="249"/>
      <c r="Z238" s="250"/>
      <c r="AA238" s="251"/>
      <c r="AB238" s="252"/>
      <c r="AC238" s="253"/>
      <c r="AD238" s="251"/>
      <c r="AE238" s="254" t="str">
        <f t="shared" si="141"/>
        <v/>
      </c>
      <c r="AF238" s="256" t="str">
        <f t="shared" si="152"/>
        <v/>
      </c>
      <c r="AG238" s="293" t="s">
        <v>62</v>
      </c>
      <c r="AH238" s="294" t="str">
        <f t="shared" si="153"/>
        <v/>
      </c>
      <c r="AI238" s="294" t="str">
        <f t="shared" si="154"/>
        <v/>
      </c>
      <c r="AJ238" s="295" t="str">
        <f t="shared" si="155"/>
        <v/>
      </c>
      <c r="AK238" s="296" t="str">
        <f t="shared" si="156"/>
        <v/>
      </c>
      <c r="AL238" s="297" t="str">
        <f t="shared" si="157"/>
        <v/>
      </c>
      <c r="AM238" s="294" t="str">
        <f t="shared" si="158"/>
        <v/>
      </c>
      <c r="AN238" s="294" t="str">
        <f t="shared" si="159"/>
        <v/>
      </c>
      <c r="AO238" s="298" t="str">
        <f t="shared" si="160"/>
        <v/>
      </c>
      <c r="AP238" s="299" t="str">
        <f t="shared" si="161"/>
        <v/>
      </c>
      <c r="AQ238" s="299" t="str">
        <f t="shared" si="162"/>
        <v/>
      </c>
      <c r="AR238" s="300" t="str">
        <f t="shared" si="142"/>
        <v/>
      </c>
      <c r="AS238" s="300" t="str">
        <f t="shared" si="143"/>
        <v/>
      </c>
      <c r="AT238" s="294" t="str">
        <f t="shared" si="144"/>
        <v/>
      </c>
      <c r="AU238" s="301" t="str">
        <f>IF(OR($B238="", $AP238= ""),"",IF(VLOOKUP($AP238, CONTRATOS!B:K,3,FALSE)="","",VLOOKUP($AP238, CONTRATOS!B:K, 3,FALSE)))</f>
        <v/>
      </c>
      <c r="AV238" s="301" t="str">
        <f>IF(OR($B238="", $AP238 = ""), "", IF(VLOOKUP($AP238, CONTRATOS!B:K,4,FALSE)="","",VLOOKUP($AP238, CONTRATOS!B:K,4, FALSE)))</f>
        <v/>
      </c>
      <c r="AW238" s="302" t="str">
        <f t="shared" si="145"/>
        <v/>
      </c>
      <c r="AX238" s="301" t="str">
        <f t="shared" si="146"/>
        <v/>
      </c>
      <c r="AY238" s="301" t="str">
        <f t="shared" si="147"/>
        <v/>
      </c>
      <c r="AZ238" s="301" t="str">
        <f t="shared" si="148"/>
        <v/>
      </c>
      <c r="BA238" s="301" t="str">
        <f t="shared" si="149"/>
        <v/>
      </c>
      <c r="BB238" s="303">
        <f t="shared" si="163"/>
        <v>0</v>
      </c>
      <c r="BC238" s="303" t="str">
        <f t="shared" si="164"/>
        <v/>
      </c>
      <c r="BD238" s="303" t="str">
        <f t="shared" si="165"/>
        <v/>
      </c>
      <c r="BF238" s="304">
        <f t="shared" si="166"/>
        <v>0</v>
      </c>
      <c r="BG238" s="304">
        <f t="shared" si="167"/>
        <v>0</v>
      </c>
      <c r="BH238" s="304" t="str">
        <f>IF( $B238="", "", IF(ISNA(VLOOKUP($C238, Defesa!$C$8:$C$30,1,FALSE)),1,0))</f>
        <v/>
      </c>
      <c r="BI238" s="305" t="str">
        <f t="shared" si="168"/>
        <v/>
      </c>
      <c r="BJ238" s="305" t="str">
        <f t="shared" si="169"/>
        <v/>
      </c>
      <c r="BK238" s="304" t="str">
        <f t="shared" si="170"/>
        <v/>
      </c>
      <c r="BL238" s="304">
        <f t="shared" si="171"/>
        <v>0</v>
      </c>
      <c r="BM238" s="304" t="str">
        <f>IF($AC238="", "", IF(ISNA(VLOOKUP($AC238, TABELAS!$Q:$Q, 1, FALSE)), 1, 0))</f>
        <v/>
      </c>
      <c r="BN238" s="306" t="str">
        <f t="shared" si="172"/>
        <v/>
      </c>
      <c r="BO238" s="304" t="str">
        <f t="shared" si="173"/>
        <v/>
      </c>
      <c r="BP238" s="304" t="str">
        <f t="shared" si="174"/>
        <v/>
      </c>
      <c r="BQ238" s="305" t="str">
        <f t="shared" si="175"/>
        <v/>
      </c>
      <c r="BR238" s="304" t="str">
        <f t="shared" si="176"/>
        <v/>
      </c>
      <c r="BS238" s="304" t="str">
        <f t="shared" si="177"/>
        <v/>
      </c>
      <c r="BT238" s="304" t="str">
        <f>IF(OR($B238="", $AH238 = "SIM"), "", IF( ISNA(VLOOKUP($AP238,#REF!, 1, FALSE)), 1, 0))</f>
        <v/>
      </c>
      <c r="BU238" s="304" t="str">
        <f t="shared" si="178"/>
        <v/>
      </c>
      <c r="BV238" s="304" t="str">
        <f>IF( $B238="", "", IF( ISNA(VLOOKUP($AN238, TABELAS!$T$2:$T$9,1,FALSE)), 1, 0))</f>
        <v/>
      </c>
      <c r="BW238" s="304" t="str">
        <f t="shared" si="179"/>
        <v/>
      </c>
      <c r="BX238" s="304" t="str">
        <f>IF( OR($B238="", $AH238 = "SIM"), "", IF( ISNA( VLOOKUP( $AQ238, SISTEMA!$B:$B, 1, FALSE)), 1, 0))</f>
        <v/>
      </c>
      <c r="BY238" s="305" t="str">
        <f t="shared" si="180"/>
        <v/>
      </c>
      <c r="BZ238" s="305" t="str">
        <f t="shared" si="181"/>
        <v/>
      </c>
      <c r="CA238" s="304" t="str">
        <f t="shared" si="182"/>
        <v/>
      </c>
      <c r="CB238" s="305" t="str">
        <f t="shared" si="183"/>
        <v/>
      </c>
      <c r="CC238" s="305" t="str">
        <f t="shared" si="184"/>
        <v/>
      </c>
      <c r="CD238" s="305" t="str">
        <f t="shared" si="185"/>
        <v/>
      </c>
    </row>
    <row r="239" spans="1:82" x14ac:dyDescent="0.2">
      <c r="A239" s="235"/>
      <c r="B239" s="236" t="str">
        <f t="shared" si="150"/>
        <v/>
      </c>
      <c r="C239" s="237" t="str">
        <f t="shared" si="140"/>
        <v/>
      </c>
      <c r="D239" s="237" t="str">
        <f t="shared" si="151"/>
        <v/>
      </c>
      <c r="E239" s="237" t="str">
        <f>IF($C239="", "", COUNTIF($M$8:$M239,$D239))</f>
        <v/>
      </c>
      <c r="F239" s="238">
        <v>232</v>
      </c>
      <c r="G239" s="239"/>
      <c r="H239" s="240"/>
      <c r="I239" s="240"/>
      <c r="J239" s="241"/>
      <c r="K239" s="240"/>
      <c r="L239" s="240"/>
      <c r="M239" s="240"/>
      <c r="N239" s="242"/>
      <c r="O239" s="243"/>
      <c r="P239" s="243"/>
      <c r="Q239" s="243"/>
      <c r="R239" s="243"/>
      <c r="S239" s="243"/>
      <c r="T239" s="245"/>
      <c r="U239" s="246" t="str">
        <f>IF($T239="", "", VLOOKUP($T239, CONTRATOS!$B:$E, 2, FALSE))</f>
        <v/>
      </c>
      <c r="V239" s="247">
        <f>IF(OR($T239="",TB_DEFESA!$C$2="Criação Baseline"),0,
   IF(VLOOKUP($T239, CONTRATOS!B:E, 3, FALSE)&lt;&gt;"",1,IF(VLOOKUP($T239, CONTRATOS!B:E, 4, FALSE)&lt;&gt;"",2,0)))</f>
        <v>0</v>
      </c>
      <c r="W239" s="248"/>
      <c r="X239" s="248"/>
      <c r="Y239" s="249"/>
      <c r="Z239" s="250"/>
      <c r="AA239" s="251"/>
      <c r="AB239" s="252"/>
      <c r="AC239" s="253"/>
      <c r="AD239" s="251"/>
      <c r="AE239" s="254" t="str">
        <f t="shared" si="141"/>
        <v/>
      </c>
      <c r="AF239" s="256" t="str">
        <f t="shared" si="152"/>
        <v/>
      </c>
      <c r="AG239" s="293" t="s">
        <v>62</v>
      </c>
      <c r="AH239" s="294" t="str">
        <f t="shared" si="153"/>
        <v/>
      </c>
      <c r="AI239" s="294" t="str">
        <f t="shared" si="154"/>
        <v/>
      </c>
      <c r="AJ239" s="295" t="str">
        <f t="shared" si="155"/>
        <v/>
      </c>
      <c r="AK239" s="296" t="str">
        <f t="shared" si="156"/>
        <v/>
      </c>
      <c r="AL239" s="297" t="str">
        <f t="shared" si="157"/>
        <v/>
      </c>
      <c r="AM239" s="294" t="str">
        <f t="shared" si="158"/>
        <v/>
      </c>
      <c r="AN239" s="294" t="str">
        <f t="shared" si="159"/>
        <v/>
      </c>
      <c r="AO239" s="298" t="str">
        <f t="shared" si="160"/>
        <v/>
      </c>
      <c r="AP239" s="299" t="str">
        <f t="shared" si="161"/>
        <v/>
      </c>
      <c r="AQ239" s="299" t="str">
        <f t="shared" si="162"/>
        <v/>
      </c>
      <c r="AR239" s="300" t="str">
        <f t="shared" si="142"/>
        <v/>
      </c>
      <c r="AS239" s="300" t="str">
        <f t="shared" si="143"/>
        <v/>
      </c>
      <c r="AT239" s="294" t="str">
        <f t="shared" si="144"/>
        <v/>
      </c>
      <c r="AU239" s="301" t="str">
        <f>IF(OR($B239="", $AP239= ""),"",IF(VLOOKUP($AP239, CONTRATOS!B:K,3,FALSE)="","",VLOOKUP($AP239, CONTRATOS!B:K, 3,FALSE)))</f>
        <v/>
      </c>
      <c r="AV239" s="301" t="str">
        <f>IF(OR($B239="", $AP239 = ""), "", IF(VLOOKUP($AP239, CONTRATOS!B:K,4,FALSE)="","",VLOOKUP($AP239, CONTRATOS!B:K,4, FALSE)))</f>
        <v/>
      </c>
      <c r="AW239" s="302" t="str">
        <f t="shared" si="145"/>
        <v/>
      </c>
      <c r="AX239" s="301" t="str">
        <f t="shared" si="146"/>
        <v/>
      </c>
      <c r="AY239" s="301" t="str">
        <f t="shared" si="147"/>
        <v/>
      </c>
      <c r="AZ239" s="301" t="str">
        <f t="shared" si="148"/>
        <v/>
      </c>
      <c r="BA239" s="301" t="str">
        <f t="shared" si="149"/>
        <v/>
      </c>
      <c r="BB239" s="303">
        <f t="shared" si="163"/>
        <v>0</v>
      </c>
      <c r="BC239" s="303" t="str">
        <f t="shared" si="164"/>
        <v/>
      </c>
      <c r="BD239" s="303" t="str">
        <f t="shared" si="165"/>
        <v/>
      </c>
      <c r="BF239" s="304">
        <f t="shared" si="166"/>
        <v>0</v>
      </c>
      <c r="BG239" s="304">
        <f t="shared" si="167"/>
        <v>0</v>
      </c>
      <c r="BH239" s="304" t="str">
        <f>IF( $B239="", "", IF(ISNA(VLOOKUP($C239, Defesa!$C$8:$C$30,1,FALSE)),1,0))</f>
        <v/>
      </c>
      <c r="BI239" s="305" t="str">
        <f t="shared" si="168"/>
        <v/>
      </c>
      <c r="BJ239" s="305" t="str">
        <f t="shared" si="169"/>
        <v/>
      </c>
      <c r="BK239" s="304" t="str">
        <f t="shared" si="170"/>
        <v/>
      </c>
      <c r="BL239" s="304">
        <f t="shared" si="171"/>
        <v>0</v>
      </c>
      <c r="BM239" s="304" t="str">
        <f>IF($AC239="", "", IF(ISNA(VLOOKUP($AC239, TABELAS!$Q:$Q, 1, FALSE)), 1, 0))</f>
        <v/>
      </c>
      <c r="BN239" s="306" t="str">
        <f t="shared" si="172"/>
        <v/>
      </c>
      <c r="BO239" s="304" t="str">
        <f t="shared" si="173"/>
        <v/>
      </c>
      <c r="BP239" s="304" t="str">
        <f t="shared" si="174"/>
        <v/>
      </c>
      <c r="BQ239" s="305" t="str">
        <f t="shared" si="175"/>
        <v/>
      </c>
      <c r="BR239" s="304" t="str">
        <f t="shared" si="176"/>
        <v/>
      </c>
      <c r="BS239" s="304" t="str">
        <f t="shared" si="177"/>
        <v/>
      </c>
      <c r="BT239" s="304" t="str">
        <f>IF(OR($B239="", $AH239 = "SIM"), "", IF( ISNA(VLOOKUP($AP239,#REF!, 1, FALSE)), 1, 0))</f>
        <v/>
      </c>
      <c r="BU239" s="304" t="str">
        <f t="shared" si="178"/>
        <v/>
      </c>
      <c r="BV239" s="304" t="str">
        <f>IF( $B239="", "", IF( ISNA(VLOOKUP($AN239, TABELAS!$T$2:$T$9,1,FALSE)), 1, 0))</f>
        <v/>
      </c>
      <c r="BW239" s="304" t="str">
        <f t="shared" si="179"/>
        <v/>
      </c>
      <c r="BX239" s="304" t="str">
        <f>IF( OR($B239="", $AH239 = "SIM"), "", IF( ISNA( VLOOKUP( $AQ239, SISTEMA!$B:$B, 1, FALSE)), 1, 0))</f>
        <v/>
      </c>
      <c r="BY239" s="305" t="str">
        <f t="shared" si="180"/>
        <v/>
      </c>
      <c r="BZ239" s="305" t="str">
        <f t="shared" si="181"/>
        <v/>
      </c>
      <c r="CA239" s="304" t="str">
        <f t="shared" si="182"/>
        <v/>
      </c>
      <c r="CB239" s="305" t="str">
        <f t="shared" si="183"/>
        <v/>
      </c>
      <c r="CC239" s="305" t="str">
        <f t="shared" si="184"/>
        <v/>
      </c>
      <c r="CD239" s="305" t="str">
        <f t="shared" si="185"/>
        <v/>
      </c>
    </row>
    <row r="240" spans="1:82" x14ac:dyDescent="0.2">
      <c r="A240" s="235"/>
      <c r="B240" s="236" t="str">
        <f t="shared" si="150"/>
        <v/>
      </c>
      <c r="C240" s="237" t="str">
        <f t="shared" si="140"/>
        <v/>
      </c>
      <c r="D240" s="237" t="str">
        <f t="shared" si="151"/>
        <v/>
      </c>
      <c r="E240" s="237" t="str">
        <f>IF($C240="", "", COUNTIF($M$8:$M240,$D240))</f>
        <v/>
      </c>
      <c r="F240" s="238">
        <v>233</v>
      </c>
      <c r="G240" s="239"/>
      <c r="H240" s="240"/>
      <c r="I240" s="240"/>
      <c r="J240" s="241"/>
      <c r="K240" s="240"/>
      <c r="L240" s="240"/>
      <c r="M240" s="240"/>
      <c r="N240" s="242"/>
      <c r="O240" s="243"/>
      <c r="P240" s="243"/>
      <c r="Q240" s="243"/>
      <c r="R240" s="243"/>
      <c r="S240" s="243"/>
      <c r="T240" s="245"/>
      <c r="U240" s="246" t="str">
        <f>IF($T240="", "", VLOOKUP($T240, CONTRATOS!$B:$E, 2, FALSE))</f>
        <v/>
      </c>
      <c r="V240" s="247">
        <f>IF(OR($T240="",TB_DEFESA!$C$2="Criação Baseline"),0,
   IF(VLOOKUP($T240, CONTRATOS!B:E, 3, FALSE)&lt;&gt;"",1,IF(VLOOKUP($T240, CONTRATOS!B:E, 4, FALSE)&lt;&gt;"",2,0)))</f>
        <v>0</v>
      </c>
      <c r="W240" s="248"/>
      <c r="X240" s="248"/>
      <c r="Y240" s="249"/>
      <c r="Z240" s="250"/>
      <c r="AA240" s="251"/>
      <c r="AB240" s="252"/>
      <c r="AC240" s="253"/>
      <c r="AD240" s="251"/>
      <c r="AE240" s="254" t="str">
        <f t="shared" si="141"/>
        <v/>
      </c>
      <c r="AF240" s="256" t="str">
        <f t="shared" si="152"/>
        <v/>
      </c>
      <c r="AG240" s="293" t="s">
        <v>62</v>
      </c>
      <c r="AH240" s="294" t="str">
        <f t="shared" si="153"/>
        <v/>
      </c>
      <c r="AI240" s="294" t="str">
        <f t="shared" si="154"/>
        <v/>
      </c>
      <c r="AJ240" s="295" t="str">
        <f t="shared" si="155"/>
        <v/>
      </c>
      <c r="AK240" s="296" t="str">
        <f t="shared" si="156"/>
        <v/>
      </c>
      <c r="AL240" s="297" t="str">
        <f t="shared" si="157"/>
        <v/>
      </c>
      <c r="AM240" s="294" t="str">
        <f t="shared" si="158"/>
        <v/>
      </c>
      <c r="AN240" s="294" t="str">
        <f t="shared" si="159"/>
        <v/>
      </c>
      <c r="AO240" s="298" t="str">
        <f t="shared" si="160"/>
        <v/>
      </c>
      <c r="AP240" s="299" t="str">
        <f t="shared" si="161"/>
        <v/>
      </c>
      <c r="AQ240" s="299" t="str">
        <f t="shared" si="162"/>
        <v/>
      </c>
      <c r="AR240" s="300" t="str">
        <f t="shared" si="142"/>
        <v/>
      </c>
      <c r="AS240" s="300" t="str">
        <f t="shared" si="143"/>
        <v/>
      </c>
      <c r="AT240" s="294" t="str">
        <f t="shared" si="144"/>
        <v/>
      </c>
      <c r="AU240" s="301" t="str">
        <f>IF(OR($B240="", $AP240= ""),"",IF(VLOOKUP($AP240, CONTRATOS!B:K,3,FALSE)="","",VLOOKUP($AP240, CONTRATOS!B:K, 3,FALSE)))</f>
        <v/>
      </c>
      <c r="AV240" s="301" t="str">
        <f>IF(OR($B240="", $AP240 = ""), "", IF(VLOOKUP($AP240, CONTRATOS!B:K,4,FALSE)="","",VLOOKUP($AP240, CONTRATOS!B:K,4, FALSE)))</f>
        <v/>
      </c>
      <c r="AW240" s="302" t="str">
        <f t="shared" si="145"/>
        <v/>
      </c>
      <c r="AX240" s="301" t="str">
        <f t="shared" si="146"/>
        <v/>
      </c>
      <c r="AY240" s="301" t="str">
        <f t="shared" si="147"/>
        <v/>
      </c>
      <c r="AZ240" s="301" t="str">
        <f t="shared" si="148"/>
        <v/>
      </c>
      <c r="BA240" s="301" t="str">
        <f t="shared" si="149"/>
        <v/>
      </c>
      <c r="BB240" s="303">
        <f t="shared" si="163"/>
        <v>0</v>
      </c>
      <c r="BC240" s="303" t="str">
        <f t="shared" si="164"/>
        <v/>
      </c>
      <c r="BD240" s="303" t="str">
        <f t="shared" si="165"/>
        <v/>
      </c>
      <c r="BF240" s="304">
        <f t="shared" si="166"/>
        <v>0</v>
      </c>
      <c r="BG240" s="304">
        <f t="shared" si="167"/>
        <v>0</v>
      </c>
      <c r="BH240" s="304" t="str">
        <f>IF( $B240="", "", IF(ISNA(VLOOKUP($C240, Defesa!$C$8:$C$30,1,FALSE)),1,0))</f>
        <v/>
      </c>
      <c r="BI240" s="305" t="str">
        <f t="shared" si="168"/>
        <v/>
      </c>
      <c r="BJ240" s="305" t="str">
        <f t="shared" si="169"/>
        <v/>
      </c>
      <c r="BK240" s="304" t="str">
        <f t="shared" si="170"/>
        <v/>
      </c>
      <c r="BL240" s="304">
        <f t="shared" si="171"/>
        <v>0</v>
      </c>
      <c r="BM240" s="304" t="str">
        <f>IF($AC240="", "", IF(ISNA(VLOOKUP($AC240, TABELAS!$Q:$Q, 1, FALSE)), 1, 0))</f>
        <v/>
      </c>
      <c r="BN240" s="306" t="str">
        <f t="shared" si="172"/>
        <v/>
      </c>
      <c r="BO240" s="304" t="str">
        <f t="shared" si="173"/>
        <v/>
      </c>
      <c r="BP240" s="304" t="str">
        <f t="shared" si="174"/>
        <v/>
      </c>
      <c r="BQ240" s="305" t="str">
        <f t="shared" si="175"/>
        <v/>
      </c>
      <c r="BR240" s="304" t="str">
        <f t="shared" si="176"/>
        <v/>
      </c>
      <c r="BS240" s="304" t="str">
        <f t="shared" si="177"/>
        <v/>
      </c>
      <c r="BT240" s="304" t="str">
        <f>IF(OR($B240="", $AH240 = "SIM"), "", IF( ISNA(VLOOKUP($AP240,#REF!, 1, FALSE)), 1, 0))</f>
        <v/>
      </c>
      <c r="BU240" s="304" t="str">
        <f t="shared" si="178"/>
        <v/>
      </c>
      <c r="BV240" s="304" t="str">
        <f>IF( $B240="", "", IF( ISNA(VLOOKUP($AN240, TABELAS!$T$2:$T$9,1,FALSE)), 1, 0))</f>
        <v/>
      </c>
      <c r="BW240" s="304" t="str">
        <f t="shared" si="179"/>
        <v/>
      </c>
      <c r="BX240" s="304" t="str">
        <f>IF( OR($B240="", $AH240 = "SIM"), "", IF( ISNA( VLOOKUP( $AQ240, SISTEMA!$B:$B, 1, FALSE)), 1, 0))</f>
        <v/>
      </c>
      <c r="BY240" s="305" t="str">
        <f t="shared" si="180"/>
        <v/>
      </c>
      <c r="BZ240" s="305" t="str">
        <f t="shared" si="181"/>
        <v/>
      </c>
      <c r="CA240" s="304" t="str">
        <f t="shared" si="182"/>
        <v/>
      </c>
      <c r="CB240" s="305" t="str">
        <f t="shared" si="183"/>
        <v/>
      </c>
      <c r="CC240" s="305" t="str">
        <f t="shared" si="184"/>
        <v/>
      </c>
      <c r="CD240" s="305" t="str">
        <f t="shared" si="185"/>
        <v/>
      </c>
    </row>
    <row r="241" spans="1:82" x14ac:dyDescent="0.2">
      <c r="A241" s="235"/>
      <c r="B241" s="236" t="str">
        <f t="shared" si="150"/>
        <v/>
      </c>
      <c r="C241" s="237" t="str">
        <f t="shared" si="140"/>
        <v/>
      </c>
      <c r="D241" s="237" t="str">
        <f t="shared" si="151"/>
        <v/>
      </c>
      <c r="E241" s="237" t="str">
        <f>IF($C241="", "", COUNTIF($M$8:$M241,$D241))</f>
        <v/>
      </c>
      <c r="F241" s="238">
        <v>234</v>
      </c>
      <c r="G241" s="239"/>
      <c r="H241" s="240"/>
      <c r="I241" s="240"/>
      <c r="J241" s="241"/>
      <c r="K241" s="240"/>
      <c r="L241" s="240"/>
      <c r="M241" s="240"/>
      <c r="N241" s="242"/>
      <c r="O241" s="243"/>
      <c r="P241" s="243"/>
      <c r="Q241" s="243"/>
      <c r="R241" s="243"/>
      <c r="S241" s="243"/>
      <c r="T241" s="245"/>
      <c r="U241" s="246" t="str">
        <f>IF($T241="", "", VLOOKUP($T241, CONTRATOS!$B:$E, 2, FALSE))</f>
        <v/>
      </c>
      <c r="V241" s="247">
        <f>IF(OR($T241="",TB_DEFESA!$C$2="Criação Baseline"),0,
   IF(VLOOKUP($T241, CONTRATOS!B:E, 3, FALSE)&lt;&gt;"",1,IF(VLOOKUP($T241, CONTRATOS!B:E, 4, FALSE)&lt;&gt;"",2,0)))</f>
        <v>0</v>
      </c>
      <c r="W241" s="248"/>
      <c r="X241" s="248"/>
      <c r="Y241" s="249"/>
      <c r="Z241" s="250"/>
      <c r="AA241" s="251"/>
      <c r="AB241" s="252"/>
      <c r="AC241" s="253"/>
      <c r="AD241" s="251"/>
      <c r="AE241" s="254" t="str">
        <f t="shared" si="141"/>
        <v/>
      </c>
      <c r="AF241" s="256" t="str">
        <f t="shared" si="152"/>
        <v/>
      </c>
      <c r="AG241" s="293" t="s">
        <v>62</v>
      </c>
      <c r="AH241" s="294" t="str">
        <f t="shared" si="153"/>
        <v/>
      </c>
      <c r="AI241" s="294" t="str">
        <f t="shared" si="154"/>
        <v/>
      </c>
      <c r="AJ241" s="295" t="str">
        <f t="shared" si="155"/>
        <v/>
      </c>
      <c r="AK241" s="296" t="str">
        <f t="shared" si="156"/>
        <v/>
      </c>
      <c r="AL241" s="297" t="str">
        <f t="shared" si="157"/>
        <v/>
      </c>
      <c r="AM241" s="294" t="str">
        <f t="shared" si="158"/>
        <v/>
      </c>
      <c r="AN241" s="294" t="str">
        <f t="shared" si="159"/>
        <v/>
      </c>
      <c r="AO241" s="298" t="str">
        <f t="shared" si="160"/>
        <v/>
      </c>
      <c r="AP241" s="299" t="str">
        <f t="shared" si="161"/>
        <v/>
      </c>
      <c r="AQ241" s="299" t="str">
        <f t="shared" si="162"/>
        <v/>
      </c>
      <c r="AR241" s="300" t="str">
        <f t="shared" si="142"/>
        <v/>
      </c>
      <c r="AS241" s="300" t="str">
        <f t="shared" si="143"/>
        <v/>
      </c>
      <c r="AT241" s="294" t="str">
        <f t="shared" si="144"/>
        <v/>
      </c>
      <c r="AU241" s="301" t="str">
        <f>IF(OR($B241="", $AP241= ""),"",IF(VLOOKUP($AP241, CONTRATOS!B:K,3,FALSE)="","",VLOOKUP($AP241, CONTRATOS!B:K, 3,FALSE)))</f>
        <v/>
      </c>
      <c r="AV241" s="301" t="str">
        <f>IF(OR($B241="", $AP241 = ""), "", IF(VLOOKUP($AP241, CONTRATOS!B:K,4,FALSE)="","",VLOOKUP($AP241, CONTRATOS!B:K,4, FALSE)))</f>
        <v/>
      </c>
      <c r="AW241" s="302" t="str">
        <f t="shared" si="145"/>
        <v/>
      </c>
      <c r="AX241" s="301" t="str">
        <f t="shared" si="146"/>
        <v/>
      </c>
      <c r="AY241" s="301" t="str">
        <f t="shared" si="147"/>
        <v/>
      </c>
      <c r="AZ241" s="301" t="str">
        <f t="shared" si="148"/>
        <v/>
      </c>
      <c r="BA241" s="301" t="str">
        <f t="shared" si="149"/>
        <v/>
      </c>
      <c r="BB241" s="303">
        <f t="shared" si="163"/>
        <v>0</v>
      </c>
      <c r="BC241" s="303" t="str">
        <f t="shared" si="164"/>
        <v/>
      </c>
      <c r="BD241" s="303" t="str">
        <f t="shared" si="165"/>
        <v/>
      </c>
      <c r="BF241" s="304">
        <f t="shared" si="166"/>
        <v>0</v>
      </c>
      <c r="BG241" s="304">
        <f t="shared" si="167"/>
        <v>0</v>
      </c>
      <c r="BH241" s="304" t="str">
        <f>IF( $B241="", "", IF(ISNA(VLOOKUP($C241, Defesa!$C$8:$C$30,1,FALSE)),1,0))</f>
        <v/>
      </c>
      <c r="BI241" s="305" t="str">
        <f t="shared" si="168"/>
        <v/>
      </c>
      <c r="BJ241" s="305" t="str">
        <f t="shared" si="169"/>
        <v/>
      </c>
      <c r="BK241" s="304" t="str">
        <f t="shared" si="170"/>
        <v/>
      </c>
      <c r="BL241" s="304">
        <f t="shared" si="171"/>
        <v>0</v>
      </c>
      <c r="BM241" s="304" t="str">
        <f>IF($AC241="", "", IF(ISNA(VLOOKUP($AC241, TABELAS!$Q:$Q, 1, FALSE)), 1, 0))</f>
        <v/>
      </c>
      <c r="BN241" s="306" t="str">
        <f t="shared" si="172"/>
        <v/>
      </c>
      <c r="BO241" s="304" t="str">
        <f t="shared" si="173"/>
        <v/>
      </c>
      <c r="BP241" s="304" t="str">
        <f t="shared" si="174"/>
        <v/>
      </c>
      <c r="BQ241" s="305" t="str">
        <f t="shared" si="175"/>
        <v/>
      </c>
      <c r="BR241" s="304" t="str">
        <f t="shared" si="176"/>
        <v/>
      </c>
      <c r="BS241" s="304" t="str">
        <f t="shared" si="177"/>
        <v/>
      </c>
      <c r="BT241" s="304" t="str">
        <f>IF(OR($B241="", $AH241 = "SIM"), "", IF( ISNA(VLOOKUP($AP241,#REF!, 1, FALSE)), 1, 0))</f>
        <v/>
      </c>
      <c r="BU241" s="304" t="str">
        <f t="shared" si="178"/>
        <v/>
      </c>
      <c r="BV241" s="304" t="str">
        <f>IF( $B241="", "", IF( ISNA(VLOOKUP($AN241, TABELAS!$T$2:$T$9,1,FALSE)), 1, 0))</f>
        <v/>
      </c>
      <c r="BW241" s="304" t="str">
        <f t="shared" si="179"/>
        <v/>
      </c>
      <c r="BX241" s="304" t="str">
        <f>IF( OR($B241="", $AH241 = "SIM"), "", IF( ISNA( VLOOKUP( $AQ241, SISTEMA!$B:$B, 1, FALSE)), 1, 0))</f>
        <v/>
      </c>
      <c r="BY241" s="305" t="str">
        <f t="shared" si="180"/>
        <v/>
      </c>
      <c r="BZ241" s="305" t="str">
        <f t="shared" si="181"/>
        <v/>
      </c>
      <c r="CA241" s="304" t="str">
        <f t="shared" si="182"/>
        <v/>
      </c>
      <c r="CB241" s="305" t="str">
        <f t="shared" si="183"/>
        <v/>
      </c>
      <c r="CC241" s="305" t="str">
        <f t="shared" si="184"/>
        <v/>
      </c>
      <c r="CD241" s="305" t="str">
        <f t="shared" si="185"/>
        <v/>
      </c>
    </row>
    <row r="242" spans="1:82" x14ac:dyDescent="0.2">
      <c r="A242" s="235"/>
      <c r="B242" s="236" t="str">
        <f t="shared" si="150"/>
        <v/>
      </c>
      <c r="C242" s="237" t="str">
        <f t="shared" si="140"/>
        <v/>
      </c>
      <c r="D242" s="237" t="str">
        <f t="shared" si="151"/>
        <v/>
      </c>
      <c r="E242" s="237" t="str">
        <f>IF($C242="", "", COUNTIF($M$8:$M242,$D242))</f>
        <v/>
      </c>
      <c r="F242" s="238">
        <v>235</v>
      </c>
      <c r="G242" s="239"/>
      <c r="H242" s="240"/>
      <c r="I242" s="240"/>
      <c r="J242" s="241"/>
      <c r="K242" s="240"/>
      <c r="L242" s="240"/>
      <c r="M242" s="240"/>
      <c r="N242" s="242"/>
      <c r="O242" s="243"/>
      <c r="P242" s="243"/>
      <c r="Q242" s="243"/>
      <c r="R242" s="243"/>
      <c r="S242" s="243"/>
      <c r="T242" s="245"/>
      <c r="U242" s="246" t="str">
        <f>IF($T242="", "", VLOOKUP($T242, CONTRATOS!$B:$E, 2, FALSE))</f>
        <v/>
      </c>
      <c r="V242" s="247">
        <f>IF(OR($T242="",TB_DEFESA!$C$2="Criação Baseline"),0,
   IF(VLOOKUP($T242, CONTRATOS!B:E, 3, FALSE)&lt;&gt;"",1,IF(VLOOKUP($T242, CONTRATOS!B:E, 4, FALSE)&lt;&gt;"",2,0)))</f>
        <v>0</v>
      </c>
      <c r="W242" s="248"/>
      <c r="X242" s="248"/>
      <c r="Y242" s="249"/>
      <c r="Z242" s="250"/>
      <c r="AA242" s="251"/>
      <c r="AB242" s="252"/>
      <c r="AC242" s="253"/>
      <c r="AD242" s="251"/>
      <c r="AE242" s="254" t="str">
        <f t="shared" si="141"/>
        <v/>
      </c>
      <c r="AF242" s="256" t="str">
        <f t="shared" si="152"/>
        <v/>
      </c>
      <c r="AG242" s="293" t="s">
        <v>62</v>
      </c>
      <c r="AH242" s="294" t="str">
        <f t="shared" si="153"/>
        <v/>
      </c>
      <c r="AI242" s="294" t="str">
        <f t="shared" si="154"/>
        <v/>
      </c>
      <c r="AJ242" s="295" t="str">
        <f t="shared" si="155"/>
        <v/>
      </c>
      <c r="AK242" s="296" t="str">
        <f t="shared" si="156"/>
        <v/>
      </c>
      <c r="AL242" s="297" t="str">
        <f t="shared" si="157"/>
        <v/>
      </c>
      <c r="AM242" s="294" t="str">
        <f t="shared" si="158"/>
        <v/>
      </c>
      <c r="AN242" s="294" t="str">
        <f t="shared" si="159"/>
        <v/>
      </c>
      <c r="AO242" s="298" t="str">
        <f t="shared" si="160"/>
        <v/>
      </c>
      <c r="AP242" s="299" t="str">
        <f t="shared" si="161"/>
        <v/>
      </c>
      <c r="AQ242" s="299" t="str">
        <f t="shared" si="162"/>
        <v/>
      </c>
      <c r="AR242" s="300" t="str">
        <f t="shared" si="142"/>
        <v/>
      </c>
      <c r="AS242" s="300" t="str">
        <f t="shared" si="143"/>
        <v/>
      </c>
      <c r="AT242" s="294" t="str">
        <f t="shared" si="144"/>
        <v/>
      </c>
      <c r="AU242" s="301" t="str">
        <f>IF(OR($B242="", $AP242= ""),"",IF(VLOOKUP($AP242, CONTRATOS!B:K,3,FALSE)="","",VLOOKUP($AP242, CONTRATOS!B:K, 3,FALSE)))</f>
        <v/>
      </c>
      <c r="AV242" s="301" t="str">
        <f>IF(OR($B242="", $AP242 = ""), "", IF(VLOOKUP($AP242, CONTRATOS!B:K,4,FALSE)="","",VLOOKUP($AP242, CONTRATOS!B:K,4, FALSE)))</f>
        <v/>
      </c>
      <c r="AW242" s="302" t="str">
        <f t="shared" si="145"/>
        <v/>
      </c>
      <c r="AX242" s="301" t="str">
        <f t="shared" si="146"/>
        <v/>
      </c>
      <c r="AY242" s="301" t="str">
        <f t="shared" si="147"/>
        <v/>
      </c>
      <c r="AZ242" s="301" t="str">
        <f t="shared" si="148"/>
        <v/>
      </c>
      <c r="BA242" s="301" t="str">
        <f t="shared" si="149"/>
        <v/>
      </c>
      <c r="BB242" s="303">
        <f t="shared" si="163"/>
        <v>0</v>
      </c>
      <c r="BC242" s="303" t="str">
        <f t="shared" si="164"/>
        <v/>
      </c>
      <c r="BD242" s="303" t="str">
        <f t="shared" si="165"/>
        <v/>
      </c>
      <c r="BF242" s="304">
        <f t="shared" si="166"/>
        <v>0</v>
      </c>
      <c r="BG242" s="304">
        <f t="shared" si="167"/>
        <v>0</v>
      </c>
      <c r="BH242" s="304" t="str">
        <f>IF( $B242="", "", IF(ISNA(VLOOKUP($C242, Defesa!$C$8:$C$30,1,FALSE)),1,0))</f>
        <v/>
      </c>
      <c r="BI242" s="305" t="str">
        <f t="shared" si="168"/>
        <v/>
      </c>
      <c r="BJ242" s="305" t="str">
        <f t="shared" si="169"/>
        <v/>
      </c>
      <c r="BK242" s="304" t="str">
        <f t="shared" si="170"/>
        <v/>
      </c>
      <c r="BL242" s="304">
        <f t="shared" si="171"/>
        <v>0</v>
      </c>
      <c r="BM242" s="304" t="str">
        <f>IF($AC242="", "", IF(ISNA(VLOOKUP($AC242, TABELAS!$Q:$Q, 1, FALSE)), 1, 0))</f>
        <v/>
      </c>
      <c r="BN242" s="306" t="str">
        <f t="shared" si="172"/>
        <v/>
      </c>
      <c r="BO242" s="304" t="str">
        <f t="shared" si="173"/>
        <v/>
      </c>
      <c r="BP242" s="304" t="str">
        <f t="shared" si="174"/>
        <v/>
      </c>
      <c r="BQ242" s="305" t="str">
        <f t="shared" si="175"/>
        <v/>
      </c>
      <c r="BR242" s="304" t="str">
        <f t="shared" si="176"/>
        <v/>
      </c>
      <c r="BS242" s="304" t="str">
        <f t="shared" si="177"/>
        <v/>
      </c>
      <c r="BT242" s="304" t="str">
        <f>IF(OR($B242="", $AH242 = "SIM"), "", IF( ISNA(VLOOKUP($AP242,#REF!, 1, FALSE)), 1, 0))</f>
        <v/>
      </c>
      <c r="BU242" s="304" t="str">
        <f t="shared" si="178"/>
        <v/>
      </c>
      <c r="BV242" s="304" t="str">
        <f>IF( $B242="", "", IF( ISNA(VLOOKUP($AN242, TABELAS!$T$2:$T$9,1,FALSE)), 1, 0))</f>
        <v/>
      </c>
      <c r="BW242" s="304" t="str">
        <f t="shared" si="179"/>
        <v/>
      </c>
      <c r="BX242" s="304" t="str">
        <f>IF( OR($B242="", $AH242 = "SIM"), "", IF( ISNA( VLOOKUP( $AQ242, SISTEMA!$B:$B, 1, FALSE)), 1, 0))</f>
        <v/>
      </c>
      <c r="BY242" s="305" t="str">
        <f t="shared" si="180"/>
        <v/>
      </c>
      <c r="BZ242" s="305" t="str">
        <f t="shared" si="181"/>
        <v/>
      </c>
      <c r="CA242" s="304" t="str">
        <f t="shared" si="182"/>
        <v/>
      </c>
      <c r="CB242" s="305" t="str">
        <f t="shared" si="183"/>
        <v/>
      </c>
      <c r="CC242" s="305" t="str">
        <f t="shared" si="184"/>
        <v/>
      </c>
      <c r="CD242" s="305" t="str">
        <f t="shared" si="185"/>
        <v/>
      </c>
    </row>
    <row r="243" spans="1:82" x14ac:dyDescent="0.2">
      <c r="A243" s="235"/>
      <c r="B243" s="236" t="str">
        <f t="shared" si="150"/>
        <v/>
      </c>
      <c r="C243" s="237" t="str">
        <f t="shared" si="140"/>
        <v/>
      </c>
      <c r="D243" s="237" t="str">
        <f t="shared" si="151"/>
        <v/>
      </c>
      <c r="E243" s="237" t="str">
        <f>IF($C243="", "", COUNTIF($M$8:$M243,$D243))</f>
        <v/>
      </c>
      <c r="F243" s="238">
        <v>236</v>
      </c>
      <c r="G243" s="239"/>
      <c r="H243" s="240"/>
      <c r="I243" s="240"/>
      <c r="J243" s="241"/>
      <c r="K243" s="240"/>
      <c r="L243" s="240"/>
      <c r="M243" s="240"/>
      <c r="N243" s="242"/>
      <c r="O243" s="243"/>
      <c r="P243" s="243"/>
      <c r="Q243" s="243"/>
      <c r="R243" s="243"/>
      <c r="S243" s="243"/>
      <c r="T243" s="245"/>
      <c r="U243" s="246" t="str">
        <f>IF($T243="", "", VLOOKUP($T243, CONTRATOS!$B:$E, 2, FALSE))</f>
        <v/>
      </c>
      <c r="V243" s="247">
        <f>IF(OR($T243="",TB_DEFESA!$C$2="Criação Baseline"),0,
   IF(VLOOKUP($T243, CONTRATOS!B:E, 3, FALSE)&lt;&gt;"",1,IF(VLOOKUP($T243, CONTRATOS!B:E, 4, FALSE)&lt;&gt;"",2,0)))</f>
        <v>0</v>
      </c>
      <c r="W243" s="248"/>
      <c r="X243" s="248"/>
      <c r="Y243" s="249"/>
      <c r="Z243" s="250"/>
      <c r="AA243" s="251"/>
      <c r="AB243" s="252"/>
      <c r="AC243" s="253"/>
      <c r="AD243" s="251"/>
      <c r="AE243" s="254" t="str">
        <f t="shared" si="141"/>
        <v/>
      </c>
      <c r="AF243" s="256" t="str">
        <f t="shared" si="152"/>
        <v/>
      </c>
      <c r="AG243" s="293" t="s">
        <v>62</v>
      </c>
      <c r="AH243" s="294" t="str">
        <f t="shared" si="153"/>
        <v/>
      </c>
      <c r="AI243" s="294" t="str">
        <f t="shared" si="154"/>
        <v/>
      </c>
      <c r="AJ243" s="295" t="str">
        <f t="shared" si="155"/>
        <v/>
      </c>
      <c r="AK243" s="296" t="str">
        <f t="shared" si="156"/>
        <v/>
      </c>
      <c r="AL243" s="297" t="str">
        <f t="shared" si="157"/>
        <v/>
      </c>
      <c r="AM243" s="294" t="str">
        <f t="shared" si="158"/>
        <v/>
      </c>
      <c r="AN243" s="294" t="str">
        <f t="shared" si="159"/>
        <v/>
      </c>
      <c r="AO243" s="298" t="str">
        <f t="shared" si="160"/>
        <v/>
      </c>
      <c r="AP243" s="299" t="str">
        <f t="shared" si="161"/>
        <v/>
      </c>
      <c r="AQ243" s="299" t="str">
        <f t="shared" si="162"/>
        <v/>
      </c>
      <c r="AR243" s="300" t="str">
        <f t="shared" si="142"/>
        <v/>
      </c>
      <c r="AS243" s="300" t="str">
        <f t="shared" si="143"/>
        <v/>
      </c>
      <c r="AT243" s="294" t="str">
        <f t="shared" si="144"/>
        <v/>
      </c>
      <c r="AU243" s="301" t="str">
        <f>IF(OR($B243="", $AP243= ""),"",IF(VLOOKUP($AP243, CONTRATOS!B:K,3,FALSE)="","",VLOOKUP($AP243, CONTRATOS!B:K, 3,FALSE)))</f>
        <v/>
      </c>
      <c r="AV243" s="301" t="str">
        <f>IF(OR($B243="", $AP243 = ""), "", IF(VLOOKUP($AP243, CONTRATOS!B:K,4,FALSE)="","",VLOOKUP($AP243, CONTRATOS!B:K,4, FALSE)))</f>
        <v/>
      </c>
      <c r="AW243" s="302" t="str">
        <f t="shared" si="145"/>
        <v/>
      </c>
      <c r="AX243" s="301" t="str">
        <f t="shared" si="146"/>
        <v/>
      </c>
      <c r="AY243" s="301" t="str">
        <f t="shared" si="147"/>
        <v/>
      </c>
      <c r="AZ243" s="301" t="str">
        <f t="shared" si="148"/>
        <v/>
      </c>
      <c r="BA243" s="301" t="str">
        <f t="shared" si="149"/>
        <v/>
      </c>
      <c r="BB243" s="303">
        <f t="shared" si="163"/>
        <v>0</v>
      </c>
      <c r="BC243" s="303" t="str">
        <f t="shared" si="164"/>
        <v/>
      </c>
      <c r="BD243" s="303" t="str">
        <f t="shared" si="165"/>
        <v/>
      </c>
      <c r="BF243" s="304">
        <f t="shared" si="166"/>
        <v>0</v>
      </c>
      <c r="BG243" s="304">
        <f t="shared" si="167"/>
        <v>0</v>
      </c>
      <c r="BH243" s="304" t="str">
        <f>IF( $B243="", "", IF(ISNA(VLOOKUP($C243, Defesa!$C$8:$C$30,1,FALSE)),1,0))</f>
        <v/>
      </c>
      <c r="BI243" s="305" t="str">
        <f t="shared" si="168"/>
        <v/>
      </c>
      <c r="BJ243" s="305" t="str">
        <f t="shared" si="169"/>
        <v/>
      </c>
      <c r="BK243" s="304" t="str">
        <f t="shared" si="170"/>
        <v/>
      </c>
      <c r="BL243" s="304">
        <f t="shared" si="171"/>
        <v>0</v>
      </c>
      <c r="BM243" s="304" t="str">
        <f>IF($AC243="", "", IF(ISNA(VLOOKUP($AC243, TABELAS!$Q:$Q, 1, FALSE)), 1, 0))</f>
        <v/>
      </c>
      <c r="BN243" s="306" t="str">
        <f t="shared" si="172"/>
        <v/>
      </c>
      <c r="BO243" s="304" t="str">
        <f t="shared" si="173"/>
        <v/>
      </c>
      <c r="BP243" s="304" t="str">
        <f t="shared" si="174"/>
        <v/>
      </c>
      <c r="BQ243" s="305" t="str">
        <f t="shared" si="175"/>
        <v/>
      </c>
      <c r="BR243" s="304" t="str">
        <f t="shared" si="176"/>
        <v/>
      </c>
      <c r="BS243" s="304" t="str">
        <f t="shared" si="177"/>
        <v/>
      </c>
      <c r="BT243" s="304" t="str">
        <f>IF(OR($B243="", $AH243 = "SIM"), "", IF( ISNA(VLOOKUP($AP243,#REF!, 1, FALSE)), 1, 0))</f>
        <v/>
      </c>
      <c r="BU243" s="304" t="str">
        <f t="shared" si="178"/>
        <v/>
      </c>
      <c r="BV243" s="304" t="str">
        <f>IF( $B243="", "", IF( ISNA(VLOOKUP($AN243, TABELAS!$T$2:$T$9,1,FALSE)), 1, 0))</f>
        <v/>
      </c>
      <c r="BW243" s="304" t="str">
        <f t="shared" si="179"/>
        <v/>
      </c>
      <c r="BX243" s="304" t="str">
        <f>IF( OR($B243="", $AH243 = "SIM"), "", IF( ISNA( VLOOKUP( $AQ243, SISTEMA!$B:$B, 1, FALSE)), 1, 0))</f>
        <v/>
      </c>
      <c r="BY243" s="305" t="str">
        <f t="shared" si="180"/>
        <v/>
      </c>
      <c r="BZ243" s="305" t="str">
        <f t="shared" si="181"/>
        <v/>
      </c>
      <c r="CA243" s="304" t="str">
        <f t="shared" si="182"/>
        <v/>
      </c>
      <c r="CB243" s="305" t="str">
        <f t="shared" si="183"/>
        <v/>
      </c>
      <c r="CC243" s="305" t="str">
        <f t="shared" si="184"/>
        <v/>
      </c>
      <c r="CD243" s="305" t="str">
        <f t="shared" si="185"/>
        <v/>
      </c>
    </row>
    <row r="244" spans="1:82" x14ac:dyDescent="0.2">
      <c r="A244" s="235"/>
      <c r="B244" s="236" t="str">
        <f t="shared" si="150"/>
        <v/>
      </c>
      <c r="C244" s="237" t="str">
        <f t="shared" si="140"/>
        <v/>
      </c>
      <c r="D244" s="237" t="str">
        <f t="shared" si="151"/>
        <v/>
      </c>
      <c r="E244" s="237" t="str">
        <f>IF($C244="", "", COUNTIF($M$8:$M244,$D244))</f>
        <v/>
      </c>
      <c r="F244" s="238">
        <v>237</v>
      </c>
      <c r="G244" s="239"/>
      <c r="H244" s="240"/>
      <c r="I244" s="240"/>
      <c r="J244" s="241"/>
      <c r="K244" s="240"/>
      <c r="L244" s="240"/>
      <c r="M244" s="240"/>
      <c r="N244" s="242"/>
      <c r="O244" s="243"/>
      <c r="P244" s="243"/>
      <c r="Q244" s="243"/>
      <c r="R244" s="243"/>
      <c r="S244" s="243"/>
      <c r="T244" s="245"/>
      <c r="U244" s="246" t="str">
        <f>IF($T244="", "", VLOOKUP($T244, CONTRATOS!$B:$E, 2, FALSE))</f>
        <v/>
      </c>
      <c r="V244" s="247">
        <f>IF(OR($T244="",TB_DEFESA!$C$2="Criação Baseline"),0,
   IF(VLOOKUP($T244, CONTRATOS!B:E, 3, FALSE)&lt;&gt;"",1,IF(VLOOKUP($T244, CONTRATOS!B:E, 4, FALSE)&lt;&gt;"",2,0)))</f>
        <v>0</v>
      </c>
      <c r="W244" s="248"/>
      <c r="X244" s="248"/>
      <c r="Y244" s="249"/>
      <c r="Z244" s="250"/>
      <c r="AA244" s="251"/>
      <c r="AB244" s="252"/>
      <c r="AC244" s="253"/>
      <c r="AD244" s="251"/>
      <c r="AE244" s="254" t="str">
        <f t="shared" si="141"/>
        <v/>
      </c>
      <c r="AF244" s="256" t="str">
        <f t="shared" si="152"/>
        <v/>
      </c>
      <c r="AG244" s="293" t="s">
        <v>62</v>
      </c>
      <c r="AH244" s="294" t="str">
        <f t="shared" si="153"/>
        <v/>
      </c>
      <c r="AI244" s="294" t="str">
        <f t="shared" si="154"/>
        <v/>
      </c>
      <c r="AJ244" s="295" t="str">
        <f t="shared" si="155"/>
        <v/>
      </c>
      <c r="AK244" s="296" t="str">
        <f t="shared" si="156"/>
        <v/>
      </c>
      <c r="AL244" s="297" t="str">
        <f t="shared" si="157"/>
        <v/>
      </c>
      <c r="AM244" s="294" t="str">
        <f t="shared" si="158"/>
        <v/>
      </c>
      <c r="AN244" s="294" t="str">
        <f t="shared" si="159"/>
        <v/>
      </c>
      <c r="AO244" s="298" t="str">
        <f t="shared" si="160"/>
        <v/>
      </c>
      <c r="AP244" s="299" t="str">
        <f t="shared" si="161"/>
        <v/>
      </c>
      <c r="AQ244" s="299" t="str">
        <f t="shared" si="162"/>
        <v/>
      </c>
      <c r="AR244" s="300" t="str">
        <f t="shared" si="142"/>
        <v/>
      </c>
      <c r="AS244" s="300" t="str">
        <f t="shared" si="143"/>
        <v/>
      </c>
      <c r="AT244" s="294" t="str">
        <f t="shared" si="144"/>
        <v/>
      </c>
      <c r="AU244" s="301" t="str">
        <f>IF(OR($B244="", $AP244= ""),"",IF(VLOOKUP($AP244, CONTRATOS!B:K,3,FALSE)="","",VLOOKUP($AP244, CONTRATOS!B:K, 3,FALSE)))</f>
        <v/>
      </c>
      <c r="AV244" s="301" t="str">
        <f>IF(OR($B244="", $AP244 = ""), "", IF(VLOOKUP($AP244, CONTRATOS!B:K,4,FALSE)="","",VLOOKUP($AP244, CONTRATOS!B:K,4, FALSE)))</f>
        <v/>
      </c>
      <c r="AW244" s="302" t="str">
        <f t="shared" si="145"/>
        <v/>
      </c>
      <c r="AX244" s="301" t="str">
        <f t="shared" si="146"/>
        <v/>
      </c>
      <c r="AY244" s="301" t="str">
        <f t="shared" si="147"/>
        <v/>
      </c>
      <c r="AZ244" s="301" t="str">
        <f t="shared" si="148"/>
        <v/>
      </c>
      <c r="BA244" s="301" t="str">
        <f t="shared" si="149"/>
        <v/>
      </c>
      <c r="BB244" s="303">
        <f t="shared" si="163"/>
        <v>0</v>
      </c>
      <c r="BC244" s="303" t="str">
        <f t="shared" si="164"/>
        <v/>
      </c>
      <c r="BD244" s="303" t="str">
        <f t="shared" si="165"/>
        <v/>
      </c>
      <c r="BF244" s="304">
        <f t="shared" si="166"/>
        <v>0</v>
      </c>
      <c r="BG244" s="304">
        <f t="shared" si="167"/>
        <v>0</v>
      </c>
      <c r="BH244" s="304" t="str">
        <f>IF( $B244="", "", IF(ISNA(VLOOKUP($C244, Defesa!$C$8:$C$30,1,FALSE)),1,0))</f>
        <v/>
      </c>
      <c r="BI244" s="305" t="str">
        <f t="shared" si="168"/>
        <v/>
      </c>
      <c r="BJ244" s="305" t="str">
        <f t="shared" si="169"/>
        <v/>
      </c>
      <c r="BK244" s="304" t="str">
        <f t="shared" si="170"/>
        <v/>
      </c>
      <c r="BL244" s="304">
        <f t="shared" si="171"/>
        <v>0</v>
      </c>
      <c r="BM244" s="304" t="str">
        <f>IF($AC244="", "", IF(ISNA(VLOOKUP($AC244, TABELAS!$Q:$Q, 1, FALSE)), 1, 0))</f>
        <v/>
      </c>
      <c r="BN244" s="306" t="str">
        <f t="shared" si="172"/>
        <v/>
      </c>
      <c r="BO244" s="304" t="str">
        <f t="shared" si="173"/>
        <v/>
      </c>
      <c r="BP244" s="304" t="str">
        <f t="shared" si="174"/>
        <v/>
      </c>
      <c r="BQ244" s="305" t="str">
        <f t="shared" si="175"/>
        <v/>
      </c>
      <c r="BR244" s="304" t="str">
        <f t="shared" si="176"/>
        <v/>
      </c>
      <c r="BS244" s="304" t="str">
        <f t="shared" si="177"/>
        <v/>
      </c>
      <c r="BT244" s="304" t="str">
        <f>IF(OR($B244="", $AH244 = "SIM"), "", IF( ISNA(VLOOKUP($AP244,#REF!, 1, FALSE)), 1, 0))</f>
        <v/>
      </c>
      <c r="BU244" s="304" t="str">
        <f t="shared" si="178"/>
        <v/>
      </c>
      <c r="BV244" s="304" t="str">
        <f>IF( $B244="", "", IF( ISNA(VLOOKUP($AN244, TABELAS!$T$2:$T$9,1,FALSE)), 1, 0))</f>
        <v/>
      </c>
      <c r="BW244" s="304" t="str">
        <f t="shared" si="179"/>
        <v/>
      </c>
      <c r="BX244" s="304" t="str">
        <f>IF( OR($B244="", $AH244 = "SIM"), "", IF( ISNA( VLOOKUP( $AQ244, SISTEMA!$B:$B, 1, FALSE)), 1, 0))</f>
        <v/>
      </c>
      <c r="BY244" s="305" t="str">
        <f t="shared" si="180"/>
        <v/>
      </c>
      <c r="BZ244" s="305" t="str">
        <f t="shared" si="181"/>
        <v/>
      </c>
      <c r="CA244" s="304" t="str">
        <f t="shared" si="182"/>
        <v/>
      </c>
      <c r="CB244" s="305" t="str">
        <f t="shared" si="183"/>
        <v/>
      </c>
      <c r="CC244" s="305" t="str">
        <f t="shared" si="184"/>
        <v/>
      </c>
      <c r="CD244" s="305" t="str">
        <f t="shared" si="185"/>
        <v/>
      </c>
    </row>
    <row r="245" spans="1:82" x14ac:dyDescent="0.2">
      <c r="A245" s="235"/>
      <c r="B245" s="236" t="str">
        <f t="shared" si="150"/>
        <v/>
      </c>
      <c r="C245" s="237" t="str">
        <f t="shared" si="140"/>
        <v/>
      </c>
      <c r="D245" s="237" t="str">
        <f t="shared" si="151"/>
        <v/>
      </c>
      <c r="E245" s="237" t="str">
        <f>IF($C245="", "", COUNTIF($M$8:$M245,$D245))</f>
        <v/>
      </c>
      <c r="F245" s="238">
        <v>238</v>
      </c>
      <c r="G245" s="239"/>
      <c r="H245" s="240"/>
      <c r="I245" s="240"/>
      <c r="J245" s="241"/>
      <c r="K245" s="240"/>
      <c r="L245" s="240"/>
      <c r="M245" s="240"/>
      <c r="N245" s="242"/>
      <c r="O245" s="243"/>
      <c r="P245" s="243"/>
      <c r="Q245" s="243"/>
      <c r="R245" s="243"/>
      <c r="S245" s="243"/>
      <c r="T245" s="245"/>
      <c r="U245" s="246" t="str">
        <f>IF($T245="", "", VLOOKUP($T245, CONTRATOS!$B:$E, 2, FALSE))</f>
        <v/>
      </c>
      <c r="V245" s="247">
        <f>IF(OR($T245="",TB_DEFESA!$C$2="Criação Baseline"),0,
   IF(VLOOKUP($T245, CONTRATOS!B:E, 3, FALSE)&lt;&gt;"",1,IF(VLOOKUP($T245, CONTRATOS!B:E, 4, FALSE)&lt;&gt;"",2,0)))</f>
        <v>0</v>
      </c>
      <c r="W245" s="248"/>
      <c r="X245" s="248"/>
      <c r="Y245" s="249"/>
      <c r="Z245" s="250"/>
      <c r="AA245" s="251"/>
      <c r="AB245" s="252"/>
      <c r="AC245" s="253"/>
      <c r="AD245" s="251"/>
      <c r="AE245" s="254" t="str">
        <f t="shared" si="141"/>
        <v/>
      </c>
      <c r="AF245" s="256" t="str">
        <f t="shared" si="152"/>
        <v/>
      </c>
      <c r="AG245" s="293" t="s">
        <v>62</v>
      </c>
      <c r="AH245" s="294" t="str">
        <f t="shared" si="153"/>
        <v/>
      </c>
      <c r="AI245" s="294" t="str">
        <f t="shared" si="154"/>
        <v/>
      </c>
      <c r="AJ245" s="295" t="str">
        <f t="shared" si="155"/>
        <v/>
      </c>
      <c r="AK245" s="296" t="str">
        <f t="shared" si="156"/>
        <v/>
      </c>
      <c r="AL245" s="297" t="str">
        <f t="shared" si="157"/>
        <v/>
      </c>
      <c r="AM245" s="294" t="str">
        <f t="shared" si="158"/>
        <v/>
      </c>
      <c r="AN245" s="294" t="str">
        <f t="shared" si="159"/>
        <v/>
      </c>
      <c r="AO245" s="298" t="str">
        <f t="shared" si="160"/>
        <v/>
      </c>
      <c r="AP245" s="299" t="str">
        <f t="shared" si="161"/>
        <v/>
      </c>
      <c r="AQ245" s="299" t="str">
        <f t="shared" si="162"/>
        <v/>
      </c>
      <c r="AR245" s="300" t="str">
        <f t="shared" si="142"/>
        <v/>
      </c>
      <c r="AS245" s="300" t="str">
        <f t="shared" si="143"/>
        <v/>
      </c>
      <c r="AT245" s="294" t="str">
        <f t="shared" si="144"/>
        <v/>
      </c>
      <c r="AU245" s="301" t="str">
        <f>IF(OR($B245="", $AP245= ""),"",IF(VLOOKUP($AP245, CONTRATOS!B:K,3,FALSE)="","",VLOOKUP($AP245, CONTRATOS!B:K, 3,FALSE)))</f>
        <v/>
      </c>
      <c r="AV245" s="301" t="str">
        <f>IF(OR($B245="", $AP245 = ""), "", IF(VLOOKUP($AP245, CONTRATOS!B:K,4,FALSE)="","",VLOOKUP($AP245, CONTRATOS!B:K,4, FALSE)))</f>
        <v/>
      </c>
      <c r="AW245" s="302" t="str">
        <f t="shared" si="145"/>
        <v/>
      </c>
      <c r="AX245" s="301" t="str">
        <f t="shared" si="146"/>
        <v/>
      </c>
      <c r="AY245" s="301" t="str">
        <f t="shared" si="147"/>
        <v/>
      </c>
      <c r="AZ245" s="301" t="str">
        <f t="shared" si="148"/>
        <v/>
      </c>
      <c r="BA245" s="301" t="str">
        <f t="shared" si="149"/>
        <v/>
      </c>
      <c r="BB245" s="303">
        <f t="shared" si="163"/>
        <v>0</v>
      </c>
      <c r="BC245" s="303" t="str">
        <f t="shared" si="164"/>
        <v/>
      </c>
      <c r="BD245" s="303" t="str">
        <f t="shared" si="165"/>
        <v/>
      </c>
      <c r="BF245" s="304">
        <f t="shared" si="166"/>
        <v>0</v>
      </c>
      <c r="BG245" s="304">
        <f t="shared" si="167"/>
        <v>0</v>
      </c>
      <c r="BH245" s="304" t="str">
        <f>IF( $B245="", "", IF(ISNA(VLOOKUP($C245, Defesa!$C$8:$C$30,1,FALSE)),1,0))</f>
        <v/>
      </c>
      <c r="BI245" s="305" t="str">
        <f t="shared" si="168"/>
        <v/>
      </c>
      <c r="BJ245" s="305" t="str">
        <f t="shared" si="169"/>
        <v/>
      </c>
      <c r="BK245" s="304" t="str">
        <f t="shared" si="170"/>
        <v/>
      </c>
      <c r="BL245" s="304">
        <f t="shared" si="171"/>
        <v>0</v>
      </c>
      <c r="BM245" s="304" t="str">
        <f>IF($AC245="", "", IF(ISNA(VLOOKUP($AC245, TABELAS!$Q:$Q, 1, FALSE)), 1, 0))</f>
        <v/>
      </c>
      <c r="BN245" s="306" t="str">
        <f t="shared" si="172"/>
        <v/>
      </c>
      <c r="BO245" s="304" t="str">
        <f t="shared" si="173"/>
        <v/>
      </c>
      <c r="BP245" s="304" t="str">
        <f t="shared" si="174"/>
        <v/>
      </c>
      <c r="BQ245" s="305" t="str">
        <f t="shared" si="175"/>
        <v/>
      </c>
      <c r="BR245" s="304" t="str">
        <f t="shared" si="176"/>
        <v/>
      </c>
      <c r="BS245" s="304" t="str">
        <f t="shared" si="177"/>
        <v/>
      </c>
      <c r="BT245" s="304" t="str">
        <f>IF(OR($B245="", $AH245 = "SIM"), "", IF( ISNA(VLOOKUP($AP245,#REF!, 1, FALSE)), 1, 0))</f>
        <v/>
      </c>
      <c r="BU245" s="304" t="str">
        <f t="shared" si="178"/>
        <v/>
      </c>
      <c r="BV245" s="304" t="str">
        <f>IF( $B245="", "", IF( ISNA(VLOOKUP($AN245, TABELAS!$T$2:$T$9,1,FALSE)), 1, 0))</f>
        <v/>
      </c>
      <c r="BW245" s="304" t="str">
        <f t="shared" si="179"/>
        <v/>
      </c>
      <c r="BX245" s="304" t="str">
        <f>IF( OR($B245="", $AH245 = "SIM"), "", IF( ISNA( VLOOKUP( $AQ245, SISTEMA!$B:$B, 1, FALSE)), 1, 0))</f>
        <v/>
      </c>
      <c r="BY245" s="305" t="str">
        <f t="shared" si="180"/>
        <v/>
      </c>
      <c r="BZ245" s="305" t="str">
        <f t="shared" si="181"/>
        <v/>
      </c>
      <c r="CA245" s="304" t="str">
        <f t="shared" si="182"/>
        <v/>
      </c>
      <c r="CB245" s="305" t="str">
        <f t="shared" si="183"/>
        <v/>
      </c>
      <c r="CC245" s="305" t="str">
        <f t="shared" si="184"/>
        <v/>
      </c>
      <c r="CD245" s="305" t="str">
        <f t="shared" si="185"/>
        <v/>
      </c>
    </row>
    <row r="246" spans="1:82" x14ac:dyDescent="0.2">
      <c r="A246" s="235"/>
      <c r="B246" s="236" t="str">
        <f t="shared" si="150"/>
        <v/>
      </c>
      <c r="C246" s="237" t="str">
        <f t="shared" si="140"/>
        <v/>
      </c>
      <c r="D246" s="237" t="str">
        <f t="shared" si="151"/>
        <v/>
      </c>
      <c r="E246" s="237" t="str">
        <f>IF($C246="", "", COUNTIF($M$8:$M246,$D246))</f>
        <v/>
      </c>
      <c r="F246" s="238">
        <v>239</v>
      </c>
      <c r="G246" s="239"/>
      <c r="H246" s="240"/>
      <c r="I246" s="240"/>
      <c r="J246" s="241"/>
      <c r="K246" s="240"/>
      <c r="L246" s="240"/>
      <c r="M246" s="240"/>
      <c r="N246" s="242"/>
      <c r="O246" s="243"/>
      <c r="P246" s="243"/>
      <c r="Q246" s="243"/>
      <c r="R246" s="243"/>
      <c r="S246" s="243"/>
      <c r="T246" s="245"/>
      <c r="U246" s="246" t="str">
        <f>IF($T246="", "", VLOOKUP($T246, CONTRATOS!$B:$E, 2, FALSE))</f>
        <v/>
      </c>
      <c r="V246" s="247">
        <f>IF(OR($T246="",TB_DEFESA!$C$2="Criação Baseline"),0,
   IF(VLOOKUP($T246, CONTRATOS!B:E, 3, FALSE)&lt;&gt;"",1,IF(VLOOKUP($T246, CONTRATOS!B:E, 4, FALSE)&lt;&gt;"",2,0)))</f>
        <v>0</v>
      </c>
      <c r="W246" s="248"/>
      <c r="X246" s="248"/>
      <c r="Y246" s="249"/>
      <c r="Z246" s="250"/>
      <c r="AA246" s="251"/>
      <c r="AB246" s="252"/>
      <c r="AC246" s="253"/>
      <c r="AD246" s="251"/>
      <c r="AE246" s="254" t="str">
        <f t="shared" si="141"/>
        <v/>
      </c>
      <c r="AF246" s="256" t="str">
        <f t="shared" si="152"/>
        <v/>
      </c>
      <c r="AG246" s="293" t="s">
        <v>62</v>
      </c>
      <c r="AH246" s="294" t="str">
        <f t="shared" si="153"/>
        <v/>
      </c>
      <c r="AI246" s="294" t="str">
        <f t="shared" si="154"/>
        <v/>
      </c>
      <c r="AJ246" s="295" t="str">
        <f t="shared" si="155"/>
        <v/>
      </c>
      <c r="AK246" s="296" t="str">
        <f t="shared" si="156"/>
        <v/>
      </c>
      <c r="AL246" s="297" t="str">
        <f t="shared" si="157"/>
        <v/>
      </c>
      <c r="AM246" s="294" t="str">
        <f t="shared" si="158"/>
        <v/>
      </c>
      <c r="AN246" s="294" t="str">
        <f t="shared" si="159"/>
        <v/>
      </c>
      <c r="AO246" s="298" t="str">
        <f t="shared" si="160"/>
        <v/>
      </c>
      <c r="AP246" s="299" t="str">
        <f t="shared" si="161"/>
        <v/>
      </c>
      <c r="AQ246" s="299" t="str">
        <f t="shared" si="162"/>
        <v/>
      </c>
      <c r="AR246" s="300" t="str">
        <f t="shared" si="142"/>
        <v/>
      </c>
      <c r="AS246" s="300" t="str">
        <f t="shared" si="143"/>
        <v/>
      </c>
      <c r="AT246" s="294" t="str">
        <f t="shared" si="144"/>
        <v/>
      </c>
      <c r="AU246" s="301" t="str">
        <f>IF(OR($B246="", $AP246= ""),"",IF(VLOOKUP($AP246, CONTRATOS!B:K,3,FALSE)="","",VLOOKUP($AP246, CONTRATOS!B:K, 3,FALSE)))</f>
        <v/>
      </c>
      <c r="AV246" s="301" t="str">
        <f>IF(OR($B246="", $AP246 = ""), "", IF(VLOOKUP($AP246, CONTRATOS!B:K,4,FALSE)="","",VLOOKUP($AP246, CONTRATOS!B:K,4, FALSE)))</f>
        <v/>
      </c>
      <c r="AW246" s="302" t="str">
        <f t="shared" si="145"/>
        <v/>
      </c>
      <c r="AX246" s="301" t="str">
        <f t="shared" si="146"/>
        <v/>
      </c>
      <c r="AY246" s="301" t="str">
        <f t="shared" si="147"/>
        <v/>
      </c>
      <c r="AZ246" s="301" t="str">
        <f t="shared" si="148"/>
        <v/>
      </c>
      <c r="BA246" s="301" t="str">
        <f t="shared" si="149"/>
        <v/>
      </c>
      <c r="BB246" s="303">
        <f t="shared" si="163"/>
        <v>0</v>
      </c>
      <c r="BC246" s="303" t="str">
        <f t="shared" si="164"/>
        <v/>
      </c>
      <c r="BD246" s="303" t="str">
        <f t="shared" si="165"/>
        <v/>
      </c>
      <c r="BF246" s="304">
        <f t="shared" si="166"/>
        <v>0</v>
      </c>
      <c r="BG246" s="304">
        <f t="shared" si="167"/>
        <v>0</v>
      </c>
      <c r="BH246" s="304" t="str">
        <f>IF( $B246="", "", IF(ISNA(VLOOKUP($C246, Defesa!$C$8:$C$30,1,FALSE)),1,0))</f>
        <v/>
      </c>
      <c r="BI246" s="305" t="str">
        <f t="shared" si="168"/>
        <v/>
      </c>
      <c r="BJ246" s="305" t="str">
        <f t="shared" si="169"/>
        <v/>
      </c>
      <c r="BK246" s="304" t="str">
        <f t="shared" si="170"/>
        <v/>
      </c>
      <c r="BL246" s="304">
        <f t="shared" si="171"/>
        <v>0</v>
      </c>
      <c r="BM246" s="304" t="str">
        <f>IF($AC246="", "", IF(ISNA(VLOOKUP($AC246, TABELAS!$Q:$Q, 1, FALSE)), 1, 0))</f>
        <v/>
      </c>
      <c r="BN246" s="306" t="str">
        <f t="shared" si="172"/>
        <v/>
      </c>
      <c r="BO246" s="304" t="str">
        <f t="shared" si="173"/>
        <v/>
      </c>
      <c r="BP246" s="304" t="str">
        <f t="shared" si="174"/>
        <v/>
      </c>
      <c r="BQ246" s="305" t="str">
        <f t="shared" si="175"/>
        <v/>
      </c>
      <c r="BR246" s="304" t="str">
        <f t="shared" si="176"/>
        <v/>
      </c>
      <c r="BS246" s="304" t="str">
        <f t="shared" si="177"/>
        <v/>
      </c>
      <c r="BT246" s="304" t="str">
        <f>IF(OR($B246="", $AH246 = "SIM"), "", IF( ISNA(VLOOKUP($AP246,#REF!, 1, FALSE)), 1, 0))</f>
        <v/>
      </c>
      <c r="BU246" s="304" t="str">
        <f t="shared" si="178"/>
        <v/>
      </c>
      <c r="BV246" s="304" t="str">
        <f>IF( $B246="", "", IF( ISNA(VLOOKUP($AN246, TABELAS!$T$2:$T$9,1,FALSE)), 1, 0))</f>
        <v/>
      </c>
      <c r="BW246" s="304" t="str">
        <f t="shared" si="179"/>
        <v/>
      </c>
      <c r="BX246" s="304" t="str">
        <f>IF( OR($B246="", $AH246 = "SIM"), "", IF( ISNA( VLOOKUP( $AQ246, SISTEMA!$B:$B, 1, FALSE)), 1, 0))</f>
        <v/>
      </c>
      <c r="BY246" s="305" t="str">
        <f t="shared" si="180"/>
        <v/>
      </c>
      <c r="BZ246" s="305" t="str">
        <f t="shared" si="181"/>
        <v/>
      </c>
      <c r="CA246" s="304" t="str">
        <f t="shared" si="182"/>
        <v/>
      </c>
      <c r="CB246" s="305" t="str">
        <f t="shared" si="183"/>
        <v/>
      </c>
      <c r="CC246" s="305" t="str">
        <f t="shared" si="184"/>
        <v/>
      </c>
      <c r="CD246" s="305" t="str">
        <f t="shared" si="185"/>
        <v/>
      </c>
    </row>
    <row r="247" spans="1:82" x14ac:dyDescent="0.2">
      <c r="A247" s="235"/>
      <c r="B247" s="236" t="str">
        <f t="shared" si="150"/>
        <v/>
      </c>
      <c r="C247" s="237" t="str">
        <f t="shared" si="140"/>
        <v/>
      </c>
      <c r="D247" s="237" t="str">
        <f t="shared" si="151"/>
        <v/>
      </c>
      <c r="E247" s="237" t="str">
        <f>IF($C247="", "", COUNTIF($M$8:$M247,$D247))</f>
        <v/>
      </c>
      <c r="F247" s="238">
        <v>240</v>
      </c>
      <c r="G247" s="239"/>
      <c r="H247" s="240"/>
      <c r="I247" s="240"/>
      <c r="J247" s="241"/>
      <c r="K247" s="240"/>
      <c r="L247" s="240"/>
      <c r="M247" s="240"/>
      <c r="N247" s="242"/>
      <c r="O247" s="243"/>
      <c r="P247" s="243"/>
      <c r="Q247" s="243"/>
      <c r="R247" s="243"/>
      <c r="S247" s="243"/>
      <c r="T247" s="245"/>
      <c r="U247" s="246" t="str">
        <f>IF($T247="", "", VLOOKUP($T247, CONTRATOS!$B:$E, 2, FALSE))</f>
        <v/>
      </c>
      <c r="V247" s="247">
        <f>IF(OR($T247="",TB_DEFESA!$C$2="Criação Baseline"),0,
   IF(VLOOKUP($T247, CONTRATOS!B:E, 3, FALSE)&lt;&gt;"",1,IF(VLOOKUP($T247, CONTRATOS!B:E, 4, FALSE)&lt;&gt;"",2,0)))</f>
        <v>0</v>
      </c>
      <c r="W247" s="248"/>
      <c r="X247" s="248"/>
      <c r="Y247" s="249"/>
      <c r="Z247" s="250"/>
      <c r="AA247" s="251"/>
      <c r="AB247" s="252"/>
      <c r="AC247" s="253"/>
      <c r="AD247" s="251"/>
      <c r="AE247" s="254" t="str">
        <f t="shared" si="141"/>
        <v/>
      </c>
      <c r="AF247" s="256" t="str">
        <f t="shared" si="152"/>
        <v/>
      </c>
      <c r="AG247" s="293" t="s">
        <v>62</v>
      </c>
      <c r="AH247" s="294" t="str">
        <f t="shared" si="153"/>
        <v/>
      </c>
      <c r="AI247" s="294" t="str">
        <f t="shared" si="154"/>
        <v/>
      </c>
      <c r="AJ247" s="295" t="str">
        <f t="shared" si="155"/>
        <v/>
      </c>
      <c r="AK247" s="296" t="str">
        <f t="shared" si="156"/>
        <v/>
      </c>
      <c r="AL247" s="297" t="str">
        <f t="shared" si="157"/>
        <v/>
      </c>
      <c r="AM247" s="294" t="str">
        <f t="shared" si="158"/>
        <v/>
      </c>
      <c r="AN247" s="294" t="str">
        <f t="shared" si="159"/>
        <v/>
      </c>
      <c r="AO247" s="298" t="str">
        <f t="shared" si="160"/>
        <v/>
      </c>
      <c r="AP247" s="299" t="str">
        <f t="shared" si="161"/>
        <v/>
      </c>
      <c r="AQ247" s="299" t="str">
        <f t="shared" si="162"/>
        <v/>
      </c>
      <c r="AR247" s="300" t="str">
        <f t="shared" si="142"/>
        <v/>
      </c>
      <c r="AS247" s="300" t="str">
        <f t="shared" si="143"/>
        <v/>
      </c>
      <c r="AT247" s="294" t="str">
        <f t="shared" si="144"/>
        <v/>
      </c>
      <c r="AU247" s="301" t="str">
        <f>IF(OR($B247="", $AP247= ""),"",IF(VLOOKUP($AP247, CONTRATOS!B:K,3,FALSE)="","",VLOOKUP($AP247, CONTRATOS!B:K, 3,FALSE)))</f>
        <v/>
      </c>
      <c r="AV247" s="301" t="str">
        <f>IF(OR($B247="", $AP247 = ""), "", IF(VLOOKUP($AP247, CONTRATOS!B:K,4,FALSE)="","",VLOOKUP($AP247, CONTRATOS!B:K,4, FALSE)))</f>
        <v/>
      </c>
      <c r="AW247" s="302" t="str">
        <f t="shared" si="145"/>
        <v/>
      </c>
      <c r="AX247" s="301" t="str">
        <f t="shared" si="146"/>
        <v/>
      </c>
      <c r="AY247" s="301" t="str">
        <f t="shared" si="147"/>
        <v/>
      </c>
      <c r="AZ247" s="301" t="str">
        <f t="shared" si="148"/>
        <v/>
      </c>
      <c r="BA247" s="301" t="str">
        <f t="shared" si="149"/>
        <v/>
      </c>
      <c r="BB247" s="303">
        <f t="shared" si="163"/>
        <v>0</v>
      </c>
      <c r="BC247" s="303" t="str">
        <f t="shared" si="164"/>
        <v/>
      </c>
      <c r="BD247" s="303" t="str">
        <f t="shared" si="165"/>
        <v/>
      </c>
      <c r="BF247" s="304">
        <f t="shared" si="166"/>
        <v>0</v>
      </c>
      <c r="BG247" s="304">
        <f t="shared" si="167"/>
        <v>0</v>
      </c>
      <c r="BH247" s="304" t="str">
        <f>IF( $B247="", "", IF(ISNA(VLOOKUP($C247, Defesa!$C$8:$C$30,1,FALSE)),1,0))</f>
        <v/>
      </c>
      <c r="BI247" s="305" t="str">
        <f t="shared" si="168"/>
        <v/>
      </c>
      <c r="BJ247" s="305" t="str">
        <f t="shared" si="169"/>
        <v/>
      </c>
      <c r="BK247" s="304" t="str">
        <f t="shared" si="170"/>
        <v/>
      </c>
      <c r="BL247" s="304">
        <f t="shared" si="171"/>
        <v>0</v>
      </c>
      <c r="BM247" s="304" t="str">
        <f>IF($AC247="", "", IF(ISNA(VLOOKUP($AC247, TABELAS!$Q:$Q, 1, FALSE)), 1, 0))</f>
        <v/>
      </c>
      <c r="BN247" s="306" t="str">
        <f t="shared" si="172"/>
        <v/>
      </c>
      <c r="BO247" s="304" t="str">
        <f t="shared" si="173"/>
        <v/>
      </c>
      <c r="BP247" s="304" t="str">
        <f t="shared" si="174"/>
        <v/>
      </c>
      <c r="BQ247" s="305" t="str">
        <f t="shared" si="175"/>
        <v/>
      </c>
      <c r="BR247" s="304" t="str">
        <f t="shared" si="176"/>
        <v/>
      </c>
      <c r="BS247" s="304" t="str">
        <f t="shared" si="177"/>
        <v/>
      </c>
      <c r="BT247" s="304" t="str">
        <f>IF(OR($B247="", $AH247 = "SIM"), "", IF( ISNA(VLOOKUP($AP247,#REF!, 1, FALSE)), 1, 0))</f>
        <v/>
      </c>
      <c r="BU247" s="304" t="str">
        <f t="shared" si="178"/>
        <v/>
      </c>
      <c r="BV247" s="304" t="str">
        <f>IF( $B247="", "", IF( ISNA(VLOOKUP($AN247, TABELAS!$T$2:$T$9,1,FALSE)), 1, 0))</f>
        <v/>
      </c>
      <c r="BW247" s="304" t="str">
        <f t="shared" si="179"/>
        <v/>
      </c>
      <c r="BX247" s="304" t="str">
        <f>IF( OR($B247="", $AH247 = "SIM"), "", IF( ISNA( VLOOKUP( $AQ247, SISTEMA!$B:$B, 1, FALSE)), 1, 0))</f>
        <v/>
      </c>
      <c r="BY247" s="305" t="str">
        <f t="shared" si="180"/>
        <v/>
      </c>
      <c r="BZ247" s="305" t="str">
        <f t="shared" si="181"/>
        <v/>
      </c>
      <c r="CA247" s="304" t="str">
        <f t="shared" si="182"/>
        <v/>
      </c>
      <c r="CB247" s="305" t="str">
        <f t="shared" si="183"/>
        <v/>
      </c>
      <c r="CC247" s="305" t="str">
        <f t="shared" si="184"/>
        <v/>
      </c>
      <c r="CD247" s="305" t="str">
        <f t="shared" si="185"/>
        <v/>
      </c>
    </row>
    <row r="248" spans="1:82" x14ac:dyDescent="0.2">
      <c r="A248" s="235"/>
      <c r="B248" s="236" t="str">
        <f t="shared" si="150"/>
        <v/>
      </c>
      <c r="C248" s="237" t="str">
        <f t="shared" si="140"/>
        <v/>
      </c>
      <c r="D248" s="237" t="str">
        <f t="shared" si="151"/>
        <v/>
      </c>
      <c r="E248" s="237" t="str">
        <f>IF($C248="", "", COUNTIF($M$8:$M248,$D248))</f>
        <v/>
      </c>
      <c r="F248" s="238">
        <v>241</v>
      </c>
      <c r="G248" s="239"/>
      <c r="H248" s="240"/>
      <c r="I248" s="240"/>
      <c r="J248" s="241"/>
      <c r="K248" s="240"/>
      <c r="L248" s="240"/>
      <c r="M248" s="240"/>
      <c r="N248" s="242"/>
      <c r="O248" s="243"/>
      <c r="P248" s="243"/>
      <c r="Q248" s="243"/>
      <c r="R248" s="243"/>
      <c r="S248" s="243"/>
      <c r="T248" s="245"/>
      <c r="U248" s="246" t="str">
        <f>IF($T248="", "", VLOOKUP($T248, CONTRATOS!$B:$E, 2, FALSE))</f>
        <v/>
      </c>
      <c r="V248" s="247">
        <f>IF(OR($T248="",TB_DEFESA!$C$2="Criação Baseline"),0,
   IF(VLOOKUP($T248, CONTRATOS!B:E, 3, FALSE)&lt;&gt;"",1,IF(VLOOKUP($T248, CONTRATOS!B:E, 4, FALSE)&lt;&gt;"",2,0)))</f>
        <v>0</v>
      </c>
      <c r="W248" s="248"/>
      <c r="X248" s="248"/>
      <c r="Y248" s="249"/>
      <c r="Z248" s="250"/>
      <c r="AA248" s="251"/>
      <c r="AB248" s="252"/>
      <c r="AC248" s="253"/>
      <c r="AD248" s="251"/>
      <c r="AE248" s="254" t="str">
        <f t="shared" si="141"/>
        <v/>
      </c>
      <c r="AF248" s="256" t="str">
        <f t="shared" si="152"/>
        <v/>
      </c>
      <c r="AG248" s="293" t="s">
        <v>62</v>
      </c>
      <c r="AH248" s="294" t="str">
        <f t="shared" si="153"/>
        <v/>
      </c>
      <c r="AI248" s="294" t="str">
        <f t="shared" si="154"/>
        <v/>
      </c>
      <c r="AJ248" s="295" t="str">
        <f t="shared" si="155"/>
        <v/>
      </c>
      <c r="AK248" s="296" t="str">
        <f t="shared" si="156"/>
        <v/>
      </c>
      <c r="AL248" s="297" t="str">
        <f t="shared" si="157"/>
        <v/>
      </c>
      <c r="AM248" s="294" t="str">
        <f t="shared" si="158"/>
        <v/>
      </c>
      <c r="AN248" s="294" t="str">
        <f t="shared" si="159"/>
        <v/>
      </c>
      <c r="AO248" s="298" t="str">
        <f t="shared" si="160"/>
        <v/>
      </c>
      <c r="AP248" s="299" t="str">
        <f t="shared" si="161"/>
        <v/>
      </c>
      <c r="AQ248" s="299" t="str">
        <f t="shared" si="162"/>
        <v/>
      </c>
      <c r="AR248" s="300" t="str">
        <f t="shared" si="142"/>
        <v/>
      </c>
      <c r="AS248" s="300" t="str">
        <f t="shared" si="143"/>
        <v/>
      </c>
      <c r="AT248" s="294" t="str">
        <f t="shared" si="144"/>
        <v/>
      </c>
      <c r="AU248" s="301" t="str">
        <f>IF(OR($B248="", $AP248= ""),"",IF(VLOOKUP($AP248, CONTRATOS!B:K,3,FALSE)="","",VLOOKUP($AP248, CONTRATOS!B:K, 3,FALSE)))</f>
        <v/>
      </c>
      <c r="AV248" s="301" t="str">
        <f>IF(OR($B248="", $AP248 = ""), "", IF(VLOOKUP($AP248, CONTRATOS!B:K,4,FALSE)="","",VLOOKUP($AP248, CONTRATOS!B:K,4, FALSE)))</f>
        <v/>
      </c>
      <c r="AW248" s="302" t="str">
        <f t="shared" si="145"/>
        <v/>
      </c>
      <c r="AX248" s="301" t="str">
        <f t="shared" si="146"/>
        <v/>
      </c>
      <c r="AY248" s="301" t="str">
        <f t="shared" si="147"/>
        <v/>
      </c>
      <c r="AZ248" s="301" t="str">
        <f t="shared" si="148"/>
        <v/>
      </c>
      <c r="BA248" s="301" t="str">
        <f t="shared" si="149"/>
        <v/>
      </c>
      <c r="BB248" s="303">
        <f t="shared" si="163"/>
        <v>0</v>
      </c>
      <c r="BC248" s="303" t="str">
        <f t="shared" si="164"/>
        <v/>
      </c>
      <c r="BD248" s="303" t="str">
        <f t="shared" si="165"/>
        <v/>
      </c>
      <c r="BF248" s="304">
        <f t="shared" si="166"/>
        <v>0</v>
      </c>
      <c r="BG248" s="304">
        <f t="shared" si="167"/>
        <v>0</v>
      </c>
      <c r="BH248" s="304" t="str">
        <f>IF( $B248="", "", IF(ISNA(VLOOKUP($C248, Defesa!$C$8:$C$30,1,FALSE)),1,0))</f>
        <v/>
      </c>
      <c r="BI248" s="305" t="str">
        <f t="shared" si="168"/>
        <v/>
      </c>
      <c r="BJ248" s="305" t="str">
        <f t="shared" si="169"/>
        <v/>
      </c>
      <c r="BK248" s="304" t="str">
        <f t="shared" si="170"/>
        <v/>
      </c>
      <c r="BL248" s="304">
        <f t="shared" si="171"/>
        <v>0</v>
      </c>
      <c r="BM248" s="304" t="str">
        <f>IF($AC248="", "", IF(ISNA(VLOOKUP($AC248, TABELAS!$Q:$Q, 1, FALSE)), 1, 0))</f>
        <v/>
      </c>
      <c r="BN248" s="306" t="str">
        <f t="shared" si="172"/>
        <v/>
      </c>
      <c r="BO248" s="304" t="str">
        <f t="shared" si="173"/>
        <v/>
      </c>
      <c r="BP248" s="304" t="str">
        <f t="shared" si="174"/>
        <v/>
      </c>
      <c r="BQ248" s="305" t="str">
        <f t="shared" si="175"/>
        <v/>
      </c>
      <c r="BR248" s="304" t="str">
        <f t="shared" si="176"/>
        <v/>
      </c>
      <c r="BS248" s="304" t="str">
        <f t="shared" si="177"/>
        <v/>
      </c>
      <c r="BT248" s="304" t="str">
        <f>IF(OR($B248="", $AH248 = "SIM"), "", IF( ISNA(VLOOKUP($AP248,#REF!, 1, FALSE)), 1, 0))</f>
        <v/>
      </c>
      <c r="BU248" s="304" t="str">
        <f t="shared" si="178"/>
        <v/>
      </c>
      <c r="BV248" s="304" t="str">
        <f>IF( $B248="", "", IF( ISNA(VLOOKUP($AN248, TABELAS!$T$2:$T$9,1,FALSE)), 1, 0))</f>
        <v/>
      </c>
      <c r="BW248" s="304" t="str">
        <f t="shared" si="179"/>
        <v/>
      </c>
      <c r="BX248" s="304" t="str">
        <f>IF( OR($B248="", $AH248 = "SIM"), "", IF( ISNA( VLOOKUP( $AQ248, SISTEMA!$B:$B, 1, FALSE)), 1, 0))</f>
        <v/>
      </c>
      <c r="BY248" s="305" t="str">
        <f t="shared" si="180"/>
        <v/>
      </c>
      <c r="BZ248" s="305" t="str">
        <f t="shared" si="181"/>
        <v/>
      </c>
      <c r="CA248" s="304" t="str">
        <f t="shared" si="182"/>
        <v/>
      </c>
      <c r="CB248" s="305" t="str">
        <f t="shared" si="183"/>
        <v/>
      </c>
      <c r="CC248" s="305" t="str">
        <f t="shared" si="184"/>
        <v/>
      </c>
      <c r="CD248" s="305" t="str">
        <f t="shared" si="185"/>
        <v/>
      </c>
    </row>
    <row r="249" spans="1:82" x14ac:dyDescent="0.2">
      <c r="A249" s="235"/>
      <c r="B249" s="236" t="str">
        <f t="shared" si="150"/>
        <v/>
      </c>
      <c r="C249" s="237" t="str">
        <f t="shared" si="140"/>
        <v/>
      </c>
      <c r="D249" s="237" t="str">
        <f t="shared" si="151"/>
        <v/>
      </c>
      <c r="E249" s="237" t="str">
        <f>IF($C249="", "", COUNTIF($M$8:$M249,$D249))</f>
        <v/>
      </c>
      <c r="F249" s="238">
        <v>242</v>
      </c>
      <c r="G249" s="239"/>
      <c r="H249" s="240"/>
      <c r="I249" s="240"/>
      <c r="J249" s="241"/>
      <c r="K249" s="240"/>
      <c r="L249" s="240"/>
      <c r="M249" s="240"/>
      <c r="N249" s="242"/>
      <c r="O249" s="243"/>
      <c r="P249" s="243"/>
      <c r="Q249" s="243"/>
      <c r="R249" s="243"/>
      <c r="S249" s="243"/>
      <c r="T249" s="245"/>
      <c r="U249" s="246" t="str">
        <f>IF($T249="", "", VLOOKUP($T249, CONTRATOS!$B:$E, 2, FALSE))</f>
        <v/>
      </c>
      <c r="V249" s="247">
        <f>IF(OR($T249="",TB_DEFESA!$C$2="Criação Baseline"),0,
   IF(VLOOKUP($T249, CONTRATOS!B:E, 3, FALSE)&lt;&gt;"",1,IF(VLOOKUP($T249, CONTRATOS!B:E, 4, FALSE)&lt;&gt;"",2,0)))</f>
        <v>0</v>
      </c>
      <c r="W249" s="248"/>
      <c r="X249" s="248"/>
      <c r="Y249" s="249"/>
      <c r="Z249" s="250"/>
      <c r="AA249" s="251"/>
      <c r="AB249" s="252"/>
      <c r="AC249" s="253"/>
      <c r="AD249" s="251"/>
      <c r="AE249" s="254" t="str">
        <f t="shared" si="141"/>
        <v/>
      </c>
      <c r="AF249" s="256" t="str">
        <f t="shared" si="152"/>
        <v/>
      </c>
      <c r="AG249" s="293" t="s">
        <v>62</v>
      </c>
      <c r="AH249" s="294" t="str">
        <f t="shared" si="153"/>
        <v/>
      </c>
      <c r="AI249" s="294" t="str">
        <f t="shared" si="154"/>
        <v/>
      </c>
      <c r="AJ249" s="295" t="str">
        <f t="shared" si="155"/>
        <v/>
      </c>
      <c r="AK249" s="296" t="str">
        <f t="shared" si="156"/>
        <v/>
      </c>
      <c r="AL249" s="297" t="str">
        <f t="shared" si="157"/>
        <v/>
      </c>
      <c r="AM249" s="294" t="str">
        <f t="shared" si="158"/>
        <v/>
      </c>
      <c r="AN249" s="294" t="str">
        <f t="shared" si="159"/>
        <v/>
      </c>
      <c r="AO249" s="298" t="str">
        <f t="shared" si="160"/>
        <v/>
      </c>
      <c r="AP249" s="299" t="str">
        <f t="shared" si="161"/>
        <v/>
      </c>
      <c r="AQ249" s="299" t="str">
        <f t="shared" si="162"/>
        <v/>
      </c>
      <c r="AR249" s="300" t="str">
        <f t="shared" si="142"/>
        <v/>
      </c>
      <c r="AS249" s="300" t="str">
        <f t="shared" si="143"/>
        <v/>
      </c>
      <c r="AT249" s="294" t="str">
        <f t="shared" si="144"/>
        <v/>
      </c>
      <c r="AU249" s="301" t="str">
        <f>IF(OR($B249="", $AP249= ""),"",IF(VLOOKUP($AP249, CONTRATOS!B:K,3,FALSE)="","",VLOOKUP($AP249, CONTRATOS!B:K, 3,FALSE)))</f>
        <v/>
      </c>
      <c r="AV249" s="301" t="str">
        <f>IF(OR($B249="", $AP249 = ""), "", IF(VLOOKUP($AP249, CONTRATOS!B:K,4,FALSE)="","",VLOOKUP($AP249, CONTRATOS!B:K,4, FALSE)))</f>
        <v/>
      </c>
      <c r="AW249" s="302" t="str">
        <f t="shared" si="145"/>
        <v/>
      </c>
      <c r="AX249" s="301" t="str">
        <f t="shared" si="146"/>
        <v/>
      </c>
      <c r="AY249" s="301" t="str">
        <f t="shared" si="147"/>
        <v/>
      </c>
      <c r="AZ249" s="301" t="str">
        <f t="shared" si="148"/>
        <v/>
      </c>
      <c r="BA249" s="301" t="str">
        <f t="shared" si="149"/>
        <v/>
      </c>
      <c r="BB249" s="303">
        <f t="shared" si="163"/>
        <v>0</v>
      </c>
      <c r="BC249" s="303" t="str">
        <f t="shared" si="164"/>
        <v/>
      </c>
      <c r="BD249" s="303" t="str">
        <f t="shared" si="165"/>
        <v/>
      </c>
      <c r="BF249" s="304">
        <f t="shared" si="166"/>
        <v>0</v>
      </c>
      <c r="BG249" s="304">
        <f t="shared" si="167"/>
        <v>0</v>
      </c>
      <c r="BH249" s="304" t="str">
        <f>IF( $B249="", "", IF(ISNA(VLOOKUP($C249, Defesa!$C$8:$C$30,1,FALSE)),1,0))</f>
        <v/>
      </c>
      <c r="BI249" s="305" t="str">
        <f t="shared" si="168"/>
        <v/>
      </c>
      <c r="BJ249" s="305" t="str">
        <f t="shared" si="169"/>
        <v/>
      </c>
      <c r="BK249" s="304" t="str">
        <f t="shared" si="170"/>
        <v/>
      </c>
      <c r="BL249" s="304">
        <f t="shared" si="171"/>
        <v>0</v>
      </c>
      <c r="BM249" s="304" t="str">
        <f>IF($AC249="", "", IF(ISNA(VLOOKUP($AC249, TABELAS!$Q:$Q, 1, FALSE)), 1, 0))</f>
        <v/>
      </c>
      <c r="BN249" s="306" t="str">
        <f t="shared" si="172"/>
        <v/>
      </c>
      <c r="BO249" s="304" t="str">
        <f t="shared" si="173"/>
        <v/>
      </c>
      <c r="BP249" s="304" t="str">
        <f t="shared" si="174"/>
        <v/>
      </c>
      <c r="BQ249" s="305" t="str">
        <f t="shared" si="175"/>
        <v/>
      </c>
      <c r="BR249" s="304" t="str">
        <f t="shared" si="176"/>
        <v/>
      </c>
      <c r="BS249" s="304" t="str">
        <f t="shared" si="177"/>
        <v/>
      </c>
      <c r="BT249" s="304" t="str">
        <f>IF(OR($B249="", $AH249 = "SIM"), "", IF( ISNA(VLOOKUP($AP249,#REF!, 1, FALSE)), 1, 0))</f>
        <v/>
      </c>
      <c r="BU249" s="304" t="str">
        <f t="shared" si="178"/>
        <v/>
      </c>
      <c r="BV249" s="304" t="str">
        <f>IF( $B249="", "", IF( ISNA(VLOOKUP($AN249, TABELAS!$T$2:$T$9,1,FALSE)), 1, 0))</f>
        <v/>
      </c>
      <c r="BW249" s="304" t="str">
        <f t="shared" si="179"/>
        <v/>
      </c>
      <c r="BX249" s="304" t="str">
        <f>IF( OR($B249="", $AH249 = "SIM"), "", IF( ISNA( VLOOKUP( $AQ249, SISTEMA!$B:$B, 1, FALSE)), 1, 0))</f>
        <v/>
      </c>
      <c r="BY249" s="305" t="str">
        <f t="shared" si="180"/>
        <v/>
      </c>
      <c r="BZ249" s="305" t="str">
        <f t="shared" si="181"/>
        <v/>
      </c>
      <c r="CA249" s="304" t="str">
        <f t="shared" si="182"/>
        <v/>
      </c>
      <c r="CB249" s="305" t="str">
        <f t="shared" si="183"/>
        <v/>
      </c>
      <c r="CC249" s="305" t="str">
        <f t="shared" si="184"/>
        <v/>
      </c>
      <c r="CD249" s="305" t="str">
        <f t="shared" si="185"/>
        <v/>
      </c>
    </row>
    <row r="250" spans="1:82" x14ac:dyDescent="0.2">
      <c r="A250" s="235"/>
      <c r="B250" s="236" t="str">
        <f t="shared" si="150"/>
        <v/>
      </c>
      <c r="C250" s="237" t="str">
        <f t="shared" si="140"/>
        <v/>
      </c>
      <c r="D250" s="237" t="str">
        <f t="shared" si="151"/>
        <v/>
      </c>
      <c r="E250" s="237" t="str">
        <f>IF($C250="", "", COUNTIF($M$8:$M250,$D250))</f>
        <v/>
      </c>
      <c r="F250" s="238">
        <v>243</v>
      </c>
      <c r="G250" s="239"/>
      <c r="H250" s="240"/>
      <c r="I250" s="240"/>
      <c r="J250" s="241"/>
      <c r="K250" s="240"/>
      <c r="L250" s="240"/>
      <c r="M250" s="240"/>
      <c r="N250" s="242"/>
      <c r="O250" s="243"/>
      <c r="P250" s="243"/>
      <c r="Q250" s="243"/>
      <c r="R250" s="243"/>
      <c r="S250" s="243"/>
      <c r="T250" s="245"/>
      <c r="U250" s="246" t="str">
        <f>IF($T250="", "", VLOOKUP($T250, CONTRATOS!$B:$E, 2, FALSE))</f>
        <v/>
      </c>
      <c r="V250" s="247">
        <f>IF(OR($T250="",TB_DEFESA!$C$2="Criação Baseline"),0,
   IF(VLOOKUP($T250, CONTRATOS!B:E, 3, FALSE)&lt;&gt;"",1,IF(VLOOKUP($T250, CONTRATOS!B:E, 4, FALSE)&lt;&gt;"",2,0)))</f>
        <v>0</v>
      </c>
      <c r="W250" s="248"/>
      <c r="X250" s="248"/>
      <c r="Y250" s="249"/>
      <c r="Z250" s="250"/>
      <c r="AA250" s="251"/>
      <c r="AB250" s="252"/>
      <c r="AC250" s="253"/>
      <c r="AD250" s="251"/>
      <c r="AE250" s="254" t="str">
        <f t="shared" si="141"/>
        <v/>
      </c>
      <c r="AF250" s="256" t="str">
        <f t="shared" si="152"/>
        <v/>
      </c>
      <c r="AG250" s="293" t="s">
        <v>62</v>
      </c>
      <c r="AH250" s="294" t="str">
        <f t="shared" si="153"/>
        <v/>
      </c>
      <c r="AI250" s="294" t="str">
        <f t="shared" si="154"/>
        <v/>
      </c>
      <c r="AJ250" s="295" t="str">
        <f t="shared" si="155"/>
        <v/>
      </c>
      <c r="AK250" s="296" t="str">
        <f t="shared" si="156"/>
        <v/>
      </c>
      <c r="AL250" s="297" t="str">
        <f t="shared" si="157"/>
        <v/>
      </c>
      <c r="AM250" s="294" t="str">
        <f t="shared" si="158"/>
        <v/>
      </c>
      <c r="AN250" s="294" t="str">
        <f t="shared" si="159"/>
        <v/>
      </c>
      <c r="AO250" s="298" t="str">
        <f t="shared" si="160"/>
        <v/>
      </c>
      <c r="AP250" s="299" t="str">
        <f t="shared" si="161"/>
        <v/>
      </c>
      <c r="AQ250" s="299" t="str">
        <f t="shared" si="162"/>
        <v/>
      </c>
      <c r="AR250" s="300" t="str">
        <f t="shared" si="142"/>
        <v/>
      </c>
      <c r="AS250" s="300" t="str">
        <f t="shared" si="143"/>
        <v/>
      </c>
      <c r="AT250" s="294" t="str">
        <f t="shared" si="144"/>
        <v/>
      </c>
      <c r="AU250" s="301" t="str">
        <f>IF(OR($B250="", $AP250= ""),"",IF(VLOOKUP($AP250, CONTRATOS!B:K,3,FALSE)="","",VLOOKUP($AP250, CONTRATOS!B:K, 3,FALSE)))</f>
        <v/>
      </c>
      <c r="AV250" s="301" t="str">
        <f>IF(OR($B250="", $AP250 = ""), "", IF(VLOOKUP($AP250, CONTRATOS!B:K,4,FALSE)="","",VLOOKUP($AP250, CONTRATOS!B:K,4, FALSE)))</f>
        <v/>
      </c>
      <c r="AW250" s="302" t="str">
        <f t="shared" si="145"/>
        <v/>
      </c>
      <c r="AX250" s="301" t="str">
        <f t="shared" si="146"/>
        <v/>
      </c>
      <c r="AY250" s="301" t="str">
        <f t="shared" si="147"/>
        <v/>
      </c>
      <c r="AZ250" s="301" t="str">
        <f t="shared" si="148"/>
        <v/>
      </c>
      <c r="BA250" s="301" t="str">
        <f t="shared" si="149"/>
        <v/>
      </c>
      <c r="BB250" s="303">
        <f t="shared" si="163"/>
        <v>0</v>
      </c>
      <c r="BC250" s="303" t="str">
        <f t="shared" si="164"/>
        <v/>
      </c>
      <c r="BD250" s="303" t="str">
        <f t="shared" si="165"/>
        <v/>
      </c>
      <c r="BF250" s="304">
        <f t="shared" si="166"/>
        <v>0</v>
      </c>
      <c r="BG250" s="304">
        <f t="shared" si="167"/>
        <v>0</v>
      </c>
      <c r="BH250" s="304" t="str">
        <f>IF( $B250="", "", IF(ISNA(VLOOKUP($C250, Defesa!$C$8:$C$30,1,FALSE)),1,0))</f>
        <v/>
      </c>
      <c r="BI250" s="305" t="str">
        <f t="shared" si="168"/>
        <v/>
      </c>
      <c r="BJ250" s="305" t="str">
        <f t="shared" si="169"/>
        <v/>
      </c>
      <c r="BK250" s="304" t="str">
        <f t="shared" si="170"/>
        <v/>
      </c>
      <c r="BL250" s="304">
        <f t="shared" si="171"/>
        <v>0</v>
      </c>
      <c r="BM250" s="304" t="str">
        <f>IF($AC250="", "", IF(ISNA(VLOOKUP($AC250, TABELAS!$Q:$Q, 1, FALSE)), 1, 0))</f>
        <v/>
      </c>
      <c r="BN250" s="306" t="str">
        <f t="shared" si="172"/>
        <v/>
      </c>
      <c r="BO250" s="304" t="str">
        <f t="shared" si="173"/>
        <v/>
      </c>
      <c r="BP250" s="304" t="str">
        <f t="shared" si="174"/>
        <v/>
      </c>
      <c r="BQ250" s="305" t="str">
        <f t="shared" si="175"/>
        <v/>
      </c>
      <c r="BR250" s="304" t="str">
        <f t="shared" si="176"/>
        <v/>
      </c>
      <c r="BS250" s="304" t="str">
        <f t="shared" si="177"/>
        <v/>
      </c>
      <c r="BT250" s="304" t="str">
        <f>IF(OR($B250="", $AH250 = "SIM"), "", IF( ISNA(VLOOKUP($AP250,#REF!, 1, FALSE)), 1, 0))</f>
        <v/>
      </c>
      <c r="BU250" s="304" t="str">
        <f t="shared" si="178"/>
        <v/>
      </c>
      <c r="BV250" s="304" t="str">
        <f>IF( $B250="", "", IF( ISNA(VLOOKUP($AN250, TABELAS!$T$2:$T$9,1,FALSE)), 1, 0))</f>
        <v/>
      </c>
      <c r="BW250" s="304" t="str">
        <f t="shared" si="179"/>
        <v/>
      </c>
      <c r="BX250" s="304" t="str">
        <f>IF( OR($B250="", $AH250 = "SIM"), "", IF( ISNA( VLOOKUP( $AQ250, SISTEMA!$B:$B, 1, FALSE)), 1, 0))</f>
        <v/>
      </c>
      <c r="BY250" s="305" t="str">
        <f t="shared" si="180"/>
        <v/>
      </c>
      <c r="BZ250" s="305" t="str">
        <f t="shared" si="181"/>
        <v/>
      </c>
      <c r="CA250" s="304" t="str">
        <f t="shared" si="182"/>
        <v/>
      </c>
      <c r="CB250" s="305" t="str">
        <f t="shared" si="183"/>
        <v/>
      </c>
      <c r="CC250" s="305" t="str">
        <f t="shared" si="184"/>
        <v/>
      </c>
      <c r="CD250" s="305" t="str">
        <f t="shared" si="185"/>
        <v/>
      </c>
    </row>
    <row r="251" spans="1:82" x14ac:dyDescent="0.2">
      <c r="A251" s="235"/>
      <c r="B251" s="236" t="str">
        <f t="shared" si="150"/>
        <v/>
      </c>
      <c r="C251" s="237" t="str">
        <f t="shared" si="140"/>
        <v/>
      </c>
      <c r="D251" s="237" t="str">
        <f t="shared" si="151"/>
        <v/>
      </c>
      <c r="E251" s="237" t="str">
        <f>IF($C251="", "", COUNTIF($M$8:$M251,$D251))</f>
        <v/>
      </c>
      <c r="F251" s="238">
        <v>244</v>
      </c>
      <c r="G251" s="239"/>
      <c r="H251" s="240"/>
      <c r="I251" s="240"/>
      <c r="J251" s="241"/>
      <c r="K251" s="240"/>
      <c r="L251" s="240"/>
      <c r="M251" s="240"/>
      <c r="N251" s="242"/>
      <c r="O251" s="243"/>
      <c r="P251" s="243"/>
      <c r="Q251" s="243"/>
      <c r="R251" s="243"/>
      <c r="S251" s="243"/>
      <c r="T251" s="245"/>
      <c r="U251" s="246" t="str">
        <f>IF($T251="", "", VLOOKUP($T251, CONTRATOS!$B:$E, 2, FALSE))</f>
        <v/>
      </c>
      <c r="V251" s="247">
        <f>IF(OR($T251="",TB_DEFESA!$C$2="Criação Baseline"),0,
   IF(VLOOKUP($T251, CONTRATOS!B:E, 3, FALSE)&lt;&gt;"",1,IF(VLOOKUP($T251, CONTRATOS!B:E, 4, FALSE)&lt;&gt;"",2,0)))</f>
        <v>0</v>
      </c>
      <c r="W251" s="248"/>
      <c r="X251" s="248"/>
      <c r="Y251" s="249"/>
      <c r="Z251" s="250"/>
      <c r="AA251" s="251"/>
      <c r="AB251" s="252"/>
      <c r="AC251" s="253"/>
      <c r="AD251" s="251"/>
      <c r="AE251" s="254" t="str">
        <f t="shared" si="141"/>
        <v/>
      </c>
      <c r="AF251" s="256" t="str">
        <f t="shared" si="152"/>
        <v/>
      </c>
      <c r="AG251" s="293" t="s">
        <v>62</v>
      </c>
      <c r="AH251" s="294" t="str">
        <f t="shared" si="153"/>
        <v/>
      </c>
      <c r="AI251" s="294" t="str">
        <f t="shared" si="154"/>
        <v/>
      </c>
      <c r="AJ251" s="295" t="str">
        <f t="shared" si="155"/>
        <v/>
      </c>
      <c r="AK251" s="296" t="str">
        <f t="shared" si="156"/>
        <v/>
      </c>
      <c r="AL251" s="297" t="str">
        <f t="shared" si="157"/>
        <v/>
      </c>
      <c r="AM251" s="294" t="str">
        <f t="shared" si="158"/>
        <v/>
      </c>
      <c r="AN251" s="294" t="str">
        <f t="shared" si="159"/>
        <v/>
      </c>
      <c r="AO251" s="298" t="str">
        <f t="shared" si="160"/>
        <v/>
      </c>
      <c r="AP251" s="299" t="str">
        <f t="shared" si="161"/>
        <v/>
      </c>
      <c r="AQ251" s="299" t="str">
        <f t="shared" si="162"/>
        <v/>
      </c>
      <c r="AR251" s="300" t="str">
        <f t="shared" si="142"/>
        <v/>
      </c>
      <c r="AS251" s="300" t="str">
        <f t="shared" si="143"/>
        <v/>
      </c>
      <c r="AT251" s="294" t="str">
        <f t="shared" si="144"/>
        <v/>
      </c>
      <c r="AU251" s="301" t="str">
        <f>IF(OR($B251="", $AP251= ""),"",IF(VLOOKUP($AP251, CONTRATOS!B:K,3,FALSE)="","",VLOOKUP($AP251, CONTRATOS!B:K, 3,FALSE)))</f>
        <v/>
      </c>
      <c r="AV251" s="301" t="str">
        <f>IF(OR($B251="", $AP251 = ""), "", IF(VLOOKUP($AP251, CONTRATOS!B:K,4,FALSE)="","",VLOOKUP($AP251, CONTRATOS!B:K,4, FALSE)))</f>
        <v/>
      </c>
      <c r="AW251" s="302" t="str">
        <f t="shared" si="145"/>
        <v/>
      </c>
      <c r="AX251" s="301" t="str">
        <f t="shared" si="146"/>
        <v/>
      </c>
      <c r="AY251" s="301" t="str">
        <f t="shared" si="147"/>
        <v/>
      </c>
      <c r="AZ251" s="301" t="str">
        <f t="shared" si="148"/>
        <v/>
      </c>
      <c r="BA251" s="301" t="str">
        <f t="shared" si="149"/>
        <v/>
      </c>
      <c r="BB251" s="303">
        <f t="shared" si="163"/>
        <v>0</v>
      </c>
      <c r="BC251" s="303" t="str">
        <f t="shared" si="164"/>
        <v/>
      </c>
      <c r="BD251" s="303" t="str">
        <f t="shared" si="165"/>
        <v/>
      </c>
      <c r="BF251" s="304">
        <f t="shared" si="166"/>
        <v>0</v>
      </c>
      <c r="BG251" s="304">
        <f t="shared" si="167"/>
        <v>0</v>
      </c>
      <c r="BH251" s="304" t="str">
        <f>IF( $B251="", "", IF(ISNA(VLOOKUP($C251, Defesa!$C$8:$C$30,1,FALSE)),1,0))</f>
        <v/>
      </c>
      <c r="BI251" s="305" t="str">
        <f t="shared" si="168"/>
        <v/>
      </c>
      <c r="BJ251" s="305" t="str">
        <f t="shared" si="169"/>
        <v/>
      </c>
      <c r="BK251" s="304" t="str">
        <f t="shared" si="170"/>
        <v/>
      </c>
      <c r="BL251" s="304">
        <f t="shared" si="171"/>
        <v>0</v>
      </c>
      <c r="BM251" s="304" t="str">
        <f>IF($AC251="", "", IF(ISNA(VLOOKUP($AC251, TABELAS!$Q:$Q, 1, FALSE)), 1, 0))</f>
        <v/>
      </c>
      <c r="BN251" s="306" t="str">
        <f t="shared" si="172"/>
        <v/>
      </c>
      <c r="BO251" s="304" t="str">
        <f t="shared" si="173"/>
        <v/>
      </c>
      <c r="BP251" s="304" t="str">
        <f t="shared" si="174"/>
        <v/>
      </c>
      <c r="BQ251" s="305" t="str">
        <f t="shared" si="175"/>
        <v/>
      </c>
      <c r="BR251" s="304" t="str">
        <f t="shared" si="176"/>
        <v/>
      </c>
      <c r="BS251" s="304" t="str">
        <f t="shared" si="177"/>
        <v/>
      </c>
      <c r="BT251" s="304" t="str">
        <f>IF(OR($B251="", $AH251 = "SIM"), "", IF( ISNA(VLOOKUP($AP251,#REF!, 1, FALSE)), 1, 0))</f>
        <v/>
      </c>
      <c r="BU251" s="304" t="str">
        <f t="shared" si="178"/>
        <v/>
      </c>
      <c r="BV251" s="304" t="str">
        <f>IF( $B251="", "", IF( ISNA(VLOOKUP($AN251, TABELAS!$T$2:$T$9,1,FALSE)), 1, 0))</f>
        <v/>
      </c>
      <c r="BW251" s="304" t="str">
        <f t="shared" si="179"/>
        <v/>
      </c>
      <c r="BX251" s="304" t="str">
        <f>IF( OR($B251="", $AH251 = "SIM"), "", IF( ISNA( VLOOKUP( $AQ251, SISTEMA!$B:$B, 1, FALSE)), 1, 0))</f>
        <v/>
      </c>
      <c r="BY251" s="305" t="str">
        <f t="shared" si="180"/>
        <v/>
      </c>
      <c r="BZ251" s="305" t="str">
        <f t="shared" si="181"/>
        <v/>
      </c>
      <c r="CA251" s="304" t="str">
        <f t="shared" si="182"/>
        <v/>
      </c>
      <c r="CB251" s="305" t="str">
        <f t="shared" si="183"/>
        <v/>
      </c>
      <c r="CC251" s="305" t="str">
        <f t="shared" si="184"/>
        <v/>
      </c>
      <c r="CD251" s="305" t="str">
        <f t="shared" si="185"/>
        <v/>
      </c>
    </row>
    <row r="252" spans="1:82" x14ac:dyDescent="0.2">
      <c r="A252" s="235"/>
      <c r="B252" s="236" t="str">
        <f t="shared" si="150"/>
        <v/>
      </c>
      <c r="C252" s="237" t="str">
        <f t="shared" si="140"/>
        <v/>
      </c>
      <c r="D252" s="237" t="str">
        <f t="shared" si="151"/>
        <v/>
      </c>
      <c r="E252" s="237" t="str">
        <f>IF($C252="", "", COUNTIF($M$8:$M252,$D252))</f>
        <v/>
      </c>
      <c r="F252" s="238">
        <v>245</v>
      </c>
      <c r="G252" s="239"/>
      <c r="H252" s="240"/>
      <c r="I252" s="240"/>
      <c r="J252" s="241"/>
      <c r="K252" s="240"/>
      <c r="L252" s="240"/>
      <c r="M252" s="240"/>
      <c r="N252" s="242"/>
      <c r="O252" s="243"/>
      <c r="P252" s="243"/>
      <c r="Q252" s="243"/>
      <c r="R252" s="243"/>
      <c r="S252" s="243"/>
      <c r="T252" s="245"/>
      <c r="U252" s="246" t="str">
        <f>IF($T252="", "", VLOOKUP($T252, CONTRATOS!$B:$E, 2, FALSE))</f>
        <v/>
      </c>
      <c r="V252" s="247">
        <f>IF(OR($T252="",TB_DEFESA!$C$2="Criação Baseline"),0,
   IF(VLOOKUP($T252, CONTRATOS!B:E, 3, FALSE)&lt;&gt;"",1,IF(VLOOKUP($T252, CONTRATOS!B:E, 4, FALSE)&lt;&gt;"",2,0)))</f>
        <v>0</v>
      </c>
      <c r="W252" s="248"/>
      <c r="X252" s="248"/>
      <c r="Y252" s="249"/>
      <c r="Z252" s="250"/>
      <c r="AA252" s="251"/>
      <c r="AB252" s="252"/>
      <c r="AC252" s="253"/>
      <c r="AD252" s="251"/>
      <c r="AE252" s="254" t="str">
        <f t="shared" si="141"/>
        <v/>
      </c>
      <c r="AF252" s="256" t="str">
        <f t="shared" si="152"/>
        <v/>
      </c>
      <c r="AG252" s="293" t="s">
        <v>62</v>
      </c>
      <c r="AH252" s="294" t="str">
        <f t="shared" si="153"/>
        <v/>
      </c>
      <c r="AI252" s="294" t="str">
        <f t="shared" si="154"/>
        <v/>
      </c>
      <c r="AJ252" s="295" t="str">
        <f t="shared" si="155"/>
        <v/>
      </c>
      <c r="AK252" s="296" t="str">
        <f t="shared" si="156"/>
        <v/>
      </c>
      <c r="AL252" s="297" t="str">
        <f t="shared" si="157"/>
        <v/>
      </c>
      <c r="AM252" s="294" t="str">
        <f t="shared" si="158"/>
        <v/>
      </c>
      <c r="AN252" s="294" t="str">
        <f t="shared" si="159"/>
        <v/>
      </c>
      <c r="AO252" s="298" t="str">
        <f t="shared" si="160"/>
        <v/>
      </c>
      <c r="AP252" s="299" t="str">
        <f t="shared" si="161"/>
        <v/>
      </c>
      <c r="AQ252" s="299" t="str">
        <f t="shared" si="162"/>
        <v/>
      </c>
      <c r="AR252" s="300" t="str">
        <f t="shared" si="142"/>
        <v/>
      </c>
      <c r="AS252" s="300" t="str">
        <f t="shared" si="143"/>
        <v/>
      </c>
      <c r="AT252" s="294" t="str">
        <f t="shared" si="144"/>
        <v/>
      </c>
      <c r="AU252" s="301" t="str">
        <f>IF(OR($B252="", $AP252= ""),"",IF(VLOOKUP($AP252, CONTRATOS!B:K,3,FALSE)="","",VLOOKUP($AP252, CONTRATOS!B:K, 3,FALSE)))</f>
        <v/>
      </c>
      <c r="AV252" s="301" t="str">
        <f>IF(OR($B252="", $AP252 = ""), "", IF(VLOOKUP($AP252, CONTRATOS!B:K,4,FALSE)="","",VLOOKUP($AP252, CONTRATOS!B:K,4, FALSE)))</f>
        <v/>
      </c>
      <c r="AW252" s="302" t="str">
        <f t="shared" si="145"/>
        <v/>
      </c>
      <c r="AX252" s="301" t="str">
        <f t="shared" si="146"/>
        <v/>
      </c>
      <c r="AY252" s="301" t="str">
        <f t="shared" si="147"/>
        <v/>
      </c>
      <c r="AZ252" s="301" t="str">
        <f t="shared" si="148"/>
        <v/>
      </c>
      <c r="BA252" s="301" t="str">
        <f t="shared" si="149"/>
        <v/>
      </c>
      <c r="BB252" s="303">
        <f t="shared" si="163"/>
        <v>0</v>
      </c>
      <c r="BC252" s="303" t="str">
        <f t="shared" si="164"/>
        <v/>
      </c>
      <c r="BD252" s="303" t="str">
        <f t="shared" si="165"/>
        <v/>
      </c>
      <c r="BF252" s="304">
        <f t="shared" si="166"/>
        <v>0</v>
      </c>
      <c r="BG252" s="304">
        <f t="shared" si="167"/>
        <v>0</v>
      </c>
      <c r="BH252" s="304" t="str">
        <f>IF( $B252="", "", IF(ISNA(VLOOKUP($C252, Defesa!$C$8:$C$30,1,FALSE)),1,0))</f>
        <v/>
      </c>
      <c r="BI252" s="305" t="str">
        <f t="shared" si="168"/>
        <v/>
      </c>
      <c r="BJ252" s="305" t="str">
        <f t="shared" si="169"/>
        <v/>
      </c>
      <c r="BK252" s="304" t="str">
        <f t="shared" si="170"/>
        <v/>
      </c>
      <c r="BL252" s="304">
        <f t="shared" si="171"/>
        <v>0</v>
      </c>
      <c r="BM252" s="304" t="str">
        <f>IF($AC252="", "", IF(ISNA(VLOOKUP($AC252, TABELAS!$Q:$Q, 1, FALSE)), 1, 0))</f>
        <v/>
      </c>
      <c r="BN252" s="306" t="str">
        <f t="shared" si="172"/>
        <v/>
      </c>
      <c r="BO252" s="304" t="str">
        <f t="shared" si="173"/>
        <v/>
      </c>
      <c r="BP252" s="304" t="str">
        <f t="shared" si="174"/>
        <v/>
      </c>
      <c r="BQ252" s="305" t="str">
        <f t="shared" si="175"/>
        <v/>
      </c>
      <c r="BR252" s="304" t="str">
        <f t="shared" si="176"/>
        <v/>
      </c>
      <c r="BS252" s="304" t="str">
        <f t="shared" si="177"/>
        <v/>
      </c>
      <c r="BT252" s="304" t="str">
        <f>IF(OR($B252="", $AH252 = "SIM"), "", IF( ISNA(VLOOKUP($AP252,#REF!, 1, FALSE)), 1, 0))</f>
        <v/>
      </c>
      <c r="BU252" s="304" t="str">
        <f t="shared" si="178"/>
        <v/>
      </c>
      <c r="BV252" s="304" t="str">
        <f>IF( $B252="", "", IF( ISNA(VLOOKUP($AN252, TABELAS!$T$2:$T$9,1,FALSE)), 1, 0))</f>
        <v/>
      </c>
      <c r="BW252" s="304" t="str">
        <f t="shared" si="179"/>
        <v/>
      </c>
      <c r="BX252" s="304" t="str">
        <f>IF( OR($B252="", $AH252 = "SIM"), "", IF( ISNA( VLOOKUP( $AQ252, SISTEMA!$B:$B, 1, FALSE)), 1, 0))</f>
        <v/>
      </c>
      <c r="BY252" s="305" t="str">
        <f t="shared" si="180"/>
        <v/>
      </c>
      <c r="BZ252" s="305" t="str">
        <f t="shared" si="181"/>
        <v/>
      </c>
      <c r="CA252" s="304" t="str">
        <f t="shared" si="182"/>
        <v/>
      </c>
      <c r="CB252" s="305" t="str">
        <f t="shared" si="183"/>
        <v/>
      </c>
      <c r="CC252" s="305" t="str">
        <f t="shared" si="184"/>
        <v/>
      </c>
      <c r="CD252" s="305" t="str">
        <f t="shared" si="185"/>
        <v/>
      </c>
    </row>
    <row r="253" spans="1:82" x14ac:dyDescent="0.2">
      <c r="A253" s="235"/>
      <c r="B253" s="236" t="str">
        <f t="shared" si="150"/>
        <v/>
      </c>
      <c r="C253" s="237" t="str">
        <f t="shared" si="140"/>
        <v/>
      </c>
      <c r="D253" s="237" t="str">
        <f t="shared" si="151"/>
        <v/>
      </c>
      <c r="E253" s="237" t="str">
        <f>IF($C253="", "", COUNTIF($M$8:$M253,$D253))</f>
        <v/>
      </c>
      <c r="F253" s="238">
        <v>246</v>
      </c>
      <c r="G253" s="239"/>
      <c r="H253" s="240"/>
      <c r="I253" s="240"/>
      <c r="J253" s="241"/>
      <c r="K253" s="240"/>
      <c r="L253" s="240"/>
      <c r="M253" s="240"/>
      <c r="N253" s="242"/>
      <c r="O253" s="243"/>
      <c r="P253" s="243"/>
      <c r="Q253" s="243"/>
      <c r="R253" s="243"/>
      <c r="S253" s="243"/>
      <c r="T253" s="245"/>
      <c r="U253" s="246" t="str">
        <f>IF($T253="", "", VLOOKUP($T253, CONTRATOS!$B:$E, 2, FALSE))</f>
        <v/>
      </c>
      <c r="V253" s="247">
        <f>IF(OR($T253="",TB_DEFESA!$C$2="Criação Baseline"),0,
   IF(VLOOKUP($T253, CONTRATOS!B:E, 3, FALSE)&lt;&gt;"",1,IF(VLOOKUP($T253, CONTRATOS!B:E, 4, FALSE)&lt;&gt;"",2,0)))</f>
        <v>0</v>
      </c>
      <c r="W253" s="248"/>
      <c r="X253" s="248"/>
      <c r="Y253" s="249"/>
      <c r="Z253" s="250"/>
      <c r="AA253" s="251"/>
      <c r="AB253" s="252"/>
      <c r="AC253" s="253"/>
      <c r="AD253" s="251"/>
      <c r="AE253" s="254" t="str">
        <f t="shared" si="141"/>
        <v/>
      </c>
      <c r="AF253" s="256" t="str">
        <f t="shared" si="152"/>
        <v/>
      </c>
      <c r="AG253" s="293" t="s">
        <v>62</v>
      </c>
      <c r="AH253" s="294" t="str">
        <f t="shared" si="153"/>
        <v/>
      </c>
      <c r="AI253" s="294" t="str">
        <f t="shared" si="154"/>
        <v/>
      </c>
      <c r="AJ253" s="295" t="str">
        <f t="shared" si="155"/>
        <v/>
      </c>
      <c r="AK253" s="296" t="str">
        <f t="shared" si="156"/>
        <v/>
      </c>
      <c r="AL253" s="297" t="str">
        <f t="shared" si="157"/>
        <v/>
      </c>
      <c r="AM253" s="294" t="str">
        <f t="shared" si="158"/>
        <v/>
      </c>
      <c r="AN253" s="294" t="str">
        <f t="shared" si="159"/>
        <v/>
      </c>
      <c r="AO253" s="298" t="str">
        <f t="shared" si="160"/>
        <v/>
      </c>
      <c r="AP253" s="299" t="str">
        <f t="shared" si="161"/>
        <v/>
      </c>
      <c r="AQ253" s="299" t="str">
        <f t="shared" si="162"/>
        <v/>
      </c>
      <c r="AR253" s="300" t="str">
        <f t="shared" si="142"/>
        <v/>
      </c>
      <c r="AS253" s="300" t="str">
        <f t="shared" si="143"/>
        <v/>
      </c>
      <c r="AT253" s="294" t="str">
        <f t="shared" si="144"/>
        <v/>
      </c>
      <c r="AU253" s="301" t="str">
        <f>IF(OR($B253="", $AP253= ""),"",IF(VLOOKUP($AP253, CONTRATOS!B:K,3,FALSE)="","",VLOOKUP($AP253, CONTRATOS!B:K, 3,FALSE)))</f>
        <v/>
      </c>
      <c r="AV253" s="301" t="str">
        <f>IF(OR($B253="", $AP253 = ""), "", IF(VLOOKUP($AP253, CONTRATOS!B:K,4,FALSE)="","",VLOOKUP($AP253, CONTRATOS!B:K,4, FALSE)))</f>
        <v/>
      </c>
      <c r="AW253" s="302" t="str">
        <f t="shared" si="145"/>
        <v/>
      </c>
      <c r="AX253" s="301" t="str">
        <f t="shared" si="146"/>
        <v/>
      </c>
      <c r="AY253" s="301" t="str">
        <f t="shared" si="147"/>
        <v/>
      </c>
      <c r="AZ253" s="301" t="str">
        <f t="shared" si="148"/>
        <v/>
      </c>
      <c r="BA253" s="301" t="str">
        <f t="shared" si="149"/>
        <v/>
      </c>
      <c r="BB253" s="303">
        <f t="shared" si="163"/>
        <v>0</v>
      </c>
      <c r="BC253" s="303" t="str">
        <f t="shared" si="164"/>
        <v/>
      </c>
      <c r="BD253" s="303" t="str">
        <f t="shared" si="165"/>
        <v/>
      </c>
      <c r="BF253" s="304">
        <f t="shared" si="166"/>
        <v>0</v>
      </c>
      <c r="BG253" s="304">
        <f t="shared" si="167"/>
        <v>0</v>
      </c>
      <c r="BH253" s="304" t="str">
        <f>IF( $B253="", "", IF(ISNA(VLOOKUP($C253, Defesa!$C$8:$C$30,1,FALSE)),1,0))</f>
        <v/>
      </c>
      <c r="BI253" s="305" t="str">
        <f t="shared" si="168"/>
        <v/>
      </c>
      <c r="BJ253" s="305" t="str">
        <f t="shared" si="169"/>
        <v/>
      </c>
      <c r="BK253" s="304" t="str">
        <f t="shared" si="170"/>
        <v/>
      </c>
      <c r="BL253" s="304">
        <f t="shared" si="171"/>
        <v>0</v>
      </c>
      <c r="BM253" s="304" t="str">
        <f>IF($AC253="", "", IF(ISNA(VLOOKUP($AC253, TABELAS!$Q:$Q, 1, FALSE)), 1, 0))</f>
        <v/>
      </c>
      <c r="BN253" s="306" t="str">
        <f t="shared" si="172"/>
        <v/>
      </c>
      <c r="BO253" s="304" t="str">
        <f t="shared" si="173"/>
        <v/>
      </c>
      <c r="BP253" s="304" t="str">
        <f t="shared" si="174"/>
        <v/>
      </c>
      <c r="BQ253" s="305" t="str">
        <f t="shared" si="175"/>
        <v/>
      </c>
      <c r="BR253" s="304" t="str">
        <f t="shared" si="176"/>
        <v/>
      </c>
      <c r="BS253" s="304" t="str">
        <f t="shared" si="177"/>
        <v/>
      </c>
      <c r="BT253" s="304" t="str">
        <f>IF(OR($B253="", $AH253 = "SIM"), "", IF( ISNA(VLOOKUP($AP253,#REF!, 1, FALSE)), 1, 0))</f>
        <v/>
      </c>
      <c r="BU253" s="304" t="str">
        <f t="shared" si="178"/>
        <v/>
      </c>
      <c r="BV253" s="304" t="str">
        <f>IF( $B253="", "", IF( ISNA(VLOOKUP($AN253, TABELAS!$T$2:$T$9,1,FALSE)), 1, 0))</f>
        <v/>
      </c>
      <c r="BW253" s="304" t="str">
        <f t="shared" si="179"/>
        <v/>
      </c>
      <c r="BX253" s="304" t="str">
        <f>IF( OR($B253="", $AH253 = "SIM"), "", IF( ISNA( VLOOKUP( $AQ253, SISTEMA!$B:$B, 1, FALSE)), 1, 0))</f>
        <v/>
      </c>
      <c r="BY253" s="305" t="str">
        <f t="shared" si="180"/>
        <v/>
      </c>
      <c r="BZ253" s="305" t="str">
        <f t="shared" si="181"/>
        <v/>
      </c>
      <c r="CA253" s="304" t="str">
        <f t="shared" si="182"/>
        <v/>
      </c>
      <c r="CB253" s="305" t="str">
        <f t="shared" si="183"/>
        <v/>
      </c>
      <c r="CC253" s="305" t="str">
        <f t="shared" si="184"/>
        <v/>
      </c>
      <c r="CD253" s="305" t="str">
        <f t="shared" si="185"/>
        <v/>
      </c>
    </row>
    <row r="254" spans="1:82" x14ac:dyDescent="0.2">
      <c r="A254" s="235"/>
      <c r="B254" s="236" t="str">
        <f t="shared" si="150"/>
        <v/>
      </c>
      <c r="C254" s="237" t="str">
        <f t="shared" si="140"/>
        <v/>
      </c>
      <c r="D254" s="237" t="str">
        <f t="shared" si="151"/>
        <v/>
      </c>
      <c r="E254" s="237" t="str">
        <f>IF($C254="", "", COUNTIF($M$8:$M254,$D254))</f>
        <v/>
      </c>
      <c r="F254" s="238">
        <v>247</v>
      </c>
      <c r="G254" s="239"/>
      <c r="H254" s="240"/>
      <c r="I254" s="240"/>
      <c r="J254" s="241"/>
      <c r="K254" s="240"/>
      <c r="L254" s="240"/>
      <c r="M254" s="240"/>
      <c r="N254" s="242"/>
      <c r="O254" s="243"/>
      <c r="P254" s="243"/>
      <c r="Q254" s="243"/>
      <c r="R254" s="243"/>
      <c r="S254" s="243"/>
      <c r="T254" s="245"/>
      <c r="U254" s="246" t="str">
        <f>IF($T254="", "", VLOOKUP($T254, CONTRATOS!$B:$E, 2, FALSE))</f>
        <v/>
      </c>
      <c r="V254" s="247">
        <f>IF(OR($T254="",TB_DEFESA!$C$2="Criação Baseline"),0,
   IF(VLOOKUP($T254, CONTRATOS!B:E, 3, FALSE)&lt;&gt;"",1,IF(VLOOKUP($T254, CONTRATOS!B:E, 4, FALSE)&lt;&gt;"",2,0)))</f>
        <v>0</v>
      </c>
      <c r="W254" s="248"/>
      <c r="X254" s="248"/>
      <c r="Y254" s="249"/>
      <c r="Z254" s="250"/>
      <c r="AA254" s="251"/>
      <c r="AB254" s="252"/>
      <c r="AC254" s="253"/>
      <c r="AD254" s="251"/>
      <c r="AE254" s="254" t="str">
        <f t="shared" si="141"/>
        <v/>
      </c>
      <c r="AF254" s="256" t="str">
        <f t="shared" si="152"/>
        <v/>
      </c>
      <c r="AG254" s="293" t="s">
        <v>62</v>
      </c>
      <c r="AH254" s="294" t="str">
        <f t="shared" si="153"/>
        <v/>
      </c>
      <c r="AI254" s="294" t="str">
        <f t="shared" si="154"/>
        <v/>
      </c>
      <c r="AJ254" s="295" t="str">
        <f t="shared" si="155"/>
        <v/>
      </c>
      <c r="AK254" s="296" t="str">
        <f t="shared" si="156"/>
        <v/>
      </c>
      <c r="AL254" s="297" t="str">
        <f t="shared" si="157"/>
        <v/>
      </c>
      <c r="AM254" s="294" t="str">
        <f t="shared" si="158"/>
        <v/>
      </c>
      <c r="AN254" s="294" t="str">
        <f t="shared" si="159"/>
        <v/>
      </c>
      <c r="AO254" s="298" t="str">
        <f t="shared" si="160"/>
        <v/>
      </c>
      <c r="AP254" s="299" t="str">
        <f t="shared" si="161"/>
        <v/>
      </c>
      <c r="AQ254" s="299" t="str">
        <f t="shared" si="162"/>
        <v/>
      </c>
      <c r="AR254" s="300" t="str">
        <f t="shared" si="142"/>
        <v/>
      </c>
      <c r="AS254" s="300" t="str">
        <f t="shared" si="143"/>
        <v/>
      </c>
      <c r="AT254" s="294" t="str">
        <f t="shared" si="144"/>
        <v/>
      </c>
      <c r="AU254" s="301" t="str">
        <f>IF(OR($B254="", $AP254= ""),"",IF(VLOOKUP($AP254, CONTRATOS!B:K,3,FALSE)="","",VLOOKUP($AP254, CONTRATOS!B:K, 3,FALSE)))</f>
        <v/>
      </c>
      <c r="AV254" s="301" t="str">
        <f>IF(OR($B254="", $AP254 = ""), "", IF(VLOOKUP($AP254, CONTRATOS!B:K,4,FALSE)="","",VLOOKUP($AP254, CONTRATOS!B:K,4, FALSE)))</f>
        <v/>
      </c>
      <c r="AW254" s="302" t="str">
        <f t="shared" si="145"/>
        <v/>
      </c>
      <c r="AX254" s="301" t="str">
        <f t="shared" si="146"/>
        <v/>
      </c>
      <c r="AY254" s="301" t="str">
        <f t="shared" si="147"/>
        <v/>
      </c>
      <c r="AZ254" s="301" t="str">
        <f t="shared" si="148"/>
        <v/>
      </c>
      <c r="BA254" s="301" t="str">
        <f t="shared" si="149"/>
        <v/>
      </c>
      <c r="BB254" s="303">
        <f t="shared" si="163"/>
        <v>0</v>
      </c>
      <c r="BC254" s="303" t="str">
        <f t="shared" si="164"/>
        <v/>
      </c>
      <c r="BD254" s="303" t="str">
        <f t="shared" si="165"/>
        <v/>
      </c>
      <c r="BF254" s="304">
        <f t="shared" si="166"/>
        <v>0</v>
      </c>
      <c r="BG254" s="304">
        <f t="shared" si="167"/>
        <v>0</v>
      </c>
      <c r="BH254" s="304" t="str">
        <f>IF( $B254="", "", IF(ISNA(VLOOKUP($C254, Defesa!$C$8:$C$30,1,FALSE)),1,0))</f>
        <v/>
      </c>
      <c r="BI254" s="305" t="str">
        <f t="shared" si="168"/>
        <v/>
      </c>
      <c r="BJ254" s="305" t="str">
        <f t="shared" si="169"/>
        <v/>
      </c>
      <c r="BK254" s="304" t="str">
        <f t="shared" si="170"/>
        <v/>
      </c>
      <c r="BL254" s="304">
        <f t="shared" si="171"/>
        <v>0</v>
      </c>
      <c r="BM254" s="304" t="str">
        <f>IF($AC254="", "", IF(ISNA(VLOOKUP($AC254, TABELAS!$Q:$Q, 1, FALSE)), 1, 0))</f>
        <v/>
      </c>
      <c r="BN254" s="306" t="str">
        <f t="shared" si="172"/>
        <v/>
      </c>
      <c r="BO254" s="304" t="str">
        <f t="shared" si="173"/>
        <v/>
      </c>
      <c r="BP254" s="304" t="str">
        <f t="shared" si="174"/>
        <v/>
      </c>
      <c r="BQ254" s="305" t="str">
        <f t="shared" si="175"/>
        <v/>
      </c>
      <c r="BR254" s="304" t="str">
        <f t="shared" si="176"/>
        <v/>
      </c>
      <c r="BS254" s="304" t="str">
        <f t="shared" si="177"/>
        <v/>
      </c>
      <c r="BT254" s="304" t="str">
        <f>IF(OR($B254="", $AH254 = "SIM"), "", IF( ISNA(VLOOKUP($AP254,#REF!, 1, FALSE)), 1, 0))</f>
        <v/>
      </c>
      <c r="BU254" s="304" t="str">
        <f t="shared" si="178"/>
        <v/>
      </c>
      <c r="BV254" s="304" t="str">
        <f>IF( $B254="", "", IF( ISNA(VLOOKUP($AN254, TABELAS!$T$2:$T$9,1,FALSE)), 1, 0))</f>
        <v/>
      </c>
      <c r="BW254" s="304" t="str">
        <f t="shared" si="179"/>
        <v/>
      </c>
      <c r="BX254" s="304" t="str">
        <f>IF( OR($B254="", $AH254 = "SIM"), "", IF( ISNA( VLOOKUP( $AQ254, SISTEMA!$B:$B, 1, FALSE)), 1, 0))</f>
        <v/>
      </c>
      <c r="BY254" s="305" t="str">
        <f t="shared" si="180"/>
        <v/>
      </c>
      <c r="BZ254" s="305" t="str">
        <f t="shared" si="181"/>
        <v/>
      </c>
      <c r="CA254" s="304" t="str">
        <f t="shared" si="182"/>
        <v/>
      </c>
      <c r="CB254" s="305" t="str">
        <f t="shared" si="183"/>
        <v/>
      </c>
      <c r="CC254" s="305" t="str">
        <f t="shared" si="184"/>
        <v/>
      </c>
      <c r="CD254" s="305" t="str">
        <f t="shared" si="185"/>
        <v/>
      </c>
    </row>
    <row r="255" spans="1:82" x14ac:dyDescent="0.2">
      <c r="A255" s="235"/>
      <c r="B255" s="236" t="str">
        <f t="shared" si="150"/>
        <v/>
      </c>
      <c r="C255" s="237" t="str">
        <f t="shared" si="140"/>
        <v/>
      </c>
      <c r="D255" s="237" t="str">
        <f t="shared" si="151"/>
        <v/>
      </c>
      <c r="E255" s="237" t="str">
        <f>IF($C255="", "", COUNTIF($M$8:$M255,$D255))</f>
        <v/>
      </c>
      <c r="F255" s="238">
        <v>248</v>
      </c>
      <c r="G255" s="239"/>
      <c r="H255" s="240"/>
      <c r="I255" s="240"/>
      <c r="J255" s="241"/>
      <c r="K255" s="240"/>
      <c r="L255" s="240"/>
      <c r="M255" s="240"/>
      <c r="N255" s="242"/>
      <c r="O255" s="243"/>
      <c r="P255" s="243"/>
      <c r="Q255" s="243"/>
      <c r="R255" s="243"/>
      <c r="S255" s="243"/>
      <c r="T255" s="245"/>
      <c r="U255" s="246" t="str">
        <f>IF($T255="", "", VLOOKUP($T255, CONTRATOS!$B:$E, 2, FALSE))</f>
        <v/>
      </c>
      <c r="V255" s="247">
        <f>IF(OR($T255="",TB_DEFESA!$C$2="Criação Baseline"),0,
   IF(VLOOKUP($T255, CONTRATOS!B:E, 3, FALSE)&lt;&gt;"",1,IF(VLOOKUP($T255, CONTRATOS!B:E, 4, FALSE)&lt;&gt;"",2,0)))</f>
        <v>0</v>
      </c>
      <c r="W255" s="248"/>
      <c r="X255" s="248"/>
      <c r="Y255" s="249"/>
      <c r="Z255" s="250"/>
      <c r="AA255" s="251"/>
      <c r="AB255" s="252"/>
      <c r="AC255" s="253"/>
      <c r="AD255" s="251"/>
      <c r="AE255" s="254" t="str">
        <f t="shared" si="141"/>
        <v/>
      </c>
      <c r="AF255" s="256" t="str">
        <f t="shared" si="152"/>
        <v/>
      </c>
      <c r="AG255" s="293" t="s">
        <v>62</v>
      </c>
      <c r="AH255" s="294" t="str">
        <f t="shared" si="153"/>
        <v/>
      </c>
      <c r="AI255" s="294" t="str">
        <f t="shared" si="154"/>
        <v/>
      </c>
      <c r="AJ255" s="295" t="str">
        <f t="shared" si="155"/>
        <v/>
      </c>
      <c r="AK255" s="296" t="str">
        <f t="shared" si="156"/>
        <v/>
      </c>
      <c r="AL255" s="297" t="str">
        <f t="shared" si="157"/>
        <v/>
      </c>
      <c r="AM255" s="294" t="str">
        <f t="shared" si="158"/>
        <v/>
      </c>
      <c r="AN255" s="294" t="str">
        <f t="shared" si="159"/>
        <v/>
      </c>
      <c r="AO255" s="298" t="str">
        <f t="shared" si="160"/>
        <v/>
      </c>
      <c r="AP255" s="299" t="str">
        <f t="shared" si="161"/>
        <v/>
      </c>
      <c r="AQ255" s="299" t="str">
        <f t="shared" si="162"/>
        <v/>
      </c>
      <c r="AR255" s="300" t="str">
        <f t="shared" si="142"/>
        <v/>
      </c>
      <c r="AS255" s="300" t="str">
        <f t="shared" si="143"/>
        <v/>
      </c>
      <c r="AT255" s="294" t="str">
        <f t="shared" si="144"/>
        <v/>
      </c>
      <c r="AU255" s="301" t="str">
        <f>IF(OR($B255="", $AP255= ""),"",IF(VLOOKUP($AP255, CONTRATOS!B:K,3,FALSE)="","",VLOOKUP($AP255, CONTRATOS!B:K, 3,FALSE)))</f>
        <v/>
      </c>
      <c r="AV255" s="301" t="str">
        <f>IF(OR($B255="", $AP255 = ""), "", IF(VLOOKUP($AP255, CONTRATOS!B:K,4,FALSE)="","",VLOOKUP($AP255, CONTRATOS!B:K,4, FALSE)))</f>
        <v/>
      </c>
      <c r="AW255" s="302" t="str">
        <f t="shared" si="145"/>
        <v/>
      </c>
      <c r="AX255" s="301" t="str">
        <f t="shared" si="146"/>
        <v/>
      </c>
      <c r="AY255" s="301" t="str">
        <f t="shared" si="147"/>
        <v/>
      </c>
      <c r="AZ255" s="301" t="str">
        <f t="shared" si="148"/>
        <v/>
      </c>
      <c r="BA255" s="301" t="str">
        <f t="shared" si="149"/>
        <v/>
      </c>
      <c r="BB255" s="303">
        <f t="shared" si="163"/>
        <v>0</v>
      </c>
      <c r="BC255" s="303" t="str">
        <f t="shared" si="164"/>
        <v/>
      </c>
      <c r="BD255" s="303" t="str">
        <f t="shared" si="165"/>
        <v/>
      </c>
      <c r="BF255" s="304">
        <f t="shared" si="166"/>
        <v>0</v>
      </c>
      <c r="BG255" s="304">
        <f t="shared" si="167"/>
        <v>0</v>
      </c>
      <c r="BH255" s="304" t="str">
        <f>IF( $B255="", "", IF(ISNA(VLOOKUP($C255, Defesa!$C$8:$C$30,1,FALSE)),1,0))</f>
        <v/>
      </c>
      <c r="BI255" s="305" t="str">
        <f t="shared" si="168"/>
        <v/>
      </c>
      <c r="BJ255" s="305" t="str">
        <f t="shared" si="169"/>
        <v/>
      </c>
      <c r="BK255" s="304" t="str">
        <f t="shared" si="170"/>
        <v/>
      </c>
      <c r="BL255" s="304">
        <f t="shared" si="171"/>
        <v>0</v>
      </c>
      <c r="BM255" s="304" t="str">
        <f>IF($AC255="", "", IF(ISNA(VLOOKUP($AC255, TABELAS!$Q:$Q, 1, FALSE)), 1, 0))</f>
        <v/>
      </c>
      <c r="BN255" s="306" t="str">
        <f t="shared" si="172"/>
        <v/>
      </c>
      <c r="BO255" s="304" t="str">
        <f t="shared" si="173"/>
        <v/>
      </c>
      <c r="BP255" s="304" t="str">
        <f t="shared" si="174"/>
        <v/>
      </c>
      <c r="BQ255" s="305" t="str">
        <f t="shared" si="175"/>
        <v/>
      </c>
      <c r="BR255" s="304" t="str">
        <f t="shared" si="176"/>
        <v/>
      </c>
      <c r="BS255" s="304" t="str">
        <f t="shared" si="177"/>
        <v/>
      </c>
      <c r="BT255" s="304" t="str">
        <f>IF(OR($B255="", $AH255 = "SIM"), "", IF( ISNA(VLOOKUP($AP255,#REF!, 1, FALSE)), 1, 0))</f>
        <v/>
      </c>
      <c r="BU255" s="304" t="str">
        <f t="shared" si="178"/>
        <v/>
      </c>
      <c r="BV255" s="304" t="str">
        <f>IF( $B255="", "", IF( ISNA(VLOOKUP($AN255, TABELAS!$T$2:$T$9,1,FALSE)), 1, 0))</f>
        <v/>
      </c>
      <c r="BW255" s="304" t="str">
        <f t="shared" si="179"/>
        <v/>
      </c>
      <c r="BX255" s="304" t="str">
        <f>IF( OR($B255="", $AH255 = "SIM"), "", IF( ISNA( VLOOKUP( $AQ255, SISTEMA!$B:$B, 1, FALSE)), 1, 0))</f>
        <v/>
      </c>
      <c r="BY255" s="305" t="str">
        <f t="shared" si="180"/>
        <v/>
      </c>
      <c r="BZ255" s="305" t="str">
        <f t="shared" si="181"/>
        <v/>
      </c>
      <c r="CA255" s="304" t="str">
        <f t="shared" si="182"/>
        <v/>
      </c>
      <c r="CB255" s="305" t="str">
        <f t="shared" si="183"/>
        <v/>
      </c>
      <c r="CC255" s="305" t="str">
        <f t="shared" si="184"/>
        <v/>
      </c>
      <c r="CD255" s="305" t="str">
        <f t="shared" si="185"/>
        <v/>
      </c>
    </row>
    <row r="256" spans="1:82" x14ac:dyDescent="0.2">
      <c r="A256" s="235"/>
      <c r="B256" s="236" t="str">
        <f t="shared" si="150"/>
        <v/>
      </c>
      <c r="C256" s="237" t="str">
        <f t="shared" si="140"/>
        <v/>
      </c>
      <c r="D256" s="237" t="str">
        <f t="shared" si="151"/>
        <v/>
      </c>
      <c r="E256" s="237" t="str">
        <f>IF($C256="", "", COUNTIF($M$8:$M256,$D256))</f>
        <v/>
      </c>
      <c r="F256" s="238">
        <v>249</v>
      </c>
      <c r="G256" s="239"/>
      <c r="H256" s="240"/>
      <c r="I256" s="240"/>
      <c r="J256" s="241"/>
      <c r="K256" s="240"/>
      <c r="L256" s="240"/>
      <c r="M256" s="240"/>
      <c r="N256" s="242"/>
      <c r="O256" s="243"/>
      <c r="P256" s="243"/>
      <c r="Q256" s="243"/>
      <c r="R256" s="243"/>
      <c r="S256" s="243"/>
      <c r="T256" s="245"/>
      <c r="U256" s="246" t="str">
        <f>IF($T256="", "", VLOOKUP($T256, CONTRATOS!$B:$E, 2, FALSE))</f>
        <v/>
      </c>
      <c r="V256" s="247">
        <f>IF(OR($T256="",TB_DEFESA!$C$2="Criação Baseline"),0,
   IF(VLOOKUP($T256, CONTRATOS!B:E, 3, FALSE)&lt;&gt;"",1,IF(VLOOKUP($T256, CONTRATOS!B:E, 4, FALSE)&lt;&gt;"",2,0)))</f>
        <v>0</v>
      </c>
      <c r="W256" s="248"/>
      <c r="X256" s="248"/>
      <c r="Y256" s="249"/>
      <c r="Z256" s="250"/>
      <c r="AA256" s="251"/>
      <c r="AB256" s="252"/>
      <c r="AC256" s="253"/>
      <c r="AD256" s="251"/>
      <c r="AE256" s="254" t="str">
        <f t="shared" si="141"/>
        <v/>
      </c>
      <c r="AF256" s="256" t="str">
        <f t="shared" si="152"/>
        <v/>
      </c>
      <c r="AG256" s="293" t="s">
        <v>62</v>
      </c>
      <c r="AH256" s="294" t="str">
        <f t="shared" si="153"/>
        <v/>
      </c>
      <c r="AI256" s="294" t="str">
        <f t="shared" si="154"/>
        <v/>
      </c>
      <c r="AJ256" s="295" t="str">
        <f t="shared" si="155"/>
        <v/>
      </c>
      <c r="AK256" s="296" t="str">
        <f t="shared" si="156"/>
        <v/>
      </c>
      <c r="AL256" s="297" t="str">
        <f t="shared" si="157"/>
        <v/>
      </c>
      <c r="AM256" s="294" t="str">
        <f t="shared" si="158"/>
        <v/>
      </c>
      <c r="AN256" s="294" t="str">
        <f t="shared" si="159"/>
        <v/>
      </c>
      <c r="AO256" s="298" t="str">
        <f t="shared" si="160"/>
        <v/>
      </c>
      <c r="AP256" s="299" t="str">
        <f t="shared" si="161"/>
        <v/>
      </c>
      <c r="AQ256" s="299" t="str">
        <f t="shared" si="162"/>
        <v/>
      </c>
      <c r="AR256" s="300" t="str">
        <f t="shared" si="142"/>
        <v/>
      </c>
      <c r="AS256" s="300" t="str">
        <f t="shared" si="143"/>
        <v/>
      </c>
      <c r="AT256" s="294" t="str">
        <f t="shared" si="144"/>
        <v/>
      </c>
      <c r="AU256" s="301" t="str">
        <f>IF(OR($B256="", $AP256= ""),"",IF(VLOOKUP($AP256, CONTRATOS!B:K,3,FALSE)="","",VLOOKUP($AP256, CONTRATOS!B:K, 3,FALSE)))</f>
        <v/>
      </c>
      <c r="AV256" s="301" t="str">
        <f>IF(OR($B256="", $AP256 = ""), "", IF(VLOOKUP($AP256, CONTRATOS!B:K,4,FALSE)="","",VLOOKUP($AP256, CONTRATOS!B:K,4, FALSE)))</f>
        <v/>
      </c>
      <c r="AW256" s="302" t="str">
        <f t="shared" si="145"/>
        <v/>
      </c>
      <c r="AX256" s="301" t="str">
        <f t="shared" si="146"/>
        <v/>
      </c>
      <c r="AY256" s="301" t="str">
        <f t="shared" si="147"/>
        <v/>
      </c>
      <c r="AZ256" s="301" t="str">
        <f t="shared" si="148"/>
        <v/>
      </c>
      <c r="BA256" s="301" t="str">
        <f t="shared" si="149"/>
        <v/>
      </c>
      <c r="BB256" s="303">
        <f t="shared" si="163"/>
        <v>0</v>
      </c>
      <c r="BC256" s="303" t="str">
        <f t="shared" si="164"/>
        <v/>
      </c>
      <c r="BD256" s="303" t="str">
        <f t="shared" si="165"/>
        <v/>
      </c>
      <c r="BF256" s="304">
        <f t="shared" si="166"/>
        <v>0</v>
      </c>
      <c r="BG256" s="304">
        <f t="shared" si="167"/>
        <v>0</v>
      </c>
      <c r="BH256" s="304" t="str">
        <f>IF( $B256="", "", IF(ISNA(VLOOKUP($C256, Defesa!$C$8:$C$30,1,FALSE)),1,0))</f>
        <v/>
      </c>
      <c r="BI256" s="305" t="str">
        <f t="shared" si="168"/>
        <v/>
      </c>
      <c r="BJ256" s="305" t="str">
        <f t="shared" si="169"/>
        <v/>
      </c>
      <c r="BK256" s="304" t="str">
        <f t="shared" si="170"/>
        <v/>
      </c>
      <c r="BL256" s="304">
        <f t="shared" si="171"/>
        <v>0</v>
      </c>
      <c r="BM256" s="304" t="str">
        <f>IF($AC256="", "", IF(ISNA(VLOOKUP($AC256, TABELAS!$Q:$Q, 1, FALSE)), 1, 0))</f>
        <v/>
      </c>
      <c r="BN256" s="306" t="str">
        <f t="shared" si="172"/>
        <v/>
      </c>
      <c r="BO256" s="304" t="str">
        <f t="shared" si="173"/>
        <v/>
      </c>
      <c r="BP256" s="304" t="str">
        <f t="shared" si="174"/>
        <v/>
      </c>
      <c r="BQ256" s="305" t="str">
        <f t="shared" si="175"/>
        <v/>
      </c>
      <c r="BR256" s="304" t="str">
        <f t="shared" si="176"/>
        <v/>
      </c>
      <c r="BS256" s="304" t="str">
        <f t="shared" si="177"/>
        <v/>
      </c>
      <c r="BT256" s="304" t="str">
        <f>IF(OR($B256="", $AH256 = "SIM"), "", IF( ISNA(VLOOKUP($AP256,#REF!, 1, FALSE)), 1, 0))</f>
        <v/>
      </c>
      <c r="BU256" s="304" t="str">
        <f t="shared" si="178"/>
        <v/>
      </c>
      <c r="BV256" s="304" t="str">
        <f>IF( $B256="", "", IF( ISNA(VLOOKUP($AN256, TABELAS!$T$2:$T$9,1,FALSE)), 1, 0))</f>
        <v/>
      </c>
      <c r="BW256" s="304" t="str">
        <f t="shared" si="179"/>
        <v/>
      </c>
      <c r="BX256" s="304" t="str">
        <f>IF( OR($B256="", $AH256 = "SIM"), "", IF( ISNA( VLOOKUP( $AQ256, SISTEMA!$B:$B, 1, FALSE)), 1, 0))</f>
        <v/>
      </c>
      <c r="BY256" s="305" t="str">
        <f t="shared" si="180"/>
        <v/>
      </c>
      <c r="BZ256" s="305" t="str">
        <f t="shared" si="181"/>
        <v/>
      </c>
      <c r="CA256" s="304" t="str">
        <f t="shared" si="182"/>
        <v/>
      </c>
      <c r="CB256" s="305" t="str">
        <f t="shared" si="183"/>
        <v/>
      </c>
      <c r="CC256" s="305" t="str">
        <f t="shared" si="184"/>
        <v/>
      </c>
      <c r="CD256" s="305" t="str">
        <f t="shared" si="185"/>
        <v/>
      </c>
    </row>
    <row r="257" spans="1:82" x14ac:dyDescent="0.2">
      <c r="A257" s="235"/>
      <c r="B257" s="236" t="str">
        <f t="shared" si="150"/>
        <v/>
      </c>
      <c r="C257" s="237" t="str">
        <f t="shared" si="140"/>
        <v/>
      </c>
      <c r="D257" s="237" t="str">
        <f t="shared" si="151"/>
        <v/>
      </c>
      <c r="E257" s="237" t="str">
        <f>IF($C257="", "", COUNTIF($M$8:$M257,$D257))</f>
        <v/>
      </c>
      <c r="F257" s="238">
        <v>250</v>
      </c>
      <c r="G257" s="239"/>
      <c r="H257" s="240"/>
      <c r="I257" s="240"/>
      <c r="J257" s="241"/>
      <c r="K257" s="240"/>
      <c r="L257" s="240"/>
      <c r="M257" s="240"/>
      <c r="N257" s="242"/>
      <c r="O257" s="243"/>
      <c r="P257" s="243"/>
      <c r="Q257" s="243"/>
      <c r="R257" s="243"/>
      <c r="S257" s="243"/>
      <c r="T257" s="245"/>
      <c r="U257" s="246" t="str">
        <f>IF($T257="", "", VLOOKUP($T257, CONTRATOS!$B:$E, 2, FALSE))</f>
        <v/>
      </c>
      <c r="V257" s="247">
        <f>IF(OR($T257="",TB_DEFESA!$C$2="Criação Baseline"),0,
   IF(VLOOKUP($T257, CONTRATOS!B:E, 3, FALSE)&lt;&gt;"",1,IF(VLOOKUP($T257, CONTRATOS!B:E, 4, FALSE)&lt;&gt;"",2,0)))</f>
        <v>0</v>
      </c>
      <c r="W257" s="248"/>
      <c r="X257" s="248"/>
      <c r="Y257" s="249"/>
      <c r="Z257" s="250"/>
      <c r="AA257" s="251"/>
      <c r="AB257" s="252"/>
      <c r="AC257" s="253"/>
      <c r="AD257" s="251"/>
      <c r="AE257" s="254" t="str">
        <f t="shared" si="141"/>
        <v/>
      </c>
      <c r="AF257" s="256" t="str">
        <f t="shared" si="152"/>
        <v/>
      </c>
      <c r="AG257" s="293" t="s">
        <v>62</v>
      </c>
      <c r="AH257" s="294" t="str">
        <f t="shared" si="153"/>
        <v/>
      </c>
      <c r="AI257" s="294" t="str">
        <f t="shared" si="154"/>
        <v/>
      </c>
      <c r="AJ257" s="295" t="str">
        <f t="shared" si="155"/>
        <v/>
      </c>
      <c r="AK257" s="296" t="str">
        <f t="shared" si="156"/>
        <v/>
      </c>
      <c r="AL257" s="297" t="str">
        <f t="shared" si="157"/>
        <v/>
      </c>
      <c r="AM257" s="294" t="str">
        <f t="shared" si="158"/>
        <v/>
      </c>
      <c r="AN257" s="294" t="str">
        <f t="shared" si="159"/>
        <v/>
      </c>
      <c r="AO257" s="298" t="str">
        <f t="shared" si="160"/>
        <v/>
      </c>
      <c r="AP257" s="299" t="str">
        <f t="shared" si="161"/>
        <v/>
      </c>
      <c r="AQ257" s="299" t="str">
        <f t="shared" si="162"/>
        <v/>
      </c>
      <c r="AR257" s="300" t="str">
        <f t="shared" si="142"/>
        <v/>
      </c>
      <c r="AS257" s="300" t="str">
        <f t="shared" si="143"/>
        <v/>
      </c>
      <c r="AT257" s="294" t="str">
        <f t="shared" si="144"/>
        <v/>
      </c>
      <c r="AU257" s="301" t="str">
        <f>IF(OR($B257="", $AP257= ""),"",IF(VLOOKUP($AP257, CONTRATOS!B:K,3,FALSE)="","",VLOOKUP($AP257, CONTRATOS!B:K, 3,FALSE)))</f>
        <v/>
      </c>
      <c r="AV257" s="301" t="str">
        <f>IF(OR($B257="", $AP257 = ""), "", IF(VLOOKUP($AP257, CONTRATOS!B:K,4,FALSE)="","",VLOOKUP($AP257, CONTRATOS!B:K,4, FALSE)))</f>
        <v/>
      </c>
      <c r="AW257" s="302" t="str">
        <f t="shared" si="145"/>
        <v/>
      </c>
      <c r="AX257" s="301" t="str">
        <f t="shared" si="146"/>
        <v/>
      </c>
      <c r="AY257" s="301" t="str">
        <f t="shared" si="147"/>
        <v/>
      </c>
      <c r="AZ257" s="301" t="str">
        <f t="shared" si="148"/>
        <v/>
      </c>
      <c r="BA257" s="301" t="str">
        <f t="shared" si="149"/>
        <v/>
      </c>
      <c r="BB257" s="303">
        <f t="shared" si="163"/>
        <v>0</v>
      </c>
      <c r="BC257" s="303" t="str">
        <f t="shared" si="164"/>
        <v/>
      </c>
      <c r="BD257" s="303" t="str">
        <f t="shared" si="165"/>
        <v/>
      </c>
      <c r="BF257" s="304">
        <f t="shared" si="166"/>
        <v>0</v>
      </c>
      <c r="BG257" s="304">
        <f t="shared" si="167"/>
        <v>0</v>
      </c>
      <c r="BH257" s="304" t="str">
        <f>IF( $B257="", "", IF(ISNA(VLOOKUP($C257, Defesa!$C$8:$C$30,1,FALSE)),1,0))</f>
        <v/>
      </c>
      <c r="BI257" s="305" t="str">
        <f t="shared" si="168"/>
        <v/>
      </c>
      <c r="BJ257" s="305" t="str">
        <f t="shared" si="169"/>
        <v/>
      </c>
      <c r="BK257" s="304" t="str">
        <f t="shared" si="170"/>
        <v/>
      </c>
      <c r="BL257" s="304">
        <f t="shared" si="171"/>
        <v>0</v>
      </c>
      <c r="BM257" s="304" t="str">
        <f>IF($AC257="", "", IF(ISNA(VLOOKUP($AC257, TABELAS!$Q:$Q, 1, FALSE)), 1, 0))</f>
        <v/>
      </c>
      <c r="BN257" s="306" t="str">
        <f t="shared" si="172"/>
        <v/>
      </c>
      <c r="BO257" s="304" t="str">
        <f t="shared" si="173"/>
        <v/>
      </c>
      <c r="BP257" s="304" t="str">
        <f t="shared" si="174"/>
        <v/>
      </c>
      <c r="BQ257" s="305" t="str">
        <f t="shared" si="175"/>
        <v/>
      </c>
      <c r="BR257" s="304" t="str">
        <f t="shared" si="176"/>
        <v/>
      </c>
      <c r="BS257" s="304" t="str">
        <f t="shared" si="177"/>
        <v/>
      </c>
      <c r="BT257" s="304" t="str">
        <f>IF(OR($B257="", $AH257 = "SIM"), "", IF( ISNA(VLOOKUP($AP257,#REF!, 1, FALSE)), 1, 0))</f>
        <v/>
      </c>
      <c r="BU257" s="304" t="str">
        <f t="shared" si="178"/>
        <v/>
      </c>
      <c r="BV257" s="304" t="str">
        <f>IF( $B257="", "", IF( ISNA(VLOOKUP($AN257, TABELAS!$T$2:$T$9,1,FALSE)), 1, 0))</f>
        <v/>
      </c>
      <c r="BW257" s="304" t="str">
        <f t="shared" si="179"/>
        <v/>
      </c>
      <c r="BX257" s="304" t="str">
        <f>IF( OR($B257="", $AH257 = "SIM"), "", IF( ISNA( VLOOKUP( $AQ257, SISTEMA!$B:$B, 1, FALSE)), 1, 0))</f>
        <v/>
      </c>
      <c r="BY257" s="305" t="str">
        <f t="shared" si="180"/>
        <v/>
      </c>
      <c r="BZ257" s="305" t="str">
        <f t="shared" si="181"/>
        <v/>
      </c>
      <c r="CA257" s="304" t="str">
        <f t="shared" si="182"/>
        <v/>
      </c>
      <c r="CB257" s="305" t="str">
        <f t="shared" si="183"/>
        <v/>
      </c>
      <c r="CC257" s="305" t="str">
        <f t="shared" si="184"/>
        <v/>
      </c>
      <c r="CD257" s="305" t="str">
        <f t="shared" si="185"/>
        <v/>
      </c>
    </row>
    <row r="258" spans="1:82" x14ac:dyDescent="0.2">
      <c r="A258" s="235"/>
      <c r="B258" s="236" t="str">
        <f t="shared" si="150"/>
        <v/>
      </c>
      <c r="C258" s="237" t="str">
        <f t="shared" si="140"/>
        <v/>
      </c>
      <c r="D258" s="237" t="str">
        <f t="shared" si="151"/>
        <v/>
      </c>
      <c r="E258" s="237" t="str">
        <f>IF($C258="", "", COUNTIF($M$8:$M258,$D258))</f>
        <v/>
      </c>
      <c r="F258" s="238">
        <v>251</v>
      </c>
      <c r="G258" s="239"/>
      <c r="H258" s="240"/>
      <c r="I258" s="240"/>
      <c r="J258" s="241"/>
      <c r="K258" s="240"/>
      <c r="L258" s="240"/>
      <c r="M258" s="240"/>
      <c r="N258" s="242"/>
      <c r="O258" s="243"/>
      <c r="P258" s="243"/>
      <c r="Q258" s="243"/>
      <c r="R258" s="243"/>
      <c r="S258" s="243"/>
      <c r="T258" s="245"/>
      <c r="U258" s="246" t="str">
        <f>IF($T258="", "", VLOOKUP($T258, CONTRATOS!$B:$E, 2, FALSE))</f>
        <v/>
      </c>
      <c r="V258" s="247">
        <f>IF(OR($T258="",TB_DEFESA!$C$2="Criação Baseline"),0,
   IF(VLOOKUP($T258, CONTRATOS!B:E, 3, FALSE)&lt;&gt;"",1,IF(VLOOKUP($T258, CONTRATOS!B:E, 4, FALSE)&lt;&gt;"",2,0)))</f>
        <v>0</v>
      </c>
      <c r="W258" s="248"/>
      <c r="X258" s="248"/>
      <c r="Y258" s="249"/>
      <c r="Z258" s="250"/>
      <c r="AA258" s="251"/>
      <c r="AB258" s="252"/>
      <c r="AC258" s="253"/>
      <c r="AD258" s="251"/>
      <c r="AE258" s="254" t="str">
        <f t="shared" si="141"/>
        <v/>
      </c>
      <c r="AF258" s="256" t="str">
        <f t="shared" si="152"/>
        <v/>
      </c>
      <c r="AG258" s="293" t="s">
        <v>62</v>
      </c>
      <c r="AH258" s="294" t="str">
        <f t="shared" si="153"/>
        <v/>
      </c>
      <c r="AI258" s="294" t="str">
        <f t="shared" si="154"/>
        <v/>
      </c>
      <c r="AJ258" s="295" t="str">
        <f t="shared" si="155"/>
        <v/>
      </c>
      <c r="AK258" s="296" t="str">
        <f t="shared" si="156"/>
        <v/>
      </c>
      <c r="AL258" s="297" t="str">
        <f t="shared" si="157"/>
        <v/>
      </c>
      <c r="AM258" s="294" t="str">
        <f t="shared" si="158"/>
        <v/>
      </c>
      <c r="AN258" s="294" t="str">
        <f t="shared" si="159"/>
        <v/>
      </c>
      <c r="AO258" s="298" t="str">
        <f t="shared" si="160"/>
        <v/>
      </c>
      <c r="AP258" s="299" t="str">
        <f t="shared" si="161"/>
        <v/>
      </c>
      <c r="AQ258" s="299" t="str">
        <f t="shared" si="162"/>
        <v/>
      </c>
      <c r="AR258" s="300" t="str">
        <f t="shared" si="142"/>
        <v/>
      </c>
      <c r="AS258" s="300" t="str">
        <f t="shared" si="143"/>
        <v/>
      </c>
      <c r="AT258" s="294" t="str">
        <f t="shared" si="144"/>
        <v/>
      </c>
      <c r="AU258" s="301" t="str">
        <f>IF(OR($B258="", $AP258= ""),"",IF(VLOOKUP($AP258, CONTRATOS!B:K,3,FALSE)="","",VLOOKUP($AP258, CONTRATOS!B:K, 3,FALSE)))</f>
        <v/>
      </c>
      <c r="AV258" s="301" t="str">
        <f>IF(OR($B258="", $AP258 = ""), "", IF(VLOOKUP($AP258, CONTRATOS!B:K,4,FALSE)="","",VLOOKUP($AP258, CONTRATOS!B:K,4, FALSE)))</f>
        <v/>
      </c>
      <c r="AW258" s="302" t="str">
        <f t="shared" si="145"/>
        <v/>
      </c>
      <c r="AX258" s="301" t="str">
        <f t="shared" si="146"/>
        <v/>
      </c>
      <c r="AY258" s="301" t="str">
        <f t="shared" si="147"/>
        <v/>
      </c>
      <c r="AZ258" s="301" t="str">
        <f t="shared" si="148"/>
        <v/>
      </c>
      <c r="BA258" s="301" t="str">
        <f t="shared" si="149"/>
        <v/>
      </c>
      <c r="BB258" s="303">
        <f t="shared" si="163"/>
        <v>0</v>
      </c>
      <c r="BC258" s="303" t="str">
        <f t="shared" si="164"/>
        <v/>
      </c>
      <c r="BD258" s="303" t="str">
        <f t="shared" si="165"/>
        <v/>
      </c>
      <c r="BF258" s="304">
        <f t="shared" si="166"/>
        <v>0</v>
      </c>
      <c r="BG258" s="304">
        <f t="shared" si="167"/>
        <v>0</v>
      </c>
      <c r="BH258" s="304" t="str">
        <f>IF( $B258="", "", IF(ISNA(VLOOKUP($C258, Defesa!$C$8:$C$30,1,FALSE)),1,0))</f>
        <v/>
      </c>
      <c r="BI258" s="305" t="str">
        <f t="shared" si="168"/>
        <v/>
      </c>
      <c r="BJ258" s="305" t="str">
        <f t="shared" si="169"/>
        <v/>
      </c>
      <c r="BK258" s="304" t="str">
        <f t="shared" si="170"/>
        <v/>
      </c>
      <c r="BL258" s="304">
        <f t="shared" si="171"/>
        <v>0</v>
      </c>
      <c r="BM258" s="304" t="str">
        <f>IF($AC258="", "", IF(ISNA(VLOOKUP($AC258, TABELAS!$Q:$Q, 1, FALSE)), 1, 0))</f>
        <v/>
      </c>
      <c r="BN258" s="306" t="str">
        <f t="shared" si="172"/>
        <v/>
      </c>
      <c r="BO258" s="304" t="str">
        <f t="shared" si="173"/>
        <v/>
      </c>
      <c r="BP258" s="304" t="str">
        <f t="shared" si="174"/>
        <v/>
      </c>
      <c r="BQ258" s="305" t="str">
        <f t="shared" si="175"/>
        <v/>
      </c>
      <c r="BR258" s="304" t="str">
        <f t="shared" si="176"/>
        <v/>
      </c>
      <c r="BS258" s="304" t="str">
        <f t="shared" si="177"/>
        <v/>
      </c>
      <c r="BT258" s="304" t="str">
        <f>IF(OR($B258="", $AH258 = "SIM"), "", IF( ISNA(VLOOKUP($AP258,#REF!, 1, FALSE)), 1, 0))</f>
        <v/>
      </c>
      <c r="BU258" s="304" t="str">
        <f t="shared" si="178"/>
        <v/>
      </c>
      <c r="BV258" s="304" t="str">
        <f>IF( $B258="", "", IF( ISNA(VLOOKUP($AN258, TABELAS!$T$2:$T$9,1,FALSE)), 1, 0))</f>
        <v/>
      </c>
      <c r="BW258" s="304" t="str">
        <f t="shared" si="179"/>
        <v/>
      </c>
      <c r="BX258" s="304" t="str">
        <f>IF( OR($B258="", $AH258 = "SIM"), "", IF( ISNA( VLOOKUP( $AQ258, SISTEMA!$B:$B, 1, FALSE)), 1, 0))</f>
        <v/>
      </c>
      <c r="BY258" s="305" t="str">
        <f t="shared" si="180"/>
        <v/>
      </c>
      <c r="BZ258" s="305" t="str">
        <f t="shared" si="181"/>
        <v/>
      </c>
      <c r="CA258" s="304" t="str">
        <f t="shared" si="182"/>
        <v/>
      </c>
      <c r="CB258" s="305" t="str">
        <f t="shared" si="183"/>
        <v/>
      </c>
      <c r="CC258" s="305" t="str">
        <f t="shared" si="184"/>
        <v/>
      </c>
      <c r="CD258" s="305" t="str">
        <f t="shared" si="185"/>
        <v/>
      </c>
    </row>
    <row r="259" spans="1:82" x14ac:dyDescent="0.2">
      <c r="A259" s="235"/>
      <c r="B259" s="236" t="str">
        <f t="shared" si="150"/>
        <v/>
      </c>
      <c r="C259" s="237" t="str">
        <f t="shared" si="140"/>
        <v/>
      </c>
      <c r="D259" s="237" t="str">
        <f t="shared" si="151"/>
        <v/>
      </c>
      <c r="E259" s="237" t="str">
        <f>IF($C259="", "", COUNTIF($M$8:$M259,$D259))</f>
        <v/>
      </c>
      <c r="F259" s="238">
        <v>252</v>
      </c>
      <c r="G259" s="239"/>
      <c r="H259" s="240"/>
      <c r="I259" s="240"/>
      <c r="J259" s="241"/>
      <c r="K259" s="240"/>
      <c r="L259" s="240"/>
      <c r="M259" s="240"/>
      <c r="N259" s="242"/>
      <c r="O259" s="243"/>
      <c r="P259" s="243"/>
      <c r="Q259" s="243"/>
      <c r="R259" s="243"/>
      <c r="S259" s="243"/>
      <c r="T259" s="245"/>
      <c r="U259" s="246" t="str">
        <f>IF($T259="", "", VLOOKUP($T259, CONTRATOS!$B:$E, 2, FALSE))</f>
        <v/>
      </c>
      <c r="V259" s="247">
        <f>IF(OR($T259="",TB_DEFESA!$C$2="Criação Baseline"),0,
   IF(VLOOKUP($T259, CONTRATOS!B:E, 3, FALSE)&lt;&gt;"",1,IF(VLOOKUP($T259, CONTRATOS!B:E, 4, FALSE)&lt;&gt;"",2,0)))</f>
        <v>0</v>
      </c>
      <c r="W259" s="248"/>
      <c r="X259" s="248"/>
      <c r="Y259" s="249"/>
      <c r="Z259" s="250"/>
      <c r="AA259" s="251"/>
      <c r="AB259" s="252"/>
      <c r="AC259" s="253"/>
      <c r="AD259" s="251"/>
      <c r="AE259" s="254" t="str">
        <f t="shared" si="141"/>
        <v/>
      </c>
      <c r="AF259" s="256" t="str">
        <f t="shared" si="152"/>
        <v/>
      </c>
      <c r="AG259" s="293" t="s">
        <v>62</v>
      </c>
      <c r="AH259" s="294" t="str">
        <f t="shared" si="153"/>
        <v/>
      </c>
      <c r="AI259" s="294" t="str">
        <f t="shared" si="154"/>
        <v/>
      </c>
      <c r="AJ259" s="295" t="str">
        <f t="shared" si="155"/>
        <v/>
      </c>
      <c r="AK259" s="296" t="str">
        <f t="shared" si="156"/>
        <v/>
      </c>
      <c r="AL259" s="297" t="str">
        <f t="shared" si="157"/>
        <v/>
      </c>
      <c r="AM259" s="294" t="str">
        <f t="shared" si="158"/>
        <v/>
      </c>
      <c r="AN259" s="294" t="str">
        <f t="shared" si="159"/>
        <v/>
      </c>
      <c r="AO259" s="298" t="str">
        <f t="shared" si="160"/>
        <v/>
      </c>
      <c r="AP259" s="299" t="str">
        <f t="shared" si="161"/>
        <v/>
      </c>
      <c r="AQ259" s="299" t="str">
        <f t="shared" si="162"/>
        <v/>
      </c>
      <c r="AR259" s="300" t="str">
        <f t="shared" si="142"/>
        <v/>
      </c>
      <c r="AS259" s="300" t="str">
        <f t="shared" si="143"/>
        <v/>
      </c>
      <c r="AT259" s="294" t="str">
        <f t="shared" si="144"/>
        <v/>
      </c>
      <c r="AU259" s="301" t="str">
        <f>IF(OR($B259="", $AP259= ""),"",IF(VLOOKUP($AP259, CONTRATOS!B:K,3,FALSE)="","",VLOOKUP($AP259, CONTRATOS!B:K, 3,FALSE)))</f>
        <v/>
      </c>
      <c r="AV259" s="301" t="str">
        <f>IF(OR($B259="", $AP259 = ""), "", IF(VLOOKUP($AP259, CONTRATOS!B:K,4,FALSE)="","",VLOOKUP($AP259, CONTRATOS!B:K,4, FALSE)))</f>
        <v/>
      </c>
      <c r="AW259" s="302" t="str">
        <f t="shared" si="145"/>
        <v/>
      </c>
      <c r="AX259" s="301" t="str">
        <f t="shared" si="146"/>
        <v/>
      </c>
      <c r="AY259" s="301" t="str">
        <f t="shared" si="147"/>
        <v/>
      </c>
      <c r="AZ259" s="301" t="str">
        <f t="shared" si="148"/>
        <v/>
      </c>
      <c r="BA259" s="301" t="str">
        <f t="shared" si="149"/>
        <v/>
      </c>
      <c r="BB259" s="303">
        <f t="shared" si="163"/>
        <v>0</v>
      </c>
      <c r="BC259" s="303" t="str">
        <f t="shared" si="164"/>
        <v/>
      </c>
      <c r="BD259" s="303" t="str">
        <f t="shared" si="165"/>
        <v/>
      </c>
      <c r="BF259" s="304">
        <f t="shared" si="166"/>
        <v>0</v>
      </c>
      <c r="BG259" s="304">
        <f t="shared" si="167"/>
        <v>0</v>
      </c>
      <c r="BH259" s="304" t="str">
        <f>IF( $B259="", "", IF(ISNA(VLOOKUP($C259, Defesa!$C$8:$C$30,1,FALSE)),1,0))</f>
        <v/>
      </c>
      <c r="BI259" s="305" t="str">
        <f t="shared" si="168"/>
        <v/>
      </c>
      <c r="BJ259" s="305" t="str">
        <f t="shared" si="169"/>
        <v/>
      </c>
      <c r="BK259" s="304" t="str">
        <f t="shared" si="170"/>
        <v/>
      </c>
      <c r="BL259" s="304">
        <f t="shared" si="171"/>
        <v>0</v>
      </c>
      <c r="BM259" s="304" t="str">
        <f>IF($AC259="", "", IF(ISNA(VLOOKUP($AC259, TABELAS!$Q:$Q, 1, FALSE)), 1, 0))</f>
        <v/>
      </c>
      <c r="BN259" s="306" t="str">
        <f t="shared" si="172"/>
        <v/>
      </c>
      <c r="BO259" s="304" t="str">
        <f t="shared" si="173"/>
        <v/>
      </c>
      <c r="BP259" s="304" t="str">
        <f t="shared" si="174"/>
        <v/>
      </c>
      <c r="BQ259" s="305" t="str">
        <f t="shared" si="175"/>
        <v/>
      </c>
      <c r="BR259" s="304" t="str">
        <f t="shared" si="176"/>
        <v/>
      </c>
      <c r="BS259" s="304" t="str">
        <f t="shared" si="177"/>
        <v/>
      </c>
      <c r="BT259" s="304" t="str">
        <f>IF(OR($B259="", $AH259 = "SIM"), "", IF( ISNA(VLOOKUP($AP259,#REF!, 1, FALSE)), 1, 0))</f>
        <v/>
      </c>
      <c r="BU259" s="304" t="str">
        <f t="shared" si="178"/>
        <v/>
      </c>
      <c r="BV259" s="304" t="str">
        <f>IF( $B259="", "", IF( ISNA(VLOOKUP($AN259, TABELAS!$T$2:$T$9,1,FALSE)), 1, 0))</f>
        <v/>
      </c>
      <c r="BW259" s="304" t="str">
        <f t="shared" si="179"/>
        <v/>
      </c>
      <c r="BX259" s="304" t="str">
        <f>IF( OR($B259="", $AH259 = "SIM"), "", IF( ISNA( VLOOKUP( $AQ259, SISTEMA!$B:$B, 1, FALSE)), 1, 0))</f>
        <v/>
      </c>
      <c r="BY259" s="305" t="str">
        <f t="shared" si="180"/>
        <v/>
      </c>
      <c r="BZ259" s="305" t="str">
        <f t="shared" si="181"/>
        <v/>
      </c>
      <c r="CA259" s="304" t="str">
        <f t="shared" si="182"/>
        <v/>
      </c>
      <c r="CB259" s="305" t="str">
        <f t="shared" si="183"/>
        <v/>
      </c>
      <c r="CC259" s="305" t="str">
        <f t="shared" si="184"/>
        <v/>
      </c>
      <c r="CD259" s="305" t="str">
        <f t="shared" si="185"/>
        <v/>
      </c>
    </row>
    <row r="260" spans="1:82" x14ac:dyDescent="0.2">
      <c r="A260" s="235"/>
      <c r="B260" s="236" t="str">
        <f t="shared" si="150"/>
        <v/>
      </c>
      <c r="C260" s="237" t="str">
        <f t="shared" si="140"/>
        <v/>
      </c>
      <c r="D260" s="237" t="str">
        <f t="shared" si="151"/>
        <v/>
      </c>
      <c r="E260" s="237" t="str">
        <f>IF($C260="", "", COUNTIF($M$8:$M260,$D260))</f>
        <v/>
      </c>
      <c r="F260" s="238">
        <v>253</v>
      </c>
      <c r="G260" s="239"/>
      <c r="H260" s="240"/>
      <c r="I260" s="240"/>
      <c r="J260" s="241"/>
      <c r="K260" s="240"/>
      <c r="L260" s="240"/>
      <c r="M260" s="240"/>
      <c r="N260" s="242"/>
      <c r="O260" s="243"/>
      <c r="P260" s="243"/>
      <c r="Q260" s="243"/>
      <c r="R260" s="243"/>
      <c r="S260" s="243"/>
      <c r="T260" s="245"/>
      <c r="U260" s="246" t="str">
        <f>IF($T260="", "", VLOOKUP($T260, CONTRATOS!$B:$E, 2, FALSE))</f>
        <v/>
      </c>
      <c r="V260" s="247">
        <f>IF(OR($T260="",TB_DEFESA!$C$2="Criação Baseline"),0,
   IF(VLOOKUP($T260, CONTRATOS!B:E, 3, FALSE)&lt;&gt;"",1,IF(VLOOKUP($T260, CONTRATOS!B:E, 4, FALSE)&lt;&gt;"",2,0)))</f>
        <v>0</v>
      </c>
      <c r="W260" s="248"/>
      <c r="X260" s="248"/>
      <c r="Y260" s="249"/>
      <c r="Z260" s="250"/>
      <c r="AA260" s="251"/>
      <c r="AB260" s="252"/>
      <c r="AC260" s="253"/>
      <c r="AD260" s="251"/>
      <c r="AE260" s="254" t="str">
        <f t="shared" si="141"/>
        <v/>
      </c>
      <c r="AF260" s="256" t="str">
        <f t="shared" si="152"/>
        <v/>
      </c>
      <c r="AG260" s="293" t="s">
        <v>62</v>
      </c>
      <c r="AH260" s="294" t="str">
        <f t="shared" si="153"/>
        <v/>
      </c>
      <c r="AI260" s="294" t="str">
        <f t="shared" si="154"/>
        <v/>
      </c>
      <c r="AJ260" s="295" t="str">
        <f t="shared" si="155"/>
        <v/>
      </c>
      <c r="AK260" s="296" t="str">
        <f t="shared" si="156"/>
        <v/>
      </c>
      <c r="AL260" s="297" t="str">
        <f t="shared" si="157"/>
        <v/>
      </c>
      <c r="AM260" s="294" t="str">
        <f t="shared" si="158"/>
        <v/>
      </c>
      <c r="AN260" s="294" t="str">
        <f t="shared" si="159"/>
        <v/>
      </c>
      <c r="AO260" s="298" t="str">
        <f t="shared" si="160"/>
        <v/>
      </c>
      <c r="AP260" s="299" t="str">
        <f t="shared" si="161"/>
        <v/>
      </c>
      <c r="AQ260" s="299" t="str">
        <f t="shared" si="162"/>
        <v/>
      </c>
      <c r="AR260" s="300" t="str">
        <f t="shared" si="142"/>
        <v/>
      </c>
      <c r="AS260" s="300" t="str">
        <f t="shared" si="143"/>
        <v/>
      </c>
      <c r="AT260" s="294" t="str">
        <f t="shared" si="144"/>
        <v/>
      </c>
      <c r="AU260" s="301" t="str">
        <f>IF(OR($B260="", $AP260= ""),"",IF(VLOOKUP($AP260, CONTRATOS!B:K,3,FALSE)="","",VLOOKUP($AP260, CONTRATOS!B:K, 3,FALSE)))</f>
        <v/>
      </c>
      <c r="AV260" s="301" t="str">
        <f>IF(OR($B260="", $AP260 = ""), "", IF(VLOOKUP($AP260, CONTRATOS!B:K,4,FALSE)="","",VLOOKUP($AP260, CONTRATOS!B:K,4, FALSE)))</f>
        <v/>
      </c>
      <c r="AW260" s="302" t="str">
        <f t="shared" si="145"/>
        <v/>
      </c>
      <c r="AX260" s="301" t="str">
        <f t="shared" si="146"/>
        <v/>
      </c>
      <c r="AY260" s="301" t="str">
        <f t="shared" si="147"/>
        <v/>
      </c>
      <c r="AZ260" s="301" t="str">
        <f t="shared" si="148"/>
        <v/>
      </c>
      <c r="BA260" s="301" t="str">
        <f t="shared" si="149"/>
        <v/>
      </c>
      <c r="BB260" s="303">
        <f t="shared" si="163"/>
        <v>0</v>
      </c>
      <c r="BC260" s="303" t="str">
        <f t="shared" si="164"/>
        <v/>
      </c>
      <c r="BD260" s="303" t="str">
        <f t="shared" si="165"/>
        <v/>
      </c>
      <c r="BF260" s="304">
        <f t="shared" si="166"/>
        <v>0</v>
      </c>
      <c r="BG260" s="304">
        <f t="shared" si="167"/>
        <v>0</v>
      </c>
      <c r="BH260" s="304" t="str">
        <f>IF( $B260="", "", IF(ISNA(VLOOKUP($C260, Defesa!$C$8:$C$30,1,FALSE)),1,0))</f>
        <v/>
      </c>
      <c r="BI260" s="305" t="str">
        <f t="shared" si="168"/>
        <v/>
      </c>
      <c r="BJ260" s="305" t="str">
        <f t="shared" si="169"/>
        <v/>
      </c>
      <c r="BK260" s="304" t="str">
        <f t="shared" si="170"/>
        <v/>
      </c>
      <c r="BL260" s="304">
        <f t="shared" si="171"/>
        <v>0</v>
      </c>
      <c r="BM260" s="304" t="str">
        <f>IF($AC260="", "", IF(ISNA(VLOOKUP($AC260, TABELAS!$Q:$Q, 1, FALSE)), 1, 0))</f>
        <v/>
      </c>
      <c r="BN260" s="306" t="str">
        <f t="shared" si="172"/>
        <v/>
      </c>
      <c r="BO260" s="304" t="str">
        <f t="shared" si="173"/>
        <v/>
      </c>
      <c r="BP260" s="304" t="str">
        <f t="shared" si="174"/>
        <v/>
      </c>
      <c r="BQ260" s="305" t="str">
        <f t="shared" si="175"/>
        <v/>
      </c>
      <c r="BR260" s="304" t="str">
        <f t="shared" si="176"/>
        <v/>
      </c>
      <c r="BS260" s="304" t="str">
        <f t="shared" si="177"/>
        <v/>
      </c>
      <c r="BT260" s="304" t="str">
        <f>IF(OR($B260="", $AH260 = "SIM"), "", IF( ISNA(VLOOKUP($AP260,#REF!, 1, FALSE)), 1, 0))</f>
        <v/>
      </c>
      <c r="BU260" s="304" t="str">
        <f t="shared" si="178"/>
        <v/>
      </c>
      <c r="BV260" s="304" t="str">
        <f>IF( $B260="", "", IF( ISNA(VLOOKUP($AN260, TABELAS!$T$2:$T$9,1,FALSE)), 1, 0))</f>
        <v/>
      </c>
      <c r="BW260" s="304" t="str">
        <f t="shared" si="179"/>
        <v/>
      </c>
      <c r="BX260" s="304" t="str">
        <f>IF( OR($B260="", $AH260 = "SIM"), "", IF( ISNA( VLOOKUP( $AQ260, SISTEMA!$B:$B, 1, FALSE)), 1, 0))</f>
        <v/>
      </c>
      <c r="BY260" s="305" t="str">
        <f t="shared" si="180"/>
        <v/>
      </c>
      <c r="BZ260" s="305" t="str">
        <f t="shared" si="181"/>
        <v/>
      </c>
      <c r="CA260" s="304" t="str">
        <f t="shared" si="182"/>
        <v/>
      </c>
      <c r="CB260" s="305" t="str">
        <f t="shared" si="183"/>
        <v/>
      </c>
      <c r="CC260" s="305" t="str">
        <f t="shared" si="184"/>
        <v/>
      </c>
      <c r="CD260" s="305" t="str">
        <f t="shared" si="185"/>
        <v/>
      </c>
    </row>
    <row r="261" spans="1:82" x14ac:dyDescent="0.2">
      <c r="A261" s="235"/>
      <c r="B261" s="236" t="str">
        <f t="shared" si="150"/>
        <v/>
      </c>
      <c r="C261" s="237" t="str">
        <f t="shared" si="140"/>
        <v/>
      </c>
      <c r="D261" s="237" t="str">
        <f t="shared" si="151"/>
        <v/>
      </c>
      <c r="E261" s="237" t="str">
        <f>IF($C261="", "", COUNTIF($M$8:$M261,$D261))</f>
        <v/>
      </c>
      <c r="F261" s="238">
        <v>254</v>
      </c>
      <c r="G261" s="239"/>
      <c r="H261" s="240"/>
      <c r="I261" s="240"/>
      <c r="J261" s="241"/>
      <c r="K261" s="240"/>
      <c r="L261" s="240"/>
      <c r="M261" s="240"/>
      <c r="N261" s="242"/>
      <c r="O261" s="243"/>
      <c r="P261" s="243"/>
      <c r="Q261" s="243"/>
      <c r="R261" s="243"/>
      <c r="S261" s="243"/>
      <c r="T261" s="245"/>
      <c r="U261" s="246" t="str">
        <f>IF($T261="", "", VLOOKUP($T261, CONTRATOS!$B:$E, 2, FALSE))</f>
        <v/>
      </c>
      <c r="V261" s="247">
        <f>IF(OR($T261="",TB_DEFESA!$C$2="Criação Baseline"),0,
   IF(VLOOKUP($T261, CONTRATOS!B:E, 3, FALSE)&lt;&gt;"",1,IF(VLOOKUP($T261, CONTRATOS!B:E, 4, FALSE)&lt;&gt;"",2,0)))</f>
        <v>0</v>
      </c>
      <c r="W261" s="248"/>
      <c r="X261" s="248"/>
      <c r="Y261" s="249"/>
      <c r="Z261" s="250"/>
      <c r="AA261" s="251"/>
      <c r="AB261" s="252"/>
      <c r="AC261" s="253"/>
      <c r="AD261" s="251"/>
      <c r="AE261" s="254" t="str">
        <f t="shared" si="141"/>
        <v/>
      </c>
      <c r="AF261" s="256" t="str">
        <f t="shared" si="152"/>
        <v/>
      </c>
      <c r="AG261" s="293" t="s">
        <v>62</v>
      </c>
      <c r="AH261" s="294" t="str">
        <f t="shared" si="153"/>
        <v/>
      </c>
      <c r="AI261" s="294" t="str">
        <f t="shared" si="154"/>
        <v/>
      </c>
      <c r="AJ261" s="295" t="str">
        <f t="shared" si="155"/>
        <v/>
      </c>
      <c r="AK261" s="296" t="str">
        <f t="shared" si="156"/>
        <v/>
      </c>
      <c r="AL261" s="297" t="str">
        <f t="shared" si="157"/>
        <v/>
      </c>
      <c r="AM261" s="294" t="str">
        <f t="shared" si="158"/>
        <v/>
      </c>
      <c r="AN261" s="294" t="str">
        <f t="shared" si="159"/>
        <v/>
      </c>
      <c r="AO261" s="298" t="str">
        <f t="shared" si="160"/>
        <v/>
      </c>
      <c r="AP261" s="299" t="str">
        <f t="shared" si="161"/>
        <v/>
      </c>
      <c r="AQ261" s="299" t="str">
        <f t="shared" si="162"/>
        <v/>
      </c>
      <c r="AR261" s="300" t="str">
        <f t="shared" si="142"/>
        <v/>
      </c>
      <c r="AS261" s="300" t="str">
        <f t="shared" si="143"/>
        <v/>
      </c>
      <c r="AT261" s="294" t="str">
        <f t="shared" si="144"/>
        <v/>
      </c>
      <c r="AU261" s="301" t="str">
        <f>IF(OR($B261="", $AP261= ""),"",IF(VLOOKUP($AP261, CONTRATOS!B:K,3,FALSE)="","",VLOOKUP($AP261, CONTRATOS!B:K, 3,FALSE)))</f>
        <v/>
      </c>
      <c r="AV261" s="301" t="str">
        <f>IF(OR($B261="", $AP261 = ""), "", IF(VLOOKUP($AP261, CONTRATOS!B:K,4,FALSE)="","",VLOOKUP($AP261, CONTRATOS!B:K,4, FALSE)))</f>
        <v/>
      </c>
      <c r="AW261" s="302" t="str">
        <f t="shared" si="145"/>
        <v/>
      </c>
      <c r="AX261" s="301" t="str">
        <f t="shared" si="146"/>
        <v/>
      </c>
      <c r="AY261" s="301" t="str">
        <f t="shared" si="147"/>
        <v/>
      </c>
      <c r="AZ261" s="301" t="str">
        <f t="shared" si="148"/>
        <v/>
      </c>
      <c r="BA261" s="301" t="str">
        <f t="shared" si="149"/>
        <v/>
      </c>
      <c r="BB261" s="303">
        <f t="shared" si="163"/>
        <v>0</v>
      </c>
      <c r="BC261" s="303" t="str">
        <f t="shared" si="164"/>
        <v/>
      </c>
      <c r="BD261" s="303" t="str">
        <f t="shared" si="165"/>
        <v/>
      </c>
      <c r="BF261" s="304">
        <f t="shared" si="166"/>
        <v>0</v>
      </c>
      <c r="BG261" s="304">
        <f t="shared" si="167"/>
        <v>0</v>
      </c>
      <c r="BH261" s="304" t="str">
        <f>IF( $B261="", "", IF(ISNA(VLOOKUP($C261, Defesa!$C$8:$C$30,1,FALSE)),1,0))</f>
        <v/>
      </c>
      <c r="BI261" s="305" t="str">
        <f t="shared" si="168"/>
        <v/>
      </c>
      <c r="BJ261" s="305" t="str">
        <f t="shared" si="169"/>
        <v/>
      </c>
      <c r="BK261" s="304" t="str">
        <f t="shared" si="170"/>
        <v/>
      </c>
      <c r="BL261" s="304">
        <f t="shared" si="171"/>
        <v>0</v>
      </c>
      <c r="BM261" s="304" t="str">
        <f>IF($AC261="", "", IF(ISNA(VLOOKUP($AC261, TABELAS!$Q:$Q, 1, FALSE)), 1, 0))</f>
        <v/>
      </c>
      <c r="BN261" s="306" t="str">
        <f t="shared" si="172"/>
        <v/>
      </c>
      <c r="BO261" s="304" t="str">
        <f t="shared" si="173"/>
        <v/>
      </c>
      <c r="BP261" s="304" t="str">
        <f t="shared" si="174"/>
        <v/>
      </c>
      <c r="BQ261" s="305" t="str">
        <f t="shared" si="175"/>
        <v/>
      </c>
      <c r="BR261" s="304" t="str">
        <f t="shared" si="176"/>
        <v/>
      </c>
      <c r="BS261" s="304" t="str">
        <f t="shared" si="177"/>
        <v/>
      </c>
      <c r="BT261" s="304" t="str">
        <f>IF(OR($B261="", $AH261 = "SIM"), "", IF( ISNA(VLOOKUP($AP261,#REF!, 1, FALSE)), 1, 0))</f>
        <v/>
      </c>
      <c r="BU261" s="304" t="str">
        <f t="shared" si="178"/>
        <v/>
      </c>
      <c r="BV261" s="304" t="str">
        <f>IF( $B261="", "", IF( ISNA(VLOOKUP($AN261, TABELAS!$T$2:$T$9,1,FALSE)), 1, 0))</f>
        <v/>
      </c>
      <c r="BW261" s="304" t="str">
        <f t="shared" si="179"/>
        <v/>
      </c>
      <c r="BX261" s="304" t="str">
        <f>IF( OR($B261="", $AH261 = "SIM"), "", IF( ISNA( VLOOKUP( $AQ261, SISTEMA!$B:$B, 1, FALSE)), 1, 0))</f>
        <v/>
      </c>
      <c r="BY261" s="305" t="str">
        <f t="shared" si="180"/>
        <v/>
      </c>
      <c r="BZ261" s="305" t="str">
        <f t="shared" si="181"/>
        <v/>
      </c>
      <c r="CA261" s="304" t="str">
        <f t="shared" si="182"/>
        <v/>
      </c>
      <c r="CB261" s="305" t="str">
        <f t="shared" si="183"/>
        <v/>
      </c>
      <c r="CC261" s="305" t="str">
        <f t="shared" si="184"/>
        <v/>
      </c>
      <c r="CD261" s="305" t="str">
        <f t="shared" si="185"/>
        <v/>
      </c>
    </row>
    <row r="262" spans="1:82" x14ac:dyDescent="0.2">
      <c r="A262" s="235"/>
      <c r="B262" s="236" t="str">
        <f t="shared" si="150"/>
        <v/>
      </c>
      <c r="C262" s="237" t="str">
        <f t="shared" si="140"/>
        <v/>
      </c>
      <c r="D262" s="237" t="str">
        <f t="shared" si="151"/>
        <v/>
      </c>
      <c r="E262" s="237" t="str">
        <f>IF($C262="", "", COUNTIF($M$8:$M262,$D262))</f>
        <v/>
      </c>
      <c r="F262" s="238">
        <v>255</v>
      </c>
      <c r="G262" s="239"/>
      <c r="H262" s="240"/>
      <c r="I262" s="240"/>
      <c r="J262" s="241"/>
      <c r="K262" s="240"/>
      <c r="L262" s="240"/>
      <c r="M262" s="240"/>
      <c r="N262" s="242"/>
      <c r="O262" s="243"/>
      <c r="P262" s="243"/>
      <c r="Q262" s="243"/>
      <c r="R262" s="243"/>
      <c r="S262" s="243"/>
      <c r="T262" s="245"/>
      <c r="U262" s="246" t="str">
        <f>IF($T262="", "", VLOOKUP($T262, CONTRATOS!$B:$E, 2, FALSE))</f>
        <v/>
      </c>
      <c r="V262" s="247">
        <f>IF(OR($T262="",TB_DEFESA!$C$2="Criação Baseline"),0,
   IF(VLOOKUP($T262, CONTRATOS!B:E, 3, FALSE)&lt;&gt;"",1,IF(VLOOKUP($T262, CONTRATOS!B:E, 4, FALSE)&lt;&gt;"",2,0)))</f>
        <v>0</v>
      </c>
      <c r="W262" s="248"/>
      <c r="X262" s="248"/>
      <c r="Y262" s="249"/>
      <c r="Z262" s="250"/>
      <c r="AA262" s="251"/>
      <c r="AB262" s="252"/>
      <c r="AC262" s="253"/>
      <c r="AD262" s="251"/>
      <c r="AE262" s="254" t="str">
        <f t="shared" si="141"/>
        <v/>
      </c>
      <c r="AF262" s="256" t="str">
        <f t="shared" si="152"/>
        <v/>
      </c>
      <c r="AG262" s="293" t="s">
        <v>62</v>
      </c>
      <c r="AH262" s="294" t="str">
        <f t="shared" si="153"/>
        <v/>
      </c>
      <c r="AI262" s="294" t="str">
        <f t="shared" si="154"/>
        <v/>
      </c>
      <c r="AJ262" s="295" t="str">
        <f t="shared" si="155"/>
        <v/>
      </c>
      <c r="AK262" s="296" t="str">
        <f t="shared" si="156"/>
        <v/>
      </c>
      <c r="AL262" s="297" t="str">
        <f t="shared" si="157"/>
        <v/>
      </c>
      <c r="AM262" s="294" t="str">
        <f t="shared" si="158"/>
        <v/>
      </c>
      <c r="AN262" s="294" t="str">
        <f t="shared" si="159"/>
        <v/>
      </c>
      <c r="AO262" s="298" t="str">
        <f t="shared" si="160"/>
        <v/>
      </c>
      <c r="AP262" s="299" t="str">
        <f t="shared" si="161"/>
        <v/>
      </c>
      <c r="AQ262" s="299" t="str">
        <f t="shared" si="162"/>
        <v/>
      </c>
      <c r="AR262" s="300" t="str">
        <f t="shared" si="142"/>
        <v/>
      </c>
      <c r="AS262" s="300" t="str">
        <f t="shared" si="143"/>
        <v/>
      </c>
      <c r="AT262" s="294" t="str">
        <f t="shared" si="144"/>
        <v/>
      </c>
      <c r="AU262" s="301" t="str">
        <f>IF(OR($B262="", $AP262= ""),"",IF(VLOOKUP($AP262, CONTRATOS!B:K,3,FALSE)="","",VLOOKUP($AP262, CONTRATOS!B:K, 3,FALSE)))</f>
        <v/>
      </c>
      <c r="AV262" s="301" t="str">
        <f>IF(OR($B262="", $AP262 = ""), "", IF(VLOOKUP($AP262, CONTRATOS!B:K,4,FALSE)="","",VLOOKUP($AP262, CONTRATOS!B:K,4, FALSE)))</f>
        <v/>
      </c>
      <c r="AW262" s="302" t="str">
        <f t="shared" si="145"/>
        <v/>
      </c>
      <c r="AX262" s="301" t="str">
        <f t="shared" si="146"/>
        <v/>
      </c>
      <c r="AY262" s="301" t="str">
        <f t="shared" si="147"/>
        <v/>
      </c>
      <c r="AZ262" s="301" t="str">
        <f t="shared" si="148"/>
        <v/>
      </c>
      <c r="BA262" s="301" t="str">
        <f t="shared" si="149"/>
        <v/>
      </c>
      <c r="BB262" s="303">
        <f t="shared" si="163"/>
        <v>0</v>
      </c>
      <c r="BC262" s="303" t="str">
        <f t="shared" si="164"/>
        <v/>
      </c>
      <c r="BD262" s="303" t="str">
        <f t="shared" si="165"/>
        <v/>
      </c>
      <c r="BF262" s="304">
        <f t="shared" si="166"/>
        <v>0</v>
      </c>
      <c r="BG262" s="304">
        <f t="shared" si="167"/>
        <v>0</v>
      </c>
      <c r="BH262" s="304" t="str">
        <f>IF( $B262="", "", IF(ISNA(VLOOKUP($C262, Defesa!$C$8:$C$30,1,FALSE)),1,0))</f>
        <v/>
      </c>
      <c r="BI262" s="305" t="str">
        <f t="shared" si="168"/>
        <v/>
      </c>
      <c r="BJ262" s="305" t="str">
        <f t="shared" si="169"/>
        <v/>
      </c>
      <c r="BK262" s="304" t="str">
        <f t="shared" si="170"/>
        <v/>
      </c>
      <c r="BL262" s="304">
        <f t="shared" si="171"/>
        <v>0</v>
      </c>
      <c r="BM262" s="304" t="str">
        <f>IF($AC262="", "", IF(ISNA(VLOOKUP($AC262, TABELAS!$Q:$Q, 1, FALSE)), 1, 0))</f>
        <v/>
      </c>
      <c r="BN262" s="306" t="str">
        <f t="shared" si="172"/>
        <v/>
      </c>
      <c r="BO262" s="304" t="str">
        <f t="shared" si="173"/>
        <v/>
      </c>
      <c r="BP262" s="304" t="str">
        <f t="shared" si="174"/>
        <v/>
      </c>
      <c r="BQ262" s="305" t="str">
        <f t="shared" si="175"/>
        <v/>
      </c>
      <c r="BR262" s="304" t="str">
        <f t="shared" si="176"/>
        <v/>
      </c>
      <c r="BS262" s="304" t="str">
        <f t="shared" si="177"/>
        <v/>
      </c>
      <c r="BT262" s="304" t="str">
        <f>IF(OR($B262="", $AH262 = "SIM"), "", IF( ISNA(VLOOKUP($AP262,#REF!, 1, FALSE)), 1, 0))</f>
        <v/>
      </c>
      <c r="BU262" s="304" t="str">
        <f t="shared" si="178"/>
        <v/>
      </c>
      <c r="BV262" s="304" t="str">
        <f>IF( $B262="", "", IF( ISNA(VLOOKUP($AN262, TABELAS!$T$2:$T$9,1,FALSE)), 1, 0))</f>
        <v/>
      </c>
      <c r="BW262" s="304" t="str">
        <f t="shared" si="179"/>
        <v/>
      </c>
      <c r="BX262" s="304" t="str">
        <f>IF( OR($B262="", $AH262 = "SIM"), "", IF( ISNA( VLOOKUP( $AQ262, SISTEMA!$B:$B, 1, FALSE)), 1, 0))</f>
        <v/>
      </c>
      <c r="BY262" s="305" t="str">
        <f t="shared" si="180"/>
        <v/>
      </c>
      <c r="BZ262" s="305" t="str">
        <f t="shared" si="181"/>
        <v/>
      </c>
      <c r="CA262" s="304" t="str">
        <f t="shared" si="182"/>
        <v/>
      </c>
      <c r="CB262" s="305" t="str">
        <f t="shared" si="183"/>
        <v/>
      </c>
      <c r="CC262" s="305" t="str">
        <f t="shared" si="184"/>
        <v/>
      </c>
      <c r="CD262" s="305" t="str">
        <f t="shared" si="185"/>
        <v/>
      </c>
    </row>
    <row r="263" spans="1:82" x14ac:dyDescent="0.2">
      <c r="A263" s="235"/>
      <c r="B263" s="236" t="str">
        <f t="shared" si="150"/>
        <v/>
      </c>
      <c r="C263" s="237" t="str">
        <f t="shared" si="140"/>
        <v/>
      </c>
      <c r="D263" s="237" t="str">
        <f t="shared" si="151"/>
        <v/>
      </c>
      <c r="E263" s="237" t="str">
        <f>IF($C263="", "", COUNTIF($M$8:$M263,$D263))</f>
        <v/>
      </c>
      <c r="F263" s="238">
        <v>256</v>
      </c>
      <c r="G263" s="239"/>
      <c r="H263" s="240"/>
      <c r="I263" s="240"/>
      <c r="J263" s="241"/>
      <c r="K263" s="240"/>
      <c r="L263" s="240"/>
      <c r="M263" s="240"/>
      <c r="N263" s="242"/>
      <c r="O263" s="243"/>
      <c r="P263" s="243"/>
      <c r="Q263" s="243"/>
      <c r="R263" s="243"/>
      <c r="S263" s="243"/>
      <c r="T263" s="245"/>
      <c r="U263" s="246" t="str">
        <f>IF($T263="", "", VLOOKUP($T263, CONTRATOS!$B:$E, 2, FALSE))</f>
        <v/>
      </c>
      <c r="V263" s="247">
        <f>IF(OR($T263="",TB_DEFESA!$C$2="Criação Baseline"),0,
   IF(VLOOKUP($T263, CONTRATOS!B:E, 3, FALSE)&lt;&gt;"",1,IF(VLOOKUP($T263, CONTRATOS!B:E, 4, FALSE)&lt;&gt;"",2,0)))</f>
        <v>0</v>
      </c>
      <c r="W263" s="248"/>
      <c r="X263" s="248"/>
      <c r="Y263" s="249"/>
      <c r="Z263" s="250"/>
      <c r="AA263" s="251"/>
      <c r="AB263" s="252"/>
      <c r="AC263" s="253"/>
      <c r="AD263" s="251"/>
      <c r="AE263" s="254" t="str">
        <f t="shared" si="141"/>
        <v/>
      </c>
      <c r="AF263" s="256" t="str">
        <f t="shared" si="152"/>
        <v/>
      </c>
      <c r="AG263" s="293" t="s">
        <v>62</v>
      </c>
      <c r="AH263" s="294" t="str">
        <f t="shared" si="153"/>
        <v/>
      </c>
      <c r="AI263" s="294" t="str">
        <f t="shared" si="154"/>
        <v/>
      </c>
      <c r="AJ263" s="295" t="str">
        <f t="shared" si="155"/>
        <v/>
      </c>
      <c r="AK263" s="296" t="str">
        <f t="shared" si="156"/>
        <v/>
      </c>
      <c r="AL263" s="297" t="str">
        <f t="shared" si="157"/>
        <v/>
      </c>
      <c r="AM263" s="294" t="str">
        <f t="shared" si="158"/>
        <v/>
      </c>
      <c r="AN263" s="294" t="str">
        <f t="shared" si="159"/>
        <v/>
      </c>
      <c r="AO263" s="298" t="str">
        <f t="shared" si="160"/>
        <v/>
      </c>
      <c r="AP263" s="299" t="str">
        <f t="shared" si="161"/>
        <v/>
      </c>
      <c r="AQ263" s="299" t="str">
        <f t="shared" si="162"/>
        <v/>
      </c>
      <c r="AR263" s="300" t="str">
        <f t="shared" si="142"/>
        <v/>
      </c>
      <c r="AS263" s="300" t="str">
        <f t="shared" si="143"/>
        <v/>
      </c>
      <c r="AT263" s="294" t="str">
        <f t="shared" si="144"/>
        <v/>
      </c>
      <c r="AU263" s="301" t="str">
        <f>IF(OR($B263="", $AP263= ""),"",IF(VLOOKUP($AP263, CONTRATOS!B:K,3,FALSE)="","",VLOOKUP($AP263, CONTRATOS!B:K, 3,FALSE)))</f>
        <v/>
      </c>
      <c r="AV263" s="301" t="str">
        <f>IF(OR($B263="", $AP263 = ""), "", IF(VLOOKUP($AP263, CONTRATOS!B:K,4,FALSE)="","",VLOOKUP($AP263, CONTRATOS!B:K,4, FALSE)))</f>
        <v/>
      </c>
      <c r="AW263" s="302" t="str">
        <f t="shared" si="145"/>
        <v/>
      </c>
      <c r="AX263" s="301" t="str">
        <f t="shared" si="146"/>
        <v/>
      </c>
      <c r="AY263" s="301" t="str">
        <f t="shared" si="147"/>
        <v/>
      </c>
      <c r="AZ263" s="301" t="str">
        <f t="shared" si="148"/>
        <v/>
      </c>
      <c r="BA263" s="301" t="str">
        <f t="shared" si="149"/>
        <v/>
      </c>
      <c r="BB263" s="303">
        <f t="shared" si="163"/>
        <v>0</v>
      </c>
      <c r="BC263" s="303" t="str">
        <f t="shared" si="164"/>
        <v/>
      </c>
      <c r="BD263" s="303" t="str">
        <f t="shared" si="165"/>
        <v/>
      </c>
      <c r="BF263" s="304">
        <f t="shared" si="166"/>
        <v>0</v>
      </c>
      <c r="BG263" s="304">
        <f t="shared" si="167"/>
        <v>0</v>
      </c>
      <c r="BH263" s="304" t="str">
        <f>IF( $B263="", "", IF(ISNA(VLOOKUP($C263, Defesa!$C$8:$C$30,1,FALSE)),1,0))</f>
        <v/>
      </c>
      <c r="BI263" s="305" t="str">
        <f t="shared" si="168"/>
        <v/>
      </c>
      <c r="BJ263" s="305" t="str">
        <f t="shared" si="169"/>
        <v/>
      </c>
      <c r="BK263" s="304" t="str">
        <f t="shared" si="170"/>
        <v/>
      </c>
      <c r="BL263" s="304">
        <f t="shared" si="171"/>
        <v>0</v>
      </c>
      <c r="BM263" s="304" t="str">
        <f>IF($AC263="", "", IF(ISNA(VLOOKUP($AC263, TABELAS!$Q:$Q, 1, FALSE)), 1, 0))</f>
        <v/>
      </c>
      <c r="BN263" s="306" t="str">
        <f t="shared" si="172"/>
        <v/>
      </c>
      <c r="BO263" s="304" t="str">
        <f t="shared" si="173"/>
        <v/>
      </c>
      <c r="BP263" s="304" t="str">
        <f t="shared" si="174"/>
        <v/>
      </c>
      <c r="BQ263" s="305" t="str">
        <f t="shared" si="175"/>
        <v/>
      </c>
      <c r="BR263" s="304" t="str">
        <f t="shared" si="176"/>
        <v/>
      </c>
      <c r="BS263" s="304" t="str">
        <f t="shared" si="177"/>
        <v/>
      </c>
      <c r="BT263" s="304" t="str">
        <f>IF(OR($B263="", $AH263 = "SIM"), "", IF( ISNA(VLOOKUP($AP263,#REF!, 1, FALSE)), 1, 0))</f>
        <v/>
      </c>
      <c r="BU263" s="304" t="str">
        <f t="shared" si="178"/>
        <v/>
      </c>
      <c r="BV263" s="304" t="str">
        <f>IF( $B263="", "", IF( ISNA(VLOOKUP($AN263, TABELAS!$T$2:$T$9,1,FALSE)), 1, 0))</f>
        <v/>
      </c>
      <c r="BW263" s="304" t="str">
        <f t="shared" si="179"/>
        <v/>
      </c>
      <c r="BX263" s="304" t="str">
        <f>IF( OR($B263="", $AH263 = "SIM"), "", IF( ISNA( VLOOKUP( $AQ263, SISTEMA!$B:$B, 1, FALSE)), 1, 0))</f>
        <v/>
      </c>
      <c r="BY263" s="305" t="str">
        <f t="shared" si="180"/>
        <v/>
      </c>
      <c r="BZ263" s="305" t="str">
        <f t="shared" si="181"/>
        <v/>
      </c>
      <c r="CA263" s="304" t="str">
        <f t="shared" si="182"/>
        <v/>
      </c>
      <c r="CB263" s="305" t="str">
        <f t="shared" si="183"/>
        <v/>
      </c>
      <c r="CC263" s="305" t="str">
        <f t="shared" si="184"/>
        <v/>
      </c>
      <c r="CD263" s="305" t="str">
        <f t="shared" si="185"/>
        <v/>
      </c>
    </row>
    <row r="264" spans="1:82" x14ac:dyDescent="0.2">
      <c r="A264" s="235"/>
      <c r="B264" s="236" t="str">
        <f t="shared" si="150"/>
        <v/>
      </c>
      <c r="C264" s="237" t="str">
        <f t="shared" ref="C264:C327" si="186">IF($K264&lt;&gt;"",$K264, IF($AB264 = "", "", $C263))</f>
        <v/>
      </c>
      <c r="D264" s="237" t="str">
        <f t="shared" si="151"/>
        <v/>
      </c>
      <c r="E264" s="237" t="str">
        <f>IF($C264="", "", COUNTIF($M$8:$M264,$D264))</f>
        <v/>
      </c>
      <c r="F264" s="238">
        <v>257</v>
      </c>
      <c r="G264" s="239"/>
      <c r="H264" s="240"/>
      <c r="I264" s="240"/>
      <c r="J264" s="241"/>
      <c r="K264" s="240"/>
      <c r="L264" s="240"/>
      <c r="M264" s="240"/>
      <c r="N264" s="242"/>
      <c r="O264" s="243"/>
      <c r="P264" s="243"/>
      <c r="Q264" s="243"/>
      <c r="R264" s="243"/>
      <c r="S264" s="243"/>
      <c r="T264" s="245"/>
      <c r="U264" s="246" t="str">
        <f>IF($T264="", "", VLOOKUP($T264, CONTRATOS!$B:$E, 2, FALSE))</f>
        <v/>
      </c>
      <c r="V264" s="247">
        <f>IF(OR($T264="",TB_DEFESA!$C$2="Criação Baseline"),0,
   IF(VLOOKUP($T264, CONTRATOS!B:E, 3, FALSE)&lt;&gt;"",1,IF(VLOOKUP($T264, CONTRATOS!B:E, 4, FALSE)&lt;&gt;"",2,0)))</f>
        <v>0</v>
      </c>
      <c r="W264" s="248"/>
      <c r="X264" s="248"/>
      <c r="Y264" s="249"/>
      <c r="Z264" s="250"/>
      <c r="AA264" s="251"/>
      <c r="AB264" s="252"/>
      <c r="AC264" s="253"/>
      <c r="AD264" s="251"/>
      <c r="AE264" s="254" t="str">
        <f t="shared" ref="AE264:AE327" si="187">IF(AT264="","",IF(V264=1,1,IF(AT264=0,0,AD264/AT264)))</f>
        <v/>
      </c>
      <c r="AF264" s="256" t="str">
        <f t="shared" si="152"/>
        <v/>
      </c>
      <c r="AG264" s="293" t="s">
        <v>62</v>
      </c>
      <c r="AH264" s="294" t="str">
        <f t="shared" si="153"/>
        <v/>
      </c>
      <c r="AI264" s="294" t="str">
        <f t="shared" si="154"/>
        <v/>
      </c>
      <c r="AJ264" s="295" t="str">
        <f t="shared" si="155"/>
        <v/>
      </c>
      <c r="AK264" s="296" t="str">
        <f t="shared" si="156"/>
        <v/>
      </c>
      <c r="AL264" s="297" t="str">
        <f t="shared" si="157"/>
        <v/>
      </c>
      <c r="AM264" s="294" t="str">
        <f t="shared" si="158"/>
        <v/>
      </c>
      <c r="AN264" s="294" t="str">
        <f t="shared" si="159"/>
        <v/>
      </c>
      <c r="AO264" s="298" t="str">
        <f t="shared" si="160"/>
        <v/>
      </c>
      <c r="AP264" s="299" t="str">
        <f t="shared" si="161"/>
        <v/>
      </c>
      <c r="AQ264" s="299" t="str">
        <f t="shared" si="162"/>
        <v/>
      </c>
      <c r="AR264" s="300" t="str">
        <f t="shared" ref="AR264:AR327" si="188">IF($B264 = "", "",  IF($Y264= "", IF(ISNUMBER($AR263), $AR263, 0), $Y264))</f>
        <v/>
      </c>
      <c r="AS264" s="300" t="str">
        <f t="shared" ref="AS264:AS327" si="189">IF($B264 = "", "",  IF($Z264= "", IF(ISNUMBER($AS263), $AS263, 0), $Z264))</f>
        <v/>
      </c>
      <c r="AT264" s="294" t="str">
        <f t="shared" ref="AT264:AT327" si="190">IF($B264="", "", IF($AA264=0, $AT263, $AA264))</f>
        <v/>
      </c>
      <c r="AU264" s="301" t="str">
        <f>IF(OR($B264="", $AP264= ""),"",IF(VLOOKUP($AP264, CONTRATOS!B:K,3,FALSE)="","",VLOOKUP($AP264, CONTRATOS!B:K, 3,FALSE)))</f>
        <v/>
      </c>
      <c r="AV264" s="301" t="str">
        <f>IF(OR($B264="", $AP264 = ""), "", IF(VLOOKUP($AP264, CONTRATOS!B:K,4,FALSE)="","",VLOOKUP($AP264, CONTRATOS!B:K,4, FALSE)))</f>
        <v/>
      </c>
      <c r="AW264" s="302" t="str">
        <f t="shared" ref="AW264:AW327" si="191">IF($B264="", "", IF($V264=1, 1, IF( OR($AT264 = "", $AT264=0), 0, $AD264/$AT264)))</f>
        <v/>
      </c>
      <c r="AX264" s="301" t="str">
        <f t="shared" ref="AX264:AX327" si="192">IF( $B264="", "", IF( $K264="",$AX263, IF($S264 = "", "", $S264)))</f>
        <v/>
      </c>
      <c r="AY264" s="301" t="str">
        <f t="shared" ref="AY264:AY327" si="193">IF( $B264="", "", IF( $K264="",$AY263, IF($P264 = "", "", $P264)))</f>
        <v/>
      </c>
      <c r="AZ264" s="301" t="str">
        <f t="shared" ref="AZ264:AZ327" si="194">IF( $B264="", "", IF( $K264="",$AZ263, IF($Q264 = "", "", $Q264)))</f>
        <v/>
      </c>
      <c r="BA264" s="301" t="str">
        <f t="shared" ref="BA264:BA327" si="195">IF( $B264="", "", IF( $K264="",$BA263, IF($R264 = "", "", $R264)))</f>
        <v/>
      </c>
      <c r="BB264" s="303">
        <f t="shared" si="163"/>
        <v>0</v>
      </c>
      <c r="BC264" s="303" t="str">
        <f t="shared" si="164"/>
        <v/>
      </c>
      <c r="BD264" s="303" t="str">
        <f t="shared" si="165"/>
        <v/>
      </c>
      <c r="BF264" s="304">
        <f t="shared" si="166"/>
        <v>0</v>
      </c>
      <c r="BG264" s="304">
        <f t="shared" si="167"/>
        <v>0</v>
      </c>
      <c r="BH264" s="304" t="str">
        <f>IF( $B264="", "", IF(ISNA(VLOOKUP($C264, Defesa!$C$8:$C$30,1,FALSE)),1,0))</f>
        <v/>
      </c>
      <c r="BI264" s="305" t="str">
        <f t="shared" si="168"/>
        <v/>
      </c>
      <c r="BJ264" s="305" t="str">
        <f t="shared" si="169"/>
        <v/>
      </c>
      <c r="BK264" s="304" t="str">
        <f t="shared" si="170"/>
        <v/>
      </c>
      <c r="BL264" s="304">
        <f t="shared" si="171"/>
        <v>0</v>
      </c>
      <c r="BM264" s="304" t="str">
        <f>IF($AC264="", "", IF(ISNA(VLOOKUP($AC264, TABELAS!$Q:$Q, 1, FALSE)), 1, 0))</f>
        <v/>
      </c>
      <c r="BN264" s="306" t="str">
        <f t="shared" si="172"/>
        <v/>
      </c>
      <c r="BO264" s="304" t="str">
        <f t="shared" si="173"/>
        <v/>
      </c>
      <c r="BP264" s="304" t="str">
        <f t="shared" si="174"/>
        <v/>
      </c>
      <c r="BQ264" s="305" t="str">
        <f t="shared" si="175"/>
        <v/>
      </c>
      <c r="BR264" s="304" t="str">
        <f t="shared" si="176"/>
        <v/>
      </c>
      <c r="BS264" s="304" t="str">
        <f t="shared" si="177"/>
        <v/>
      </c>
      <c r="BT264" s="304" t="str">
        <f>IF(OR($B264="", $AH264 = "SIM"), "", IF( ISNA(VLOOKUP($AP264,#REF!, 1, FALSE)), 1, 0))</f>
        <v/>
      </c>
      <c r="BU264" s="304" t="str">
        <f t="shared" si="178"/>
        <v/>
      </c>
      <c r="BV264" s="304" t="str">
        <f>IF( $B264="", "", IF( ISNA(VLOOKUP($AN264, TABELAS!$T$2:$T$9,1,FALSE)), 1, 0))</f>
        <v/>
      </c>
      <c r="BW264" s="304" t="str">
        <f t="shared" si="179"/>
        <v/>
      </c>
      <c r="BX264" s="304" t="str">
        <f>IF( OR($B264="", $AH264 = "SIM"), "", IF( ISNA( VLOOKUP( $AQ264, SISTEMA!$B:$B, 1, FALSE)), 1, 0))</f>
        <v/>
      </c>
      <c r="BY264" s="305" t="str">
        <f t="shared" si="180"/>
        <v/>
      </c>
      <c r="BZ264" s="305" t="str">
        <f t="shared" si="181"/>
        <v/>
      </c>
      <c r="CA264" s="304" t="str">
        <f t="shared" si="182"/>
        <v/>
      </c>
      <c r="CB264" s="305" t="str">
        <f t="shared" si="183"/>
        <v/>
      </c>
      <c r="CC264" s="305" t="str">
        <f t="shared" si="184"/>
        <v/>
      </c>
      <c r="CD264" s="305" t="str">
        <f t="shared" si="185"/>
        <v/>
      </c>
    </row>
    <row r="265" spans="1:82" x14ac:dyDescent="0.2">
      <c r="A265" s="235"/>
      <c r="B265" s="236" t="str">
        <f t="shared" ref="B265:B328" si="196" xml:space="preserve"> IF( C265 = "", "", C265 &amp; "." &amp; D265 &amp; "."  &amp; E265)</f>
        <v/>
      </c>
      <c r="C265" s="237" t="str">
        <f t="shared" si="186"/>
        <v/>
      </c>
      <c r="D265" s="237" t="str">
        <f t="shared" ref="D265:D328" si="197">IF( $C265 = "", "", IF( $M265="", IF(AND($C264=$C265,$G265 = ""), $D264, ""), TEXT($M265,"000")))</f>
        <v/>
      </c>
      <c r="E265" s="237" t="str">
        <f>IF($C265="", "", COUNTIF($M$8:$M265,$D265))</f>
        <v/>
      </c>
      <c r="F265" s="238">
        <v>258</v>
      </c>
      <c r="G265" s="239"/>
      <c r="H265" s="240"/>
      <c r="I265" s="240"/>
      <c r="J265" s="241"/>
      <c r="K265" s="240"/>
      <c r="L265" s="240"/>
      <c r="M265" s="240"/>
      <c r="N265" s="242"/>
      <c r="O265" s="243"/>
      <c r="P265" s="243"/>
      <c r="Q265" s="243"/>
      <c r="R265" s="243"/>
      <c r="S265" s="243"/>
      <c r="T265" s="245"/>
      <c r="U265" s="246" t="str">
        <f>IF($T265="", "", VLOOKUP($T265, CONTRATOS!$B:$E, 2, FALSE))</f>
        <v/>
      </c>
      <c r="V265" s="247">
        <f>IF(OR($T265="",TB_DEFESA!$C$2="Criação Baseline"),0,
   IF(VLOOKUP($T265, CONTRATOS!B:E, 3, FALSE)&lt;&gt;"",1,IF(VLOOKUP($T265, CONTRATOS!B:E, 4, FALSE)&lt;&gt;"",2,0)))</f>
        <v>0</v>
      </c>
      <c r="W265" s="248"/>
      <c r="X265" s="248"/>
      <c r="Y265" s="249"/>
      <c r="Z265" s="250"/>
      <c r="AA265" s="251"/>
      <c r="AB265" s="252"/>
      <c r="AC265" s="253"/>
      <c r="AD265" s="251"/>
      <c r="AE265" s="254" t="str">
        <f t="shared" si="187"/>
        <v/>
      </c>
      <c r="AF265" s="256" t="str">
        <f t="shared" ref="AF265:AF328" si="198">IF(B265= "", "", IF(SUM($BF265:$CD265) = 0, 0, 1))</f>
        <v/>
      </c>
      <c r="AG265" s="293" t="s">
        <v>62</v>
      </c>
      <c r="AH265" s="294" t="str">
        <f t="shared" ref="AH265:AH328" si="199">IF($B265="","", IF( AND($G265="", $B265 = $B264 ), $AH264, $G265))</f>
        <v/>
      </c>
      <c r="AI265" s="294" t="str">
        <f t="shared" ref="AI265:AI328" si="200">IF($B265 = "", "",  IF( AND($H265= "", $B265 = $B264 ), $AI264, $H265))</f>
        <v/>
      </c>
      <c r="AJ265" s="295" t="str">
        <f t="shared" ref="AJ265:AJ328" si="201">IF(AND($AB265="", $V265=""),"",IF(AND($I265="",$B265=$B264), $AJ264, IF($I265="","",$I265)))</f>
        <v/>
      </c>
      <c r="AK265" s="296" t="str">
        <f t="shared" ref="AK265:AK328" si="202">IF($B265="", "", IF( AND($J265 = "",$B265=$B264), $AK264, $J265))</f>
        <v/>
      </c>
      <c r="AL265" s="297" t="str">
        <f t="shared" ref="AL265:AL328" si="203">IF( $B265= "", "",  IF( AND($L265= "",$B265=$B264), $AL264, $L265))</f>
        <v/>
      </c>
      <c r="AM265" s="294" t="str">
        <f t="shared" ref="AM265:AM328" si="204">IF( $B265 = "", "",  IF(AND($N265= "",$B265=$B264), $AM264, $O265))</f>
        <v/>
      </c>
      <c r="AN265" s="294" t="str">
        <f t="shared" ref="AN265:AN328" si="205">IF( $B265 = "", "",  IF( AND($X265= "",$B265=$B264), $AN264, $X265))</f>
        <v/>
      </c>
      <c r="AO265" s="298" t="str">
        <f t="shared" ref="AO265:AO328" si="206">IF($B265="", "",  IF( AND($U265= "",$B265=$B264), $AO264, $U265))</f>
        <v/>
      </c>
      <c r="AP265" s="299" t="str">
        <f t="shared" ref="AP265:AP328" si="207">IF( $B265 = "", "",  IF( AND($U265= "",$B265=$B264), $AP264, IF($T265 = "", "", $T265)))</f>
        <v/>
      </c>
      <c r="AQ265" s="299" t="str">
        <f t="shared" ref="AQ265:AQ328" si="208">IF($B265="","",IF(AND($W265="",$B265=$B264),$AQ264,IF($W265="","",$W265)))</f>
        <v/>
      </c>
      <c r="AR265" s="300" t="str">
        <f t="shared" si="188"/>
        <v/>
      </c>
      <c r="AS265" s="300" t="str">
        <f t="shared" si="189"/>
        <v/>
      </c>
      <c r="AT265" s="294" t="str">
        <f t="shared" si="190"/>
        <v/>
      </c>
      <c r="AU265" s="301" t="str">
        <f>IF(OR($B265="", $AP265= ""),"",IF(VLOOKUP($AP265, CONTRATOS!B:K,3,FALSE)="","",VLOOKUP($AP265, CONTRATOS!B:K, 3,FALSE)))</f>
        <v/>
      </c>
      <c r="AV265" s="301" t="str">
        <f>IF(OR($B265="", $AP265 = ""), "", IF(VLOOKUP($AP265, CONTRATOS!B:K,4,FALSE)="","",VLOOKUP($AP265, CONTRATOS!B:K,4, FALSE)))</f>
        <v/>
      </c>
      <c r="AW265" s="302" t="str">
        <f t="shared" si="191"/>
        <v/>
      </c>
      <c r="AX265" s="301" t="str">
        <f t="shared" si="192"/>
        <v/>
      </c>
      <c r="AY265" s="301" t="str">
        <f t="shared" si="193"/>
        <v/>
      </c>
      <c r="AZ265" s="301" t="str">
        <f t="shared" si="194"/>
        <v/>
      </c>
      <c r="BA265" s="301" t="str">
        <f t="shared" si="195"/>
        <v/>
      </c>
      <c r="BB265" s="303">
        <f t="shared" ref="BB265:BB328" si="209">IF( $B265 = "", 0, ROW($B265))</f>
        <v>0</v>
      </c>
      <c r="BC265" s="303" t="str">
        <f t="shared" ref="BC265:BC328" si="210">IF($AC265="","",IF($AC265="Próximos Anos",$AC265,RIGHT($AC265,4)))</f>
        <v/>
      </c>
      <c r="BD265" s="303" t="str">
        <f t="shared" ref="BD265:BD328" si="211">IF($B265="", "", IF($B265=$B264, $BD264, $V265))</f>
        <v/>
      </c>
      <c r="BF265" s="304">
        <f t="shared" ref="BF265:BF328" si="212">IF( AND($G265="SIM", OR($H265="", $I265="", $J265="", $K265="", $L265="", $M265="", $O265="", $P265="", $Q265="", $R265="", $X265="",  $AA265="", $AB265="", $AC265="", $AD265="")), 1, 0)</f>
        <v>0</v>
      </c>
      <c r="BG265" s="304">
        <f t="shared" ref="BG265:BG328" si="213">IF(AND($G265="NÃO", OR($H265="", $I265="", $J265="", $K265="", $L265="", $M265="", $O265="", $T265="", $W265="", $X265="", $AA265="")), 1,
    IF( AND($AH265="NÃO",  $AU265 ="", OR( $AB265="", $AC265="", $AD265="")), 1,
    IF( AND($AH265="NÃO",  $AU265 &lt;&gt; "", OR($AB265&lt;&gt;"", $AC265&lt;&gt;"", $AD265&lt;&gt;"") ), 1, 0 ) ) )</f>
        <v>0</v>
      </c>
      <c r="BH265" s="304" t="str">
        <f>IF( $B265="", "", IF(ISNA(VLOOKUP($C265, Defesa!$C$8:$C$30,1,FALSE)),1,0))</f>
        <v/>
      </c>
      <c r="BI265" s="305" t="str">
        <f t="shared" ref="BI265:BI328" si="214">IF($B265= "", "",  IF(OR($D265 = "N/A", LEFT($D265, 2) = "ME", AND(LEN($D265) = 12, LEFT($D265, 4) = "PROP")), 0, 1))</f>
        <v/>
      </c>
      <c r="BJ265" s="305" t="str">
        <f t="shared" ref="BJ265:BJ328" si="215">IF($B265="","",IF(AND($AL265="N/A",LEFT($D265,4)&lt;&gt;"PROP"),0,IF(OR(AND(LEN($AL265)=10,LEFT($AL265,2)="AF",LEFT($AL265,4)&lt;&gt;"AFFT")),0,1)))</f>
        <v/>
      </c>
      <c r="BK265" s="304" t="str">
        <f t="shared" ref="BK265:BK328" si="216">IF($B265="", "", IF(COUNTIFS($AB:$AB, $AB265,$B:$B, $B265)&gt;1, 1, 0))</f>
        <v/>
      </c>
      <c r="BL265" s="304">
        <f t="shared" ref="BL265:BL328" si="217">IF( OR($B265= "",$V265 = 1), 0,  IF( OR($AC265 = "", $AD265="", $AB265=""), 1, 0))</f>
        <v>0</v>
      </c>
      <c r="BM265" s="304" t="str">
        <f>IF($AC265="", "", IF(ISNA(VLOOKUP($AC265, TABELAS!$Q:$Q, 1, FALSE)), 1, 0))</f>
        <v/>
      </c>
      <c r="BN265" s="306" t="str">
        <f t="shared" ref="BN265:BN328" si="218">IF($B265= "", "", IF( SUMIFS($AW:$AW,$C:$C, $C265,$D:$D, $D265,$E:$E, $E265) = 1, 0, 1))</f>
        <v/>
      </c>
      <c r="BO265" s="304" t="str">
        <f t="shared" ref="BO265:BO328" si="219">IF( $B265 ="", "", IF( AND($V265 = 1, OR( $AC265 &lt;&gt; "", $AB265 &lt;&gt; "", $AD265 &lt;&gt; "")), 1, 0))</f>
        <v/>
      </c>
      <c r="BP265" s="304" t="str">
        <f t="shared" ref="BP265:BP328" si="220" xml:space="preserve"> IF($B265 = "", "", IF(AND( $AI265 = "SIM", $AP265= "&lt; A DEFINIR &gt;"), 1, 0))</f>
        <v/>
      </c>
      <c r="BQ265" s="305" t="str">
        <f t="shared" ref="BQ265:BQ328" si="221">IF($B265="", "", IF( AND($AI265="SIM", OR(LEFT($D265,2)="ME", $D265 = "N/A")), 1, 0))</f>
        <v/>
      </c>
      <c r="BR265" s="304" t="str">
        <f t="shared" ref="BR265:BR328" si="222" xml:space="preserve"> IF($B265 = "", "", IF( AND( $AJ265 = "SIM", OR($AP265= "&lt; A DEFINIR &gt;", $V265 = 1, $AI265 = "ESTIMATIVA")), 1, 0))</f>
        <v/>
      </c>
      <c r="BS265" s="304" t="str">
        <f t="shared" ref="BS265:BS328" si="223" xml:space="preserve"> IF(B265 = "", "", IF(AND($X265 &lt;&gt; "N/A",  V265 = 1), 1, 0))</f>
        <v/>
      </c>
      <c r="BT265" s="304" t="str">
        <f>IF(OR($B265="", $AH265 = "SIM"), "", IF( ISNA(VLOOKUP($AP265,#REF!, 1, FALSE)), 1, 0))</f>
        <v/>
      </c>
      <c r="BU265" s="304" t="str">
        <f t="shared" ref="BU265:BU328" si="224">IF($AP265="", "", IF( AND(OR($AO265=4600046592, $U265 = 4600041840), $AN265&lt;&gt; "BTSA Fixa R2"), 1,0))</f>
        <v/>
      </c>
      <c r="BV265" s="304" t="str">
        <f>IF( $B265="", "", IF( ISNA(VLOOKUP($AN265, TABELAS!$T$2:$T$9,1,FALSE)), 1, 0))</f>
        <v/>
      </c>
      <c r="BW265" s="304" t="str">
        <f t="shared" ref="BW265:BW328" si="225" xml:space="preserve"> IF($B265 = "", "", IF( AND( $AN265 = "N/A", $V265 = 0), 1, 0) )</f>
        <v/>
      </c>
      <c r="BX265" s="304" t="str">
        <f>IF( OR($B265="", $AH265 = "SIM"), "", IF( ISNA( VLOOKUP( $AQ265, SISTEMA!$B:$B, 1, FALSE)), 1, 0))</f>
        <v/>
      </c>
      <c r="BY265" s="305" t="str">
        <f t="shared" ref="BY265:BY328" si="226">IF( $B265="", "", IF( AND($AI265="ESTIMATIVA", LEFT($D265, 4)="PROP"), 1, 0))</f>
        <v/>
      </c>
      <c r="BZ265" s="305" t="str">
        <f t="shared" ref="BZ265:BZ328" si="227">IF( $B265="", "", IF( AND($AX265&lt;&gt;"", $V265 = 1), 1, 0))</f>
        <v/>
      </c>
      <c r="CA265" s="304" t="str">
        <f t="shared" ref="CA265:CA328" si="228">IF($B265="", "", IF( AND($AM265 &lt;&gt; "SERVIÇOS", $AM265 &lt;&gt; "HARDWARE", $AM265 &lt;&gt; "SOFTWARE", $AM265 &lt;&gt; "FACILITIES", $AM265 &lt;&gt; "VIAGENS"  ), 1, 0))</f>
        <v/>
      </c>
      <c r="CB265" s="305" t="str">
        <f t="shared" ref="CB265:CB328" si="229">IF( $B265="", "", IF( AND( $AH265 = "NÃO", OR( $AM265 = "SOFTWARE", $AM265 = "HARDWARE", $AM265 = "FACILITIES")), 1, 0))</f>
        <v/>
      </c>
      <c r="CC265" s="305" t="str">
        <f t="shared" ref="CC265:CC328" si="230">IF( $B265="", "", IF( AND($AI265="COMPLEMENTO", LEFT($D265, 4)="PROP"), 1, 0))</f>
        <v/>
      </c>
      <c r="CD265" s="305" t="str">
        <f t="shared" ref="CD265:CD328" si="231">IF( $B265="", "", IF( AND($D265=$D264, $AP265 &lt;&gt; $AP264), 1, 0))</f>
        <v/>
      </c>
    </row>
    <row r="266" spans="1:82" x14ac:dyDescent="0.2">
      <c r="A266" s="235"/>
      <c r="B266" s="236" t="str">
        <f t="shared" si="196"/>
        <v/>
      </c>
      <c r="C266" s="237" t="str">
        <f t="shared" si="186"/>
        <v/>
      </c>
      <c r="D266" s="237" t="str">
        <f t="shared" si="197"/>
        <v/>
      </c>
      <c r="E266" s="237" t="str">
        <f>IF($C266="", "", COUNTIF($M$8:$M266,$D266))</f>
        <v/>
      </c>
      <c r="F266" s="238">
        <v>259</v>
      </c>
      <c r="G266" s="239"/>
      <c r="H266" s="240"/>
      <c r="I266" s="240"/>
      <c r="J266" s="241"/>
      <c r="K266" s="240"/>
      <c r="L266" s="240"/>
      <c r="M266" s="240"/>
      <c r="N266" s="242"/>
      <c r="O266" s="243"/>
      <c r="P266" s="243"/>
      <c r="Q266" s="243"/>
      <c r="R266" s="243"/>
      <c r="S266" s="243"/>
      <c r="T266" s="245"/>
      <c r="U266" s="246" t="str">
        <f>IF($T266="", "", VLOOKUP($T266, CONTRATOS!$B:$E, 2, FALSE))</f>
        <v/>
      </c>
      <c r="V266" s="247">
        <f>IF(OR($T266="",TB_DEFESA!$C$2="Criação Baseline"),0,
   IF(VLOOKUP($T266, CONTRATOS!B:E, 3, FALSE)&lt;&gt;"",1,IF(VLOOKUP($T266, CONTRATOS!B:E, 4, FALSE)&lt;&gt;"",2,0)))</f>
        <v>0</v>
      </c>
      <c r="W266" s="248"/>
      <c r="X266" s="248"/>
      <c r="Y266" s="249"/>
      <c r="Z266" s="250"/>
      <c r="AA266" s="251"/>
      <c r="AB266" s="252"/>
      <c r="AC266" s="253"/>
      <c r="AD266" s="251"/>
      <c r="AE266" s="254" t="str">
        <f t="shared" si="187"/>
        <v/>
      </c>
      <c r="AF266" s="256" t="str">
        <f t="shared" si="198"/>
        <v/>
      </c>
      <c r="AG266" s="293" t="s">
        <v>62</v>
      </c>
      <c r="AH266" s="294" t="str">
        <f t="shared" si="199"/>
        <v/>
      </c>
      <c r="AI266" s="294" t="str">
        <f t="shared" si="200"/>
        <v/>
      </c>
      <c r="AJ266" s="295" t="str">
        <f t="shared" si="201"/>
        <v/>
      </c>
      <c r="AK266" s="296" t="str">
        <f t="shared" si="202"/>
        <v/>
      </c>
      <c r="AL266" s="297" t="str">
        <f t="shared" si="203"/>
        <v/>
      </c>
      <c r="AM266" s="294" t="str">
        <f t="shared" si="204"/>
        <v/>
      </c>
      <c r="AN266" s="294" t="str">
        <f t="shared" si="205"/>
        <v/>
      </c>
      <c r="AO266" s="298" t="str">
        <f t="shared" si="206"/>
        <v/>
      </c>
      <c r="AP266" s="299" t="str">
        <f t="shared" si="207"/>
        <v/>
      </c>
      <c r="AQ266" s="299" t="str">
        <f t="shared" si="208"/>
        <v/>
      </c>
      <c r="AR266" s="300" t="str">
        <f t="shared" si="188"/>
        <v/>
      </c>
      <c r="AS266" s="300" t="str">
        <f t="shared" si="189"/>
        <v/>
      </c>
      <c r="AT266" s="294" t="str">
        <f t="shared" si="190"/>
        <v/>
      </c>
      <c r="AU266" s="301" t="str">
        <f>IF(OR($B266="", $AP266= ""),"",IF(VLOOKUP($AP266, CONTRATOS!B:K,3,FALSE)="","",VLOOKUP($AP266, CONTRATOS!B:K, 3,FALSE)))</f>
        <v/>
      </c>
      <c r="AV266" s="301" t="str">
        <f>IF(OR($B266="", $AP266 = ""), "", IF(VLOOKUP($AP266, CONTRATOS!B:K,4,FALSE)="","",VLOOKUP($AP266, CONTRATOS!B:K,4, FALSE)))</f>
        <v/>
      </c>
      <c r="AW266" s="302" t="str">
        <f t="shared" si="191"/>
        <v/>
      </c>
      <c r="AX266" s="301" t="str">
        <f t="shared" si="192"/>
        <v/>
      </c>
      <c r="AY266" s="301" t="str">
        <f t="shared" si="193"/>
        <v/>
      </c>
      <c r="AZ266" s="301" t="str">
        <f t="shared" si="194"/>
        <v/>
      </c>
      <c r="BA266" s="301" t="str">
        <f t="shared" si="195"/>
        <v/>
      </c>
      <c r="BB266" s="303">
        <f t="shared" si="209"/>
        <v>0</v>
      </c>
      <c r="BC266" s="303" t="str">
        <f t="shared" si="210"/>
        <v/>
      </c>
      <c r="BD266" s="303" t="str">
        <f t="shared" si="211"/>
        <v/>
      </c>
      <c r="BF266" s="304">
        <f t="shared" si="212"/>
        <v>0</v>
      </c>
      <c r="BG266" s="304">
        <f t="shared" si="213"/>
        <v>0</v>
      </c>
      <c r="BH266" s="304" t="str">
        <f>IF( $B266="", "", IF(ISNA(VLOOKUP($C266, Defesa!$C$8:$C$30,1,FALSE)),1,0))</f>
        <v/>
      </c>
      <c r="BI266" s="305" t="str">
        <f t="shared" si="214"/>
        <v/>
      </c>
      <c r="BJ266" s="305" t="str">
        <f t="shared" si="215"/>
        <v/>
      </c>
      <c r="BK266" s="304" t="str">
        <f t="shared" si="216"/>
        <v/>
      </c>
      <c r="BL266" s="304">
        <f t="shared" si="217"/>
        <v>0</v>
      </c>
      <c r="BM266" s="304" t="str">
        <f>IF($AC266="", "", IF(ISNA(VLOOKUP($AC266, TABELAS!$Q:$Q, 1, FALSE)), 1, 0))</f>
        <v/>
      </c>
      <c r="BN266" s="306" t="str">
        <f t="shared" si="218"/>
        <v/>
      </c>
      <c r="BO266" s="304" t="str">
        <f t="shared" si="219"/>
        <v/>
      </c>
      <c r="BP266" s="304" t="str">
        <f t="shared" si="220"/>
        <v/>
      </c>
      <c r="BQ266" s="305" t="str">
        <f t="shared" si="221"/>
        <v/>
      </c>
      <c r="BR266" s="304" t="str">
        <f t="shared" si="222"/>
        <v/>
      </c>
      <c r="BS266" s="304" t="str">
        <f t="shared" si="223"/>
        <v/>
      </c>
      <c r="BT266" s="304" t="str">
        <f>IF(OR($B266="", $AH266 = "SIM"), "", IF( ISNA(VLOOKUP($AP266,#REF!, 1, FALSE)), 1, 0))</f>
        <v/>
      </c>
      <c r="BU266" s="304" t="str">
        <f t="shared" si="224"/>
        <v/>
      </c>
      <c r="BV266" s="304" t="str">
        <f>IF( $B266="", "", IF( ISNA(VLOOKUP($AN266, TABELAS!$T$2:$T$9,1,FALSE)), 1, 0))</f>
        <v/>
      </c>
      <c r="BW266" s="304" t="str">
        <f t="shared" si="225"/>
        <v/>
      </c>
      <c r="BX266" s="304" t="str">
        <f>IF( OR($B266="", $AH266 = "SIM"), "", IF( ISNA( VLOOKUP( $AQ266, SISTEMA!$B:$B, 1, FALSE)), 1, 0))</f>
        <v/>
      </c>
      <c r="BY266" s="305" t="str">
        <f t="shared" si="226"/>
        <v/>
      </c>
      <c r="BZ266" s="305" t="str">
        <f t="shared" si="227"/>
        <v/>
      </c>
      <c r="CA266" s="304" t="str">
        <f t="shared" si="228"/>
        <v/>
      </c>
      <c r="CB266" s="305" t="str">
        <f t="shared" si="229"/>
        <v/>
      </c>
      <c r="CC266" s="305" t="str">
        <f t="shared" si="230"/>
        <v/>
      </c>
      <c r="CD266" s="305" t="str">
        <f t="shared" si="231"/>
        <v/>
      </c>
    </row>
    <row r="267" spans="1:82" x14ac:dyDescent="0.2">
      <c r="A267" s="235"/>
      <c r="B267" s="236" t="str">
        <f t="shared" si="196"/>
        <v/>
      </c>
      <c r="C267" s="237" t="str">
        <f t="shared" si="186"/>
        <v/>
      </c>
      <c r="D267" s="237" t="str">
        <f t="shared" si="197"/>
        <v/>
      </c>
      <c r="E267" s="237" t="str">
        <f>IF($C267="", "", COUNTIF($M$8:$M267,$D267))</f>
        <v/>
      </c>
      <c r="F267" s="238">
        <v>260</v>
      </c>
      <c r="G267" s="239"/>
      <c r="H267" s="240"/>
      <c r="I267" s="240"/>
      <c r="J267" s="241"/>
      <c r="K267" s="240"/>
      <c r="L267" s="240"/>
      <c r="M267" s="240"/>
      <c r="N267" s="242"/>
      <c r="O267" s="243"/>
      <c r="P267" s="243"/>
      <c r="Q267" s="243"/>
      <c r="R267" s="243"/>
      <c r="S267" s="243"/>
      <c r="T267" s="245"/>
      <c r="U267" s="246" t="str">
        <f>IF($T267="", "", VLOOKUP($T267, CONTRATOS!$B:$E, 2, FALSE))</f>
        <v/>
      </c>
      <c r="V267" s="247">
        <f>IF(OR($T267="",TB_DEFESA!$C$2="Criação Baseline"),0,
   IF(VLOOKUP($T267, CONTRATOS!B:E, 3, FALSE)&lt;&gt;"",1,IF(VLOOKUP($T267, CONTRATOS!B:E, 4, FALSE)&lt;&gt;"",2,0)))</f>
        <v>0</v>
      </c>
      <c r="W267" s="248"/>
      <c r="X267" s="248"/>
      <c r="Y267" s="249"/>
      <c r="Z267" s="250"/>
      <c r="AA267" s="251"/>
      <c r="AB267" s="252"/>
      <c r="AC267" s="253"/>
      <c r="AD267" s="251"/>
      <c r="AE267" s="254" t="str">
        <f t="shared" si="187"/>
        <v/>
      </c>
      <c r="AF267" s="256" t="str">
        <f t="shared" si="198"/>
        <v/>
      </c>
      <c r="AG267" s="293" t="s">
        <v>62</v>
      </c>
      <c r="AH267" s="294" t="str">
        <f t="shared" si="199"/>
        <v/>
      </c>
      <c r="AI267" s="294" t="str">
        <f t="shared" si="200"/>
        <v/>
      </c>
      <c r="AJ267" s="295" t="str">
        <f t="shared" si="201"/>
        <v/>
      </c>
      <c r="AK267" s="296" t="str">
        <f t="shared" si="202"/>
        <v/>
      </c>
      <c r="AL267" s="297" t="str">
        <f t="shared" si="203"/>
        <v/>
      </c>
      <c r="AM267" s="294" t="str">
        <f t="shared" si="204"/>
        <v/>
      </c>
      <c r="AN267" s="294" t="str">
        <f t="shared" si="205"/>
        <v/>
      </c>
      <c r="AO267" s="298" t="str">
        <f t="shared" si="206"/>
        <v/>
      </c>
      <c r="AP267" s="299" t="str">
        <f t="shared" si="207"/>
        <v/>
      </c>
      <c r="AQ267" s="299" t="str">
        <f t="shared" si="208"/>
        <v/>
      </c>
      <c r="AR267" s="300" t="str">
        <f t="shared" si="188"/>
        <v/>
      </c>
      <c r="AS267" s="300" t="str">
        <f t="shared" si="189"/>
        <v/>
      </c>
      <c r="AT267" s="294" t="str">
        <f t="shared" si="190"/>
        <v/>
      </c>
      <c r="AU267" s="301" t="str">
        <f>IF(OR($B267="", $AP267= ""),"",IF(VLOOKUP($AP267, CONTRATOS!B:K,3,FALSE)="","",VLOOKUP($AP267, CONTRATOS!B:K, 3,FALSE)))</f>
        <v/>
      </c>
      <c r="AV267" s="301" t="str">
        <f>IF(OR($B267="", $AP267 = ""), "", IF(VLOOKUP($AP267, CONTRATOS!B:K,4,FALSE)="","",VLOOKUP($AP267, CONTRATOS!B:K,4, FALSE)))</f>
        <v/>
      </c>
      <c r="AW267" s="302" t="str">
        <f t="shared" si="191"/>
        <v/>
      </c>
      <c r="AX267" s="301" t="str">
        <f t="shared" si="192"/>
        <v/>
      </c>
      <c r="AY267" s="301" t="str">
        <f t="shared" si="193"/>
        <v/>
      </c>
      <c r="AZ267" s="301" t="str">
        <f t="shared" si="194"/>
        <v/>
      </c>
      <c r="BA267" s="301" t="str">
        <f t="shared" si="195"/>
        <v/>
      </c>
      <c r="BB267" s="303">
        <f t="shared" si="209"/>
        <v>0</v>
      </c>
      <c r="BC267" s="303" t="str">
        <f t="shared" si="210"/>
        <v/>
      </c>
      <c r="BD267" s="303" t="str">
        <f t="shared" si="211"/>
        <v/>
      </c>
      <c r="BF267" s="304">
        <f t="shared" si="212"/>
        <v>0</v>
      </c>
      <c r="BG267" s="304">
        <f t="shared" si="213"/>
        <v>0</v>
      </c>
      <c r="BH267" s="304" t="str">
        <f>IF( $B267="", "", IF(ISNA(VLOOKUP($C267, Defesa!$C$8:$C$30,1,FALSE)),1,0))</f>
        <v/>
      </c>
      <c r="BI267" s="305" t="str">
        <f t="shared" si="214"/>
        <v/>
      </c>
      <c r="BJ267" s="305" t="str">
        <f t="shared" si="215"/>
        <v/>
      </c>
      <c r="BK267" s="304" t="str">
        <f t="shared" si="216"/>
        <v/>
      </c>
      <c r="BL267" s="304">
        <f t="shared" si="217"/>
        <v>0</v>
      </c>
      <c r="BM267" s="304" t="str">
        <f>IF($AC267="", "", IF(ISNA(VLOOKUP($AC267, TABELAS!$Q:$Q, 1, FALSE)), 1, 0))</f>
        <v/>
      </c>
      <c r="BN267" s="306" t="str">
        <f t="shared" si="218"/>
        <v/>
      </c>
      <c r="BO267" s="304" t="str">
        <f t="shared" si="219"/>
        <v/>
      </c>
      <c r="BP267" s="304" t="str">
        <f t="shared" si="220"/>
        <v/>
      </c>
      <c r="BQ267" s="305" t="str">
        <f t="shared" si="221"/>
        <v/>
      </c>
      <c r="BR267" s="304" t="str">
        <f t="shared" si="222"/>
        <v/>
      </c>
      <c r="BS267" s="304" t="str">
        <f t="shared" si="223"/>
        <v/>
      </c>
      <c r="BT267" s="304" t="str">
        <f>IF(OR($B267="", $AH267 = "SIM"), "", IF( ISNA(VLOOKUP($AP267,#REF!, 1, FALSE)), 1, 0))</f>
        <v/>
      </c>
      <c r="BU267" s="304" t="str">
        <f t="shared" si="224"/>
        <v/>
      </c>
      <c r="BV267" s="304" t="str">
        <f>IF( $B267="", "", IF( ISNA(VLOOKUP($AN267, TABELAS!$T$2:$T$9,1,FALSE)), 1, 0))</f>
        <v/>
      </c>
      <c r="BW267" s="304" t="str">
        <f t="shared" si="225"/>
        <v/>
      </c>
      <c r="BX267" s="304" t="str">
        <f>IF( OR($B267="", $AH267 = "SIM"), "", IF( ISNA( VLOOKUP( $AQ267, SISTEMA!$B:$B, 1, FALSE)), 1, 0))</f>
        <v/>
      </c>
      <c r="BY267" s="305" t="str">
        <f t="shared" si="226"/>
        <v/>
      </c>
      <c r="BZ267" s="305" t="str">
        <f t="shared" si="227"/>
        <v/>
      </c>
      <c r="CA267" s="304" t="str">
        <f t="shared" si="228"/>
        <v/>
      </c>
      <c r="CB267" s="305" t="str">
        <f t="shared" si="229"/>
        <v/>
      </c>
      <c r="CC267" s="305" t="str">
        <f t="shared" si="230"/>
        <v/>
      </c>
      <c r="CD267" s="305" t="str">
        <f t="shared" si="231"/>
        <v/>
      </c>
    </row>
    <row r="268" spans="1:82" x14ac:dyDescent="0.2">
      <c r="A268" s="235"/>
      <c r="B268" s="236" t="str">
        <f t="shared" si="196"/>
        <v/>
      </c>
      <c r="C268" s="237" t="str">
        <f t="shared" si="186"/>
        <v/>
      </c>
      <c r="D268" s="237" t="str">
        <f t="shared" si="197"/>
        <v/>
      </c>
      <c r="E268" s="237" t="str">
        <f>IF($C268="", "", COUNTIF($M$8:$M268,$D268))</f>
        <v/>
      </c>
      <c r="F268" s="238">
        <v>261</v>
      </c>
      <c r="G268" s="239"/>
      <c r="H268" s="240"/>
      <c r="I268" s="240"/>
      <c r="J268" s="241"/>
      <c r="K268" s="240"/>
      <c r="L268" s="240"/>
      <c r="M268" s="240"/>
      <c r="N268" s="242"/>
      <c r="O268" s="243"/>
      <c r="P268" s="243"/>
      <c r="Q268" s="243"/>
      <c r="R268" s="243"/>
      <c r="S268" s="243"/>
      <c r="T268" s="245"/>
      <c r="U268" s="246" t="str">
        <f>IF($T268="", "", VLOOKUP($T268, CONTRATOS!$B:$E, 2, FALSE))</f>
        <v/>
      </c>
      <c r="V268" s="247">
        <f>IF(OR($T268="",TB_DEFESA!$C$2="Criação Baseline"),0,
   IF(VLOOKUP($T268, CONTRATOS!B:E, 3, FALSE)&lt;&gt;"",1,IF(VLOOKUP($T268, CONTRATOS!B:E, 4, FALSE)&lt;&gt;"",2,0)))</f>
        <v>0</v>
      </c>
      <c r="W268" s="248"/>
      <c r="X268" s="248"/>
      <c r="Y268" s="249"/>
      <c r="Z268" s="250"/>
      <c r="AA268" s="251"/>
      <c r="AB268" s="252"/>
      <c r="AC268" s="253"/>
      <c r="AD268" s="251"/>
      <c r="AE268" s="254" t="str">
        <f t="shared" si="187"/>
        <v/>
      </c>
      <c r="AF268" s="256" t="str">
        <f t="shared" si="198"/>
        <v/>
      </c>
      <c r="AG268" s="293" t="s">
        <v>62</v>
      </c>
      <c r="AH268" s="294" t="str">
        <f t="shared" si="199"/>
        <v/>
      </c>
      <c r="AI268" s="294" t="str">
        <f t="shared" si="200"/>
        <v/>
      </c>
      <c r="AJ268" s="295" t="str">
        <f t="shared" si="201"/>
        <v/>
      </c>
      <c r="AK268" s="296" t="str">
        <f t="shared" si="202"/>
        <v/>
      </c>
      <c r="AL268" s="297" t="str">
        <f t="shared" si="203"/>
        <v/>
      </c>
      <c r="AM268" s="294" t="str">
        <f t="shared" si="204"/>
        <v/>
      </c>
      <c r="AN268" s="294" t="str">
        <f t="shared" si="205"/>
        <v/>
      </c>
      <c r="AO268" s="298" t="str">
        <f t="shared" si="206"/>
        <v/>
      </c>
      <c r="AP268" s="299" t="str">
        <f t="shared" si="207"/>
        <v/>
      </c>
      <c r="AQ268" s="299" t="str">
        <f t="shared" si="208"/>
        <v/>
      </c>
      <c r="AR268" s="300" t="str">
        <f t="shared" si="188"/>
        <v/>
      </c>
      <c r="AS268" s="300" t="str">
        <f t="shared" si="189"/>
        <v/>
      </c>
      <c r="AT268" s="294" t="str">
        <f t="shared" si="190"/>
        <v/>
      </c>
      <c r="AU268" s="301" t="str">
        <f>IF(OR($B268="", $AP268= ""),"",IF(VLOOKUP($AP268, CONTRATOS!B:K,3,FALSE)="","",VLOOKUP($AP268, CONTRATOS!B:K, 3,FALSE)))</f>
        <v/>
      </c>
      <c r="AV268" s="301" t="str">
        <f>IF(OR($B268="", $AP268 = ""), "", IF(VLOOKUP($AP268, CONTRATOS!B:K,4,FALSE)="","",VLOOKUP($AP268, CONTRATOS!B:K,4, FALSE)))</f>
        <v/>
      </c>
      <c r="AW268" s="302" t="str">
        <f t="shared" si="191"/>
        <v/>
      </c>
      <c r="AX268" s="301" t="str">
        <f t="shared" si="192"/>
        <v/>
      </c>
      <c r="AY268" s="301" t="str">
        <f t="shared" si="193"/>
        <v/>
      </c>
      <c r="AZ268" s="301" t="str">
        <f t="shared" si="194"/>
        <v/>
      </c>
      <c r="BA268" s="301" t="str">
        <f t="shared" si="195"/>
        <v/>
      </c>
      <c r="BB268" s="303">
        <f t="shared" si="209"/>
        <v>0</v>
      </c>
      <c r="BC268" s="303" t="str">
        <f t="shared" si="210"/>
        <v/>
      </c>
      <c r="BD268" s="303" t="str">
        <f t="shared" si="211"/>
        <v/>
      </c>
      <c r="BF268" s="304">
        <f t="shared" si="212"/>
        <v>0</v>
      </c>
      <c r="BG268" s="304">
        <f t="shared" si="213"/>
        <v>0</v>
      </c>
      <c r="BH268" s="304" t="str">
        <f>IF( $B268="", "", IF(ISNA(VLOOKUP($C268, Defesa!$C$8:$C$30,1,FALSE)),1,0))</f>
        <v/>
      </c>
      <c r="BI268" s="305" t="str">
        <f t="shared" si="214"/>
        <v/>
      </c>
      <c r="BJ268" s="305" t="str">
        <f t="shared" si="215"/>
        <v/>
      </c>
      <c r="BK268" s="304" t="str">
        <f t="shared" si="216"/>
        <v/>
      </c>
      <c r="BL268" s="304">
        <f t="shared" si="217"/>
        <v>0</v>
      </c>
      <c r="BM268" s="304" t="str">
        <f>IF($AC268="", "", IF(ISNA(VLOOKUP($AC268, TABELAS!$Q:$Q, 1, FALSE)), 1, 0))</f>
        <v/>
      </c>
      <c r="BN268" s="306" t="str">
        <f t="shared" si="218"/>
        <v/>
      </c>
      <c r="BO268" s="304" t="str">
        <f t="shared" si="219"/>
        <v/>
      </c>
      <c r="BP268" s="304" t="str">
        <f t="shared" si="220"/>
        <v/>
      </c>
      <c r="BQ268" s="305" t="str">
        <f t="shared" si="221"/>
        <v/>
      </c>
      <c r="BR268" s="304" t="str">
        <f t="shared" si="222"/>
        <v/>
      </c>
      <c r="BS268" s="304" t="str">
        <f t="shared" si="223"/>
        <v/>
      </c>
      <c r="BT268" s="304" t="str">
        <f>IF(OR($B268="", $AH268 = "SIM"), "", IF( ISNA(VLOOKUP($AP268,#REF!, 1, FALSE)), 1, 0))</f>
        <v/>
      </c>
      <c r="BU268" s="304" t="str">
        <f t="shared" si="224"/>
        <v/>
      </c>
      <c r="BV268" s="304" t="str">
        <f>IF( $B268="", "", IF( ISNA(VLOOKUP($AN268, TABELAS!$T$2:$T$9,1,FALSE)), 1, 0))</f>
        <v/>
      </c>
      <c r="BW268" s="304" t="str">
        <f t="shared" si="225"/>
        <v/>
      </c>
      <c r="BX268" s="304" t="str">
        <f>IF( OR($B268="", $AH268 = "SIM"), "", IF( ISNA( VLOOKUP( $AQ268, SISTEMA!$B:$B, 1, FALSE)), 1, 0))</f>
        <v/>
      </c>
      <c r="BY268" s="305" t="str">
        <f t="shared" si="226"/>
        <v/>
      </c>
      <c r="BZ268" s="305" t="str">
        <f t="shared" si="227"/>
        <v/>
      </c>
      <c r="CA268" s="304" t="str">
        <f t="shared" si="228"/>
        <v/>
      </c>
      <c r="CB268" s="305" t="str">
        <f t="shared" si="229"/>
        <v/>
      </c>
      <c r="CC268" s="305" t="str">
        <f t="shared" si="230"/>
        <v/>
      </c>
      <c r="CD268" s="305" t="str">
        <f t="shared" si="231"/>
        <v/>
      </c>
    </row>
    <row r="269" spans="1:82" x14ac:dyDescent="0.2">
      <c r="A269" s="235"/>
      <c r="B269" s="236" t="str">
        <f t="shared" si="196"/>
        <v/>
      </c>
      <c r="C269" s="237" t="str">
        <f t="shared" si="186"/>
        <v/>
      </c>
      <c r="D269" s="237" t="str">
        <f t="shared" si="197"/>
        <v/>
      </c>
      <c r="E269" s="237" t="str">
        <f>IF($C269="", "", COUNTIF($M$8:$M269,$D269))</f>
        <v/>
      </c>
      <c r="F269" s="238">
        <v>262</v>
      </c>
      <c r="G269" s="239"/>
      <c r="H269" s="240"/>
      <c r="I269" s="240"/>
      <c r="J269" s="241"/>
      <c r="K269" s="240"/>
      <c r="L269" s="240"/>
      <c r="M269" s="240"/>
      <c r="N269" s="242"/>
      <c r="O269" s="243"/>
      <c r="P269" s="243"/>
      <c r="Q269" s="243"/>
      <c r="R269" s="243"/>
      <c r="S269" s="243"/>
      <c r="T269" s="245"/>
      <c r="U269" s="246" t="str">
        <f>IF($T269="", "", VLOOKUP($T269, CONTRATOS!$B:$E, 2, FALSE))</f>
        <v/>
      </c>
      <c r="V269" s="247">
        <f>IF(OR($T269="",TB_DEFESA!$C$2="Criação Baseline"),0,
   IF(VLOOKUP($T269, CONTRATOS!B:E, 3, FALSE)&lt;&gt;"",1,IF(VLOOKUP($T269, CONTRATOS!B:E, 4, FALSE)&lt;&gt;"",2,0)))</f>
        <v>0</v>
      </c>
      <c r="W269" s="248"/>
      <c r="X269" s="248"/>
      <c r="Y269" s="249"/>
      <c r="Z269" s="250"/>
      <c r="AA269" s="251"/>
      <c r="AB269" s="252"/>
      <c r="AC269" s="253"/>
      <c r="AD269" s="251"/>
      <c r="AE269" s="254" t="str">
        <f t="shared" si="187"/>
        <v/>
      </c>
      <c r="AF269" s="256" t="str">
        <f t="shared" si="198"/>
        <v/>
      </c>
      <c r="AG269" s="293" t="s">
        <v>62</v>
      </c>
      <c r="AH269" s="294" t="str">
        <f t="shared" si="199"/>
        <v/>
      </c>
      <c r="AI269" s="294" t="str">
        <f t="shared" si="200"/>
        <v/>
      </c>
      <c r="AJ269" s="295" t="str">
        <f t="shared" si="201"/>
        <v/>
      </c>
      <c r="AK269" s="296" t="str">
        <f t="shared" si="202"/>
        <v/>
      </c>
      <c r="AL269" s="297" t="str">
        <f t="shared" si="203"/>
        <v/>
      </c>
      <c r="AM269" s="294" t="str">
        <f t="shared" si="204"/>
        <v/>
      </c>
      <c r="AN269" s="294" t="str">
        <f t="shared" si="205"/>
        <v/>
      </c>
      <c r="AO269" s="298" t="str">
        <f t="shared" si="206"/>
        <v/>
      </c>
      <c r="AP269" s="299" t="str">
        <f t="shared" si="207"/>
        <v/>
      </c>
      <c r="AQ269" s="299" t="str">
        <f t="shared" si="208"/>
        <v/>
      </c>
      <c r="AR269" s="300" t="str">
        <f t="shared" si="188"/>
        <v/>
      </c>
      <c r="AS269" s="300" t="str">
        <f t="shared" si="189"/>
        <v/>
      </c>
      <c r="AT269" s="294" t="str">
        <f t="shared" si="190"/>
        <v/>
      </c>
      <c r="AU269" s="301" t="str">
        <f>IF(OR($B269="", $AP269= ""),"",IF(VLOOKUP($AP269, CONTRATOS!B:K,3,FALSE)="","",VLOOKUP($AP269, CONTRATOS!B:K, 3,FALSE)))</f>
        <v/>
      </c>
      <c r="AV269" s="301" t="str">
        <f>IF(OR($B269="", $AP269 = ""), "", IF(VLOOKUP($AP269, CONTRATOS!B:K,4,FALSE)="","",VLOOKUP($AP269, CONTRATOS!B:K,4, FALSE)))</f>
        <v/>
      </c>
      <c r="AW269" s="302" t="str">
        <f t="shared" si="191"/>
        <v/>
      </c>
      <c r="AX269" s="301" t="str">
        <f t="shared" si="192"/>
        <v/>
      </c>
      <c r="AY269" s="301" t="str">
        <f t="shared" si="193"/>
        <v/>
      </c>
      <c r="AZ269" s="301" t="str">
        <f t="shared" si="194"/>
        <v/>
      </c>
      <c r="BA269" s="301" t="str">
        <f t="shared" si="195"/>
        <v/>
      </c>
      <c r="BB269" s="303">
        <f t="shared" si="209"/>
        <v>0</v>
      </c>
      <c r="BC269" s="303" t="str">
        <f t="shared" si="210"/>
        <v/>
      </c>
      <c r="BD269" s="303" t="str">
        <f t="shared" si="211"/>
        <v/>
      </c>
      <c r="BF269" s="304">
        <f t="shared" si="212"/>
        <v>0</v>
      </c>
      <c r="BG269" s="304">
        <f t="shared" si="213"/>
        <v>0</v>
      </c>
      <c r="BH269" s="304" t="str">
        <f>IF( $B269="", "", IF(ISNA(VLOOKUP($C269, Defesa!$C$8:$C$30,1,FALSE)),1,0))</f>
        <v/>
      </c>
      <c r="BI269" s="305" t="str">
        <f t="shared" si="214"/>
        <v/>
      </c>
      <c r="BJ269" s="305" t="str">
        <f t="shared" si="215"/>
        <v/>
      </c>
      <c r="BK269" s="304" t="str">
        <f t="shared" si="216"/>
        <v/>
      </c>
      <c r="BL269" s="304">
        <f t="shared" si="217"/>
        <v>0</v>
      </c>
      <c r="BM269" s="304" t="str">
        <f>IF($AC269="", "", IF(ISNA(VLOOKUP($AC269, TABELAS!$Q:$Q, 1, FALSE)), 1, 0))</f>
        <v/>
      </c>
      <c r="BN269" s="306" t="str">
        <f t="shared" si="218"/>
        <v/>
      </c>
      <c r="BO269" s="304" t="str">
        <f t="shared" si="219"/>
        <v/>
      </c>
      <c r="BP269" s="304" t="str">
        <f t="shared" si="220"/>
        <v/>
      </c>
      <c r="BQ269" s="305" t="str">
        <f t="shared" si="221"/>
        <v/>
      </c>
      <c r="BR269" s="304" t="str">
        <f t="shared" si="222"/>
        <v/>
      </c>
      <c r="BS269" s="304" t="str">
        <f t="shared" si="223"/>
        <v/>
      </c>
      <c r="BT269" s="304" t="str">
        <f>IF(OR($B269="", $AH269 = "SIM"), "", IF( ISNA(VLOOKUP($AP269,#REF!, 1, FALSE)), 1, 0))</f>
        <v/>
      </c>
      <c r="BU269" s="304" t="str">
        <f t="shared" si="224"/>
        <v/>
      </c>
      <c r="BV269" s="304" t="str">
        <f>IF( $B269="", "", IF( ISNA(VLOOKUP($AN269, TABELAS!$T$2:$T$9,1,FALSE)), 1, 0))</f>
        <v/>
      </c>
      <c r="BW269" s="304" t="str">
        <f t="shared" si="225"/>
        <v/>
      </c>
      <c r="BX269" s="304" t="str">
        <f>IF( OR($B269="", $AH269 = "SIM"), "", IF( ISNA( VLOOKUP( $AQ269, SISTEMA!$B:$B, 1, FALSE)), 1, 0))</f>
        <v/>
      </c>
      <c r="BY269" s="305" t="str">
        <f t="shared" si="226"/>
        <v/>
      </c>
      <c r="BZ269" s="305" t="str">
        <f t="shared" si="227"/>
        <v/>
      </c>
      <c r="CA269" s="304" t="str">
        <f t="shared" si="228"/>
        <v/>
      </c>
      <c r="CB269" s="305" t="str">
        <f t="shared" si="229"/>
        <v/>
      </c>
      <c r="CC269" s="305" t="str">
        <f t="shared" si="230"/>
        <v/>
      </c>
      <c r="CD269" s="305" t="str">
        <f t="shared" si="231"/>
        <v/>
      </c>
    </row>
    <row r="270" spans="1:82" x14ac:dyDescent="0.2">
      <c r="A270" s="235"/>
      <c r="B270" s="236" t="str">
        <f t="shared" si="196"/>
        <v/>
      </c>
      <c r="C270" s="237" t="str">
        <f t="shared" si="186"/>
        <v/>
      </c>
      <c r="D270" s="237" t="str">
        <f t="shared" si="197"/>
        <v/>
      </c>
      <c r="E270" s="237" t="str">
        <f>IF($C270="", "", COUNTIF($M$8:$M270,$D270))</f>
        <v/>
      </c>
      <c r="F270" s="238">
        <v>263</v>
      </c>
      <c r="G270" s="239"/>
      <c r="H270" s="240"/>
      <c r="I270" s="240"/>
      <c r="J270" s="241"/>
      <c r="K270" s="240"/>
      <c r="L270" s="240"/>
      <c r="M270" s="240"/>
      <c r="N270" s="242"/>
      <c r="O270" s="243"/>
      <c r="P270" s="243"/>
      <c r="Q270" s="243"/>
      <c r="R270" s="243"/>
      <c r="S270" s="243"/>
      <c r="T270" s="245"/>
      <c r="U270" s="246" t="str">
        <f>IF($T270="", "", VLOOKUP($T270, CONTRATOS!$B:$E, 2, FALSE))</f>
        <v/>
      </c>
      <c r="V270" s="247">
        <f>IF(OR($T270="",TB_DEFESA!$C$2="Criação Baseline"),0,
   IF(VLOOKUP($T270, CONTRATOS!B:E, 3, FALSE)&lt;&gt;"",1,IF(VLOOKUP($T270, CONTRATOS!B:E, 4, FALSE)&lt;&gt;"",2,0)))</f>
        <v>0</v>
      </c>
      <c r="W270" s="248"/>
      <c r="X270" s="248"/>
      <c r="Y270" s="249"/>
      <c r="Z270" s="250"/>
      <c r="AA270" s="251"/>
      <c r="AB270" s="252"/>
      <c r="AC270" s="253"/>
      <c r="AD270" s="251"/>
      <c r="AE270" s="254" t="str">
        <f t="shared" si="187"/>
        <v/>
      </c>
      <c r="AF270" s="256" t="str">
        <f t="shared" si="198"/>
        <v/>
      </c>
      <c r="AG270" s="293" t="s">
        <v>62</v>
      </c>
      <c r="AH270" s="294" t="str">
        <f t="shared" si="199"/>
        <v/>
      </c>
      <c r="AI270" s="294" t="str">
        <f t="shared" si="200"/>
        <v/>
      </c>
      <c r="AJ270" s="295" t="str">
        <f t="shared" si="201"/>
        <v/>
      </c>
      <c r="AK270" s="296" t="str">
        <f t="shared" si="202"/>
        <v/>
      </c>
      <c r="AL270" s="297" t="str">
        <f t="shared" si="203"/>
        <v/>
      </c>
      <c r="AM270" s="294" t="str">
        <f t="shared" si="204"/>
        <v/>
      </c>
      <c r="AN270" s="294" t="str">
        <f t="shared" si="205"/>
        <v/>
      </c>
      <c r="AO270" s="298" t="str">
        <f t="shared" si="206"/>
        <v/>
      </c>
      <c r="AP270" s="299" t="str">
        <f t="shared" si="207"/>
        <v/>
      </c>
      <c r="AQ270" s="299" t="str">
        <f t="shared" si="208"/>
        <v/>
      </c>
      <c r="AR270" s="300" t="str">
        <f t="shared" si="188"/>
        <v/>
      </c>
      <c r="AS270" s="300" t="str">
        <f t="shared" si="189"/>
        <v/>
      </c>
      <c r="AT270" s="294" t="str">
        <f t="shared" si="190"/>
        <v/>
      </c>
      <c r="AU270" s="301" t="str">
        <f>IF(OR($B270="", $AP270= ""),"",IF(VLOOKUP($AP270, CONTRATOS!B:K,3,FALSE)="","",VLOOKUP($AP270, CONTRATOS!B:K, 3,FALSE)))</f>
        <v/>
      </c>
      <c r="AV270" s="301" t="str">
        <f>IF(OR($B270="", $AP270 = ""), "", IF(VLOOKUP($AP270, CONTRATOS!B:K,4,FALSE)="","",VLOOKUP($AP270, CONTRATOS!B:K,4, FALSE)))</f>
        <v/>
      </c>
      <c r="AW270" s="302" t="str">
        <f t="shared" si="191"/>
        <v/>
      </c>
      <c r="AX270" s="301" t="str">
        <f t="shared" si="192"/>
        <v/>
      </c>
      <c r="AY270" s="301" t="str">
        <f t="shared" si="193"/>
        <v/>
      </c>
      <c r="AZ270" s="301" t="str">
        <f t="shared" si="194"/>
        <v/>
      </c>
      <c r="BA270" s="301" t="str">
        <f t="shared" si="195"/>
        <v/>
      </c>
      <c r="BB270" s="303">
        <f t="shared" si="209"/>
        <v>0</v>
      </c>
      <c r="BC270" s="303" t="str">
        <f t="shared" si="210"/>
        <v/>
      </c>
      <c r="BD270" s="303" t="str">
        <f t="shared" si="211"/>
        <v/>
      </c>
      <c r="BF270" s="304">
        <f t="shared" si="212"/>
        <v>0</v>
      </c>
      <c r="BG270" s="304">
        <f t="shared" si="213"/>
        <v>0</v>
      </c>
      <c r="BH270" s="304" t="str">
        <f>IF( $B270="", "", IF(ISNA(VLOOKUP($C270, Defesa!$C$8:$C$30,1,FALSE)),1,0))</f>
        <v/>
      </c>
      <c r="BI270" s="305" t="str">
        <f t="shared" si="214"/>
        <v/>
      </c>
      <c r="BJ270" s="305" t="str">
        <f t="shared" si="215"/>
        <v/>
      </c>
      <c r="BK270" s="304" t="str">
        <f t="shared" si="216"/>
        <v/>
      </c>
      <c r="BL270" s="304">
        <f t="shared" si="217"/>
        <v>0</v>
      </c>
      <c r="BM270" s="304" t="str">
        <f>IF($AC270="", "", IF(ISNA(VLOOKUP($AC270, TABELAS!$Q:$Q, 1, FALSE)), 1, 0))</f>
        <v/>
      </c>
      <c r="BN270" s="306" t="str">
        <f t="shared" si="218"/>
        <v/>
      </c>
      <c r="BO270" s="304" t="str">
        <f t="shared" si="219"/>
        <v/>
      </c>
      <c r="BP270" s="304" t="str">
        <f t="shared" si="220"/>
        <v/>
      </c>
      <c r="BQ270" s="305" t="str">
        <f t="shared" si="221"/>
        <v/>
      </c>
      <c r="BR270" s="304" t="str">
        <f t="shared" si="222"/>
        <v/>
      </c>
      <c r="BS270" s="304" t="str">
        <f t="shared" si="223"/>
        <v/>
      </c>
      <c r="BT270" s="304" t="str">
        <f>IF(OR($B270="", $AH270 = "SIM"), "", IF( ISNA(VLOOKUP($AP270,#REF!, 1, FALSE)), 1, 0))</f>
        <v/>
      </c>
      <c r="BU270" s="304" t="str">
        <f t="shared" si="224"/>
        <v/>
      </c>
      <c r="BV270" s="304" t="str">
        <f>IF( $B270="", "", IF( ISNA(VLOOKUP($AN270, TABELAS!$T$2:$T$9,1,FALSE)), 1, 0))</f>
        <v/>
      </c>
      <c r="BW270" s="304" t="str">
        <f t="shared" si="225"/>
        <v/>
      </c>
      <c r="BX270" s="304" t="str">
        <f>IF( OR($B270="", $AH270 = "SIM"), "", IF( ISNA( VLOOKUP( $AQ270, SISTEMA!$B:$B, 1, FALSE)), 1, 0))</f>
        <v/>
      </c>
      <c r="BY270" s="305" t="str">
        <f t="shared" si="226"/>
        <v/>
      </c>
      <c r="BZ270" s="305" t="str">
        <f t="shared" si="227"/>
        <v/>
      </c>
      <c r="CA270" s="304" t="str">
        <f t="shared" si="228"/>
        <v/>
      </c>
      <c r="CB270" s="305" t="str">
        <f t="shared" si="229"/>
        <v/>
      </c>
      <c r="CC270" s="305" t="str">
        <f t="shared" si="230"/>
        <v/>
      </c>
      <c r="CD270" s="305" t="str">
        <f t="shared" si="231"/>
        <v/>
      </c>
    </row>
    <row r="271" spans="1:82" x14ac:dyDescent="0.2">
      <c r="A271" s="235"/>
      <c r="B271" s="236" t="str">
        <f t="shared" si="196"/>
        <v/>
      </c>
      <c r="C271" s="237" t="str">
        <f t="shared" si="186"/>
        <v/>
      </c>
      <c r="D271" s="237" t="str">
        <f t="shared" si="197"/>
        <v/>
      </c>
      <c r="E271" s="237" t="str">
        <f>IF($C271="", "", COUNTIF($M$8:$M271,$D271))</f>
        <v/>
      </c>
      <c r="F271" s="238">
        <v>264</v>
      </c>
      <c r="G271" s="239"/>
      <c r="H271" s="240"/>
      <c r="I271" s="240"/>
      <c r="J271" s="241"/>
      <c r="K271" s="240"/>
      <c r="L271" s="240"/>
      <c r="M271" s="240"/>
      <c r="N271" s="242"/>
      <c r="O271" s="243"/>
      <c r="P271" s="243"/>
      <c r="Q271" s="243"/>
      <c r="R271" s="243"/>
      <c r="S271" s="243"/>
      <c r="T271" s="245"/>
      <c r="U271" s="246" t="str">
        <f>IF($T271="", "", VLOOKUP($T271, CONTRATOS!$B:$E, 2, FALSE))</f>
        <v/>
      </c>
      <c r="V271" s="247">
        <f>IF(OR($T271="",TB_DEFESA!$C$2="Criação Baseline"),0,
   IF(VLOOKUP($T271, CONTRATOS!B:E, 3, FALSE)&lt;&gt;"",1,IF(VLOOKUP($T271, CONTRATOS!B:E, 4, FALSE)&lt;&gt;"",2,0)))</f>
        <v>0</v>
      </c>
      <c r="W271" s="248"/>
      <c r="X271" s="248"/>
      <c r="Y271" s="249"/>
      <c r="Z271" s="250"/>
      <c r="AA271" s="251"/>
      <c r="AB271" s="252"/>
      <c r="AC271" s="253"/>
      <c r="AD271" s="251"/>
      <c r="AE271" s="254" t="str">
        <f t="shared" si="187"/>
        <v/>
      </c>
      <c r="AF271" s="256" t="str">
        <f t="shared" si="198"/>
        <v/>
      </c>
      <c r="AG271" s="293" t="s">
        <v>62</v>
      </c>
      <c r="AH271" s="294" t="str">
        <f t="shared" si="199"/>
        <v/>
      </c>
      <c r="AI271" s="294" t="str">
        <f t="shared" si="200"/>
        <v/>
      </c>
      <c r="AJ271" s="295" t="str">
        <f t="shared" si="201"/>
        <v/>
      </c>
      <c r="AK271" s="296" t="str">
        <f t="shared" si="202"/>
        <v/>
      </c>
      <c r="AL271" s="297" t="str">
        <f t="shared" si="203"/>
        <v/>
      </c>
      <c r="AM271" s="294" t="str">
        <f t="shared" si="204"/>
        <v/>
      </c>
      <c r="AN271" s="294" t="str">
        <f t="shared" si="205"/>
        <v/>
      </c>
      <c r="AO271" s="298" t="str">
        <f t="shared" si="206"/>
        <v/>
      </c>
      <c r="AP271" s="299" t="str">
        <f t="shared" si="207"/>
        <v/>
      </c>
      <c r="AQ271" s="299" t="str">
        <f t="shared" si="208"/>
        <v/>
      </c>
      <c r="AR271" s="300" t="str">
        <f t="shared" si="188"/>
        <v/>
      </c>
      <c r="AS271" s="300" t="str">
        <f t="shared" si="189"/>
        <v/>
      </c>
      <c r="AT271" s="294" t="str">
        <f t="shared" si="190"/>
        <v/>
      </c>
      <c r="AU271" s="301" t="str">
        <f>IF(OR($B271="", $AP271= ""),"",IF(VLOOKUP($AP271, CONTRATOS!B:K,3,FALSE)="","",VLOOKUP($AP271, CONTRATOS!B:K, 3,FALSE)))</f>
        <v/>
      </c>
      <c r="AV271" s="301" t="str">
        <f>IF(OR($B271="", $AP271 = ""), "", IF(VLOOKUP($AP271, CONTRATOS!B:K,4,FALSE)="","",VLOOKUP($AP271, CONTRATOS!B:K,4, FALSE)))</f>
        <v/>
      </c>
      <c r="AW271" s="302" t="str">
        <f t="shared" si="191"/>
        <v/>
      </c>
      <c r="AX271" s="301" t="str">
        <f t="shared" si="192"/>
        <v/>
      </c>
      <c r="AY271" s="301" t="str">
        <f t="shared" si="193"/>
        <v/>
      </c>
      <c r="AZ271" s="301" t="str">
        <f t="shared" si="194"/>
        <v/>
      </c>
      <c r="BA271" s="301" t="str">
        <f t="shared" si="195"/>
        <v/>
      </c>
      <c r="BB271" s="303">
        <f t="shared" si="209"/>
        <v>0</v>
      </c>
      <c r="BC271" s="303" t="str">
        <f t="shared" si="210"/>
        <v/>
      </c>
      <c r="BD271" s="303" t="str">
        <f t="shared" si="211"/>
        <v/>
      </c>
      <c r="BF271" s="304">
        <f t="shared" si="212"/>
        <v>0</v>
      </c>
      <c r="BG271" s="304">
        <f t="shared" si="213"/>
        <v>0</v>
      </c>
      <c r="BH271" s="304" t="str">
        <f>IF( $B271="", "", IF(ISNA(VLOOKUP($C271, Defesa!$C$8:$C$30,1,FALSE)),1,0))</f>
        <v/>
      </c>
      <c r="BI271" s="305" t="str">
        <f t="shared" si="214"/>
        <v/>
      </c>
      <c r="BJ271" s="305" t="str">
        <f t="shared" si="215"/>
        <v/>
      </c>
      <c r="BK271" s="304" t="str">
        <f t="shared" si="216"/>
        <v/>
      </c>
      <c r="BL271" s="304">
        <f t="shared" si="217"/>
        <v>0</v>
      </c>
      <c r="BM271" s="304" t="str">
        <f>IF($AC271="", "", IF(ISNA(VLOOKUP($AC271, TABELAS!$Q:$Q, 1, FALSE)), 1, 0))</f>
        <v/>
      </c>
      <c r="BN271" s="306" t="str">
        <f t="shared" si="218"/>
        <v/>
      </c>
      <c r="BO271" s="304" t="str">
        <f t="shared" si="219"/>
        <v/>
      </c>
      <c r="BP271" s="304" t="str">
        <f t="shared" si="220"/>
        <v/>
      </c>
      <c r="BQ271" s="305" t="str">
        <f t="shared" si="221"/>
        <v/>
      </c>
      <c r="BR271" s="304" t="str">
        <f t="shared" si="222"/>
        <v/>
      </c>
      <c r="BS271" s="304" t="str">
        <f t="shared" si="223"/>
        <v/>
      </c>
      <c r="BT271" s="304" t="str">
        <f>IF(OR($B271="", $AH271 = "SIM"), "", IF( ISNA(VLOOKUP($AP271,#REF!, 1, FALSE)), 1, 0))</f>
        <v/>
      </c>
      <c r="BU271" s="304" t="str">
        <f t="shared" si="224"/>
        <v/>
      </c>
      <c r="BV271" s="304" t="str">
        <f>IF( $B271="", "", IF( ISNA(VLOOKUP($AN271, TABELAS!$T$2:$T$9,1,FALSE)), 1, 0))</f>
        <v/>
      </c>
      <c r="BW271" s="304" t="str">
        <f t="shared" si="225"/>
        <v/>
      </c>
      <c r="BX271" s="304" t="str">
        <f>IF( OR($B271="", $AH271 = "SIM"), "", IF( ISNA( VLOOKUP( $AQ271, SISTEMA!$B:$B, 1, FALSE)), 1, 0))</f>
        <v/>
      </c>
      <c r="BY271" s="305" t="str">
        <f t="shared" si="226"/>
        <v/>
      </c>
      <c r="BZ271" s="305" t="str">
        <f t="shared" si="227"/>
        <v/>
      </c>
      <c r="CA271" s="304" t="str">
        <f t="shared" si="228"/>
        <v/>
      </c>
      <c r="CB271" s="305" t="str">
        <f t="shared" si="229"/>
        <v/>
      </c>
      <c r="CC271" s="305" t="str">
        <f t="shared" si="230"/>
        <v/>
      </c>
      <c r="CD271" s="305" t="str">
        <f t="shared" si="231"/>
        <v/>
      </c>
    </row>
    <row r="272" spans="1:82" x14ac:dyDescent="0.2">
      <c r="A272" s="235"/>
      <c r="B272" s="236" t="str">
        <f t="shared" si="196"/>
        <v/>
      </c>
      <c r="C272" s="237" t="str">
        <f t="shared" si="186"/>
        <v/>
      </c>
      <c r="D272" s="237" t="str">
        <f t="shared" si="197"/>
        <v/>
      </c>
      <c r="E272" s="237" t="str">
        <f>IF($C272="", "", COUNTIF($M$8:$M272,$D272))</f>
        <v/>
      </c>
      <c r="F272" s="238">
        <v>265</v>
      </c>
      <c r="G272" s="239"/>
      <c r="H272" s="240"/>
      <c r="I272" s="240"/>
      <c r="J272" s="241"/>
      <c r="K272" s="240"/>
      <c r="L272" s="240"/>
      <c r="M272" s="240"/>
      <c r="N272" s="242"/>
      <c r="O272" s="243"/>
      <c r="P272" s="243"/>
      <c r="Q272" s="243"/>
      <c r="R272" s="243"/>
      <c r="S272" s="243"/>
      <c r="T272" s="245"/>
      <c r="U272" s="246" t="str">
        <f>IF($T272="", "", VLOOKUP($T272, CONTRATOS!$B:$E, 2, FALSE))</f>
        <v/>
      </c>
      <c r="V272" s="247">
        <f>IF(OR($T272="",TB_DEFESA!$C$2="Criação Baseline"),0,
   IF(VLOOKUP($T272, CONTRATOS!B:E, 3, FALSE)&lt;&gt;"",1,IF(VLOOKUP($T272, CONTRATOS!B:E, 4, FALSE)&lt;&gt;"",2,0)))</f>
        <v>0</v>
      </c>
      <c r="W272" s="248"/>
      <c r="X272" s="248"/>
      <c r="Y272" s="249"/>
      <c r="Z272" s="250"/>
      <c r="AA272" s="251"/>
      <c r="AB272" s="252"/>
      <c r="AC272" s="253"/>
      <c r="AD272" s="251"/>
      <c r="AE272" s="254" t="str">
        <f t="shared" si="187"/>
        <v/>
      </c>
      <c r="AF272" s="256" t="str">
        <f t="shared" si="198"/>
        <v/>
      </c>
      <c r="AG272" s="293" t="s">
        <v>62</v>
      </c>
      <c r="AH272" s="294" t="str">
        <f t="shared" si="199"/>
        <v/>
      </c>
      <c r="AI272" s="294" t="str">
        <f t="shared" si="200"/>
        <v/>
      </c>
      <c r="AJ272" s="295" t="str">
        <f t="shared" si="201"/>
        <v/>
      </c>
      <c r="AK272" s="296" t="str">
        <f t="shared" si="202"/>
        <v/>
      </c>
      <c r="AL272" s="297" t="str">
        <f t="shared" si="203"/>
        <v/>
      </c>
      <c r="AM272" s="294" t="str">
        <f t="shared" si="204"/>
        <v/>
      </c>
      <c r="AN272" s="294" t="str">
        <f t="shared" si="205"/>
        <v/>
      </c>
      <c r="AO272" s="298" t="str">
        <f t="shared" si="206"/>
        <v/>
      </c>
      <c r="AP272" s="299" t="str">
        <f t="shared" si="207"/>
        <v/>
      </c>
      <c r="AQ272" s="299" t="str">
        <f t="shared" si="208"/>
        <v/>
      </c>
      <c r="AR272" s="300" t="str">
        <f t="shared" si="188"/>
        <v/>
      </c>
      <c r="AS272" s="300" t="str">
        <f t="shared" si="189"/>
        <v/>
      </c>
      <c r="AT272" s="294" t="str">
        <f t="shared" si="190"/>
        <v/>
      </c>
      <c r="AU272" s="301" t="str">
        <f>IF(OR($B272="", $AP272= ""),"",IF(VLOOKUP($AP272, CONTRATOS!B:K,3,FALSE)="","",VLOOKUP($AP272, CONTRATOS!B:K, 3,FALSE)))</f>
        <v/>
      </c>
      <c r="AV272" s="301" t="str">
        <f>IF(OR($B272="", $AP272 = ""), "", IF(VLOOKUP($AP272, CONTRATOS!B:K,4,FALSE)="","",VLOOKUP($AP272, CONTRATOS!B:K,4, FALSE)))</f>
        <v/>
      </c>
      <c r="AW272" s="302" t="str">
        <f t="shared" si="191"/>
        <v/>
      </c>
      <c r="AX272" s="301" t="str">
        <f t="shared" si="192"/>
        <v/>
      </c>
      <c r="AY272" s="301" t="str">
        <f t="shared" si="193"/>
        <v/>
      </c>
      <c r="AZ272" s="301" t="str">
        <f t="shared" si="194"/>
        <v/>
      </c>
      <c r="BA272" s="301" t="str">
        <f t="shared" si="195"/>
        <v/>
      </c>
      <c r="BB272" s="303">
        <f t="shared" si="209"/>
        <v>0</v>
      </c>
      <c r="BC272" s="303" t="str">
        <f t="shared" si="210"/>
        <v/>
      </c>
      <c r="BD272" s="303" t="str">
        <f t="shared" si="211"/>
        <v/>
      </c>
      <c r="BF272" s="304">
        <f t="shared" si="212"/>
        <v>0</v>
      </c>
      <c r="BG272" s="304">
        <f t="shared" si="213"/>
        <v>0</v>
      </c>
      <c r="BH272" s="304" t="str">
        <f>IF( $B272="", "", IF(ISNA(VLOOKUP($C272, Defesa!$C$8:$C$30,1,FALSE)),1,0))</f>
        <v/>
      </c>
      <c r="BI272" s="305" t="str">
        <f t="shared" si="214"/>
        <v/>
      </c>
      <c r="BJ272" s="305" t="str">
        <f t="shared" si="215"/>
        <v/>
      </c>
      <c r="BK272" s="304" t="str">
        <f t="shared" si="216"/>
        <v/>
      </c>
      <c r="BL272" s="304">
        <f t="shared" si="217"/>
        <v>0</v>
      </c>
      <c r="BM272" s="304" t="str">
        <f>IF($AC272="", "", IF(ISNA(VLOOKUP($AC272, TABELAS!$Q:$Q, 1, FALSE)), 1, 0))</f>
        <v/>
      </c>
      <c r="BN272" s="306" t="str">
        <f t="shared" si="218"/>
        <v/>
      </c>
      <c r="BO272" s="304" t="str">
        <f t="shared" si="219"/>
        <v/>
      </c>
      <c r="BP272" s="304" t="str">
        <f t="shared" si="220"/>
        <v/>
      </c>
      <c r="BQ272" s="305" t="str">
        <f t="shared" si="221"/>
        <v/>
      </c>
      <c r="BR272" s="304" t="str">
        <f t="shared" si="222"/>
        <v/>
      </c>
      <c r="BS272" s="304" t="str">
        <f t="shared" si="223"/>
        <v/>
      </c>
      <c r="BT272" s="304" t="str">
        <f>IF(OR($B272="", $AH272 = "SIM"), "", IF( ISNA(VLOOKUP($AP272,#REF!, 1, FALSE)), 1, 0))</f>
        <v/>
      </c>
      <c r="BU272" s="304" t="str">
        <f t="shared" si="224"/>
        <v/>
      </c>
      <c r="BV272" s="304" t="str">
        <f>IF( $B272="", "", IF( ISNA(VLOOKUP($AN272, TABELAS!$T$2:$T$9,1,FALSE)), 1, 0))</f>
        <v/>
      </c>
      <c r="BW272" s="304" t="str">
        <f t="shared" si="225"/>
        <v/>
      </c>
      <c r="BX272" s="304" t="str">
        <f>IF( OR($B272="", $AH272 = "SIM"), "", IF( ISNA( VLOOKUP( $AQ272, SISTEMA!$B:$B, 1, FALSE)), 1, 0))</f>
        <v/>
      </c>
      <c r="BY272" s="305" t="str">
        <f t="shared" si="226"/>
        <v/>
      </c>
      <c r="BZ272" s="305" t="str">
        <f t="shared" si="227"/>
        <v/>
      </c>
      <c r="CA272" s="304" t="str">
        <f t="shared" si="228"/>
        <v/>
      </c>
      <c r="CB272" s="305" t="str">
        <f t="shared" si="229"/>
        <v/>
      </c>
      <c r="CC272" s="305" t="str">
        <f t="shared" si="230"/>
        <v/>
      </c>
      <c r="CD272" s="305" t="str">
        <f t="shared" si="231"/>
        <v/>
      </c>
    </row>
    <row r="273" spans="1:82" x14ac:dyDescent="0.2">
      <c r="A273" s="235"/>
      <c r="B273" s="236" t="str">
        <f t="shared" si="196"/>
        <v/>
      </c>
      <c r="C273" s="237" t="str">
        <f t="shared" si="186"/>
        <v/>
      </c>
      <c r="D273" s="237" t="str">
        <f t="shared" si="197"/>
        <v/>
      </c>
      <c r="E273" s="237" t="str">
        <f>IF($C273="", "", COUNTIF($M$8:$M273,$D273))</f>
        <v/>
      </c>
      <c r="F273" s="238">
        <v>266</v>
      </c>
      <c r="G273" s="239"/>
      <c r="H273" s="240"/>
      <c r="I273" s="240"/>
      <c r="J273" s="241"/>
      <c r="K273" s="240"/>
      <c r="L273" s="240"/>
      <c r="M273" s="240"/>
      <c r="N273" s="242"/>
      <c r="O273" s="243"/>
      <c r="P273" s="243"/>
      <c r="Q273" s="243"/>
      <c r="R273" s="243"/>
      <c r="S273" s="243"/>
      <c r="T273" s="245"/>
      <c r="U273" s="246" t="str">
        <f>IF($T273="", "", VLOOKUP($T273, CONTRATOS!$B:$E, 2, FALSE))</f>
        <v/>
      </c>
      <c r="V273" s="247">
        <f>IF(OR($T273="",TB_DEFESA!$C$2="Criação Baseline"),0,
   IF(VLOOKUP($T273, CONTRATOS!B:E, 3, FALSE)&lt;&gt;"",1,IF(VLOOKUP($T273, CONTRATOS!B:E, 4, FALSE)&lt;&gt;"",2,0)))</f>
        <v>0</v>
      </c>
      <c r="W273" s="248"/>
      <c r="X273" s="248"/>
      <c r="Y273" s="249"/>
      <c r="Z273" s="250"/>
      <c r="AA273" s="251"/>
      <c r="AB273" s="252"/>
      <c r="AC273" s="253"/>
      <c r="AD273" s="251"/>
      <c r="AE273" s="254" t="str">
        <f t="shared" si="187"/>
        <v/>
      </c>
      <c r="AF273" s="256" t="str">
        <f t="shared" si="198"/>
        <v/>
      </c>
      <c r="AG273" s="293" t="s">
        <v>62</v>
      </c>
      <c r="AH273" s="294" t="str">
        <f t="shared" si="199"/>
        <v/>
      </c>
      <c r="AI273" s="294" t="str">
        <f t="shared" si="200"/>
        <v/>
      </c>
      <c r="AJ273" s="295" t="str">
        <f t="shared" si="201"/>
        <v/>
      </c>
      <c r="AK273" s="296" t="str">
        <f t="shared" si="202"/>
        <v/>
      </c>
      <c r="AL273" s="297" t="str">
        <f t="shared" si="203"/>
        <v/>
      </c>
      <c r="AM273" s="294" t="str">
        <f t="shared" si="204"/>
        <v/>
      </c>
      <c r="AN273" s="294" t="str">
        <f t="shared" si="205"/>
        <v/>
      </c>
      <c r="AO273" s="298" t="str">
        <f t="shared" si="206"/>
        <v/>
      </c>
      <c r="AP273" s="299" t="str">
        <f t="shared" si="207"/>
        <v/>
      </c>
      <c r="AQ273" s="299" t="str">
        <f t="shared" si="208"/>
        <v/>
      </c>
      <c r="AR273" s="300" t="str">
        <f t="shared" si="188"/>
        <v/>
      </c>
      <c r="AS273" s="300" t="str">
        <f t="shared" si="189"/>
        <v/>
      </c>
      <c r="AT273" s="294" t="str">
        <f t="shared" si="190"/>
        <v/>
      </c>
      <c r="AU273" s="301" t="str">
        <f>IF(OR($B273="", $AP273= ""),"",IF(VLOOKUP($AP273, CONTRATOS!B:K,3,FALSE)="","",VLOOKUP($AP273, CONTRATOS!B:K, 3,FALSE)))</f>
        <v/>
      </c>
      <c r="AV273" s="301" t="str">
        <f>IF(OR($B273="", $AP273 = ""), "", IF(VLOOKUP($AP273, CONTRATOS!B:K,4,FALSE)="","",VLOOKUP($AP273, CONTRATOS!B:K,4, FALSE)))</f>
        <v/>
      </c>
      <c r="AW273" s="302" t="str">
        <f t="shared" si="191"/>
        <v/>
      </c>
      <c r="AX273" s="301" t="str">
        <f t="shared" si="192"/>
        <v/>
      </c>
      <c r="AY273" s="301" t="str">
        <f t="shared" si="193"/>
        <v/>
      </c>
      <c r="AZ273" s="301" t="str">
        <f t="shared" si="194"/>
        <v/>
      </c>
      <c r="BA273" s="301" t="str">
        <f t="shared" si="195"/>
        <v/>
      </c>
      <c r="BB273" s="303">
        <f t="shared" si="209"/>
        <v>0</v>
      </c>
      <c r="BC273" s="303" t="str">
        <f t="shared" si="210"/>
        <v/>
      </c>
      <c r="BD273" s="303" t="str">
        <f t="shared" si="211"/>
        <v/>
      </c>
      <c r="BF273" s="304">
        <f t="shared" si="212"/>
        <v>0</v>
      </c>
      <c r="BG273" s="304">
        <f t="shared" si="213"/>
        <v>0</v>
      </c>
      <c r="BH273" s="304" t="str">
        <f>IF( $B273="", "", IF(ISNA(VLOOKUP($C273, Defesa!$C$8:$C$30,1,FALSE)),1,0))</f>
        <v/>
      </c>
      <c r="BI273" s="305" t="str">
        <f t="shared" si="214"/>
        <v/>
      </c>
      <c r="BJ273" s="305" t="str">
        <f t="shared" si="215"/>
        <v/>
      </c>
      <c r="BK273" s="304" t="str">
        <f t="shared" si="216"/>
        <v/>
      </c>
      <c r="BL273" s="304">
        <f t="shared" si="217"/>
        <v>0</v>
      </c>
      <c r="BM273" s="304" t="str">
        <f>IF($AC273="", "", IF(ISNA(VLOOKUP($AC273, TABELAS!$Q:$Q, 1, FALSE)), 1, 0))</f>
        <v/>
      </c>
      <c r="BN273" s="306" t="str">
        <f t="shared" si="218"/>
        <v/>
      </c>
      <c r="BO273" s="304" t="str">
        <f t="shared" si="219"/>
        <v/>
      </c>
      <c r="BP273" s="304" t="str">
        <f t="shared" si="220"/>
        <v/>
      </c>
      <c r="BQ273" s="305" t="str">
        <f t="shared" si="221"/>
        <v/>
      </c>
      <c r="BR273" s="304" t="str">
        <f t="shared" si="222"/>
        <v/>
      </c>
      <c r="BS273" s="304" t="str">
        <f t="shared" si="223"/>
        <v/>
      </c>
      <c r="BT273" s="304" t="str">
        <f>IF(OR($B273="", $AH273 = "SIM"), "", IF( ISNA(VLOOKUP($AP273,#REF!, 1, FALSE)), 1, 0))</f>
        <v/>
      </c>
      <c r="BU273" s="304" t="str">
        <f t="shared" si="224"/>
        <v/>
      </c>
      <c r="BV273" s="304" t="str">
        <f>IF( $B273="", "", IF( ISNA(VLOOKUP($AN273, TABELAS!$T$2:$T$9,1,FALSE)), 1, 0))</f>
        <v/>
      </c>
      <c r="BW273" s="304" t="str">
        <f t="shared" si="225"/>
        <v/>
      </c>
      <c r="BX273" s="304" t="str">
        <f>IF( OR($B273="", $AH273 = "SIM"), "", IF( ISNA( VLOOKUP( $AQ273, SISTEMA!$B:$B, 1, FALSE)), 1, 0))</f>
        <v/>
      </c>
      <c r="BY273" s="305" t="str">
        <f t="shared" si="226"/>
        <v/>
      </c>
      <c r="BZ273" s="305" t="str">
        <f t="shared" si="227"/>
        <v/>
      </c>
      <c r="CA273" s="304" t="str">
        <f t="shared" si="228"/>
        <v/>
      </c>
      <c r="CB273" s="305" t="str">
        <f t="shared" si="229"/>
        <v/>
      </c>
      <c r="CC273" s="305" t="str">
        <f t="shared" si="230"/>
        <v/>
      </c>
      <c r="CD273" s="305" t="str">
        <f t="shared" si="231"/>
        <v/>
      </c>
    </row>
    <row r="274" spans="1:82" x14ac:dyDescent="0.2">
      <c r="A274" s="235"/>
      <c r="B274" s="236" t="str">
        <f t="shared" si="196"/>
        <v/>
      </c>
      <c r="C274" s="237" t="str">
        <f t="shared" si="186"/>
        <v/>
      </c>
      <c r="D274" s="237" t="str">
        <f t="shared" si="197"/>
        <v/>
      </c>
      <c r="E274" s="237" t="str">
        <f>IF($C274="", "", COUNTIF($M$8:$M274,$D274))</f>
        <v/>
      </c>
      <c r="F274" s="238">
        <v>267</v>
      </c>
      <c r="G274" s="239"/>
      <c r="H274" s="240"/>
      <c r="I274" s="240"/>
      <c r="J274" s="241"/>
      <c r="K274" s="240"/>
      <c r="L274" s="240"/>
      <c r="M274" s="240"/>
      <c r="N274" s="242"/>
      <c r="O274" s="243"/>
      <c r="P274" s="243"/>
      <c r="Q274" s="243"/>
      <c r="R274" s="243"/>
      <c r="S274" s="243"/>
      <c r="T274" s="245"/>
      <c r="U274" s="246" t="str">
        <f>IF($T274="", "", VLOOKUP($T274, CONTRATOS!$B:$E, 2, FALSE))</f>
        <v/>
      </c>
      <c r="V274" s="247">
        <f>IF(OR($T274="",TB_DEFESA!$C$2="Criação Baseline"),0,
   IF(VLOOKUP($T274, CONTRATOS!B:E, 3, FALSE)&lt;&gt;"",1,IF(VLOOKUP($T274, CONTRATOS!B:E, 4, FALSE)&lt;&gt;"",2,0)))</f>
        <v>0</v>
      </c>
      <c r="W274" s="248"/>
      <c r="X274" s="248"/>
      <c r="Y274" s="249"/>
      <c r="Z274" s="250"/>
      <c r="AA274" s="251"/>
      <c r="AB274" s="252"/>
      <c r="AC274" s="253"/>
      <c r="AD274" s="251"/>
      <c r="AE274" s="254" t="str">
        <f t="shared" si="187"/>
        <v/>
      </c>
      <c r="AF274" s="256" t="str">
        <f t="shared" si="198"/>
        <v/>
      </c>
      <c r="AG274" s="293" t="s">
        <v>62</v>
      </c>
      <c r="AH274" s="294" t="str">
        <f t="shared" si="199"/>
        <v/>
      </c>
      <c r="AI274" s="294" t="str">
        <f t="shared" si="200"/>
        <v/>
      </c>
      <c r="AJ274" s="295" t="str">
        <f t="shared" si="201"/>
        <v/>
      </c>
      <c r="AK274" s="296" t="str">
        <f t="shared" si="202"/>
        <v/>
      </c>
      <c r="AL274" s="297" t="str">
        <f t="shared" si="203"/>
        <v/>
      </c>
      <c r="AM274" s="294" t="str">
        <f t="shared" si="204"/>
        <v/>
      </c>
      <c r="AN274" s="294" t="str">
        <f t="shared" si="205"/>
        <v/>
      </c>
      <c r="AO274" s="298" t="str">
        <f t="shared" si="206"/>
        <v/>
      </c>
      <c r="AP274" s="299" t="str">
        <f t="shared" si="207"/>
        <v/>
      </c>
      <c r="AQ274" s="299" t="str">
        <f t="shared" si="208"/>
        <v/>
      </c>
      <c r="AR274" s="300" t="str">
        <f t="shared" si="188"/>
        <v/>
      </c>
      <c r="AS274" s="300" t="str">
        <f t="shared" si="189"/>
        <v/>
      </c>
      <c r="AT274" s="294" t="str">
        <f t="shared" si="190"/>
        <v/>
      </c>
      <c r="AU274" s="301" t="str">
        <f>IF(OR($B274="", $AP274= ""),"",IF(VLOOKUP($AP274, CONTRATOS!B:K,3,FALSE)="","",VLOOKUP($AP274, CONTRATOS!B:K, 3,FALSE)))</f>
        <v/>
      </c>
      <c r="AV274" s="301" t="str">
        <f>IF(OR($B274="", $AP274 = ""), "", IF(VLOOKUP($AP274, CONTRATOS!B:K,4,FALSE)="","",VLOOKUP($AP274, CONTRATOS!B:K,4, FALSE)))</f>
        <v/>
      </c>
      <c r="AW274" s="302" t="str">
        <f t="shared" si="191"/>
        <v/>
      </c>
      <c r="AX274" s="301" t="str">
        <f t="shared" si="192"/>
        <v/>
      </c>
      <c r="AY274" s="301" t="str">
        <f t="shared" si="193"/>
        <v/>
      </c>
      <c r="AZ274" s="301" t="str">
        <f t="shared" si="194"/>
        <v/>
      </c>
      <c r="BA274" s="301" t="str">
        <f t="shared" si="195"/>
        <v/>
      </c>
      <c r="BB274" s="303">
        <f t="shared" si="209"/>
        <v>0</v>
      </c>
      <c r="BC274" s="303" t="str">
        <f t="shared" si="210"/>
        <v/>
      </c>
      <c r="BD274" s="303" t="str">
        <f t="shared" si="211"/>
        <v/>
      </c>
      <c r="BF274" s="304">
        <f t="shared" si="212"/>
        <v>0</v>
      </c>
      <c r="BG274" s="304">
        <f t="shared" si="213"/>
        <v>0</v>
      </c>
      <c r="BH274" s="304" t="str">
        <f>IF( $B274="", "", IF(ISNA(VLOOKUP($C274, Defesa!$C$8:$C$30,1,FALSE)),1,0))</f>
        <v/>
      </c>
      <c r="BI274" s="305" t="str">
        <f t="shared" si="214"/>
        <v/>
      </c>
      <c r="BJ274" s="305" t="str">
        <f t="shared" si="215"/>
        <v/>
      </c>
      <c r="BK274" s="304" t="str">
        <f t="shared" si="216"/>
        <v/>
      </c>
      <c r="BL274" s="304">
        <f t="shared" si="217"/>
        <v>0</v>
      </c>
      <c r="BM274" s="304" t="str">
        <f>IF($AC274="", "", IF(ISNA(VLOOKUP($AC274, TABELAS!$Q:$Q, 1, FALSE)), 1, 0))</f>
        <v/>
      </c>
      <c r="BN274" s="306" t="str">
        <f t="shared" si="218"/>
        <v/>
      </c>
      <c r="BO274" s="304" t="str">
        <f t="shared" si="219"/>
        <v/>
      </c>
      <c r="BP274" s="304" t="str">
        <f t="shared" si="220"/>
        <v/>
      </c>
      <c r="BQ274" s="305" t="str">
        <f t="shared" si="221"/>
        <v/>
      </c>
      <c r="BR274" s="304" t="str">
        <f t="shared" si="222"/>
        <v/>
      </c>
      <c r="BS274" s="304" t="str">
        <f t="shared" si="223"/>
        <v/>
      </c>
      <c r="BT274" s="304" t="str">
        <f>IF(OR($B274="", $AH274 = "SIM"), "", IF( ISNA(VLOOKUP($AP274,#REF!, 1, FALSE)), 1, 0))</f>
        <v/>
      </c>
      <c r="BU274" s="304" t="str">
        <f t="shared" si="224"/>
        <v/>
      </c>
      <c r="BV274" s="304" t="str">
        <f>IF( $B274="", "", IF( ISNA(VLOOKUP($AN274, TABELAS!$T$2:$T$9,1,FALSE)), 1, 0))</f>
        <v/>
      </c>
      <c r="BW274" s="304" t="str">
        <f t="shared" si="225"/>
        <v/>
      </c>
      <c r="BX274" s="304" t="str">
        <f>IF( OR($B274="", $AH274 = "SIM"), "", IF( ISNA( VLOOKUP( $AQ274, SISTEMA!$B:$B, 1, FALSE)), 1, 0))</f>
        <v/>
      </c>
      <c r="BY274" s="305" t="str">
        <f t="shared" si="226"/>
        <v/>
      </c>
      <c r="BZ274" s="305" t="str">
        <f t="shared" si="227"/>
        <v/>
      </c>
      <c r="CA274" s="304" t="str">
        <f t="shared" si="228"/>
        <v/>
      </c>
      <c r="CB274" s="305" t="str">
        <f t="shared" si="229"/>
        <v/>
      </c>
      <c r="CC274" s="305" t="str">
        <f t="shared" si="230"/>
        <v/>
      </c>
      <c r="CD274" s="305" t="str">
        <f t="shared" si="231"/>
        <v/>
      </c>
    </row>
    <row r="275" spans="1:82" x14ac:dyDescent="0.2">
      <c r="A275" s="235"/>
      <c r="B275" s="236" t="str">
        <f t="shared" si="196"/>
        <v/>
      </c>
      <c r="C275" s="237" t="str">
        <f t="shared" si="186"/>
        <v/>
      </c>
      <c r="D275" s="237" t="str">
        <f t="shared" si="197"/>
        <v/>
      </c>
      <c r="E275" s="237" t="str">
        <f>IF($C275="", "", COUNTIF($M$8:$M275,$D275))</f>
        <v/>
      </c>
      <c r="F275" s="238">
        <v>268</v>
      </c>
      <c r="G275" s="239"/>
      <c r="H275" s="240"/>
      <c r="I275" s="240"/>
      <c r="J275" s="241"/>
      <c r="K275" s="240"/>
      <c r="L275" s="240"/>
      <c r="M275" s="240"/>
      <c r="N275" s="242"/>
      <c r="O275" s="243"/>
      <c r="P275" s="243"/>
      <c r="Q275" s="243"/>
      <c r="R275" s="243"/>
      <c r="S275" s="243"/>
      <c r="T275" s="245"/>
      <c r="U275" s="246" t="str">
        <f>IF($T275="", "", VLOOKUP($T275, CONTRATOS!$B:$E, 2, FALSE))</f>
        <v/>
      </c>
      <c r="V275" s="247">
        <f>IF(OR($T275="",TB_DEFESA!$C$2="Criação Baseline"),0,
   IF(VLOOKUP($T275, CONTRATOS!B:E, 3, FALSE)&lt;&gt;"",1,IF(VLOOKUP($T275, CONTRATOS!B:E, 4, FALSE)&lt;&gt;"",2,0)))</f>
        <v>0</v>
      </c>
      <c r="W275" s="248"/>
      <c r="X275" s="248"/>
      <c r="Y275" s="249"/>
      <c r="Z275" s="250"/>
      <c r="AA275" s="251"/>
      <c r="AB275" s="252"/>
      <c r="AC275" s="253"/>
      <c r="AD275" s="251"/>
      <c r="AE275" s="254" t="str">
        <f t="shared" si="187"/>
        <v/>
      </c>
      <c r="AF275" s="256" t="str">
        <f t="shared" si="198"/>
        <v/>
      </c>
      <c r="AG275" s="293" t="s">
        <v>62</v>
      </c>
      <c r="AH275" s="294" t="str">
        <f t="shared" si="199"/>
        <v/>
      </c>
      <c r="AI275" s="294" t="str">
        <f t="shared" si="200"/>
        <v/>
      </c>
      <c r="AJ275" s="295" t="str">
        <f t="shared" si="201"/>
        <v/>
      </c>
      <c r="AK275" s="296" t="str">
        <f t="shared" si="202"/>
        <v/>
      </c>
      <c r="AL275" s="297" t="str">
        <f t="shared" si="203"/>
        <v/>
      </c>
      <c r="AM275" s="294" t="str">
        <f t="shared" si="204"/>
        <v/>
      </c>
      <c r="AN275" s="294" t="str">
        <f t="shared" si="205"/>
        <v/>
      </c>
      <c r="AO275" s="298" t="str">
        <f t="shared" si="206"/>
        <v/>
      </c>
      <c r="AP275" s="299" t="str">
        <f t="shared" si="207"/>
        <v/>
      </c>
      <c r="AQ275" s="299" t="str">
        <f t="shared" si="208"/>
        <v/>
      </c>
      <c r="AR275" s="300" t="str">
        <f t="shared" si="188"/>
        <v/>
      </c>
      <c r="AS275" s="300" t="str">
        <f t="shared" si="189"/>
        <v/>
      </c>
      <c r="AT275" s="294" t="str">
        <f t="shared" si="190"/>
        <v/>
      </c>
      <c r="AU275" s="301" t="str">
        <f>IF(OR($B275="", $AP275= ""),"",IF(VLOOKUP($AP275, CONTRATOS!B:K,3,FALSE)="","",VLOOKUP($AP275, CONTRATOS!B:K, 3,FALSE)))</f>
        <v/>
      </c>
      <c r="AV275" s="301" t="str">
        <f>IF(OR($B275="", $AP275 = ""), "", IF(VLOOKUP($AP275, CONTRATOS!B:K,4,FALSE)="","",VLOOKUP($AP275, CONTRATOS!B:K,4, FALSE)))</f>
        <v/>
      </c>
      <c r="AW275" s="302" t="str">
        <f t="shared" si="191"/>
        <v/>
      </c>
      <c r="AX275" s="301" t="str">
        <f t="shared" si="192"/>
        <v/>
      </c>
      <c r="AY275" s="301" t="str">
        <f t="shared" si="193"/>
        <v/>
      </c>
      <c r="AZ275" s="301" t="str">
        <f t="shared" si="194"/>
        <v/>
      </c>
      <c r="BA275" s="301" t="str">
        <f t="shared" si="195"/>
        <v/>
      </c>
      <c r="BB275" s="303">
        <f t="shared" si="209"/>
        <v>0</v>
      </c>
      <c r="BC275" s="303" t="str">
        <f t="shared" si="210"/>
        <v/>
      </c>
      <c r="BD275" s="303" t="str">
        <f t="shared" si="211"/>
        <v/>
      </c>
      <c r="BF275" s="304">
        <f t="shared" si="212"/>
        <v>0</v>
      </c>
      <c r="BG275" s="304">
        <f t="shared" si="213"/>
        <v>0</v>
      </c>
      <c r="BH275" s="304" t="str">
        <f>IF( $B275="", "", IF(ISNA(VLOOKUP($C275, Defesa!$C$8:$C$30,1,FALSE)),1,0))</f>
        <v/>
      </c>
      <c r="BI275" s="305" t="str">
        <f t="shared" si="214"/>
        <v/>
      </c>
      <c r="BJ275" s="305" t="str">
        <f t="shared" si="215"/>
        <v/>
      </c>
      <c r="BK275" s="304" t="str">
        <f t="shared" si="216"/>
        <v/>
      </c>
      <c r="BL275" s="304">
        <f t="shared" si="217"/>
        <v>0</v>
      </c>
      <c r="BM275" s="304" t="str">
        <f>IF($AC275="", "", IF(ISNA(VLOOKUP($AC275, TABELAS!$Q:$Q, 1, FALSE)), 1, 0))</f>
        <v/>
      </c>
      <c r="BN275" s="306" t="str">
        <f t="shared" si="218"/>
        <v/>
      </c>
      <c r="BO275" s="304" t="str">
        <f t="shared" si="219"/>
        <v/>
      </c>
      <c r="BP275" s="304" t="str">
        <f t="shared" si="220"/>
        <v/>
      </c>
      <c r="BQ275" s="305" t="str">
        <f t="shared" si="221"/>
        <v/>
      </c>
      <c r="BR275" s="304" t="str">
        <f t="shared" si="222"/>
        <v/>
      </c>
      <c r="BS275" s="304" t="str">
        <f t="shared" si="223"/>
        <v/>
      </c>
      <c r="BT275" s="304" t="str">
        <f>IF(OR($B275="", $AH275 = "SIM"), "", IF( ISNA(VLOOKUP($AP275,#REF!, 1, FALSE)), 1, 0))</f>
        <v/>
      </c>
      <c r="BU275" s="304" t="str">
        <f t="shared" si="224"/>
        <v/>
      </c>
      <c r="BV275" s="304" t="str">
        <f>IF( $B275="", "", IF( ISNA(VLOOKUP($AN275, TABELAS!$T$2:$T$9,1,FALSE)), 1, 0))</f>
        <v/>
      </c>
      <c r="BW275" s="304" t="str">
        <f t="shared" si="225"/>
        <v/>
      </c>
      <c r="BX275" s="304" t="str">
        <f>IF( OR($B275="", $AH275 = "SIM"), "", IF( ISNA( VLOOKUP( $AQ275, SISTEMA!$B:$B, 1, FALSE)), 1, 0))</f>
        <v/>
      </c>
      <c r="BY275" s="305" t="str">
        <f t="shared" si="226"/>
        <v/>
      </c>
      <c r="BZ275" s="305" t="str">
        <f t="shared" si="227"/>
        <v/>
      </c>
      <c r="CA275" s="304" t="str">
        <f t="shared" si="228"/>
        <v/>
      </c>
      <c r="CB275" s="305" t="str">
        <f t="shared" si="229"/>
        <v/>
      </c>
      <c r="CC275" s="305" t="str">
        <f t="shared" si="230"/>
        <v/>
      </c>
      <c r="CD275" s="305" t="str">
        <f t="shared" si="231"/>
        <v/>
      </c>
    </row>
    <row r="276" spans="1:82" x14ac:dyDescent="0.2">
      <c r="A276" s="235"/>
      <c r="B276" s="236" t="str">
        <f t="shared" si="196"/>
        <v/>
      </c>
      <c r="C276" s="237" t="str">
        <f t="shared" si="186"/>
        <v/>
      </c>
      <c r="D276" s="237" t="str">
        <f t="shared" si="197"/>
        <v/>
      </c>
      <c r="E276" s="237" t="str">
        <f>IF($C276="", "", COUNTIF($M$8:$M276,$D276))</f>
        <v/>
      </c>
      <c r="F276" s="238">
        <v>269</v>
      </c>
      <c r="G276" s="239"/>
      <c r="H276" s="240"/>
      <c r="I276" s="240"/>
      <c r="J276" s="241"/>
      <c r="K276" s="240"/>
      <c r="L276" s="240"/>
      <c r="M276" s="240"/>
      <c r="N276" s="242"/>
      <c r="O276" s="243"/>
      <c r="P276" s="243"/>
      <c r="Q276" s="243"/>
      <c r="R276" s="243"/>
      <c r="S276" s="243"/>
      <c r="T276" s="245"/>
      <c r="U276" s="246" t="str">
        <f>IF($T276="", "", VLOOKUP($T276, CONTRATOS!$B:$E, 2, FALSE))</f>
        <v/>
      </c>
      <c r="V276" s="247">
        <f>IF(OR($T276="",TB_DEFESA!$C$2="Criação Baseline"),0,
   IF(VLOOKUP($T276, CONTRATOS!B:E, 3, FALSE)&lt;&gt;"",1,IF(VLOOKUP($T276, CONTRATOS!B:E, 4, FALSE)&lt;&gt;"",2,0)))</f>
        <v>0</v>
      </c>
      <c r="W276" s="248"/>
      <c r="X276" s="248"/>
      <c r="Y276" s="249"/>
      <c r="Z276" s="250"/>
      <c r="AA276" s="251"/>
      <c r="AB276" s="252"/>
      <c r="AC276" s="253"/>
      <c r="AD276" s="251"/>
      <c r="AE276" s="254" t="str">
        <f t="shared" si="187"/>
        <v/>
      </c>
      <c r="AF276" s="256" t="str">
        <f t="shared" si="198"/>
        <v/>
      </c>
      <c r="AG276" s="293" t="s">
        <v>62</v>
      </c>
      <c r="AH276" s="294" t="str">
        <f t="shared" si="199"/>
        <v/>
      </c>
      <c r="AI276" s="294" t="str">
        <f t="shared" si="200"/>
        <v/>
      </c>
      <c r="AJ276" s="295" t="str">
        <f t="shared" si="201"/>
        <v/>
      </c>
      <c r="AK276" s="296" t="str">
        <f t="shared" si="202"/>
        <v/>
      </c>
      <c r="AL276" s="297" t="str">
        <f t="shared" si="203"/>
        <v/>
      </c>
      <c r="AM276" s="294" t="str">
        <f t="shared" si="204"/>
        <v/>
      </c>
      <c r="AN276" s="294" t="str">
        <f t="shared" si="205"/>
        <v/>
      </c>
      <c r="AO276" s="298" t="str">
        <f t="shared" si="206"/>
        <v/>
      </c>
      <c r="AP276" s="299" t="str">
        <f t="shared" si="207"/>
        <v/>
      </c>
      <c r="AQ276" s="299" t="str">
        <f t="shared" si="208"/>
        <v/>
      </c>
      <c r="AR276" s="300" t="str">
        <f t="shared" si="188"/>
        <v/>
      </c>
      <c r="AS276" s="300" t="str">
        <f t="shared" si="189"/>
        <v/>
      </c>
      <c r="AT276" s="294" t="str">
        <f t="shared" si="190"/>
        <v/>
      </c>
      <c r="AU276" s="301" t="str">
        <f>IF(OR($B276="", $AP276= ""),"",IF(VLOOKUP($AP276, CONTRATOS!B:K,3,FALSE)="","",VLOOKUP($AP276, CONTRATOS!B:K, 3,FALSE)))</f>
        <v/>
      </c>
      <c r="AV276" s="301" t="str">
        <f>IF(OR($B276="", $AP276 = ""), "", IF(VLOOKUP($AP276, CONTRATOS!B:K,4,FALSE)="","",VLOOKUP($AP276, CONTRATOS!B:K,4, FALSE)))</f>
        <v/>
      </c>
      <c r="AW276" s="302" t="str">
        <f t="shared" si="191"/>
        <v/>
      </c>
      <c r="AX276" s="301" t="str">
        <f t="shared" si="192"/>
        <v/>
      </c>
      <c r="AY276" s="301" t="str">
        <f t="shared" si="193"/>
        <v/>
      </c>
      <c r="AZ276" s="301" t="str">
        <f t="shared" si="194"/>
        <v/>
      </c>
      <c r="BA276" s="301" t="str">
        <f t="shared" si="195"/>
        <v/>
      </c>
      <c r="BB276" s="303">
        <f t="shared" si="209"/>
        <v>0</v>
      </c>
      <c r="BC276" s="303" t="str">
        <f t="shared" si="210"/>
        <v/>
      </c>
      <c r="BD276" s="303" t="str">
        <f t="shared" si="211"/>
        <v/>
      </c>
      <c r="BF276" s="304">
        <f t="shared" si="212"/>
        <v>0</v>
      </c>
      <c r="BG276" s="304">
        <f t="shared" si="213"/>
        <v>0</v>
      </c>
      <c r="BH276" s="304" t="str">
        <f>IF( $B276="", "", IF(ISNA(VLOOKUP($C276, Defesa!$C$8:$C$30,1,FALSE)),1,0))</f>
        <v/>
      </c>
      <c r="BI276" s="305" t="str">
        <f t="shared" si="214"/>
        <v/>
      </c>
      <c r="BJ276" s="305" t="str">
        <f t="shared" si="215"/>
        <v/>
      </c>
      <c r="BK276" s="304" t="str">
        <f t="shared" si="216"/>
        <v/>
      </c>
      <c r="BL276" s="304">
        <f t="shared" si="217"/>
        <v>0</v>
      </c>
      <c r="BM276" s="304" t="str">
        <f>IF($AC276="", "", IF(ISNA(VLOOKUP($AC276, TABELAS!$Q:$Q, 1, FALSE)), 1, 0))</f>
        <v/>
      </c>
      <c r="BN276" s="306" t="str">
        <f t="shared" si="218"/>
        <v/>
      </c>
      <c r="BO276" s="304" t="str">
        <f t="shared" si="219"/>
        <v/>
      </c>
      <c r="BP276" s="304" t="str">
        <f t="shared" si="220"/>
        <v/>
      </c>
      <c r="BQ276" s="305" t="str">
        <f t="shared" si="221"/>
        <v/>
      </c>
      <c r="BR276" s="304" t="str">
        <f t="shared" si="222"/>
        <v/>
      </c>
      <c r="BS276" s="304" t="str">
        <f t="shared" si="223"/>
        <v/>
      </c>
      <c r="BT276" s="304" t="str">
        <f>IF(OR($B276="", $AH276 = "SIM"), "", IF( ISNA(VLOOKUP($AP276,#REF!, 1, FALSE)), 1, 0))</f>
        <v/>
      </c>
      <c r="BU276" s="304" t="str">
        <f t="shared" si="224"/>
        <v/>
      </c>
      <c r="BV276" s="304" t="str">
        <f>IF( $B276="", "", IF( ISNA(VLOOKUP($AN276, TABELAS!$T$2:$T$9,1,FALSE)), 1, 0))</f>
        <v/>
      </c>
      <c r="BW276" s="304" t="str">
        <f t="shared" si="225"/>
        <v/>
      </c>
      <c r="BX276" s="304" t="str">
        <f>IF( OR($B276="", $AH276 = "SIM"), "", IF( ISNA( VLOOKUP( $AQ276, SISTEMA!$B:$B, 1, FALSE)), 1, 0))</f>
        <v/>
      </c>
      <c r="BY276" s="305" t="str">
        <f t="shared" si="226"/>
        <v/>
      </c>
      <c r="BZ276" s="305" t="str">
        <f t="shared" si="227"/>
        <v/>
      </c>
      <c r="CA276" s="304" t="str">
        <f t="shared" si="228"/>
        <v/>
      </c>
      <c r="CB276" s="305" t="str">
        <f t="shared" si="229"/>
        <v/>
      </c>
      <c r="CC276" s="305" t="str">
        <f t="shared" si="230"/>
        <v/>
      </c>
      <c r="CD276" s="305" t="str">
        <f t="shared" si="231"/>
        <v/>
      </c>
    </row>
    <row r="277" spans="1:82" x14ac:dyDescent="0.2">
      <c r="A277" s="235"/>
      <c r="B277" s="236" t="str">
        <f t="shared" si="196"/>
        <v/>
      </c>
      <c r="C277" s="237" t="str">
        <f t="shared" si="186"/>
        <v/>
      </c>
      <c r="D277" s="237" t="str">
        <f t="shared" si="197"/>
        <v/>
      </c>
      <c r="E277" s="237" t="str">
        <f>IF($C277="", "", COUNTIF($M$8:$M277,$D277))</f>
        <v/>
      </c>
      <c r="F277" s="238">
        <v>270</v>
      </c>
      <c r="G277" s="239"/>
      <c r="H277" s="240"/>
      <c r="I277" s="240"/>
      <c r="J277" s="241"/>
      <c r="K277" s="240"/>
      <c r="L277" s="240"/>
      <c r="M277" s="240"/>
      <c r="N277" s="242"/>
      <c r="O277" s="243"/>
      <c r="P277" s="243"/>
      <c r="Q277" s="243"/>
      <c r="R277" s="243"/>
      <c r="S277" s="243"/>
      <c r="T277" s="245"/>
      <c r="U277" s="246" t="str">
        <f>IF($T277="", "", VLOOKUP($T277, CONTRATOS!$B:$E, 2, FALSE))</f>
        <v/>
      </c>
      <c r="V277" s="247">
        <f>IF(OR($T277="",TB_DEFESA!$C$2="Criação Baseline"),0,
   IF(VLOOKUP($T277, CONTRATOS!B:E, 3, FALSE)&lt;&gt;"",1,IF(VLOOKUP($T277, CONTRATOS!B:E, 4, FALSE)&lt;&gt;"",2,0)))</f>
        <v>0</v>
      </c>
      <c r="W277" s="248"/>
      <c r="X277" s="248"/>
      <c r="Y277" s="249"/>
      <c r="Z277" s="250"/>
      <c r="AA277" s="251"/>
      <c r="AB277" s="252"/>
      <c r="AC277" s="253"/>
      <c r="AD277" s="251"/>
      <c r="AE277" s="254" t="str">
        <f t="shared" si="187"/>
        <v/>
      </c>
      <c r="AF277" s="256" t="str">
        <f t="shared" si="198"/>
        <v/>
      </c>
      <c r="AG277" s="293" t="s">
        <v>62</v>
      </c>
      <c r="AH277" s="294" t="str">
        <f t="shared" si="199"/>
        <v/>
      </c>
      <c r="AI277" s="294" t="str">
        <f t="shared" si="200"/>
        <v/>
      </c>
      <c r="AJ277" s="295" t="str">
        <f t="shared" si="201"/>
        <v/>
      </c>
      <c r="AK277" s="296" t="str">
        <f t="shared" si="202"/>
        <v/>
      </c>
      <c r="AL277" s="297" t="str">
        <f t="shared" si="203"/>
        <v/>
      </c>
      <c r="AM277" s="294" t="str">
        <f t="shared" si="204"/>
        <v/>
      </c>
      <c r="AN277" s="294" t="str">
        <f t="shared" si="205"/>
        <v/>
      </c>
      <c r="AO277" s="298" t="str">
        <f t="shared" si="206"/>
        <v/>
      </c>
      <c r="AP277" s="299" t="str">
        <f t="shared" si="207"/>
        <v/>
      </c>
      <c r="AQ277" s="299" t="str">
        <f t="shared" si="208"/>
        <v/>
      </c>
      <c r="AR277" s="300" t="str">
        <f t="shared" si="188"/>
        <v/>
      </c>
      <c r="AS277" s="300" t="str">
        <f t="shared" si="189"/>
        <v/>
      </c>
      <c r="AT277" s="294" t="str">
        <f t="shared" si="190"/>
        <v/>
      </c>
      <c r="AU277" s="301" t="str">
        <f>IF(OR($B277="", $AP277= ""),"",IF(VLOOKUP($AP277, CONTRATOS!B:K,3,FALSE)="","",VLOOKUP($AP277, CONTRATOS!B:K, 3,FALSE)))</f>
        <v/>
      </c>
      <c r="AV277" s="301" t="str">
        <f>IF(OR($B277="", $AP277 = ""), "", IF(VLOOKUP($AP277, CONTRATOS!B:K,4,FALSE)="","",VLOOKUP($AP277, CONTRATOS!B:K,4, FALSE)))</f>
        <v/>
      </c>
      <c r="AW277" s="302" t="str">
        <f t="shared" si="191"/>
        <v/>
      </c>
      <c r="AX277" s="301" t="str">
        <f t="shared" si="192"/>
        <v/>
      </c>
      <c r="AY277" s="301" t="str">
        <f t="shared" si="193"/>
        <v/>
      </c>
      <c r="AZ277" s="301" t="str">
        <f t="shared" si="194"/>
        <v/>
      </c>
      <c r="BA277" s="301" t="str">
        <f t="shared" si="195"/>
        <v/>
      </c>
      <c r="BB277" s="303">
        <f t="shared" si="209"/>
        <v>0</v>
      </c>
      <c r="BC277" s="303" t="str">
        <f t="shared" si="210"/>
        <v/>
      </c>
      <c r="BD277" s="303" t="str">
        <f t="shared" si="211"/>
        <v/>
      </c>
      <c r="BF277" s="304">
        <f t="shared" si="212"/>
        <v>0</v>
      </c>
      <c r="BG277" s="304">
        <f t="shared" si="213"/>
        <v>0</v>
      </c>
      <c r="BH277" s="304" t="str">
        <f>IF( $B277="", "", IF(ISNA(VLOOKUP($C277, Defesa!$C$8:$C$30,1,FALSE)),1,0))</f>
        <v/>
      </c>
      <c r="BI277" s="305" t="str">
        <f t="shared" si="214"/>
        <v/>
      </c>
      <c r="BJ277" s="305" t="str">
        <f t="shared" si="215"/>
        <v/>
      </c>
      <c r="BK277" s="304" t="str">
        <f t="shared" si="216"/>
        <v/>
      </c>
      <c r="BL277" s="304">
        <f t="shared" si="217"/>
        <v>0</v>
      </c>
      <c r="BM277" s="304" t="str">
        <f>IF($AC277="", "", IF(ISNA(VLOOKUP($AC277, TABELAS!$Q:$Q, 1, FALSE)), 1, 0))</f>
        <v/>
      </c>
      <c r="BN277" s="306" t="str">
        <f t="shared" si="218"/>
        <v/>
      </c>
      <c r="BO277" s="304" t="str">
        <f t="shared" si="219"/>
        <v/>
      </c>
      <c r="BP277" s="304" t="str">
        <f t="shared" si="220"/>
        <v/>
      </c>
      <c r="BQ277" s="305" t="str">
        <f t="shared" si="221"/>
        <v/>
      </c>
      <c r="BR277" s="304" t="str">
        <f t="shared" si="222"/>
        <v/>
      </c>
      <c r="BS277" s="304" t="str">
        <f t="shared" si="223"/>
        <v/>
      </c>
      <c r="BT277" s="304" t="str">
        <f>IF(OR($B277="", $AH277 = "SIM"), "", IF( ISNA(VLOOKUP($AP277,#REF!, 1, FALSE)), 1, 0))</f>
        <v/>
      </c>
      <c r="BU277" s="304" t="str">
        <f t="shared" si="224"/>
        <v/>
      </c>
      <c r="BV277" s="304" t="str">
        <f>IF( $B277="", "", IF( ISNA(VLOOKUP($AN277, TABELAS!$T$2:$T$9,1,FALSE)), 1, 0))</f>
        <v/>
      </c>
      <c r="BW277" s="304" t="str">
        <f t="shared" si="225"/>
        <v/>
      </c>
      <c r="BX277" s="304" t="str">
        <f>IF( OR($B277="", $AH277 = "SIM"), "", IF( ISNA( VLOOKUP( $AQ277, SISTEMA!$B:$B, 1, FALSE)), 1, 0))</f>
        <v/>
      </c>
      <c r="BY277" s="305" t="str">
        <f t="shared" si="226"/>
        <v/>
      </c>
      <c r="BZ277" s="305" t="str">
        <f t="shared" si="227"/>
        <v/>
      </c>
      <c r="CA277" s="304" t="str">
        <f t="shared" si="228"/>
        <v/>
      </c>
      <c r="CB277" s="305" t="str">
        <f t="shared" si="229"/>
        <v/>
      </c>
      <c r="CC277" s="305" t="str">
        <f t="shared" si="230"/>
        <v/>
      </c>
      <c r="CD277" s="305" t="str">
        <f t="shared" si="231"/>
        <v/>
      </c>
    </row>
    <row r="278" spans="1:82" x14ac:dyDescent="0.2">
      <c r="A278" s="235"/>
      <c r="B278" s="236" t="str">
        <f t="shared" si="196"/>
        <v/>
      </c>
      <c r="C278" s="237" t="str">
        <f t="shared" si="186"/>
        <v/>
      </c>
      <c r="D278" s="237" t="str">
        <f t="shared" si="197"/>
        <v/>
      </c>
      <c r="E278" s="237" t="str">
        <f>IF($C278="", "", COUNTIF($M$8:$M278,$D278))</f>
        <v/>
      </c>
      <c r="F278" s="238">
        <v>271</v>
      </c>
      <c r="G278" s="239"/>
      <c r="H278" s="240"/>
      <c r="I278" s="240"/>
      <c r="J278" s="241"/>
      <c r="K278" s="240"/>
      <c r="L278" s="240"/>
      <c r="M278" s="240"/>
      <c r="N278" s="242"/>
      <c r="O278" s="243"/>
      <c r="P278" s="243"/>
      <c r="Q278" s="243"/>
      <c r="R278" s="243"/>
      <c r="S278" s="243"/>
      <c r="T278" s="245"/>
      <c r="U278" s="246" t="str">
        <f>IF($T278="", "", VLOOKUP($T278, CONTRATOS!$B:$E, 2, FALSE))</f>
        <v/>
      </c>
      <c r="V278" s="247">
        <f>IF(OR($T278="",TB_DEFESA!$C$2="Criação Baseline"),0,
   IF(VLOOKUP($T278, CONTRATOS!B:E, 3, FALSE)&lt;&gt;"",1,IF(VLOOKUP($T278, CONTRATOS!B:E, 4, FALSE)&lt;&gt;"",2,0)))</f>
        <v>0</v>
      </c>
      <c r="W278" s="248"/>
      <c r="X278" s="248"/>
      <c r="Y278" s="249"/>
      <c r="Z278" s="250"/>
      <c r="AA278" s="251"/>
      <c r="AB278" s="252"/>
      <c r="AC278" s="253"/>
      <c r="AD278" s="251"/>
      <c r="AE278" s="254" t="str">
        <f t="shared" si="187"/>
        <v/>
      </c>
      <c r="AF278" s="256" t="str">
        <f t="shared" si="198"/>
        <v/>
      </c>
      <c r="AG278" s="293" t="s">
        <v>62</v>
      </c>
      <c r="AH278" s="294" t="str">
        <f t="shared" si="199"/>
        <v/>
      </c>
      <c r="AI278" s="294" t="str">
        <f t="shared" si="200"/>
        <v/>
      </c>
      <c r="AJ278" s="295" t="str">
        <f t="shared" si="201"/>
        <v/>
      </c>
      <c r="AK278" s="296" t="str">
        <f t="shared" si="202"/>
        <v/>
      </c>
      <c r="AL278" s="297" t="str">
        <f t="shared" si="203"/>
        <v/>
      </c>
      <c r="AM278" s="294" t="str">
        <f t="shared" si="204"/>
        <v/>
      </c>
      <c r="AN278" s="294" t="str">
        <f t="shared" si="205"/>
        <v/>
      </c>
      <c r="AO278" s="298" t="str">
        <f t="shared" si="206"/>
        <v/>
      </c>
      <c r="AP278" s="299" t="str">
        <f t="shared" si="207"/>
        <v/>
      </c>
      <c r="AQ278" s="299" t="str">
        <f t="shared" si="208"/>
        <v/>
      </c>
      <c r="AR278" s="300" t="str">
        <f t="shared" si="188"/>
        <v/>
      </c>
      <c r="AS278" s="300" t="str">
        <f t="shared" si="189"/>
        <v/>
      </c>
      <c r="AT278" s="294" t="str">
        <f t="shared" si="190"/>
        <v/>
      </c>
      <c r="AU278" s="301" t="str">
        <f>IF(OR($B278="", $AP278= ""),"",IF(VLOOKUP($AP278, CONTRATOS!B:K,3,FALSE)="","",VLOOKUP($AP278, CONTRATOS!B:K, 3,FALSE)))</f>
        <v/>
      </c>
      <c r="AV278" s="301" t="str">
        <f>IF(OR($B278="", $AP278 = ""), "", IF(VLOOKUP($AP278, CONTRATOS!B:K,4,FALSE)="","",VLOOKUP($AP278, CONTRATOS!B:K,4, FALSE)))</f>
        <v/>
      </c>
      <c r="AW278" s="302" t="str">
        <f t="shared" si="191"/>
        <v/>
      </c>
      <c r="AX278" s="301" t="str">
        <f t="shared" si="192"/>
        <v/>
      </c>
      <c r="AY278" s="301" t="str">
        <f t="shared" si="193"/>
        <v/>
      </c>
      <c r="AZ278" s="301" t="str">
        <f t="shared" si="194"/>
        <v/>
      </c>
      <c r="BA278" s="301" t="str">
        <f t="shared" si="195"/>
        <v/>
      </c>
      <c r="BB278" s="303">
        <f t="shared" si="209"/>
        <v>0</v>
      </c>
      <c r="BC278" s="303" t="str">
        <f t="shared" si="210"/>
        <v/>
      </c>
      <c r="BD278" s="303" t="str">
        <f t="shared" si="211"/>
        <v/>
      </c>
      <c r="BF278" s="304">
        <f t="shared" si="212"/>
        <v>0</v>
      </c>
      <c r="BG278" s="304">
        <f t="shared" si="213"/>
        <v>0</v>
      </c>
      <c r="BH278" s="304" t="str">
        <f>IF( $B278="", "", IF(ISNA(VLOOKUP($C278, Defesa!$C$8:$C$30,1,FALSE)),1,0))</f>
        <v/>
      </c>
      <c r="BI278" s="305" t="str">
        <f t="shared" si="214"/>
        <v/>
      </c>
      <c r="BJ278" s="305" t="str">
        <f t="shared" si="215"/>
        <v/>
      </c>
      <c r="BK278" s="304" t="str">
        <f t="shared" si="216"/>
        <v/>
      </c>
      <c r="BL278" s="304">
        <f t="shared" si="217"/>
        <v>0</v>
      </c>
      <c r="BM278" s="304" t="str">
        <f>IF($AC278="", "", IF(ISNA(VLOOKUP($AC278, TABELAS!$Q:$Q, 1, FALSE)), 1, 0))</f>
        <v/>
      </c>
      <c r="BN278" s="306" t="str">
        <f t="shared" si="218"/>
        <v/>
      </c>
      <c r="BO278" s="304" t="str">
        <f t="shared" si="219"/>
        <v/>
      </c>
      <c r="BP278" s="304" t="str">
        <f t="shared" si="220"/>
        <v/>
      </c>
      <c r="BQ278" s="305" t="str">
        <f t="shared" si="221"/>
        <v/>
      </c>
      <c r="BR278" s="304" t="str">
        <f t="shared" si="222"/>
        <v/>
      </c>
      <c r="BS278" s="304" t="str">
        <f t="shared" si="223"/>
        <v/>
      </c>
      <c r="BT278" s="304" t="str">
        <f>IF(OR($B278="", $AH278 = "SIM"), "", IF( ISNA(VLOOKUP($AP278,#REF!, 1, FALSE)), 1, 0))</f>
        <v/>
      </c>
      <c r="BU278" s="304" t="str">
        <f t="shared" si="224"/>
        <v/>
      </c>
      <c r="BV278" s="304" t="str">
        <f>IF( $B278="", "", IF( ISNA(VLOOKUP($AN278, TABELAS!$T$2:$T$9,1,FALSE)), 1, 0))</f>
        <v/>
      </c>
      <c r="BW278" s="304" t="str">
        <f t="shared" si="225"/>
        <v/>
      </c>
      <c r="BX278" s="304" t="str">
        <f>IF( OR($B278="", $AH278 = "SIM"), "", IF( ISNA( VLOOKUP( $AQ278, SISTEMA!$B:$B, 1, FALSE)), 1, 0))</f>
        <v/>
      </c>
      <c r="BY278" s="305" t="str">
        <f t="shared" si="226"/>
        <v/>
      </c>
      <c r="BZ278" s="305" t="str">
        <f t="shared" si="227"/>
        <v/>
      </c>
      <c r="CA278" s="304" t="str">
        <f t="shared" si="228"/>
        <v/>
      </c>
      <c r="CB278" s="305" t="str">
        <f t="shared" si="229"/>
        <v/>
      </c>
      <c r="CC278" s="305" t="str">
        <f t="shared" si="230"/>
        <v/>
      </c>
      <c r="CD278" s="305" t="str">
        <f t="shared" si="231"/>
        <v/>
      </c>
    </row>
    <row r="279" spans="1:82" x14ac:dyDescent="0.2">
      <c r="A279" s="235"/>
      <c r="B279" s="236" t="str">
        <f t="shared" si="196"/>
        <v/>
      </c>
      <c r="C279" s="237" t="str">
        <f t="shared" si="186"/>
        <v/>
      </c>
      <c r="D279" s="237" t="str">
        <f t="shared" si="197"/>
        <v/>
      </c>
      <c r="E279" s="237" t="str">
        <f>IF($C279="", "", COUNTIF($M$8:$M279,$D279))</f>
        <v/>
      </c>
      <c r="F279" s="238">
        <v>272</v>
      </c>
      <c r="G279" s="239"/>
      <c r="H279" s="240"/>
      <c r="I279" s="240"/>
      <c r="J279" s="241"/>
      <c r="K279" s="240"/>
      <c r="L279" s="240"/>
      <c r="M279" s="240"/>
      <c r="N279" s="242"/>
      <c r="O279" s="243"/>
      <c r="P279" s="243"/>
      <c r="Q279" s="243"/>
      <c r="R279" s="243"/>
      <c r="S279" s="243"/>
      <c r="T279" s="245"/>
      <c r="U279" s="246" t="str">
        <f>IF($T279="", "", VLOOKUP($T279, CONTRATOS!$B:$E, 2, FALSE))</f>
        <v/>
      </c>
      <c r="V279" s="247">
        <f>IF(OR($T279="",TB_DEFESA!$C$2="Criação Baseline"),0,
   IF(VLOOKUP($T279, CONTRATOS!B:E, 3, FALSE)&lt;&gt;"",1,IF(VLOOKUP($T279, CONTRATOS!B:E, 4, FALSE)&lt;&gt;"",2,0)))</f>
        <v>0</v>
      </c>
      <c r="W279" s="248"/>
      <c r="X279" s="248"/>
      <c r="Y279" s="249"/>
      <c r="Z279" s="250"/>
      <c r="AA279" s="251"/>
      <c r="AB279" s="252"/>
      <c r="AC279" s="253"/>
      <c r="AD279" s="251"/>
      <c r="AE279" s="254" t="str">
        <f t="shared" si="187"/>
        <v/>
      </c>
      <c r="AF279" s="256" t="str">
        <f t="shared" si="198"/>
        <v/>
      </c>
      <c r="AG279" s="293" t="s">
        <v>62</v>
      </c>
      <c r="AH279" s="294" t="str">
        <f t="shared" si="199"/>
        <v/>
      </c>
      <c r="AI279" s="294" t="str">
        <f t="shared" si="200"/>
        <v/>
      </c>
      <c r="AJ279" s="295" t="str">
        <f t="shared" si="201"/>
        <v/>
      </c>
      <c r="AK279" s="296" t="str">
        <f t="shared" si="202"/>
        <v/>
      </c>
      <c r="AL279" s="297" t="str">
        <f t="shared" si="203"/>
        <v/>
      </c>
      <c r="AM279" s="294" t="str">
        <f t="shared" si="204"/>
        <v/>
      </c>
      <c r="AN279" s="294" t="str">
        <f t="shared" si="205"/>
        <v/>
      </c>
      <c r="AO279" s="298" t="str">
        <f t="shared" si="206"/>
        <v/>
      </c>
      <c r="AP279" s="299" t="str">
        <f t="shared" si="207"/>
        <v/>
      </c>
      <c r="AQ279" s="299" t="str">
        <f t="shared" si="208"/>
        <v/>
      </c>
      <c r="AR279" s="300" t="str">
        <f t="shared" si="188"/>
        <v/>
      </c>
      <c r="AS279" s="300" t="str">
        <f t="shared" si="189"/>
        <v/>
      </c>
      <c r="AT279" s="294" t="str">
        <f t="shared" si="190"/>
        <v/>
      </c>
      <c r="AU279" s="301" t="str">
        <f>IF(OR($B279="", $AP279= ""),"",IF(VLOOKUP($AP279, CONTRATOS!B:K,3,FALSE)="","",VLOOKUP($AP279, CONTRATOS!B:K, 3,FALSE)))</f>
        <v/>
      </c>
      <c r="AV279" s="301" t="str">
        <f>IF(OR($B279="", $AP279 = ""), "", IF(VLOOKUP($AP279, CONTRATOS!B:K,4,FALSE)="","",VLOOKUP($AP279, CONTRATOS!B:K,4, FALSE)))</f>
        <v/>
      </c>
      <c r="AW279" s="302" t="str">
        <f t="shared" si="191"/>
        <v/>
      </c>
      <c r="AX279" s="301" t="str">
        <f t="shared" si="192"/>
        <v/>
      </c>
      <c r="AY279" s="301" t="str">
        <f t="shared" si="193"/>
        <v/>
      </c>
      <c r="AZ279" s="301" t="str">
        <f t="shared" si="194"/>
        <v/>
      </c>
      <c r="BA279" s="301" t="str">
        <f t="shared" si="195"/>
        <v/>
      </c>
      <c r="BB279" s="303">
        <f t="shared" si="209"/>
        <v>0</v>
      </c>
      <c r="BC279" s="303" t="str">
        <f t="shared" si="210"/>
        <v/>
      </c>
      <c r="BD279" s="303" t="str">
        <f t="shared" si="211"/>
        <v/>
      </c>
      <c r="BF279" s="304">
        <f t="shared" si="212"/>
        <v>0</v>
      </c>
      <c r="BG279" s="304">
        <f t="shared" si="213"/>
        <v>0</v>
      </c>
      <c r="BH279" s="304" t="str">
        <f>IF( $B279="", "", IF(ISNA(VLOOKUP($C279, Defesa!$C$8:$C$30,1,FALSE)),1,0))</f>
        <v/>
      </c>
      <c r="BI279" s="305" t="str">
        <f t="shared" si="214"/>
        <v/>
      </c>
      <c r="BJ279" s="305" t="str">
        <f t="shared" si="215"/>
        <v/>
      </c>
      <c r="BK279" s="304" t="str">
        <f t="shared" si="216"/>
        <v/>
      </c>
      <c r="BL279" s="304">
        <f t="shared" si="217"/>
        <v>0</v>
      </c>
      <c r="BM279" s="304" t="str">
        <f>IF($AC279="", "", IF(ISNA(VLOOKUP($AC279, TABELAS!$Q:$Q, 1, FALSE)), 1, 0))</f>
        <v/>
      </c>
      <c r="BN279" s="306" t="str">
        <f t="shared" si="218"/>
        <v/>
      </c>
      <c r="BO279" s="304" t="str">
        <f t="shared" si="219"/>
        <v/>
      </c>
      <c r="BP279" s="304" t="str">
        <f t="shared" si="220"/>
        <v/>
      </c>
      <c r="BQ279" s="305" t="str">
        <f t="shared" si="221"/>
        <v/>
      </c>
      <c r="BR279" s="304" t="str">
        <f t="shared" si="222"/>
        <v/>
      </c>
      <c r="BS279" s="304" t="str">
        <f t="shared" si="223"/>
        <v/>
      </c>
      <c r="BT279" s="304" t="str">
        <f>IF(OR($B279="", $AH279 = "SIM"), "", IF( ISNA(VLOOKUP($AP279,#REF!, 1, FALSE)), 1, 0))</f>
        <v/>
      </c>
      <c r="BU279" s="304" t="str">
        <f t="shared" si="224"/>
        <v/>
      </c>
      <c r="BV279" s="304" t="str">
        <f>IF( $B279="", "", IF( ISNA(VLOOKUP($AN279, TABELAS!$T$2:$T$9,1,FALSE)), 1, 0))</f>
        <v/>
      </c>
      <c r="BW279" s="304" t="str">
        <f t="shared" si="225"/>
        <v/>
      </c>
      <c r="BX279" s="304" t="str">
        <f>IF( OR($B279="", $AH279 = "SIM"), "", IF( ISNA( VLOOKUP( $AQ279, SISTEMA!$B:$B, 1, FALSE)), 1, 0))</f>
        <v/>
      </c>
      <c r="BY279" s="305" t="str">
        <f t="shared" si="226"/>
        <v/>
      </c>
      <c r="BZ279" s="305" t="str">
        <f t="shared" si="227"/>
        <v/>
      </c>
      <c r="CA279" s="304" t="str">
        <f t="shared" si="228"/>
        <v/>
      </c>
      <c r="CB279" s="305" t="str">
        <f t="shared" si="229"/>
        <v/>
      </c>
      <c r="CC279" s="305" t="str">
        <f t="shared" si="230"/>
        <v/>
      </c>
      <c r="CD279" s="305" t="str">
        <f t="shared" si="231"/>
        <v/>
      </c>
    </row>
    <row r="280" spans="1:82" x14ac:dyDescent="0.2">
      <c r="A280" s="235"/>
      <c r="B280" s="236" t="str">
        <f t="shared" si="196"/>
        <v/>
      </c>
      <c r="C280" s="237" t="str">
        <f t="shared" si="186"/>
        <v/>
      </c>
      <c r="D280" s="237" t="str">
        <f t="shared" si="197"/>
        <v/>
      </c>
      <c r="E280" s="237" t="str">
        <f>IF($C280="", "", COUNTIF($M$8:$M280,$D280))</f>
        <v/>
      </c>
      <c r="F280" s="238">
        <v>273</v>
      </c>
      <c r="G280" s="239"/>
      <c r="H280" s="240"/>
      <c r="I280" s="240"/>
      <c r="J280" s="241"/>
      <c r="K280" s="240"/>
      <c r="L280" s="240"/>
      <c r="M280" s="240"/>
      <c r="N280" s="242"/>
      <c r="O280" s="243"/>
      <c r="P280" s="243"/>
      <c r="Q280" s="243"/>
      <c r="R280" s="243"/>
      <c r="S280" s="243"/>
      <c r="T280" s="245"/>
      <c r="U280" s="246" t="str">
        <f>IF($T280="", "", VLOOKUP($T280, CONTRATOS!$B:$E, 2, FALSE))</f>
        <v/>
      </c>
      <c r="V280" s="247">
        <f>IF(OR($T280="",TB_DEFESA!$C$2="Criação Baseline"),0,
   IF(VLOOKUP($T280, CONTRATOS!B:E, 3, FALSE)&lt;&gt;"",1,IF(VLOOKUP($T280, CONTRATOS!B:E, 4, FALSE)&lt;&gt;"",2,0)))</f>
        <v>0</v>
      </c>
      <c r="W280" s="248"/>
      <c r="X280" s="248"/>
      <c r="Y280" s="249"/>
      <c r="Z280" s="250"/>
      <c r="AA280" s="251"/>
      <c r="AB280" s="252"/>
      <c r="AC280" s="253"/>
      <c r="AD280" s="251"/>
      <c r="AE280" s="254" t="str">
        <f t="shared" si="187"/>
        <v/>
      </c>
      <c r="AF280" s="256" t="str">
        <f t="shared" si="198"/>
        <v/>
      </c>
      <c r="AG280" s="293" t="s">
        <v>62</v>
      </c>
      <c r="AH280" s="294" t="str">
        <f t="shared" si="199"/>
        <v/>
      </c>
      <c r="AI280" s="294" t="str">
        <f t="shared" si="200"/>
        <v/>
      </c>
      <c r="AJ280" s="295" t="str">
        <f t="shared" si="201"/>
        <v/>
      </c>
      <c r="AK280" s="296" t="str">
        <f t="shared" si="202"/>
        <v/>
      </c>
      <c r="AL280" s="297" t="str">
        <f t="shared" si="203"/>
        <v/>
      </c>
      <c r="AM280" s="294" t="str">
        <f t="shared" si="204"/>
        <v/>
      </c>
      <c r="AN280" s="294" t="str">
        <f t="shared" si="205"/>
        <v/>
      </c>
      <c r="AO280" s="298" t="str">
        <f t="shared" si="206"/>
        <v/>
      </c>
      <c r="AP280" s="299" t="str">
        <f t="shared" si="207"/>
        <v/>
      </c>
      <c r="AQ280" s="299" t="str">
        <f t="shared" si="208"/>
        <v/>
      </c>
      <c r="AR280" s="300" t="str">
        <f t="shared" si="188"/>
        <v/>
      </c>
      <c r="AS280" s="300" t="str">
        <f t="shared" si="189"/>
        <v/>
      </c>
      <c r="AT280" s="294" t="str">
        <f t="shared" si="190"/>
        <v/>
      </c>
      <c r="AU280" s="301" t="str">
        <f>IF(OR($B280="", $AP280= ""),"",IF(VLOOKUP($AP280, CONTRATOS!B:K,3,FALSE)="","",VLOOKUP($AP280, CONTRATOS!B:K, 3,FALSE)))</f>
        <v/>
      </c>
      <c r="AV280" s="301" t="str">
        <f>IF(OR($B280="", $AP280 = ""), "", IF(VLOOKUP($AP280, CONTRATOS!B:K,4,FALSE)="","",VLOOKUP($AP280, CONTRATOS!B:K,4, FALSE)))</f>
        <v/>
      </c>
      <c r="AW280" s="302" t="str">
        <f t="shared" si="191"/>
        <v/>
      </c>
      <c r="AX280" s="301" t="str">
        <f t="shared" si="192"/>
        <v/>
      </c>
      <c r="AY280" s="301" t="str">
        <f t="shared" si="193"/>
        <v/>
      </c>
      <c r="AZ280" s="301" t="str">
        <f t="shared" si="194"/>
        <v/>
      </c>
      <c r="BA280" s="301" t="str">
        <f t="shared" si="195"/>
        <v/>
      </c>
      <c r="BB280" s="303">
        <f t="shared" si="209"/>
        <v>0</v>
      </c>
      <c r="BC280" s="303" t="str">
        <f t="shared" si="210"/>
        <v/>
      </c>
      <c r="BD280" s="303" t="str">
        <f t="shared" si="211"/>
        <v/>
      </c>
      <c r="BF280" s="304">
        <f t="shared" si="212"/>
        <v>0</v>
      </c>
      <c r="BG280" s="304">
        <f t="shared" si="213"/>
        <v>0</v>
      </c>
      <c r="BH280" s="304" t="str">
        <f>IF( $B280="", "", IF(ISNA(VLOOKUP($C280, Defesa!$C$8:$C$30,1,FALSE)),1,0))</f>
        <v/>
      </c>
      <c r="BI280" s="305" t="str">
        <f t="shared" si="214"/>
        <v/>
      </c>
      <c r="BJ280" s="305" t="str">
        <f t="shared" si="215"/>
        <v/>
      </c>
      <c r="BK280" s="304" t="str">
        <f t="shared" si="216"/>
        <v/>
      </c>
      <c r="BL280" s="304">
        <f t="shared" si="217"/>
        <v>0</v>
      </c>
      <c r="BM280" s="304" t="str">
        <f>IF($AC280="", "", IF(ISNA(VLOOKUP($AC280, TABELAS!$Q:$Q, 1, FALSE)), 1, 0))</f>
        <v/>
      </c>
      <c r="BN280" s="306" t="str">
        <f t="shared" si="218"/>
        <v/>
      </c>
      <c r="BO280" s="304" t="str">
        <f t="shared" si="219"/>
        <v/>
      </c>
      <c r="BP280" s="304" t="str">
        <f t="shared" si="220"/>
        <v/>
      </c>
      <c r="BQ280" s="305" t="str">
        <f t="shared" si="221"/>
        <v/>
      </c>
      <c r="BR280" s="304" t="str">
        <f t="shared" si="222"/>
        <v/>
      </c>
      <c r="BS280" s="304" t="str">
        <f t="shared" si="223"/>
        <v/>
      </c>
      <c r="BT280" s="304" t="str">
        <f>IF(OR($B280="", $AH280 = "SIM"), "", IF( ISNA(VLOOKUP($AP280,#REF!, 1, FALSE)), 1, 0))</f>
        <v/>
      </c>
      <c r="BU280" s="304" t="str">
        <f t="shared" si="224"/>
        <v/>
      </c>
      <c r="BV280" s="304" t="str">
        <f>IF( $B280="", "", IF( ISNA(VLOOKUP($AN280, TABELAS!$T$2:$T$9,1,FALSE)), 1, 0))</f>
        <v/>
      </c>
      <c r="BW280" s="304" t="str">
        <f t="shared" si="225"/>
        <v/>
      </c>
      <c r="BX280" s="304" t="str">
        <f>IF( OR($B280="", $AH280 = "SIM"), "", IF( ISNA( VLOOKUP( $AQ280, SISTEMA!$B:$B, 1, FALSE)), 1, 0))</f>
        <v/>
      </c>
      <c r="BY280" s="305" t="str">
        <f t="shared" si="226"/>
        <v/>
      </c>
      <c r="BZ280" s="305" t="str">
        <f t="shared" si="227"/>
        <v/>
      </c>
      <c r="CA280" s="304" t="str">
        <f t="shared" si="228"/>
        <v/>
      </c>
      <c r="CB280" s="305" t="str">
        <f t="shared" si="229"/>
        <v/>
      </c>
      <c r="CC280" s="305" t="str">
        <f t="shared" si="230"/>
        <v/>
      </c>
      <c r="CD280" s="305" t="str">
        <f t="shared" si="231"/>
        <v/>
      </c>
    </row>
    <row r="281" spans="1:82" x14ac:dyDescent="0.2">
      <c r="A281" s="235"/>
      <c r="B281" s="236" t="str">
        <f t="shared" si="196"/>
        <v/>
      </c>
      <c r="C281" s="237" t="str">
        <f t="shared" si="186"/>
        <v/>
      </c>
      <c r="D281" s="237" t="str">
        <f t="shared" si="197"/>
        <v/>
      </c>
      <c r="E281" s="237" t="str">
        <f>IF($C281="", "", COUNTIF($M$8:$M281,$D281))</f>
        <v/>
      </c>
      <c r="F281" s="238">
        <v>274</v>
      </c>
      <c r="G281" s="239"/>
      <c r="H281" s="240"/>
      <c r="I281" s="240"/>
      <c r="J281" s="241"/>
      <c r="K281" s="240"/>
      <c r="L281" s="240"/>
      <c r="M281" s="240"/>
      <c r="N281" s="242"/>
      <c r="O281" s="243"/>
      <c r="P281" s="243"/>
      <c r="Q281" s="243"/>
      <c r="R281" s="243"/>
      <c r="S281" s="243"/>
      <c r="T281" s="245"/>
      <c r="U281" s="246" t="str">
        <f>IF($T281="", "", VLOOKUP($T281, CONTRATOS!$B:$E, 2, FALSE))</f>
        <v/>
      </c>
      <c r="V281" s="247">
        <f>IF(OR($T281="",TB_DEFESA!$C$2="Criação Baseline"),0,
   IF(VLOOKUP($T281, CONTRATOS!B:E, 3, FALSE)&lt;&gt;"",1,IF(VLOOKUP($T281, CONTRATOS!B:E, 4, FALSE)&lt;&gt;"",2,0)))</f>
        <v>0</v>
      </c>
      <c r="W281" s="248"/>
      <c r="X281" s="248"/>
      <c r="Y281" s="249"/>
      <c r="Z281" s="250"/>
      <c r="AA281" s="251"/>
      <c r="AB281" s="252"/>
      <c r="AC281" s="253"/>
      <c r="AD281" s="251"/>
      <c r="AE281" s="254" t="str">
        <f t="shared" si="187"/>
        <v/>
      </c>
      <c r="AF281" s="256" t="str">
        <f t="shared" si="198"/>
        <v/>
      </c>
      <c r="AG281" s="293" t="s">
        <v>62</v>
      </c>
      <c r="AH281" s="294" t="str">
        <f t="shared" si="199"/>
        <v/>
      </c>
      <c r="AI281" s="294" t="str">
        <f t="shared" si="200"/>
        <v/>
      </c>
      <c r="AJ281" s="295" t="str">
        <f t="shared" si="201"/>
        <v/>
      </c>
      <c r="AK281" s="296" t="str">
        <f t="shared" si="202"/>
        <v/>
      </c>
      <c r="AL281" s="297" t="str">
        <f t="shared" si="203"/>
        <v/>
      </c>
      <c r="AM281" s="294" t="str">
        <f t="shared" si="204"/>
        <v/>
      </c>
      <c r="AN281" s="294" t="str">
        <f t="shared" si="205"/>
        <v/>
      </c>
      <c r="AO281" s="298" t="str">
        <f t="shared" si="206"/>
        <v/>
      </c>
      <c r="AP281" s="299" t="str">
        <f t="shared" si="207"/>
        <v/>
      </c>
      <c r="AQ281" s="299" t="str">
        <f t="shared" si="208"/>
        <v/>
      </c>
      <c r="AR281" s="300" t="str">
        <f t="shared" si="188"/>
        <v/>
      </c>
      <c r="AS281" s="300" t="str">
        <f t="shared" si="189"/>
        <v/>
      </c>
      <c r="AT281" s="294" t="str">
        <f t="shared" si="190"/>
        <v/>
      </c>
      <c r="AU281" s="301" t="str">
        <f>IF(OR($B281="", $AP281= ""),"",IF(VLOOKUP($AP281, CONTRATOS!B:K,3,FALSE)="","",VLOOKUP($AP281, CONTRATOS!B:K, 3,FALSE)))</f>
        <v/>
      </c>
      <c r="AV281" s="301" t="str">
        <f>IF(OR($B281="", $AP281 = ""), "", IF(VLOOKUP($AP281, CONTRATOS!B:K,4,FALSE)="","",VLOOKUP($AP281, CONTRATOS!B:K,4, FALSE)))</f>
        <v/>
      </c>
      <c r="AW281" s="302" t="str">
        <f t="shared" si="191"/>
        <v/>
      </c>
      <c r="AX281" s="301" t="str">
        <f t="shared" si="192"/>
        <v/>
      </c>
      <c r="AY281" s="301" t="str">
        <f t="shared" si="193"/>
        <v/>
      </c>
      <c r="AZ281" s="301" t="str">
        <f t="shared" si="194"/>
        <v/>
      </c>
      <c r="BA281" s="301" t="str">
        <f t="shared" si="195"/>
        <v/>
      </c>
      <c r="BB281" s="303">
        <f t="shared" si="209"/>
        <v>0</v>
      </c>
      <c r="BC281" s="303" t="str">
        <f t="shared" si="210"/>
        <v/>
      </c>
      <c r="BD281" s="303" t="str">
        <f t="shared" si="211"/>
        <v/>
      </c>
      <c r="BF281" s="304">
        <f t="shared" si="212"/>
        <v>0</v>
      </c>
      <c r="BG281" s="304">
        <f t="shared" si="213"/>
        <v>0</v>
      </c>
      <c r="BH281" s="304" t="str">
        <f>IF( $B281="", "", IF(ISNA(VLOOKUP($C281, Defesa!$C$8:$C$30,1,FALSE)),1,0))</f>
        <v/>
      </c>
      <c r="BI281" s="305" t="str">
        <f t="shared" si="214"/>
        <v/>
      </c>
      <c r="BJ281" s="305" t="str">
        <f t="shared" si="215"/>
        <v/>
      </c>
      <c r="BK281" s="304" t="str">
        <f t="shared" si="216"/>
        <v/>
      </c>
      <c r="BL281" s="304">
        <f t="shared" si="217"/>
        <v>0</v>
      </c>
      <c r="BM281" s="304" t="str">
        <f>IF($AC281="", "", IF(ISNA(VLOOKUP($AC281, TABELAS!$Q:$Q, 1, FALSE)), 1, 0))</f>
        <v/>
      </c>
      <c r="BN281" s="306" t="str">
        <f t="shared" si="218"/>
        <v/>
      </c>
      <c r="BO281" s="304" t="str">
        <f t="shared" si="219"/>
        <v/>
      </c>
      <c r="BP281" s="304" t="str">
        <f t="shared" si="220"/>
        <v/>
      </c>
      <c r="BQ281" s="305" t="str">
        <f t="shared" si="221"/>
        <v/>
      </c>
      <c r="BR281" s="304" t="str">
        <f t="shared" si="222"/>
        <v/>
      </c>
      <c r="BS281" s="304" t="str">
        <f t="shared" si="223"/>
        <v/>
      </c>
      <c r="BT281" s="304" t="str">
        <f>IF(OR($B281="", $AH281 = "SIM"), "", IF( ISNA(VLOOKUP($AP281,#REF!, 1, FALSE)), 1, 0))</f>
        <v/>
      </c>
      <c r="BU281" s="304" t="str">
        <f t="shared" si="224"/>
        <v/>
      </c>
      <c r="BV281" s="304" t="str">
        <f>IF( $B281="", "", IF( ISNA(VLOOKUP($AN281, TABELAS!$T$2:$T$9,1,FALSE)), 1, 0))</f>
        <v/>
      </c>
      <c r="BW281" s="304" t="str">
        <f t="shared" si="225"/>
        <v/>
      </c>
      <c r="BX281" s="304" t="str">
        <f>IF( OR($B281="", $AH281 = "SIM"), "", IF( ISNA( VLOOKUP( $AQ281, SISTEMA!$B:$B, 1, FALSE)), 1, 0))</f>
        <v/>
      </c>
      <c r="BY281" s="305" t="str">
        <f t="shared" si="226"/>
        <v/>
      </c>
      <c r="BZ281" s="305" t="str">
        <f t="shared" si="227"/>
        <v/>
      </c>
      <c r="CA281" s="304" t="str">
        <f t="shared" si="228"/>
        <v/>
      </c>
      <c r="CB281" s="305" t="str">
        <f t="shared" si="229"/>
        <v/>
      </c>
      <c r="CC281" s="305" t="str">
        <f t="shared" si="230"/>
        <v/>
      </c>
      <c r="CD281" s="305" t="str">
        <f t="shared" si="231"/>
        <v/>
      </c>
    </row>
    <row r="282" spans="1:82" x14ac:dyDescent="0.2">
      <c r="A282" s="235"/>
      <c r="B282" s="236" t="str">
        <f t="shared" si="196"/>
        <v/>
      </c>
      <c r="C282" s="237" t="str">
        <f t="shared" si="186"/>
        <v/>
      </c>
      <c r="D282" s="237" t="str">
        <f t="shared" si="197"/>
        <v/>
      </c>
      <c r="E282" s="237" t="str">
        <f>IF($C282="", "", COUNTIF($M$8:$M282,$D282))</f>
        <v/>
      </c>
      <c r="F282" s="238">
        <v>275</v>
      </c>
      <c r="G282" s="239"/>
      <c r="H282" s="240"/>
      <c r="I282" s="240"/>
      <c r="J282" s="241"/>
      <c r="K282" s="240"/>
      <c r="L282" s="240"/>
      <c r="M282" s="240"/>
      <c r="N282" s="242"/>
      <c r="O282" s="243"/>
      <c r="P282" s="243"/>
      <c r="Q282" s="243"/>
      <c r="R282" s="243"/>
      <c r="S282" s="243"/>
      <c r="T282" s="245"/>
      <c r="U282" s="246" t="str">
        <f>IF($T282="", "", VLOOKUP($T282, CONTRATOS!$B:$E, 2, FALSE))</f>
        <v/>
      </c>
      <c r="V282" s="247">
        <f>IF(OR($T282="",TB_DEFESA!$C$2="Criação Baseline"),0,
   IF(VLOOKUP($T282, CONTRATOS!B:E, 3, FALSE)&lt;&gt;"",1,IF(VLOOKUP($T282, CONTRATOS!B:E, 4, FALSE)&lt;&gt;"",2,0)))</f>
        <v>0</v>
      </c>
      <c r="W282" s="248"/>
      <c r="X282" s="248"/>
      <c r="Y282" s="249"/>
      <c r="Z282" s="250"/>
      <c r="AA282" s="251"/>
      <c r="AB282" s="252"/>
      <c r="AC282" s="253"/>
      <c r="AD282" s="251"/>
      <c r="AE282" s="254" t="str">
        <f t="shared" si="187"/>
        <v/>
      </c>
      <c r="AF282" s="256" t="str">
        <f t="shared" si="198"/>
        <v/>
      </c>
      <c r="AG282" s="293" t="s">
        <v>62</v>
      </c>
      <c r="AH282" s="294" t="str">
        <f t="shared" si="199"/>
        <v/>
      </c>
      <c r="AI282" s="294" t="str">
        <f t="shared" si="200"/>
        <v/>
      </c>
      <c r="AJ282" s="295" t="str">
        <f t="shared" si="201"/>
        <v/>
      </c>
      <c r="AK282" s="296" t="str">
        <f t="shared" si="202"/>
        <v/>
      </c>
      <c r="AL282" s="297" t="str">
        <f t="shared" si="203"/>
        <v/>
      </c>
      <c r="AM282" s="294" t="str">
        <f t="shared" si="204"/>
        <v/>
      </c>
      <c r="AN282" s="294" t="str">
        <f t="shared" si="205"/>
        <v/>
      </c>
      <c r="AO282" s="298" t="str">
        <f t="shared" si="206"/>
        <v/>
      </c>
      <c r="AP282" s="299" t="str">
        <f t="shared" si="207"/>
        <v/>
      </c>
      <c r="AQ282" s="299" t="str">
        <f t="shared" si="208"/>
        <v/>
      </c>
      <c r="AR282" s="300" t="str">
        <f t="shared" si="188"/>
        <v/>
      </c>
      <c r="AS282" s="300" t="str">
        <f t="shared" si="189"/>
        <v/>
      </c>
      <c r="AT282" s="294" t="str">
        <f t="shared" si="190"/>
        <v/>
      </c>
      <c r="AU282" s="301" t="str">
        <f>IF(OR($B282="", $AP282= ""),"",IF(VLOOKUP($AP282, CONTRATOS!B:K,3,FALSE)="","",VLOOKUP($AP282, CONTRATOS!B:K, 3,FALSE)))</f>
        <v/>
      </c>
      <c r="AV282" s="301" t="str">
        <f>IF(OR($B282="", $AP282 = ""), "", IF(VLOOKUP($AP282, CONTRATOS!B:K,4,FALSE)="","",VLOOKUP($AP282, CONTRATOS!B:K,4, FALSE)))</f>
        <v/>
      </c>
      <c r="AW282" s="302" t="str">
        <f t="shared" si="191"/>
        <v/>
      </c>
      <c r="AX282" s="301" t="str">
        <f t="shared" si="192"/>
        <v/>
      </c>
      <c r="AY282" s="301" t="str">
        <f t="shared" si="193"/>
        <v/>
      </c>
      <c r="AZ282" s="301" t="str">
        <f t="shared" si="194"/>
        <v/>
      </c>
      <c r="BA282" s="301" t="str">
        <f t="shared" si="195"/>
        <v/>
      </c>
      <c r="BB282" s="303">
        <f t="shared" si="209"/>
        <v>0</v>
      </c>
      <c r="BC282" s="303" t="str">
        <f t="shared" si="210"/>
        <v/>
      </c>
      <c r="BD282" s="303" t="str">
        <f t="shared" si="211"/>
        <v/>
      </c>
      <c r="BF282" s="304">
        <f t="shared" si="212"/>
        <v>0</v>
      </c>
      <c r="BG282" s="304">
        <f t="shared" si="213"/>
        <v>0</v>
      </c>
      <c r="BH282" s="304" t="str">
        <f>IF( $B282="", "", IF(ISNA(VLOOKUP($C282, Defesa!$C$8:$C$30,1,FALSE)),1,0))</f>
        <v/>
      </c>
      <c r="BI282" s="305" t="str">
        <f t="shared" si="214"/>
        <v/>
      </c>
      <c r="BJ282" s="305" t="str">
        <f t="shared" si="215"/>
        <v/>
      </c>
      <c r="BK282" s="304" t="str">
        <f t="shared" si="216"/>
        <v/>
      </c>
      <c r="BL282" s="304">
        <f t="shared" si="217"/>
        <v>0</v>
      </c>
      <c r="BM282" s="304" t="str">
        <f>IF($AC282="", "", IF(ISNA(VLOOKUP($AC282, TABELAS!$Q:$Q, 1, FALSE)), 1, 0))</f>
        <v/>
      </c>
      <c r="BN282" s="306" t="str">
        <f t="shared" si="218"/>
        <v/>
      </c>
      <c r="BO282" s="304" t="str">
        <f t="shared" si="219"/>
        <v/>
      </c>
      <c r="BP282" s="304" t="str">
        <f t="shared" si="220"/>
        <v/>
      </c>
      <c r="BQ282" s="305" t="str">
        <f t="shared" si="221"/>
        <v/>
      </c>
      <c r="BR282" s="304" t="str">
        <f t="shared" si="222"/>
        <v/>
      </c>
      <c r="BS282" s="304" t="str">
        <f t="shared" si="223"/>
        <v/>
      </c>
      <c r="BT282" s="304" t="str">
        <f>IF(OR($B282="", $AH282 = "SIM"), "", IF( ISNA(VLOOKUP($AP282,#REF!, 1, FALSE)), 1, 0))</f>
        <v/>
      </c>
      <c r="BU282" s="304" t="str">
        <f t="shared" si="224"/>
        <v/>
      </c>
      <c r="BV282" s="304" t="str">
        <f>IF( $B282="", "", IF( ISNA(VLOOKUP($AN282, TABELAS!$T$2:$T$9,1,FALSE)), 1, 0))</f>
        <v/>
      </c>
      <c r="BW282" s="304" t="str">
        <f t="shared" si="225"/>
        <v/>
      </c>
      <c r="BX282" s="304" t="str">
        <f>IF( OR($B282="", $AH282 = "SIM"), "", IF( ISNA( VLOOKUP( $AQ282, SISTEMA!$B:$B, 1, FALSE)), 1, 0))</f>
        <v/>
      </c>
      <c r="BY282" s="305" t="str">
        <f t="shared" si="226"/>
        <v/>
      </c>
      <c r="BZ282" s="305" t="str">
        <f t="shared" si="227"/>
        <v/>
      </c>
      <c r="CA282" s="304" t="str">
        <f t="shared" si="228"/>
        <v/>
      </c>
      <c r="CB282" s="305" t="str">
        <f t="shared" si="229"/>
        <v/>
      </c>
      <c r="CC282" s="305" t="str">
        <f t="shared" si="230"/>
        <v/>
      </c>
      <c r="CD282" s="305" t="str">
        <f t="shared" si="231"/>
        <v/>
      </c>
    </row>
    <row r="283" spans="1:82" x14ac:dyDescent="0.2">
      <c r="A283" s="235"/>
      <c r="B283" s="236" t="str">
        <f t="shared" si="196"/>
        <v/>
      </c>
      <c r="C283" s="237" t="str">
        <f t="shared" si="186"/>
        <v/>
      </c>
      <c r="D283" s="237" t="str">
        <f t="shared" si="197"/>
        <v/>
      </c>
      <c r="E283" s="237" t="str">
        <f>IF($C283="", "", COUNTIF($M$8:$M283,$D283))</f>
        <v/>
      </c>
      <c r="F283" s="238">
        <v>276</v>
      </c>
      <c r="G283" s="239"/>
      <c r="H283" s="240"/>
      <c r="I283" s="240"/>
      <c r="J283" s="241"/>
      <c r="K283" s="240"/>
      <c r="L283" s="240"/>
      <c r="M283" s="240"/>
      <c r="N283" s="242"/>
      <c r="O283" s="243"/>
      <c r="P283" s="243"/>
      <c r="Q283" s="243"/>
      <c r="R283" s="243"/>
      <c r="S283" s="243"/>
      <c r="T283" s="245"/>
      <c r="U283" s="246" t="str">
        <f>IF($T283="", "", VLOOKUP($T283, CONTRATOS!$B:$E, 2, FALSE))</f>
        <v/>
      </c>
      <c r="V283" s="247">
        <f>IF(OR($T283="",TB_DEFESA!$C$2="Criação Baseline"),0,
   IF(VLOOKUP($T283, CONTRATOS!B:E, 3, FALSE)&lt;&gt;"",1,IF(VLOOKUP($T283, CONTRATOS!B:E, 4, FALSE)&lt;&gt;"",2,0)))</f>
        <v>0</v>
      </c>
      <c r="W283" s="248"/>
      <c r="X283" s="248"/>
      <c r="Y283" s="249"/>
      <c r="Z283" s="250"/>
      <c r="AA283" s="251"/>
      <c r="AB283" s="252"/>
      <c r="AC283" s="253"/>
      <c r="AD283" s="251"/>
      <c r="AE283" s="254" t="str">
        <f t="shared" si="187"/>
        <v/>
      </c>
      <c r="AF283" s="256" t="str">
        <f t="shared" si="198"/>
        <v/>
      </c>
      <c r="AG283" s="293" t="s">
        <v>62</v>
      </c>
      <c r="AH283" s="294" t="str">
        <f t="shared" si="199"/>
        <v/>
      </c>
      <c r="AI283" s="294" t="str">
        <f t="shared" si="200"/>
        <v/>
      </c>
      <c r="AJ283" s="295" t="str">
        <f t="shared" si="201"/>
        <v/>
      </c>
      <c r="AK283" s="296" t="str">
        <f t="shared" si="202"/>
        <v/>
      </c>
      <c r="AL283" s="297" t="str">
        <f t="shared" si="203"/>
        <v/>
      </c>
      <c r="AM283" s="294" t="str">
        <f t="shared" si="204"/>
        <v/>
      </c>
      <c r="AN283" s="294" t="str">
        <f t="shared" si="205"/>
        <v/>
      </c>
      <c r="AO283" s="298" t="str">
        <f t="shared" si="206"/>
        <v/>
      </c>
      <c r="AP283" s="299" t="str">
        <f t="shared" si="207"/>
        <v/>
      </c>
      <c r="AQ283" s="299" t="str">
        <f t="shared" si="208"/>
        <v/>
      </c>
      <c r="AR283" s="300" t="str">
        <f t="shared" si="188"/>
        <v/>
      </c>
      <c r="AS283" s="300" t="str">
        <f t="shared" si="189"/>
        <v/>
      </c>
      <c r="AT283" s="294" t="str">
        <f t="shared" si="190"/>
        <v/>
      </c>
      <c r="AU283" s="301" t="str">
        <f>IF(OR($B283="", $AP283= ""),"",IF(VLOOKUP($AP283, CONTRATOS!B:K,3,FALSE)="","",VLOOKUP($AP283, CONTRATOS!B:K, 3,FALSE)))</f>
        <v/>
      </c>
      <c r="AV283" s="301" t="str">
        <f>IF(OR($B283="", $AP283 = ""), "", IF(VLOOKUP($AP283, CONTRATOS!B:K,4,FALSE)="","",VLOOKUP($AP283, CONTRATOS!B:K,4, FALSE)))</f>
        <v/>
      </c>
      <c r="AW283" s="302" t="str">
        <f t="shared" si="191"/>
        <v/>
      </c>
      <c r="AX283" s="301" t="str">
        <f t="shared" si="192"/>
        <v/>
      </c>
      <c r="AY283" s="301" t="str">
        <f t="shared" si="193"/>
        <v/>
      </c>
      <c r="AZ283" s="301" t="str">
        <f t="shared" si="194"/>
        <v/>
      </c>
      <c r="BA283" s="301" t="str">
        <f t="shared" si="195"/>
        <v/>
      </c>
      <c r="BB283" s="303">
        <f t="shared" si="209"/>
        <v>0</v>
      </c>
      <c r="BC283" s="303" t="str">
        <f t="shared" si="210"/>
        <v/>
      </c>
      <c r="BD283" s="303" t="str">
        <f t="shared" si="211"/>
        <v/>
      </c>
      <c r="BF283" s="304">
        <f t="shared" si="212"/>
        <v>0</v>
      </c>
      <c r="BG283" s="304">
        <f t="shared" si="213"/>
        <v>0</v>
      </c>
      <c r="BH283" s="304" t="str">
        <f>IF( $B283="", "", IF(ISNA(VLOOKUP($C283, Defesa!$C$8:$C$30,1,FALSE)),1,0))</f>
        <v/>
      </c>
      <c r="BI283" s="305" t="str">
        <f t="shared" si="214"/>
        <v/>
      </c>
      <c r="BJ283" s="305" t="str">
        <f t="shared" si="215"/>
        <v/>
      </c>
      <c r="BK283" s="304" t="str">
        <f t="shared" si="216"/>
        <v/>
      </c>
      <c r="BL283" s="304">
        <f t="shared" si="217"/>
        <v>0</v>
      </c>
      <c r="BM283" s="304" t="str">
        <f>IF($AC283="", "", IF(ISNA(VLOOKUP($AC283, TABELAS!$Q:$Q, 1, FALSE)), 1, 0))</f>
        <v/>
      </c>
      <c r="BN283" s="306" t="str">
        <f t="shared" si="218"/>
        <v/>
      </c>
      <c r="BO283" s="304" t="str">
        <f t="shared" si="219"/>
        <v/>
      </c>
      <c r="BP283" s="304" t="str">
        <f t="shared" si="220"/>
        <v/>
      </c>
      <c r="BQ283" s="305" t="str">
        <f t="shared" si="221"/>
        <v/>
      </c>
      <c r="BR283" s="304" t="str">
        <f t="shared" si="222"/>
        <v/>
      </c>
      <c r="BS283" s="304" t="str">
        <f t="shared" si="223"/>
        <v/>
      </c>
      <c r="BT283" s="304" t="str">
        <f>IF(OR($B283="", $AH283 = "SIM"), "", IF( ISNA(VLOOKUP($AP283,#REF!, 1, FALSE)), 1, 0))</f>
        <v/>
      </c>
      <c r="BU283" s="304" t="str">
        <f t="shared" si="224"/>
        <v/>
      </c>
      <c r="BV283" s="304" t="str">
        <f>IF( $B283="", "", IF( ISNA(VLOOKUP($AN283, TABELAS!$T$2:$T$9,1,FALSE)), 1, 0))</f>
        <v/>
      </c>
      <c r="BW283" s="304" t="str">
        <f t="shared" si="225"/>
        <v/>
      </c>
      <c r="BX283" s="304" t="str">
        <f>IF( OR($B283="", $AH283 = "SIM"), "", IF( ISNA( VLOOKUP( $AQ283, SISTEMA!$B:$B, 1, FALSE)), 1, 0))</f>
        <v/>
      </c>
      <c r="BY283" s="305" t="str">
        <f t="shared" si="226"/>
        <v/>
      </c>
      <c r="BZ283" s="305" t="str">
        <f t="shared" si="227"/>
        <v/>
      </c>
      <c r="CA283" s="304" t="str">
        <f t="shared" si="228"/>
        <v/>
      </c>
      <c r="CB283" s="305" t="str">
        <f t="shared" si="229"/>
        <v/>
      </c>
      <c r="CC283" s="305" t="str">
        <f t="shared" si="230"/>
        <v/>
      </c>
      <c r="CD283" s="305" t="str">
        <f t="shared" si="231"/>
        <v/>
      </c>
    </row>
    <row r="284" spans="1:82" x14ac:dyDescent="0.2">
      <c r="A284" s="235"/>
      <c r="B284" s="236" t="str">
        <f t="shared" si="196"/>
        <v/>
      </c>
      <c r="C284" s="237" t="str">
        <f t="shared" si="186"/>
        <v/>
      </c>
      <c r="D284" s="237" t="str">
        <f t="shared" si="197"/>
        <v/>
      </c>
      <c r="E284" s="237" t="str">
        <f>IF($C284="", "", COUNTIF($M$8:$M284,$D284))</f>
        <v/>
      </c>
      <c r="F284" s="238">
        <v>277</v>
      </c>
      <c r="G284" s="239"/>
      <c r="H284" s="240"/>
      <c r="I284" s="240"/>
      <c r="J284" s="241"/>
      <c r="K284" s="240"/>
      <c r="L284" s="240"/>
      <c r="M284" s="240"/>
      <c r="N284" s="242"/>
      <c r="O284" s="243"/>
      <c r="P284" s="243"/>
      <c r="Q284" s="243"/>
      <c r="R284" s="243"/>
      <c r="S284" s="243"/>
      <c r="T284" s="245"/>
      <c r="U284" s="246" t="str">
        <f>IF($T284="", "", VLOOKUP($T284, CONTRATOS!$B:$E, 2, FALSE))</f>
        <v/>
      </c>
      <c r="V284" s="247">
        <f>IF(OR($T284="",TB_DEFESA!$C$2="Criação Baseline"),0,
   IF(VLOOKUP($T284, CONTRATOS!B:E, 3, FALSE)&lt;&gt;"",1,IF(VLOOKUP($T284, CONTRATOS!B:E, 4, FALSE)&lt;&gt;"",2,0)))</f>
        <v>0</v>
      </c>
      <c r="W284" s="248"/>
      <c r="X284" s="248"/>
      <c r="Y284" s="249"/>
      <c r="Z284" s="250"/>
      <c r="AA284" s="251"/>
      <c r="AB284" s="252"/>
      <c r="AC284" s="253"/>
      <c r="AD284" s="251"/>
      <c r="AE284" s="254" t="str">
        <f t="shared" si="187"/>
        <v/>
      </c>
      <c r="AF284" s="256" t="str">
        <f t="shared" si="198"/>
        <v/>
      </c>
      <c r="AG284" s="293" t="s">
        <v>62</v>
      </c>
      <c r="AH284" s="294" t="str">
        <f t="shared" si="199"/>
        <v/>
      </c>
      <c r="AI284" s="294" t="str">
        <f t="shared" si="200"/>
        <v/>
      </c>
      <c r="AJ284" s="295" t="str">
        <f t="shared" si="201"/>
        <v/>
      </c>
      <c r="AK284" s="296" t="str">
        <f t="shared" si="202"/>
        <v/>
      </c>
      <c r="AL284" s="297" t="str">
        <f t="shared" si="203"/>
        <v/>
      </c>
      <c r="AM284" s="294" t="str">
        <f t="shared" si="204"/>
        <v/>
      </c>
      <c r="AN284" s="294" t="str">
        <f t="shared" si="205"/>
        <v/>
      </c>
      <c r="AO284" s="298" t="str">
        <f t="shared" si="206"/>
        <v/>
      </c>
      <c r="AP284" s="299" t="str">
        <f t="shared" si="207"/>
        <v/>
      </c>
      <c r="AQ284" s="299" t="str">
        <f t="shared" si="208"/>
        <v/>
      </c>
      <c r="AR284" s="300" t="str">
        <f t="shared" si="188"/>
        <v/>
      </c>
      <c r="AS284" s="300" t="str">
        <f t="shared" si="189"/>
        <v/>
      </c>
      <c r="AT284" s="294" t="str">
        <f t="shared" si="190"/>
        <v/>
      </c>
      <c r="AU284" s="301" t="str">
        <f>IF(OR($B284="", $AP284= ""),"",IF(VLOOKUP($AP284, CONTRATOS!B:K,3,FALSE)="","",VLOOKUP($AP284, CONTRATOS!B:K, 3,FALSE)))</f>
        <v/>
      </c>
      <c r="AV284" s="301" t="str">
        <f>IF(OR($B284="", $AP284 = ""), "", IF(VLOOKUP($AP284, CONTRATOS!B:K,4,FALSE)="","",VLOOKUP($AP284, CONTRATOS!B:K,4, FALSE)))</f>
        <v/>
      </c>
      <c r="AW284" s="302" t="str">
        <f t="shared" si="191"/>
        <v/>
      </c>
      <c r="AX284" s="301" t="str">
        <f t="shared" si="192"/>
        <v/>
      </c>
      <c r="AY284" s="301" t="str">
        <f t="shared" si="193"/>
        <v/>
      </c>
      <c r="AZ284" s="301" t="str">
        <f t="shared" si="194"/>
        <v/>
      </c>
      <c r="BA284" s="301" t="str">
        <f t="shared" si="195"/>
        <v/>
      </c>
      <c r="BB284" s="303">
        <f t="shared" si="209"/>
        <v>0</v>
      </c>
      <c r="BC284" s="303" t="str">
        <f t="shared" si="210"/>
        <v/>
      </c>
      <c r="BD284" s="303" t="str">
        <f t="shared" si="211"/>
        <v/>
      </c>
      <c r="BF284" s="304">
        <f t="shared" si="212"/>
        <v>0</v>
      </c>
      <c r="BG284" s="304">
        <f t="shared" si="213"/>
        <v>0</v>
      </c>
      <c r="BH284" s="304" t="str">
        <f>IF( $B284="", "", IF(ISNA(VLOOKUP($C284, Defesa!$C$8:$C$30,1,FALSE)),1,0))</f>
        <v/>
      </c>
      <c r="BI284" s="305" t="str">
        <f t="shared" si="214"/>
        <v/>
      </c>
      <c r="BJ284" s="305" t="str">
        <f t="shared" si="215"/>
        <v/>
      </c>
      <c r="BK284" s="304" t="str">
        <f t="shared" si="216"/>
        <v/>
      </c>
      <c r="BL284" s="304">
        <f t="shared" si="217"/>
        <v>0</v>
      </c>
      <c r="BM284" s="304" t="str">
        <f>IF($AC284="", "", IF(ISNA(VLOOKUP($AC284, TABELAS!$Q:$Q, 1, FALSE)), 1, 0))</f>
        <v/>
      </c>
      <c r="BN284" s="306" t="str">
        <f t="shared" si="218"/>
        <v/>
      </c>
      <c r="BO284" s="304" t="str">
        <f t="shared" si="219"/>
        <v/>
      </c>
      <c r="BP284" s="304" t="str">
        <f t="shared" si="220"/>
        <v/>
      </c>
      <c r="BQ284" s="305" t="str">
        <f t="shared" si="221"/>
        <v/>
      </c>
      <c r="BR284" s="304" t="str">
        <f t="shared" si="222"/>
        <v/>
      </c>
      <c r="BS284" s="304" t="str">
        <f t="shared" si="223"/>
        <v/>
      </c>
      <c r="BT284" s="304" t="str">
        <f>IF(OR($B284="", $AH284 = "SIM"), "", IF( ISNA(VLOOKUP($AP284,#REF!, 1, FALSE)), 1, 0))</f>
        <v/>
      </c>
      <c r="BU284" s="304" t="str">
        <f t="shared" si="224"/>
        <v/>
      </c>
      <c r="BV284" s="304" t="str">
        <f>IF( $B284="", "", IF( ISNA(VLOOKUP($AN284, TABELAS!$T$2:$T$9,1,FALSE)), 1, 0))</f>
        <v/>
      </c>
      <c r="BW284" s="304" t="str">
        <f t="shared" si="225"/>
        <v/>
      </c>
      <c r="BX284" s="304" t="str">
        <f>IF( OR($B284="", $AH284 = "SIM"), "", IF( ISNA( VLOOKUP( $AQ284, SISTEMA!$B:$B, 1, FALSE)), 1, 0))</f>
        <v/>
      </c>
      <c r="BY284" s="305" t="str">
        <f t="shared" si="226"/>
        <v/>
      </c>
      <c r="BZ284" s="305" t="str">
        <f t="shared" si="227"/>
        <v/>
      </c>
      <c r="CA284" s="304" t="str">
        <f t="shared" si="228"/>
        <v/>
      </c>
      <c r="CB284" s="305" t="str">
        <f t="shared" si="229"/>
        <v/>
      </c>
      <c r="CC284" s="305" t="str">
        <f t="shared" si="230"/>
        <v/>
      </c>
      <c r="CD284" s="305" t="str">
        <f t="shared" si="231"/>
        <v/>
      </c>
    </row>
    <row r="285" spans="1:82" x14ac:dyDescent="0.2">
      <c r="A285" s="235"/>
      <c r="B285" s="236" t="str">
        <f t="shared" si="196"/>
        <v/>
      </c>
      <c r="C285" s="237" t="str">
        <f t="shared" si="186"/>
        <v/>
      </c>
      <c r="D285" s="237" t="str">
        <f t="shared" si="197"/>
        <v/>
      </c>
      <c r="E285" s="237" t="str">
        <f>IF($C285="", "", COUNTIF($M$8:$M285,$D285))</f>
        <v/>
      </c>
      <c r="F285" s="238">
        <v>278</v>
      </c>
      <c r="G285" s="239"/>
      <c r="H285" s="240"/>
      <c r="I285" s="240"/>
      <c r="J285" s="241"/>
      <c r="K285" s="240"/>
      <c r="L285" s="240"/>
      <c r="M285" s="240"/>
      <c r="N285" s="242"/>
      <c r="O285" s="243"/>
      <c r="P285" s="243"/>
      <c r="Q285" s="243"/>
      <c r="R285" s="243"/>
      <c r="S285" s="243"/>
      <c r="T285" s="245"/>
      <c r="U285" s="246" t="str">
        <f>IF($T285="", "", VLOOKUP($T285, CONTRATOS!$B:$E, 2, FALSE))</f>
        <v/>
      </c>
      <c r="V285" s="247">
        <f>IF(OR($T285="",TB_DEFESA!$C$2="Criação Baseline"),0,
   IF(VLOOKUP($T285, CONTRATOS!B:E, 3, FALSE)&lt;&gt;"",1,IF(VLOOKUP($T285, CONTRATOS!B:E, 4, FALSE)&lt;&gt;"",2,0)))</f>
        <v>0</v>
      </c>
      <c r="W285" s="248"/>
      <c r="X285" s="248"/>
      <c r="Y285" s="249"/>
      <c r="Z285" s="250"/>
      <c r="AA285" s="251"/>
      <c r="AB285" s="252"/>
      <c r="AC285" s="253"/>
      <c r="AD285" s="251"/>
      <c r="AE285" s="254" t="str">
        <f t="shared" si="187"/>
        <v/>
      </c>
      <c r="AF285" s="256" t="str">
        <f t="shared" si="198"/>
        <v/>
      </c>
      <c r="AG285" s="293" t="s">
        <v>62</v>
      </c>
      <c r="AH285" s="294" t="str">
        <f t="shared" si="199"/>
        <v/>
      </c>
      <c r="AI285" s="294" t="str">
        <f t="shared" si="200"/>
        <v/>
      </c>
      <c r="AJ285" s="295" t="str">
        <f t="shared" si="201"/>
        <v/>
      </c>
      <c r="AK285" s="296" t="str">
        <f t="shared" si="202"/>
        <v/>
      </c>
      <c r="AL285" s="297" t="str">
        <f t="shared" si="203"/>
        <v/>
      </c>
      <c r="AM285" s="294" t="str">
        <f t="shared" si="204"/>
        <v/>
      </c>
      <c r="AN285" s="294" t="str">
        <f t="shared" si="205"/>
        <v/>
      </c>
      <c r="AO285" s="298" t="str">
        <f t="shared" si="206"/>
        <v/>
      </c>
      <c r="AP285" s="299" t="str">
        <f t="shared" si="207"/>
        <v/>
      </c>
      <c r="AQ285" s="299" t="str">
        <f t="shared" si="208"/>
        <v/>
      </c>
      <c r="AR285" s="300" t="str">
        <f t="shared" si="188"/>
        <v/>
      </c>
      <c r="AS285" s="300" t="str">
        <f t="shared" si="189"/>
        <v/>
      </c>
      <c r="AT285" s="294" t="str">
        <f t="shared" si="190"/>
        <v/>
      </c>
      <c r="AU285" s="301" t="str">
        <f>IF(OR($B285="", $AP285= ""),"",IF(VLOOKUP($AP285, CONTRATOS!B:K,3,FALSE)="","",VLOOKUP($AP285, CONTRATOS!B:K, 3,FALSE)))</f>
        <v/>
      </c>
      <c r="AV285" s="301" t="str">
        <f>IF(OR($B285="", $AP285 = ""), "", IF(VLOOKUP($AP285, CONTRATOS!B:K,4,FALSE)="","",VLOOKUP($AP285, CONTRATOS!B:K,4, FALSE)))</f>
        <v/>
      </c>
      <c r="AW285" s="302" t="str">
        <f t="shared" si="191"/>
        <v/>
      </c>
      <c r="AX285" s="301" t="str">
        <f t="shared" si="192"/>
        <v/>
      </c>
      <c r="AY285" s="301" t="str">
        <f t="shared" si="193"/>
        <v/>
      </c>
      <c r="AZ285" s="301" t="str">
        <f t="shared" si="194"/>
        <v/>
      </c>
      <c r="BA285" s="301" t="str">
        <f t="shared" si="195"/>
        <v/>
      </c>
      <c r="BB285" s="303">
        <f t="shared" si="209"/>
        <v>0</v>
      </c>
      <c r="BC285" s="303" t="str">
        <f t="shared" si="210"/>
        <v/>
      </c>
      <c r="BD285" s="303" t="str">
        <f t="shared" si="211"/>
        <v/>
      </c>
      <c r="BF285" s="304">
        <f t="shared" si="212"/>
        <v>0</v>
      </c>
      <c r="BG285" s="304">
        <f t="shared" si="213"/>
        <v>0</v>
      </c>
      <c r="BH285" s="304" t="str">
        <f>IF( $B285="", "", IF(ISNA(VLOOKUP($C285, Defesa!$C$8:$C$30,1,FALSE)),1,0))</f>
        <v/>
      </c>
      <c r="BI285" s="305" t="str">
        <f t="shared" si="214"/>
        <v/>
      </c>
      <c r="BJ285" s="305" t="str">
        <f t="shared" si="215"/>
        <v/>
      </c>
      <c r="BK285" s="304" t="str">
        <f t="shared" si="216"/>
        <v/>
      </c>
      <c r="BL285" s="304">
        <f t="shared" si="217"/>
        <v>0</v>
      </c>
      <c r="BM285" s="304" t="str">
        <f>IF($AC285="", "", IF(ISNA(VLOOKUP($AC285, TABELAS!$Q:$Q, 1, FALSE)), 1, 0))</f>
        <v/>
      </c>
      <c r="BN285" s="306" t="str">
        <f t="shared" si="218"/>
        <v/>
      </c>
      <c r="BO285" s="304" t="str">
        <f t="shared" si="219"/>
        <v/>
      </c>
      <c r="BP285" s="304" t="str">
        <f t="shared" si="220"/>
        <v/>
      </c>
      <c r="BQ285" s="305" t="str">
        <f t="shared" si="221"/>
        <v/>
      </c>
      <c r="BR285" s="304" t="str">
        <f t="shared" si="222"/>
        <v/>
      </c>
      <c r="BS285" s="304" t="str">
        <f t="shared" si="223"/>
        <v/>
      </c>
      <c r="BT285" s="304" t="str">
        <f>IF(OR($B285="", $AH285 = "SIM"), "", IF( ISNA(VLOOKUP($AP285,#REF!, 1, FALSE)), 1, 0))</f>
        <v/>
      </c>
      <c r="BU285" s="304" t="str">
        <f t="shared" si="224"/>
        <v/>
      </c>
      <c r="BV285" s="304" t="str">
        <f>IF( $B285="", "", IF( ISNA(VLOOKUP($AN285, TABELAS!$T$2:$T$9,1,FALSE)), 1, 0))</f>
        <v/>
      </c>
      <c r="BW285" s="304" t="str">
        <f t="shared" si="225"/>
        <v/>
      </c>
      <c r="BX285" s="304" t="str">
        <f>IF( OR($B285="", $AH285 = "SIM"), "", IF( ISNA( VLOOKUP( $AQ285, SISTEMA!$B:$B, 1, FALSE)), 1, 0))</f>
        <v/>
      </c>
      <c r="BY285" s="305" t="str">
        <f t="shared" si="226"/>
        <v/>
      </c>
      <c r="BZ285" s="305" t="str">
        <f t="shared" si="227"/>
        <v/>
      </c>
      <c r="CA285" s="304" t="str">
        <f t="shared" si="228"/>
        <v/>
      </c>
      <c r="CB285" s="305" t="str">
        <f t="shared" si="229"/>
        <v/>
      </c>
      <c r="CC285" s="305" t="str">
        <f t="shared" si="230"/>
        <v/>
      </c>
      <c r="CD285" s="305" t="str">
        <f t="shared" si="231"/>
        <v/>
      </c>
    </row>
    <row r="286" spans="1:82" x14ac:dyDescent="0.2">
      <c r="A286" s="235"/>
      <c r="B286" s="236" t="str">
        <f t="shared" si="196"/>
        <v/>
      </c>
      <c r="C286" s="237" t="str">
        <f t="shared" si="186"/>
        <v/>
      </c>
      <c r="D286" s="237" t="str">
        <f t="shared" si="197"/>
        <v/>
      </c>
      <c r="E286" s="237" t="str">
        <f>IF($C286="", "", COUNTIF($M$8:$M286,$D286))</f>
        <v/>
      </c>
      <c r="F286" s="238">
        <v>279</v>
      </c>
      <c r="G286" s="239"/>
      <c r="H286" s="240"/>
      <c r="I286" s="240"/>
      <c r="J286" s="241"/>
      <c r="K286" s="240"/>
      <c r="L286" s="240"/>
      <c r="M286" s="240"/>
      <c r="N286" s="242"/>
      <c r="O286" s="243"/>
      <c r="P286" s="243"/>
      <c r="Q286" s="243"/>
      <c r="R286" s="243"/>
      <c r="S286" s="243"/>
      <c r="T286" s="245"/>
      <c r="U286" s="246" t="str">
        <f>IF($T286="", "", VLOOKUP($T286, CONTRATOS!$B:$E, 2, FALSE))</f>
        <v/>
      </c>
      <c r="V286" s="247">
        <f>IF(OR($T286="",TB_DEFESA!$C$2="Criação Baseline"),0,
   IF(VLOOKUP($T286, CONTRATOS!B:E, 3, FALSE)&lt;&gt;"",1,IF(VLOOKUP($T286, CONTRATOS!B:E, 4, FALSE)&lt;&gt;"",2,0)))</f>
        <v>0</v>
      </c>
      <c r="W286" s="248"/>
      <c r="X286" s="248"/>
      <c r="Y286" s="249"/>
      <c r="Z286" s="250"/>
      <c r="AA286" s="251"/>
      <c r="AB286" s="252"/>
      <c r="AC286" s="253"/>
      <c r="AD286" s="251"/>
      <c r="AE286" s="254" t="str">
        <f t="shared" si="187"/>
        <v/>
      </c>
      <c r="AF286" s="256" t="str">
        <f t="shared" si="198"/>
        <v/>
      </c>
      <c r="AG286" s="293" t="s">
        <v>62</v>
      </c>
      <c r="AH286" s="294" t="str">
        <f t="shared" si="199"/>
        <v/>
      </c>
      <c r="AI286" s="294" t="str">
        <f t="shared" si="200"/>
        <v/>
      </c>
      <c r="AJ286" s="295" t="str">
        <f t="shared" si="201"/>
        <v/>
      </c>
      <c r="AK286" s="296" t="str">
        <f t="shared" si="202"/>
        <v/>
      </c>
      <c r="AL286" s="297" t="str">
        <f t="shared" si="203"/>
        <v/>
      </c>
      <c r="AM286" s="294" t="str">
        <f t="shared" si="204"/>
        <v/>
      </c>
      <c r="AN286" s="294" t="str">
        <f t="shared" si="205"/>
        <v/>
      </c>
      <c r="AO286" s="298" t="str">
        <f t="shared" si="206"/>
        <v/>
      </c>
      <c r="AP286" s="299" t="str">
        <f t="shared" si="207"/>
        <v/>
      </c>
      <c r="AQ286" s="299" t="str">
        <f t="shared" si="208"/>
        <v/>
      </c>
      <c r="AR286" s="300" t="str">
        <f t="shared" si="188"/>
        <v/>
      </c>
      <c r="AS286" s="300" t="str">
        <f t="shared" si="189"/>
        <v/>
      </c>
      <c r="AT286" s="294" t="str">
        <f t="shared" si="190"/>
        <v/>
      </c>
      <c r="AU286" s="301" t="str">
        <f>IF(OR($B286="", $AP286= ""),"",IF(VLOOKUP($AP286, CONTRATOS!B:K,3,FALSE)="","",VLOOKUP($AP286, CONTRATOS!B:K, 3,FALSE)))</f>
        <v/>
      </c>
      <c r="AV286" s="301" t="str">
        <f>IF(OR($B286="", $AP286 = ""), "", IF(VLOOKUP($AP286, CONTRATOS!B:K,4,FALSE)="","",VLOOKUP($AP286, CONTRATOS!B:K,4, FALSE)))</f>
        <v/>
      </c>
      <c r="AW286" s="302" t="str">
        <f t="shared" si="191"/>
        <v/>
      </c>
      <c r="AX286" s="301" t="str">
        <f t="shared" si="192"/>
        <v/>
      </c>
      <c r="AY286" s="301" t="str">
        <f t="shared" si="193"/>
        <v/>
      </c>
      <c r="AZ286" s="301" t="str">
        <f t="shared" si="194"/>
        <v/>
      </c>
      <c r="BA286" s="301" t="str">
        <f t="shared" si="195"/>
        <v/>
      </c>
      <c r="BB286" s="303">
        <f t="shared" si="209"/>
        <v>0</v>
      </c>
      <c r="BC286" s="303" t="str">
        <f t="shared" si="210"/>
        <v/>
      </c>
      <c r="BD286" s="303" t="str">
        <f t="shared" si="211"/>
        <v/>
      </c>
      <c r="BF286" s="304">
        <f t="shared" si="212"/>
        <v>0</v>
      </c>
      <c r="BG286" s="304">
        <f t="shared" si="213"/>
        <v>0</v>
      </c>
      <c r="BH286" s="304" t="str">
        <f>IF( $B286="", "", IF(ISNA(VLOOKUP($C286, Defesa!$C$8:$C$30,1,FALSE)),1,0))</f>
        <v/>
      </c>
      <c r="BI286" s="305" t="str">
        <f t="shared" si="214"/>
        <v/>
      </c>
      <c r="BJ286" s="305" t="str">
        <f t="shared" si="215"/>
        <v/>
      </c>
      <c r="BK286" s="304" t="str">
        <f t="shared" si="216"/>
        <v/>
      </c>
      <c r="BL286" s="304">
        <f t="shared" si="217"/>
        <v>0</v>
      </c>
      <c r="BM286" s="304" t="str">
        <f>IF($AC286="", "", IF(ISNA(VLOOKUP($AC286, TABELAS!$Q:$Q, 1, FALSE)), 1, 0))</f>
        <v/>
      </c>
      <c r="BN286" s="306" t="str">
        <f t="shared" si="218"/>
        <v/>
      </c>
      <c r="BO286" s="304" t="str">
        <f t="shared" si="219"/>
        <v/>
      </c>
      <c r="BP286" s="304" t="str">
        <f t="shared" si="220"/>
        <v/>
      </c>
      <c r="BQ286" s="305" t="str">
        <f t="shared" si="221"/>
        <v/>
      </c>
      <c r="BR286" s="304" t="str">
        <f t="shared" si="222"/>
        <v/>
      </c>
      <c r="BS286" s="304" t="str">
        <f t="shared" si="223"/>
        <v/>
      </c>
      <c r="BT286" s="304" t="str">
        <f>IF(OR($B286="", $AH286 = "SIM"), "", IF( ISNA(VLOOKUP($AP286,#REF!, 1, FALSE)), 1, 0))</f>
        <v/>
      </c>
      <c r="BU286" s="304" t="str">
        <f t="shared" si="224"/>
        <v/>
      </c>
      <c r="BV286" s="304" t="str">
        <f>IF( $B286="", "", IF( ISNA(VLOOKUP($AN286, TABELAS!$T$2:$T$9,1,FALSE)), 1, 0))</f>
        <v/>
      </c>
      <c r="BW286" s="304" t="str">
        <f t="shared" si="225"/>
        <v/>
      </c>
      <c r="BX286" s="304" t="str">
        <f>IF( OR($B286="", $AH286 = "SIM"), "", IF( ISNA( VLOOKUP( $AQ286, SISTEMA!$B:$B, 1, FALSE)), 1, 0))</f>
        <v/>
      </c>
      <c r="BY286" s="305" t="str">
        <f t="shared" si="226"/>
        <v/>
      </c>
      <c r="BZ286" s="305" t="str">
        <f t="shared" si="227"/>
        <v/>
      </c>
      <c r="CA286" s="304" t="str">
        <f t="shared" si="228"/>
        <v/>
      </c>
      <c r="CB286" s="305" t="str">
        <f t="shared" si="229"/>
        <v/>
      </c>
      <c r="CC286" s="305" t="str">
        <f t="shared" si="230"/>
        <v/>
      </c>
      <c r="CD286" s="305" t="str">
        <f t="shared" si="231"/>
        <v/>
      </c>
    </row>
    <row r="287" spans="1:82" x14ac:dyDescent="0.2">
      <c r="A287" s="235"/>
      <c r="B287" s="236" t="str">
        <f t="shared" si="196"/>
        <v/>
      </c>
      <c r="C287" s="237" t="str">
        <f t="shared" si="186"/>
        <v/>
      </c>
      <c r="D287" s="237" t="str">
        <f t="shared" si="197"/>
        <v/>
      </c>
      <c r="E287" s="237" t="str">
        <f>IF($C287="", "", COUNTIF($M$8:$M287,$D287))</f>
        <v/>
      </c>
      <c r="F287" s="238">
        <v>280</v>
      </c>
      <c r="G287" s="239"/>
      <c r="H287" s="240"/>
      <c r="I287" s="240"/>
      <c r="J287" s="241"/>
      <c r="K287" s="240"/>
      <c r="L287" s="240"/>
      <c r="M287" s="240"/>
      <c r="N287" s="242"/>
      <c r="O287" s="243"/>
      <c r="P287" s="243"/>
      <c r="Q287" s="243"/>
      <c r="R287" s="243"/>
      <c r="S287" s="243"/>
      <c r="T287" s="245"/>
      <c r="U287" s="246" t="str">
        <f>IF($T287="", "", VLOOKUP($T287, CONTRATOS!$B:$E, 2, FALSE))</f>
        <v/>
      </c>
      <c r="V287" s="247">
        <f>IF(OR($T287="",TB_DEFESA!$C$2="Criação Baseline"),0,
   IF(VLOOKUP($T287, CONTRATOS!B:E, 3, FALSE)&lt;&gt;"",1,IF(VLOOKUP($T287, CONTRATOS!B:E, 4, FALSE)&lt;&gt;"",2,0)))</f>
        <v>0</v>
      </c>
      <c r="W287" s="248"/>
      <c r="X287" s="248"/>
      <c r="Y287" s="249"/>
      <c r="Z287" s="250"/>
      <c r="AA287" s="251"/>
      <c r="AB287" s="252"/>
      <c r="AC287" s="253"/>
      <c r="AD287" s="251"/>
      <c r="AE287" s="254" t="str">
        <f t="shared" si="187"/>
        <v/>
      </c>
      <c r="AF287" s="256" t="str">
        <f t="shared" si="198"/>
        <v/>
      </c>
      <c r="AG287" s="293" t="s">
        <v>62</v>
      </c>
      <c r="AH287" s="294" t="str">
        <f t="shared" si="199"/>
        <v/>
      </c>
      <c r="AI287" s="294" t="str">
        <f t="shared" si="200"/>
        <v/>
      </c>
      <c r="AJ287" s="295" t="str">
        <f t="shared" si="201"/>
        <v/>
      </c>
      <c r="AK287" s="296" t="str">
        <f t="shared" si="202"/>
        <v/>
      </c>
      <c r="AL287" s="297" t="str">
        <f t="shared" si="203"/>
        <v/>
      </c>
      <c r="AM287" s="294" t="str">
        <f t="shared" si="204"/>
        <v/>
      </c>
      <c r="AN287" s="294" t="str">
        <f t="shared" si="205"/>
        <v/>
      </c>
      <c r="AO287" s="298" t="str">
        <f t="shared" si="206"/>
        <v/>
      </c>
      <c r="AP287" s="299" t="str">
        <f t="shared" si="207"/>
        <v/>
      </c>
      <c r="AQ287" s="299" t="str">
        <f t="shared" si="208"/>
        <v/>
      </c>
      <c r="AR287" s="300" t="str">
        <f t="shared" si="188"/>
        <v/>
      </c>
      <c r="AS287" s="300" t="str">
        <f t="shared" si="189"/>
        <v/>
      </c>
      <c r="AT287" s="294" t="str">
        <f t="shared" si="190"/>
        <v/>
      </c>
      <c r="AU287" s="301" t="str">
        <f>IF(OR($B287="", $AP287= ""),"",IF(VLOOKUP($AP287, CONTRATOS!B:K,3,FALSE)="","",VLOOKUP($AP287, CONTRATOS!B:K, 3,FALSE)))</f>
        <v/>
      </c>
      <c r="AV287" s="301" t="str">
        <f>IF(OR($B287="", $AP287 = ""), "", IF(VLOOKUP($AP287, CONTRATOS!B:K,4,FALSE)="","",VLOOKUP($AP287, CONTRATOS!B:K,4, FALSE)))</f>
        <v/>
      </c>
      <c r="AW287" s="302" t="str">
        <f t="shared" si="191"/>
        <v/>
      </c>
      <c r="AX287" s="301" t="str">
        <f t="shared" si="192"/>
        <v/>
      </c>
      <c r="AY287" s="301" t="str">
        <f t="shared" si="193"/>
        <v/>
      </c>
      <c r="AZ287" s="301" t="str">
        <f t="shared" si="194"/>
        <v/>
      </c>
      <c r="BA287" s="301" t="str">
        <f t="shared" si="195"/>
        <v/>
      </c>
      <c r="BB287" s="303">
        <f t="shared" si="209"/>
        <v>0</v>
      </c>
      <c r="BC287" s="303" t="str">
        <f t="shared" si="210"/>
        <v/>
      </c>
      <c r="BD287" s="303" t="str">
        <f t="shared" si="211"/>
        <v/>
      </c>
      <c r="BF287" s="304">
        <f t="shared" si="212"/>
        <v>0</v>
      </c>
      <c r="BG287" s="304">
        <f t="shared" si="213"/>
        <v>0</v>
      </c>
      <c r="BH287" s="304" t="str">
        <f>IF( $B287="", "", IF(ISNA(VLOOKUP($C287, Defesa!$C$8:$C$30,1,FALSE)),1,0))</f>
        <v/>
      </c>
      <c r="BI287" s="305" t="str">
        <f t="shared" si="214"/>
        <v/>
      </c>
      <c r="BJ287" s="305" t="str">
        <f t="shared" si="215"/>
        <v/>
      </c>
      <c r="BK287" s="304" t="str">
        <f t="shared" si="216"/>
        <v/>
      </c>
      <c r="BL287" s="304">
        <f t="shared" si="217"/>
        <v>0</v>
      </c>
      <c r="BM287" s="304" t="str">
        <f>IF($AC287="", "", IF(ISNA(VLOOKUP($AC287, TABELAS!$Q:$Q, 1, FALSE)), 1, 0))</f>
        <v/>
      </c>
      <c r="BN287" s="306" t="str">
        <f t="shared" si="218"/>
        <v/>
      </c>
      <c r="BO287" s="304" t="str">
        <f t="shared" si="219"/>
        <v/>
      </c>
      <c r="BP287" s="304" t="str">
        <f t="shared" si="220"/>
        <v/>
      </c>
      <c r="BQ287" s="305" t="str">
        <f t="shared" si="221"/>
        <v/>
      </c>
      <c r="BR287" s="304" t="str">
        <f t="shared" si="222"/>
        <v/>
      </c>
      <c r="BS287" s="304" t="str">
        <f t="shared" si="223"/>
        <v/>
      </c>
      <c r="BT287" s="304" t="str">
        <f>IF(OR($B287="", $AH287 = "SIM"), "", IF( ISNA(VLOOKUP($AP287,#REF!, 1, FALSE)), 1, 0))</f>
        <v/>
      </c>
      <c r="BU287" s="304" t="str">
        <f t="shared" si="224"/>
        <v/>
      </c>
      <c r="BV287" s="304" t="str">
        <f>IF( $B287="", "", IF( ISNA(VLOOKUP($AN287, TABELAS!$T$2:$T$9,1,FALSE)), 1, 0))</f>
        <v/>
      </c>
      <c r="BW287" s="304" t="str">
        <f t="shared" si="225"/>
        <v/>
      </c>
      <c r="BX287" s="304" t="str">
        <f>IF( OR($B287="", $AH287 = "SIM"), "", IF( ISNA( VLOOKUP( $AQ287, SISTEMA!$B:$B, 1, FALSE)), 1, 0))</f>
        <v/>
      </c>
      <c r="BY287" s="305" t="str">
        <f t="shared" si="226"/>
        <v/>
      </c>
      <c r="BZ287" s="305" t="str">
        <f t="shared" si="227"/>
        <v/>
      </c>
      <c r="CA287" s="304" t="str">
        <f t="shared" si="228"/>
        <v/>
      </c>
      <c r="CB287" s="305" t="str">
        <f t="shared" si="229"/>
        <v/>
      </c>
      <c r="CC287" s="305" t="str">
        <f t="shared" si="230"/>
        <v/>
      </c>
      <c r="CD287" s="305" t="str">
        <f t="shared" si="231"/>
        <v/>
      </c>
    </row>
    <row r="288" spans="1:82" x14ac:dyDescent="0.2">
      <c r="A288" s="235"/>
      <c r="B288" s="236" t="str">
        <f t="shared" si="196"/>
        <v/>
      </c>
      <c r="C288" s="237" t="str">
        <f t="shared" si="186"/>
        <v/>
      </c>
      <c r="D288" s="237" t="str">
        <f t="shared" si="197"/>
        <v/>
      </c>
      <c r="E288" s="237" t="str">
        <f>IF($C288="", "", COUNTIF($M$8:$M288,$D288))</f>
        <v/>
      </c>
      <c r="F288" s="238">
        <v>281</v>
      </c>
      <c r="G288" s="239"/>
      <c r="H288" s="240"/>
      <c r="I288" s="240"/>
      <c r="J288" s="241"/>
      <c r="K288" s="240"/>
      <c r="L288" s="240"/>
      <c r="M288" s="240"/>
      <c r="N288" s="242"/>
      <c r="O288" s="243"/>
      <c r="P288" s="243"/>
      <c r="Q288" s="243"/>
      <c r="R288" s="243"/>
      <c r="S288" s="243"/>
      <c r="T288" s="245"/>
      <c r="U288" s="246" t="str">
        <f>IF($T288="", "", VLOOKUP($T288, CONTRATOS!$B:$E, 2, FALSE))</f>
        <v/>
      </c>
      <c r="V288" s="247">
        <f>IF(OR($T288="",TB_DEFESA!$C$2="Criação Baseline"),0,
   IF(VLOOKUP($T288, CONTRATOS!B:E, 3, FALSE)&lt;&gt;"",1,IF(VLOOKUP($T288, CONTRATOS!B:E, 4, FALSE)&lt;&gt;"",2,0)))</f>
        <v>0</v>
      </c>
      <c r="W288" s="248"/>
      <c r="X288" s="248"/>
      <c r="Y288" s="249"/>
      <c r="Z288" s="250"/>
      <c r="AA288" s="251"/>
      <c r="AB288" s="252"/>
      <c r="AC288" s="253"/>
      <c r="AD288" s="251"/>
      <c r="AE288" s="254" t="str">
        <f t="shared" si="187"/>
        <v/>
      </c>
      <c r="AF288" s="256" t="str">
        <f t="shared" si="198"/>
        <v/>
      </c>
      <c r="AG288" s="293" t="s">
        <v>62</v>
      </c>
      <c r="AH288" s="294" t="str">
        <f t="shared" si="199"/>
        <v/>
      </c>
      <c r="AI288" s="294" t="str">
        <f t="shared" si="200"/>
        <v/>
      </c>
      <c r="AJ288" s="295" t="str">
        <f t="shared" si="201"/>
        <v/>
      </c>
      <c r="AK288" s="296" t="str">
        <f t="shared" si="202"/>
        <v/>
      </c>
      <c r="AL288" s="297" t="str">
        <f t="shared" si="203"/>
        <v/>
      </c>
      <c r="AM288" s="294" t="str">
        <f t="shared" si="204"/>
        <v/>
      </c>
      <c r="AN288" s="294" t="str">
        <f t="shared" si="205"/>
        <v/>
      </c>
      <c r="AO288" s="298" t="str">
        <f t="shared" si="206"/>
        <v/>
      </c>
      <c r="AP288" s="299" t="str">
        <f t="shared" si="207"/>
        <v/>
      </c>
      <c r="AQ288" s="299" t="str">
        <f t="shared" si="208"/>
        <v/>
      </c>
      <c r="AR288" s="300" t="str">
        <f t="shared" si="188"/>
        <v/>
      </c>
      <c r="AS288" s="300" t="str">
        <f t="shared" si="189"/>
        <v/>
      </c>
      <c r="AT288" s="294" t="str">
        <f t="shared" si="190"/>
        <v/>
      </c>
      <c r="AU288" s="301" t="str">
        <f>IF(OR($B288="", $AP288= ""),"",IF(VLOOKUP($AP288, CONTRATOS!B:K,3,FALSE)="","",VLOOKUP($AP288, CONTRATOS!B:K, 3,FALSE)))</f>
        <v/>
      </c>
      <c r="AV288" s="301" t="str">
        <f>IF(OR($B288="", $AP288 = ""), "", IF(VLOOKUP($AP288, CONTRATOS!B:K,4,FALSE)="","",VLOOKUP($AP288, CONTRATOS!B:K,4, FALSE)))</f>
        <v/>
      </c>
      <c r="AW288" s="302" t="str">
        <f t="shared" si="191"/>
        <v/>
      </c>
      <c r="AX288" s="301" t="str">
        <f t="shared" si="192"/>
        <v/>
      </c>
      <c r="AY288" s="301" t="str">
        <f t="shared" si="193"/>
        <v/>
      </c>
      <c r="AZ288" s="301" t="str">
        <f t="shared" si="194"/>
        <v/>
      </c>
      <c r="BA288" s="301" t="str">
        <f t="shared" si="195"/>
        <v/>
      </c>
      <c r="BB288" s="303">
        <f t="shared" si="209"/>
        <v>0</v>
      </c>
      <c r="BC288" s="303" t="str">
        <f t="shared" si="210"/>
        <v/>
      </c>
      <c r="BD288" s="303" t="str">
        <f t="shared" si="211"/>
        <v/>
      </c>
      <c r="BF288" s="304">
        <f t="shared" si="212"/>
        <v>0</v>
      </c>
      <c r="BG288" s="304">
        <f t="shared" si="213"/>
        <v>0</v>
      </c>
      <c r="BH288" s="304" t="str">
        <f>IF( $B288="", "", IF(ISNA(VLOOKUP($C288, Defesa!$C$8:$C$30,1,FALSE)),1,0))</f>
        <v/>
      </c>
      <c r="BI288" s="305" t="str">
        <f t="shared" si="214"/>
        <v/>
      </c>
      <c r="BJ288" s="305" t="str">
        <f t="shared" si="215"/>
        <v/>
      </c>
      <c r="BK288" s="304" t="str">
        <f t="shared" si="216"/>
        <v/>
      </c>
      <c r="BL288" s="304">
        <f t="shared" si="217"/>
        <v>0</v>
      </c>
      <c r="BM288" s="304" t="str">
        <f>IF($AC288="", "", IF(ISNA(VLOOKUP($AC288, TABELAS!$Q:$Q, 1, FALSE)), 1, 0))</f>
        <v/>
      </c>
      <c r="BN288" s="306" t="str">
        <f t="shared" si="218"/>
        <v/>
      </c>
      <c r="BO288" s="304" t="str">
        <f t="shared" si="219"/>
        <v/>
      </c>
      <c r="BP288" s="304" t="str">
        <f t="shared" si="220"/>
        <v/>
      </c>
      <c r="BQ288" s="305" t="str">
        <f t="shared" si="221"/>
        <v/>
      </c>
      <c r="BR288" s="304" t="str">
        <f t="shared" si="222"/>
        <v/>
      </c>
      <c r="BS288" s="304" t="str">
        <f t="shared" si="223"/>
        <v/>
      </c>
      <c r="BT288" s="304" t="str">
        <f>IF(OR($B288="", $AH288 = "SIM"), "", IF( ISNA(VLOOKUP($AP288,#REF!, 1, FALSE)), 1, 0))</f>
        <v/>
      </c>
      <c r="BU288" s="304" t="str">
        <f t="shared" si="224"/>
        <v/>
      </c>
      <c r="BV288" s="304" t="str">
        <f>IF( $B288="", "", IF( ISNA(VLOOKUP($AN288, TABELAS!$T$2:$T$9,1,FALSE)), 1, 0))</f>
        <v/>
      </c>
      <c r="BW288" s="304" t="str">
        <f t="shared" si="225"/>
        <v/>
      </c>
      <c r="BX288" s="304" t="str">
        <f>IF( OR($B288="", $AH288 = "SIM"), "", IF( ISNA( VLOOKUP( $AQ288, SISTEMA!$B:$B, 1, FALSE)), 1, 0))</f>
        <v/>
      </c>
      <c r="BY288" s="305" t="str">
        <f t="shared" si="226"/>
        <v/>
      </c>
      <c r="BZ288" s="305" t="str">
        <f t="shared" si="227"/>
        <v/>
      </c>
      <c r="CA288" s="304" t="str">
        <f t="shared" si="228"/>
        <v/>
      </c>
      <c r="CB288" s="305" t="str">
        <f t="shared" si="229"/>
        <v/>
      </c>
      <c r="CC288" s="305" t="str">
        <f t="shared" si="230"/>
        <v/>
      </c>
      <c r="CD288" s="305" t="str">
        <f t="shared" si="231"/>
        <v/>
      </c>
    </row>
    <row r="289" spans="1:82" x14ac:dyDescent="0.2">
      <c r="A289" s="235"/>
      <c r="B289" s="236" t="str">
        <f t="shared" si="196"/>
        <v/>
      </c>
      <c r="C289" s="237" t="str">
        <f t="shared" si="186"/>
        <v/>
      </c>
      <c r="D289" s="237" t="str">
        <f t="shared" si="197"/>
        <v/>
      </c>
      <c r="E289" s="237" t="str">
        <f>IF($C289="", "", COUNTIF($M$8:$M289,$D289))</f>
        <v/>
      </c>
      <c r="F289" s="238">
        <v>282</v>
      </c>
      <c r="G289" s="239"/>
      <c r="H289" s="240"/>
      <c r="I289" s="240"/>
      <c r="J289" s="241"/>
      <c r="K289" s="240"/>
      <c r="L289" s="240"/>
      <c r="M289" s="240"/>
      <c r="N289" s="242"/>
      <c r="O289" s="243"/>
      <c r="P289" s="243"/>
      <c r="Q289" s="243"/>
      <c r="R289" s="243"/>
      <c r="S289" s="243"/>
      <c r="T289" s="245"/>
      <c r="U289" s="246" t="str">
        <f>IF($T289="", "", VLOOKUP($T289, CONTRATOS!$B:$E, 2, FALSE))</f>
        <v/>
      </c>
      <c r="V289" s="247">
        <f>IF(OR($T289="",TB_DEFESA!$C$2="Criação Baseline"),0,
   IF(VLOOKUP($T289, CONTRATOS!B:E, 3, FALSE)&lt;&gt;"",1,IF(VLOOKUP($T289, CONTRATOS!B:E, 4, FALSE)&lt;&gt;"",2,0)))</f>
        <v>0</v>
      </c>
      <c r="W289" s="248"/>
      <c r="X289" s="248"/>
      <c r="Y289" s="249"/>
      <c r="Z289" s="250"/>
      <c r="AA289" s="251"/>
      <c r="AB289" s="252"/>
      <c r="AC289" s="253"/>
      <c r="AD289" s="251"/>
      <c r="AE289" s="254" t="str">
        <f t="shared" si="187"/>
        <v/>
      </c>
      <c r="AF289" s="256" t="str">
        <f t="shared" si="198"/>
        <v/>
      </c>
      <c r="AG289" s="293" t="s">
        <v>62</v>
      </c>
      <c r="AH289" s="294" t="str">
        <f t="shared" si="199"/>
        <v/>
      </c>
      <c r="AI289" s="294" t="str">
        <f t="shared" si="200"/>
        <v/>
      </c>
      <c r="AJ289" s="295" t="str">
        <f t="shared" si="201"/>
        <v/>
      </c>
      <c r="AK289" s="296" t="str">
        <f t="shared" si="202"/>
        <v/>
      </c>
      <c r="AL289" s="297" t="str">
        <f t="shared" si="203"/>
        <v/>
      </c>
      <c r="AM289" s="294" t="str">
        <f t="shared" si="204"/>
        <v/>
      </c>
      <c r="AN289" s="294" t="str">
        <f t="shared" si="205"/>
        <v/>
      </c>
      <c r="AO289" s="298" t="str">
        <f t="shared" si="206"/>
        <v/>
      </c>
      <c r="AP289" s="299" t="str">
        <f t="shared" si="207"/>
        <v/>
      </c>
      <c r="AQ289" s="299" t="str">
        <f t="shared" si="208"/>
        <v/>
      </c>
      <c r="AR289" s="300" t="str">
        <f t="shared" si="188"/>
        <v/>
      </c>
      <c r="AS289" s="300" t="str">
        <f t="shared" si="189"/>
        <v/>
      </c>
      <c r="AT289" s="294" t="str">
        <f t="shared" si="190"/>
        <v/>
      </c>
      <c r="AU289" s="301" t="str">
        <f>IF(OR($B289="", $AP289= ""),"",IF(VLOOKUP($AP289, CONTRATOS!B:K,3,FALSE)="","",VLOOKUP($AP289, CONTRATOS!B:K, 3,FALSE)))</f>
        <v/>
      </c>
      <c r="AV289" s="301" t="str">
        <f>IF(OR($B289="", $AP289 = ""), "", IF(VLOOKUP($AP289, CONTRATOS!B:K,4,FALSE)="","",VLOOKUP($AP289, CONTRATOS!B:K,4, FALSE)))</f>
        <v/>
      </c>
      <c r="AW289" s="302" t="str">
        <f t="shared" si="191"/>
        <v/>
      </c>
      <c r="AX289" s="301" t="str">
        <f t="shared" si="192"/>
        <v/>
      </c>
      <c r="AY289" s="301" t="str">
        <f t="shared" si="193"/>
        <v/>
      </c>
      <c r="AZ289" s="301" t="str">
        <f t="shared" si="194"/>
        <v/>
      </c>
      <c r="BA289" s="301" t="str">
        <f t="shared" si="195"/>
        <v/>
      </c>
      <c r="BB289" s="303">
        <f t="shared" si="209"/>
        <v>0</v>
      </c>
      <c r="BC289" s="303" t="str">
        <f t="shared" si="210"/>
        <v/>
      </c>
      <c r="BD289" s="303" t="str">
        <f t="shared" si="211"/>
        <v/>
      </c>
      <c r="BF289" s="304">
        <f t="shared" si="212"/>
        <v>0</v>
      </c>
      <c r="BG289" s="304">
        <f t="shared" si="213"/>
        <v>0</v>
      </c>
      <c r="BH289" s="304" t="str">
        <f>IF( $B289="", "", IF(ISNA(VLOOKUP($C289, Defesa!$C$8:$C$30,1,FALSE)),1,0))</f>
        <v/>
      </c>
      <c r="BI289" s="305" t="str">
        <f t="shared" si="214"/>
        <v/>
      </c>
      <c r="BJ289" s="305" t="str">
        <f t="shared" si="215"/>
        <v/>
      </c>
      <c r="BK289" s="304" t="str">
        <f t="shared" si="216"/>
        <v/>
      </c>
      <c r="BL289" s="304">
        <f t="shared" si="217"/>
        <v>0</v>
      </c>
      <c r="BM289" s="304" t="str">
        <f>IF($AC289="", "", IF(ISNA(VLOOKUP($AC289, TABELAS!$Q:$Q, 1, FALSE)), 1, 0))</f>
        <v/>
      </c>
      <c r="BN289" s="306" t="str">
        <f t="shared" si="218"/>
        <v/>
      </c>
      <c r="BO289" s="304" t="str">
        <f t="shared" si="219"/>
        <v/>
      </c>
      <c r="BP289" s="304" t="str">
        <f t="shared" si="220"/>
        <v/>
      </c>
      <c r="BQ289" s="305" t="str">
        <f t="shared" si="221"/>
        <v/>
      </c>
      <c r="BR289" s="304" t="str">
        <f t="shared" si="222"/>
        <v/>
      </c>
      <c r="BS289" s="304" t="str">
        <f t="shared" si="223"/>
        <v/>
      </c>
      <c r="BT289" s="304" t="str">
        <f>IF(OR($B289="", $AH289 = "SIM"), "", IF( ISNA(VLOOKUP($AP289,#REF!, 1, FALSE)), 1, 0))</f>
        <v/>
      </c>
      <c r="BU289" s="304" t="str">
        <f t="shared" si="224"/>
        <v/>
      </c>
      <c r="BV289" s="304" t="str">
        <f>IF( $B289="", "", IF( ISNA(VLOOKUP($AN289, TABELAS!$T$2:$T$9,1,FALSE)), 1, 0))</f>
        <v/>
      </c>
      <c r="BW289" s="304" t="str">
        <f t="shared" si="225"/>
        <v/>
      </c>
      <c r="BX289" s="304" t="str">
        <f>IF( OR($B289="", $AH289 = "SIM"), "", IF( ISNA( VLOOKUP( $AQ289, SISTEMA!$B:$B, 1, FALSE)), 1, 0))</f>
        <v/>
      </c>
      <c r="BY289" s="305" t="str">
        <f t="shared" si="226"/>
        <v/>
      </c>
      <c r="BZ289" s="305" t="str">
        <f t="shared" si="227"/>
        <v/>
      </c>
      <c r="CA289" s="304" t="str">
        <f t="shared" si="228"/>
        <v/>
      </c>
      <c r="CB289" s="305" t="str">
        <f t="shared" si="229"/>
        <v/>
      </c>
      <c r="CC289" s="305" t="str">
        <f t="shared" si="230"/>
        <v/>
      </c>
      <c r="CD289" s="305" t="str">
        <f t="shared" si="231"/>
        <v/>
      </c>
    </row>
    <row r="290" spans="1:82" x14ac:dyDescent="0.2">
      <c r="A290" s="235"/>
      <c r="B290" s="236" t="str">
        <f t="shared" si="196"/>
        <v/>
      </c>
      <c r="C290" s="237" t="str">
        <f t="shared" si="186"/>
        <v/>
      </c>
      <c r="D290" s="237" t="str">
        <f t="shared" si="197"/>
        <v/>
      </c>
      <c r="E290" s="237" t="str">
        <f>IF($C290="", "", COUNTIF($M$8:$M290,$D290))</f>
        <v/>
      </c>
      <c r="F290" s="238">
        <v>283</v>
      </c>
      <c r="G290" s="239"/>
      <c r="H290" s="240"/>
      <c r="I290" s="240"/>
      <c r="J290" s="241"/>
      <c r="K290" s="240"/>
      <c r="L290" s="240"/>
      <c r="M290" s="240"/>
      <c r="N290" s="242"/>
      <c r="O290" s="243"/>
      <c r="P290" s="243"/>
      <c r="Q290" s="243"/>
      <c r="R290" s="243"/>
      <c r="S290" s="243"/>
      <c r="T290" s="245"/>
      <c r="U290" s="246" t="str">
        <f>IF($T290="", "", VLOOKUP($T290, CONTRATOS!$B:$E, 2, FALSE))</f>
        <v/>
      </c>
      <c r="V290" s="247">
        <f>IF(OR($T290="",TB_DEFESA!$C$2="Criação Baseline"),0,
   IF(VLOOKUP($T290, CONTRATOS!B:E, 3, FALSE)&lt;&gt;"",1,IF(VLOOKUP($T290, CONTRATOS!B:E, 4, FALSE)&lt;&gt;"",2,0)))</f>
        <v>0</v>
      </c>
      <c r="W290" s="248"/>
      <c r="X290" s="248"/>
      <c r="Y290" s="249"/>
      <c r="Z290" s="250"/>
      <c r="AA290" s="251"/>
      <c r="AB290" s="252"/>
      <c r="AC290" s="253"/>
      <c r="AD290" s="251"/>
      <c r="AE290" s="254" t="str">
        <f t="shared" si="187"/>
        <v/>
      </c>
      <c r="AF290" s="256" t="str">
        <f t="shared" si="198"/>
        <v/>
      </c>
      <c r="AG290" s="293" t="s">
        <v>62</v>
      </c>
      <c r="AH290" s="294" t="str">
        <f t="shared" si="199"/>
        <v/>
      </c>
      <c r="AI290" s="294" t="str">
        <f t="shared" si="200"/>
        <v/>
      </c>
      <c r="AJ290" s="295" t="str">
        <f t="shared" si="201"/>
        <v/>
      </c>
      <c r="AK290" s="296" t="str">
        <f t="shared" si="202"/>
        <v/>
      </c>
      <c r="AL290" s="297" t="str">
        <f t="shared" si="203"/>
        <v/>
      </c>
      <c r="AM290" s="294" t="str">
        <f t="shared" si="204"/>
        <v/>
      </c>
      <c r="AN290" s="294" t="str">
        <f t="shared" si="205"/>
        <v/>
      </c>
      <c r="AO290" s="298" t="str">
        <f t="shared" si="206"/>
        <v/>
      </c>
      <c r="AP290" s="299" t="str">
        <f t="shared" si="207"/>
        <v/>
      </c>
      <c r="AQ290" s="299" t="str">
        <f t="shared" si="208"/>
        <v/>
      </c>
      <c r="AR290" s="300" t="str">
        <f t="shared" si="188"/>
        <v/>
      </c>
      <c r="AS290" s="300" t="str">
        <f t="shared" si="189"/>
        <v/>
      </c>
      <c r="AT290" s="294" t="str">
        <f t="shared" si="190"/>
        <v/>
      </c>
      <c r="AU290" s="301" t="str">
        <f>IF(OR($B290="", $AP290= ""),"",IF(VLOOKUP($AP290, CONTRATOS!B:K,3,FALSE)="","",VLOOKUP($AP290, CONTRATOS!B:K, 3,FALSE)))</f>
        <v/>
      </c>
      <c r="AV290" s="301" t="str">
        <f>IF(OR($B290="", $AP290 = ""), "", IF(VLOOKUP($AP290, CONTRATOS!B:K,4,FALSE)="","",VLOOKUP($AP290, CONTRATOS!B:K,4, FALSE)))</f>
        <v/>
      </c>
      <c r="AW290" s="302" t="str">
        <f t="shared" si="191"/>
        <v/>
      </c>
      <c r="AX290" s="301" t="str">
        <f t="shared" si="192"/>
        <v/>
      </c>
      <c r="AY290" s="301" t="str">
        <f t="shared" si="193"/>
        <v/>
      </c>
      <c r="AZ290" s="301" t="str">
        <f t="shared" si="194"/>
        <v/>
      </c>
      <c r="BA290" s="301" t="str">
        <f t="shared" si="195"/>
        <v/>
      </c>
      <c r="BB290" s="303">
        <f t="shared" si="209"/>
        <v>0</v>
      </c>
      <c r="BC290" s="303" t="str">
        <f t="shared" si="210"/>
        <v/>
      </c>
      <c r="BD290" s="303" t="str">
        <f t="shared" si="211"/>
        <v/>
      </c>
      <c r="BF290" s="304">
        <f t="shared" si="212"/>
        <v>0</v>
      </c>
      <c r="BG290" s="304">
        <f t="shared" si="213"/>
        <v>0</v>
      </c>
      <c r="BH290" s="304" t="str">
        <f>IF( $B290="", "", IF(ISNA(VLOOKUP($C290, Defesa!$C$8:$C$30,1,FALSE)),1,0))</f>
        <v/>
      </c>
      <c r="BI290" s="305" t="str">
        <f t="shared" si="214"/>
        <v/>
      </c>
      <c r="BJ290" s="305" t="str">
        <f t="shared" si="215"/>
        <v/>
      </c>
      <c r="BK290" s="304" t="str">
        <f t="shared" si="216"/>
        <v/>
      </c>
      <c r="BL290" s="304">
        <f t="shared" si="217"/>
        <v>0</v>
      </c>
      <c r="BM290" s="304" t="str">
        <f>IF($AC290="", "", IF(ISNA(VLOOKUP($AC290, TABELAS!$Q:$Q, 1, FALSE)), 1, 0))</f>
        <v/>
      </c>
      <c r="BN290" s="306" t="str">
        <f t="shared" si="218"/>
        <v/>
      </c>
      <c r="BO290" s="304" t="str">
        <f t="shared" si="219"/>
        <v/>
      </c>
      <c r="BP290" s="304" t="str">
        <f t="shared" si="220"/>
        <v/>
      </c>
      <c r="BQ290" s="305" t="str">
        <f t="shared" si="221"/>
        <v/>
      </c>
      <c r="BR290" s="304" t="str">
        <f t="shared" si="222"/>
        <v/>
      </c>
      <c r="BS290" s="304" t="str">
        <f t="shared" si="223"/>
        <v/>
      </c>
      <c r="BT290" s="304" t="str">
        <f>IF(OR($B290="", $AH290 = "SIM"), "", IF( ISNA(VLOOKUP($AP290,#REF!, 1, FALSE)), 1, 0))</f>
        <v/>
      </c>
      <c r="BU290" s="304" t="str">
        <f t="shared" si="224"/>
        <v/>
      </c>
      <c r="BV290" s="304" t="str">
        <f>IF( $B290="", "", IF( ISNA(VLOOKUP($AN290, TABELAS!$T$2:$T$9,1,FALSE)), 1, 0))</f>
        <v/>
      </c>
      <c r="BW290" s="304" t="str">
        <f t="shared" si="225"/>
        <v/>
      </c>
      <c r="BX290" s="304" t="str">
        <f>IF( OR($B290="", $AH290 = "SIM"), "", IF( ISNA( VLOOKUP( $AQ290, SISTEMA!$B:$B, 1, FALSE)), 1, 0))</f>
        <v/>
      </c>
      <c r="BY290" s="305" t="str">
        <f t="shared" si="226"/>
        <v/>
      </c>
      <c r="BZ290" s="305" t="str">
        <f t="shared" si="227"/>
        <v/>
      </c>
      <c r="CA290" s="304" t="str">
        <f t="shared" si="228"/>
        <v/>
      </c>
      <c r="CB290" s="305" t="str">
        <f t="shared" si="229"/>
        <v/>
      </c>
      <c r="CC290" s="305" t="str">
        <f t="shared" si="230"/>
        <v/>
      </c>
      <c r="CD290" s="305" t="str">
        <f t="shared" si="231"/>
        <v/>
      </c>
    </row>
    <row r="291" spans="1:82" x14ac:dyDescent="0.2">
      <c r="A291" s="235"/>
      <c r="B291" s="236" t="str">
        <f t="shared" si="196"/>
        <v/>
      </c>
      <c r="C291" s="237" t="str">
        <f t="shared" si="186"/>
        <v/>
      </c>
      <c r="D291" s="237" t="str">
        <f t="shared" si="197"/>
        <v/>
      </c>
      <c r="E291" s="237" t="str">
        <f>IF($C291="", "", COUNTIF($M$8:$M291,$D291))</f>
        <v/>
      </c>
      <c r="F291" s="238">
        <v>284</v>
      </c>
      <c r="G291" s="239"/>
      <c r="H291" s="240"/>
      <c r="I291" s="240"/>
      <c r="J291" s="241"/>
      <c r="K291" s="240"/>
      <c r="L291" s="240"/>
      <c r="M291" s="240"/>
      <c r="N291" s="242"/>
      <c r="O291" s="243"/>
      <c r="P291" s="243"/>
      <c r="Q291" s="243"/>
      <c r="R291" s="243"/>
      <c r="S291" s="243"/>
      <c r="T291" s="245"/>
      <c r="U291" s="246" t="str">
        <f>IF($T291="", "", VLOOKUP($T291, CONTRATOS!$B:$E, 2, FALSE))</f>
        <v/>
      </c>
      <c r="V291" s="247">
        <f>IF(OR($T291="",TB_DEFESA!$C$2="Criação Baseline"),0,
   IF(VLOOKUP($T291, CONTRATOS!B:E, 3, FALSE)&lt;&gt;"",1,IF(VLOOKUP($T291, CONTRATOS!B:E, 4, FALSE)&lt;&gt;"",2,0)))</f>
        <v>0</v>
      </c>
      <c r="W291" s="248"/>
      <c r="X291" s="248"/>
      <c r="Y291" s="249"/>
      <c r="Z291" s="250"/>
      <c r="AA291" s="251"/>
      <c r="AB291" s="252"/>
      <c r="AC291" s="253"/>
      <c r="AD291" s="251"/>
      <c r="AE291" s="254" t="str">
        <f t="shared" si="187"/>
        <v/>
      </c>
      <c r="AF291" s="256" t="str">
        <f t="shared" si="198"/>
        <v/>
      </c>
      <c r="AG291" s="293" t="s">
        <v>62</v>
      </c>
      <c r="AH291" s="294" t="str">
        <f t="shared" si="199"/>
        <v/>
      </c>
      <c r="AI291" s="294" t="str">
        <f t="shared" si="200"/>
        <v/>
      </c>
      <c r="AJ291" s="295" t="str">
        <f t="shared" si="201"/>
        <v/>
      </c>
      <c r="AK291" s="296" t="str">
        <f t="shared" si="202"/>
        <v/>
      </c>
      <c r="AL291" s="297" t="str">
        <f t="shared" si="203"/>
        <v/>
      </c>
      <c r="AM291" s="294" t="str">
        <f t="shared" si="204"/>
        <v/>
      </c>
      <c r="AN291" s="294" t="str">
        <f t="shared" si="205"/>
        <v/>
      </c>
      <c r="AO291" s="298" t="str">
        <f t="shared" si="206"/>
        <v/>
      </c>
      <c r="AP291" s="299" t="str">
        <f t="shared" si="207"/>
        <v/>
      </c>
      <c r="AQ291" s="299" t="str">
        <f t="shared" si="208"/>
        <v/>
      </c>
      <c r="AR291" s="300" t="str">
        <f t="shared" si="188"/>
        <v/>
      </c>
      <c r="AS291" s="300" t="str">
        <f t="shared" si="189"/>
        <v/>
      </c>
      <c r="AT291" s="294" t="str">
        <f t="shared" si="190"/>
        <v/>
      </c>
      <c r="AU291" s="301" t="str">
        <f>IF(OR($B291="", $AP291= ""),"",IF(VLOOKUP($AP291, CONTRATOS!B:K,3,FALSE)="","",VLOOKUP($AP291, CONTRATOS!B:K, 3,FALSE)))</f>
        <v/>
      </c>
      <c r="AV291" s="301" t="str">
        <f>IF(OR($B291="", $AP291 = ""), "", IF(VLOOKUP($AP291, CONTRATOS!B:K,4,FALSE)="","",VLOOKUP($AP291, CONTRATOS!B:K,4, FALSE)))</f>
        <v/>
      </c>
      <c r="AW291" s="302" t="str">
        <f t="shared" si="191"/>
        <v/>
      </c>
      <c r="AX291" s="301" t="str">
        <f t="shared" si="192"/>
        <v/>
      </c>
      <c r="AY291" s="301" t="str">
        <f t="shared" si="193"/>
        <v/>
      </c>
      <c r="AZ291" s="301" t="str">
        <f t="shared" si="194"/>
        <v/>
      </c>
      <c r="BA291" s="301" t="str">
        <f t="shared" si="195"/>
        <v/>
      </c>
      <c r="BB291" s="303">
        <f t="shared" si="209"/>
        <v>0</v>
      </c>
      <c r="BC291" s="303" t="str">
        <f t="shared" si="210"/>
        <v/>
      </c>
      <c r="BD291" s="303" t="str">
        <f t="shared" si="211"/>
        <v/>
      </c>
      <c r="BF291" s="304">
        <f t="shared" si="212"/>
        <v>0</v>
      </c>
      <c r="BG291" s="304">
        <f t="shared" si="213"/>
        <v>0</v>
      </c>
      <c r="BH291" s="304" t="str">
        <f>IF( $B291="", "", IF(ISNA(VLOOKUP($C291, Defesa!$C$8:$C$30,1,FALSE)),1,0))</f>
        <v/>
      </c>
      <c r="BI291" s="305" t="str">
        <f t="shared" si="214"/>
        <v/>
      </c>
      <c r="BJ291" s="305" t="str">
        <f t="shared" si="215"/>
        <v/>
      </c>
      <c r="BK291" s="304" t="str">
        <f t="shared" si="216"/>
        <v/>
      </c>
      <c r="BL291" s="304">
        <f t="shared" si="217"/>
        <v>0</v>
      </c>
      <c r="BM291" s="304" t="str">
        <f>IF($AC291="", "", IF(ISNA(VLOOKUP($AC291, TABELAS!$Q:$Q, 1, FALSE)), 1, 0))</f>
        <v/>
      </c>
      <c r="BN291" s="306" t="str">
        <f t="shared" si="218"/>
        <v/>
      </c>
      <c r="BO291" s="304" t="str">
        <f t="shared" si="219"/>
        <v/>
      </c>
      <c r="BP291" s="304" t="str">
        <f t="shared" si="220"/>
        <v/>
      </c>
      <c r="BQ291" s="305" t="str">
        <f t="shared" si="221"/>
        <v/>
      </c>
      <c r="BR291" s="304" t="str">
        <f t="shared" si="222"/>
        <v/>
      </c>
      <c r="BS291" s="304" t="str">
        <f t="shared" si="223"/>
        <v/>
      </c>
      <c r="BT291" s="304" t="str">
        <f>IF(OR($B291="", $AH291 = "SIM"), "", IF( ISNA(VLOOKUP($AP291,#REF!, 1, FALSE)), 1, 0))</f>
        <v/>
      </c>
      <c r="BU291" s="304" t="str">
        <f t="shared" si="224"/>
        <v/>
      </c>
      <c r="BV291" s="304" t="str">
        <f>IF( $B291="", "", IF( ISNA(VLOOKUP($AN291, TABELAS!$T$2:$T$9,1,FALSE)), 1, 0))</f>
        <v/>
      </c>
      <c r="BW291" s="304" t="str">
        <f t="shared" si="225"/>
        <v/>
      </c>
      <c r="BX291" s="304" t="str">
        <f>IF( OR($B291="", $AH291 = "SIM"), "", IF( ISNA( VLOOKUP( $AQ291, SISTEMA!$B:$B, 1, FALSE)), 1, 0))</f>
        <v/>
      </c>
      <c r="BY291" s="305" t="str">
        <f t="shared" si="226"/>
        <v/>
      </c>
      <c r="BZ291" s="305" t="str">
        <f t="shared" si="227"/>
        <v/>
      </c>
      <c r="CA291" s="304" t="str">
        <f t="shared" si="228"/>
        <v/>
      </c>
      <c r="CB291" s="305" t="str">
        <f t="shared" si="229"/>
        <v/>
      </c>
      <c r="CC291" s="305" t="str">
        <f t="shared" si="230"/>
        <v/>
      </c>
      <c r="CD291" s="305" t="str">
        <f t="shared" si="231"/>
        <v/>
      </c>
    </row>
    <row r="292" spans="1:82" x14ac:dyDescent="0.2">
      <c r="A292" s="235"/>
      <c r="B292" s="236" t="str">
        <f t="shared" si="196"/>
        <v/>
      </c>
      <c r="C292" s="237" t="str">
        <f t="shared" si="186"/>
        <v/>
      </c>
      <c r="D292" s="237" t="str">
        <f t="shared" si="197"/>
        <v/>
      </c>
      <c r="E292" s="237" t="str">
        <f>IF($C292="", "", COUNTIF($M$8:$M292,$D292))</f>
        <v/>
      </c>
      <c r="F292" s="238">
        <v>285</v>
      </c>
      <c r="G292" s="239"/>
      <c r="H292" s="240"/>
      <c r="I292" s="240"/>
      <c r="J292" s="241"/>
      <c r="K292" s="240"/>
      <c r="L292" s="240"/>
      <c r="M292" s="240"/>
      <c r="N292" s="242"/>
      <c r="O292" s="243"/>
      <c r="P292" s="243"/>
      <c r="Q292" s="243"/>
      <c r="R292" s="243"/>
      <c r="S292" s="243"/>
      <c r="T292" s="245"/>
      <c r="U292" s="246" t="str">
        <f>IF($T292="", "", VLOOKUP($T292, CONTRATOS!$B:$E, 2, FALSE))</f>
        <v/>
      </c>
      <c r="V292" s="247">
        <f>IF(OR($T292="",TB_DEFESA!$C$2="Criação Baseline"),0,
   IF(VLOOKUP($T292, CONTRATOS!B:E, 3, FALSE)&lt;&gt;"",1,IF(VLOOKUP($T292, CONTRATOS!B:E, 4, FALSE)&lt;&gt;"",2,0)))</f>
        <v>0</v>
      </c>
      <c r="W292" s="248"/>
      <c r="X292" s="248"/>
      <c r="Y292" s="249"/>
      <c r="Z292" s="250"/>
      <c r="AA292" s="251"/>
      <c r="AB292" s="252"/>
      <c r="AC292" s="253"/>
      <c r="AD292" s="251"/>
      <c r="AE292" s="254" t="str">
        <f t="shared" si="187"/>
        <v/>
      </c>
      <c r="AF292" s="256" t="str">
        <f t="shared" si="198"/>
        <v/>
      </c>
      <c r="AG292" s="293" t="s">
        <v>62</v>
      </c>
      <c r="AH292" s="294" t="str">
        <f t="shared" si="199"/>
        <v/>
      </c>
      <c r="AI292" s="294" t="str">
        <f t="shared" si="200"/>
        <v/>
      </c>
      <c r="AJ292" s="295" t="str">
        <f t="shared" si="201"/>
        <v/>
      </c>
      <c r="AK292" s="296" t="str">
        <f t="shared" si="202"/>
        <v/>
      </c>
      <c r="AL292" s="297" t="str">
        <f t="shared" si="203"/>
        <v/>
      </c>
      <c r="AM292" s="294" t="str">
        <f t="shared" si="204"/>
        <v/>
      </c>
      <c r="AN292" s="294" t="str">
        <f t="shared" si="205"/>
        <v/>
      </c>
      <c r="AO292" s="298" t="str">
        <f t="shared" si="206"/>
        <v/>
      </c>
      <c r="AP292" s="299" t="str">
        <f t="shared" si="207"/>
        <v/>
      </c>
      <c r="AQ292" s="299" t="str">
        <f t="shared" si="208"/>
        <v/>
      </c>
      <c r="AR292" s="300" t="str">
        <f t="shared" si="188"/>
        <v/>
      </c>
      <c r="AS292" s="300" t="str">
        <f t="shared" si="189"/>
        <v/>
      </c>
      <c r="AT292" s="294" t="str">
        <f t="shared" si="190"/>
        <v/>
      </c>
      <c r="AU292" s="301" t="str">
        <f>IF(OR($B292="", $AP292= ""),"",IF(VLOOKUP($AP292, CONTRATOS!B:K,3,FALSE)="","",VLOOKUP($AP292, CONTRATOS!B:K, 3,FALSE)))</f>
        <v/>
      </c>
      <c r="AV292" s="301" t="str">
        <f>IF(OR($B292="", $AP292 = ""), "", IF(VLOOKUP($AP292, CONTRATOS!B:K,4,FALSE)="","",VLOOKUP($AP292, CONTRATOS!B:K,4, FALSE)))</f>
        <v/>
      </c>
      <c r="AW292" s="302" t="str">
        <f t="shared" si="191"/>
        <v/>
      </c>
      <c r="AX292" s="301" t="str">
        <f t="shared" si="192"/>
        <v/>
      </c>
      <c r="AY292" s="301" t="str">
        <f t="shared" si="193"/>
        <v/>
      </c>
      <c r="AZ292" s="301" t="str">
        <f t="shared" si="194"/>
        <v/>
      </c>
      <c r="BA292" s="301" t="str">
        <f t="shared" si="195"/>
        <v/>
      </c>
      <c r="BB292" s="303">
        <f t="shared" si="209"/>
        <v>0</v>
      </c>
      <c r="BC292" s="303" t="str">
        <f t="shared" si="210"/>
        <v/>
      </c>
      <c r="BD292" s="303" t="str">
        <f t="shared" si="211"/>
        <v/>
      </c>
      <c r="BF292" s="304">
        <f t="shared" si="212"/>
        <v>0</v>
      </c>
      <c r="BG292" s="304">
        <f t="shared" si="213"/>
        <v>0</v>
      </c>
      <c r="BH292" s="304" t="str">
        <f>IF( $B292="", "", IF(ISNA(VLOOKUP($C292, Defesa!$C$8:$C$30,1,FALSE)),1,0))</f>
        <v/>
      </c>
      <c r="BI292" s="305" t="str">
        <f t="shared" si="214"/>
        <v/>
      </c>
      <c r="BJ292" s="305" t="str">
        <f t="shared" si="215"/>
        <v/>
      </c>
      <c r="BK292" s="304" t="str">
        <f t="shared" si="216"/>
        <v/>
      </c>
      <c r="BL292" s="304">
        <f t="shared" si="217"/>
        <v>0</v>
      </c>
      <c r="BM292" s="304" t="str">
        <f>IF($AC292="", "", IF(ISNA(VLOOKUP($AC292, TABELAS!$Q:$Q, 1, FALSE)), 1, 0))</f>
        <v/>
      </c>
      <c r="BN292" s="306" t="str">
        <f t="shared" si="218"/>
        <v/>
      </c>
      <c r="BO292" s="304" t="str">
        <f t="shared" si="219"/>
        <v/>
      </c>
      <c r="BP292" s="304" t="str">
        <f t="shared" si="220"/>
        <v/>
      </c>
      <c r="BQ292" s="305" t="str">
        <f t="shared" si="221"/>
        <v/>
      </c>
      <c r="BR292" s="304" t="str">
        <f t="shared" si="222"/>
        <v/>
      </c>
      <c r="BS292" s="304" t="str">
        <f t="shared" si="223"/>
        <v/>
      </c>
      <c r="BT292" s="304" t="str">
        <f>IF(OR($B292="", $AH292 = "SIM"), "", IF( ISNA(VLOOKUP($AP292,#REF!, 1, FALSE)), 1, 0))</f>
        <v/>
      </c>
      <c r="BU292" s="304" t="str">
        <f t="shared" si="224"/>
        <v/>
      </c>
      <c r="BV292" s="304" t="str">
        <f>IF( $B292="", "", IF( ISNA(VLOOKUP($AN292, TABELAS!$T$2:$T$9,1,FALSE)), 1, 0))</f>
        <v/>
      </c>
      <c r="BW292" s="304" t="str">
        <f t="shared" si="225"/>
        <v/>
      </c>
      <c r="BX292" s="304" t="str">
        <f>IF( OR($B292="", $AH292 = "SIM"), "", IF( ISNA( VLOOKUP( $AQ292, SISTEMA!$B:$B, 1, FALSE)), 1, 0))</f>
        <v/>
      </c>
      <c r="BY292" s="305" t="str">
        <f t="shared" si="226"/>
        <v/>
      </c>
      <c r="BZ292" s="305" t="str">
        <f t="shared" si="227"/>
        <v/>
      </c>
      <c r="CA292" s="304" t="str">
        <f t="shared" si="228"/>
        <v/>
      </c>
      <c r="CB292" s="305" t="str">
        <f t="shared" si="229"/>
        <v/>
      </c>
      <c r="CC292" s="305" t="str">
        <f t="shared" si="230"/>
        <v/>
      </c>
      <c r="CD292" s="305" t="str">
        <f t="shared" si="231"/>
        <v/>
      </c>
    </row>
    <row r="293" spans="1:82" x14ac:dyDescent="0.2">
      <c r="A293" s="235"/>
      <c r="B293" s="236" t="str">
        <f t="shared" si="196"/>
        <v/>
      </c>
      <c r="C293" s="237" t="str">
        <f t="shared" si="186"/>
        <v/>
      </c>
      <c r="D293" s="237" t="str">
        <f t="shared" si="197"/>
        <v/>
      </c>
      <c r="E293" s="237" t="str">
        <f>IF($C293="", "", COUNTIF($M$8:$M293,$D293))</f>
        <v/>
      </c>
      <c r="F293" s="238">
        <v>286</v>
      </c>
      <c r="G293" s="239"/>
      <c r="H293" s="240"/>
      <c r="I293" s="240"/>
      <c r="J293" s="241"/>
      <c r="K293" s="240"/>
      <c r="L293" s="240"/>
      <c r="M293" s="240"/>
      <c r="N293" s="242"/>
      <c r="O293" s="243"/>
      <c r="P293" s="243"/>
      <c r="Q293" s="243"/>
      <c r="R293" s="243"/>
      <c r="S293" s="243"/>
      <c r="T293" s="245"/>
      <c r="U293" s="246" t="str">
        <f>IF($T293="", "", VLOOKUP($T293, CONTRATOS!$B:$E, 2, FALSE))</f>
        <v/>
      </c>
      <c r="V293" s="247">
        <f>IF(OR($T293="",TB_DEFESA!$C$2="Criação Baseline"),0,
   IF(VLOOKUP($T293, CONTRATOS!B:E, 3, FALSE)&lt;&gt;"",1,IF(VLOOKUP($T293, CONTRATOS!B:E, 4, FALSE)&lt;&gt;"",2,0)))</f>
        <v>0</v>
      </c>
      <c r="W293" s="248"/>
      <c r="X293" s="248"/>
      <c r="Y293" s="249"/>
      <c r="Z293" s="250"/>
      <c r="AA293" s="251"/>
      <c r="AB293" s="252"/>
      <c r="AC293" s="253"/>
      <c r="AD293" s="251"/>
      <c r="AE293" s="254" t="str">
        <f t="shared" si="187"/>
        <v/>
      </c>
      <c r="AF293" s="256" t="str">
        <f t="shared" si="198"/>
        <v/>
      </c>
      <c r="AG293" s="293" t="s">
        <v>62</v>
      </c>
      <c r="AH293" s="294" t="str">
        <f t="shared" si="199"/>
        <v/>
      </c>
      <c r="AI293" s="294" t="str">
        <f t="shared" si="200"/>
        <v/>
      </c>
      <c r="AJ293" s="295" t="str">
        <f t="shared" si="201"/>
        <v/>
      </c>
      <c r="AK293" s="296" t="str">
        <f t="shared" si="202"/>
        <v/>
      </c>
      <c r="AL293" s="297" t="str">
        <f t="shared" si="203"/>
        <v/>
      </c>
      <c r="AM293" s="294" t="str">
        <f t="shared" si="204"/>
        <v/>
      </c>
      <c r="AN293" s="294" t="str">
        <f t="shared" si="205"/>
        <v/>
      </c>
      <c r="AO293" s="298" t="str">
        <f t="shared" si="206"/>
        <v/>
      </c>
      <c r="AP293" s="299" t="str">
        <f t="shared" si="207"/>
        <v/>
      </c>
      <c r="AQ293" s="299" t="str">
        <f t="shared" si="208"/>
        <v/>
      </c>
      <c r="AR293" s="300" t="str">
        <f t="shared" si="188"/>
        <v/>
      </c>
      <c r="AS293" s="300" t="str">
        <f t="shared" si="189"/>
        <v/>
      </c>
      <c r="AT293" s="294" t="str">
        <f t="shared" si="190"/>
        <v/>
      </c>
      <c r="AU293" s="301" t="str">
        <f>IF(OR($B293="", $AP293= ""),"",IF(VLOOKUP($AP293, CONTRATOS!B:K,3,FALSE)="","",VLOOKUP($AP293, CONTRATOS!B:K, 3,FALSE)))</f>
        <v/>
      </c>
      <c r="AV293" s="301" t="str">
        <f>IF(OR($B293="", $AP293 = ""), "", IF(VLOOKUP($AP293, CONTRATOS!B:K,4,FALSE)="","",VLOOKUP($AP293, CONTRATOS!B:K,4, FALSE)))</f>
        <v/>
      </c>
      <c r="AW293" s="302" t="str">
        <f t="shared" si="191"/>
        <v/>
      </c>
      <c r="AX293" s="301" t="str">
        <f t="shared" si="192"/>
        <v/>
      </c>
      <c r="AY293" s="301" t="str">
        <f t="shared" si="193"/>
        <v/>
      </c>
      <c r="AZ293" s="301" t="str">
        <f t="shared" si="194"/>
        <v/>
      </c>
      <c r="BA293" s="301" t="str">
        <f t="shared" si="195"/>
        <v/>
      </c>
      <c r="BB293" s="303">
        <f t="shared" si="209"/>
        <v>0</v>
      </c>
      <c r="BC293" s="303" t="str">
        <f t="shared" si="210"/>
        <v/>
      </c>
      <c r="BD293" s="303" t="str">
        <f t="shared" si="211"/>
        <v/>
      </c>
      <c r="BF293" s="304">
        <f t="shared" si="212"/>
        <v>0</v>
      </c>
      <c r="BG293" s="304">
        <f t="shared" si="213"/>
        <v>0</v>
      </c>
      <c r="BH293" s="304" t="str">
        <f>IF( $B293="", "", IF(ISNA(VLOOKUP($C293, Defesa!$C$8:$C$30,1,FALSE)),1,0))</f>
        <v/>
      </c>
      <c r="BI293" s="305" t="str">
        <f t="shared" si="214"/>
        <v/>
      </c>
      <c r="BJ293" s="305" t="str">
        <f t="shared" si="215"/>
        <v/>
      </c>
      <c r="BK293" s="304" t="str">
        <f t="shared" si="216"/>
        <v/>
      </c>
      <c r="BL293" s="304">
        <f t="shared" si="217"/>
        <v>0</v>
      </c>
      <c r="BM293" s="304" t="str">
        <f>IF($AC293="", "", IF(ISNA(VLOOKUP($AC293, TABELAS!$Q:$Q, 1, FALSE)), 1, 0))</f>
        <v/>
      </c>
      <c r="BN293" s="306" t="str">
        <f t="shared" si="218"/>
        <v/>
      </c>
      <c r="BO293" s="304" t="str">
        <f t="shared" si="219"/>
        <v/>
      </c>
      <c r="BP293" s="304" t="str">
        <f t="shared" si="220"/>
        <v/>
      </c>
      <c r="BQ293" s="305" t="str">
        <f t="shared" si="221"/>
        <v/>
      </c>
      <c r="BR293" s="304" t="str">
        <f t="shared" si="222"/>
        <v/>
      </c>
      <c r="BS293" s="304" t="str">
        <f t="shared" si="223"/>
        <v/>
      </c>
      <c r="BT293" s="304" t="str">
        <f>IF(OR($B293="", $AH293 = "SIM"), "", IF( ISNA(VLOOKUP($AP293,#REF!, 1, FALSE)), 1, 0))</f>
        <v/>
      </c>
      <c r="BU293" s="304" t="str">
        <f t="shared" si="224"/>
        <v/>
      </c>
      <c r="BV293" s="304" t="str">
        <f>IF( $B293="", "", IF( ISNA(VLOOKUP($AN293, TABELAS!$T$2:$T$9,1,FALSE)), 1, 0))</f>
        <v/>
      </c>
      <c r="BW293" s="304" t="str">
        <f t="shared" si="225"/>
        <v/>
      </c>
      <c r="BX293" s="304" t="str">
        <f>IF( OR($B293="", $AH293 = "SIM"), "", IF( ISNA( VLOOKUP( $AQ293, SISTEMA!$B:$B, 1, FALSE)), 1, 0))</f>
        <v/>
      </c>
      <c r="BY293" s="305" t="str">
        <f t="shared" si="226"/>
        <v/>
      </c>
      <c r="BZ293" s="305" t="str">
        <f t="shared" si="227"/>
        <v/>
      </c>
      <c r="CA293" s="304" t="str">
        <f t="shared" si="228"/>
        <v/>
      </c>
      <c r="CB293" s="305" t="str">
        <f t="shared" si="229"/>
        <v/>
      </c>
      <c r="CC293" s="305" t="str">
        <f t="shared" si="230"/>
        <v/>
      </c>
      <c r="CD293" s="305" t="str">
        <f t="shared" si="231"/>
        <v/>
      </c>
    </row>
    <row r="294" spans="1:82" x14ac:dyDescent="0.2">
      <c r="A294" s="235"/>
      <c r="B294" s="236" t="str">
        <f t="shared" si="196"/>
        <v/>
      </c>
      <c r="C294" s="237" t="str">
        <f t="shared" si="186"/>
        <v/>
      </c>
      <c r="D294" s="237" t="str">
        <f t="shared" si="197"/>
        <v/>
      </c>
      <c r="E294" s="237" t="str">
        <f>IF($C294="", "", COUNTIF($M$8:$M294,$D294))</f>
        <v/>
      </c>
      <c r="F294" s="238">
        <v>287</v>
      </c>
      <c r="G294" s="239"/>
      <c r="H294" s="240"/>
      <c r="I294" s="240"/>
      <c r="J294" s="241"/>
      <c r="K294" s="240"/>
      <c r="L294" s="240"/>
      <c r="M294" s="240"/>
      <c r="N294" s="242"/>
      <c r="O294" s="243"/>
      <c r="P294" s="243"/>
      <c r="Q294" s="243"/>
      <c r="R294" s="243"/>
      <c r="S294" s="243"/>
      <c r="T294" s="245"/>
      <c r="U294" s="246" t="str">
        <f>IF($T294="", "", VLOOKUP($T294, CONTRATOS!$B:$E, 2, FALSE))</f>
        <v/>
      </c>
      <c r="V294" s="247">
        <f>IF(OR($T294="",TB_DEFESA!$C$2="Criação Baseline"),0,
   IF(VLOOKUP($T294, CONTRATOS!B:E, 3, FALSE)&lt;&gt;"",1,IF(VLOOKUP($T294, CONTRATOS!B:E, 4, FALSE)&lt;&gt;"",2,0)))</f>
        <v>0</v>
      </c>
      <c r="W294" s="248"/>
      <c r="X294" s="248"/>
      <c r="Y294" s="249"/>
      <c r="Z294" s="250"/>
      <c r="AA294" s="251"/>
      <c r="AB294" s="252"/>
      <c r="AC294" s="253"/>
      <c r="AD294" s="251"/>
      <c r="AE294" s="254" t="str">
        <f t="shared" si="187"/>
        <v/>
      </c>
      <c r="AF294" s="256" t="str">
        <f t="shared" si="198"/>
        <v/>
      </c>
      <c r="AG294" s="293" t="s">
        <v>62</v>
      </c>
      <c r="AH294" s="294" t="str">
        <f t="shared" si="199"/>
        <v/>
      </c>
      <c r="AI294" s="294" t="str">
        <f t="shared" si="200"/>
        <v/>
      </c>
      <c r="AJ294" s="295" t="str">
        <f t="shared" si="201"/>
        <v/>
      </c>
      <c r="AK294" s="296" t="str">
        <f t="shared" si="202"/>
        <v/>
      </c>
      <c r="AL294" s="297" t="str">
        <f t="shared" si="203"/>
        <v/>
      </c>
      <c r="AM294" s="294" t="str">
        <f t="shared" si="204"/>
        <v/>
      </c>
      <c r="AN294" s="294" t="str">
        <f t="shared" si="205"/>
        <v/>
      </c>
      <c r="AO294" s="298" t="str">
        <f t="shared" si="206"/>
        <v/>
      </c>
      <c r="AP294" s="299" t="str">
        <f t="shared" si="207"/>
        <v/>
      </c>
      <c r="AQ294" s="299" t="str">
        <f t="shared" si="208"/>
        <v/>
      </c>
      <c r="AR294" s="300" t="str">
        <f t="shared" si="188"/>
        <v/>
      </c>
      <c r="AS294" s="300" t="str">
        <f t="shared" si="189"/>
        <v/>
      </c>
      <c r="AT294" s="294" t="str">
        <f t="shared" si="190"/>
        <v/>
      </c>
      <c r="AU294" s="301" t="str">
        <f>IF(OR($B294="", $AP294= ""),"",IF(VLOOKUP($AP294, CONTRATOS!B:K,3,FALSE)="","",VLOOKUP($AP294, CONTRATOS!B:K, 3,FALSE)))</f>
        <v/>
      </c>
      <c r="AV294" s="301" t="str">
        <f>IF(OR($B294="", $AP294 = ""), "", IF(VLOOKUP($AP294, CONTRATOS!B:K,4,FALSE)="","",VLOOKUP($AP294, CONTRATOS!B:K,4, FALSE)))</f>
        <v/>
      </c>
      <c r="AW294" s="302" t="str">
        <f t="shared" si="191"/>
        <v/>
      </c>
      <c r="AX294" s="301" t="str">
        <f t="shared" si="192"/>
        <v/>
      </c>
      <c r="AY294" s="301" t="str">
        <f t="shared" si="193"/>
        <v/>
      </c>
      <c r="AZ294" s="301" t="str">
        <f t="shared" si="194"/>
        <v/>
      </c>
      <c r="BA294" s="301" t="str">
        <f t="shared" si="195"/>
        <v/>
      </c>
      <c r="BB294" s="303">
        <f t="shared" si="209"/>
        <v>0</v>
      </c>
      <c r="BC294" s="303" t="str">
        <f t="shared" si="210"/>
        <v/>
      </c>
      <c r="BD294" s="303" t="str">
        <f t="shared" si="211"/>
        <v/>
      </c>
      <c r="BF294" s="304">
        <f t="shared" si="212"/>
        <v>0</v>
      </c>
      <c r="BG294" s="304">
        <f t="shared" si="213"/>
        <v>0</v>
      </c>
      <c r="BH294" s="304" t="str">
        <f>IF( $B294="", "", IF(ISNA(VLOOKUP($C294, Defesa!$C$8:$C$30,1,FALSE)),1,0))</f>
        <v/>
      </c>
      <c r="BI294" s="305" t="str">
        <f t="shared" si="214"/>
        <v/>
      </c>
      <c r="BJ294" s="305" t="str">
        <f t="shared" si="215"/>
        <v/>
      </c>
      <c r="BK294" s="304" t="str">
        <f t="shared" si="216"/>
        <v/>
      </c>
      <c r="BL294" s="304">
        <f t="shared" si="217"/>
        <v>0</v>
      </c>
      <c r="BM294" s="304" t="str">
        <f>IF($AC294="", "", IF(ISNA(VLOOKUP($AC294, TABELAS!$Q:$Q, 1, FALSE)), 1, 0))</f>
        <v/>
      </c>
      <c r="BN294" s="306" t="str">
        <f t="shared" si="218"/>
        <v/>
      </c>
      <c r="BO294" s="304" t="str">
        <f t="shared" si="219"/>
        <v/>
      </c>
      <c r="BP294" s="304" t="str">
        <f t="shared" si="220"/>
        <v/>
      </c>
      <c r="BQ294" s="305" t="str">
        <f t="shared" si="221"/>
        <v/>
      </c>
      <c r="BR294" s="304" t="str">
        <f t="shared" si="222"/>
        <v/>
      </c>
      <c r="BS294" s="304" t="str">
        <f t="shared" si="223"/>
        <v/>
      </c>
      <c r="BT294" s="304" t="str">
        <f>IF(OR($B294="", $AH294 = "SIM"), "", IF( ISNA(VLOOKUP($AP294,#REF!, 1, FALSE)), 1, 0))</f>
        <v/>
      </c>
      <c r="BU294" s="304" t="str">
        <f t="shared" si="224"/>
        <v/>
      </c>
      <c r="BV294" s="304" t="str">
        <f>IF( $B294="", "", IF( ISNA(VLOOKUP($AN294, TABELAS!$T$2:$T$9,1,FALSE)), 1, 0))</f>
        <v/>
      </c>
      <c r="BW294" s="304" t="str">
        <f t="shared" si="225"/>
        <v/>
      </c>
      <c r="BX294" s="304" t="str">
        <f>IF( OR($B294="", $AH294 = "SIM"), "", IF( ISNA( VLOOKUP( $AQ294, SISTEMA!$B:$B, 1, FALSE)), 1, 0))</f>
        <v/>
      </c>
      <c r="BY294" s="305" t="str">
        <f t="shared" si="226"/>
        <v/>
      </c>
      <c r="BZ294" s="305" t="str">
        <f t="shared" si="227"/>
        <v/>
      </c>
      <c r="CA294" s="304" t="str">
        <f t="shared" si="228"/>
        <v/>
      </c>
      <c r="CB294" s="305" t="str">
        <f t="shared" si="229"/>
        <v/>
      </c>
      <c r="CC294" s="305" t="str">
        <f t="shared" si="230"/>
        <v/>
      </c>
      <c r="CD294" s="305" t="str">
        <f t="shared" si="231"/>
        <v/>
      </c>
    </row>
    <row r="295" spans="1:82" x14ac:dyDescent="0.2">
      <c r="A295" s="235"/>
      <c r="B295" s="236" t="str">
        <f t="shared" si="196"/>
        <v/>
      </c>
      <c r="C295" s="237" t="str">
        <f t="shared" si="186"/>
        <v/>
      </c>
      <c r="D295" s="237" t="str">
        <f t="shared" si="197"/>
        <v/>
      </c>
      <c r="E295" s="237" t="str">
        <f>IF($C295="", "", COUNTIF($M$8:$M295,$D295))</f>
        <v/>
      </c>
      <c r="F295" s="238">
        <v>288</v>
      </c>
      <c r="G295" s="239"/>
      <c r="H295" s="240"/>
      <c r="I295" s="240"/>
      <c r="J295" s="241"/>
      <c r="K295" s="240"/>
      <c r="L295" s="240"/>
      <c r="M295" s="240"/>
      <c r="N295" s="242"/>
      <c r="O295" s="243"/>
      <c r="P295" s="243"/>
      <c r="Q295" s="243"/>
      <c r="R295" s="243"/>
      <c r="S295" s="243"/>
      <c r="T295" s="245"/>
      <c r="U295" s="246" t="str">
        <f>IF($T295="", "", VLOOKUP($T295, CONTRATOS!$B:$E, 2, FALSE))</f>
        <v/>
      </c>
      <c r="V295" s="247">
        <f>IF(OR($T295="",TB_DEFESA!$C$2="Criação Baseline"),0,
   IF(VLOOKUP($T295, CONTRATOS!B:E, 3, FALSE)&lt;&gt;"",1,IF(VLOOKUP($T295, CONTRATOS!B:E, 4, FALSE)&lt;&gt;"",2,0)))</f>
        <v>0</v>
      </c>
      <c r="W295" s="248"/>
      <c r="X295" s="248"/>
      <c r="Y295" s="249"/>
      <c r="Z295" s="250"/>
      <c r="AA295" s="251"/>
      <c r="AB295" s="252"/>
      <c r="AC295" s="253"/>
      <c r="AD295" s="251"/>
      <c r="AE295" s="254" t="str">
        <f t="shared" si="187"/>
        <v/>
      </c>
      <c r="AF295" s="256" t="str">
        <f t="shared" si="198"/>
        <v/>
      </c>
      <c r="AG295" s="293" t="s">
        <v>62</v>
      </c>
      <c r="AH295" s="294" t="str">
        <f t="shared" si="199"/>
        <v/>
      </c>
      <c r="AI295" s="294" t="str">
        <f t="shared" si="200"/>
        <v/>
      </c>
      <c r="AJ295" s="295" t="str">
        <f t="shared" si="201"/>
        <v/>
      </c>
      <c r="AK295" s="296" t="str">
        <f t="shared" si="202"/>
        <v/>
      </c>
      <c r="AL295" s="297" t="str">
        <f t="shared" si="203"/>
        <v/>
      </c>
      <c r="AM295" s="294" t="str">
        <f t="shared" si="204"/>
        <v/>
      </c>
      <c r="AN295" s="294" t="str">
        <f t="shared" si="205"/>
        <v/>
      </c>
      <c r="AO295" s="298" t="str">
        <f t="shared" si="206"/>
        <v/>
      </c>
      <c r="AP295" s="299" t="str">
        <f t="shared" si="207"/>
        <v/>
      </c>
      <c r="AQ295" s="299" t="str">
        <f t="shared" si="208"/>
        <v/>
      </c>
      <c r="AR295" s="300" t="str">
        <f t="shared" si="188"/>
        <v/>
      </c>
      <c r="AS295" s="300" t="str">
        <f t="shared" si="189"/>
        <v/>
      </c>
      <c r="AT295" s="294" t="str">
        <f t="shared" si="190"/>
        <v/>
      </c>
      <c r="AU295" s="301" t="str">
        <f>IF(OR($B295="", $AP295= ""),"",IF(VLOOKUP($AP295, CONTRATOS!B:K,3,FALSE)="","",VLOOKUP($AP295, CONTRATOS!B:K, 3,FALSE)))</f>
        <v/>
      </c>
      <c r="AV295" s="301" t="str">
        <f>IF(OR($B295="", $AP295 = ""), "", IF(VLOOKUP($AP295, CONTRATOS!B:K,4,FALSE)="","",VLOOKUP($AP295, CONTRATOS!B:K,4, FALSE)))</f>
        <v/>
      </c>
      <c r="AW295" s="302" t="str">
        <f t="shared" si="191"/>
        <v/>
      </c>
      <c r="AX295" s="301" t="str">
        <f t="shared" si="192"/>
        <v/>
      </c>
      <c r="AY295" s="301" t="str">
        <f t="shared" si="193"/>
        <v/>
      </c>
      <c r="AZ295" s="301" t="str">
        <f t="shared" si="194"/>
        <v/>
      </c>
      <c r="BA295" s="301" t="str">
        <f t="shared" si="195"/>
        <v/>
      </c>
      <c r="BB295" s="303">
        <f t="shared" si="209"/>
        <v>0</v>
      </c>
      <c r="BC295" s="303" t="str">
        <f t="shared" si="210"/>
        <v/>
      </c>
      <c r="BD295" s="303" t="str">
        <f t="shared" si="211"/>
        <v/>
      </c>
      <c r="BF295" s="304">
        <f t="shared" si="212"/>
        <v>0</v>
      </c>
      <c r="BG295" s="304">
        <f t="shared" si="213"/>
        <v>0</v>
      </c>
      <c r="BH295" s="304" t="str">
        <f>IF( $B295="", "", IF(ISNA(VLOOKUP($C295, Defesa!$C$8:$C$30,1,FALSE)),1,0))</f>
        <v/>
      </c>
      <c r="BI295" s="305" t="str">
        <f t="shared" si="214"/>
        <v/>
      </c>
      <c r="BJ295" s="305" t="str">
        <f t="shared" si="215"/>
        <v/>
      </c>
      <c r="BK295" s="304" t="str">
        <f t="shared" si="216"/>
        <v/>
      </c>
      <c r="BL295" s="304">
        <f t="shared" si="217"/>
        <v>0</v>
      </c>
      <c r="BM295" s="304" t="str">
        <f>IF($AC295="", "", IF(ISNA(VLOOKUP($AC295, TABELAS!$Q:$Q, 1, FALSE)), 1, 0))</f>
        <v/>
      </c>
      <c r="BN295" s="306" t="str">
        <f t="shared" si="218"/>
        <v/>
      </c>
      <c r="BO295" s="304" t="str">
        <f t="shared" si="219"/>
        <v/>
      </c>
      <c r="BP295" s="304" t="str">
        <f t="shared" si="220"/>
        <v/>
      </c>
      <c r="BQ295" s="305" t="str">
        <f t="shared" si="221"/>
        <v/>
      </c>
      <c r="BR295" s="304" t="str">
        <f t="shared" si="222"/>
        <v/>
      </c>
      <c r="BS295" s="304" t="str">
        <f t="shared" si="223"/>
        <v/>
      </c>
      <c r="BT295" s="304" t="str">
        <f>IF(OR($B295="", $AH295 = "SIM"), "", IF( ISNA(VLOOKUP($AP295,#REF!, 1, FALSE)), 1, 0))</f>
        <v/>
      </c>
      <c r="BU295" s="304" t="str">
        <f t="shared" si="224"/>
        <v/>
      </c>
      <c r="BV295" s="304" t="str">
        <f>IF( $B295="", "", IF( ISNA(VLOOKUP($AN295, TABELAS!$T$2:$T$9,1,FALSE)), 1, 0))</f>
        <v/>
      </c>
      <c r="BW295" s="304" t="str">
        <f t="shared" si="225"/>
        <v/>
      </c>
      <c r="BX295" s="304" t="str">
        <f>IF( OR($B295="", $AH295 = "SIM"), "", IF( ISNA( VLOOKUP( $AQ295, SISTEMA!$B:$B, 1, FALSE)), 1, 0))</f>
        <v/>
      </c>
      <c r="BY295" s="305" t="str">
        <f t="shared" si="226"/>
        <v/>
      </c>
      <c r="BZ295" s="305" t="str">
        <f t="shared" si="227"/>
        <v/>
      </c>
      <c r="CA295" s="304" t="str">
        <f t="shared" si="228"/>
        <v/>
      </c>
      <c r="CB295" s="305" t="str">
        <f t="shared" si="229"/>
        <v/>
      </c>
      <c r="CC295" s="305" t="str">
        <f t="shared" si="230"/>
        <v/>
      </c>
      <c r="CD295" s="305" t="str">
        <f t="shared" si="231"/>
        <v/>
      </c>
    </row>
    <row r="296" spans="1:82" x14ac:dyDescent="0.2">
      <c r="A296" s="235"/>
      <c r="B296" s="236" t="str">
        <f t="shared" si="196"/>
        <v/>
      </c>
      <c r="C296" s="237" t="str">
        <f t="shared" si="186"/>
        <v/>
      </c>
      <c r="D296" s="237" t="str">
        <f t="shared" si="197"/>
        <v/>
      </c>
      <c r="E296" s="237" t="str">
        <f>IF($C296="", "", COUNTIF($M$8:$M296,$D296))</f>
        <v/>
      </c>
      <c r="F296" s="238">
        <v>289</v>
      </c>
      <c r="G296" s="239"/>
      <c r="H296" s="240"/>
      <c r="I296" s="240"/>
      <c r="J296" s="241"/>
      <c r="K296" s="240"/>
      <c r="L296" s="240"/>
      <c r="M296" s="240"/>
      <c r="N296" s="242"/>
      <c r="O296" s="243"/>
      <c r="P296" s="243"/>
      <c r="Q296" s="243"/>
      <c r="R296" s="243"/>
      <c r="S296" s="243"/>
      <c r="T296" s="245"/>
      <c r="U296" s="246" t="str">
        <f>IF($T296="", "", VLOOKUP($T296, CONTRATOS!$B:$E, 2, FALSE))</f>
        <v/>
      </c>
      <c r="V296" s="247">
        <f>IF(OR($T296="",TB_DEFESA!$C$2="Criação Baseline"),0,
   IF(VLOOKUP($T296, CONTRATOS!B:E, 3, FALSE)&lt;&gt;"",1,IF(VLOOKUP($T296, CONTRATOS!B:E, 4, FALSE)&lt;&gt;"",2,0)))</f>
        <v>0</v>
      </c>
      <c r="W296" s="248"/>
      <c r="X296" s="248"/>
      <c r="Y296" s="249"/>
      <c r="Z296" s="250"/>
      <c r="AA296" s="251"/>
      <c r="AB296" s="252"/>
      <c r="AC296" s="253"/>
      <c r="AD296" s="251"/>
      <c r="AE296" s="254" t="str">
        <f t="shared" si="187"/>
        <v/>
      </c>
      <c r="AF296" s="256" t="str">
        <f t="shared" si="198"/>
        <v/>
      </c>
      <c r="AG296" s="293" t="s">
        <v>62</v>
      </c>
      <c r="AH296" s="294" t="str">
        <f t="shared" si="199"/>
        <v/>
      </c>
      <c r="AI296" s="294" t="str">
        <f t="shared" si="200"/>
        <v/>
      </c>
      <c r="AJ296" s="295" t="str">
        <f t="shared" si="201"/>
        <v/>
      </c>
      <c r="AK296" s="296" t="str">
        <f t="shared" si="202"/>
        <v/>
      </c>
      <c r="AL296" s="297" t="str">
        <f t="shared" si="203"/>
        <v/>
      </c>
      <c r="AM296" s="294" t="str">
        <f t="shared" si="204"/>
        <v/>
      </c>
      <c r="AN296" s="294" t="str">
        <f t="shared" si="205"/>
        <v/>
      </c>
      <c r="AO296" s="298" t="str">
        <f t="shared" si="206"/>
        <v/>
      </c>
      <c r="AP296" s="299" t="str">
        <f t="shared" si="207"/>
        <v/>
      </c>
      <c r="AQ296" s="299" t="str">
        <f t="shared" si="208"/>
        <v/>
      </c>
      <c r="AR296" s="300" t="str">
        <f t="shared" si="188"/>
        <v/>
      </c>
      <c r="AS296" s="300" t="str">
        <f t="shared" si="189"/>
        <v/>
      </c>
      <c r="AT296" s="294" t="str">
        <f t="shared" si="190"/>
        <v/>
      </c>
      <c r="AU296" s="301" t="str">
        <f>IF(OR($B296="", $AP296= ""),"",IF(VLOOKUP($AP296, CONTRATOS!B:K,3,FALSE)="","",VLOOKUP($AP296, CONTRATOS!B:K, 3,FALSE)))</f>
        <v/>
      </c>
      <c r="AV296" s="301" t="str">
        <f>IF(OR($B296="", $AP296 = ""), "", IF(VLOOKUP($AP296, CONTRATOS!B:K,4,FALSE)="","",VLOOKUP($AP296, CONTRATOS!B:K,4, FALSE)))</f>
        <v/>
      </c>
      <c r="AW296" s="302" t="str">
        <f t="shared" si="191"/>
        <v/>
      </c>
      <c r="AX296" s="301" t="str">
        <f t="shared" si="192"/>
        <v/>
      </c>
      <c r="AY296" s="301" t="str">
        <f t="shared" si="193"/>
        <v/>
      </c>
      <c r="AZ296" s="301" t="str">
        <f t="shared" si="194"/>
        <v/>
      </c>
      <c r="BA296" s="301" t="str">
        <f t="shared" si="195"/>
        <v/>
      </c>
      <c r="BB296" s="303">
        <f t="shared" si="209"/>
        <v>0</v>
      </c>
      <c r="BC296" s="303" t="str">
        <f t="shared" si="210"/>
        <v/>
      </c>
      <c r="BD296" s="303" t="str">
        <f t="shared" si="211"/>
        <v/>
      </c>
      <c r="BF296" s="304">
        <f t="shared" si="212"/>
        <v>0</v>
      </c>
      <c r="BG296" s="304">
        <f t="shared" si="213"/>
        <v>0</v>
      </c>
      <c r="BH296" s="304" t="str">
        <f>IF( $B296="", "", IF(ISNA(VLOOKUP($C296, Defesa!$C$8:$C$30,1,FALSE)),1,0))</f>
        <v/>
      </c>
      <c r="BI296" s="305" t="str">
        <f t="shared" si="214"/>
        <v/>
      </c>
      <c r="BJ296" s="305" t="str">
        <f t="shared" si="215"/>
        <v/>
      </c>
      <c r="BK296" s="304" t="str">
        <f t="shared" si="216"/>
        <v/>
      </c>
      <c r="BL296" s="304">
        <f t="shared" si="217"/>
        <v>0</v>
      </c>
      <c r="BM296" s="304" t="str">
        <f>IF($AC296="", "", IF(ISNA(VLOOKUP($AC296, TABELAS!$Q:$Q, 1, FALSE)), 1, 0))</f>
        <v/>
      </c>
      <c r="BN296" s="306" t="str">
        <f t="shared" si="218"/>
        <v/>
      </c>
      <c r="BO296" s="304" t="str">
        <f t="shared" si="219"/>
        <v/>
      </c>
      <c r="BP296" s="304" t="str">
        <f t="shared" si="220"/>
        <v/>
      </c>
      <c r="BQ296" s="305" t="str">
        <f t="shared" si="221"/>
        <v/>
      </c>
      <c r="BR296" s="304" t="str">
        <f t="shared" si="222"/>
        <v/>
      </c>
      <c r="BS296" s="304" t="str">
        <f t="shared" si="223"/>
        <v/>
      </c>
      <c r="BT296" s="304" t="str">
        <f>IF(OR($B296="", $AH296 = "SIM"), "", IF( ISNA(VLOOKUP($AP296,#REF!, 1, FALSE)), 1, 0))</f>
        <v/>
      </c>
      <c r="BU296" s="304" t="str">
        <f t="shared" si="224"/>
        <v/>
      </c>
      <c r="BV296" s="304" t="str">
        <f>IF( $B296="", "", IF( ISNA(VLOOKUP($AN296, TABELAS!$T$2:$T$9,1,FALSE)), 1, 0))</f>
        <v/>
      </c>
      <c r="BW296" s="304" t="str">
        <f t="shared" si="225"/>
        <v/>
      </c>
      <c r="BX296" s="304" t="str">
        <f>IF( OR($B296="", $AH296 = "SIM"), "", IF( ISNA( VLOOKUP( $AQ296, SISTEMA!$B:$B, 1, FALSE)), 1, 0))</f>
        <v/>
      </c>
      <c r="BY296" s="305" t="str">
        <f t="shared" si="226"/>
        <v/>
      </c>
      <c r="BZ296" s="305" t="str">
        <f t="shared" si="227"/>
        <v/>
      </c>
      <c r="CA296" s="304" t="str">
        <f t="shared" si="228"/>
        <v/>
      </c>
      <c r="CB296" s="305" t="str">
        <f t="shared" si="229"/>
        <v/>
      </c>
      <c r="CC296" s="305" t="str">
        <f t="shared" si="230"/>
        <v/>
      </c>
      <c r="CD296" s="305" t="str">
        <f t="shared" si="231"/>
        <v/>
      </c>
    </row>
    <row r="297" spans="1:82" x14ac:dyDescent="0.2">
      <c r="A297" s="235"/>
      <c r="B297" s="236" t="str">
        <f t="shared" si="196"/>
        <v/>
      </c>
      <c r="C297" s="237" t="str">
        <f t="shared" si="186"/>
        <v/>
      </c>
      <c r="D297" s="237" t="str">
        <f t="shared" si="197"/>
        <v/>
      </c>
      <c r="E297" s="237" t="str">
        <f>IF($C297="", "", COUNTIF($M$8:$M297,$D297))</f>
        <v/>
      </c>
      <c r="F297" s="238">
        <v>290</v>
      </c>
      <c r="G297" s="239"/>
      <c r="H297" s="240"/>
      <c r="I297" s="240"/>
      <c r="J297" s="241"/>
      <c r="K297" s="240"/>
      <c r="L297" s="240"/>
      <c r="M297" s="240"/>
      <c r="N297" s="242"/>
      <c r="O297" s="243"/>
      <c r="P297" s="243"/>
      <c r="Q297" s="243"/>
      <c r="R297" s="243"/>
      <c r="S297" s="243"/>
      <c r="T297" s="245"/>
      <c r="U297" s="246" t="str">
        <f>IF($T297="", "", VLOOKUP($T297, CONTRATOS!$B:$E, 2, FALSE))</f>
        <v/>
      </c>
      <c r="V297" s="247">
        <f>IF(OR($T297="",TB_DEFESA!$C$2="Criação Baseline"),0,
   IF(VLOOKUP($T297, CONTRATOS!B:E, 3, FALSE)&lt;&gt;"",1,IF(VLOOKUP($T297, CONTRATOS!B:E, 4, FALSE)&lt;&gt;"",2,0)))</f>
        <v>0</v>
      </c>
      <c r="W297" s="248"/>
      <c r="X297" s="248"/>
      <c r="Y297" s="249"/>
      <c r="Z297" s="250"/>
      <c r="AA297" s="251"/>
      <c r="AB297" s="252"/>
      <c r="AC297" s="253"/>
      <c r="AD297" s="251"/>
      <c r="AE297" s="254" t="str">
        <f t="shared" si="187"/>
        <v/>
      </c>
      <c r="AF297" s="256" t="str">
        <f t="shared" si="198"/>
        <v/>
      </c>
      <c r="AG297" s="293" t="s">
        <v>62</v>
      </c>
      <c r="AH297" s="294" t="str">
        <f t="shared" si="199"/>
        <v/>
      </c>
      <c r="AI297" s="294" t="str">
        <f t="shared" si="200"/>
        <v/>
      </c>
      <c r="AJ297" s="295" t="str">
        <f t="shared" si="201"/>
        <v/>
      </c>
      <c r="AK297" s="296" t="str">
        <f t="shared" si="202"/>
        <v/>
      </c>
      <c r="AL297" s="297" t="str">
        <f t="shared" si="203"/>
        <v/>
      </c>
      <c r="AM297" s="294" t="str">
        <f t="shared" si="204"/>
        <v/>
      </c>
      <c r="AN297" s="294" t="str">
        <f t="shared" si="205"/>
        <v/>
      </c>
      <c r="AO297" s="298" t="str">
        <f t="shared" si="206"/>
        <v/>
      </c>
      <c r="AP297" s="299" t="str">
        <f t="shared" si="207"/>
        <v/>
      </c>
      <c r="AQ297" s="299" t="str">
        <f t="shared" si="208"/>
        <v/>
      </c>
      <c r="AR297" s="300" t="str">
        <f t="shared" si="188"/>
        <v/>
      </c>
      <c r="AS297" s="300" t="str">
        <f t="shared" si="189"/>
        <v/>
      </c>
      <c r="AT297" s="294" t="str">
        <f t="shared" si="190"/>
        <v/>
      </c>
      <c r="AU297" s="301" t="str">
        <f>IF(OR($B297="", $AP297= ""),"",IF(VLOOKUP($AP297, CONTRATOS!B:K,3,FALSE)="","",VLOOKUP($AP297, CONTRATOS!B:K, 3,FALSE)))</f>
        <v/>
      </c>
      <c r="AV297" s="301" t="str">
        <f>IF(OR($B297="", $AP297 = ""), "", IF(VLOOKUP($AP297, CONTRATOS!B:K,4,FALSE)="","",VLOOKUP($AP297, CONTRATOS!B:K,4, FALSE)))</f>
        <v/>
      </c>
      <c r="AW297" s="302" t="str">
        <f t="shared" si="191"/>
        <v/>
      </c>
      <c r="AX297" s="301" t="str">
        <f t="shared" si="192"/>
        <v/>
      </c>
      <c r="AY297" s="301" t="str">
        <f t="shared" si="193"/>
        <v/>
      </c>
      <c r="AZ297" s="301" t="str">
        <f t="shared" si="194"/>
        <v/>
      </c>
      <c r="BA297" s="301" t="str">
        <f t="shared" si="195"/>
        <v/>
      </c>
      <c r="BB297" s="303">
        <f t="shared" si="209"/>
        <v>0</v>
      </c>
      <c r="BC297" s="303" t="str">
        <f t="shared" si="210"/>
        <v/>
      </c>
      <c r="BD297" s="303" t="str">
        <f t="shared" si="211"/>
        <v/>
      </c>
      <c r="BF297" s="304">
        <f t="shared" si="212"/>
        <v>0</v>
      </c>
      <c r="BG297" s="304">
        <f t="shared" si="213"/>
        <v>0</v>
      </c>
      <c r="BH297" s="304" t="str">
        <f>IF( $B297="", "", IF(ISNA(VLOOKUP($C297, Defesa!$C$8:$C$30,1,FALSE)),1,0))</f>
        <v/>
      </c>
      <c r="BI297" s="305" t="str">
        <f t="shared" si="214"/>
        <v/>
      </c>
      <c r="BJ297" s="305" t="str">
        <f t="shared" si="215"/>
        <v/>
      </c>
      <c r="BK297" s="304" t="str">
        <f t="shared" si="216"/>
        <v/>
      </c>
      <c r="BL297" s="304">
        <f t="shared" si="217"/>
        <v>0</v>
      </c>
      <c r="BM297" s="304" t="str">
        <f>IF($AC297="", "", IF(ISNA(VLOOKUP($AC297, TABELAS!$Q:$Q, 1, FALSE)), 1, 0))</f>
        <v/>
      </c>
      <c r="BN297" s="306" t="str">
        <f t="shared" si="218"/>
        <v/>
      </c>
      <c r="BO297" s="304" t="str">
        <f t="shared" si="219"/>
        <v/>
      </c>
      <c r="BP297" s="304" t="str">
        <f t="shared" si="220"/>
        <v/>
      </c>
      <c r="BQ297" s="305" t="str">
        <f t="shared" si="221"/>
        <v/>
      </c>
      <c r="BR297" s="304" t="str">
        <f t="shared" si="222"/>
        <v/>
      </c>
      <c r="BS297" s="304" t="str">
        <f t="shared" si="223"/>
        <v/>
      </c>
      <c r="BT297" s="304" t="str">
        <f>IF(OR($B297="", $AH297 = "SIM"), "", IF( ISNA(VLOOKUP($AP297,#REF!, 1, FALSE)), 1, 0))</f>
        <v/>
      </c>
      <c r="BU297" s="304" t="str">
        <f t="shared" si="224"/>
        <v/>
      </c>
      <c r="BV297" s="304" t="str">
        <f>IF( $B297="", "", IF( ISNA(VLOOKUP($AN297, TABELAS!$T$2:$T$9,1,FALSE)), 1, 0))</f>
        <v/>
      </c>
      <c r="BW297" s="304" t="str">
        <f t="shared" si="225"/>
        <v/>
      </c>
      <c r="BX297" s="304" t="str">
        <f>IF( OR($B297="", $AH297 = "SIM"), "", IF( ISNA( VLOOKUP( $AQ297, SISTEMA!$B:$B, 1, FALSE)), 1, 0))</f>
        <v/>
      </c>
      <c r="BY297" s="305" t="str">
        <f t="shared" si="226"/>
        <v/>
      </c>
      <c r="BZ297" s="305" t="str">
        <f t="shared" si="227"/>
        <v/>
      </c>
      <c r="CA297" s="304" t="str">
        <f t="shared" si="228"/>
        <v/>
      </c>
      <c r="CB297" s="305" t="str">
        <f t="shared" si="229"/>
        <v/>
      </c>
      <c r="CC297" s="305" t="str">
        <f t="shared" si="230"/>
        <v/>
      </c>
      <c r="CD297" s="305" t="str">
        <f t="shared" si="231"/>
        <v/>
      </c>
    </row>
    <row r="298" spans="1:82" x14ac:dyDescent="0.2">
      <c r="A298" s="235"/>
      <c r="B298" s="236" t="str">
        <f t="shared" si="196"/>
        <v/>
      </c>
      <c r="C298" s="237" t="str">
        <f t="shared" si="186"/>
        <v/>
      </c>
      <c r="D298" s="237" t="str">
        <f t="shared" si="197"/>
        <v/>
      </c>
      <c r="E298" s="237" t="str">
        <f>IF($C298="", "", COUNTIF($M$8:$M298,$D298))</f>
        <v/>
      </c>
      <c r="F298" s="238">
        <v>291</v>
      </c>
      <c r="G298" s="239"/>
      <c r="H298" s="240"/>
      <c r="I298" s="240"/>
      <c r="J298" s="241"/>
      <c r="K298" s="240"/>
      <c r="L298" s="240"/>
      <c r="M298" s="240"/>
      <c r="N298" s="242"/>
      <c r="O298" s="243"/>
      <c r="P298" s="243"/>
      <c r="Q298" s="243"/>
      <c r="R298" s="243"/>
      <c r="S298" s="243"/>
      <c r="T298" s="245"/>
      <c r="U298" s="246" t="str">
        <f>IF($T298="", "", VLOOKUP($T298, CONTRATOS!$B:$E, 2, FALSE))</f>
        <v/>
      </c>
      <c r="V298" s="247">
        <f>IF(OR($T298="",TB_DEFESA!$C$2="Criação Baseline"),0,
   IF(VLOOKUP($T298, CONTRATOS!B:E, 3, FALSE)&lt;&gt;"",1,IF(VLOOKUP($T298, CONTRATOS!B:E, 4, FALSE)&lt;&gt;"",2,0)))</f>
        <v>0</v>
      </c>
      <c r="W298" s="248"/>
      <c r="X298" s="248"/>
      <c r="Y298" s="249"/>
      <c r="Z298" s="250"/>
      <c r="AA298" s="251"/>
      <c r="AB298" s="252"/>
      <c r="AC298" s="253"/>
      <c r="AD298" s="251"/>
      <c r="AE298" s="254" t="str">
        <f t="shared" si="187"/>
        <v/>
      </c>
      <c r="AF298" s="256" t="str">
        <f t="shared" si="198"/>
        <v/>
      </c>
      <c r="AG298" s="293" t="s">
        <v>62</v>
      </c>
      <c r="AH298" s="294" t="str">
        <f t="shared" si="199"/>
        <v/>
      </c>
      <c r="AI298" s="294" t="str">
        <f t="shared" si="200"/>
        <v/>
      </c>
      <c r="AJ298" s="295" t="str">
        <f t="shared" si="201"/>
        <v/>
      </c>
      <c r="AK298" s="296" t="str">
        <f t="shared" si="202"/>
        <v/>
      </c>
      <c r="AL298" s="297" t="str">
        <f t="shared" si="203"/>
        <v/>
      </c>
      <c r="AM298" s="294" t="str">
        <f t="shared" si="204"/>
        <v/>
      </c>
      <c r="AN298" s="294" t="str">
        <f t="shared" si="205"/>
        <v/>
      </c>
      <c r="AO298" s="298" t="str">
        <f t="shared" si="206"/>
        <v/>
      </c>
      <c r="AP298" s="299" t="str">
        <f t="shared" si="207"/>
        <v/>
      </c>
      <c r="AQ298" s="299" t="str">
        <f t="shared" si="208"/>
        <v/>
      </c>
      <c r="AR298" s="300" t="str">
        <f t="shared" si="188"/>
        <v/>
      </c>
      <c r="AS298" s="300" t="str">
        <f t="shared" si="189"/>
        <v/>
      </c>
      <c r="AT298" s="294" t="str">
        <f t="shared" si="190"/>
        <v/>
      </c>
      <c r="AU298" s="301" t="str">
        <f>IF(OR($B298="", $AP298= ""),"",IF(VLOOKUP($AP298, CONTRATOS!B:K,3,FALSE)="","",VLOOKUP($AP298, CONTRATOS!B:K, 3,FALSE)))</f>
        <v/>
      </c>
      <c r="AV298" s="301" t="str">
        <f>IF(OR($B298="", $AP298 = ""), "", IF(VLOOKUP($AP298, CONTRATOS!B:K,4,FALSE)="","",VLOOKUP($AP298, CONTRATOS!B:K,4, FALSE)))</f>
        <v/>
      </c>
      <c r="AW298" s="302" t="str">
        <f t="shared" si="191"/>
        <v/>
      </c>
      <c r="AX298" s="301" t="str">
        <f t="shared" si="192"/>
        <v/>
      </c>
      <c r="AY298" s="301" t="str">
        <f t="shared" si="193"/>
        <v/>
      </c>
      <c r="AZ298" s="301" t="str">
        <f t="shared" si="194"/>
        <v/>
      </c>
      <c r="BA298" s="301" t="str">
        <f t="shared" si="195"/>
        <v/>
      </c>
      <c r="BB298" s="303">
        <f t="shared" si="209"/>
        <v>0</v>
      </c>
      <c r="BC298" s="303" t="str">
        <f t="shared" si="210"/>
        <v/>
      </c>
      <c r="BD298" s="303" t="str">
        <f t="shared" si="211"/>
        <v/>
      </c>
      <c r="BF298" s="304">
        <f t="shared" si="212"/>
        <v>0</v>
      </c>
      <c r="BG298" s="304">
        <f t="shared" si="213"/>
        <v>0</v>
      </c>
      <c r="BH298" s="304" t="str">
        <f>IF( $B298="", "", IF(ISNA(VLOOKUP($C298, Defesa!$C$8:$C$30,1,FALSE)),1,0))</f>
        <v/>
      </c>
      <c r="BI298" s="305" t="str">
        <f t="shared" si="214"/>
        <v/>
      </c>
      <c r="BJ298" s="305" t="str">
        <f t="shared" si="215"/>
        <v/>
      </c>
      <c r="BK298" s="304" t="str">
        <f t="shared" si="216"/>
        <v/>
      </c>
      <c r="BL298" s="304">
        <f t="shared" si="217"/>
        <v>0</v>
      </c>
      <c r="BM298" s="304" t="str">
        <f>IF($AC298="", "", IF(ISNA(VLOOKUP($AC298, TABELAS!$Q:$Q, 1, FALSE)), 1, 0))</f>
        <v/>
      </c>
      <c r="BN298" s="306" t="str">
        <f t="shared" si="218"/>
        <v/>
      </c>
      <c r="BO298" s="304" t="str">
        <f t="shared" si="219"/>
        <v/>
      </c>
      <c r="BP298" s="304" t="str">
        <f t="shared" si="220"/>
        <v/>
      </c>
      <c r="BQ298" s="305" t="str">
        <f t="shared" si="221"/>
        <v/>
      </c>
      <c r="BR298" s="304" t="str">
        <f t="shared" si="222"/>
        <v/>
      </c>
      <c r="BS298" s="304" t="str">
        <f t="shared" si="223"/>
        <v/>
      </c>
      <c r="BT298" s="304" t="str">
        <f>IF(OR($B298="", $AH298 = "SIM"), "", IF( ISNA(VLOOKUP($AP298,#REF!, 1, FALSE)), 1, 0))</f>
        <v/>
      </c>
      <c r="BU298" s="304" t="str">
        <f t="shared" si="224"/>
        <v/>
      </c>
      <c r="BV298" s="304" t="str">
        <f>IF( $B298="", "", IF( ISNA(VLOOKUP($AN298, TABELAS!$T$2:$T$9,1,FALSE)), 1, 0))</f>
        <v/>
      </c>
      <c r="BW298" s="304" t="str">
        <f t="shared" si="225"/>
        <v/>
      </c>
      <c r="BX298" s="304" t="str">
        <f>IF( OR($B298="", $AH298 = "SIM"), "", IF( ISNA( VLOOKUP( $AQ298, SISTEMA!$B:$B, 1, FALSE)), 1, 0))</f>
        <v/>
      </c>
      <c r="BY298" s="305" t="str">
        <f t="shared" si="226"/>
        <v/>
      </c>
      <c r="BZ298" s="305" t="str">
        <f t="shared" si="227"/>
        <v/>
      </c>
      <c r="CA298" s="304" t="str">
        <f t="shared" si="228"/>
        <v/>
      </c>
      <c r="CB298" s="305" t="str">
        <f t="shared" si="229"/>
        <v/>
      </c>
      <c r="CC298" s="305" t="str">
        <f t="shared" si="230"/>
        <v/>
      </c>
      <c r="CD298" s="305" t="str">
        <f t="shared" si="231"/>
        <v/>
      </c>
    </row>
    <row r="299" spans="1:82" x14ac:dyDescent="0.2">
      <c r="A299" s="235"/>
      <c r="B299" s="236" t="str">
        <f t="shared" si="196"/>
        <v/>
      </c>
      <c r="C299" s="237" t="str">
        <f t="shared" si="186"/>
        <v/>
      </c>
      <c r="D299" s="237" t="str">
        <f t="shared" si="197"/>
        <v/>
      </c>
      <c r="E299" s="237" t="str">
        <f>IF($C299="", "", COUNTIF($M$8:$M299,$D299))</f>
        <v/>
      </c>
      <c r="F299" s="238">
        <v>292</v>
      </c>
      <c r="G299" s="239"/>
      <c r="H299" s="240"/>
      <c r="I299" s="240"/>
      <c r="J299" s="241"/>
      <c r="K299" s="240"/>
      <c r="L299" s="240"/>
      <c r="M299" s="240"/>
      <c r="N299" s="242"/>
      <c r="O299" s="243"/>
      <c r="P299" s="243"/>
      <c r="Q299" s="243"/>
      <c r="R299" s="243"/>
      <c r="S299" s="243"/>
      <c r="T299" s="245"/>
      <c r="U299" s="246" t="str">
        <f>IF($T299="", "", VLOOKUP($T299, CONTRATOS!$B:$E, 2, FALSE))</f>
        <v/>
      </c>
      <c r="V299" s="247">
        <f>IF(OR($T299="",TB_DEFESA!$C$2="Criação Baseline"),0,
   IF(VLOOKUP($T299, CONTRATOS!B:E, 3, FALSE)&lt;&gt;"",1,IF(VLOOKUP($T299, CONTRATOS!B:E, 4, FALSE)&lt;&gt;"",2,0)))</f>
        <v>0</v>
      </c>
      <c r="W299" s="248"/>
      <c r="X299" s="248"/>
      <c r="Y299" s="249"/>
      <c r="Z299" s="250"/>
      <c r="AA299" s="251"/>
      <c r="AB299" s="252"/>
      <c r="AC299" s="253"/>
      <c r="AD299" s="251"/>
      <c r="AE299" s="254" t="str">
        <f t="shared" si="187"/>
        <v/>
      </c>
      <c r="AF299" s="256" t="str">
        <f t="shared" si="198"/>
        <v/>
      </c>
      <c r="AG299" s="293" t="s">
        <v>62</v>
      </c>
      <c r="AH299" s="294" t="str">
        <f t="shared" si="199"/>
        <v/>
      </c>
      <c r="AI299" s="294" t="str">
        <f t="shared" si="200"/>
        <v/>
      </c>
      <c r="AJ299" s="295" t="str">
        <f t="shared" si="201"/>
        <v/>
      </c>
      <c r="AK299" s="296" t="str">
        <f t="shared" si="202"/>
        <v/>
      </c>
      <c r="AL299" s="297" t="str">
        <f t="shared" si="203"/>
        <v/>
      </c>
      <c r="AM299" s="294" t="str">
        <f t="shared" si="204"/>
        <v/>
      </c>
      <c r="AN299" s="294" t="str">
        <f t="shared" si="205"/>
        <v/>
      </c>
      <c r="AO299" s="298" t="str">
        <f t="shared" si="206"/>
        <v/>
      </c>
      <c r="AP299" s="299" t="str">
        <f t="shared" si="207"/>
        <v/>
      </c>
      <c r="AQ299" s="299" t="str">
        <f t="shared" si="208"/>
        <v/>
      </c>
      <c r="AR299" s="300" t="str">
        <f t="shared" si="188"/>
        <v/>
      </c>
      <c r="AS299" s="300" t="str">
        <f t="shared" si="189"/>
        <v/>
      </c>
      <c r="AT299" s="294" t="str">
        <f t="shared" si="190"/>
        <v/>
      </c>
      <c r="AU299" s="301" t="str">
        <f>IF(OR($B299="", $AP299= ""),"",IF(VLOOKUP($AP299, CONTRATOS!B:K,3,FALSE)="","",VLOOKUP($AP299, CONTRATOS!B:K, 3,FALSE)))</f>
        <v/>
      </c>
      <c r="AV299" s="301" t="str">
        <f>IF(OR($B299="", $AP299 = ""), "", IF(VLOOKUP($AP299, CONTRATOS!B:K,4,FALSE)="","",VLOOKUP($AP299, CONTRATOS!B:K,4, FALSE)))</f>
        <v/>
      </c>
      <c r="AW299" s="302" t="str">
        <f t="shared" si="191"/>
        <v/>
      </c>
      <c r="AX299" s="301" t="str">
        <f t="shared" si="192"/>
        <v/>
      </c>
      <c r="AY299" s="301" t="str">
        <f t="shared" si="193"/>
        <v/>
      </c>
      <c r="AZ299" s="301" t="str">
        <f t="shared" si="194"/>
        <v/>
      </c>
      <c r="BA299" s="301" t="str">
        <f t="shared" si="195"/>
        <v/>
      </c>
      <c r="BB299" s="303">
        <f t="shared" si="209"/>
        <v>0</v>
      </c>
      <c r="BC299" s="303" t="str">
        <f t="shared" si="210"/>
        <v/>
      </c>
      <c r="BD299" s="303" t="str">
        <f t="shared" si="211"/>
        <v/>
      </c>
      <c r="BF299" s="304">
        <f t="shared" si="212"/>
        <v>0</v>
      </c>
      <c r="BG299" s="304">
        <f t="shared" si="213"/>
        <v>0</v>
      </c>
      <c r="BH299" s="304" t="str">
        <f>IF( $B299="", "", IF(ISNA(VLOOKUP($C299, Defesa!$C$8:$C$30,1,FALSE)),1,0))</f>
        <v/>
      </c>
      <c r="BI299" s="305" t="str">
        <f t="shared" si="214"/>
        <v/>
      </c>
      <c r="BJ299" s="305" t="str">
        <f t="shared" si="215"/>
        <v/>
      </c>
      <c r="BK299" s="304" t="str">
        <f t="shared" si="216"/>
        <v/>
      </c>
      <c r="BL299" s="304">
        <f t="shared" si="217"/>
        <v>0</v>
      </c>
      <c r="BM299" s="304" t="str">
        <f>IF($AC299="", "", IF(ISNA(VLOOKUP($AC299, TABELAS!$Q:$Q, 1, FALSE)), 1, 0))</f>
        <v/>
      </c>
      <c r="BN299" s="306" t="str">
        <f t="shared" si="218"/>
        <v/>
      </c>
      <c r="BO299" s="304" t="str">
        <f t="shared" si="219"/>
        <v/>
      </c>
      <c r="BP299" s="304" t="str">
        <f t="shared" si="220"/>
        <v/>
      </c>
      <c r="BQ299" s="305" t="str">
        <f t="shared" si="221"/>
        <v/>
      </c>
      <c r="BR299" s="304" t="str">
        <f t="shared" si="222"/>
        <v/>
      </c>
      <c r="BS299" s="304" t="str">
        <f t="shared" si="223"/>
        <v/>
      </c>
      <c r="BT299" s="304" t="str">
        <f>IF(OR($B299="", $AH299 = "SIM"), "", IF( ISNA(VLOOKUP($AP299,#REF!, 1, FALSE)), 1, 0))</f>
        <v/>
      </c>
      <c r="BU299" s="304" t="str">
        <f t="shared" si="224"/>
        <v/>
      </c>
      <c r="BV299" s="304" t="str">
        <f>IF( $B299="", "", IF( ISNA(VLOOKUP($AN299, TABELAS!$T$2:$T$9,1,FALSE)), 1, 0))</f>
        <v/>
      </c>
      <c r="BW299" s="304" t="str">
        <f t="shared" si="225"/>
        <v/>
      </c>
      <c r="BX299" s="304" t="str">
        <f>IF( OR($B299="", $AH299 = "SIM"), "", IF( ISNA( VLOOKUP( $AQ299, SISTEMA!$B:$B, 1, FALSE)), 1, 0))</f>
        <v/>
      </c>
      <c r="BY299" s="305" t="str">
        <f t="shared" si="226"/>
        <v/>
      </c>
      <c r="BZ299" s="305" t="str">
        <f t="shared" si="227"/>
        <v/>
      </c>
      <c r="CA299" s="304" t="str">
        <f t="shared" si="228"/>
        <v/>
      </c>
      <c r="CB299" s="305" t="str">
        <f t="shared" si="229"/>
        <v/>
      </c>
      <c r="CC299" s="305" t="str">
        <f t="shared" si="230"/>
        <v/>
      </c>
      <c r="CD299" s="305" t="str">
        <f t="shared" si="231"/>
        <v/>
      </c>
    </row>
    <row r="300" spans="1:82" x14ac:dyDescent="0.2">
      <c r="A300" s="235"/>
      <c r="B300" s="236" t="str">
        <f t="shared" si="196"/>
        <v/>
      </c>
      <c r="C300" s="237" t="str">
        <f t="shared" si="186"/>
        <v/>
      </c>
      <c r="D300" s="237" t="str">
        <f t="shared" si="197"/>
        <v/>
      </c>
      <c r="E300" s="237" t="str">
        <f>IF($C300="", "", COUNTIF($M$8:$M300,$D300))</f>
        <v/>
      </c>
      <c r="F300" s="238">
        <v>293</v>
      </c>
      <c r="G300" s="239"/>
      <c r="H300" s="240"/>
      <c r="I300" s="240"/>
      <c r="J300" s="241"/>
      <c r="K300" s="240"/>
      <c r="L300" s="240"/>
      <c r="M300" s="240"/>
      <c r="N300" s="242"/>
      <c r="O300" s="243"/>
      <c r="P300" s="243"/>
      <c r="Q300" s="243"/>
      <c r="R300" s="243"/>
      <c r="S300" s="243"/>
      <c r="T300" s="245"/>
      <c r="U300" s="246" t="str">
        <f>IF($T300="", "", VLOOKUP($T300, CONTRATOS!$B:$E, 2, FALSE))</f>
        <v/>
      </c>
      <c r="V300" s="247">
        <f>IF(OR($T300="",TB_DEFESA!$C$2="Criação Baseline"),0,
   IF(VLOOKUP($T300, CONTRATOS!B:E, 3, FALSE)&lt;&gt;"",1,IF(VLOOKUP($T300, CONTRATOS!B:E, 4, FALSE)&lt;&gt;"",2,0)))</f>
        <v>0</v>
      </c>
      <c r="W300" s="248"/>
      <c r="X300" s="248"/>
      <c r="Y300" s="249"/>
      <c r="Z300" s="250"/>
      <c r="AA300" s="251"/>
      <c r="AB300" s="252"/>
      <c r="AC300" s="253"/>
      <c r="AD300" s="251"/>
      <c r="AE300" s="254" t="str">
        <f t="shared" si="187"/>
        <v/>
      </c>
      <c r="AF300" s="256" t="str">
        <f t="shared" si="198"/>
        <v/>
      </c>
      <c r="AG300" s="293" t="s">
        <v>62</v>
      </c>
      <c r="AH300" s="294" t="str">
        <f t="shared" si="199"/>
        <v/>
      </c>
      <c r="AI300" s="294" t="str">
        <f t="shared" si="200"/>
        <v/>
      </c>
      <c r="AJ300" s="295" t="str">
        <f t="shared" si="201"/>
        <v/>
      </c>
      <c r="AK300" s="296" t="str">
        <f t="shared" si="202"/>
        <v/>
      </c>
      <c r="AL300" s="297" t="str">
        <f t="shared" si="203"/>
        <v/>
      </c>
      <c r="AM300" s="294" t="str">
        <f t="shared" si="204"/>
        <v/>
      </c>
      <c r="AN300" s="294" t="str">
        <f t="shared" si="205"/>
        <v/>
      </c>
      <c r="AO300" s="298" t="str">
        <f t="shared" si="206"/>
        <v/>
      </c>
      <c r="AP300" s="299" t="str">
        <f t="shared" si="207"/>
        <v/>
      </c>
      <c r="AQ300" s="299" t="str">
        <f t="shared" si="208"/>
        <v/>
      </c>
      <c r="AR300" s="300" t="str">
        <f t="shared" si="188"/>
        <v/>
      </c>
      <c r="AS300" s="300" t="str">
        <f t="shared" si="189"/>
        <v/>
      </c>
      <c r="AT300" s="294" t="str">
        <f t="shared" si="190"/>
        <v/>
      </c>
      <c r="AU300" s="301" t="str">
        <f>IF(OR($B300="", $AP300= ""),"",IF(VLOOKUP($AP300, CONTRATOS!B:K,3,FALSE)="","",VLOOKUP($AP300, CONTRATOS!B:K, 3,FALSE)))</f>
        <v/>
      </c>
      <c r="AV300" s="301" t="str">
        <f>IF(OR($B300="", $AP300 = ""), "", IF(VLOOKUP($AP300, CONTRATOS!B:K,4,FALSE)="","",VLOOKUP($AP300, CONTRATOS!B:K,4, FALSE)))</f>
        <v/>
      </c>
      <c r="AW300" s="302" t="str">
        <f t="shared" si="191"/>
        <v/>
      </c>
      <c r="AX300" s="301" t="str">
        <f t="shared" si="192"/>
        <v/>
      </c>
      <c r="AY300" s="301" t="str">
        <f t="shared" si="193"/>
        <v/>
      </c>
      <c r="AZ300" s="301" t="str">
        <f t="shared" si="194"/>
        <v/>
      </c>
      <c r="BA300" s="301" t="str">
        <f t="shared" si="195"/>
        <v/>
      </c>
      <c r="BB300" s="303">
        <f t="shared" si="209"/>
        <v>0</v>
      </c>
      <c r="BC300" s="303" t="str">
        <f t="shared" si="210"/>
        <v/>
      </c>
      <c r="BD300" s="303" t="str">
        <f t="shared" si="211"/>
        <v/>
      </c>
      <c r="BF300" s="304">
        <f t="shared" si="212"/>
        <v>0</v>
      </c>
      <c r="BG300" s="304">
        <f t="shared" si="213"/>
        <v>0</v>
      </c>
      <c r="BH300" s="304" t="str">
        <f>IF( $B300="", "", IF(ISNA(VLOOKUP($C300, Defesa!$C$8:$C$30,1,FALSE)),1,0))</f>
        <v/>
      </c>
      <c r="BI300" s="305" t="str">
        <f t="shared" si="214"/>
        <v/>
      </c>
      <c r="BJ300" s="305" t="str">
        <f t="shared" si="215"/>
        <v/>
      </c>
      <c r="BK300" s="304" t="str">
        <f t="shared" si="216"/>
        <v/>
      </c>
      <c r="BL300" s="304">
        <f t="shared" si="217"/>
        <v>0</v>
      </c>
      <c r="BM300" s="304" t="str">
        <f>IF($AC300="", "", IF(ISNA(VLOOKUP($AC300, TABELAS!$Q:$Q, 1, FALSE)), 1, 0))</f>
        <v/>
      </c>
      <c r="BN300" s="306" t="str">
        <f t="shared" si="218"/>
        <v/>
      </c>
      <c r="BO300" s="304" t="str">
        <f t="shared" si="219"/>
        <v/>
      </c>
      <c r="BP300" s="304" t="str">
        <f t="shared" si="220"/>
        <v/>
      </c>
      <c r="BQ300" s="305" t="str">
        <f t="shared" si="221"/>
        <v/>
      </c>
      <c r="BR300" s="304" t="str">
        <f t="shared" si="222"/>
        <v/>
      </c>
      <c r="BS300" s="304" t="str">
        <f t="shared" si="223"/>
        <v/>
      </c>
      <c r="BT300" s="304" t="str">
        <f>IF(OR($B300="", $AH300 = "SIM"), "", IF( ISNA(VLOOKUP($AP300,#REF!, 1, FALSE)), 1, 0))</f>
        <v/>
      </c>
      <c r="BU300" s="304" t="str">
        <f t="shared" si="224"/>
        <v/>
      </c>
      <c r="BV300" s="304" t="str">
        <f>IF( $B300="", "", IF( ISNA(VLOOKUP($AN300, TABELAS!$T$2:$T$9,1,FALSE)), 1, 0))</f>
        <v/>
      </c>
      <c r="BW300" s="304" t="str">
        <f t="shared" si="225"/>
        <v/>
      </c>
      <c r="BX300" s="304" t="str">
        <f>IF( OR($B300="", $AH300 = "SIM"), "", IF( ISNA( VLOOKUP( $AQ300, SISTEMA!$B:$B, 1, FALSE)), 1, 0))</f>
        <v/>
      </c>
      <c r="BY300" s="305" t="str">
        <f t="shared" si="226"/>
        <v/>
      </c>
      <c r="BZ300" s="305" t="str">
        <f t="shared" si="227"/>
        <v/>
      </c>
      <c r="CA300" s="304" t="str">
        <f t="shared" si="228"/>
        <v/>
      </c>
      <c r="CB300" s="305" t="str">
        <f t="shared" si="229"/>
        <v/>
      </c>
      <c r="CC300" s="305" t="str">
        <f t="shared" si="230"/>
        <v/>
      </c>
      <c r="CD300" s="305" t="str">
        <f t="shared" si="231"/>
        <v/>
      </c>
    </row>
    <row r="301" spans="1:82" x14ac:dyDescent="0.2">
      <c r="A301" s="235"/>
      <c r="B301" s="236" t="str">
        <f t="shared" si="196"/>
        <v/>
      </c>
      <c r="C301" s="237" t="str">
        <f t="shared" si="186"/>
        <v/>
      </c>
      <c r="D301" s="237" t="str">
        <f t="shared" si="197"/>
        <v/>
      </c>
      <c r="E301" s="237" t="str">
        <f>IF($C301="", "", COUNTIF($M$8:$M301,$D301))</f>
        <v/>
      </c>
      <c r="F301" s="238">
        <v>294</v>
      </c>
      <c r="G301" s="239"/>
      <c r="H301" s="240"/>
      <c r="I301" s="240"/>
      <c r="J301" s="241"/>
      <c r="K301" s="240"/>
      <c r="L301" s="240"/>
      <c r="M301" s="240"/>
      <c r="N301" s="242"/>
      <c r="O301" s="243"/>
      <c r="P301" s="243"/>
      <c r="Q301" s="243"/>
      <c r="R301" s="243"/>
      <c r="S301" s="243"/>
      <c r="T301" s="245"/>
      <c r="U301" s="246" t="str">
        <f>IF($T301="", "", VLOOKUP($T301, CONTRATOS!$B:$E, 2, FALSE))</f>
        <v/>
      </c>
      <c r="V301" s="247">
        <f>IF(OR($T301="",TB_DEFESA!$C$2="Criação Baseline"),0,
   IF(VLOOKUP($T301, CONTRATOS!B:E, 3, FALSE)&lt;&gt;"",1,IF(VLOOKUP($T301, CONTRATOS!B:E, 4, FALSE)&lt;&gt;"",2,0)))</f>
        <v>0</v>
      </c>
      <c r="W301" s="248"/>
      <c r="X301" s="248"/>
      <c r="Y301" s="249"/>
      <c r="Z301" s="250"/>
      <c r="AA301" s="251"/>
      <c r="AB301" s="252"/>
      <c r="AC301" s="253"/>
      <c r="AD301" s="251"/>
      <c r="AE301" s="254" t="str">
        <f t="shared" si="187"/>
        <v/>
      </c>
      <c r="AF301" s="256" t="str">
        <f t="shared" si="198"/>
        <v/>
      </c>
      <c r="AG301" s="293" t="s">
        <v>62</v>
      </c>
      <c r="AH301" s="294" t="str">
        <f t="shared" si="199"/>
        <v/>
      </c>
      <c r="AI301" s="294" t="str">
        <f t="shared" si="200"/>
        <v/>
      </c>
      <c r="AJ301" s="295" t="str">
        <f t="shared" si="201"/>
        <v/>
      </c>
      <c r="AK301" s="296" t="str">
        <f t="shared" si="202"/>
        <v/>
      </c>
      <c r="AL301" s="297" t="str">
        <f t="shared" si="203"/>
        <v/>
      </c>
      <c r="AM301" s="294" t="str">
        <f t="shared" si="204"/>
        <v/>
      </c>
      <c r="AN301" s="294" t="str">
        <f t="shared" si="205"/>
        <v/>
      </c>
      <c r="AO301" s="298" t="str">
        <f t="shared" si="206"/>
        <v/>
      </c>
      <c r="AP301" s="299" t="str">
        <f t="shared" si="207"/>
        <v/>
      </c>
      <c r="AQ301" s="299" t="str">
        <f t="shared" si="208"/>
        <v/>
      </c>
      <c r="AR301" s="300" t="str">
        <f t="shared" si="188"/>
        <v/>
      </c>
      <c r="AS301" s="300" t="str">
        <f t="shared" si="189"/>
        <v/>
      </c>
      <c r="AT301" s="294" t="str">
        <f t="shared" si="190"/>
        <v/>
      </c>
      <c r="AU301" s="301" t="str">
        <f>IF(OR($B301="", $AP301= ""),"",IF(VLOOKUP($AP301, CONTRATOS!B:K,3,FALSE)="","",VLOOKUP($AP301, CONTRATOS!B:K, 3,FALSE)))</f>
        <v/>
      </c>
      <c r="AV301" s="301" t="str">
        <f>IF(OR($B301="", $AP301 = ""), "", IF(VLOOKUP($AP301, CONTRATOS!B:K,4,FALSE)="","",VLOOKUP($AP301, CONTRATOS!B:K,4, FALSE)))</f>
        <v/>
      </c>
      <c r="AW301" s="302" t="str">
        <f t="shared" si="191"/>
        <v/>
      </c>
      <c r="AX301" s="301" t="str">
        <f t="shared" si="192"/>
        <v/>
      </c>
      <c r="AY301" s="301" t="str">
        <f t="shared" si="193"/>
        <v/>
      </c>
      <c r="AZ301" s="301" t="str">
        <f t="shared" si="194"/>
        <v/>
      </c>
      <c r="BA301" s="301" t="str">
        <f t="shared" si="195"/>
        <v/>
      </c>
      <c r="BB301" s="303">
        <f t="shared" si="209"/>
        <v>0</v>
      </c>
      <c r="BC301" s="303" t="str">
        <f t="shared" si="210"/>
        <v/>
      </c>
      <c r="BD301" s="303" t="str">
        <f t="shared" si="211"/>
        <v/>
      </c>
      <c r="BF301" s="304">
        <f t="shared" si="212"/>
        <v>0</v>
      </c>
      <c r="BG301" s="304">
        <f t="shared" si="213"/>
        <v>0</v>
      </c>
      <c r="BH301" s="304" t="str">
        <f>IF( $B301="", "", IF(ISNA(VLOOKUP($C301, Defesa!$C$8:$C$30,1,FALSE)),1,0))</f>
        <v/>
      </c>
      <c r="BI301" s="305" t="str">
        <f t="shared" si="214"/>
        <v/>
      </c>
      <c r="BJ301" s="305" t="str">
        <f t="shared" si="215"/>
        <v/>
      </c>
      <c r="BK301" s="304" t="str">
        <f t="shared" si="216"/>
        <v/>
      </c>
      <c r="BL301" s="304">
        <f t="shared" si="217"/>
        <v>0</v>
      </c>
      <c r="BM301" s="304" t="str">
        <f>IF($AC301="", "", IF(ISNA(VLOOKUP($AC301, TABELAS!$Q:$Q, 1, FALSE)), 1, 0))</f>
        <v/>
      </c>
      <c r="BN301" s="306" t="str">
        <f t="shared" si="218"/>
        <v/>
      </c>
      <c r="BO301" s="304" t="str">
        <f t="shared" si="219"/>
        <v/>
      </c>
      <c r="BP301" s="304" t="str">
        <f t="shared" si="220"/>
        <v/>
      </c>
      <c r="BQ301" s="305" t="str">
        <f t="shared" si="221"/>
        <v/>
      </c>
      <c r="BR301" s="304" t="str">
        <f t="shared" si="222"/>
        <v/>
      </c>
      <c r="BS301" s="304" t="str">
        <f t="shared" si="223"/>
        <v/>
      </c>
      <c r="BT301" s="304" t="str">
        <f>IF(OR($B301="", $AH301 = "SIM"), "", IF( ISNA(VLOOKUP($AP301,#REF!, 1, FALSE)), 1, 0))</f>
        <v/>
      </c>
      <c r="BU301" s="304" t="str">
        <f t="shared" si="224"/>
        <v/>
      </c>
      <c r="BV301" s="304" t="str">
        <f>IF( $B301="", "", IF( ISNA(VLOOKUP($AN301, TABELAS!$T$2:$T$9,1,FALSE)), 1, 0))</f>
        <v/>
      </c>
      <c r="BW301" s="304" t="str">
        <f t="shared" si="225"/>
        <v/>
      </c>
      <c r="BX301" s="304" t="str">
        <f>IF( OR($B301="", $AH301 = "SIM"), "", IF( ISNA( VLOOKUP( $AQ301, SISTEMA!$B:$B, 1, FALSE)), 1, 0))</f>
        <v/>
      </c>
      <c r="BY301" s="305" t="str">
        <f t="shared" si="226"/>
        <v/>
      </c>
      <c r="BZ301" s="305" t="str">
        <f t="shared" si="227"/>
        <v/>
      </c>
      <c r="CA301" s="304" t="str">
        <f t="shared" si="228"/>
        <v/>
      </c>
      <c r="CB301" s="305" t="str">
        <f t="shared" si="229"/>
        <v/>
      </c>
      <c r="CC301" s="305" t="str">
        <f t="shared" si="230"/>
        <v/>
      </c>
      <c r="CD301" s="305" t="str">
        <f t="shared" si="231"/>
        <v/>
      </c>
    </row>
    <row r="302" spans="1:82" x14ac:dyDescent="0.2">
      <c r="A302" s="235"/>
      <c r="B302" s="236" t="str">
        <f t="shared" si="196"/>
        <v/>
      </c>
      <c r="C302" s="237" t="str">
        <f t="shared" si="186"/>
        <v/>
      </c>
      <c r="D302" s="237" t="str">
        <f t="shared" si="197"/>
        <v/>
      </c>
      <c r="E302" s="237" t="str">
        <f>IF($C302="", "", COUNTIF($M$8:$M302,$D302))</f>
        <v/>
      </c>
      <c r="F302" s="238">
        <v>295</v>
      </c>
      <c r="G302" s="239"/>
      <c r="H302" s="240"/>
      <c r="I302" s="240"/>
      <c r="J302" s="241"/>
      <c r="K302" s="240"/>
      <c r="L302" s="240"/>
      <c r="M302" s="240"/>
      <c r="N302" s="242"/>
      <c r="O302" s="243"/>
      <c r="P302" s="243"/>
      <c r="Q302" s="243"/>
      <c r="R302" s="243"/>
      <c r="S302" s="243"/>
      <c r="T302" s="245"/>
      <c r="U302" s="246" t="str">
        <f>IF($T302="", "", VLOOKUP($T302, CONTRATOS!$B:$E, 2, FALSE))</f>
        <v/>
      </c>
      <c r="V302" s="247">
        <f>IF(OR($T302="",TB_DEFESA!$C$2="Criação Baseline"),0,
   IF(VLOOKUP($T302, CONTRATOS!B:E, 3, FALSE)&lt;&gt;"",1,IF(VLOOKUP($T302, CONTRATOS!B:E, 4, FALSE)&lt;&gt;"",2,0)))</f>
        <v>0</v>
      </c>
      <c r="W302" s="248"/>
      <c r="X302" s="248"/>
      <c r="Y302" s="249"/>
      <c r="Z302" s="250"/>
      <c r="AA302" s="251"/>
      <c r="AB302" s="252"/>
      <c r="AC302" s="253"/>
      <c r="AD302" s="251"/>
      <c r="AE302" s="254" t="str">
        <f t="shared" si="187"/>
        <v/>
      </c>
      <c r="AF302" s="256" t="str">
        <f t="shared" si="198"/>
        <v/>
      </c>
      <c r="AG302" s="293" t="s">
        <v>62</v>
      </c>
      <c r="AH302" s="294" t="str">
        <f t="shared" si="199"/>
        <v/>
      </c>
      <c r="AI302" s="294" t="str">
        <f t="shared" si="200"/>
        <v/>
      </c>
      <c r="AJ302" s="295" t="str">
        <f t="shared" si="201"/>
        <v/>
      </c>
      <c r="AK302" s="296" t="str">
        <f t="shared" si="202"/>
        <v/>
      </c>
      <c r="AL302" s="297" t="str">
        <f t="shared" si="203"/>
        <v/>
      </c>
      <c r="AM302" s="294" t="str">
        <f t="shared" si="204"/>
        <v/>
      </c>
      <c r="AN302" s="294" t="str">
        <f t="shared" si="205"/>
        <v/>
      </c>
      <c r="AO302" s="298" t="str">
        <f t="shared" si="206"/>
        <v/>
      </c>
      <c r="AP302" s="299" t="str">
        <f t="shared" si="207"/>
        <v/>
      </c>
      <c r="AQ302" s="299" t="str">
        <f t="shared" si="208"/>
        <v/>
      </c>
      <c r="AR302" s="300" t="str">
        <f t="shared" si="188"/>
        <v/>
      </c>
      <c r="AS302" s="300" t="str">
        <f t="shared" si="189"/>
        <v/>
      </c>
      <c r="AT302" s="294" t="str">
        <f t="shared" si="190"/>
        <v/>
      </c>
      <c r="AU302" s="301" t="str">
        <f>IF(OR($B302="", $AP302= ""),"",IF(VLOOKUP($AP302, CONTRATOS!B:K,3,FALSE)="","",VLOOKUP($AP302, CONTRATOS!B:K, 3,FALSE)))</f>
        <v/>
      </c>
      <c r="AV302" s="301" t="str">
        <f>IF(OR($B302="", $AP302 = ""), "", IF(VLOOKUP($AP302, CONTRATOS!B:K,4,FALSE)="","",VLOOKUP($AP302, CONTRATOS!B:K,4, FALSE)))</f>
        <v/>
      </c>
      <c r="AW302" s="302" t="str">
        <f t="shared" si="191"/>
        <v/>
      </c>
      <c r="AX302" s="301" t="str">
        <f t="shared" si="192"/>
        <v/>
      </c>
      <c r="AY302" s="301" t="str">
        <f t="shared" si="193"/>
        <v/>
      </c>
      <c r="AZ302" s="301" t="str">
        <f t="shared" si="194"/>
        <v/>
      </c>
      <c r="BA302" s="301" t="str">
        <f t="shared" si="195"/>
        <v/>
      </c>
      <c r="BB302" s="303">
        <f t="shared" si="209"/>
        <v>0</v>
      </c>
      <c r="BC302" s="303" t="str">
        <f t="shared" si="210"/>
        <v/>
      </c>
      <c r="BD302" s="303" t="str">
        <f t="shared" si="211"/>
        <v/>
      </c>
      <c r="BF302" s="304">
        <f t="shared" si="212"/>
        <v>0</v>
      </c>
      <c r="BG302" s="304">
        <f t="shared" si="213"/>
        <v>0</v>
      </c>
      <c r="BH302" s="304" t="str">
        <f>IF( $B302="", "", IF(ISNA(VLOOKUP($C302, Defesa!$C$8:$C$30,1,FALSE)),1,0))</f>
        <v/>
      </c>
      <c r="BI302" s="305" t="str">
        <f t="shared" si="214"/>
        <v/>
      </c>
      <c r="BJ302" s="305" t="str">
        <f t="shared" si="215"/>
        <v/>
      </c>
      <c r="BK302" s="304" t="str">
        <f t="shared" si="216"/>
        <v/>
      </c>
      <c r="BL302" s="304">
        <f t="shared" si="217"/>
        <v>0</v>
      </c>
      <c r="BM302" s="304" t="str">
        <f>IF($AC302="", "", IF(ISNA(VLOOKUP($AC302, TABELAS!$Q:$Q, 1, FALSE)), 1, 0))</f>
        <v/>
      </c>
      <c r="BN302" s="306" t="str">
        <f t="shared" si="218"/>
        <v/>
      </c>
      <c r="BO302" s="304" t="str">
        <f t="shared" si="219"/>
        <v/>
      </c>
      <c r="BP302" s="304" t="str">
        <f t="shared" si="220"/>
        <v/>
      </c>
      <c r="BQ302" s="305" t="str">
        <f t="shared" si="221"/>
        <v/>
      </c>
      <c r="BR302" s="304" t="str">
        <f t="shared" si="222"/>
        <v/>
      </c>
      <c r="BS302" s="304" t="str">
        <f t="shared" si="223"/>
        <v/>
      </c>
      <c r="BT302" s="304" t="str">
        <f>IF(OR($B302="", $AH302 = "SIM"), "", IF( ISNA(VLOOKUP($AP302,#REF!, 1, FALSE)), 1, 0))</f>
        <v/>
      </c>
      <c r="BU302" s="304" t="str">
        <f t="shared" si="224"/>
        <v/>
      </c>
      <c r="BV302" s="304" t="str">
        <f>IF( $B302="", "", IF( ISNA(VLOOKUP($AN302, TABELAS!$T$2:$T$9,1,FALSE)), 1, 0))</f>
        <v/>
      </c>
      <c r="BW302" s="304" t="str">
        <f t="shared" si="225"/>
        <v/>
      </c>
      <c r="BX302" s="304" t="str">
        <f>IF( OR($B302="", $AH302 = "SIM"), "", IF( ISNA( VLOOKUP( $AQ302, SISTEMA!$B:$B, 1, FALSE)), 1, 0))</f>
        <v/>
      </c>
      <c r="BY302" s="305" t="str">
        <f t="shared" si="226"/>
        <v/>
      </c>
      <c r="BZ302" s="305" t="str">
        <f t="shared" si="227"/>
        <v/>
      </c>
      <c r="CA302" s="304" t="str">
        <f t="shared" si="228"/>
        <v/>
      </c>
      <c r="CB302" s="305" t="str">
        <f t="shared" si="229"/>
        <v/>
      </c>
      <c r="CC302" s="305" t="str">
        <f t="shared" si="230"/>
        <v/>
      </c>
      <c r="CD302" s="305" t="str">
        <f t="shared" si="231"/>
        <v/>
      </c>
    </row>
    <row r="303" spans="1:82" x14ac:dyDescent="0.2">
      <c r="A303" s="235"/>
      <c r="B303" s="236" t="str">
        <f t="shared" si="196"/>
        <v/>
      </c>
      <c r="C303" s="237" t="str">
        <f t="shared" si="186"/>
        <v/>
      </c>
      <c r="D303" s="237" t="str">
        <f t="shared" si="197"/>
        <v/>
      </c>
      <c r="E303" s="237" t="str">
        <f>IF($C303="", "", COUNTIF($M$8:$M303,$D303))</f>
        <v/>
      </c>
      <c r="F303" s="238">
        <v>296</v>
      </c>
      <c r="G303" s="239"/>
      <c r="H303" s="240"/>
      <c r="I303" s="240"/>
      <c r="J303" s="241"/>
      <c r="K303" s="240"/>
      <c r="L303" s="240"/>
      <c r="M303" s="240"/>
      <c r="N303" s="242"/>
      <c r="O303" s="243"/>
      <c r="P303" s="243"/>
      <c r="Q303" s="243"/>
      <c r="R303" s="243"/>
      <c r="S303" s="243"/>
      <c r="T303" s="245"/>
      <c r="U303" s="246" t="str">
        <f>IF($T303="", "", VLOOKUP($T303, CONTRATOS!$B:$E, 2, FALSE))</f>
        <v/>
      </c>
      <c r="V303" s="247">
        <f>IF(OR($T303="",TB_DEFESA!$C$2="Criação Baseline"),0,
   IF(VLOOKUP($T303, CONTRATOS!B:E, 3, FALSE)&lt;&gt;"",1,IF(VLOOKUP($T303, CONTRATOS!B:E, 4, FALSE)&lt;&gt;"",2,0)))</f>
        <v>0</v>
      </c>
      <c r="W303" s="248"/>
      <c r="X303" s="248"/>
      <c r="Y303" s="249"/>
      <c r="Z303" s="250"/>
      <c r="AA303" s="251"/>
      <c r="AB303" s="252"/>
      <c r="AC303" s="253"/>
      <c r="AD303" s="251"/>
      <c r="AE303" s="254" t="str">
        <f t="shared" si="187"/>
        <v/>
      </c>
      <c r="AF303" s="256" t="str">
        <f t="shared" si="198"/>
        <v/>
      </c>
      <c r="AG303" s="293" t="s">
        <v>62</v>
      </c>
      <c r="AH303" s="294" t="str">
        <f t="shared" si="199"/>
        <v/>
      </c>
      <c r="AI303" s="294" t="str">
        <f t="shared" si="200"/>
        <v/>
      </c>
      <c r="AJ303" s="295" t="str">
        <f t="shared" si="201"/>
        <v/>
      </c>
      <c r="AK303" s="296" t="str">
        <f t="shared" si="202"/>
        <v/>
      </c>
      <c r="AL303" s="297" t="str">
        <f t="shared" si="203"/>
        <v/>
      </c>
      <c r="AM303" s="294" t="str">
        <f t="shared" si="204"/>
        <v/>
      </c>
      <c r="AN303" s="294" t="str">
        <f t="shared" si="205"/>
        <v/>
      </c>
      <c r="AO303" s="298" t="str">
        <f t="shared" si="206"/>
        <v/>
      </c>
      <c r="AP303" s="299" t="str">
        <f t="shared" si="207"/>
        <v/>
      </c>
      <c r="AQ303" s="299" t="str">
        <f t="shared" si="208"/>
        <v/>
      </c>
      <c r="AR303" s="300" t="str">
        <f t="shared" si="188"/>
        <v/>
      </c>
      <c r="AS303" s="300" t="str">
        <f t="shared" si="189"/>
        <v/>
      </c>
      <c r="AT303" s="294" t="str">
        <f t="shared" si="190"/>
        <v/>
      </c>
      <c r="AU303" s="301" t="str">
        <f>IF(OR($B303="", $AP303= ""),"",IF(VLOOKUP($AP303, CONTRATOS!B:K,3,FALSE)="","",VLOOKUP($AP303, CONTRATOS!B:K, 3,FALSE)))</f>
        <v/>
      </c>
      <c r="AV303" s="301" t="str">
        <f>IF(OR($B303="", $AP303 = ""), "", IF(VLOOKUP($AP303, CONTRATOS!B:K,4,FALSE)="","",VLOOKUP($AP303, CONTRATOS!B:K,4, FALSE)))</f>
        <v/>
      </c>
      <c r="AW303" s="302" t="str">
        <f t="shared" si="191"/>
        <v/>
      </c>
      <c r="AX303" s="301" t="str">
        <f t="shared" si="192"/>
        <v/>
      </c>
      <c r="AY303" s="301" t="str">
        <f t="shared" si="193"/>
        <v/>
      </c>
      <c r="AZ303" s="301" t="str">
        <f t="shared" si="194"/>
        <v/>
      </c>
      <c r="BA303" s="301" t="str">
        <f t="shared" si="195"/>
        <v/>
      </c>
      <c r="BB303" s="303">
        <f t="shared" si="209"/>
        <v>0</v>
      </c>
      <c r="BC303" s="303" t="str">
        <f t="shared" si="210"/>
        <v/>
      </c>
      <c r="BD303" s="303" t="str">
        <f t="shared" si="211"/>
        <v/>
      </c>
      <c r="BF303" s="304">
        <f t="shared" si="212"/>
        <v>0</v>
      </c>
      <c r="BG303" s="304">
        <f t="shared" si="213"/>
        <v>0</v>
      </c>
      <c r="BH303" s="304" t="str">
        <f>IF( $B303="", "", IF(ISNA(VLOOKUP($C303, Defesa!$C$8:$C$30,1,FALSE)),1,0))</f>
        <v/>
      </c>
      <c r="BI303" s="305" t="str">
        <f t="shared" si="214"/>
        <v/>
      </c>
      <c r="BJ303" s="305" t="str">
        <f t="shared" si="215"/>
        <v/>
      </c>
      <c r="BK303" s="304" t="str">
        <f t="shared" si="216"/>
        <v/>
      </c>
      <c r="BL303" s="304">
        <f t="shared" si="217"/>
        <v>0</v>
      </c>
      <c r="BM303" s="304" t="str">
        <f>IF($AC303="", "", IF(ISNA(VLOOKUP($AC303, TABELAS!$Q:$Q, 1, FALSE)), 1, 0))</f>
        <v/>
      </c>
      <c r="BN303" s="306" t="str">
        <f t="shared" si="218"/>
        <v/>
      </c>
      <c r="BO303" s="304" t="str">
        <f t="shared" si="219"/>
        <v/>
      </c>
      <c r="BP303" s="304" t="str">
        <f t="shared" si="220"/>
        <v/>
      </c>
      <c r="BQ303" s="305" t="str">
        <f t="shared" si="221"/>
        <v/>
      </c>
      <c r="BR303" s="304" t="str">
        <f t="shared" si="222"/>
        <v/>
      </c>
      <c r="BS303" s="304" t="str">
        <f t="shared" si="223"/>
        <v/>
      </c>
      <c r="BT303" s="304" t="str">
        <f>IF(OR($B303="", $AH303 = "SIM"), "", IF( ISNA(VLOOKUP($AP303,#REF!, 1, FALSE)), 1, 0))</f>
        <v/>
      </c>
      <c r="BU303" s="304" t="str">
        <f t="shared" si="224"/>
        <v/>
      </c>
      <c r="BV303" s="304" t="str">
        <f>IF( $B303="", "", IF( ISNA(VLOOKUP($AN303, TABELAS!$T$2:$T$9,1,FALSE)), 1, 0))</f>
        <v/>
      </c>
      <c r="BW303" s="304" t="str">
        <f t="shared" si="225"/>
        <v/>
      </c>
      <c r="BX303" s="304" t="str">
        <f>IF( OR($B303="", $AH303 = "SIM"), "", IF( ISNA( VLOOKUP( $AQ303, SISTEMA!$B:$B, 1, FALSE)), 1, 0))</f>
        <v/>
      </c>
      <c r="BY303" s="305" t="str">
        <f t="shared" si="226"/>
        <v/>
      </c>
      <c r="BZ303" s="305" t="str">
        <f t="shared" si="227"/>
        <v/>
      </c>
      <c r="CA303" s="304" t="str">
        <f t="shared" si="228"/>
        <v/>
      </c>
      <c r="CB303" s="305" t="str">
        <f t="shared" si="229"/>
        <v/>
      </c>
      <c r="CC303" s="305" t="str">
        <f t="shared" si="230"/>
        <v/>
      </c>
      <c r="CD303" s="305" t="str">
        <f t="shared" si="231"/>
        <v/>
      </c>
    </row>
    <row r="304" spans="1:82" x14ac:dyDescent="0.2">
      <c r="A304" s="235"/>
      <c r="B304" s="236" t="str">
        <f t="shared" si="196"/>
        <v/>
      </c>
      <c r="C304" s="237" t="str">
        <f t="shared" si="186"/>
        <v/>
      </c>
      <c r="D304" s="237" t="str">
        <f t="shared" si="197"/>
        <v/>
      </c>
      <c r="E304" s="237" t="str">
        <f>IF($C304="", "", COUNTIF($M$8:$M304,$D304))</f>
        <v/>
      </c>
      <c r="F304" s="238">
        <v>297</v>
      </c>
      <c r="G304" s="239"/>
      <c r="H304" s="240"/>
      <c r="I304" s="240"/>
      <c r="J304" s="241"/>
      <c r="K304" s="240"/>
      <c r="L304" s="240"/>
      <c r="M304" s="240"/>
      <c r="N304" s="242"/>
      <c r="O304" s="243"/>
      <c r="P304" s="243"/>
      <c r="Q304" s="243"/>
      <c r="R304" s="243"/>
      <c r="S304" s="243"/>
      <c r="T304" s="245"/>
      <c r="U304" s="246" t="str">
        <f>IF($T304="", "", VLOOKUP($T304, CONTRATOS!$B:$E, 2, FALSE))</f>
        <v/>
      </c>
      <c r="V304" s="247">
        <f>IF(OR($T304="",TB_DEFESA!$C$2="Criação Baseline"),0,
   IF(VLOOKUP($T304, CONTRATOS!B:E, 3, FALSE)&lt;&gt;"",1,IF(VLOOKUP($T304, CONTRATOS!B:E, 4, FALSE)&lt;&gt;"",2,0)))</f>
        <v>0</v>
      </c>
      <c r="W304" s="248"/>
      <c r="X304" s="248"/>
      <c r="Y304" s="249"/>
      <c r="Z304" s="250"/>
      <c r="AA304" s="251"/>
      <c r="AB304" s="252"/>
      <c r="AC304" s="253"/>
      <c r="AD304" s="251"/>
      <c r="AE304" s="254" t="str">
        <f t="shared" si="187"/>
        <v/>
      </c>
      <c r="AF304" s="256" t="str">
        <f t="shared" si="198"/>
        <v/>
      </c>
      <c r="AG304" s="293" t="s">
        <v>62</v>
      </c>
      <c r="AH304" s="294" t="str">
        <f t="shared" si="199"/>
        <v/>
      </c>
      <c r="AI304" s="294" t="str">
        <f t="shared" si="200"/>
        <v/>
      </c>
      <c r="AJ304" s="295" t="str">
        <f t="shared" si="201"/>
        <v/>
      </c>
      <c r="AK304" s="296" t="str">
        <f t="shared" si="202"/>
        <v/>
      </c>
      <c r="AL304" s="297" t="str">
        <f t="shared" si="203"/>
        <v/>
      </c>
      <c r="AM304" s="294" t="str">
        <f t="shared" si="204"/>
        <v/>
      </c>
      <c r="AN304" s="294" t="str">
        <f t="shared" si="205"/>
        <v/>
      </c>
      <c r="AO304" s="298" t="str">
        <f t="shared" si="206"/>
        <v/>
      </c>
      <c r="AP304" s="299" t="str">
        <f t="shared" si="207"/>
        <v/>
      </c>
      <c r="AQ304" s="299" t="str">
        <f t="shared" si="208"/>
        <v/>
      </c>
      <c r="AR304" s="300" t="str">
        <f t="shared" si="188"/>
        <v/>
      </c>
      <c r="AS304" s="300" t="str">
        <f t="shared" si="189"/>
        <v/>
      </c>
      <c r="AT304" s="294" t="str">
        <f t="shared" si="190"/>
        <v/>
      </c>
      <c r="AU304" s="301" t="str">
        <f>IF(OR($B304="", $AP304= ""),"",IF(VLOOKUP($AP304, CONTRATOS!B:K,3,FALSE)="","",VLOOKUP($AP304, CONTRATOS!B:K, 3,FALSE)))</f>
        <v/>
      </c>
      <c r="AV304" s="301" t="str">
        <f>IF(OR($B304="", $AP304 = ""), "", IF(VLOOKUP($AP304, CONTRATOS!B:K,4,FALSE)="","",VLOOKUP($AP304, CONTRATOS!B:K,4, FALSE)))</f>
        <v/>
      </c>
      <c r="AW304" s="302" t="str">
        <f t="shared" si="191"/>
        <v/>
      </c>
      <c r="AX304" s="301" t="str">
        <f t="shared" si="192"/>
        <v/>
      </c>
      <c r="AY304" s="301" t="str">
        <f t="shared" si="193"/>
        <v/>
      </c>
      <c r="AZ304" s="301" t="str">
        <f t="shared" si="194"/>
        <v/>
      </c>
      <c r="BA304" s="301" t="str">
        <f t="shared" si="195"/>
        <v/>
      </c>
      <c r="BB304" s="303">
        <f t="shared" si="209"/>
        <v>0</v>
      </c>
      <c r="BC304" s="303" t="str">
        <f t="shared" si="210"/>
        <v/>
      </c>
      <c r="BD304" s="303" t="str">
        <f t="shared" si="211"/>
        <v/>
      </c>
      <c r="BF304" s="304">
        <f t="shared" si="212"/>
        <v>0</v>
      </c>
      <c r="BG304" s="304">
        <f t="shared" si="213"/>
        <v>0</v>
      </c>
      <c r="BH304" s="304" t="str">
        <f>IF( $B304="", "", IF(ISNA(VLOOKUP($C304, Defesa!$C$8:$C$30,1,FALSE)),1,0))</f>
        <v/>
      </c>
      <c r="BI304" s="305" t="str">
        <f t="shared" si="214"/>
        <v/>
      </c>
      <c r="BJ304" s="305" t="str">
        <f t="shared" si="215"/>
        <v/>
      </c>
      <c r="BK304" s="304" t="str">
        <f t="shared" si="216"/>
        <v/>
      </c>
      <c r="BL304" s="304">
        <f t="shared" si="217"/>
        <v>0</v>
      </c>
      <c r="BM304" s="304" t="str">
        <f>IF($AC304="", "", IF(ISNA(VLOOKUP($AC304, TABELAS!$Q:$Q, 1, FALSE)), 1, 0))</f>
        <v/>
      </c>
      <c r="BN304" s="306" t="str">
        <f t="shared" si="218"/>
        <v/>
      </c>
      <c r="BO304" s="304" t="str">
        <f t="shared" si="219"/>
        <v/>
      </c>
      <c r="BP304" s="304" t="str">
        <f t="shared" si="220"/>
        <v/>
      </c>
      <c r="BQ304" s="305" t="str">
        <f t="shared" si="221"/>
        <v/>
      </c>
      <c r="BR304" s="304" t="str">
        <f t="shared" si="222"/>
        <v/>
      </c>
      <c r="BS304" s="304" t="str">
        <f t="shared" si="223"/>
        <v/>
      </c>
      <c r="BT304" s="304" t="str">
        <f>IF(OR($B304="", $AH304 = "SIM"), "", IF( ISNA(VLOOKUP($AP304,#REF!, 1, FALSE)), 1, 0))</f>
        <v/>
      </c>
      <c r="BU304" s="304" t="str">
        <f t="shared" si="224"/>
        <v/>
      </c>
      <c r="BV304" s="304" t="str">
        <f>IF( $B304="", "", IF( ISNA(VLOOKUP($AN304, TABELAS!$T$2:$T$9,1,FALSE)), 1, 0))</f>
        <v/>
      </c>
      <c r="BW304" s="304" t="str">
        <f t="shared" si="225"/>
        <v/>
      </c>
      <c r="BX304" s="304" t="str">
        <f>IF( OR($B304="", $AH304 = "SIM"), "", IF( ISNA( VLOOKUP( $AQ304, SISTEMA!$B:$B, 1, FALSE)), 1, 0))</f>
        <v/>
      </c>
      <c r="BY304" s="305" t="str">
        <f t="shared" si="226"/>
        <v/>
      </c>
      <c r="BZ304" s="305" t="str">
        <f t="shared" si="227"/>
        <v/>
      </c>
      <c r="CA304" s="304" t="str">
        <f t="shared" si="228"/>
        <v/>
      </c>
      <c r="CB304" s="305" t="str">
        <f t="shared" si="229"/>
        <v/>
      </c>
      <c r="CC304" s="305" t="str">
        <f t="shared" si="230"/>
        <v/>
      </c>
      <c r="CD304" s="305" t="str">
        <f t="shared" si="231"/>
        <v/>
      </c>
    </row>
    <row r="305" spans="1:82" x14ac:dyDescent="0.2">
      <c r="A305" s="235"/>
      <c r="B305" s="236" t="str">
        <f t="shared" si="196"/>
        <v/>
      </c>
      <c r="C305" s="237" t="str">
        <f t="shared" si="186"/>
        <v/>
      </c>
      <c r="D305" s="237" t="str">
        <f t="shared" si="197"/>
        <v/>
      </c>
      <c r="E305" s="237" t="str">
        <f>IF($C305="", "", COUNTIF($M$8:$M305,$D305))</f>
        <v/>
      </c>
      <c r="F305" s="238">
        <v>298</v>
      </c>
      <c r="G305" s="239"/>
      <c r="H305" s="240"/>
      <c r="I305" s="240"/>
      <c r="J305" s="241"/>
      <c r="K305" s="240"/>
      <c r="L305" s="240"/>
      <c r="M305" s="240"/>
      <c r="N305" s="242"/>
      <c r="O305" s="243"/>
      <c r="P305" s="243"/>
      <c r="Q305" s="243"/>
      <c r="R305" s="243"/>
      <c r="S305" s="243"/>
      <c r="T305" s="245"/>
      <c r="U305" s="246" t="str">
        <f>IF($T305="", "", VLOOKUP($T305, CONTRATOS!$B:$E, 2, FALSE))</f>
        <v/>
      </c>
      <c r="V305" s="247">
        <f>IF(OR($T305="",TB_DEFESA!$C$2="Criação Baseline"),0,
   IF(VLOOKUP($T305, CONTRATOS!B:E, 3, FALSE)&lt;&gt;"",1,IF(VLOOKUP($T305, CONTRATOS!B:E, 4, FALSE)&lt;&gt;"",2,0)))</f>
        <v>0</v>
      </c>
      <c r="W305" s="248"/>
      <c r="X305" s="248"/>
      <c r="Y305" s="249"/>
      <c r="Z305" s="250"/>
      <c r="AA305" s="251"/>
      <c r="AB305" s="252"/>
      <c r="AC305" s="253"/>
      <c r="AD305" s="251"/>
      <c r="AE305" s="254" t="str">
        <f t="shared" si="187"/>
        <v/>
      </c>
      <c r="AF305" s="256" t="str">
        <f t="shared" si="198"/>
        <v/>
      </c>
      <c r="AG305" s="293" t="s">
        <v>62</v>
      </c>
      <c r="AH305" s="294" t="str">
        <f t="shared" si="199"/>
        <v/>
      </c>
      <c r="AI305" s="294" t="str">
        <f t="shared" si="200"/>
        <v/>
      </c>
      <c r="AJ305" s="295" t="str">
        <f t="shared" si="201"/>
        <v/>
      </c>
      <c r="AK305" s="296" t="str">
        <f t="shared" si="202"/>
        <v/>
      </c>
      <c r="AL305" s="297" t="str">
        <f t="shared" si="203"/>
        <v/>
      </c>
      <c r="AM305" s="294" t="str">
        <f t="shared" si="204"/>
        <v/>
      </c>
      <c r="AN305" s="294" t="str">
        <f t="shared" si="205"/>
        <v/>
      </c>
      <c r="AO305" s="298" t="str">
        <f t="shared" si="206"/>
        <v/>
      </c>
      <c r="AP305" s="299" t="str">
        <f t="shared" si="207"/>
        <v/>
      </c>
      <c r="AQ305" s="299" t="str">
        <f t="shared" si="208"/>
        <v/>
      </c>
      <c r="AR305" s="300" t="str">
        <f t="shared" si="188"/>
        <v/>
      </c>
      <c r="AS305" s="300" t="str">
        <f t="shared" si="189"/>
        <v/>
      </c>
      <c r="AT305" s="294" t="str">
        <f t="shared" si="190"/>
        <v/>
      </c>
      <c r="AU305" s="301" t="str">
        <f>IF(OR($B305="", $AP305= ""),"",IF(VLOOKUP($AP305, CONTRATOS!B:K,3,FALSE)="","",VLOOKUP($AP305, CONTRATOS!B:K, 3,FALSE)))</f>
        <v/>
      </c>
      <c r="AV305" s="301" t="str">
        <f>IF(OR($B305="", $AP305 = ""), "", IF(VLOOKUP($AP305, CONTRATOS!B:K,4,FALSE)="","",VLOOKUP($AP305, CONTRATOS!B:K,4, FALSE)))</f>
        <v/>
      </c>
      <c r="AW305" s="302" t="str">
        <f t="shared" si="191"/>
        <v/>
      </c>
      <c r="AX305" s="301" t="str">
        <f t="shared" si="192"/>
        <v/>
      </c>
      <c r="AY305" s="301" t="str">
        <f t="shared" si="193"/>
        <v/>
      </c>
      <c r="AZ305" s="301" t="str">
        <f t="shared" si="194"/>
        <v/>
      </c>
      <c r="BA305" s="301" t="str">
        <f t="shared" si="195"/>
        <v/>
      </c>
      <c r="BB305" s="303">
        <f t="shared" si="209"/>
        <v>0</v>
      </c>
      <c r="BC305" s="303" t="str">
        <f t="shared" si="210"/>
        <v/>
      </c>
      <c r="BD305" s="303" t="str">
        <f t="shared" si="211"/>
        <v/>
      </c>
      <c r="BF305" s="304">
        <f t="shared" si="212"/>
        <v>0</v>
      </c>
      <c r="BG305" s="304">
        <f t="shared" si="213"/>
        <v>0</v>
      </c>
      <c r="BH305" s="304" t="str">
        <f>IF( $B305="", "", IF(ISNA(VLOOKUP($C305, Defesa!$C$8:$C$30,1,FALSE)),1,0))</f>
        <v/>
      </c>
      <c r="BI305" s="305" t="str">
        <f t="shared" si="214"/>
        <v/>
      </c>
      <c r="BJ305" s="305" t="str">
        <f t="shared" si="215"/>
        <v/>
      </c>
      <c r="BK305" s="304" t="str">
        <f t="shared" si="216"/>
        <v/>
      </c>
      <c r="BL305" s="304">
        <f t="shared" si="217"/>
        <v>0</v>
      </c>
      <c r="BM305" s="304" t="str">
        <f>IF($AC305="", "", IF(ISNA(VLOOKUP($AC305, TABELAS!$Q:$Q, 1, FALSE)), 1, 0))</f>
        <v/>
      </c>
      <c r="BN305" s="306" t="str">
        <f t="shared" si="218"/>
        <v/>
      </c>
      <c r="BO305" s="304" t="str">
        <f t="shared" si="219"/>
        <v/>
      </c>
      <c r="BP305" s="304" t="str">
        <f t="shared" si="220"/>
        <v/>
      </c>
      <c r="BQ305" s="305" t="str">
        <f t="shared" si="221"/>
        <v/>
      </c>
      <c r="BR305" s="304" t="str">
        <f t="shared" si="222"/>
        <v/>
      </c>
      <c r="BS305" s="304" t="str">
        <f t="shared" si="223"/>
        <v/>
      </c>
      <c r="BT305" s="304" t="str">
        <f>IF(OR($B305="", $AH305 = "SIM"), "", IF( ISNA(VLOOKUP($AP305,#REF!, 1, FALSE)), 1, 0))</f>
        <v/>
      </c>
      <c r="BU305" s="304" t="str">
        <f t="shared" si="224"/>
        <v/>
      </c>
      <c r="BV305" s="304" t="str">
        <f>IF( $B305="", "", IF( ISNA(VLOOKUP($AN305, TABELAS!$T$2:$T$9,1,FALSE)), 1, 0))</f>
        <v/>
      </c>
      <c r="BW305" s="304" t="str">
        <f t="shared" si="225"/>
        <v/>
      </c>
      <c r="BX305" s="304" t="str">
        <f>IF( OR($B305="", $AH305 = "SIM"), "", IF( ISNA( VLOOKUP( $AQ305, SISTEMA!$B:$B, 1, FALSE)), 1, 0))</f>
        <v/>
      </c>
      <c r="BY305" s="305" t="str">
        <f t="shared" si="226"/>
        <v/>
      </c>
      <c r="BZ305" s="305" t="str">
        <f t="shared" si="227"/>
        <v/>
      </c>
      <c r="CA305" s="304" t="str">
        <f t="shared" si="228"/>
        <v/>
      </c>
      <c r="CB305" s="305" t="str">
        <f t="shared" si="229"/>
        <v/>
      </c>
      <c r="CC305" s="305" t="str">
        <f t="shared" si="230"/>
        <v/>
      </c>
      <c r="CD305" s="305" t="str">
        <f t="shared" si="231"/>
        <v/>
      </c>
    </row>
    <row r="306" spans="1:82" x14ac:dyDescent="0.2">
      <c r="A306" s="235"/>
      <c r="B306" s="236" t="str">
        <f t="shared" si="196"/>
        <v/>
      </c>
      <c r="C306" s="237" t="str">
        <f t="shared" si="186"/>
        <v/>
      </c>
      <c r="D306" s="237" t="str">
        <f t="shared" si="197"/>
        <v/>
      </c>
      <c r="E306" s="237" t="str">
        <f>IF($C306="", "", COUNTIF($M$8:$M306,$D306))</f>
        <v/>
      </c>
      <c r="F306" s="238">
        <v>299</v>
      </c>
      <c r="G306" s="239"/>
      <c r="H306" s="240"/>
      <c r="I306" s="240"/>
      <c r="J306" s="241"/>
      <c r="K306" s="240"/>
      <c r="L306" s="240"/>
      <c r="M306" s="240"/>
      <c r="N306" s="242"/>
      <c r="O306" s="243"/>
      <c r="P306" s="243"/>
      <c r="Q306" s="243"/>
      <c r="R306" s="243"/>
      <c r="S306" s="243"/>
      <c r="T306" s="245"/>
      <c r="U306" s="246" t="str">
        <f>IF($T306="", "", VLOOKUP($T306, CONTRATOS!$B:$E, 2, FALSE))</f>
        <v/>
      </c>
      <c r="V306" s="247">
        <f>IF(OR($T306="",TB_DEFESA!$C$2="Criação Baseline"),0,
   IF(VLOOKUP($T306, CONTRATOS!B:E, 3, FALSE)&lt;&gt;"",1,IF(VLOOKUP($T306, CONTRATOS!B:E, 4, FALSE)&lt;&gt;"",2,0)))</f>
        <v>0</v>
      </c>
      <c r="W306" s="248"/>
      <c r="X306" s="248"/>
      <c r="Y306" s="249"/>
      <c r="Z306" s="250"/>
      <c r="AA306" s="251"/>
      <c r="AB306" s="252"/>
      <c r="AC306" s="253"/>
      <c r="AD306" s="251"/>
      <c r="AE306" s="254" t="str">
        <f t="shared" si="187"/>
        <v/>
      </c>
      <c r="AF306" s="256" t="str">
        <f t="shared" si="198"/>
        <v/>
      </c>
      <c r="AG306" s="293" t="s">
        <v>62</v>
      </c>
      <c r="AH306" s="294" t="str">
        <f t="shared" si="199"/>
        <v/>
      </c>
      <c r="AI306" s="294" t="str">
        <f t="shared" si="200"/>
        <v/>
      </c>
      <c r="AJ306" s="295" t="str">
        <f t="shared" si="201"/>
        <v/>
      </c>
      <c r="AK306" s="296" t="str">
        <f t="shared" si="202"/>
        <v/>
      </c>
      <c r="AL306" s="297" t="str">
        <f t="shared" si="203"/>
        <v/>
      </c>
      <c r="AM306" s="294" t="str">
        <f t="shared" si="204"/>
        <v/>
      </c>
      <c r="AN306" s="294" t="str">
        <f t="shared" si="205"/>
        <v/>
      </c>
      <c r="AO306" s="298" t="str">
        <f t="shared" si="206"/>
        <v/>
      </c>
      <c r="AP306" s="299" t="str">
        <f t="shared" si="207"/>
        <v/>
      </c>
      <c r="AQ306" s="299" t="str">
        <f t="shared" si="208"/>
        <v/>
      </c>
      <c r="AR306" s="300" t="str">
        <f t="shared" si="188"/>
        <v/>
      </c>
      <c r="AS306" s="300" t="str">
        <f t="shared" si="189"/>
        <v/>
      </c>
      <c r="AT306" s="294" t="str">
        <f t="shared" si="190"/>
        <v/>
      </c>
      <c r="AU306" s="301" t="str">
        <f>IF(OR($B306="", $AP306= ""),"",IF(VLOOKUP($AP306, CONTRATOS!B:K,3,FALSE)="","",VLOOKUP($AP306, CONTRATOS!B:K, 3,FALSE)))</f>
        <v/>
      </c>
      <c r="AV306" s="301" t="str">
        <f>IF(OR($B306="", $AP306 = ""), "", IF(VLOOKUP($AP306, CONTRATOS!B:K,4,FALSE)="","",VLOOKUP($AP306, CONTRATOS!B:K,4, FALSE)))</f>
        <v/>
      </c>
      <c r="AW306" s="302" t="str">
        <f t="shared" si="191"/>
        <v/>
      </c>
      <c r="AX306" s="301" t="str">
        <f t="shared" si="192"/>
        <v/>
      </c>
      <c r="AY306" s="301" t="str">
        <f t="shared" si="193"/>
        <v/>
      </c>
      <c r="AZ306" s="301" t="str">
        <f t="shared" si="194"/>
        <v/>
      </c>
      <c r="BA306" s="301" t="str">
        <f t="shared" si="195"/>
        <v/>
      </c>
      <c r="BB306" s="303">
        <f t="shared" si="209"/>
        <v>0</v>
      </c>
      <c r="BC306" s="303" t="str">
        <f t="shared" si="210"/>
        <v/>
      </c>
      <c r="BD306" s="303" t="str">
        <f t="shared" si="211"/>
        <v/>
      </c>
      <c r="BF306" s="304">
        <f t="shared" si="212"/>
        <v>0</v>
      </c>
      <c r="BG306" s="304">
        <f t="shared" si="213"/>
        <v>0</v>
      </c>
      <c r="BH306" s="304" t="str">
        <f>IF( $B306="", "", IF(ISNA(VLOOKUP($C306, Defesa!$C$8:$C$30,1,FALSE)),1,0))</f>
        <v/>
      </c>
      <c r="BI306" s="305" t="str">
        <f t="shared" si="214"/>
        <v/>
      </c>
      <c r="BJ306" s="305" t="str">
        <f t="shared" si="215"/>
        <v/>
      </c>
      <c r="BK306" s="304" t="str">
        <f t="shared" si="216"/>
        <v/>
      </c>
      <c r="BL306" s="304">
        <f t="shared" si="217"/>
        <v>0</v>
      </c>
      <c r="BM306" s="304" t="str">
        <f>IF($AC306="", "", IF(ISNA(VLOOKUP($AC306, TABELAS!$Q:$Q, 1, FALSE)), 1, 0))</f>
        <v/>
      </c>
      <c r="BN306" s="306" t="str">
        <f t="shared" si="218"/>
        <v/>
      </c>
      <c r="BO306" s="304" t="str">
        <f t="shared" si="219"/>
        <v/>
      </c>
      <c r="BP306" s="304" t="str">
        <f t="shared" si="220"/>
        <v/>
      </c>
      <c r="BQ306" s="305" t="str">
        <f t="shared" si="221"/>
        <v/>
      </c>
      <c r="BR306" s="304" t="str">
        <f t="shared" si="222"/>
        <v/>
      </c>
      <c r="BS306" s="304" t="str">
        <f t="shared" si="223"/>
        <v/>
      </c>
      <c r="BT306" s="304" t="str">
        <f>IF(OR($B306="", $AH306 = "SIM"), "", IF( ISNA(VLOOKUP($AP306,#REF!, 1, FALSE)), 1, 0))</f>
        <v/>
      </c>
      <c r="BU306" s="304" t="str">
        <f t="shared" si="224"/>
        <v/>
      </c>
      <c r="BV306" s="304" t="str">
        <f>IF( $B306="", "", IF( ISNA(VLOOKUP($AN306, TABELAS!$T$2:$T$9,1,FALSE)), 1, 0))</f>
        <v/>
      </c>
      <c r="BW306" s="304" t="str">
        <f t="shared" si="225"/>
        <v/>
      </c>
      <c r="BX306" s="304" t="str">
        <f>IF( OR($B306="", $AH306 = "SIM"), "", IF( ISNA( VLOOKUP( $AQ306, SISTEMA!$B:$B, 1, FALSE)), 1, 0))</f>
        <v/>
      </c>
      <c r="BY306" s="305" t="str">
        <f t="shared" si="226"/>
        <v/>
      </c>
      <c r="BZ306" s="305" t="str">
        <f t="shared" si="227"/>
        <v/>
      </c>
      <c r="CA306" s="304" t="str">
        <f t="shared" si="228"/>
        <v/>
      </c>
      <c r="CB306" s="305" t="str">
        <f t="shared" si="229"/>
        <v/>
      </c>
      <c r="CC306" s="305" t="str">
        <f t="shared" si="230"/>
        <v/>
      </c>
      <c r="CD306" s="305" t="str">
        <f t="shared" si="231"/>
        <v/>
      </c>
    </row>
    <row r="307" spans="1:82" x14ac:dyDescent="0.2">
      <c r="A307" s="235"/>
      <c r="B307" s="236" t="str">
        <f t="shared" si="196"/>
        <v/>
      </c>
      <c r="C307" s="237" t="str">
        <f t="shared" si="186"/>
        <v/>
      </c>
      <c r="D307" s="237" t="str">
        <f t="shared" si="197"/>
        <v/>
      </c>
      <c r="E307" s="237" t="str">
        <f>IF($C307="", "", COUNTIF($M$8:$M307,$D307))</f>
        <v/>
      </c>
      <c r="F307" s="238">
        <v>300</v>
      </c>
      <c r="G307" s="239"/>
      <c r="H307" s="240"/>
      <c r="I307" s="240"/>
      <c r="J307" s="241"/>
      <c r="K307" s="240"/>
      <c r="L307" s="240"/>
      <c r="M307" s="240"/>
      <c r="N307" s="242"/>
      <c r="O307" s="243"/>
      <c r="P307" s="243"/>
      <c r="Q307" s="243"/>
      <c r="R307" s="243"/>
      <c r="S307" s="243"/>
      <c r="T307" s="245"/>
      <c r="U307" s="246" t="str">
        <f>IF($T307="", "", VLOOKUP($T307, CONTRATOS!$B:$E, 2, FALSE))</f>
        <v/>
      </c>
      <c r="V307" s="247">
        <f>IF(OR($T307="",TB_DEFESA!$C$2="Criação Baseline"),0,
   IF(VLOOKUP($T307, CONTRATOS!B:E, 3, FALSE)&lt;&gt;"",1,IF(VLOOKUP($T307, CONTRATOS!B:E, 4, FALSE)&lt;&gt;"",2,0)))</f>
        <v>0</v>
      </c>
      <c r="W307" s="248"/>
      <c r="X307" s="248"/>
      <c r="Y307" s="249"/>
      <c r="Z307" s="250"/>
      <c r="AA307" s="251"/>
      <c r="AB307" s="252"/>
      <c r="AC307" s="253"/>
      <c r="AD307" s="251"/>
      <c r="AE307" s="254" t="str">
        <f t="shared" si="187"/>
        <v/>
      </c>
      <c r="AF307" s="256" t="str">
        <f t="shared" si="198"/>
        <v/>
      </c>
      <c r="AG307" s="293" t="s">
        <v>62</v>
      </c>
      <c r="AH307" s="294" t="str">
        <f t="shared" si="199"/>
        <v/>
      </c>
      <c r="AI307" s="294" t="str">
        <f t="shared" si="200"/>
        <v/>
      </c>
      <c r="AJ307" s="295" t="str">
        <f t="shared" si="201"/>
        <v/>
      </c>
      <c r="AK307" s="296" t="str">
        <f t="shared" si="202"/>
        <v/>
      </c>
      <c r="AL307" s="297" t="str">
        <f t="shared" si="203"/>
        <v/>
      </c>
      <c r="AM307" s="294" t="str">
        <f t="shared" si="204"/>
        <v/>
      </c>
      <c r="AN307" s="294" t="str">
        <f t="shared" si="205"/>
        <v/>
      </c>
      <c r="AO307" s="298" t="str">
        <f t="shared" si="206"/>
        <v/>
      </c>
      <c r="AP307" s="299" t="str">
        <f t="shared" si="207"/>
        <v/>
      </c>
      <c r="AQ307" s="299" t="str">
        <f t="shared" si="208"/>
        <v/>
      </c>
      <c r="AR307" s="300" t="str">
        <f t="shared" si="188"/>
        <v/>
      </c>
      <c r="AS307" s="300" t="str">
        <f t="shared" si="189"/>
        <v/>
      </c>
      <c r="AT307" s="294" t="str">
        <f t="shared" si="190"/>
        <v/>
      </c>
      <c r="AU307" s="301" t="str">
        <f>IF(OR($B307="", $AP307= ""),"",IF(VLOOKUP($AP307, CONTRATOS!B:K,3,FALSE)="","",VLOOKUP($AP307, CONTRATOS!B:K, 3,FALSE)))</f>
        <v/>
      </c>
      <c r="AV307" s="301" t="str">
        <f>IF(OR($B307="", $AP307 = ""), "", IF(VLOOKUP($AP307, CONTRATOS!B:K,4,FALSE)="","",VLOOKUP($AP307, CONTRATOS!B:K,4, FALSE)))</f>
        <v/>
      </c>
      <c r="AW307" s="302" t="str">
        <f t="shared" si="191"/>
        <v/>
      </c>
      <c r="AX307" s="301" t="str">
        <f t="shared" si="192"/>
        <v/>
      </c>
      <c r="AY307" s="301" t="str">
        <f t="shared" si="193"/>
        <v/>
      </c>
      <c r="AZ307" s="301" t="str">
        <f t="shared" si="194"/>
        <v/>
      </c>
      <c r="BA307" s="301" t="str">
        <f t="shared" si="195"/>
        <v/>
      </c>
      <c r="BB307" s="303">
        <f t="shared" si="209"/>
        <v>0</v>
      </c>
      <c r="BC307" s="303" t="str">
        <f t="shared" si="210"/>
        <v/>
      </c>
      <c r="BD307" s="303" t="str">
        <f t="shared" si="211"/>
        <v/>
      </c>
      <c r="BF307" s="304">
        <f t="shared" si="212"/>
        <v>0</v>
      </c>
      <c r="BG307" s="304">
        <f t="shared" si="213"/>
        <v>0</v>
      </c>
      <c r="BH307" s="304" t="str">
        <f>IF( $B307="", "", IF(ISNA(VLOOKUP($C307, Defesa!$C$8:$C$30,1,FALSE)),1,0))</f>
        <v/>
      </c>
      <c r="BI307" s="305" t="str">
        <f t="shared" si="214"/>
        <v/>
      </c>
      <c r="BJ307" s="305" t="str">
        <f t="shared" si="215"/>
        <v/>
      </c>
      <c r="BK307" s="304" t="str">
        <f t="shared" si="216"/>
        <v/>
      </c>
      <c r="BL307" s="304">
        <f t="shared" si="217"/>
        <v>0</v>
      </c>
      <c r="BM307" s="304" t="str">
        <f>IF($AC307="", "", IF(ISNA(VLOOKUP($AC307, TABELAS!$Q:$Q, 1, FALSE)), 1, 0))</f>
        <v/>
      </c>
      <c r="BN307" s="306" t="str">
        <f t="shared" si="218"/>
        <v/>
      </c>
      <c r="BO307" s="304" t="str">
        <f t="shared" si="219"/>
        <v/>
      </c>
      <c r="BP307" s="304" t="str">
        <f t="shared" si="220"/>
        <v/>
      </c>
      <c r="BQ307" s="305" t="str">
        <f t="shared" si="221"/>
        <v/>
      </c>
      <c r="BR307" s="304" t="str">
        <f t="shared" si="222"/>
        <v/>
      </c>
      <c r="BS307" s="304" t="str">
        <f t="shared" si="223"/>
        <v/>
      </c>
      <c r="BT307" s="304" t="str">
        <f>IF(OR($B307="", $AH307 = "SIM"), "", IF( ISNA(VLOOKUP($AP307,#REF!, 1, FALSE)), 1, 0))</f>
        <v/>
      </c>
      <c r="BU307" s="304" t="str">
        <f t="shared" si="224"/>
        <v/>
      </c>
      <c r="BV307" s="304" t="str">
        <f>IF( $B307="", "", IF( ISNA(VLOOKUP($AN307, TABELAS!$T$2:$T$9,1,FALSE)), 1, 0))</f>
        <v/>
      </c>
      <c r="BW307" s="304" t="str">
        <f t="shared" si="225"/>
        <v/>
      </c>
      <c r="BX307" s="304" t="str">
        <f>IF( OR($B307="", $AH307 = "SIM"), "", IF( ISNA( VLOOKUP( $AQ307, SISTEMA!$B:$B, 1, FALSE)), 1, 0))</f>
        <v/>
      </c>
      <c r="BY307" s="305" t="str">
        <f t="shared" si="226"/>
        <v/>
      </c>
      <c r="BZ307" s="305" t="str">
        <f t="shared" si="227"/>
        <v/>
      </c>
      <c r="CA307" s="304" t="str">
        <f t="shared" si="228"/>
        <v/>
      </c>
      <c r="CB307" s="305" t="str">
        <f t="shared" si="229"/>
        <v/>
      </c>
      <c r="CC307" s="305" t="str">
        <f t="shared" si="230"/>
        <v/>
      </c>
      <c r="CD307" s="305" t="str">
        <f t="shared" si="231"/>
        <v/>
      </c>
    </row>
    <row r="308" spans="1:82" x14ac:dyDescent="0.2">
      <c r="A308" s="235"/>
      <c r="B308" s="236" t="str">
        <f t="shared" si="196"/>
        <v/>
      </c>
      <c r="C308" s="237" t="str">
        <f t="shared" si="186"/>
        <v/>
      </c>
      <c r="D308" s="237" t="str">
        <f t="shared" si="197"/>
        <v/>
      </c>
      <c r="E308" s="237" t="str">
        <f>IF($C308="", "", COUNTIF($M$8:$M308,$D308))</f>
        <v/>
      </c>
      <c r="F308" s="238">
        <v>301</v>
      </c>
      <c r="G308" s="239"/>
      <c r="H308" s="240"/>
      <c r="I308" s="240"/>
      <c r="J308" s="241"/>
      <c r="K308" s="240"/>
      <c r="L308" s="240"/>
      <c r="M308" s="240"/>
      <c r="N308" s="242"/>
      <c r="O308" s="243"/>
      <c r="P308" s="243"/>
      <c r="Q308" s="243"/>
      <c r="R308" s="243"/>
      <c r="S308" s="243"/>
      <c r="T308" s="245"/>
      <c r="U308" s="246" t="str">
        <f>IF($T308="", "", VLOOKUP($T308, CONTRATOS!$B:$E, 2, FALSE))</f>
        <v/>
      </c>
      <c r="V308" s="247">
        <f>IF(OR($T308="",TB_DEFESA!$C$2="Criação Baseline"),0,
   IF(VLOOKUP($T308, CONTRATOS!B:E, 3, FALSE)&lt;&gt;"",1,IF(VLOOKUP($T308, CONTRATOS!B:E, 4, FALSE)&lt;&gt;"",2,0)))</f>
        <v>0</v>
      </c>
      <c r="W308" s="248"/>
      <c r="X308" s="248"/>
      <c r="Y308" s="249"/>
      <c r="Z308" s="250"/>
      <c r="AA308" s="251"/>
      <c r="AB308" s="252"/>
      <c r="AC308" s="253"/>
      <c r="AD308" s="251"/>
      <c r="AE308" s="254" t="str">
        <f t="shared" si="187"/>
        <v/>
      </c>
      <c r="AF308" s="256" t="str">
        <f t="shared" si="198"/>
        <v/>
      </c>
      <c r="AG308" s="293" t="s">
        <v>62</v>
      </c>
      <c r="AH308" s="294" t="str">
        <f t="shared" si="199"/>
        <v/>
      </c>
      <c r="AI308" s="294" t="str">
        <f t="shared" si="200"/>
        <v/>
      </c>
      <c r="AJ308" s="295" t="str">
        <f t="shared" si="201"/>
        <v/>
      </c>
      <c r="AK308" s="296" t="str">
        <f t="shared" si="202"/>
        <v/>
      </c>
      <c r="AL308" s="297" t="str">
        <f t="shared" si="203"/>
        <v/>
      </c>
      <c r="AM308" s="294" t="str">
        <f t="shared" si="204"/>
        <v/>
      </c>
      <c r="AN308" s="294" t="str">
        <f t="shared" si="205"/>
        <v/>
      </c>
      <c r="AO308" s="298" t="str">
        <f t="shared" si="206"/>
        <v/>
      </c>
      <c r="AP308" s="299" t="str">
        <f t="shared" si="207"/>
        <v/>
      </c>
      <c r="AQ308" s="299" t="str">
        <f t="shared" si="208"/>
        <v/>
      </c>
      <c r="AR308" s="300" t="str">
        <f t="shared" si="188"/>
        <v/>
      </c>
      <c r="AS308" s="300" t="str">
        <f t="shared" si="189"/>
        <v/>
      </c>
      <c r="AT308" s="294" t="str">
        <f t="shared" si="190"/>
        <v/>
      </c>
      <c r="AU308" s="301" t="str">
        <f>IF(OR($B308="", $AP308= ""),"",IF(VLOOKUP($AP308, CONTRATOS!B:K,3,FALSE)="","",VLOOKUP($AP308, CONTRATOS!B:K, 3,FALSE)))</f>
        <v/>
      </c>
      <c r="AV308" s="301" t="str">
        <f>IF(OR($B308="", $AP308 = ""), "", IF(VLOOKUP($AP308, CONTRATOS!B:K,4,FALSE)="","",VLOOKUP($AP308, CONTRATOS!B:K,4, FALSE)))</f>
        <v/>
      </c>
      <c r="AW308" s="302" t="str">
        <f t="shared" si="191"/>
        <v/>
      </c>
      <c r="AX308" s="301" t="str">
        <f t="shared" si="192"/>
        <v/>
      </c>
      <c r="AY308" s="301" t="str">
        <f t="shared" si="193"/>
        <v/>
      </c>
      <c r="AZ308" s="301" t="str">
        <f t="shared" si="194"/>
        <v/>
      </c>
      <c r="BA308" s="301" t="str">
        <f t="shared" si="195"/>
        <v/>
      </c>
      <c r="BB308" s="303">
        <f t="shared" si="209"/>
        <v>0</v>
      </c>
      <c r="BC308" s="303" t="str">
        <f t="shared" si="210"/>
        <v/>
      </c>
      <c r="BD308" s="303" t="str">
        <f t="shared" si="211"/>
        <v/>
      </c>
      <c r="BF308" s="304">
        <f t="shared" si="212"/>
        <v>0</v>
      </c>
      <c r="BG308" s="304">
        <f t="shared" si="213"/>
        <v>0</v>
      </c>
      <c r="BH308" s="304" t="str">
        <f>IF( $B308="", "", IF(ISNA(VLOOKUP($C308, Defesa!$C$8:$C$30,1,FALSE)),1,0))</f>
        <v/>
      </c>
      <c r="BI308" s="305" t="str">
        <f t="shared" si="214"/>
        <v/>
      </c>
      <c r="BJ308" s="305" t="str">
        <f t="shared" si="215"/>
        <v/>
      </c>
      <c r="BK308" s="304" t="str">
        <f t="shared" si="216"/>
        <v/>
      </c>
      <c r="BL308" s="304">
        <f t="shared" si="217"/>
        <v>0</v>
      </c>
      <c r="BM308" s="304" t="str">
        <f>IF($AC308="", "", IF(ISNA(VLOOKUP($AC308, TABELAS!$Q:$Q, 1, FALSE)), 1, 0))</f>
        <v/>
      </c>
      <c r="BN308" s="306" t="str">
        <f t="shared" si="218"/>
        <v/>
      </c>
      <c r="BO308" s="304" t="str">
        <f t="shared" si="219"/>
        <v/>
      </c>
      <c r="BP308" s="304" t="str">
        <f t="shared" si="220"/>
        <v/>
      </c>
      <c r="BQ308" s="305" t="str">
        <f t="shared" si="221"/>
        <v/>
      </c>
      <c r="BR308" s="304" t="str">
        <f t="shared" si="222"/>
        <v/>
      </c>
      <c r="BS308" s="304" t="str">
        <f t="shared" si="223"/>
        <v/>
      </c>
      <c r="BT308" s="304" t="str">
        <f>IF(OR($B308="", $AH308 = "SIM"), "", IF( ISNA(VLOOKUP($AP308,#REF!, 1, FALSE)), 1, 0))</f>
        <v/>
      </c>
      <c r="BU308" s="304" t="str">
        <f t="shared" si="224"/>
        <v/>
      </c>
      <c r="BV308" s="304" t="str">
        <f>IF( $B308="", "", IF( ISNA(VLOOKUP($AN308, TABELAS!$T$2:$T$9,1,FALSE)), 1, 0))</f>
        <v/>
      </c>
      <c r="BW308" s="304" t="str">
        <f t="shared" si="225"/>
        <v/>
      </c>
      <c r="BX308" s="304" t="str">
        <f>IF( OR($B308="", $AH308 = "SIM"), "", IF( ISNA( VLOOKUP( $AQ308, SISTEMA!$B:$B, 1, FALSE)), 1, 0))</f>
        <v/>
      </c>
      <c r="BY308" s="305" t="str">
        <f t="shared" si="226"/>
        <v/>
      </c>
      <c r="BZ308" s="305" t="str">
        <f t="shared" si="227"/>
        <v/>
      </c>
      <c r="CA308" s="304" t="str">
        <f t="shared" si="228"/>
        <v/>
      </c>
      <c r="CB308" s="305" t="str">
        <f t="shared" si="229"/>
        <v/>
      </c>
      <c r="CC308" s="305" t="str">
        <f t="shared" si="230"/>
        <v/>
      </c>
      <c r="CD308" s="305" t="str">
        <f t="shared" si="231"/>
        <v/>
      </c>
    </row>
    <row r="309" spans="1:82" x14ac:dyDescent="0.2">
      <c r="A309" s="235"/>
      <c r="B309" s="236" t="str">
        <f t="shared" si="196"/>
        <v/>
      </c>
      <c r="C309" s="237" t="str">
        <f t="shared" si="186"/>
        <v/>
      </c>
      <c r="D309" s="237" t="str">
        <f t="shared" si="197"/>
        <v/>
      </c>
      <c r="E309" s="237" t="str">
        <f>IF($C309="", "", COUNTIF($M$8:$M309,$D309))</f>
        <v/>
      </c>
      <c r="F309" s="238">
        <v>302</v>
      </c>
      <c r="G309" s="239"/>
      <c r="H309" s="240"/>
      <c r="I309" s="240"/>
      <c r="J309" s="241"/>
      <c r="K309" s="240"/>
      <c r="L309" s="240"/>
      <c r="M309" s="240"/>
      <c r="N309" s="242"/>
      <c r="O309" s="243"/>
      <c r="P309" s="243"/>
      <c r="Q309" s="243"/>
      <c r="R309" s="243"/>
      <c r="S309" s="243"/>
      <c r="T309" s="245"/>
      <c r="U309" s="246" t="str">
        <f>IF($T309="", "", VLOOKUP($T309, CONTRATOS!$B:$E, 2, FALSE))</f>
        <v/>
      </c>
      <c r="V309" s="247">
        <f>IF(OR($T309="",TB_DEFESA!$C$2="Criação Baseline"),0,
   IF(VLOOKUP($T309, CONTRATOS!B:E, 3, FALSE)&lt;&gt;"",1,IF(VLOOKUP($T309, CONTRATOS!B:E, 4, FALSE)&lt;&gt;"",2,0)))</f>
        <v>0</v>
      </c>
      <c r="W309" s="248"/>
      <c r="X309" s="248"/>
      <c r="Y309" s="249"/>
      <c r="Z309" s="250"/>
      <c r="AA309" s="251"/>
      <c r="AB309" s="252"/>
      <c r="AC309" s="253"/>
      <c r="AD309" s="251"/>
      <c r="AE309" s="254" t="str">
        <f t="shared" si="187"/>
        <v/>
      </c>
      <c r="AF309" s="256" t="str">
        <f t="shared" si="198"/>
        <v/>
      </c>
      <c r="AG309" s="293" t="s">
        <v>62</v>
      </c>
      <c r="AH309" s="294" t="str">
        <f t="shared" si="199"/>
        <v/>
      </c>
      <c r="AI309" s="294" t="str">
        <f t="shared" si="200"/>
        <v/>
      </c>
      <c r="AJ309" s="295" t="str">
        <f t="shared" si="201"/>
        <v/>
      </c>
      <c r="AK309" s="296" t="str">
        <f t="shared" si="202"/>
        <v/>
      </c>
      <c r="AL309" s="297" t="str">
        <f t="shared" si="203"/>
        <v/>
      </c>
      <c r="AM309" s="294" t="str">
        <f t="shared" si="204"/>
        <v/>
      </c>
      <c r="AN309" s="294" t="str">
        <f t="shared" si="205"/>
        <v/>
      </c>
      <c r="AO309" s="298" t="str">
        <f t="shared" si="206"/>
        <v/>
      </c>
      <c r="AP309" s="299" t="str">
        <f t="shared" si="207"/>
        <v/>
      </c>
      <c r="AQ309" s="299" t="str">
        <f t="shared" si="208"/>
        <v/>
      </c>
      <c r="AR309" s="300" t="str">
        <f t="shared" si="188"/>
        <v/>
      </c>
      <c r="AS309" s="300" t="str">
        <f t="shared" si="189"/>
        <v/>
      </c>
      <c r="AT309" s="294" t="str">
        <f t="shared" si="190"/>
        <v/>
      </c>
      <c r="AU309" s="301" t="str">
        <f>IF(OR($B309="", $AP309= ""),"",IF(VLOOKUP($AP309, CONTRATOS!B:K,3,FALSE)="","",VLOOKUP($AP309, CONTRATOS!B:K, 3,FALSE)))</f>
        <v/>
      </c>
      <c r="AV309" s="301" t="str">
        <f>IF(OR($B309="", $AP309 = ""), "", IF(VLOOKUP($AP309, CONTRATOS!B:K,4,FALSE)="","",VLOOKUP($AP309, CONTRATOS!B:K,4, FALSE)))</f>
        <v/>
      </c>
      <c r="AW309" s="302" t="str">
        <f t="shared" si="191"/>
        <v/>
      </c>
      <c r="AX309" s="301" t="str">
        <f t="shared" si="192"/>
        <v/>
      </c>
      <c r="AY309" s="301" t="str">
        <f t="shared" si="193"/>
        <v/>
      </c>
      <c r="AZ309" s="301" t="str">
        <f t="shared" si="194"/>
        <v/>
      </c>
      <c r="BA309" s="301" t="str">
        <f t="shared" si="195"/>
        <v/>
      </c>
      <c r="BB309" s="303">
        <f t="shared" si="209"/>
        <v>0</v>
      </c>
      <c r="BC309" s="303" t="str">
        <f t="shared" si="210"/>
        <v/>
      </c>
      <c r="BD309" s="303" t="str">
        <f t="shared" si="211"/>
        <v/>
      </c>
      <c r="BF309" s="304">
        <f t="shared" si="212"/>
        <v>0</v>
      </c>
      <c r="BG309" s="304">
        <f t="shared" si="213"/>
        <v>0</v>
      </c>
      <c r="BH309" s="304" t="str">
        <f>IF( $B309="", "", IF(ISNA(VLOOKUP($C309, Defesa!$C$8:$C$30,1,FALSE)),1,0))</f>
        <v/>
      </c>
      <c r="BI309" s="305" t="str">
        <f t="shared" si="214"/>
        <v/>
      </c>
      <c r="BJ309" s="305" t="str">
        <f t="shared" si="215"/>
        <v/>
      </c>
      <c r="BK309" s="304" t="str">
        <f t="shared" si="216"/>
        <v/>
      </c>
      <c r="BL309" s="304">
        <f t="shared" si="217"/>
        <v>0</v>
      </c>
      <c r="BM309" s="304" t="str">
        <f>IF($AC309="", "", IF(ISNA(VLOOKUP($AC309, TABELAS!$Q:$Q, 1, FALSE)), 1, 0))</f>
        <v/>
      </c>
      <c r="BN309" s="306" t="str">
        <f t="shared" si="218"/>
        <v/>
      </c>
      <c r="BO309" s="304" t="str">
        <f t="shared" si="219"/>
        <v/>
      </c>
      <c r="BP309" s="304" t="str">
        <f t="shared" si="220"/>
        <v/>
      </c>
      <c r="BQ309" s="305" t="str">
        <f t="shared" si="221"/>
        <v/>
      </c>
      <c r="BR309" s="304" t="str">
        <f t="shared" si="222"/>
        <v/>
      </c>
      <c r="BS309" s="304" t="str">
        <f t="shared" si="223"/>
        <v/>
      </c>
      <c r="BT309" s="304" t="str">
        <f>IF(OR($B309="", $AH309 = "SIM"), "", IF( ISNA(VLOOKUP($AP309,#REF!, 1, FALSE)), 1, 0))</f>
        <v/>
      </c>
      <c r="BU309" s="304" t="str">
        <f t="shared" si="224"/>
        <v/>
      </c>
      <c r="BV309" s="304" t="str">
        <f>IF( $B309="", "", IF( ISNA(VLOOKUP($AN309, TABELAS!$T$2:$T$9,1,FALSE)), 1, 0))</f>
        <v/>
      </c>
      <c r="BW309" s="304" t="str">
        <f t="shared" si="225"/>
        <v/>
      </c>
      <c r="BX309" s="304" t="str">
        <f>IF( OR($B309="", $AH309 = "SIM"), "", IF( ISNA( VLOOKUP( $AQ309, SISTEMA!$B:$B, 1, FALSE)), 1, 0))</f>
        <v/>
      </c>
      <c r="BY309" s="305" t="str">
        <f t="shared" si="226"/>
        <v/>
      </c>
      <c r="BZ309" s="305" t="str">
        <f t="shared" si="227"/>
        <v/>
      </c>
      <c r="CA309" s="304" t="str">
        <f t="shared" si="228"/>
        <v/>
      </c>
      <c r="CB309" s="305" t="str">
        <f t="shared" si="229"/>
        <v/>
      </c>
      <c r="CC309" s="305" t="str">
        <f t="shared" si="230"/>
        <v/>
      </c>
      <c r="CD309" s="305" t="str">
        <f t="shared" si="231"/>
        <v/>
      </c>
    </row>
    <row r="310" spans="1:82" x14ac:dyDescent="0.2">
      <c r="A310" s="235"/>
      <c r="B310" s="236" t="str">
        <f t="shared" si="196"/>
        <v/>
      </c>
      <c r="C310" s="237" t="str">
        <f t="shared" si="186"/>
        <v/>
      </c>
      <c r="D310" s="237" t="str">
        <f t="shared" si="197"/>
        <v/>
      </c>
      <c r="E310" s="237" t="str">
        <f>IF($C310="", "", COUNTIF($M$8:$M310,$D310))</f>
        <v/>
      </c>
      <c r="F310" s="238">
        <v>303</v>
      </c>
      <c r="G310" s="239"/>
      <c r="H310" s="240"/>
      <c r="I310" s="240"/>
      <c r="J310" s="241"/>
      <c r="K310" s="240"/>
      <c r="L310" s="240"/>
      <c r="M310" s="240"/>
      <c r="N310" s="242"/>
      <c r="O310" s="243"/>
      <c r="P310" s="243"/>
      <c r="Q310" s="243"/>
      <c r="R310" s="243"/>
      <c r="S310" s="243"/>
      <c r="T310" s="245"/>
      <c r="U310" s="246" t="str">
        <f>IF($T310="", "", VLOOKUP($T310, CONTRATOS!$B:$E, 2, FALSE))</f>
        <v/>
      </c>
      <c r="V310" s="247">
        <f>IF(OR($T310="",TB_DEFESA!$C$2="Criação Baseline"),0,
   IF(VLOOKUP($T310, CONTRATOS!B:E, 3, FALSE)&lt;&gt;"",1,IF(VLOOKUP($T310, CONTRATOS!B:E, 4, FALSE)&lt;&gt;"",2,0)))</f>
        <v>0</v>
      </c>
      <c r="W310" s="248"/>
      <c r="X310" s="248"/>
      <c r="Y310" s="249"/>
      <c r="Z310" s="250"/>
      <c r="AA310" s="251"/>
      <c r="AB310" s="252"/>
      <c r="AC310" s="253"/>
      <c r="AD310" s="251"/>
      <c r="AE310" s="254" t="str">
        <f t="shared" si="187"/>
        <v/>
      </c>
      <c r="AF310" s="256" t="str">
        <f t="shared" si="198"/>
        <v/>
      </c>
      <c r="AG310" s="293" t="s">
        <v>62</v>
      </c>
      <c r="AH310" s="294" t="str">
        <f t="shared" si="199"/>
        <v/>
      </c>
      <c r="AI310" s="294" t="str">
        <f t="shared" si="200"/>
        <v/>
      </c>
      <c r="AJ310" s="295" t="str">
        <f t="shared" si="201"/>
        <v/>
      </c>
      <c r="AK310" s="296" t="str">
        <f t="shared" si="202"/>
        <v/>
      </c>
      <c r="AL310" s="297" t="str">
        <f t="shared" si="203"/>
        <v/>
      </c>
      <c r="AM310" s="294" t="str">
        <f t="shared" si="204"/>
        <v/>
      </c>
      <c r="AN310" s="294" t="str">
        <f t="shared" si="205"/>
        <v/>
      </c>
      <c r="AO310" s="298" t="str">
        <f t="shared" si="206"/>
        <v/>
      </c>
      <c r="AP310" s="299" t="str">
        <f t="shared" si="207"/>
        <v/>
      </c>
      <c r="AQ310" s="299" t="str">
        <f t="shared" si="208"/>
        <v/>
      </c>
      <c r="AR310" s="300" t="str">
        <f t="shared" si="188"/>
        <v/>
      </c>
      <c r="AS310" s="300" t="str">
        <f t="shared" si="189"/>
        <v/>
      </c>
      <c r="AT310" s="294" t="str">
        <f t="shared" si="190"/>
        <v/>
      </c>
      <c r="AU310" s="301" t="str">
        <f>IF(OR($B310="", $AP310= ""),"",IF(VLOOKUP($AP310, CONTRATOS!B:K,3,FALSE)="","",VLOOKUP($AP310, CONTRATOS!B:K, 3,FALSE)))</f>
        <v/>
      </c>
      <c r="AV310" s="301" t="str">
        <f>IF(OR($B310="", $AP310 = ""), "", IF(VLOOKUP($AP310, CONTRATOS!B:K,4,FALSE)="","",VLOOKUP($AP310, CONTRATOS!B:K,4, FALSE)))</f>
        <v/>
      </c>
      <c r="AW310" s="302" t="str">
        <f t="shared" si="191"/>
        <v/>
      </c>
      <c r="AX310" s="301" t="str">
        <f t="shared" si="192"/>
        <v/>
      </c>
      <c r="AY310" s="301" t="str">
        <f t="shared" si="193"/>
        <v/>
      </c>
      <c r="AZ310" s="301" t="str">
        <f t="shared" si="194"/>
        <v/>
      </c>
      <c r="BA310" s="301" t="str">
        <f t="shared" si="195"/>
        <v/>
      </c>
      <c r="BB310" s="303">
        <f t="shared" si="209"/>
        <v>0</v>
      </c>
      <c r="BC310" s="303" t="str">
        <f t="shared" si="210"/>
        <v/>
      </c>
      <c r="BD310" s="303" t="str">
        <f t="shared" si="211"/>
        <v/>
      </c>
      <c r="BF310" s="304">
        <f t="shared" si="212"/>
        <v>0</v>
      </c>
      <c r="BG310" s="304">
        <f t="shared" si="213"/>
        <v>0</v>
      </c>
      <c r="BH310" s="304" t="str">
        <f>IF( $B310="", "", IF(ISNA(VLOOKUP($C310, Defesa!$C$8:$C$30,1,FALSE)),1,0))</f>
        <v/>
      </c>
      <c r="BI310" s="305" t="str">
        <f t="shared" si="214"/>
        <v/>
      </c>
      <c r="BJ310" s="305" t="str">
        <f t="shared" si="215"/>
        <v/>
      </c>
      <c r="BK310" s="304" t="str">
        <f t="shared" si="216"/>
        <v/>
      </c>
      <c r="BL310" s="304">
        <f t="shared" si="217"/>
        <v>0</v>
      </c>
      <c r="BM310" s="304" t="str">
        <f>IF($AC310="", "", IF(ISNA(VLOOKUP($AC310, TABELAS!$Q:$Q, 1, FALSE)), 1, 0))</f>
        <v/>
      </c>
      <c r="BN310" s="306" t="str">
        <f t="shared" si="218"/>
        <v/>
      </c>
      <c r="BO310" s="304" t="str">
        <f t="shared" si="219"/>
        <v/>
      </c>
      <c r="BP310" s="304" t="str">
        <f t="shared" si="220"/>
        <v/>
      </c>
      <c r="BQ310" s="305" t="str">
        <f t="shared" si="221"/>
        <v/>
      </c>
      <c r="BR310" s="304" t="str">
        <f t="shared" si="222"/>
        <v/>
      </c>
      <c r="BS310" s="304" t="str">
        <f t="shared" si="223"/>
        <v/>
      </c>
      <c r="BT310" s="304" t="str">
        <f>IF(OR($B310="", $AH310 = "SIM"), "", IF( ISNA(VLOOKUP($AP310,#REF!, 1, FALSE)), 1, 0))</f>
        <v/>
      </c>
      <c r="BU310" s="304" t="str">
        <f t="shared" si="224"/>
        <v/>
      </c>
      <c r="BV310" s="304" t="str">
        <f>IF( $B310="", "", IF( ISNA(VLOOKUP($AN310, TABELAS!$T$2:$T$9,1,FALSE)), 1, 0))</f>
        <v/>
      </c>
      <c r="BW310" s="304" t="str">
        <f t="shared" si="225"/>
        <v/>
      </c>
      <c r="BX310" s="304" t="str">
        <f>IF( OR($B310="", $AH310 = "SIM"), "", IF( ISNA( VLOOKUP( $AQ310, SISTEMA!$B:$B, 1, FALSE)), 1, 0))</f>
        <v/>
      </c>
      <c r="BY310" s="305" t="str">
        <f t="shared" si="226"/>
        <v/>
      </c>
      <c r="BZ310" s="305" t="str">
        <f t="shared" si="227"/>
        <v/>
      </c>
      <c r="CA310" s="304" t="str">
        <f t="shared" si="228"/>
        <v/>
      </c>
      <c r="CB310" s="305" t="str">
        <f t="shared" si="229"/>
        <v/>
      </c>
      <c r="CC310" s="305" t="str">
        <f t="shared" si="230"/>
        <v/>
      </c>
      <c r="CD310" s="305" t="str">
        <f t="shared" si="231"/>
        <v/>
      </c>
    </row>
    <row r="311" spans="1:82" x14ac:dyDescent="0.2">
      <c r="A311" s="235"/>
      <c r="B311" s="236" t="str">
        <f t="shared" si="196"/>
        <v/>
      </c>
      <c r="C311" s="237" t="str">
        <f t="shared" si="186"/>
        <v/>
      </c>
      <c r="D311" s="237" t="str">
        <f t="shared" si="197"/>
        <v/>
      </c>
      <c r="E311" s="237" t="str">
        <f>IF($C311="", "", COUNTIF($M$8:$M311,$D311))</f>
        <v/>
      </c>
      <c r="F311" s="238">
        <v>304</v>
      </c>
      <c r="G311" s="239"/>
      <c r="H311" s="240"/>
      <c r="I311" s="240"/>
      <c r="J311" s="241"/>
      <c r="K311" s="240"/>
      <c r="L311" s="240"/>
      <c r="M311" s="240"/>
      <c r="N311" s="242"/>
      <c r="O311" s="243"/>
      <c r="P311" s="243"/>
      <c r="Q311" s="243"/>
      <c r="R311" s="243"/>
      <c r="S311" s="243"/>
      <c r="T311" s="245"/>
      <c r="U311" s="246" t="str">
        <f>IF($T311="", "", VLOOKUP($T311, CONTRATOS!$B:$E, 2, FALSE))</f>
        <v/>
      </c>
      <c r="V311" s="247">
        <f>IF(OR($T311="",TB_DEFESA!$C$2="Criação Baseline"),0,
   IF(VLOOKUP($T311, CONTRATOS!B:E, 3, FALSE)&lt;&gt;"",1,IF(VLOOKUP($T311, CONTRATOS!B:E, 4, FALSE)&lt;&gt;"",2,0)))</f>
        <v>0</v>
      </c>
      <c r="W311" s="248"/>
      <c r="X311" s="248"/>
      <c r="Y311" s="249"/>
      <c r="Z311" s="250"/>
      <c r="AA311" s="251"/>
      <c r="AB311" s="252"/>
      <c r="AC311" s="253"/>
      <c r="AD311" s="251"/>
      <c r="AE311" s="254" t="str">
        <f t="shared" si="187"/>
        <v/>
      </c>
      <c r="AF311" s="256" t="str">
        <f t="shared" si="198"/>
        <v/>
      </c>
      <c r="AG311" s="293" t="s">
        <v>62</v>
      </c>
      <c r="AH311" s="294" t="str">
        <f t="shared" si="199"/>
        <v/>
      </c>
      <c r="AI311" s="294" t="str">
        <f t="shared" si="200"/>
        <v/>
      </c>
      <c r="AJ311" s="295" t="str">
        <f t="shared" si="201"/>
        <v/>
      </c>
      <c r="AK311" s="296" t="str">
        <f t="shared" si="202"/>
        <v/>
      </c>
      <c r="AL311" s="297" t="str">
        <f t="shared" si="203"/>
        <v/>
      </c>
      <c r="AM311" s="294" t="str">
        <f t="shared" si="204"/>
        <v/>
      </c>
      <c r="AN311" s="294" t="str">
        <f t="shared" si="205"/>
        <v/>
      </c>
      <c r="AO311" s="298" t="str">
        <f t="shared" si="206"/>
        <v/>
      </c>
      <c r="AP311" s="299" t="str">
        <f t="shared" si="207"/>
        <v/>
      </c>
      <c r="AQ311" s="299" t="str">
        <f t="shared" si="208"/>
        <v/>
      </c>
      <c r="AR311" s="300" t="str">
        <f t="shared" si="188"/>
        <v/>
      </c>
      <c r="AS311" s="300" t="str">
        <f t="shared" si="189"/>
        <v/>
      </c>
      <c r="AT311" s="294" t="str">
        <f t="shared" si="190"/>
        <v/>
      </c>
      <c r="AU311" s="301" t="str">
        <f>IF(OR($B311="", $AP311= ""),"",IF(VLOOKUP($AP311, CONTRATOS!B:K,3,FALSE)="","",VLOOKUP($AP311, CONTRATOS!B:K, 3,FALSE)))</f>
        <v/>
      </c>
      <c r="AV311" s="301" t="str">
        <f>IF(OR($B311="", $AP311 = ""), "", IF(VLOOKUP($AP311, CONTRATOS!B:K,4,FALSE)="","",VLOOKUP($AP311, CONTRATOS!B:K,4, FALSE)))</f>
        <v/>
      </c>
      <c r="AW311" s="302" t="str">
        <f t="shared" si="191"/>
        <v/>
      </c>
      <c r="AX311" s="301" t="str">
        <f t="shared" si="192"/>
        <v/>
      </c>
      <c r="AY311" s="301" t="str">
        <f t="shared" si="193"/>
        <v/>
      </c>
      <c r="AZ311" s="301" t="str">
        <f t="shared" si="194"/>
        <v/>
      </c>
      <c r="BA311" s="301" t="str">
        <f t="shared" si="195"/>
        <v/>
      </c>
      <c r="BB311" s="303">
        <f t="shared" si="209"/>
        <v>0</v>
      </c>
      <c r="BC311" s="303" t="str">
        <f t="shared" si="210"/>
        <v/>
      </c>
      <c r="BD311" s="303" t="str">
        <f t="shared" si="211"/>
        <v/>
      </c>
      <c r="BF311" s="304">
        <f t="shared" si="212"/>
        <v>0</v>
      </c>
      <c r="BG311" s="304">
        <f t="shared" si="213"/>
        <v>0</v>
      </c>
      <c r="BH311" s="304" t="str">
        <f>IF( $B311="", "", IF(ISNA(VLOOKUP($C311, Defesa!$C$8:$C$30,1,FALSE)),1,0))</f>
        <v/>
      </c>
      <c r="BI311" s="305" t="str">
        <f t="shared" si="214"/>
        <v/>
      </c>
      <c r="BJ311" s="305" t="str">
        <f t="shared" si="215"/>
        <v/>
      </c>
      <c r="BK311" s="304" t="str">
        <f t="shared" si="216"/>
        <v/>
      </c>
      <c r="BL311" s="304">
        <f t="shared" si="217"/>
        <v>0</v>
      </c>
      <c r="BM311" s="304" t="str">
        <f>IF($AC311="", "", IF(ISNA(VLOOKUP($AC311, TABELAS!$Q:$Q, 1, FALSE)), 1, 0))</f>
        <v/>
      </c>
      <c r="BN311" s="306" t="str">
        <f t="shared" si="218"/>
        <v/>
      </c>
      <c r="BO311" s="304" t="str">
        <f t="shared" si="219"/>
        <v/>
      </c>
      <c r="BP311" s="304" t="str">
        <f t="shared" si="220"/>
        <v/>
      </c>
      <c r="BQ311" s="305" t="str">
        <f t="shared" si="221"/>
        <v/>
      </c>
      <c r="BR311" s="304" t="str">
        <f t="shared" si="222"/>
        <v/>
      </c>
      <c r="BS311" s="304" t="str">
        <f t="shared" si="223"/>
        <v/>
      </c>
      <c r="BT311" s="304" t="str">
        <f>IF(OR($B311="", $AH311 = "SIM"), "", IF( ISNA(VLOOKUP($AP311,#REF!, 1, FALSE)), 1, 0))</f>
        <v/>
      </c>
      <c r="BU311" s="304" t="str">
        <f t="shared" si="224"/>
        <v/>
      </c>
      <c r="BV311" s="304" t="str">
        <f>IF( $B311="", "", IF( ISNA(VLOOKUP($AN311, TABELAS!$T$2:$T$9,1,FALSE)), 1, 0))</f>
        <v/>
      </c>
      <c r="BW311" s="304" t="str">
        <f t="shared" si="225"/>
        <v/>
      </c>
      <c r="BX311" s="304" t="str">
        <f>IF( OR($B311="", $AH311 = "SIM"), "", IF( ISNA( VLOOKUP( $AQ311, SISTEMA!$B:$B, 1, FALSE)), 1, 0))</f>
        <v/>
      </c>
      <c r="BY311" s="305" t="str">
        <f t="shared" si="226"/>
        <v/>
      </c>
      <c r="BZ311" s="305" t="str">
        <f t="shared" si="227"/>
        <v/>
      </c>
      <c r="CA311" s="304" t="str">
        <f t="shared" si="228"/>
        <v/>
      </c>
      <c r="CB311" s="305" t="str">
        <f t="shared" si="229"/>
        <v/>
      </c>
      <c r="CC311" s="305" t="str">
        <f t="shared" si="230"/>
        <v/>
      </c>
      <c r="CD311" s="305" t="str">
        <f t="shared" si="231"/>
        <v/>
      </c>
    </row>
    <row r="312" spans="1:82" x14ac:dyDescent="0.2">
      <c r="A312" s="235"/>
      <c r="B312" s="236" t="str">
        <f t="shared" si="196"/>
        <v/>
      </c>
      <c r="C312" s="237" t="str">
        <f t="shared" si="186"/>
        <v/>
      </c>
      <c r="D312" s="237" t="str">
        <f t="shared" si="197"/>
        <v/>
      </c>
      <c r="E312" s="237" t="str">
        <f>IF($C312="", "", COUNTIF($M$8:$M312,$D312))</f>
        <v/>
      </c>
      <c r="F312" s="238">
        <v>305</v>
      </c>
      <c r="G312" s="239"/>
      <c r="H312" s="240"/>
      <c r="I312" s="240"/>
      <c r="J312" s="241"/>
      <c r="K312" s="240"/>
      <c r="L312" s="240"/>
      <c r="M312" s="240"/>
      <c r="N312" s="242"/>
      <c r="O312" s="243"/>
      <c r="P312" s="243"/>
      <c r="Q312" s="243"/>
      <c r="R312" s="243"/>
      <c r="S312" s="243"/>
      <c r="T312" s="245"/>
      <c r="U312" s="246" t="str">
        <f>IF($T312="", "", VLOOKUP($T312, CONTRATOS!$B:$E, 2, FALSE))</f>
        <v/>
      </c>
      <c r="V312" s="247">
        <f>IF(OR($T312="",TB_DEFESA!$C$2="Criação Baseline"),0,
   IF(VLOOKUP($T312, CONTRATOS!B:E, 3, FALSE)&lt;&gt;"",1,IF(VLOOKUP($T312, CONTRATOS!B:E, 4, FALSE)&lt;&gt;"",2,0)))</f>
        <v>0</v>
      </c>
      <c r="W312" s="248"/>
      <c r="X312" s="248"/>
      <c r="Y312" s="249"/>
      <c r="Z312" s="250"/>
      <c r="AA312" s="251"/>
      <c r="AB312" s="252"/>
      <c r="AC312" s="253"/>
      <c r="AD312" s="251"/>
      <c r="AE312" s="254" t="str">
        <f t="shared" si="187"/>
        <v/>
      </c>
      <c r="AF312" s="256" t="str">
        <f t="shared" si="198"/>
        <v/>
      </c>
      <c r="AG312" s="293" t="s">
        <v>62</v>
      </c>
      <c r="AH312" s="294" t="str">
        <f t="shared" si="199"/>
        <v/>
      </c>
      <c r="AI312" s="294" t="str">
        <f t="shared" si="200"/>
        <v/>
      </c>
      <c r="AJ312" s="295" t="str">
        <f t="shared" si="201"/>
        <v/>
      </c>
      <c r="AK312" s="296" t="str">
        <f t="shared" si="202"/>
        <v/>
      </c>
      <c r="AL312" s="297" t="str">
        <f t="shared" si="203"/>
        <v/>
      </c>
      <c r="AM312" s="294" t="str">
        <f t="shared" si="204"/>
        <v/>
      </c>
      <c r="AN312" s="294" t="str">
        <f t="shared" si="205"/>
        <v/>
      </c>
      <c r="AO312" s="298" t="str">
        <f t="shared" si="206"/>
        <v/>
      </c>
      <c r="AP312" s="299" t="str">
        <f t="shared" si="207"/>
        <v/>
      </c>
      <c r="AQ312" s="299" t="str">
        <f t="shared" si="208"/>
        <v/>
      </c>
      <c r="AR312" s="300" t="str">
        <f t="shared" si="188"/>
        <v/>
      </c>
      <c r="AS312" s="300" t="str">
        <f t="shared" si="189"/>
        <v/>
      </c>
      <c r="AT312" s="294" t="str">
        <f t="shared" si="190"/>
        <v/>
      </c>
      <c r="AU312" s="301" t="str">
        <f>IF(OR($B312="", $AP312= ""),"",IF(VLOOKUP($AP312, CONTRATOS!B:K,3,FALSE)="","",VLOOKUP($AP312, CONTRATOS!B:K, 3,FALSE)))</f>
        <v/>
      </c>
      <c r="AV312" s="301" t="str">
        <f>IF(OR($B312="", $AP312 = ""), "", IF(VLOOKUP($AP312, CONTRATOS!B:K,4,FALSE)="","",VLOOKUP($AP312, CONTRATOS!B:K,4, FALSE)))</f>
        <v/>
      </c>
      <c r="AW312" s="302" t="str">
        <f t="shared" si="191"/>
        <v/>
      </c>
      <c r="AX312" s="301" t="str">
        <f t="shared" si="192"/>
        <v/>
      </c>
      <c r="AY312" s="301" t="str">
        <f t="shared" si="193"/>
        <v/>
      </c>
      <c r="AZ312" s="301" t="str">
        <f t="shared" si="194"/>
        <v/>
      </c>
      <c r="BA312" s="301" t="str">
        <f t="shared" si="195"/>
        <v/>
      </c>
      <c r="BB312" s="303">
        <f t="shared" si="209"/>
        <v>0</v>
      </c>
      <c r="BC312" s="303" t="str">
        <f t="shared" si="210"/>
        <v/>
      </c>
      <c r="BD312" s="303" t="str">
        <f t="shared" si="211"/>
        <v/>
      </c>
      <c r="BF312" s="304">
        <f t="shared" si="212"/>
        <v>0</v>
      </c>
      <c r="BG312" s="304">
        <f t="shared" si="213"/>
        <v>0</v>
      </c>
      <c r="BH312" s="304" t="str">
        <f>IF( $B312="", "", IF(ISNA(VLOOKUP($C312, Defesa!$C$8:$C$30,1,FALSE)),1,0))</f>
        <v/>
      </c>
      <c r="BI312" s="305" t="str">
        <f t="shared" si="214"/>
        <v/>
      </c>
      <c r="BJ312" s="305" t="str">
        <f t="shared" si="215"/>
        <v/>
      </c>
      <c r="BK312" s="304" t="str">
        <f t="shared" si="216"/>
        <v/>
      </c>
      <c r="BL312" s="304">
        <f t="shared" si="217"/>
        <v>0</v>
      </c>
      <c r="BM312" s="304" t="str">
        <f>IF($AC312="", "", IF(ISNA(VLOOKUP($AC312, TABELAS!$Q:$Q, 1, FALSE)), 1, 0))</f>
        <v/>
      </c>
      <c r="BN312" s="306" t="str">
        <f t="shared" si="218"/>
        <v/>
      </c>
      <c r="BO312" s="304" t="str">
        <f t="shared" si="219"/>
        <v/>
      </c>
      <c r="BP312" s="304" t="str">
        <f t="shared" si="220"/>
        <v/>
      </c>
      <c r="BQ312" s="305" t="str">
        <f t="shared" si="221"/>
        <v/>
      </c>
      <c r="BR312" s="304" t="str">
        <f t="shared" si="222"/>
        <v/>
      </c>
      <c r="BS312" s="304" t="str">
        <f t="shared" si="223"/>
        <v/>
      </c>
      <c r="BT312" s="304" t="str">
        <f>IF(OR($B312="", $AH312 = "SIM"), "", IF( ISNA(VLOOKUP($AP312,#REF!, 1, FALSE)), 1, 0))</f>
        <v/>
      </c>
      <c r="BU312" s="304" t="str">
        <f t="shared" si="224"/>
        <v/>
      </c>
      <c r="BV312" s="304" t="str">
        <f>IF( $B312="", "", IF( ISNA(VLOOKUP($AN312, TABELAS!$T$2:$T$9,1,FALSE)), 1, 0))</f>
        <v/>
      </c>
      <c r="BW312" s="304" t="str">
        <f t="shared" si="225"/>
        <v/>
      </c>
      <c r="BX312" s="304" t="str">
        <f>IF( OR($B312="", $AH312 = "SIM"), "", IF( ISNA( VLOOKUP( $AQ312, SISTEMA!$B:$B, 1, FALSE)), 1, 0))</f>
        <v/>
      </c>
      <c r="BY312" s="305" t="str">
        <f t="shared" si="226"/>
        <v/>
      </c>
      <c r="BZ312" s="305" t="str">
        <f t="shared" si="227"/>
        <v/>
      </c>
      <c r="CA312" s="304" t="str">
        <f t="shared" si="228"/>
        <v/>
      </c>
      <c r="CB312" s="305" t="str">
        <f t="shared" si="229"/>
        <v/>
      </c>
      <c r="CC312" s="305" t="str">
        <f t="shared" si="230"/>
        <v/>
      </c>
      <c r="CD312" s="305" t="str">
        <f t="shared" si="231"/>
        <v/>
      </c>
    </row>
    <row r="313" spans="1:82" x14ac:dyDescent="0.2">
      <c r="A313" s="235"/>
      <c r="B313" s="236" t="str">
        <f t="shared" si="196"/>
        <v/>
      </c>
      <c r="C313" s="237" t="str">
        <f t="shared" si="186"/>
        <v/>
      </c>
      <c r="D313" s="237" t="str">
        <f t="shared" si="197"/>
        <v/>
      </c>
      <c r="E313" s="237" t="str">
        <f>IF($C313="", "", COUNTIF($M$8:$M313,$D313))</f>
        <v/>
      </c>
      <c r="F313" s="238">
        <v>306</v>
      </c>
      <c r="G313" s="239"/>
      <c r="H313" s="240"/>
      <c r="I313" s="240"/>
      <c r="J313" s="241"/>
      <c r="K313" s="240"/>
      <c r="L313" s="240"/>
      <c r="M313" s="240"/>
      <c r="N313" s="242"/>
      <c r="O313" s="243"/>
      <c r="P313" s="243"/>
      <c r="Q313" s="243"/>
      <c r="R313" s="243"/>
      <c r="S313" s="243"/>
      <c r="T313" s="245"/>
      <c r="U313" s="246" t="str">
        <f>IF($T313="", "", VLOOKUP($T313, CONTRATOS!$B:$E, 2, FALSE))</f>
        <v/>
      </c>
      <c r="V313" s="247">
        <f>IF(OR($T313="",TB_DEFESA!$C$2="Criação Baseline"),0,
   IF(VLOOKUP($T313, CONTRATOS!B:E, 3, FALSE)&lt;&gt;"",1,IF(VLOOKUP($T313, CONTRATOS!B:E, 4, FALSE)&lt;&gt;"",2,0)))</f>
        <v>0</v>
      </c>
      <c r="W313" s="248"/>
      <c r="X313" s="248"/>
      <c r="Y313" s="249"/>
      <c r="Z313" s="250"/>
      <c r="AA313" s="251"/>
      <c r="AB313" s="252"/>
      <c r="AC313" s="253"/>
      <c r="AD313" s="251"/>
      <c r="AE313" s="254" t="str">
        <f t="shared" si="187"/>
        <v/>
      </c>
      <c r="AF313" s="256" t="str">
        <f t="shared" si="198"/>
        <v/>
      </c>
      <c r="AG313" s="293" t="s">
        <v>62</v>
      </c>
      <c r="AH313" s="294" t="str">
        <f t="shared" si="199"/>
        <v/>
      </c>
      <c r="AI313" s="294" t="str">
        <f t="shared" si="200"/>
        <v/>
      </c>
      <c r="AJ313" s="295" t="str">
        <f t="shared" si="201"/>
        <v/>
      </c>
      <c r="AK313" s="296" t="str">
        <f t="shared" si="202"/>
        <v/>
      </c>
      <c r="AL313" s="297" t="str">
        <f t="shared" si="203"/>
        <v/>
      </c>
      <c r="AM313" s="294" t="str">
        <f t="shared" si="204"/>
        <v/>
      </c>
      <c r="AN313" s="294" t="str">
        <f t="shared" si="205"/>
        <v/>
      </c>
      <c r="AO313" s="298" t="str">
        <f t="shared" si="206"/>
        <v/>
      </c>
      <c r="AP313" s="299" t="str">
        <f t="shared" si="207"/>
        <v/>
      </c>
      <c r="AQ313" s="299" t="str">
        <f t="shared" si="208"/>
        <v/>
      </c>
      <c r="AR313" s="300" t="str">
        <f t="shared" si="188"/>
        <v/>
      </c>
      <c r="AS313" s="300" t="str">
        <f t="shared" si="189"/>
        <v/>
      </c>
      <c r="AT313" s="294" t="str">
        <f t="shared" si="190"/>
        <v/>
      </c>
      <c r="AU313" s="301" t="str">
        <f>IF(OR($B313="", $AP313= ""),"",IF(VLOOKUP($AP313, CONTRATOS!B:K,3,FALSE)="","",VLOOKUP($AP313, CONTRATOS!B:K, 3,FALSE)))</f>
        <v/>
      </c>
      <c r="AV313" s="301" t="str">
        <f>IF(OR($B313="", $AP313 = ""), "", IF(VLOOKUP($AP313, CONTRATOS!B:K,4,FALSE)="","",VLOOKUP($AP313, CONTRATOS!B:K,4, FALSE)))</f>
        <v/>
      </c>
      <c r="AW313" s="302" t="str">
        <f t="shared" si="191"/>
        <v/>
      </c>
      <c r="AX313" s="301" t="str">
        <f t="shared" si="192"/>
        <v/>
      </c>
      <c r="AY313" s="301" t="str">
        <f t="shared" si="193"/>
        <v/>
      </c>
      <c r="AZ313" s="301" t="str">
        <f t="shared" si="194"/>
        <v/>
      </c>
      <c r="BA313" s="301" t="str">
        <f t="shared" si="195"/>
        <v/>
      </c>
      <c r="BB313" s="303">
        <f t="shared" si="209"/>
        <v>0</v>
      </c>
      <c r="BC313" s="303" t="str">
        <f t="shared" si="210"/>
        <v/>
      </c>
      <c r="BD313" s="303" t="str">
        <f t="shared" si="211"/>
        <v/>
      </c>
      <c r="BF313" s="304">
        <f t="shared" si="212"/>
        <v>0</v>
      </c>
      <c r="BG313" s="304">
        <f t="shared" si="213"/>
        <v>0</v>
      </c>
      <c r="BH313" s="304" t="str">
        <f>IF( $B313="", "", IF(ISNA(VLOOKUP($C313, Defesa!$C$8:$C$30,1,FALSE)),1,0))</f>
        <v/>
      </c>
      <c r="BI313" s="305" t="str">
        <f t="shared" si="214"/>
        <v/>
      </c>
      <c r="BJ313" s="305" t="str">
        <f t="shared" si="215"/>
        <v/>
      </c>
      <c r="BK313" s="304" t="str">
        <f t="shared" si="216"/>
        <v/>
      </c>
      <c r="BL313" s="304">
        <f t="shared" si="217"/>
        <v>0</v>
      </c>
      <c r="BM313" s="304" t="str">
        <f>IF($AC313="", "", IF(ISNA(VLOOKUP($AC313, TABELAS!$Q:$Q, 1, FALSE)), 1, 0))</f>
        <v/>
      </c>
      <c r="BN313" s="306" t="str">
        <f t="shared" si="218"/>
        <v/>
      </c>
      <c r="BO313" s="304" t="str">
        <f t="shared" si="219"/>
        <v/>
      </c>
      <c r="BP313" s="304" t="str">
        <f t="shared" si="220"/>
        <v/>
      </c>
      <c r="BQ313" s="305" t="str">
        <f t="shared" si="221"/>
        <v/>
      </c>
      <c r="BR313" s="304" t="str">
        <f t="shared" si="222"/>
        <v/>
      </c>
      <c r="BS313" s="304" t="str">
        <f t="shared" si="223"/>
        <v/>
      </c>
      <c r="BT313" s="304" t="str">
        <f>IF(OR($B313="", $AH313 = "SIM"), "", IF( ISNA(VLOOKUP($AP313,#REF!, 1, FALSE)), 1, 0))</f>
        <v/>
      </c>
      <c r="BU313" s="304" t="str">
        <f t="shared" si="224"/>
        <v/>
      </c>
      <c r="BV313" s="304" t="str">
        <f>IF( $B313="", "", IF( ISNA(VLOOKUP($AN313, TABELAS!$T$2:$T$9,1,FALSE)), 1, 0))</f>
        <v/>
      </c>
      <c r="BW313" s="304" t="str">
        <f t="shared" si="225"/>
        <v/>
      </c>
      <c r="BX313" s="304" t="str">
        <f>IF( OR($B313="", $AH313 = "SIM"), "", IF( ISNA( VLOOKUP( $AQ313, SISTEMA!$B:$B, 1, FALSE)), 1, 0))</f>
        <v/>
      </c>
      <c r="BY313" s="305" t="str">
        <f t="shared" si="226"/>
        <v/>
      </c>
      <c r="BZ313" s="305" t="str">
        <f t="shared" si="227"/>
        <v/>
      </c>
      <c r="CA313" s="304" t="str">
        <f t="shared" si="228"/>
        <v/>
      </c>
      <c r="CB313" s="305" t="str">
        <f t="shared" si="229"/>
        <v/>
      </c>
      <c r="CC313" s="305" t="str">
        <f t="shared" si="230"/>
        <v/>
      </c>
      <c r="CD313" s="305" t="str">
        <f t="shared" si="231"/>
        <v/>
      </c>
    </row>
    <row r="314" spans="1:82" x14ac:dyDescent="0.2">
      <c r="A314" s="235"/>
      <c r="B314" s="236" t="str">
        <f t="shared" si="196"/>
        <v/>
      </c>
      <c r="C314" s="237" t="str">
        <f t="shared" si="186"/>
        <v/>
      </c>
      <c r="D314" s="237" t="str">
        <f t="shared" si="197"/>
        <v/>
      </c>
      <c r="E314" s="237" t="str">
        <f>IF($C314="", "", COUNTIF($M$8:$M314,$D314))</f>
        <v/>
      </c>
      <c r="F314" s="238">
        <v>307</v>
      </c>
      <c r="G314" s="239"/>
      <c r="H314" s="240"/>
      <c r="I314" s="240"/>
      <c r="J314" s="241"/>
      <c r="K314" s="240"/>
      <c r="L314" s="240"/>
      <c r="M314" s="240"/>
      <c r="N314" s="242"/>
      <c r="O314" s="243"/>
      <c r="P314" s="243"/>
      <c r="Q314" s="243"/>
      <c r="R314" s="243"/>
      <c r="S314" s="243"/>
      <c r="T314" s="245"/>
      <c r="U314" s="246" t="str">
        <f>IF($T314="", "", VLOOKUP($T314, CONTRATOS!$B:$E, 2, FALSE))</f>
        <v/>
      </c>
      <c r="V314" s="247">
        <f>IF(OR($T314="",TB_DEFESA!$C$2="Criação Baseline"),0,
   IF(VLOOKUP($T314, CONTRATOS!B:E, 3, FALSE)&lt;&gt;"",1,IF(VLOOKUP($T314, CONTRATOS!B:E, 4, FALSE)&lt;&gt;"",2,0)))</f>
        <v>0</v>
      </c>
      <c r="W314" s="248"/>
      <c r="X314" s="248"/>
      <c r="Y314" s="249"/>
      <c r="Z314" s="250"/>
      <c r="AA314" s="251"/>
      <c r="AB314" s="252"/>
      <c r="AC314" s="253"/>
      <c r="AD314" s="251"/>
      <c r="AE314" s="254" t="str">
        <f t="shared" si="187"/>
        <v/>
      </c>
      <c r="AF314" s="256" t="str">
        <f t="shared" si="198"/>
        <v/>
      </c>
      <c r="AG314" s="293" t="s">
        <v>62</v>
      </c>
      <c r="AH314" s="294" t="str">
        <f t="shared" si="199"/>
        <v/>
      </c>
      <c r="AI314" s="294" t="str">
        <f t="shared" si="200"/>
        <v/>
      </c>
      <c r="AJ314" s="295" t="str">
        <f t="shared" si="201"/>
        <v/>
      </c>
      <c r="AK314" s="296" t="str">
        <f t="shared" si="202"/>
        <v/>
      </c>
      <c r="AL314" s="297" t="str">
        <f t="shared" si="203"/>
        <v/>
      </c>
      <c r="AM314" s="294" t="str">
        <f t="shared" si="204"/>
        <v/>
      </c>
      <c r="AN314" s="294" t="str">
        <f t="shared" si="205"/>
        <v/>
      </c>
      <c r="AO314" s="298" t="str">
        <f t="shared" si="206"/>
        <v/>
      </c>
      <c r="AP314" s="299" t="str">
        <f t="shared" si="207"/>
        <v/>
      </c>
      <c r="AQ314" s="299" t="str">
        <f t="shared" si="208"/>
        <v/>
      </c>
      <c r="AR314" s="300" t="str">
        <f t="shared" si="188"/>
        <v/>
      </c>
      <c r="AS314" s="300" t="str">
        <f t="shared" si="189"/>
        <v/>
      </c>
      <c r="AT314" s="294" t="str">
        <f t="shared" si="190"/>
        <v/>
      </c>
      <c r="AU314" s="301" t="str">
        <f>IF(OR($B314="", $AP314= ""),"",IF(VLOOKUP($AP314, CONTRATOS!B:K,3,FALSE)="","",VLOOKUP($AP314, CONTRATOS!B:K, 3,FALSE)))</f>
        <v/>
      </c>
      <c r="AV314" s="301" t="str">
        <f>IF(OR($B314="", $AP314 = ""), "", IF(VLOOKUP($AP314, CONTRATOS!B:K,4,FALSE)="","",VLOOKUP($AP314, CONTRATOS!B:K,4, FALSE)))</f>
        <v/>
      </c>
      <c r="AW314" s="302" t="str">
        <f t="shared" si="191"/>
        <v/>
      </c>
      <c r="AX314" s="301" t="str">
        <f t="shared" si="192"/>
        <v/>
      </c>
      <c r="AY314" s="301" t="str">
        <f t="shared" si="193"/>
        <v/>
      </c>
      <c r="AZ314" s="301" t="str">
        <f t="shared" si="194"/>
        <v/>
      </c>
      <c r="BA314" s="301" t="str">
        <f t="shared" si="195"/>
        <v/>
      </c>
      <c r="BB314" s="303">
        <f t="shared" si="209"/>
        <v>0</v>
      </c>
      <c r="BC314" s="303" t="str">
        <f t="shared" si="210"/>
        <v/>
      </c>
      <c r="BD314" s="303" t="str">
        <f t="shared" si="211"/>
        <v/>
      </c>
      <c r="BF314" s="304">
        <f t="shared" si="212"/>
        <v>0</v>
      </c>
      <c r="BG314" s="304">
        <f t="shared" si="213"/>
        <v>0</v>
      </c>
      <c r="BH314" s="304" t="str">
        <f>IF( $B314="", "", IF(ISNA(VLOOKUP($C314, Defesa!$C$8:$C$30,1,FALSE)),1,0))</f>
        <v/>
      </c>
      <c r="BI314" s="305" t="str">
        <f t="shared" si="214"/>
        <v/>
      </c>
      <c r="BJ314" s="305" t="str">
        <f t="shared" si="215"/>
        <v/>
      </c>
      <c r="BK314" s="304" t="str">
        <f t="shared" si="216"/>
        <v/>
      </c>
      <c r="BL314" s="304">
        <f t="shared" si="217"/>
        <v>0</v>
      </c>
      <c r="BM314" s="304" t="str">
        <f>IF($AC314="", "", IF(ISNA(VLOOKUP($AC314, TABELAS!$Q:$Q, 1, FALSE)), 1, 0))</f>
        <v/>
      </c>
      <c r="BN314" s="306" t="str">
        <f t="shared" si="218"/>
        <v/>
      </c>
      <c r="BO314" s="304" t="str">
        <f t="shared" si="219"/>
        <v/>
      </c>
      <c r="BP314" s="304" t="str">
        <f t="shared" si="220"/>
        <v/>
      </c>
      <c r="BQ314" s="305" t="str">
        <f t="shared" si="221"/>
        <v/>
      </c>
      <c r="BR314" s="304" t="str">
        <f t="shared" si="222"/>
        <v/>
      </c>
      <c r="BS314" s="304" t="str">
        <f t="shared" si="223"/>
        <v/>
      </c>
      <c r="BT314" s="304" t="str">
        <f>IF(OR($B314="", $AH314 = "SIM"), "", IF( ISNA(VLOOKUP($AP314,#REF!, 1, FALSE)), 1, 0))</f>
        <v/>
      </c>
      <c r="BU314" s="304" t="str">
        <f t="shared" si="224"/>
        <v/>
      </c>
      <c r="BV314" s="304" t="str">
        <f>IF( $B314="", "", IF( ISNA(VLOOKUP($AN314, TABELAS!$T$2:$T$9,1,FALSE)), 1, 0))</f>
        <v/>
      </c>
      <c r="BW314" s="304" t="str">
        <f t="shared" si="225"/>
        <v/>
      </c>
      <c r="BX314" s="304" t="str">
        <f>IF( OR($B314="", $AH314 = "SIM"), "", IF( ISNA( VLOOKUP( $AQ314, SISTEMA!$B:$B, 1, FALSE)), 1, 0))</f>
        <v/>
      </c>
      <c r="BY314" s="305" t="str">
        <f t="shared" si="226"/>
        <v/>
      </c>
      <c r="BZ314" s="305" t="str">
        <f t="shared" si="227"/>
        <v/>
      </c>
      <c r="CA314" s="304" t="str">
        <f t="shared" si="228"/>
        <v/>
      </c>
      <c r="CB314" s="305" t="str">
        <f t="shared" si="229"/>
        <v/>
      </c>
      <c r="CC314" s="305" t="str">
        <f t="shared" si="230"/>
        <v/>
      </c>
      <c r="CD314" s="305" t="str">
        <f t="shared" si="231"/>
        <v/>
      </c>
    </row>
    <row r="315" spans="1:82" x14ac:dyDescent="0.2">
      <c r="A315" s="235"/>
      <c r="B315" s="236" t="str">
        <f t="shared" si="196"/>
        <v/>
      </c>
      <c r="C315" s="237" t="str">
        <f t="shared" si="186"/>
        <v/>
      </c>
      <c r="D315" s="237" t="str">
        <f t="shared" si="197"/>
        <v/>
      </c>
      <c r="E315" s="237" t="str">
        <f>IF($C315="", "", COUNTIF($M$8:$M315,$D315))</f>
        <v/>
      </c>
      <c r="F315" s="238">
        <v>308</v>
      </c>
      <c r="G315" s="239"/>
      <c r="H315" s="240"/>
      <c r="I315" s="240"/>
      <c r="J315" s="241"/>
      <c r="K315" s="240"/>
      <c r="L315" s="240"/>
      <c r="M315" s="240"/>
      <c r="N315" s="242"/>
      <c r="O315" s="243"/>
      <c r="P315" s="243"/>
      <c r="Q315" s="243"/>
      <c r="R315" s="243"/>
      <c r="S315" s="243"/>
      <c r="T315" s="245"/>
      <c r="U315" s="246" t="str">
        <f>IF($T315="", "", VLOOKUP($T315, CONTRATOS!$B:$E, 2, FALSE))</f>
        <v/>
      </c>
      <c r="V315" s="247">
        <f>IF(OR($T315="",TB_DEFESA!$C$2="Criação Baseline"),0,
   IF(VLOOKUP($T315, CONTRATOS!B:E, 3, FALSE)&lt;&gt;"",1,IF(VLOOKUP($T315, CONTRATOS!B:E, 4, FALSE)&lt;&gt;"",2,0)))</f>
        <v>0</v>
      </c>
      <c r="W315" s="248"/>
      <c r="X315" s="248"/>
      <c r="Y315" s="249"/>
      <c r="Z315" s="250"/>
      <c r="AA315" s="251"/>
      <c r="AB315" s="252"/>
      <c r="AC315" s="253"/>
      <c r="AD315" s="251"/>
      <c r="AE315" s="254" t="str">
        <f t="shared" si="187"/>
        <v/>
      </c>
      <c r="AF315" s="256" t="str">
        <f t="shared" si="198"/>
        <v/>
      </c>
      <c r="AG315" s="293" t="s">
        <v>62</v>
      </c>
      <c r="AH315" s="294" t="str">
        <f t="shared" si="199"/>
        <v/>
      </c>
      <c r="AI315" s="294" t="str">
        <f t="shared" si="200"/>
        <v/>
      </c>
      <c r="AJ315" s="295" t="str">
        <f t="shared" si="201"/>
        <v/>
      </c>
      <c r="AK315" s="296" t="str">
        <f t="shared" si="202"/>
        <v/>
      </c>
      <c r="AL315" s="297" t="str">
        <f t="shared" si="203"/>
        <v/>
      </c>
      <c r="AM315" s="294" t="str">
        <f t="shared" si="204"/>
        <v/>
      </c>
      <c r="AN315" s="294" t="str">
        <f t="shared" si="205"/>
        <v/>
      </c>
      <c r="AO315" s="298" t="str">
        <f t="shared" si="206"/>
        <v/>
      </c>
      <c r="AP315" s="299" t="str">
        <f t="shared" si="207"/>
        <v/>
      </c>
      <c r="AQ315" s="299" t="str">
        <f t="shared" si="208"/>
        <v/>
      </c>
      <c r="AR315" s="300" t="str">
        <f t="shared" si="188"/>
        <v/>
      </c>
      <c r="AS315" s="300" t="str">
        <f t="shared" si="189"/>
        <v/>
      </c>
      <c r="AT315" s="294" t="str">
        <f t="shared" si="190"/>
        <v/>
      </c>
      <c r="AU315" s="301" t="str">
        <f>IF(OR($B315="", $AP315= ""),"",IF(VLOOKUP($AP315, CONTRATOS!B:K,3,FALSE)="","",VLOOKUP($AP315, CONTRATOS!B:K, 3,FALSE)))</f>
        <v/>
      </c>
      <c r="AV315" s="301" t="str">
        <f>IF(OR($B315="", $AP315 = ""), "", IF(VLOOKUP($AP315, CONTRATOS!B:K,4,FALSE)="","",VLOOKUP($AP315, CONTRATOS!B:K,4, FALSE)))</f>
        <v/>
      </c>
      <c r="AW315" s="302" t="str">
        <f t="shared" si="191"/>
        <v/>
      </c>
      <c r="AX315" s="301" t="str">
        <f t="shared" si="192"/>
        <v/>
      </c>
      <c r="AY315" s="301" t="str">
        <f t="shared" si="193"/>
        <v/>
      </c>
      <c r="AZ315" s="301" t="str">
        <f t="shared" si="194"/>
        <v/>
      </c>
      <c r="BA315" s="301" t="str">
        <f t="shared" si="195"/>
        <v/>
      </c>
      <c r="BB315" s="303">
        <f t="shared" si="209"/>
        <v>0</v>
      </c>
      <c r="BC315" s="303" t="str">
        <f t="shared" si="210"/>
        <v/>
      </c>
      <c r="BD315" s="303" t="str">
        <f t="shared" si="211"/>
        <v/>
      </c>
      <c r="BF315" s="304">
        <f t="shared" si="212"/>
        <v>0</v>
      </c>
      <c r="BG315" s="304">
        <f t="shared" si="213"/>
        <v>0</v>
      </c>
      <c r="BH315" s="304" t="str">
        <f>IF( $B315="", "", IF(ISNA(VLOOKUP($C315, Defesa!$C$8:$C$30,1,FALSE)),1,0))</f>
        <v/>
      </c>
      <c r="BI315" s="305" t="str">
        <f t="shared" si="214"/>
        <v/>
      </c>
      <c r="BJ315" s="305" t="str">
        <f t="shared" si="215"/>
        <v/>
      </c>
      <c r="BK315" s="304" t="str">
        <f t="shared" si="216"/>
        <v/>
      </c>
      <c r="BL315" s="304">
        <f t="shared" si="217"/>
        <v>0</v>
      </c>
      <c r="BM315" s="304" t="str">
        <f>IF($AC315="", "", IF(ISNA(VLOOKUP($AC315, TABELAS!$Q:$Q, 1, FALSE)), 1, 0))</f>
        <v/>
      </c>
      <c r="BN315" s="306" t="str">
        <f t="shared" si="218"/>
        <v/>
      </c>
      <c r="BO315" s="304" t="str">
        <f t="shared" si="219"/>
        <v/>
      </c>
      <c r="BP315" s="304" t="str">
        <f t="shared" si="220"/>
        <v/>
      </c>
      <c r="BQ315" s="305" t="str">
        <f t="shared" si="221"/>
        <v/>
      </c>
      <c r="BR315" s="304" t="str">
        <f t="shared" si="222"/>
        <v/>
      </c>
      <c r="BS315" s="304" t="str">
        <f t="shared" si="223"/>
        <v/>
      </c>
      <c r="BT315" s="304" t="str">
        <f>IF(OR($B315="", $AH315 = "SIM"), "", IF( ISNA(VLOOKUP($AP315,#REF!, 1, FALSE)), 1, 0))</f>
        <v/>
      </c>
      <c r="BU315" s="304" t="str">
        <f t="shared" si="224"/>
        <v/>
      </c>
      <c r="BV315" s="304" t="str">
        <f>IF( $B315="", "", IF( ISNA(VLOOKUP($AN315, TABELAS!$T$2:$T$9,1,FALSE)), 1, 0))</f>
        <v/>
      </c>
      <c r="BW315" s="304" t="str">
        <f t="shared" si="225"/>
        <v/>
      </c>
      <c r="BX315" s="304" t="str">
        <f>IF( OR($B315="", $AH315 = "SIM"), "", IF( ISNA( VLOOKUP( $AQ315, SISTEMA!$B:$B, 1, FALSE)), 1, 0))</f>
        <v/>
      </c>
      <c r="BY315" s="305" t="str">
        <f t="shared" si="226"/>
        <v/>
      </c>
      <c r="BZ315" s="305" t="str">
        <f t="shared" si="227"/>
        <v/>
      </c>
      <c r="CA315" s="304" t="str">
        <f t="shared" si="228"/>
        <v/>
      </c>
      <c r="CB315" s="305" t="str">
        <f t="shared" si="229"/>
        <v/>
      </c>
      <c r="CC315" s="305" t="str">
        <f t="shared" si="230"/>
        <v/>
      </c>
      <c r="CD315" s="305" t="str">
        <f t="shared" si="231"/>
        <v/>
      </c>
    </row>
    <row r="316" spans="1:82" x14ac:dyDescent="0.2">
      <c r="A316" s="235"/>
      <c r="B316" s="236" t="str">
        <f t="shared" si="196"/>
        <v/>
      </c>
      <c r="C316" s="237" t="str">
        <f t="shared" si="186"/>
        <v/>
      </c>
      <c r="D316" s="237" t="str">
        <f t="shared" si="197"/>
        <v/>
      </c>
      <c r="E316" s="237" t="str">
        <f>IF($C316="", "", COUNTIF($M$8:$M316,$D316))</f>
        <v/>
      </c>
      <c r="F316" s="238">
        <v>309</v>
      </c>
      <c r="G316" s="239"/>
      <c r="H316" s="240"/>
      <c r="I316" s="240"/>
      <c r="J316" s="241"/>
      <c r="K316" s="240"/>
      <c r="L316" s="240"/>
      <c r="M316" s="240"/>
      <c r="N316" s="242"/>
      <c r="O316" s="243"/>
      <c r="P316" s="243"/>
      <c r="Q316" s="243"/>
      <c r="R316" s="243"/>
      <c r="S316" s="243"/>
      <c r="T316" s="245"/>
      <c r="U316" s="246" t="str">
        <f>IF($T316="", "", VLOOKUP($T316, CONTRATOS!$B:$E, 2, FALSE))</f>
        <v/>
      </c>
      <c r="V316" s="247">
        <f>IF(OR($T316="",TB_DEFESA!$C$2="Criação Baseline"),0,
   IF(VLOOKUP($T316, CONTRATOS!B:E, 3, FALSE)&lt;&gt;"",1,IF(VLOOKUP($T316, CONTRATOS!B:E, 4, FALSE)&lt;&gt;"",2,0)))</f>
        <v>0</v>
      </c>
      <c r="W316" s="248"/>
      <c r="X316" s="248"/>
      <c r="Y316" s="249"/>
      <c r="Z316" s="250"/>
      <c r="AA316" s="251"/>
      <c r="AB316" s="252"/>
      <c r="AC316" s="253"/>
      <c r="AD316" s="251"/>
      <c r="AE316" s="254" t="str">
        <f t="shared" si="187"/>
        <v/>
      </c>
      <c r="AF316" s="256" t="str">
        <f t="shared" si="198"/>
        <v/>
      </c>
      <c r="AG316" s="293" t="s">
        <v>62</v>
      </c>
      <c r="AH316" s="294" t="str">
        <f t="shared" si="199"/>
        <v/>
      </c>
      <c r="AI316" s="294" t="str">
        <f t="shared" si="200"/>
        <v/>
      </c>
      <c r="AJ316" s="295" t="str">
        <f t="shared" si="201"/>
        <v/>
      </c>
      <c r="AK316" s="296" t="str">
        <f t="shared" si="202"/>
        <v/>
      </c>
      <c r="AL316" s="297" t="str">
        <f t="shared" si="203"/>
        <v/>
      </c>
      <c r="AM316" s="294" t="str">
        <f t="shared" si="204"/>
        <v/>
      </c>
      <c r="AN316" s="294" t="str">
        <f t="shared" si="205"/>
        <v/>
      </c>
      <c r="AO316" s="298" t="str">
        <f t="shared" si="206"/>
        <v/>
      </c>
      <c r="AP316" s="299" t="str">
        <f t="shared" si="207"/>
        <v/>
      </c>
      <c r="AQ316" s="299" t="str">
        <f t="shared" si="208"/>
        <v/>
      </c>
      <c r="AR316" s="300" t="str">
        <f t="shared" si="188"/>
        <v/>
      </c>
      <c r="AS316" s="300" t="str">
        <f t="shared" si="189"/>
        <v/>
      </c>
      <c r="AT316" s="294" t="str">
        <f t="shared" si="190"/>
        <v/>
      </c>
      <c r="AU316" s="301" t="str">
        <f>IF(OR($B316="", $AP316= ""),"",IF(VLOOKUP($AP316, CONTRATOS!B:K,3,FALSE)="","",VLOOKUP($AP316, CONTRATOS!B:K, 3,FALSE)))</f>
        <v/>
      </c>
      <c r="AV316" s="301" t="str">
        <f>IF(OR($B316="", $AP316 = ""), "", IF(VLOOKUP($AP316, CONTRATOS!B:K,4,FALSE)="","",VLOOKUP($AP316, CONTRATOS!B:K,4, FALSE)))</f>
        <v/>
      </c>
      <c r="AW316" s="302" t="str">
        <f t="shared" si="191"/>
        <v/>
      </c>
      <c r="AX316" s="301" t="str">
        <f t="shared" si="192"/>
        <v/>
      </c>
      <c r="AY316" s="301" t="str">
        <f t="shared" si="193"/>
        <v/>
      </c>
      <c r="AZ316" s="301" t="str">
        <f t="shared" si="194"/>
        <v/>
      </c>
      <c r="BA316" s="301" t="str">
        <f t="shared" si="195"/>
        <v/>
      </c>
      <c r="BB316" s="303">
        <f t="shared" si="209"/>
        <v>0</v>
      </c>
      <c r="BC316" s="303" t="str">
        <f t="shared" si="210"/>
        <v/>
      </c>
      <c r="BD316" s="303" t="str">
        <f t="shared" si="211"/>
        <v/>
      </c>
      <c r="BF316" s="304">
        <f t="shared" si="212"/>
        <v>0</v>
      </c>
      <c r="BG316" s="304">
        <f t="shared" si="213"/>
        <v>0</v>
      </c>
      <c r="BH316" s="304" t="str">
        <f>IF( $B316="", "", IF(ISNA(VLOOKUP($C316, Defesa!$C$8:$C$30,1,FALSE)),1,0))</f>
        <v/>
      </c>
      <c r="BI316" s="305" t="str">
        <f t="shared" si="214"/>
        <v/>
      </c>
      <c r="BJ316" s="305" t="str">
        <f t="shared" si="215"/>
        <v/>
      </c>
      <c r="BK316" s="304" t="str">
        <f t="shared" si="216"/>
        <v/>
      </c>
      <c r="BL316" s="304">
        <f t="shared" si="217"/>
        <v>0</v>
      </c>
      <c r="BM316" s="304" t="str">
        <f>IF($AC316="", "", IF(ISNA(VLOOKUP($AC316, TABELAS!$Q:$Q, 1, FALSE)), 1, 0))</f>
        <v/>
      </c>
      <c r="BN316" s="306" t="str">
        <f t="shared" si="218"/>
        <v/>
      </c>
      <c r="BO316" s="304" t="str">
        <f t="shared" si="219"/>
        <v/>
      </c>
      <c r="BP316" s="304" t="str">
        <f t="shared" si="220"/>
        <v/>
      </c>
      <c r="BQ316" s="305" t="str">
        <f t="shared" si="221"/>
        <v/>
      </c>
      <c r="BR316" s="304" t="str">
        <f t="shared" si="222"/>
        <v/>
      </c>
      <c r="BS316" s="304" t="str">
        <f t="shared" si="223"/>
        <v/>
      </c>
      <c r="BT316" s="304" t="str">
        <f>IF(OR($B316="", $AH316 = "SIM"), "", IF( ISNA(VLOOKUP($AP316,#REF!, 1, FALSE)), 1, 0))</f>
        <v/>
      </c>
      <c r="BU316" s="304" t="str">
        <f t="shared" si="224"/>
        <v/>
      </c>
      <c r="BV316" s="304" t="str">
        <f>IF( $B316="", "", IF( ISNA(VLOOKUP($AN316, TABELAS!$T$2:$T$9,1,FALSE)), 1, 0))</f>
        <v/>
      </c>
      <c r="BW316" s="304" t="str">
        <f t="shared" si="225"/>
        <v/>
      </c>
      <c r="BX316" s="304" t="str">
        <f>IF( OR($B316="", $AH316 = "SIM"), "", IF( ISNA( VLOOKUP( $AQ316, SISTEMA!$B:$B, 1, FALSE)), 1, 0))</f>
        <v/>
      </c>
      <c r="BY316" s="305" t="str">
        <f t="shared" si="226"/>
        <v/>
      </c>
      <c r="BZ316" s="305" t="str">
        <f t="shared" si="227"/>
        <v/>
      </c>
      <c r="CA316" s="304" t="str">
        <f t="shared" si="228"/>
        <v/>
      </c>
      <c r="CB316" s="305" t="str">
        <f t="shared" si="229"/>
        <v/>
      </c>
      <c r="CC316" s="305" t="str">
        <f t="shared" si="230"/>
        <v/>
      </c>
      <c r="CD316" s="305" t="str">
        <f t="shared" si="231"/>
        <v/>
      </c>
    </row>
    <row r="317" spans="1:82" x14ac:dyDescent="0.2">
      <c r="A317" s="235"/>
      <c r="B317" s="236" t="str">
        <f t="shared" si="196"/>
        <v/>
      </c>
      <c r="C317" s="237" t="str">
        <f t="shared" si="186"/>
        <v/>
      </c>
      <c r="D317" s="237" t="str">
        <f t="shared" si="197"/>
        <v/>
      </c>
      <c r="E317" s="237" t="str">
        <f>IF($C317="", "", COUNTIF($M$8:$M317,$D317))</f>
        <v/>
      </c>
      <c r="F317" s="238">
        <v>310</v>
      </c>
      <c r="G317" s="239"/>
      <c r="H317" s="240"/>
      <c r="I317" s="240"/>
      <c r="J317" s="241"/>
      <c r="K317" s="240"/>
      <c r="L317" s="240"/>
      <c r="M317" s="240"/>
      <c r="N317" s="242"/>
      <c r="O317" s="243"/>
      <c r="P317" s="243"/>
      <c r="Q317" s="243"/>
      <c r="R317" s="243"/>
      <c r="S317" s="243"/>
      <c r="T317" s="245"/>
      <c r="U317" s="246" t="str">
        <f>IF($T317="", "", VLOOKUP($T317, CONTRATOS!$B:$E, 2, FALSE))</f>
        <v/>
      </c>
      <c r="V317" s="247">
        <f>IF(OR($T317="",TB_DEFESA!$C$2="Criação Baseline"),0,
   IF(VLOOKUP($T317, CONTRATOS!B:E, 3, FALSE)&lt;&gt;"",1,IF(VLOOKUP($T317, CONTRATOS!B:E, 4, FALSE)&lt;&gt;"",2,0)))</f>
        <v>0</v>
      </c>
      <c r="W317" s="248"/>
      <c r="X317" s="248"/>
      <c r="Y317" s="249"/>
      <c r="Z317" s="250"/>
      <c r="AA317" s="251"/>
      <c r="AB317" s="252"/>
      <c r="AC317" s="253"/>
      <c r="AD317" s="251"/>
      <c r="AE317" s="254" t="str">
        <f t="shared" si="187"/>
        <v/>
      </c>
      <c r="AF317" s="256" t="str">
        <f t="shared" si="198"/>
        <v/>
      </c>
      <c r="AG317" s="293" t="s">
        <v>62</v>
      </c>
      <c r="AH317" s="294" t="str">
        <f t="shared" si="199"/>
        <v/>
      </c>
      <c r="AI317" s="294" t="str">
        <f t="shared" si="200"/>
        <v/>
      </c>
      <c r="AJ317" s="295" t="str">
        <f t="shared" si="201"/>
        <v/>
      </c>
      <c r="AK317" s="296" t="str">
        <f t="shared" si="202"/>
        <v/>
      </c>
      <c r="AL317" s="297" t="str">
        <f t="shared" si="203"/>
        <v/>
      </c>
      <c r="AM317" s="294" t="str">
        <f t="shared" si="204"/>
        <v/>
      </c>
      <c r="AN317" s="294" t="str">
        <f t="shared" si="205"/>
        <v/>
      </c>
      <c r="AO317" s="298" t="str">
        <f t="shared" si="206"/>
        <v/>
      </c>
      <c r="AP317" s="299" t="str">
        <f t="shared" si="207"/>
        <v/>
      </c>
      <c r="AQ317" s="299" t="str">
        <f t="shared" si="208"/>
        <v/>
      </c>
      <c r="AR317" s="300" t="str">
        <f t="shared" si="188"/>
        <v/>
      </c>
      <c r="AS317" s="300" t="str">
        <f t="shared" si="189"/>
        <v/>
      </c>
      <c r="AT317" s="294" t="str">
        <f t="shared" si="190"/>
        <v/>
      </c>
      <c r="AU317" s="301" t="str">
        <f>IF(OR($B317="", $AP317= ""),"",IF(VLOOKUP($AP317, CONTRATOS!B:K,3,FALSE)="","",VLOOKUP($AP317, CONTRATOS!B:K, 3,FALSE)))</f>
        <v/>
      </c>
      <c r="AV317" s="301" t="str">
        <f>IF(OR($B317="", $AP317 = ""), "", IF(VLOOKUP($AP317, CONTRATOS!B:K,4,FALSE)="","",VLOOKUP($AP317, CONTRATOS!B:K,4, FALSE)))</f>
        <v/>
      </c>
      <c r="AW317" s="302" t="str">
        <f t="shared" si="191"/>
        <v/>
      </c>
      <c r="AX317" s="301" t="str">
        <f t="shared" si="192"/>
        <v/>
      </c>
      <c r="AY317" s="301" t="str">
        <f t="shared" si="193"/>
        <v/>
      </c>
      <c r="AZ317" s="301" t="str">
        <f t="shared" si="194"/>
        <v/>
      </c>
      <c r="BA317" s="301" t="str">
        <f t="shared" si="195"/>
        <v/>
      </c>
      <c r="BB317" s="303">
        <f t="shared" si="209"/>
        <v>0</v>
      </c>
      <c r="BC317" s="303" t="str">
        <f t="shared" si="210"/>
        <v/>
      </c>
      <c r="BD317" s="303" t="str">
        <f t="shared" si="211"/>
        <v/>
      </c>
      <c r="BF317" s="304">
        <f t="shared" si="212"/>
        <v>0</v>
      </c>
      <c r="BG317" s="304">
        <f t="shared" si="213"/>
        <v>0</v>
      </c>
      <c r="BH317" s="304" t="str">
        <f>IF( $B317="", "", IF(ISNA(VLOOKUP($C317, Defesa!$C$8:$C$30,1,FALSE)),1,0))</f>
        <v/>
      </c>
      <c r="BI317" s="305" t="str">
        <f t="shared" si="214"/>
        <v/>
      </c>
      <c r="BJ317" s="305" t="str">
        <f t="shared" si="215"/>
        <v/>
      </c>
      <c r="BK317" s="304" t="str">
        <f t="shared" si="216"/>
        <v/>
      </c>
      <c r="BL317" s="304">
        <f t="shared" si="217"/>
        <v>0</v>
      </c>
      <c r="BM317" s="304" t="str">
        <f>IF($AC317="", "", IF(ISNA(VLOOKUP($AC317, TABELAS!$Q:$Q, 1, FALSE)), 1, 0))</f>
        <v/>
      </c>
      <c r="BN317" s="306" t="str">
        <f t="shared" si="218"/>
        <v/>
      </c>
      <c r="BO317" s="304" t="str">
        <f t="shared" si="219"/>
        <v/>
      </c>
      <c r="BP317" s="304" t="str">
        <f t="shared" si="220"/>
        <v/>
      </c>
      <c r="BQ317" s="305" t="str">
        <f t="shared" si="221"/>
        <v/>
      </c>
      <c r="BR317" s="304" t="str">
        <f t="shared" si="222"/>
        <v/>
      </c>
      <c r="BS317" s="304" t="str">
        <f t="shared" si="223"/>
        <v/>
      </c>
      <c r="BT317" s="304" t="str">
        <f>IF(OR($B317="", $AH317 = "SIM"), "", IF( ISNA(VLOOKUP($AP317,#REF!, 1, FALSE)), 1, 0))</f>
        <v/>
      </c>
      <c r="BU317" s="304" t="str">
        <f t="shared" si="224"/>
        <v/>
      </c>
      <c r="BV317" s="304" t="str">
        <f>IF( $B317="", "", IF( ISNA(VLOOKUP($AN317, TABELAS!$T$2:$T$9,1,FALSE)), 1, 0))</f>
        <v/>
      </c>
      <c r="BW317" s="304" t="str">
        <f t="shared" si="225"/>
        <v/>
      </c>
      <c r="BX317" s="304" t="str">
        <f>IF( OR($B317="", $AH317 = "SIM"), "", IF( ISNA( VLOOKUP( $AQ317, SISTEMA!$B:$B, 1, FALSE)), 1, 0))</f>
        <v/>
      </c>
      <c r="BY317" s="305" t="str">
        <f t="shared" si="226"/>
        <v/>
      </c>
      <c r="BZ317" s="305" t="str">
        <f t="shared" si="227"/>
        <v/>
      </c>
      <c r="CA317" s="304" t="str">
        <f t="shared" si="228"/>
        <v/>
      </c>
      <c r="CB317" s="305" t="str">
        <f t="shared" si="229"/>
        <v/>
      </c>
      <c r="CC317" s="305" t="str">
        <f t="shared" si="230"/>
        <v/>
      </c>
      <c r="CD317" s="305" t="str">
        <f t="shared" si="231"/>
        <v/>
      </c>
    </row>
    <row r="318" spans="1:82" x14ac:dyDescent="0.2">
      <c r="A318" s="235"/>
      <c r="B318" s="236" t="str">
        <f t="shared" si="196"/>
        <v/>
      </c>
      <c r="C318" s="237" t="str">
        <f t="shared" si="186"/>
        <v/>
      </c>
      <c r="D318" s="237" t="str">
        <f t="shared" si="197"/>
        <v/>
      </c>
      <c r="E318" s="237" t="str">
        <f>IF($C318="", "", COUNTIF($M$8:$M318,$D318))</f>
        <v/>
      </c>
      <c r="F318" s="238">
        <v>311</v>
      </c>
      <c r="G318" s="239"/>
      <c r="H318" s="240"/>
      <c r="I318" s="240"/>
      <c r="J318" s="241"/>
      <c r="K318" s="240"/>
      <c r="L318" s="240"/>
      <c r="M318" s="240"/>
      <c r="N318" s="242"/>
      <c r="O318" s="243"/>
      <c r="P318" s="243"/>
      <c r="Q318" s="243"/>
      <c r="R318" s="243"/>
      <c r="S318" s="243"/>
      <c r="T318" s="245"/>
      <c r="U318" s="246" t="str">
        <f>IF($T318="", "", VLOOKUP($T318, CONTRATOS!$B:$E, 2, FALSE))</f>
        <v/>
      </c>
      <c r="V318" s="247">
        <f>IF(OR($T318="",TB_DEFESA!$C$2="Criação Baseline"),0,
   IF(VLOOKUP($T318, CONTRATOS!B:E, 3, FALSE)&lt;&gt;"",1,IF(VLOOKUP($T318, CONTRATOS!B:E, 4, FALSE)&lt;&gt;"",2,0)))</f>
        <v>0</v>
      </c>
      <c r="W318" s="248"/>
      <c r="X318" s="248"/>
      <c r="Y318" s="249"/>
      <c r="Z318" s="250"/>
      <c r="AA318" s="251"/>
      <c r="AB318" s="252"/>
      <c r="AC318" s="253"/>
      <c r="AD318" s="251"/>
      <c r="AE318" s="254" t="str">
        <f t="shared" si="187"/>
        <v/>
      </c>
      <c r="AF318" s="256" t="str">
        <f t="shared" si="198"/>
        <v/>
      </c>
      <c r="AG318" s="293" t="s">
        <v>62</v>
      </c>
      <c r="AH318" s="294" t="str">
        <f t="shared" si="199"/>
        <v/>
      </c>
      <c r="AI318" s="294" t="str">
        <f t="shared" si="200"/>
        <v/>
      </c>
      <c r="AJ318" s="295" t="str">
        <f t="shared" si="201"/>
        <v/>
      </c>
      <c r="AK318" s="296" t="str">
        <f t="shared" si="202"/>
        <v/>
      </c>
      <c r="AL318" s="297" t="str">
        <f t="shared" si="203"/>
        <v/>
      </c>
      <c r="AM318" s="294" t="str">
        <f t="shared" si="204"/>
        <v/>
      </c>
      <c r="AN318" s="294" t="str">
        <f t="shared" si="205"/>
        <v/>
      </c>
      <c r="AO318" s="298" t="str">
        <f t="shared" si="206"/>
        <v/>
      </c>
      <c r="AP318" s="299" t="str">
        <f t="shared" si="207"/>
        <v/>
      </c>
      <c r="AQ318" s="299" t="str">
        <f t="shared" si="208"/>
        <v/>
      </c>
      <c r="AR318" s="300" t="str">
        <f t="shared" si="188"/>
        <v/>
      </c>
      <c r="AS318" s="300" t="str">
        <f t="shared" si="189"/>
        <v/>
      </c>
      <c r="AT318" s="294" t="str">
        <f t="shared" si="190"/>
        <v/>
      </c>
      <c r="AU318" s="301" t="str">
        <f>IF(OR($B318="", $AP318= ""),"",IF(VLOOKUP($AP318, CONTRATOS!B:K,3,FALSE)="","",VLOOKUP($AP318, CONTRATOS!B:K, 3,FALSE)))</f>
        <v/>
      </c>
      <c r="AV318" s="301" t="str">
        <f>IF(OR($B318="", $AP318 = ""), "", IF(VLOOKUP($AP318, CONTRATOS!B:K,4,FALSE)="","",VLOOKUP($AP318, CONTRATOS!B:K,4, FALSE)))</f>
        <v/>
      </c>
      <c r="AW318" s="302" t="str">
        <f t="shared" si="191"/>
        <v/>
      </c>
      <c r="AX318" s="301" t="str">
        <f t="shared" si="192"/>
        <v/>
      </c>
      <c r="AY318" s="301" t="str">
        <f t="shared" si="193"/>
        <v/>
      </c>
      <c r="AZ318" s="301" t="str">
        <f t="shared" si="194"/>
        <v/>
      </c>
      <c r="BA318" s="301" t="str">
        <f t="shared" si="195"/>
        <v/>
      </c>
      <c r="BB318" s="303">
        <f t="shared" si="209"/>
        <v>0</v>
      </c>
      <c r="BC318" s="303" t="str">
        <f t="shared" si="210"/>
        <v/>
      </c>
      <c r="BD318" s="303" t="str">
        <f t="shared" si="211"/>
        <v/>
      </c>
      <c r="BF318" s="304">
        <f t="shared" si="212"/>
        <v>0</v>
      </c>
      <c r="BG318" s="304">
        <f t="shared" si="213"/>
        <v>0</v>
      </c>
      <c r="BH318" s="304" t="str">
        <f>IF( $B318="", "", IF(ISNA(VLOOKUP($C318, Defesa!$C$8:$C$30,1,FALSE)),1,0))</f>
        <v/>
      </c>
      <c r="BI318" s="305" t="str">
        <f t="shared" si="214"/>
        <v/>
      </c>
      <c r="BJ318" s="305" t="str">
        <f t="shared" si="215"/>
        <v/>
      </c>
      <c r="BK318" s="304" t="str">
        <f t="shared" si="216"/>
        <v/>
      </c>
      <c r="BL318" s="304">
        <f t="shared" si="217"/>
        <v>0</v>
      </c>
      <c r="BM318" s="304" t="str">
        <f>IF($AC318="", "", IF(ISNA(VLOOKUP($AC318, TABELAS!$Q:$Q, 1, FALSE)), 1, 0))</f>
        <v/>
      </c>
      <c r="BN318" s="306" t="str">
        <f t="shared" si="218"/>
        <v/>
      </c>
      <c r="BO318" s="304" t="str">
        <f t="shared" si="219"/>
        <v/>
      </c>
      <c r="BP318" s="304" t="str">
        <f t="shared" si="220"/>
        <v/>
      </c>
      <c r="BQ318" s="305" t="str">
        <f t="shared" si="221"/>
        <v/>
      </c>
      <c r="BR318" s="304" t="str">
        <f t="shared" si="222"/>
        <v/>
      </c>
      <c r="BS318" s="304" t="str">
        <f t="shared" si="223"/>
        <v/>
      </c>
      <c r="BT318" s="304" t="str">
        <f>IF(OR($B318="", $AH318 = "SIM"), "", IF( ISNA(VLOOKUP($AP318,#REF!, 1, FALSE)), 1, 0))</f>
        <v/>
      </c>
      <c r="BU318" s="304" t="str">
        <f t="shared" si="224"/>
        <v/>
      </c>
      <c r="BV318" s="304" t="str">
        <f>IF( $B318="", "", IF( ISNA(VLOOKUP($AN318, TABELAS!$T$2:$T$9,1,FALSE)), 1, 0))</f>
        <v/>
      </c>
      <c r="BW318" s="304" t="str">
        <f t="shared" si="225"/>
        <v/>
      </c>
      <c r="BX318" s="304" t="str">
        <f>IF( OR($B318="", $AH318 = "SIM"), "", IF( ISNA( VLOOKUP( $AQ318, SISTEMA!$B:$B, 1, FALSE)), 1, 0))</f>
        <v/>
      </c>
      <c r="BY318" s="305" t="str">
        <f t="shared" si="226"/>
        <v/>
      </c>
      <c r="BZ318" s="305" t="str">
        <f t="shared" si="227"/>
        <v/>
      </c>
      <c r="CA318" s="304" t="str">
        <f t="shared" si="228"/>
        <v/>
      </c>
      <c r="CB318" s="305" t="str">
        <f t="shared" si="229"/>
        <v/>
      </c>
      <c r="CC318" s="305" t="str">
        <f t="shared" si="230"/>
        <v/>
      </c>
      <c r="CD318" s="305" t="str">
        <f t="shared" si="231"/>
        <v/>
      </c>
    </row>
    <row r="319" spans="1:82" x14ac:dyDescent="0.2">
      <c r="A319" s="235"/>
      <c r="B319" s="236" t="str">
        <f t="shared" si="196"/>
        <v/>
      </c>
      <c r="C319" s="237" t="str">
        <f t="shared" si="186"/>
        <v/>
      </c>
      <c r="D319" s="237" t="str">
        <f t="shared" si="197"/>
        <v/>
      </c>
      <c r="E319" s="237" t="str">
        <f>IF($C319="", "", COUNTIF($M$8:$M319,$D319))</f>
        <v/>
      </c>
      <c r="F319" s="238">
        <v>312</v>
      </c>
      <c r="G319" s="239"/>
      <c r="H319" s="240"/>
      <c r="I319" s="240"/>
      <c r="J319" s="241"/>
      <c r="K319" s="240"/>
      <c r="L319" s="240"/>
      <c r="M319" s="240"/>
      <c r="N319" s="242"/>
      <c r="O319" s="243"/>
      <c r="P319" s="243"/>
      <c r="Q319" s="243"/>
      <c r="R319" s="243"/>
      <c r="S319" s="243"/>
      <c r="T319" s="245"/>
      <c r="U319" s="246" t="str">
        <f>IF($T319="", "", VLOOKUP($T319, CONTRATOS!$B:$E, 2, FALSE))</f>
        <v/>
      </c>
      <c r="V319" s="247">
        <f>IF(OR($T319="",TB_DEFESA!$C$2="Criação Baseline"),0,
   IF(VLOOKUP($T319, CONTRATOS!B:E, 3, FALSE)&lt;&gt;"",1,IF(VLOOKUP($T319, CONTRATOS!B:E, 4, FALSE)&lt;&gt;"",2,0)))</f>
        <v>0</v>
      </c>
      <c r="W319" s="248"/>
      <c r="X319" s="248"/>
      <c r="Y319" s="249"/>
      <c r="Z319" s="250"/>
      <c r="AA319" s="251"/>
      <c r="AB319" s="252"/>
      <c r="AC319" s="253"/>
      <c r="AD319" s="251"/>
      <c r="AE319" s="254" t="str">
        <f t="shared" si="187"/>
        <v/>
      </c>
      <c r="AF319" s="256" t="str">
        <f t="shared" si="198"/>
        <v/>
      </c>
      <c r="AG319" s="293" t="s">
        <v>62</v>
      </c>
      <c r="AH319" s="294" t="str">
        <f t="shared" si="199"/>
        <v/>
      </c>
      <c r="AI319" s="294" t="str">
        <f t="shared" si="200"/>
        <v/>
      </c>
      <c r="AJ319" s="295" t="str">
        <f t="shared" si="201"/>
        <v/>
      </c>
      <c r="AK319" s="296" t="str">
        <f t="shared" si="202"/>
        <v/>
      </c>
      <c r="AL319" s="297" t="str">
        <f t="shared" si="203"/>
        <v/>
      </c>
      <c r="AM319" s="294" t="str">
        <f t="shared" si="204"/>
        <v/>
      </c>
      <c r="AN319" s="294" t="str">
        <f t="shared" si="205"/>
        <v/>
      </c>
      <c r="AO319" s="298" t="str">
        <f t="shared" si="206"/>
        <v/>
      </c>
      <c r="AP319" s="299" t="str">
        <f t="shared" si="207"/>
        <v/>
      </c>
      <c r="AQ319" s="299" t="str">
        <f t="shared" si="208"/>
        <v/>
      </c>
      <c r="AR319" s="300" t="str">
        <f t="shared" si="188"/>
        <v/>
      </c>
      <c r="AS319" s="300" t="str">
        <f t="shared" si="189"/>
        <v/>
      </c>
      <c r="AT319" s="294" t="str">
        <f t="shared" si="190"/>
        <v/>
      </c>
      <c r="AU319" s="301" t="str">
        <f>IF(OR($B319="", $AP319= ""),"",IF(VLOOKUP($AP319, CONTRATOS!B:K,3,FALSE)="","",VLOOKUP($AP319, CONTRATOS!B:K, 3,FALSE)))</f>
        <v/>
      </c>
      <c r="AV319" s="301" t="str">
        <f>IF(OR($B319="", $AP319 = ""), "", IF(VLOOKUP($AP319, CONTRATOS!B:K,4,FALSE)="","",VLOOKUP($AP319, CONTRATOS!B:K,4, FALSE)))</f>
        <v/>
      </c>
      <c r="AW319" s="302" t="str">
        <f t="shared" si="191"/>
        <v/>
      </c>
      <c r="AX319" s="301" t="str">
        <f t="shared" si="192"/>
        <v/>
      </c>
      <c r="AY319" s="301" t="str">
        <f t="shared" si="193"/>
        <v/>
      </c>
      <c r="AZ319" s="301" t="str">
        <f t="shared" si="194"/>
        <v/>
      </c>
      <c r="BA319" s="301" t="str">
        <f t="shared" si="195"/>
        <v/>
      </c>
      <c r="BB319" s="303">
        <f t="shared" si="209"/>
        <v>0</v>
      </c>
      <c r="BC319" s="303" t="str">
        <f t="shared" si="210"/>
        <v/>
      </c>
      <c r="BD319" s="303" t="str">
        <f t="shared" si="211"/>
        <v/>
      </c>
      <c r="BF319" s="304">
        <f t="shared" si="212"/>
        <v>0</v>
      </c>
      <c r="BG319" s="304">
        <f t="shared" si="213"/>
        <v>0</v>
      </c>
      <c r="BH319" s="304" t="str">
        <f>IF( $B319="", "", IF(ISNA(VLOOKUP($C319, Defesa!$C$8:$C$30,1,FALSE)),1,0))</f>
        <v/>
      </c>
      <c r="BI319" s="305" t="str">
        <f t="shared" si="214"/>
        <v/>
      </c>
      <c r="BJ319" s="305" t="str">
        <f t="shared" si="215"/>
        <v/>
      </c>
      <c r="BK319" s="304" t="str">
        <f t="shared" si="216"/>
        <v/>
      </c>
      <c r="BL319" s="304">
        <f t="shared" si="217"/>
        <v>0</v>
      </c>
      <c r="BM319" s="304" t="str">
        <f>IF($AC319="", "", IF(ISNA(VLOOKUP($AC319, TABELAS!$Q:$Q, 1, FALSE)), 1, 0))</f>
        <v/>
      </c>
      <c r="BN319" s="306" t="str">
        <f t="shared" si="218"/>
        <v/>
      </c>
      <c r="BO319" s="304" t="str">
        <f t="shared" si="219"/>
        <v/>
      </c>
      <c r="BP319" s="304" t="str">
        <f t="shared" si="220"/>
        <v/>
      </c>
      <c r="BQ319" s="305" t="str">
        <f t="shared" si="221"/>
        <v/>
      </c>
      <c r="BR319" s="304" t="str">
        <f t="shared" si="222"/>
        <v/>
      </c>
      <c r="BS319" s="304" t="str">
        <f t="shared" si="223"/>
        <v/>
      </c>
      <c r="BT319" s="304" t="str">
        <f>IF(OR($B319="", $AH319 = "SIM"), "", IF( ISNA(VLOOKUP($AP319,#REF!, 1, FALSE)), 1, 0))</f>
        <v/>
      </c>
      <c r="BU319" s="304" t="str">
        <f t="shared" si="224"/>
        <v/>
      </c>
      <c r="BV319" s="304" t="str">
        <f>IF( $B319="", "", IF( ISNA(VLOOKUP($AN319, TABELAS!$T$2:$T$9,1,FALSE)), 1, 0))</f>
        <v/>
      </c>
      <c r="BW319" s="304" t="str">
        <f t="shared" si="225"/>
        <v/>
      </c>
      <c r="BX319" s="304" t="str">
        <f>IF( OR($B319="", $AH319 = "SIM"), "", IF( ISNA( VLOOKUP( $AQ319, SISTEMA!$B:$B, 1, FALSE)), 1, 0))</f>
        <v/>
      </c>
      <c r="BY319" s="305" t="str">
        <f t="shared" si="226"/>
        <v/>
      </c>
      <c r="BZ319" s="305" t="str">
        <f t="shared" si="227"/>
        <v/>
      </c>
      <c r="CA319" s="304" t="str">
        <f t="shared" si="228"/>
        <v/>
      </c>
      <c r="CB319" s="305" t="str">
        <f t="shared" si="229"/>
        <v/>
      </c>
      <c r="CC319" s="305" t="str">
        <f t="shared" si="230"/>
        <v/>
      </c>
      <c r="CD319" s="305" t="str">
        <f t="shared" si="231"/>
        <v/>
      </c>
    </row>
    <row r="320" spans="1:82" x14ac:dyDescent="0.2">
      <c r="A320" s="235"/>
      <c r="B320" s="236" t="str">
        <f t="shared" si="196"/>
        <v/>
      </c>
      <c r="C320" s="237" t="str">
        <f t="shared" si="186"/>
        <v/>
      </c>
      <c r="D320" s="237" t="str">
        <f t="shared" si="197"/>
        <v/>
      </c>
      <c r="E320" s="237" t="str">
        <f>IF($C320="", "", COUNTIF($M$8:$M320,$D320))</f>
        <v/>
      </c>
      <c r="F320" s="238">
        <v>313</v>
      </c>
      <c r="G320" s="239"/>
      <c r="H320" s="240"/>
      <c r="I320" s="240"/>
      <c r="J320" s="241"/>
      <c r="K320" s="240"/>
      <c r="L320" s="240"/>
      <c r="M320" s="240"/>
      <c r="N320" s="242"/>
      <c r="O320" s="243"/>
      <c r="P320" s="243"/>
      <c r="Q320" s="243"/>
      <c r="R320" s="243"/>
      <c r="S320" s="243"/>
      <c r="T320" s="245"/>
      <c r="U320" s="246" t="str">
        <f>IF($T320="", "", VLOOKUP($T320, CONTRATOS!$B:$E, 2, FALSE))</f>
        <v/>
      </c>
      <c r="V320" s="247">
        <f>IF(OR($T320="",TB_DEFESA!$C$2="Criação Baseline"),0,
   IF(VLOOKUP($T320, CONTRATOS!B:E, 3, FALSE)&lt;&gt;"",1,IF(VLOOKUP($T320, CONTRATOS!B:E, 4, FALSE)&lt;&gt;"",2,0)))</f>
        <v>0</v>
      </c>
      <c r="W320" s="248"/>
      <c r="X320" s="248"/>
      <c r="Y320" s="249"/>
      <c r="Z320" s="250"/>
      <c r="AA320" s="251"/>
      <c r="AB320" s="252"/>
      <c r="AC320" s="253"/>
      <c r="AD320" s="251"/>
      <c r="AE320" s="254" t="str">
        <f t="shared" si="187"/>
        <v/>
      </c>
      <c r="AF320" s="256" t="str">
        <f t="shared" si="198"/>
        <v/>
      </c>
      <c r="AG320" s="293" t="s">
        <v>62</v>
      </c>
      <c r="AH320" s="294" t="str">
        <f t="shared" si="199"/>
        <v/>
      </c>
      <c r="AI320" s="294" t="str">
        <f t="shared" si="200"/>
        <v/>
      </c>
      <c r="AJ320" s="295" t="str">
        <f t="shared" si="201"/>
        <v/>
      </c>
      <c r="AK320" s="296" t="str">
        <f t="shared" si="202"/>
        <v/>
      </c>
      <c r="AL320" s="297" t="str">
        <f t="shared" si="203"/>
        <v/>
      </c>
      <c r="AM320" s="294" t="str">
        <f t="shared" si="204"/>
        <v/>
      </c>
      <c r="AN320" s="294" t="str">
        <f t="shared" si="205"/>
        <v/>
      </c>
      <c r="AO320" s="298" t="str">
        <f t="shared" si="206"/>
        <v/>
      </c>
      <c r="AP320" s="299" t="str">
        <f t="shared" si="207"/>
        <v/>
      </c>
      <c r="AQ320" s="299" t="str">
        <f t="shared" si="208"/>
        <v/>
      </c>
      <c r="AR320" s="300" t="str">
        <f t="shared" si="188"/>
        <v/>
      </c>
      <c r="AS320" s="300" t="str">
        <f t="shared" si="189"/>
        <v/>
      </c>
      <c r="AT320" s="294" t="str">
        <f t="shared" si="190"/>
        <v/>
      </c>
      <c r="AU320" s="301" t="str">
        <f>IF(OR($B320="", $AP320= ""),"",IF(VLOOKUP($AP320, CONTRATOS!B:K,3,FALSE)="","",VLOOKUP($AP320, CONTRATOS!B:K, 3,FALSE)))</f>
        <v/>
      </c>
      <c r="AV320" s="301" t="str">
        <f>IF(OR($B320="", $AP320 = ""), "", IF(VLOOKUP($AP320, CONTRATOS!B:K,4,FALSE)="","",VLOOKUP($AP320, CONTRATOS!B:K,4, FALSE)))</f>
        <v/>
      </c>
      <c r="AW320" s="302" t="str">
        <f t="shared" si="191"/>
        <v/>
      </c>
      <c r="AX320" s="301" t="str">
        <f t="shared" si="192"/>
        <v/>
      </c>
      <c r="AY320" s="301" t="str">
        <f t="shared" si="193"/>
        <v/>
      </c>
      <c r="AZ320" s="301" t="str">
        <f t="shared" si="194"/>
        <v/>
      </c>
      <c r="BA320" s="301" t="str">
        <f t="shared" si="195"/>
        <v/>
      </c>
      <c r="BB320" s="303">
        <f t="shared" si="209"/>
        <v>0</v>
      </c>
      <c r="BC320" s="303" t="str">
        <f t="shared" si="210"/>
        <v/>
      </c>
      <c r="BD320" s="303" t="str">
        <f t="shared" si="211"/>
        <v/>
      </c>
      <c r="BF320" s="304">
        <f t="shared" si="212"/>
        <v>0</v>
      </c>
      <c r="BG320" s="304">
        <f t="shared" si="213"/>
        <v>0</v>
      </c>
      <c r="BH320" s="304" t="str">
        <f>IF( $B320="", "", IF(ISNA(VLOOKUP($C320, Defesa!$C$8:$C$30,1,FALSE)),1,0))</f>
        <v/>
      </c>
      <c r="BI320" s="305" t="str">
        <f t="shared" si="214"/>
        <v/>
      </c>
      <c r="BJ320" s="305" t="str">
        <f t="shared" si="215"/>
        <v/>
      </c>
      <c r="BK320" s="304" t="str">
        <f t="shared" si="216"/>
        <v/>
      </c>
      <c r="BL320" s="304">
        <f t="shared" si="217"/>
        <v>0</v>
      </c>
      <c r="BM320" s="304" t="str">
        <f>IF($AC320="", "", IF(ISNA(VLOOKUP($AC320, TABELAS!$Q:$Q, 1, FALSE)), 1, 0))</f>
        <v/>
      </c>
      <c r="BN320" s="306" t="str">
        <f t="shared" si="218"/>
        <v/>
      </c>
      <c r="BO320" s="304" t="str">
        <f t="shared" si="219"/>
        <v/>
      </c>
      <c r="BP320" s="304" t="str">
        <f t="shared" si="220"/>
        <v/>
      </c>
      <c r="BQ320" s="305" t="str">
        <f t="shared" si="221"/>
        <v/>
      </c>
      <c r="BR320" s="304" t="str">
        <f t="shared" si="222"/>
        <v/>
      </c>
      <c r="BS320" s="304" t="str">
        <f t="shared" si="223"/>
        <v/>
      </c>
      <c r="BT320" s="304" t="str">
        <f>IF(OR($B320="", $AH320 = "SIM"), "", IF( ISNA(VLOOKUP($AP320,#REF!, 1, FALSE)), 1, 0))</f>
        <v/>
      </c>
      <c r="BU320" s="304" t="str">
        <f t="shared" si="224"/>
        <v/>
      </c>
      <c r="BV320" s="304" t="str">
        <f>IF( $B320="", "", IF( ISNA(VLOOKUP($AN320, TABELAS!$T$2:$T$9,1,FALSE)), 1, 0))</f>
        <v/>
      </c>
      <c r="BW320" s="304" t="str">
        <f t="shared" si="225"/>
        <v/>
      </c>
      <c r="BX320" s="304" t="str">
        <f>IF( OR($B320="", $AH320 = "SIM"), "", IF( ISNA( VLOOKUP( $AQ320, SISTEMA!$B:$B, 1, FALSE)), 1, 0))</f>
        <v/>
      </c>
      <c r="BY320" s="305" t="str">
        <f t="shared" si="226"/>
        <v/>
      </c>
      <c r="BZ320" s="305" t="str">
        <f t="shared" si="227"/>
        <v/>
      </c>
      <c r="CA320" s="304" t="str">
        <f t="shared" si="228"/>
        <v/>
      </c>
      <c r="CB320" s="305" t="str">
        <f t="shared" si="229"/>
        <v/>
      </c>
      <c r="CC320" s="305" t="str">
        <f t="shared" si="230"/>
        <v/>
      </c>
      <c r="CD320" s="305" t="str">
        <f t="shared" si="231"/>
        <v/>
      </c>
    </row>
    <row r="321" spans="1:82" x14ac:dyDescent="0.2">
      <c r="A321" s="235"/>
      <c r="B321" s="236" t="str">
        <f t="shared" si="196"/>
        <v/>
      </c>
      <c r="C321" s="237" t="str">
        <f t="shared" si="186"/>
        <v/>
      </c>
      <c r="D321" s="237" t="str">
        <f t="shared" si="197"/>
        <v/>
      </c>
      <c r="E321" s="237" t="str">
        <f>IF($C321="", "", COUNTIF($M$8:$M321,$D321))</f>
        <v/>
      </c>
      <c r="F321" s="238">
        <v>314</v>
      </c>
      <c r="G321" s="239"/>
      <c r="H321" s="240"/>
      <c r="I321" s="240"/>
      <c r="J321" s="241"/>
      <c r="K321" s="240"/>
      <c r="L321" s="240"/>
      <c r="M321" s="240"/>
      <c r="N321" s="242"/>
      <c r="O321" s="243"/>
      <c r="P321" s="243"/>
      <c r="Q321" s="243"/>
      <c r="R321" s="243"/>
      <c r="S321" s="243"/>
      <c r="T321" s="245"/>
      <c r="U321" s="246" t="str">
        <f>IF($T321="", "", VLOOKUP($T321, CONTRATOS!$B:$E, 2, FALSE))</f>
        <v/>
      </c>
      <c r="V321" s="247">
        <f>IF(OR($T321="",TB_DEFESA!$C$2="Criação Baseline"),0,
   IF(VLOOKUP($T321, CONTRATOS!B:E, 3, FALSE)&lt;&gt;"",1,IF(VLOOKUP($T321, CONTRATOS!B:E, 4, FALSE)&lt;&gt;"",2,0)))</f>
        <v>0</v>
      </c>
      <c r="W321" s="248"/>
      <c r="X321" s="248"/>
      <c r="Y321" s="249"/>
      <c r="Z321" s="250"/>
      <c r="AA321" s="251"/>
      <c r="AB321" s="252"/>
      <c r="AC321" s="253"/>
      <c r="AD321" s="251"/>
      <c r="AE321" s="254" t="str">
        <f t="shared" si="187"/>
        <v/>
      </c>
      <c r="AF321" s="256" t="str">
        <f t="shared" si="198"/>
        <v/>
      </c>
      <c r="AG321" s="293" t="s">
        <v>62</v>
      </c>
      <c r="AH321" s="294" t="str">
        <f t="shared" si="199"/>
        <v/>
      </c>
      <c r="AI321" s="294" t="str">
        <f t="shared" si="200"/>
        <v/>
      </c>
      <c r="AJ321" s="295" t="str">
        <f t="shared" si="201"/>
        <v/>
      </c>
      <c r="AK321" s="296" t="str">
        <f t="shared" si="202"/>
        <v/>
      </c>
      <c r="AL321" s="297" t="str">
        <f t="shared" si="203"/>
        <v/>
      </c>
      <c r="AM321" s="294" t="str">
        <f t="shared" si="204"/>
        <v/>
      </c>
      <c r="AN321" s="294" t="str">
        <f t="shared" si="205"/>
        <v/>
      </c>
      <c r="AO321" s="298" t="str">
        <f t="shared" si="206"/>
        <v/>
      </c>
      <c r="AP321" s="299" t="str">
        <f t="shared" si="207"/>
        <v/>
      </c>
      <c r="AQ321" s="299" t="str">
        <f t="shared" si="208"/>
        <v/>
      </c>
      <c r="AR321" s="300" t="str">
        <f t="shared" si="188"/>
        <v/>
      </c>
      <c r="AS321" s="300" t="str">
        <f t="shared" si="189"/>
        <v/>
      </c>
      <c r="AT321" s="294" t="str">
        <f t="shared" si="190"/>
        <v/>
      </c>
      <c r="AU321" s="301" t="str">
        <f>IF(OR($B321="", $AP321= ""),"",IF(VLOOKUP($AP321, CONTRATOS!B:K,3,FALSE)="","",VLOOKUP($AP321, CONTRATOS!B:K, 3,FALSE)))</f>
        <v/>
      </c>
      <c r="AV321" s="301" t="str">
        <f>IF(OR($B321="", $AP321 = ""), "", IF(VLOOKUP($AP321, CONTRATOS!B:K,4,FALSE)="","",VLOOKUP($AP321, CONTRATOS!B:K,4, FALSE)))</f>
        <v/>
      </c>
      <c r="AW321" s="302" t="str">
        <f t="shared" si="191"/>
        <v/>
      </c>
      <c r="AX321" s="301" t="str">
        <f t="shared" si="192"/>
        <v/>
      </c>
      <c r="AY321" s="301" t="str">
        <f t="shared" si="193"/>
        <v/>
      </c>
      <c r="AZ321" s="301" t="str">
        <f t="shared" si="194"/>
        <v/>
      </c>
      <c r="BA321" s="301" t="str">
        <f t="shared" si="195"/>
        <v/>
      </c>
      <c r="BB321" s="303">
        <f t="shared" si="209"/>
        <v>0</v>
      </c>
      <c r="BC321" s="303" t="str">
        <f t="shared" si="210"/>
        <v/>
      </c>
      <c r="BD321" s="303" t="str">
        <f t="shared" si="211"/>
        <v/>
      </c>
      <c r="BF321" s="304">
        <f t="shared" si="212"/>
        <v>0</v>
      </c>
      <c r="BG321" s="304">
        <f t="shared" si="213"/>
        <v>0</v>
      </c>
      <c r="BH321" s="304" t="str">
        <f>IF( $B321="", "", IF(ISNA(VLOOKUP($C321, Defesa!$C$8:$C$30,1,FALSE)),1,0))</f>
        <v/>
      </c>
      <c r="BI321" s="305" t="str">
        <f t="shared" si="214"/>
        <v/>
      </c>
      <c r="BJ321" s="305" t="str">
        <f t="shared" si="215"/>
        <v/>
      </c>
      <c r="BK321" s="304" t="str">
        <f t="shared" si="216"/>
        <v/>
      </c>
      <c r="BL321" s="304">
        <f t="shared" si="217"/>
        <v>0</v>
      </c>
      <c r="BM321" s="304" t="str">
        <f>IF($AC321="", "", IF(ISNA(VLOOKUP($AC321, TABELAS!$Q:$Q, 1, FALSE)), 1, 0))</f>
        <v/>
      </c>
      <c r="BN321" s="306" t="str">
        <f t="shared" si="218"/>
        <v/>
      </c>
      <c r="BO321" s="304" t="str">
        <f t="shared" si="219"/>
        <v/>
      </c>
      <c r="BP321" s="304" t="str">
        <f t="shared" si="220"/>
        <v/>
      </c>
      <c r="BQ321" s="305" t="str">
        <f t="shared" si="221"/>
        <v/>
      </c>
      <c r="BR321" s="304" t="str">
        <f t="shared" si="222"/>
        <v/>
      </c>
      <c r="BS321" s="304" t="str">
        <f t="shared" si="223"/>
        <v/>
      </c>
      <c r="BT321" s="304" t="str">
        <f>IF(OR($B321="", $AH321 = "SIM"), "", IF( ISNA(VLOOKUP($AP321,#REF!, 1, FALSE)), 1, 0))</f>
        <v/>
      </c>
      <c r="BU321" s="304" t="str">
        <f t="shared" si="224"/>
        <v/>
      </c>
      <c r="BV321" s="304" t="str">
        <f>IF( $B321="", "", IF( ISNA(VLOOKUP($AN321, TABELAS!$T$2:$T$9,1,FALSE)), 1, 0))</f>
        <v/>
      </c>
      <c r="BW321" s="304" t="str">
        <f t="shared" si="225"/>
        <v/>
      </c>
      <c r="BX321" s="304" t="str">
        <f>IF( OR($B321="", $AH321 = "SIM"), "", IF( ISNA( VLOOKUP( $AQ321, SISTEMA!$B:$B, 1, FALSE)), 1, 0))</f>
        <v/>
      </c>
      <c r="BY321" s="305" t="str">
        <f t="shared" si="226"/>
        <v/>
      </c>
      <c r="BZ321" s="305" t="str">
        <f t="shared" si="227"/>
        <v/>
      </c>
      <c r="CA321" s="304" t="str">
        <f t="shared" si="228"/>
        <v/>
      </c>
      <c r="CB321" s="305" t="str">
        <f t="shared" si="229"/>
        <v/>
      </c>
      <c r="CC321" s="305" t="str">
        <f t="shared" si="230"/>
        <v/>
      </c>
      <c r="CD321" s="305" t="str">
        <f t="shared" si="231"/>
        <v/>
      </c>
    </row>
    <row r="322" spans="1:82" x14ac:dyDescent="0.2">
      <c r="A322" s="235"/>
      <c r="B322" s="236" t="str">
        <f t="shared" si="196"/>
        <v/>
      </c>
      <c r="C322" s="237" t="str">
        <f t="shared" si="186"/>
        <v/>
      </c>
      <c r="D322" s="237" t="str">
        <f t="shared" si="197"/>
        <v/>
      </c>
      <c r="E322" s="237" t="str">
        <f>IF($C322="", "", COUNTIF($M$8:$M322,$D322))</f>
        <v/>
      </c>
      <c r="F322" s="238">
        <v>315</v>
      </c>
      <c r="G322" s="239"/>
      <c r="H322" s="240"/>
      <c r="I322" s="240"/>
      <c r="J322" s="241"/>
      <c r="K322" s="240"/>
      <c r="L322" s="240"/>
      <c r="M322" s="240"/>
      <c r="N322" s="242"/>
      <c r="O322" s="243"/>
      <c r="P322" s="243"/>
      <c r="Q322" s="243"/>
      <c r="R322" s="243"/>
      <c r="S322" s="243"/>
      <c r="T322" s="245"/>
      <c r="U322" s="246" t="str">
        <f>IF($T322="", "", VLOOKUP($T322, CONTRATOS!$B:$E, 2, FALSE))</f>
        <v/>
      </c>
      <c r="V322" s="247">
        <f>IF(OR($T322="",TB_DEFESA!$C$2="Criação Baseline"),0,
   IF(VLOOKUP($T322, CONTRATOS!B:E, 3, FALSE)&lt;&gt;"",1,IF(VLOOKUP($T322, CONTRATOS!B:E, 4, FALSE)&lt;&gt;"",2,0)))</f>
        <v>0</v>
      </c>
      <c r="W322" s="248"/>
      <c r="X322" s="248"/>
      <c r="Y322" s="249"/>
      <c r="Z322" s="250"/>
      <c r="AA322" s="251"/>
      <c r="AB322" s="252"/>
      <c r="AC322" s="253"/>
      <c r="AD322" s="251"/>
      <c r="AE322" s="254" t="str">
        <f t="shared" si="187"/>
        <v/>
      </c>
      <c r="AF322" s="256" t="str">
        <f t="shared" si="198"/>
        <v/>
      </c>
      <c r="AG322" s="293" t="s">
        <v>62</v>
      </c>
      <c r="AH322" s="294" t="str">
        <f t="shared" si="199"/>
        <v/>
      </c>
      <c r="AI322" s="294" t="str">
        <f t="shared" si="200"/>
        <v/>
      </c>
      <c r="AJ322" s="295" t="str">
        <f t="shared" si="201"/>
        <v/>
      </c>
      <c r="AK322" s="296" t="str">
        <f t="shared" si="202"/>
        <v/>
      </c>
      <c r="AL322" s="297" t="str">
        <f t="shared" si="203"/>
        <v/>
      </c>
      <c r="AM322" s="294" t="str">
        <f t="shared" si="204"/>
        <v/>
      </c>
      <c r="AN322" s="294" t="str">
        <f t="shared" si="205"/>
        <v/>
      </c>
      <c r="AO322" s="298" t="str">
        <f t="shared" si="206"/>
        <v/>
      </c>
      <c r="AP322" s="299" t="str">
        <f t="shared" si="207"/>
        <v/>
      </c>
      <c r="AQ322" s="299" t="str">
        <f t="shared" si="208"/>
        <v/>
      </c>
      <c r="AR322" s="300" t="str">
        <f t="shared" si="188"/>
        <v/>
      </c>
      <c r="AS322" s="300" t="str">
        <f t="shared" si="189"/>
        <v/>
      </c>
      <c r="AT322" s="294" t="str">
        <f t="shared" si="190"/>
        <v/>
      </c>
      <c r="AU322" s="301" t="str">
        <f>IF(OR($B322="", $AP322= ""),"",IF(VLOOKUP($AP322, CONTRATOS!B:K,3,FALSE)="","",VLOOKUP($AP322, CONTRATOS!B:K, 3,FALSE)))</f>
        <v/>
      </c>
      <c r="AV322" s="301" t="str">
        <f>IF(OR($B322="", $AP322 = ""), "", IF(VLOOKUP($AP322, CONTRATOS!B:K,4,FALSE)="","",VLOOKUP($AP322, CONTRATOS!B:K,4, FALSE)))</f>
        <v/>
      </c>
      <c r="AW322" s="302" t="str">
        <f t="shared" si="191"/>
        <v/>
      </c>
      <c r="AX322" s="301" t="str">
        <f t="shared" si="192"/>
        <v/>
      </c>
      <c r="AY322" s="301" t="str">
        <f t="shared" si="193"/>
        <v/>
      </c>
      <c r="AZ322" s="301" t="str">
        <f t="shared" si="194"/>
        <v/>
      </c>
      <c r="BA322" s="301" t="str">
        <f t="shared" si="195"/>
        <v/>
      </c>
      <c r="BB322" s="303">
        <f t="shared" si="209"/>
        <v>0</v>
      </c>
      <c r="BC322" s="303" t="str">
        <f t="shared" si="210"/>
        <v/>
      </c>
      <c r="BD322" s="303" t="str">
        <f t="shared" si="211"/>
        <v/>
      </c>
      <c r="BF322" s="304">
        <f t="shared" si="212"/>
        <v>0</v>
      </c>
      <c r="BG322" s="304">
        <f t="shared" si="213"/>
        <v>0</v>
      </c>
      <c r="BH322" s="304" t="str">
        <f>IF( $B322="", "", IF(ISNA(VLOOKUP($C322, Defesa!$C$8:$C$30,1,FALSE)),1,0))</f>
        <v/>
      </c>
      <c r="BI322" s="305" t="str">
        <f t="shared" si="214"/>
        <v/>
      </c>
      <c r="BJ322" s="305" t="str">
        <f t="shared" si="215"/>
        <v/>
      </c>
      <c r="BK322" s="304" t="str">
        <f t="shared" si="216"/>
        <v/>
      </c>
      <c r="BL322" s="304">
        <f t="shared" si="217"/>
        <v>0</v>
      </c>
      <c r="BM322" s="304" t="str">
        <f>IF($AC322="", "", IF(ISNA(VLOOKUP($AC322, TABELAS!$Q:$Q, 1, FALSE)), 1, 0))</f>
        <v/>
      </c>
      <c r="BN322" s="306" t="str">
        <f t="shared" si="218"/>
        <v/>
      </c>
      <c r="BO322" s="304" t="str">
        <f t="shared" si="219"/>
        <v/>
      </c>
      <c r="BP322" s="304" t="str">
        <f t="shared" si="220"/>
        <v/>
      </c>
      <c r="BQ322" s="305" t="str">
        <f t="shared" si="221"/>
        <v/>
      </c>
      <c r="BR322" s="304" t="str">
        <f t="shared" si="222"/>
        <v/>
      </c>
      <c r="BS322" s="304" t="str">
        <f t="shared" si="223"/>
        <v/>
      </c>
      <c r="BT322" s="304" t="str">
        <f>IF(OR($B322="", $AH322 = "SIM"), "", IF( ISNA(VLOOKUP($AP322,#REF!, 1, FALSE)), 1, 0))</f>
        <v/>
      </c>
      <c r="BU322" s="304" t="str">
        <f t="shared" si="224"/>
        <v/>
      </c>
      <c r="BV322" s="304" t="str">
        <f>IF( $B322="", "", IF( ISNA(VLOOKUP($AN322, TABELAS!$T$2:$T$9,1,FALSE)), 1, 0))</f>
        <v/>
      </c>
      <c r="BW322" s="304" t="str">
        <f t="shared" si="225"/>
        <v/>
      </c>
      <c r="BX322" s="304" t="str">
        <f>IF( OR($B322="", $AH322 = "SIM"), "", IF( ISNA( VLOOKUP( $AQ322, SISTEMA!$B:$B, 1, FALSE)), 1, 0))</f>
        <v/>
      </c>
      <c r="BY322" s="305" t="str">
        <f t="shared" si="226"/>
        <v/>
      </c>
      <c r="BZ322" s="305" t="str">
        <f t="shared" si="227"/>
        <v/>
      </c>
      <c r="CA322" s="304" t="str">
        <f t="shared" si="228"/>
        <v/>
      </c>
      <c r="CB322" s="305" t="str">
        <f t="shared" si="229"/>
        <v/>
      </c>
      <c r="CC322" s="305" t="str">
        <f t="shared" si="230"/>
        <v/>
      </c>
      <c r="CD322" s="305" t="str">
        <f t="shared" si="231"/>
        <v/>
      </c>
    </row>
    <row r="323" spans="1:82" x14ac:dyDescent="0.2">
      <c r="A323" s="235"/>
      <c r="B323" s="236" t="str">
        <f t="shared" si="196"/>
        <v/>
      </c>
      <c r="C323" s="237" t="str">
        <f t="shared" si="186"/>
        <v/>
      </c>
      <c r="D323" s="237" t="str">
        <f t="shared" si="197"/>
        <v/>
      </c>
      <c r="E323" s="237" t="str">
        <f>IF($C323="", "", COUNTIF($M$8:$M323,$D323))</f>
        <v/>
      </c>
      <c r="F323" s="238">
        <v>316</v>
      </c>
      <c r="G323" s="239"/>
      <c r="H323" s="240"/>
      <c r="I323" s="240"/>
      <c r="J323" s="241"/>
      <c r="K323" s="240"/>
      <c r="L323" s="240"/>
      <c r="M323" s="240"/>
      <c r="N323" s="242"/>
      <c r="O323" s="243"/>
      <c r="P323" s="243"/>
      <c r="Q323" s="243"/>
      <c r="R323" s="243"/>
      <c r="S323" s="243"/>
      <c r="T323" s="245"/>
      <c r="U323" s="246" t="str">
        <f>IF($T323="", "", VLOOKUP($T323, CONTRATOS!$B:$E, 2, FALSE))</f>
        <v/>
      </c>
      <c r="V323" s="247">
        <f>IF(OR($T323="",TB_DEFESA!$C$2="Criação Baseline"),0,
   IF(VLOOKUP($T323, CONTRATOS!B:E, 3, FALSE)&lt;&gt;"",1,IF(VLOOKUP($T323, CONTRATOS!B:E, 4, FALSE)&lt;&gt;"",2,0)))</f>
        <v>0</v>
      </c>
      <c r="W323" s="248"/>
      <c r="X323" s="248"/>
      <c r="Y323" s="249"/>
      <c r="Z323" s="250"/>
      <c r="AA323" s="251"/>
      <c r="AB323" s="252"/>
      <c r="AC323" s="253"/>
      <c r="AD323" s="251"/>
      <c r="AE323" s="254" t="str">
        <f t="shared" si="187"/>
        <v/>
      </c>
      <c r="AF323" s="256" t="str">
        <f t="shared" si="198"/>
        <v/>
      </c>
      <c r="AG323" s="293" t="s">
        <v>62</v>
      </c>
      <c r="AH323" s="294" t="str">
        <f t="shared" si="199"/>
        <v/>
      </c>
      <c r="AI323" s="294" t="str">
        <f t="shared" si="200"/>
        <v/>
      </c>
      <c r="AJ323" s="295" t="str">
        <f t="shared" si="201"/>
        <v/>
      </c>
      <c r="AK323" s="296" t="str">
        <f t="shared" si="202"/>
        <v/>
      </c>
      <c r="AL323" s="297" t="str">
        <f t="shared" si="203"/>
        <v/>
      </c>
      <c r="AM323" s="294" t="str">
        <f t="shared" si="204"/>
        <v/>
      </c>
      <c r="AN323" s="294" t="str">
        <f t="shared" si="205"/>
        <v/>
      </c>
      <c r="AO323" s="298" t="str">
        <f t="shared" si="206"/>
        <v/>
      </c>
      <c r="AP323" s="299" t="str">
        <f t="shared" si="207"/>
        <v/>
      </c>
      <c r="AQ323" s="299" t="str">
        <f t="shared" si="208"/>
        <v/>
      </c>
      <c r="AR323" s="300" t="str">
        <f t="shared" si="188"/>
        <v/>
      </c>
      <c r="AS323" s="300" t="str">
        <f t="shared" si="189"/>
        <v/>
      </c>
      <c r="AT323" s="294" t="str">
        <f t="shared" si="190"/>
        <v/>
      </c>
      <c r="AU323" s="301" t="str">
        <f>IF(OR($B323="", $AP323= ""),"",IF(VLOOKUP($AP323, CONTRATOS!B:K,3,FALSE)="","",VLOOKUP($AP323, CONTRATOS!B:K, 3,FALSE)))</f>
        <v/>
      </c>
      <c r="AV323" s="301" t="str">
        <f>IF(OR($B323="", $AP323 = ""), "", IF(VLOOKUP($AP323, CONTRATOS!B:K,4,FALSE)="","",VLOOKUP($AP323, CONTRATOS!B:K,4, FALSE)))</f>
        <v/>
      </c>
      <c r="AW323" s="302" t="str">
        <f t="shared" si="191"/>
        <v/>
      </c>
      <c r="AX323" s="301" t="str">
        <f t="shared" si="192"/>
        <v/>
      </c>
      <c r="AY323" s="301" t="str">
        <f t="shared" si="193"/>
        <v/>
      </c>
      <c r="AZ323" s="301" t="str">
        <f t="shared" si="194"/>
        <v/>
      </c>
      <c r="BA323" s="301" t="str">
        <f t="shared" si="195"/>
        <v/>
      </c>
      <c r="BB323" s="303">
        <f t="shared" si="209"/>
        <v>0</v>
      </c>
      <c r="BC323" s="303" t="str">
        <f t="shared" si="210"/>
        <v/>
      </c>
      <c r="BD323" s="303" t="str">
        <f t="shared" si="211"/>
        <v/>
      </c>
      <c r="BF323" s="304">
        <f t="shared" si="212"/>
        <v>0</v>
      </c>
      <c r="BG323" s="304">
        <f t="shared" si="213"/>
        <v>0</v>
      </c>
      <c r="BH323" s="304" t="str">
        <f>IF( $B323="", "", IF(ISNA(VLOOKUP($C323, Defesa!$C$8:$C$30,1,FALSE)),1,0))</f>
        <v/>
      </c>
      <c r="BI323" s="305" t="str">
        <f t="shared" si="214"/>
        <v/>
      </c>
      <c r="BJ323" s="305" t="str">
        <f t="shared" si="215"/>
        <v/>
      </c>
      <c r="BK323" s="304" t="str">
        <f t="shared" si="216"/>
        <v/>
      </c>
      <c r="BL323" s="304">
        <f t="shared" si="217"/>
        <v>0</v>
      </c>
      <c r="BM323" s="304" t="str">
        <f>IF($AC323="", "", IF(ISNA(VLOOKUP($AC323, TABELAS!$Q:$Q, 1, FALSE)), 1, 0))</f>
        <v/>
      </c>
      <c r="BN323" s="306" t="str">
        <f t="shared" si="218"/>
        <v/>
      </c>
      <c r="BO323" s="304" t="str">
        <f t="shared" si="219"/>
        <v/>
      </c>
      <c r="BP323" s="304" t="str">
        <f t="shared" si="220"/>
        <v/>
      </c>
      <c r="BQ323" s="305" t="str">
        <f t="shared" si="221"/>
        <v/>
      </c>
      <c r="BR323" s="304" t="str">
        <f t="shared" si="222"/>
        <v/>
      </c>
      <c r="BS323" s="304" t="str">
        <f t="shared" si="223"/>
        <v/>
      </c>
      <c r="BT323" s="304" t="str">
        <f>IF(OR($B323="", $AH323 = "SIM"), "", IF( ISNA(VLOOKUP($AP323,#REF!, 1, FALSE)), 1, 0))</f>
        <v/>
      </c>
      <c r="BU323" s="304" t="str">
        <f t="shared" si="224"/>
        <v/>
      </c>
      <c r="BV323" s="304" t="str">
        <f>IF( $B323="", "", IF( ISNA(VLOOKUP($AN323, TABELAS!$T$2:$T$9,1,FALSE)), 1, 0))</f>
        <v/>
      </c>
      <c r="BW323" s="304" t="str">
        <f t="shared" si="225"/>
        <v/>
      </c>
      <c r="BX323" s="304" t="str">
        <f>IF( OR($B323="", $AH323 = "SIM"), "", IF( ISNA( VLOOKUP( $AQ323, SISTEMA!$B:$B, 1, FALSE)), 1, 0))</f>
        <v/>
      </c>
      <c r="BY323" s="305" t="str">
        <f t="shared" si="226"/>
        <v/>
      </c>
      <c r="BZ323" s="305" t="str">
        <f t="shared" si="227"/>
        <v/>
      </c>
      <c r="CA323" s="304" t="str">
        <f t="shared" si="228"/>
        <v/>
      </c>
      <c r="CB323" s="305" t="str">
        <f t="shared" si="229"/>
        <v/>
      </c>
      <c r="CC323" s="305" t="str">
        <f t="shared" si="230"/>
        <v/>
      </c>
      <c r="CD323" s="305" t="str">
        <f t="shared" si="231"/>
        <v/>
      </c>
    </row>
    <row r="324" spans="1:82" x14ac:dyDescent="0.2">
      <c r="A324" s="235"/>
      <c r="B324" s="236" t="str">
        <f t="shared" si="196"/>
        <v/>
      </c>
      <c r="C324" s="237" t="str">
        <f t="shared" si="186"/>
        <v/>
      </c>
      <c r="D324" s="237" t="str">
        <f t="shared" si="197"/>
        <v/>
      </c>
      <c r="E324" s="237" t="str">
        <f>IF($C324="", "", COUNTIF($M$8:$M324,$D324))</f>
        <v/>
      </c>
      <c r="F324" s="238">
        <v>317</v>
      </c>
      <c r="G324" s="239"/>
      <c r="H324" s="240"/>
      <c r="I324" s="240"/>
      <c r="J324" s="241"/>
      <c r="K324" s="240"/>
      <c r="L324" s="240"/>
      <c r="M324" s="240"/>
      <c r="N324" s="242"/>
      <c r="O324" s="243"/>
      <c r="P324" s="243"/>
      <c r="Q324" s="243"/>
      <c r="R324" s="243"/>
      <c r="S324" s="243"/>
      <c r="T324" s="245"/>
      <c r="U324" s="246" t="str">
        <f>IF($T324="", "", VLOOKUP($T324, CONTRATOS!$B:$E, 2, FALSE))</f>
        <v/>
      </c>
      <c r="V324" s="247">
        <f>IF(OR($T324="",TB_DEFESA!$C$2="Criação Baseline"),0,
   IF(VLOOKUP($T324, CONTRATOS!B:E, 3, FALSE)&lt;&gt;"",1,IF(VLOOKUP($T324, CONTRATOS!B:E, 4, FALSE)&lt;&gt;"",2,0)))</f>
        <v>0</v>
      </c>
      <c r="W324" s="248"/>
      <c r="X324" s="248"/>
      <c r="Y324" s="249"/>
      <c r="Z324" s="250"/>
      <c r="AA324" s="251"/>
      <c r="AB324" s="252"/>
      <c r="AC324" s="253"/>
      <c r="AD324" s="251"/>
      <c r="AE324" s="254" t="str">
        <f t="shared" si="187"/>
        <v/>
      </c>
      <c r="AF324" s="256" t="str">
        <f t="shared" si="198"/>
        <v/>
      </c>
      <c r="AG324" s="293" t="s">
        <v>62</v>
      </c>
      <c r="AH324" s="294" t="str">
        <f t="shared" si="199"/>
        <v/>
      </c>
      <c r="AI324" s="294" t="str">
        <f t="shared" si="200"/>
        <v/>
      </c>
      <c r="AJ324" s="295" t="str">
        <f t="shared" si="201"/>
        <v/>
      </c>
      <c r="AK324" s="296" t="str">
        <f t="shared" si="202"/>
        <v/>
      </c>
      <c r="AL324" s="297" t="str">
        <f t="shared" si="203"/>
        <v/>
      </c>
      <c r="AM324" s="294" t="str">
        <f t="shared" si="204"/>
        <v/>
      </c>
      <c r="AN324" s="294" t="str">
        <f t="shared" si="205"/>
        <v/>
      </c>
      <c r="AO324" s="298" t="str">
        <f t="shared" si="206"/>
        <v/>
      </c>
      <c r="AP324" s="299" t="str">
        <f t="shared" si="207"/>
        <v/>
      </c>
      <c r="AQ324" s="299" t="str">
        <f t="shared" si="208"/>
        <v/>
      </c>
      <c r="AR324" s="300" t="str">
        <f t="shared" si="188"/>
        <v/>
      </c>
      <c r="AS324" s="300" t="str">
        <f t="shared" si="189"/>
        <v/>
      </c>
      <c r="AT324" s="294" t="str">
        <f t="shared" si="190"/>
        <v/>
      </c>
      <c r="AU324" s="301" t="str">
        <f>IF(OR($B324="", $AP324= ""),"",IF(VLOOKUP($AP324, CONTRATOS!B:K,3,FALSE)="","",VLOOKUP($AP324, CONTRATOS!B:K, 3,FALSE)))</f>
        <v/>
      </c>
      <c r="AV324" s="301" t="str">
        <f>IF(OR($B324="", $AP324 = ""), "", IF(VLOOKUP($AP324, CONTRATOS!B:K,4,FALSE)="","",VLOOKUP($AP324, CONTRATOS!B:K,4, FALSE)))</f>
        <v/>
      </c>
      <c r="AW324" s="302" t="str">
        <f t="shared" si="191"/>
        <v/>
      </c>
      <c r="AX324" s="301" t="str">
        <f t="shared" si="192"/>
        <v/>
      </c>
      <c r="AY324" s="301" t="str">
        <f t="shared" si="193"/>
        <v/>
      </c>
      <c r="AZ324" s="301" t="str">
        <f t="shared" si="194"/>
        <v/>
      </c>
      <c r="BA324" s="301" t="str">
        <f t="shared" si="195"/>
        <v/>
      </c>
      <c r="BB324" s="303">
        <f t="shared" si="209"/>
        <v>0</v>
      </c>
      <c r="BC324" s="303" t="str">
        <f t="shared" si="210"/>
        <v/>
      </c>
      <c r="BD324" s="303" t="str">
        <f t="shared" si="211"/>
        <v/>
      </c>
      <c r="BF324" s="304">
        <f t="shared" si="212"/>
        <v>0</v>
      </c>
      <c r="BG324" s="304">
        <f t="shared" si="213"/>
        <v>0</v>
      </c>
      <c r="BH324" s="304" t="str">
        <f>IF( $B324="", "", IF(ISNA(VLOOKUP($C324, Defesa!$C$8:$C$30,1,FALSE)),1,0))</f>
        <v/>
      </c>
      <c r="BI324" s="305" t="str">
        <f t="shared" si="214"/>
        <v/>
      </c>
      <c r="BJ324" s="305" t="str">
        <f t="shared" si="215"/>
        <v/>
      </c>
      <c r="BK324" s="304" t="str">
        <f t="shared" si="216"/>
        <v/>
      </c>
      <c r="BL324" s="304">
        <f t="shared" si="217"/>
        <v>0</v>
      </c>
      <c r="BM324" s="304" t="str">
        <f>IF($AC324="", "", IF(ISNA(VLOOKUP($AC324, TABELAS!$Q:$Q, 1, FALSE)), 1, 0))</f>
        <v/>
      </c>
      <c r="BN324" s="306" t="str">
        <f t="shared" si="218"/>
        <v/>
      </c>
      <c r="BO324" s="304" t="str">
        <f t="shared" si="219"/>
        <v/>
      </c>
      <c r="BP324" s="304" t="str">
        <f t="shared" si="220"/>
        <v/>
      </c>
      <c r="BQ324" s="305" t="str">
        <f t="shared" si="221"/>
        <v/>
      </c>
      <c r="BR324" s="304" t="str">
        <f t="shared" si="222"/>
        <v/>
      </c>
      <c r="BS324" s="304" t="str">
        <f t="shared" si="223"/>
        <v/>
      </c>
      <c r="BT324" s="304" t="str">
        <f>IF(OR($B324="", $AH324 = "SIM"), "", IF( ISNA(VLOOKUP($AP324,#REF!, 1, FALSE)), 1, 0))</f>
        <v/>
      </c>
      <c r="BU324" s="304" t="str">
        <f t="shared" si="224"/>
        <v/>
      </c>
      <c r="BV324" s="304" t="str">
        <f>IF( $B324="", "", IF( ISNA(VLOOKUP($AN324, TABELAS!$T$2:$T$9,1,FALSE)), 1, 0))</f>
        <v/>
      </c>
      <c r="BW324" s="304" t="str">
        <f t="shared" si="225"/>
        <v/>
      </c>
      <c r="BX324" s="304" t="str">
        <f>IF( OR($B324="", $AH324 = "SIM"), "", IF( ISNA( VLOOKUP( $AQ324, SISTEMA!$B:$B, 1, FALSE)), 1, 0))</f>
        <v/>
      </c>
      <c r="BY324" s="305" t="str">
        <f t="shared" si="226"/>
        <v/>
      </c>
      <c r="BZ324" s="305" t="str">
        <f t="shared" si="227"/>
        <v/>
      </c>
      <c r="CA324" s="304" t="str">
        <f t="shared" si="228"/>
        <v/>
      </c>
      <c r="CB324" s="305" t="str">
        <f t="shared" si="229"/>
        <v/>
      </c>
      <c r="CC324" s="305" t="str">
        <f t="shared" si="230"/>
        <v/>
      </c>
      <c r="CD324" s="305" t="str">
        <f t="shared" si="231"/>
        <v/>
      </c>
    </row>
    <row r="325" spans="1:82" x14ac:dyDescent="0.2">
      <c r="A325" s="235"/>
      <c r="B325" s="236" t="str">
        <f t="shared" si="196"/>
        <v/>
      </c>
      <c r="C325" s="237" t="str">
        <f t="shared" si="186"/>
        <v/>
      </c>
      <c r="D325" s="237" t="str">
        <f t="shared" si="197"/>
        <v/>
      </c>
      <c r="E325" s="237" t="str">
        <f>IF($C325="", "", COUNTIF($M$8:$M325,$D325))</f>
        <v/>
      </c>
      <c r="F325" s="238">
        <v>318</v>
      </c>
      <c r="G325" s="239"/>
      <c r="H325" s="240"/>
      <c r="I325" s="240"/>
      <c r="J325" s="241"/>
      <c r="K325" s="240"/>
      <c r="L325" s="240"/>
      <c r="M325" s="240"/>
      <c r="N325" s="242"/>
      <c r="O325" s="243"/>
      <c r="P325" s="243"/>
      <c r="Q325" s="243"/>
      <c r="R325" s="243"/>
      <c r="S325" s="243"/>
      <c r="T325" s="245"/>
      <c r="U325" s="246" t="str">
        <f>IF($T325="", "", VLOOKUP($T325, CONTRATOS!$B:$E, 2, FALSE))</f>
        <v/>
      </c>
      <c r="V325" s="247">
        <f>IF(OR($T325="",TB_DEFESA!$C$2="Criação Baseline"),0,
   IF(VLOOKUP($T325, CONTRATOS!B:E, 3, FALSE)&lt;&gt;"",1,IF(VLOOKUP($T325, CONTRATOS!B:E, 4, FALSE)&lt;&gt;"",2,0)))</f>
        <v>0</v>
      </c>
      <c r="W325" s="248"/>
      <c r="X325" s="248"/>
      <c r="Y325" s="249"/>
      <c r="Z325" s="250"/>
      <c r="AA325" s="251"/>
      <c r="AB325" s="252"/>
      <c r="AC325" s="253"/>
      <c r="AD325" s="251"/>
      <c r="AE325" s="254" t="str">
        <f t="shared" si="187"/>
        <v/>
      </c>
      <c r="AF325" s="256" t="str">
        <f t="shared" si="198"/>
        <v/>
      </c>
      <c r="AG325" s="293" t="s">
        <v>62</v>
      </c>
      <c r="AH325" s="294" t="str">
        <f t="shared" si="199"/>
        <v/>
      </c>
      <c r="AI325" s="294" t="str">
        <f t="shared" si="200"/>
        <v/>
      </c>
      <c r="AJ325" s="295" t="str">
        <f t="shared" si="201"/>
        <v/>
      </c>
      <c r="AK325" s="296" t="str">
        <f t="shared" si="202"/>
        <v/>
      </c>
      <c r="AL325" s="297" t="str">
        <f t="shared" si="203"/>
        <v/>
      </c>
      <c r="AM325" s="294" t="str">
        <f t="shared" si="204"/>
        <v/>
      </c>
      <c r="AN325" s="294" t="str">
        <f t="shared" si="205"/>
        <v/>
      </c>
      <c r="AO325" s="298" t="str">
        <f t="shared" si="206"/>
        <v/>
      </c>
      <c r="AP325" s="299" t="str">
        <f t="shared" si="207"/>
        <v/>
      </c>
      <c r="AQ325" s="299" t="str">
        <f t="shared" si="208"/>
        <v/>
      </c>
      <c r="AR325" s="300" t="str">
        <f t="shared" si="188"/>
        <v/>
      </c>
      <c r="AS325" s="300" t="str">
        <f t="shared" si="189"/>
        <v/>
      </c>
      <c r="AT325" s="294" t="str">
        <f t="shared" si="190"/>
        <v/>
      </c>
      <c r="AU325" s="301" t="str">
        <f>IF(OR($B325="", $AP325= ""),"",IF(VLOOKUP($AP325, CONTRATOS!B:K,3,FALSE)="","",VLOOKUP($AP325, CONTRATOS!B:K, 3,FALSE)))</f>
        <v/>
      </c>
      <c r="AV325" s="301" t="str">
        <f>IF(OR($B325="", $AP325 = ""), "", IF(VLOOKUP($AP325, CONTRATOS!B:K,4,FALSE)="","",VLOOKUP($AP325, CONTRATOS!B:K,4, FALSE)))</f>
        <v/>
      </c>
      <c r="AW325" s="302" t="str">
        <f t="shared" si="191"/>
        <v/>
      </c>
      <c r="AX325" s="301" t="str">
        <f t="shared" si="192"/>
        <v/>
      </c>
      <c r="AY325" s="301" t="str">
        <f t="shared" si="193"/>
        <v/>
      </c>
      <c r="AZ325" s="301" t="str">
        <f t="shared" si="194"/>
        <v/>
      </c>
      <c r="BA325" s="301" t="str">
        <f t="shared" si="195"/>
        <v/>
      </c>
      <c r="BB325" s="303">
        <f t="shared" si="209"/>
        <v>0</v>
      </c>
      <c r="BC325" s="303" t="str">
        <f t="shared" si="210"/>
        <v/>
      </c>
      <c r="BD325" s="303" t="str">
        <f t="shared" si="211"/>
        <v/>
      </c>
      <c r="BF325" s="304">
        <f t="shared" si="212"/>
        <v>0</v>
      </c>
      <c r="BG325" s="304">
        <f t="shared" si="213"/>
        <v>0</v>
      </c>
      <c r="BH325" s="304" t="str">
        <f>IF( $B325="", "", IF(ISNA(VLOOKUP($C325, Defesa!$C$8:$C$30,1,FALSE)),1,0))</f>
        <v/>
      </c>
      <c r="BI325" s="305" t="str">
        <f t="shared" si="214"/>
        <v/>
      </c>
      <c r="BJ325" s="305" t="str">
        <f t="shared" si="215"/>
        <v/>
      </c>
      <c r="BK325" s="304" t="str">
        <f t="shared" si="216"/>
        <v/>
      </c>
      <c r="BL325" s="304">
        <f t="shared" si="217"/>
        <v>0</v>
      </c>
      <c r="BM325" s="304" t="str">
        <f>IF($AC325="", "", IF(ISNA(VLOOKUP($AC325, TABELAS!$Q:$Q, 1, FALSE)), 1, 0))</f>
        <v/>
      </c>
      <c r="BN325" s="306" t="str">
        <f t="shared" si="218"/>
        <v/>
      </c>
      <c r="BO325" s="304" t="str">
        <f t="shared" si="219"/>
        <v/>
      </c>
      <c r="BP325" s="304" t="str">
        <f t="shared" si="220"/>
        <v/>
      </c>
      <c r="BQ325" s="305" t="str">
        <f t="shared" si="221"/>
        <v/>
      </c>
      <c r="BR325" s="304" t="str">
        <f t="shared" si="222"/>
        <v/>
      </c>
      <c r="BS325" s="304" t="str">
        <f t="shared" si="223"/>
        <v/>
      </c>
      <c r="BT325" s="304" t="str">
        <f>IF(OR($B325="", $AH325 = "SIM"), "", IF( ISNA(VLOOKUP($AP325,#REF!, 1, FALSE)), 1, 0))</f>
        <v/>
      </c>
      <c r="BU325" s="304" t="str">
        <f t="shared" si="224"/>
        <v/>
      </c>
      <c r="BV325" s="304" t="str">
        <f>IF( $B325="", "", IF( ISNA(VLOOKUP($AN325, TABELAS!$T$2:$T$9,1,FALSE)), 1, 0))</f>
        <v/>
      </c>
      <c r="BW325" s="304" t="str">
        <f t="shared" si="225"/>
        <v/>
      </c>
      <c r="BX325" s="304" t="str">
        <f>IF( OR($B325="", $AH325 = "SIM"), "", IF( ISNA( VLOOKUP( $AQ325, SISTEMA!$B:$B, 1, FALSE)), 1, 0))</f>
        <v/>
      </c>
      <c r="BY325" s="305" t="str">
        <f t="shared" si="226"/>
        <v/>
      </c>
      <c r="BZ325" s="305" t="str">
        <f t="shared" si="227"/>
        <v/>
      </c>
      <c r="CA325" s="304" t="str">
        <f t="shared" si="228"/>
        <v/>
      </c>
      <c r="CB325" s="305" t="str">
        <f t="shared" si="229"/>
        <v/>
      </c>
      <c r="CC325" s="305" t="str">
        <f t="shared" si="230"/>
        <v/>
      </c>
      <c r="CD325" s="305" t="str">
        <f t="shared" si="231"/>
        <v/>
      </c>
    </row>
    <row r="326" spans="1:82" x14ac:dyDescent="0.2">
      <c r="A326" s="235"/>
      <c r="B326" s="236" t="str">
        <f t="shared" si="196"/>
        <v/>
      </c>
      <c r="C326" s="237" t="str">
        <f t="shared" si="186"/>
        <v/>
      </c>
      <c r="D326" s="237" t="str">
        <f t="shared" si="197"/>
        <v/>
      </c>
      <c r="E326" s="237" t="str">
        <f>IF($C326="", "", COUNTIF($M$8:$M326,$D326))</f>
        <v/>
      </c>
      <c r="F326" s="238">
        <v>319</v>
      </c>
      <c r="G326" s="239"/>
      <c r="H326" s="240"/>
      <c r="I326" s="240"/>
      <c r="J326" s="241"/>
      <c r="K326" s="240"/>
      <c r="L326" s="240"/>
      <c r="M326" s="240"/>
      <c r="N326" s="242"/>
      <c r="O326" s="243"/>
      <c r="P326" s="243"/>
      <c r="Q326" s="243"/>
      <c r="R326" s="243"/>
      <c r="S326" s="243"/>
      <c r="T326" s="245"/>
      <c r="U326" s="246" t="str">
        <f>IF($T326="", "", VLOOKUP($T326, CONTRATOS!$B:$E, 2, FALSE))</f>
        <v/>
      </c>
      <c r="V326" s="247">
        <f>IF(OR($T326="",TB_DEFESA!$C$2="Criação Baseline"),0,
   IF(VLOOKUP($T326, CONTRATOS!B:E, 3, FALSE)&lt;&gt;"",1,IF(VLOOKUP($T326, CONTRATOS!B:E, 4, FALSE)&lt;&gt;"",2,0)))</f>
        <v>0</v>
      </c>
      <c r="W326" s="248"/>
      <c r="X326" s="248"/>
      <c r="Y326" s="249"/>
      <c r="Z326" s="250"/>
      <c r="AA326" s="251"/>
      <c r="AB326" s="252"/>
      <c r="AC326" s="253"/>
      <c r="AD326" s="251"/>
      <c r="AE326" s="254" t="str">
        <f t="shared" si="187"/>
        <v/>
      </c>
      <c r="AF326" s="256" t="str">
        <f t="shared" si="198"/>
        <v/>
      </c>
      <c r="AG326" s="293" t="s">
        <v>62</v>
      </c>
      <c r="AH326" s="294" t="str">
        <f t="shared" si="199"/>
        <v/>
      </c>
      <c r="AI326" s="294" t="str">
        <f t="shared" si="200"/>
        <v/>
      </c>
      <c r="AJ326" s="295" t="str">
        <f t="shared" si="201"/>
        <v/>
      </c>
      <c r="AK326" s="296" t="str">
        <f t="shared" si="202"/>
        <v/>
      </c>
      <c r="AL326" s="297" t="str">
        <f t="shared" si="203"/>
        <v/>
      </c>
      <c r="AM326" s="294" t="str">
        <f t="shared" si="204"/>
        <v/>
      </c>
      <c r="AN326" s="294" t="str">
        <f t="shared" si="205"/>
        <v/>
      </c>
      <c r="AO326" s="298" t="str">
        <f t="shared" si="206"/>
        <v/>
      </c>
      <c r="AP326" s="299" t="str">
        <f t="shared" si="207"/>
        <v/>
      </c>
      <c r="AQ326" s="299" t="str">
        <f t="shared" si="208"/>
        <v/>
      </c>
      <c r="AR326" s="300" t="str">
        <f t="shared" si="188"/>
        <v/>
      </c>
      <c r="AS326" s="300" t="str">
        <f t="shared" si="189"/>
        <v/>
      </c>
      <c r="AT326" s="294" t="str">
        <f t="shared" si="190"/>
        <v/>
      </c>
      <c r="AU326" s="301" t="str">
        <f>IF(OR($B326="", $AP326= ""),"",IF(VLOOKUP($AP326, CONTRATOS!B:K,3,FALSE)="","",VLOOKUP($AP326, CONTRATOS!B:K, 3,FALSE)))</f>
        <v/>
      </c>
      <c r="AV326" s="301" t="str">
        <f>IF(OR($B326="", $AP326 = ""), "", IF(VLOOKUP($AP326, CONTRATOS!B:K,4,FALSE)="","",VLOOKUP($AP326, CONTRATOS!B:K,4, FALSE)))</f>
        <v/>
      </c>
      <c r="AW326" s="302" t="str">
        <f t="shared" si="191"/>
        <v/>
      </c>
      <c r="AX326" s="301" t="str">
        <f t="shared" si="192"/>
        <v/>
      </c>
      <c r="AY326" s="301" t="str">
        <f t="shared" si="193"/>
        <v/>
      </c>
      <c r="AZ326" s="301" t="str">
        <f t="shared" si="194"/>
        <v/>
      </c>
      <c r="BA326" s="301" t="str">
        <f t="shared" si="195"/>
        <v/>
      </c>
      <c r="BB326" s="303">
        <f t="shared" si="209"/>
        <v>0</v>
      </c>
      <c r="BC326" s="303" t="str">
        <f t="shared" si="210"/>
        <v/>
      </c>
      <c r="BD326" s="303" t="str">
        <f t="shared" si="211"/>
        <v/>
      </c>
      <c r="BF326" s="304">
        <f t="shared" si="212"/>
        <v>0</v>
      </c>
      <c r="BG326" s="304">
        <f t="shared" si="213"/>
        <v>0</v>
      </c>
      <c r="BH326" s="304" t="str">
        <f>IF( $B326="", "", IF(ISNA(VLOOKUP($C326, Defesa!$C$8:$C$30,1,FALSE)),1,0))</f>
        <v/>
      </c>
      <c r="BI326" s="305" t="str">
        <f t="shared" si="214"/>
        <v/>
      </c>
      <c r="BJ326" s="305" t="str">
        <f t="shared" si="215"/>
        <v/>
      </c>
      <c r="BK326" s="304" t="str">
        <f t="shared" si="216"/>
        <v/>
      </c>
      <c r="BL326" s="304">
        <f t="shared" si="217"/>
        <v>0</v>
      </c>
      <c r="BM326" s="304" t="str">
        <f>IF($AC326="", "", IF(ISNA(VLOOKUP($AC326, TABELAS!$Q:$Q, 1, FALSE)), 1, 0))</f>
        <v/>
      </c>
      <c r="BN326" s="306" t="str">
        <f t="shared" si="218"/>
        <v/>
      </c>
      <c r="BO326" s="304" t="str">
        <f t="shared" si="219"/>
        <v/>
      </c>
      <c r="BP326" s="304" t="str">
        <f t="shared" si="220"/>
        <v/>
      </c>
      <c r="BQ326" s="305" t="str">
        <f t="shared" si="221"/>
        <v/>
      </c>
      <c r="BR326" s="304" t="str">
        <f t="shared" si="222"/>
        <v/>
      </c>
      <c r="BS326" s="304" t="str">
        <f t="shared" si="223"/>
        <v/>
      </c>
      <c r="BT326" s="304" t="str">
        <f>IF(OR($B326="", $AH326 = "SIM"), "", IF( ISNA(VLOOKUP($AP326,#REF!, 1, FALSE)), 1, 0))</f>
        <v/>
      </c>
      <c r="BU326" s="304" t="str">
        <f t="shared" si="224"/>
        <v/>
      </c>
      <c r="BV326" s="304" t="str">
        <f>IF( $B326="", "", IF( ISNA(VLOOKUP($AN326, TABELAS!$T$2:$T$9,1,FALSE)), 1, 0))</f>
        <v/>
      </c>
      <c r="BW326" s="304" t="str">
        <f t="shared" si="225"/>
        <v/>
      </c>
      <c r="BX326" s="304" t="str">
        <f>IF( OR($B326="", $AH326 = "SIM"), "", IF( ISNA( VLOOKUP( $AQ326, SISTEMA!$B:$B, 1, FALSE)), 1, 0))</f>
        <v/>
      </c>
      <c r="BY326" s="305" t="str">
        <f t="shared" si="226"/>
        <v/>
      </c>
      <c r="BZ326" s="305" t="str">
        <f t="shared" si="227"/>
        <v/>
      </c>
      <c r="CA326" s="304" t="str">
        <f t="shared" si="228"/>
        <v/>
      </c>
      <c r="CB326" s="305" t="str">
        <f t="shared" si="229"/>
        <v/>
      </c>
      <c r="CC326" s="305" t="str">
        <f t="shared" si="230"/>
        <v/>
      </c>
      <c r="CD326" s="305" t="str">
        <f t="shared" si="231"/>
        <v/>
      </c>
    </row>
    <row r="327" spans="1:82" x14ac:dyDescent="0.2">
      <c r="A327" s="235"/>
      <c r="B327" s="236" t="str">
        <f t="shared" si="196"/>
        <v/>
      </c>
      <c r="C327" s="237" t="str">
        <f t="shared" si="186"/>
        <v/>
      </c>
      <c r="D327" s="237" t="str">
        <f t="shared" si="197"/>
        <v/>
      </c>
      <c r="E327" s="237" t="str">
        <f>IF($C327="", "", COUNTIF($M$8:$M327,$D327))</f>
        <v/>
      </c>
      <c r="F327" s="238">
        <v>320</v>
      </c>
      <c r="G327" s="239"/>
      <c r="H327" s="240"/>
      <c r="I327" s="240"/>
      <c r="J327" s="241"/>
      <c r="K327" s="240"/>
      <c r="L327" s="240"/>
      <c r="M327" s="240"/>
      <c r="N327" s="242"/>
      <c r="O327" s="243"/>
      <c r="P327" s="243"/>
      <c r="Q327" s="243"/>
      <c r="R327" s="243"/>
      <c r="S327" s="243"/>
      <c r="T327" s="245"/>
      <c r="U327" s="246" t="str">
        <f>IF($T327="", "", VLOOKUP($T327, CONTRATOS!$B:$E, 2, FALSE))</f>
        <v/>
      </c>
      <c r="V327" s="247">
        <f>IF(OR($T327="",TB_DEFESA!$C$2="Criação Baseline"),0,
   IF(VLOOKUP($T327, CONTRATOS!B:E, 3, FALSE)&lt;&gt;"",1,IF(VLOOKUP($T327, CONTRATOS!B:E, 4, FALSE)&lt;&gt;"",2,0)))</f>
        <v>0</v>
      </c>
      <c r="W327" s="248"/>
      <c r="X327" s="248"/>
      <c r="Y327" s="249"/>
      <c r="Z327" s="250"/>
      <c r="AA327" s="251"/>
      <c r="AB327" s="252"/>
      <c r="AC327" s="253"/>
      <c r="AD327" s="251"/>
      <c r="AE327" s="254" t="str">
        <f t="shared" si="187"/>
        <v/>
      </c>
      <c r="AF327" s="256" t="str">
        <f t="shared" si="198"/>
        <v/>
      </c>
      <c r="AG327" s="293" t="s">
        <v>62</v>
      </c>
      <c r="AH327" s="294" t="str">
        <f t="shared" si="199"/>
        <v/>
      </c>
      <c r="AI327" s="294" t="str">
        <f t="shared" si="200"/>
        <v/>
      </c>
      <c r="AJ327" s="295" t="str">
        <f t="shared" si="201"/>
        <v/>
      </c>
      <c r="AK327" s="296" t="str">
        <f t="shared" si="202"/>
        <v/>
      </c>
      <c r="AL327" s="297" t="str">
        <f t="shared" si="203"/>
        <v/>
      </c>
      <c r="AM327" s="294" t="str">
        <f t="shared" si="204"/>
        <v/>
      </c>
      <c r="AN327" s="294" t="str">
        <f t="shared" si="205"/>
        <v/>
      </c>
      <c r="AO327" s="298" t="str">
        <f t="shared" si="206"/>
        <v/>
      </c>
      <c r="AP327" s="299" t="str">
        <f t="shared" si="207"/>
        <v/>
      </c>
      <c r="AQ327" s="299" t="str">
        <f t="shared" si="208"/>
        <v/>
      </c>
      <c r="AR327" s="300" t="str">
        <f t="shared" si="188"/>
        <v/>
      </c>
      <c r="AS327" s="300" t="str">
        <f t="shared" si="189"/>
        <v/>
      </c>
      <c r="AT327" s="294" t="str">
        <f t="shared" si="190"/>
        <v/>
      </c>
      <c r="AU327" s="301" t="str">
        <f>IF(OR($B327="", $AP327= ""),"",IF(VLOOKUP($AP327, CONTRATOS!B:K,3,FALSE)="","",VLOOKUP($AP327, CONTRATOS!B:K, 3,FALSE)))</f>
        <v/>
      </c>
      <c r="AV327" s="301" t="str">
        <f>IF(OR($B327="", $AP327 = ""), "", IF(VLOOKUP($AP327, CONTRATOS!B:K,4,FALSE)="","",VLOOKUP($AP327, CONTRATOS!B:K,4, FALSE)))</f>
        <v/>
      </c>
      <c r="AW327" s="302" t="str">
        <f t="shared" si="191"/>
        <v/>
      </c>
      <c r="AX327" s="301" t="str">
        <f t="shared" si="192"/>
        <v/>
      </c>
      <c r="AY327" s="301" t="str">
        <f t="shared" si="193"/>
        <v/>
      </c>
      <c r="AZ327" s="301" t="str">
        <f t="shared" si="194"/>
        <v/>
      </c>
      <c r="BA327" s="301" t="str">
        <f t="shared" si="195"/>
        <v/>
      </c>
      <c r="BB327" s="303">
        <f t="shared" si="209"/>
        <v>0</v>
      </c>
      <c r="BC327" s="303" t="str">
        <f t="shared" si="210"/>
        <v/>
      </c>
      <c r="BD327" s="303" t="str">
        <f t="shared" si="211"/>
        <v/>
      </c>
      <c r="BF327" s="304">
        <f t="shared" si="212"/>
        <v>0</v>
      </c>
      <c r="BG327" s="304">
        <f t="shared" si="213"/>
        <v>0</v>
      </c>
      <c r="BH327" s="304" t="str">
        <f>IF( $B327="", "", IF(ISNA(VLOOKUP($C327, Defesa!$C$8:$C$30,1,FALSE)),1,0))</f>
        <v/>
      </c>
      <c r="BI327" s="305" t="str">
        <f t="shared" si="214"/>
        <v/>
      </c>
      <c r="BJ327" s="305" t="str">
        <f t="shared" si="215"/>
        <v/>
      </c>
      <c r="BK327" s="304" t="str">
        <f t="shared" si="216"/>
        <v/>
      </c>
      <c r="BL327" s="304">
        <f t="shared" si="217"/>
        <v>0</v>
      </c>
      <c r="BM327" s="304" t="str">
        <f>IF($AC327="", "", IF(ISNA(VLOOKUP($AC327, TABELAS!$Q:$Q, 1, FALSE)), 1, 0))</f>
        <v/>
      </c>
      <c r="BN327" s="306" t="str">
        <f t="shared" si="218"/>
        <v/>
      </c>
      <c r="BO327" s="304" t="str">
        <f t="shared" si="219"/>
        <v/>
      </c>
      <c r="BP327" s="304" t="str">
        <f t="shared" si="220"/>
        <v/>
      </c>
      <c r="BQ327" s="305" t="str">
        <f t="shared" si="221"/>
        <v/>
      </c>
      <c r="BR327" s="304" t="str">
        <f t="shared" si="222"/>
        <v/>
      </c>
      <c r="BS327" s="304" t="str">
        <f t="shared" si="223"/>
        <v/>
      </c>
      <c r="BT327" s="304" t="str">
        <f>IF(OR($B327="", $AH327 = "SIM"), "", IF( ISNA(VLOOKUP($AP327,#REF!, 1, FALSE)), 1, 0))</f>
        <v/>
      </c>
      <c r="BU327" s="304" t="str">
        <f t="shared" si="224"/>
        <v/>
      </c>
      <c r="BV327" s="304" t="str">
        <f>IF( $B327="", "", IF( ISNA(VLOOKUP($AN327, TABELAS!$T$2:$T$9,1,FALSE)), 1, 0))</f>
        <v/>
      </c>
      <c r="BW327" s="304" t="str">
        <f t="shared" si="225"/>
        <v/>
      </c>
      <c r="BX327" s="304" t="str">
        <f>IF( OR($B327="", $AH327 = "SIM"), "", IF( ISNA( VLOOKUP( $AQ327, SISTEMA!$B:$B, 1, FALSE)), 1, 0))</f>
        <v/>
      </c>
      <c r="BY327" s="305" t="str">
        <f t="shared" si="226"/>
        <v/>
      </c>
      <c r="BZ327" s="305" t="str">
        <f t="shared" si="227"/>
        <v/>
      </c>
      <c r="CA327" s="304" t="str">
        <f t="shared" si="228"/>
        <v/>
      </c>
      <c r="CB327" s="305" t="str">
        <f t="shared" si="229"/>
        <v/>
      </c>
      <c r="CC327" s="305" t="str">
        <f t="shared" si="230"/>
        <v/>
      </c>
      <c r="CD327" s="305" t="str">
        <f t="shared" si="231"/>
        <v/>
      </c>
    </row>
    <row r="328" spans="1:82" x14ac:dyDescent="0.2">
      <c r="A328" s="235"/>
      <c r="B328" s="236" t="str">
        <f t="shared" si="196"/>
        <v/>
      </c>
      <c r="C328" s="237" t="str">
        <f t="shared" ref="C328:C391" si="232">IF($K328&lt;&gt;"",$K328, IF($AB328 = "", "", $C327))</f>
        <v/>
      </c>
      <c r="D328" s="237" t="str">
        <f t="shared" si="197"/>
        <v/>
      </c>
      <c r="E328" s="237" t="str">
        <f>IF($C328="", "", COUNTIF($M$8:$M328,$D328))</f>
        <v/>
      </c>
      <c r="F328" s="238">
        <v>321</v>
      </c>
      <c r="G328" s="239"/>
      <c r="H328" s="240"/>
      <c r="I328" s="240"/>
      <c r="J328" s="241"/>
      <c r="K328" s="240"/>
      <c r="L328" s="240"/>
      <c r="M328" s="240"/>
      <c r="N328" s="242"/>
      <c r="O328" s="243"/>
      <c r="P328" s="243"/>
      <c r="Q328" s="243"/>
      <c r="R328" s="243"/>
      <c r="S328" s="243"/>
      <c r="T328" s="245"/>
      <c r="U328" s="246" t="str">
        <f>IF($T328="", "", VLOOKUP($T328, CONTRATOS!$B:$E, 2, FALSE))</f>
        <v/>
      </c>
      <c r="V328" s="247">
        <f>IF(OR($T328="",TB_DEFESA!$C$2="Criação Baseline"),0,
   IF(VLOOKUP($T328, CONTRATOS!B:E, 3, FALSE)&lt;&gt;"",1,IF(VLOOKUP($T328, CONTRATOS!B:E, 4, FALSE)&lt;&gt;"",2,0)))</f>
        <v>0</v>
      </c>
      <c r="W328" s="248"/>
      <c r="X328" s="248"/>
      <c r="Y328" s="249"/>
      <c r="Z328" s="250"/>
      <c r="AA328" s="251"/>
      <c r="AB328" s="252"/>
      <c r="AC328" s="253"/>
      <c r="AD328" s="251"/>
      <c r="AE328" s="254" t="str">
        <f t="shared" ref="AE328:AE391" si="233">IF(AT328="","",IF(V328=1,1,IF(AT328=0,0,AD328/AT328)))</f>
        <v/>
      </c>
      <c r="AF328" s="256" t="str">
        <f t="shared" si="198"/>
        <v/>
      </c>
      <c r="AG328" s="293" t="s">
        <v>62</v>
      </c>
      <c r="AH328" s="294" t="str">
        <f t="shared" si="199"/>
        <v/>
      </c>
      <c r="AI328" s="294" t="str">
        <f t="shared" si="200"/>
        <v/>
      </c>
      <c r="AJ328" s="295" t="str">
        <f t="shared" si="201"/>
        <v/>
      </c>
      <c r="AK328" s="296" t="str">
        <f t="shared" si="202"/>
        <v/>
      </c>
      <c r="AL328" s="297" t="str">
        <f t="shared" si="203"/>
        <v/>
      </c>
      <c r="AM328" s="294" t="str">
        <f t="shared" si="204"/>
        <v/>
      </c>
      <c r="AN328" s="294" t="str">
        <f t="shared" si="205"/>
        <v/>
      </c>
      <c r="AO328" s="298" t="str">
        <f t="shared" si="206"/>
        <v/>
      </c>
      <c r="AP328" s="299" t="str">
        <f t="shared" si="207"/>
        <v/>
      </c>
      <c r="AQ328" s="299" t="str">
        <f t="shared" si="208"/>
        <v/>
      </c>
      <c r="AR328" s="300" t="str">
        <f t="shared" ref="AR328:AR391" si="234">IF($B328 = "", "",  IF($Y328= "", IF(ISNUMBER($AR327), $AR327, 0), $Y328))</f>
        <v/>
      </c>
      <c r="AS328" s="300" t="str">
        <f t="shared" ref="AS328:AS391" si="235">IF($B328 = "", "",  IF($Z328= "", IF(ISNUMBER($AS327), $AS327, 0), $Z328))</f>
        <v/>
      </c>
      <c r="AT328" s="294" t="str">
        <f t="shared" ref="AT328:AT391" si="236">IF($B328="", "", IF($AA328=0, $AT327, $AA328))</f>
        <v/>
      </c>
      <c r="AU328" s="301" t="str">
        <f>IF(OR($B328="", $AP328= ""),"",IF(VLOOKUP($AP328, CONTRATOS!B:K,3,FALSE)="","",VLOOKUP($AP328, CONTRATOS!B:K, 3,FALSE)))</f>
        <v/>
      </c>
      <c r="AV328" s="301" t="str">
        <f>IF(OR($B328="", $AP328 = ""), "", IF(VLOOKUP($AP328, CONTRATOS!B:K,4,FALSE)="","",VLOOKUP($AP328, CONTRATOS!B:K,4, FALSE)))</f>
        <v/>
      </c>
      <c r="AW328" s="302" t="str">
        <f t="shared" ref="AW328:AW391" si="237">IF($B328="", "", IF($V328=1, 1, IF( OR($AT328 = "", $AT328=0), 0, $AD328/$AT328)))</f>
        <v/>
      </c>
      <c r="AX328" s="301" t="str">
        <f t="shared" ref="AX328:AX391" si="238">IF( $B328="", "", IF( $K328="",$AX327, IF($S328 = "", "", $S328)))</f>
        <v/>
      </c>
      <c r="AY328" s="301" t="str">
        <f t="shared" ref="AY328:AY391" si="239">IF( $B328="", "", IF( $K328="",$AY327, IF($P328 = "", "", $P328)))</f>
        <v/>
      </c>
      <c r="AZ328" s="301" t="str">
        <f t="shared" ref="AZ328:AZ391" si="240">IF( $B328="", "", IF( $K328="",$AZ327, IF($Q328 = "", "", $Q328)))</f>
        <v/>
      </c>
      <c r="BA328" s="301" t="str">
        <f t="shared" ref="BA328:BA391" si="241">IF( $B328="", "", IF( $K328="",$BA327, IF($R328 = "", "", $R328)))</f>
        <v/>
      </c>
      <c r="BB328" s="303">
        <f t="shared" si="209"/>
        <v>0</v>
      </c>
      <c r="BC328" s="303" t="str">
        <f t="shared" si="210"/>
        <v/>
      </c>
      <c r="BD328" s="303" t="str">
        <f t="shared" si="211"/>
        <v/>
      </c>
      <c r="BF328" s="304">
        <f t="shared" si="212"/>
        <v>0</v>
      </c>
      <c r="BG328" s="304">
        <f t="shared" si="213"/>
        <v>0</v>
      </c>
      <c r="BH328" s="304" t="str">
        <f>IF( $B328="", "", IF(ISNA(VLOOKUP($C328, Defesa!$C$8:$C$30,1,FALSE)),1,0))</f>
        <v/>
      </c>
      <c r="BI328" s="305" t="str">
        <f t="shared" si="214"/>
        <v/>
      </c>
      <c r="BJ328" s="305" t="str">
        <f t="shared" si="215"/>
        <v/>
      </c>
      <c r="BK328" s="304" t="str">
        <f t="shared" si="216"/>
        <v/>
      </c>
      <c r="BL328" s="304">
        <f t="shared" si="217"/>
        <v>0</v>
      </c>
      <c r="BM328" s="304" t="str">
        <f>IF($AC328="", "", IF(ISNA(VLOOKUP($AC328, TABELAS!$Q:$Q, 1, FALSE)), 1, 0))</f>
        <v/>
      </c>
      <c r="BN328" s="306" t="str">
        <f t="shared" si="218"/>
        <v/>
      </c>
      <c r="BO328" s="304" t="str">
        <f t="shared" si="219"/>
        <v/>
      </c>
      <c r="BP328" s="304" t="str">
        <f t="shared" si="220"/>
        <v/>
      </c>
      <c r="BQ328" s="305" t="str">
        <f t="shared" si="221"/>
        <v/>
      </c>
      <c r="BR328" s="304" t="str">
        <f t="shared" si="222"/>
        <v/>
      </c>
      <c r="BS328" s="304" t="str">
        <f t="shared" si="223"/>
        <v/>
      </c>
      <c r="BT328" s="304" t="str">
        <f>IF(OR($B328="", $AH328 = "SIM"), "", IF( ISNA(VLOOKUP($AP328,#REF!, 1, FALSE)), 1, 0))</f>
        <v/>
      </c>
      <c r="BU328" s="304" t="str">
        <f t="shared" si="224"/>
        <v/>
      </c>
      <c r="BV328" s="304" t="str">
        <f>IF( $B328="", "", IF( ISNA(VLOOKUP($AN328, TABELAS!$T$2:$T$9,1,FALSE)), 1, 0))</f>
        <v/>
      </c>
      <c r="BW328" s="304" t="str">
        <f t="shared" si="225"/>
        <v/>
      </c>
      <c r="BX328" s="304" t="str">
        <f>IF( OR($B328="", $AH328 = "SIM"), "", IF( ISNA( VLOOKUP( $AQ328, SISTEMA!$B:$B, 1, FALSE)), 1, 0))</f>
        <v/>
      </c>
      <c r="BY328" s="305" t="str">
        <f t="shared" si="226"/>
        <v/>
      </c>
      <c r="BZ328" s="305" t="str">
        <f t="shared" si="227"/>
        <v/>
      </c>
      <c r="CA328" s="304" t="str">
        <f t="shared" si="228"/>
        <v/>
      </c>
      <c r="CB328" s="305" t="str">
        <f t="shared" si="229"/>
        <v/>
      </c>
      <c r="CC328" s="305" t="str">
        <f t="shared" si="230"/>
        <v/>
      </c>
      <c r="CD328" s="305" t="str">
        <f t="shared" si="231"/>
        <v/>
      </c>
    </row>
    <row r="329" spans="1:82" x14ac:dyDescent="0.2">
      <c r="A329" s="235"/>
      <c r="B329" s="236" t="str">
        <f t="shared" ref="B329:B392" si="242" xml:space="preserve"> IF( C329 = "", "", C329 &amp; "." &amp; D329 &amp; "."  &amp; E329)</f>
        <v/>
      </c>
      <c r="C329" s="237" t="str">
        <f t="shared" si="232"/>
        <v/>
      </c>
      <c r="D329" s="237" t="str">
        <f t="shared" ref="D329:D392" si="243">IF( $C329 = "", "", IF( $M329="", IF(AND($C328=$C329,$G329 = ""), $D328, ""), TEXT($M329,"000")))</f>
        <v/>
      </c>
      <c r="E329" s="237" t="str">
        <f>IF($C329="", "", COUNTIF($M$8:$M329,$D329))</f>
        <v/>
      </c>
      <c r="F329" s="238">
        <v>322</v>
      </c>
      <c r="G329" s="239"/>
      <c r="H329" s="240"/>
      <c r="I329" s="240"/>
      <c r="J329" s="241"/>
      <c r="K329" s="240"/>
      <c r="L329" s="240"/>
      <c r="M329" s="240"/>
      <c r="N329" s="242"/>
      <c r="O329" s="243"/>
      <c r="P329" s="243"/>
      <c r="Q329" s="243"/>
      <c r="R329" s="243"/>
      <c r="S329" s="243"/>
      <c r="T329" s="245"/>
      <c r="U329" s="246" t="str">
        <f>IF($T329="", "", VLOOKUP($T329, CONTRATOS!$B:$E, 2, FALSE))</f>
        <v/>
      </c>
      <c r="V329" s="247">
        <f>IF(OR($T329="",TB_DEFESA!$C$2="Criação Baseline"),0,
   IF(VLOOKUP($T329, CONTRATOS!B:E, 3, FALSE)&lt;&gt;"",1,IF(VLOOKUP($T329, CONTRATOS!B:E, 4, FALSE)&lt;&gt;"",2,0)))</f>
        <v>0</v>
      </c>
      <c r="W329" s="248"/>
      <c r="X329" s="248"/>
      <c r="Y329" s="249"/>
      <c r="Z329" s="250"/>
      <c r="AA329" s="251"/>
      <c r="AB329" s="252"/>
      <c r="AC329" s="253"/>
      <c r="AD329" s="251"/>
      <c r="AE329" s="254" t="str">
        <f t="shared" si="233"/>
        <v/>
      </c>
      <c r="AF329" s="256" t="str">
        <f t="shared" ref="AF329:AF392" si="244">IF(B329= "", "", IF(SUM($BF329:$CD329) = 0, 0, 1))</f>
        <v/>
      </c>
      <c r="AG329" s="293" t="s">
        <v>62</v>
      </c>
      <c r="AH329" s="294" t="str">
        <f t="shared" ref="AH329:AH392" si="245">IF($B329="","", IF( AND($G329="", $B329 = $B328 ), $AH328, $G329))</f>
        <v/>
      </c>
      <c r="AI329" s="294" t="str">
        <f t="shared" ref="AI329:AI392" si="246">IF($B329 = "", "",  IF( AND($H329= "", $B329 = $B328 ), $AI328, $H329))</f>
        <v/>
      </c>
      <c r="AJ329" s="295" t="str">
        <f t="shared" ref="AJ329:AJ392" si="247">IF(AND($AB329="", $V329=""),"",IF(AND($I329="",$B329=$B328), $AJ328, IF($I329="","",$I329)))</f>
        <v/>
      </c>
      <c r="AK329" s="296" t="str">
        <f t="shared" ref="AK329:AK392" si="248">IF($B329="", "", IF( AND($J329 = "",$B329=$B328), $AK328, $J329))</f>
        <v/>
      </c>
      <c r="AL329" s="297" t="str">
        <f t="shared" ref="AL329:AL392" si="249">IF( $B329= "", "",  IF( AND($L329= "",$B329=$B328), $AL328, $L329))</f>
        <v/>
      </c>
      <c r="AM329" s="294" t="str">
        <f t="shared" ref="AM329:AM392" si="250">IF( $B329 = "", "",  IF(AND($N329= "",$B329=$B328), $AM328, $O329))</f>
        <v/>
      </c>
      <c r="AN329" s="294" t="str">
        <f t="shared" ref="AN329:AN392" si="251">IF( $B329 = "", "",  IF( AND($X329= "",$B329=$B328), $AN328, $X329))</f>
        <v/>
      </c>
      <c r="AO329" s="298" t="str">
        <f t="shared" ref="AO329:AO392" si="252">IF($B329="", "",  IF( AND($U329= "",$B329=$B328), $AO328, $U329))</f>
        <v/>
      </c>
      <c r="AP329" s="299" t="str">
        <f t="shared" ref="AP329:AP392" si="253">IF( $B329 = "", "",  IF( AND($U329= "",$B329=$B328), $AP328, IF($T329 = "", "", $T329)))</f>
        <v/>
      </c>
      <c r="AQ329" s="299" t="str">
        <f t="shared" ref="AQ329:AQ392" si="254">IF($B329="","",IF(AND($W329="",$B329=$B328),$AQ328,IF($W329="","",$W329)))</f>
        <v/>
      </c>
      <c r="AR329" s="300" t="str">
        <f t="shared" si="234"/>
        <v/>
      </c>
      <c r="AS329" s="300" t="str">
        <f t="shared" si="235"/>
        <v/>
      </c>
      <c r="AT329" s="294" t="str">
        <f t="shared" si="236"/>
        <v/>
      </c>
      <c r="AU329" s="301" t="str">
        <f>IF(OR($B329="", $AP329= ""),"",IF(VLOOKUP($AP329, CONTRATOS!B:K,3,FALSE)="","",VLOOKUP($AP329, CONTRATOS!B:K, 3,FALSE)))</f>
        <v/>
      </c>
      <c r="AV329" s="301" t="str">
        <f>IF(OR($B329="", $AP329 = ""), "", IF(VLOOKUP($AP329, CONTRATOS!B:K,4,FALSE)="","",VLOOKUP($AP329, CONTRATOS!B:K,4, FALSE)))</f>
        <v/>
      </c>
      <c r="AW329" s="302" t="str">
        <f t="shared" si="237"/>
        <v/>
      </c>
      <c r="AX329" s="301" t="str">
        <f t="shared" si="238"/>
        <v/>
      </c>
      <c r="AY329" s="301" t="str">
        <f t="shared" si="239"/>
        <v/>
      </c>
      <c r="AZ329" s="301" t="str">
        <f t="shared" si="240"/>
        <v/>
      </c>
      <c r="BA329" s="301" t="str">
        <f t="shared" si="241"/>
        <v/>
      </c>
      <c r="BB329" s="303">
        <f t="shared" ref="BB329:BB392" si="255">IF( $B329 = "", 0, ROW($B329))</f>
        <v>0</v>
      </c>
      <c r="BC329" s="303" t="str">
        <f t="shared" ref="BC329:BC392" si="256">IF($AC329="","",IF($AC329="Próximos Anos",$AC329,RIGHT($AC329,4)))</f>
        <v/>
      </c>
      <c r="BD329" s="303" t="str">
        <f t="shared" ref="BD329:BD392" si="257">IF($B329="", "", IF($B329=$B328, $BD328, $V329))</f>
        <v/>
      </c>
      <c r="BF329" s="304">
        <f t="shared" ref="BF329:BF392" si="258">IF( AND($G329="SIM", OR($H329="", $I329="", $J329="", $K329="", $L329="", $M329="", $O329="", $P329="", $Q329="", $R329="", $X329="",  $AA329="", $AB329="", $AC329="", $AD329="")), 1, 0)</f>
        <v>0</v>
      </c>
      <c r="BG329" s="304">
        <f t="shared" ref="BG329:BG392" si="259">IF(AND($G329="NÃO", OR($H329="", $I329="", $J329="", $K329="", $L329="", $M329="", $O329="", $T329="", $W329="", $X329="", $AA329="")), 1,
    IF( AND($AH329="NÃO",  $AU329 ="", OR( $AB329="", $AC329="", $AD329="")), 1,
    IF( AND($AH329="NÃO",  $AU329 &lt;&gt; "", OR($AB329&lt;&gt;"", $AC329&lt;&gt;"", $AD329&lt;&gt;"") ), 1, 0 ) ) )</f>
        <v>0</v>
      </c>
      <c r="BH329" s="304" t="str">
        <f>IF( $B329="", "", IF(ISNA(VLOOKUP($C329, Defesa!$C$8:$C$30,1,FALSE)),1,0))</f>
        <v/>
      </c>
      <c r="BI329" s="305" t="str">
        <f t="shared" ref="BI329:BI392" si="260">IF($B329= "", "",  IF(OR($D329 = "N/A", LEFT($D329, 2) = "ME", AND(LEN($D329) = 12, LEFT($D329, 4) = "PROP")), 0, 1))</f>
        <v/>
      </c>
      <c r="BJ329" s="305" t="str">
        <f t="shared" ref="BJ329:BJ392" si="261">IF($B329="","",IF(AND($AL329="N/A",LEFT($D329,4)&lt;&gt;"PROP"),0,IF(OR(AND(LEN($AL329)=10,LEFT($AL329,2)="AF",LEFT($AL329,4)&lt;&gt;"AFFT")),0,1)))</f>
        <v/>
      </c>
      <c r="BK329" s="304" t="str">
        <f t="shared" ref="BK329:BK392" si="262">IF($B329="", "", IF(COUNTIFS($AB:$AB, $AB329,$B:$B, $B329)&gt;1, 1, 0))</f>
        <v/>
      </c>
      <c r="BL329" s="304">
        <f t="shared" ref="BL329:BL392" si="263">IF( OR($B329= "",$V329 = 1), 0,  IF( OR($AC329 = "", $AD329="", $AB329=""), 1, 0))</f>
        <v>0</v>
      </c>
      <c r="BM329" s="304" t="str">
        <f>IF($AC329="", "", IF(ISNA(VLOOKUP($AC329, TABELAS!$Q:$Q, 1, FALSE)), 1, 0))</f>
        <v/>
      </c>
      <c r="BN329" s="306" t="str">
        <f t="shared" ref="BN329:BN392" si="264">IF($B329= "", "", IF( SUMIFS($AW:$AW,$C:$C, $C329,$D:$D, $D329,$E:$E, $E329) = 1, 0, 1))</f>
        <v/>
      </c>
      <c r="BO329" s="304" t="str">
        <f t="shared" ref="BO329:BO392" si="265">IF( $B329 ="", "", IF( AND($V329 = 1, OR( $AC329 &lt;&gt; "", $AB329 &lt;&gt; "", $AD329 &lt;&gt; "")), 1, 0))</f>
        <v/>
      </c>
      <c r="BP329" s="304" t="str">
        <f t="shared" ref="BP329:BP392" si="266" xml:space="preserve"> IF($B329 = "", "", IF(AND( $AI329 = "SIM", $AP329= "&lt; A DEFINIR &gt;"), 1, 0))</f>
        <v/>
      </c>
      <c r="BQ329" s="305" t="str">
        <f t="shared" ref="BQ329:BQ392" si="267">IF($B329="", "", IF( AND($AI329="SIM", OR(LEFT($D329,2)="ME", $D329 = "N/A")), 1, 0))</f>
        <v/>
      </c>
      <c r="BR329" s="304" t="str">
        <f t="shared" ref="BR329:BR392" si="268" xml:space="preserve"> IF($B329 = "", "", IF( AND( $AJ329 = "SIM", OR($AP329= "&lt; A DEFINIR &gt;", $V329 = 1, $AI329 = "ESTIMATIVA")), 1, 0))</f>
        <v/>
      </c>
      <c r="BS329" s="304" t="str">
        <f t="shared" ref="BS329:BS392" si="269" xml:space="preserve"> IF(B329 = "", "", IF(AND($X329 &lt;&gt; "N/A",  V329 = 1), 1, 0))</f>
        <v/>
      </c>
      <c r="BT329" s="304" t="str">
        <f>IF(OR($B329="", $AH329 = "SIM"), "", IF( ISNA(VLOOKUP($AP329,#REF!, 1, FALSE)), 1, 0))</f>
        <v/>
      </c>
      <c r="BU329" s="304" t="str">
        <f t="shared" ref="BU329:BU392" si="270">IF($AP329="", "", IF( AND(OR($AO329=4600046592, $U329 = 4600041840), $AN329&lt;&gt; "BTSA Fixa R2"), 1,0))</f>
        <v/>
      </c>
      <c r="BV329" s="304" t="str">
        <f>IF( $B329="", "", IF( ISNA(VLOOKUP($AN329, TABELAS!$T$2:$T$9,1,FALSE)), 1, 0))</f>
        <v/>
      </c>
      <c r="BW329" s="304" t="str">
        <f t="shared" ref="BW329:BW392" si="271" xml:space="preserve"> IF($B329 = "", "", IF( AND( $AN329 = "N/A", $V329 = 0), 1, 0) )</f>
        <v/>
      </c>
      <c r="BX329" s="304" t="str">
        <f>IF( OR($B329="", $AH329 = "SIM"), "", IF( ISNA( VLOOKUP( $AQ329, SISTEMA!$B:$B, 1, FALSE)), 1, 0))</f>
        <v/>
      </c>
      <c r="BY329" s="305" t="str">
        <f t="shared" ref="BY329:BY392" si="272">IF( $B329="", "", IF( AND($AI329="ESTIMATIVA", LEFT($D329, 4)="PROP"), 1, 0))</f>
        <v/>
      </c>
      <c r="BZ329" s="305" t="str">
        <f t="shared" ref="BZ329:BZ392" si="273">IF( $B329="", "", IF( AND($AX329&lt;&gt;"", $V329 = 1), 1, 0))</f>
        <v/>
      </c>
      <c r="CA329" s="304" t="str">
        <f t="shared" ref="CA329:CA392" si="274">IF($B329="", "", IF( AND($AM329 &lt;&gt; "SERVIÇOS", $AM329 &lt;&gt; "HARDWARE", $AM329 &lt;&gt; "SOFTWARE", $AM329 &lt;&gt; "FACILITIES", $AM329 &lt;&gt; "VIAGENS"  ), 1, 0))</f>
        <v/>
      </c>
      <c r="CB329" s="305" t="str">
        <f t="shared" ref="CB329:CB392" si="275">IF( $B329="", "", IF( AND( $AH329 = "NÃO", OR( $AM329 = "SOFTWARE", $AM329 = "HARDWARE", $AM329 = "FACILITIES")), 1, 0))</f>
        <v/>
      </c>
      <c r="CC329" s="305" t="str">
        <f t="shared" ref="CC329:CC392" si="276">IF( $B329="", "", IF( AND($AI329="COMPLEMENTO", LEFT($D329, 4)="PROP"), 1, 0))</f>
        <v/>
      </c>
      <c r="CD329" s="305" t="str">
        <f t="shared" ref="CD329:CD392" si="277">IF( $B329="", "", IF( AND($D329=$D328, $AP329 &lt;&gt; $AP328), 1, 0))</f>
        <v/>
      </c>
    </row>
    <row r="330" spans="1:82" x14ac:dyDescent="0.2">
      <c r="A330" s="235"/>
      <c r="B330" s="236" t="str">
        <f t="shared" si="242"/>
        <v/>
      </c>
      <c r="C330" s="237" t="str">
        <f t="shared" si="232"/>
        <v/>
      </c>
      <c r="D330" s="237" t="str">
        <f t="shared" si="243"/>
        <v/>
      </c>
      <c r="E330" s="237" t="str">
        <f>IF($C330="", "", COUNTIF($M$8:$M330,$D330))</f>
        <v/>
      </c>
      <c r="F330" s="238">
        <v>323</v>
      </c>
      <c r="G330" s="239"/>
      <c r="H330" s="240"/>
      <c r="I330" s="240"/>
      <c r="J330" s="241"/>
      <c r="K330" s="240"/>
      <c r="L330" s="240"/>
      <c r="M330" s="240"/>
      <c r="N330" s="242"/>
      <c r="O330" s="243"/>
      <c r="P330" s="243"/>
      <c r="Q330" s="243"/>
      <c r="R330" s="243"/>
      <c r="S330" s="243"/>
      <c r="T330" s="245"/>
      <c r="U330" s="246" t="str">
        <f>IF($T330="", "", VLOOKUP($T330, CONTRATOS!$B:$E, 2, FALSE))</f>
        <v/>
      </c>
      <c r="V330" s="247">
        <f>IF(OR($T330="",TB_DEFESA!$C$2="Criação Baseline"),0,
   IF(VLOOKUP($T330, CONTRATOS!B:E, 3, FALSE)&lt;&gt;"",1,IF(VLOOKUP($T330, CONTRATOS!B:E, 4, FALSE)&lt;&gt;"",2,0)))</f>
        <v>0</v>
      </c>
      <c r="W330" s="248"/>
      <c r="X330" s="248"/>
      <c r="Y330" s="249"/>
      <c r="Z330" s="250"/>
      <c r="AA330" s="251"/>
      <c r="AB330" s="252"/>
      <c r="AC330" s="253"/>
      <c r="AD330" s="251"/>
      <c r="AE330" s="254" t="str">
        <f t="shared" si="233"/>
        <v/>
      </c>
      <c r="AF330" s="256" t="str">
        <f t="shared" si="244"/>
        <v/>
      </c>
      <c r="AG330" s="293" t="s">
        <v>62</v>
      </c>
      <c r="AH330" s="294" t="str">
        <f t="shared" si="245"/>
        <v/>
      </c>
      <c r="AI330" s="294" t="str">
        <f t="shared" si="246"/>
        <v/>
      </c>
      <c r="AJ330" s="295" t="str">
        <f t="shared" si="247"/>
        <v/>
      </c>
      <c r="AK330" s="296" t="str">
        <f t="shared" si="248"/>
        <v/>
      </c>
      <c r="AL330" s="297" t="str">
        <f t="shared" si="249"/>
        <v/>
      </c>
      <c r="AM330" s="294" t="str">
        <f t="shared" si="250"/>
        <v/>
      </c>
      <c r="AN330" s="294" t="str">
        <f t="shared" si="251"/>
        <v/>
      </c>
      <c r="AO330" s="298" t="str">
        <f t="shared" si="252"/>
        <v/>
      </c>
      <c r="AP330" s="299" t="str">
        <f t="shared" si="253"/>
        <v/>
      </c>
      <c r="AQ330" s="299" t="str">
        <f t="shared" si="254"/>
        <v/>
      </c>
      <c r="AR330" s="300" t="str">
        <f t="shared" si="234"/>
        <v/>
      </c>
      <c r="AS330" s="300" t="str">
        <f t="shared" si="235"/>
        <v/>
      </c>
      <c r="AT330" s="294" t="str">
        <f t="shared" si="236"/>
        <v/>
      </c>
      <c r="AU330" s="301" t="str">
        <f>IF(OR($B330="", $AP330= ""),"",IF(VLOOKUP($AP330, CONTRATOS!B:K,3,FALSE)="","",VLOOKUP($AP330, CONTRATOS!B:K, 3,FALSE)))</f>
        <v/>
      </c>
      <c r="AV330" s="301" t="str">
        <f>IF(OR($B330="", $AP330 = ""), "", IF(VLOOKUP($AP330, CONTRATOS!B:K,4,FALSE)="","",VLOOKUP($AP330, CONTRATOS!B:K,4, FALSE)))</f>
        <v/>
      </c>
      <c r="AW330" s="302" t="str">
        <f t="shared" si="237"/>
        <v/>
      </c>
      <c r="AX330" s="301" t="str">
        <f t="shared" si="238"/>
        <v/>
      </c>
      <c r="AY330" s="301" t="str">
        <f t="shared" si="239"/>
        <v/>
      </c>
      <c r="AZ330" s="301" t="str">
        <f t="shared" si="240"/>
        <v/>
      </c>
      <c r="BA330" s="301" t="str">
        <f t="shared" si="241"/>
        <v/>
      </c>
      <c r="BB330" s="303">
        <f t="shared" si="255"/>
        <v>0</v>
      </c>
      <c r="BC330" s="303" t="str">
        <f t="shared" si="256"/>
        <v/>
      </c>
      <c r="BD330" s="303" t="str">
        <f t="shared" si="257"/>
        <v/>
      </c>
      <c r="BF330" s="304">
        <f t="shared" si="258"/>
        <v>0</v>
      </c>
      <c r="BG330" s="304">
        <f t="shared" si="259"/>
        <v>0</v>
      </c>
      <c r="BH330" s="304" t="str">
        <f>IF( $B330="", "", IF(ISNA(VLOOKUP($C330, Defesa!$C$8:$C$30,1,FALSE)),1,0))</f>
        <v/>
      </c>
      <c r="BI330" s="305" t="str">
        <f t="shared" si="260"/>
        <v/>
      </c>
      <c r="BJ330" s="305" t="str">
        <f t="shared" si="261"/>
        <v/>
      </c>
      <c r="BK330" s="304" t="str">
        <f t="shared" si="262"/>
        <v/>
      </c>
      <c r="BL330" s="304">
        <f t="shared" si="263"/>
        <v>0</v>
      </c>
      <c r="BM330" s="304" t="str">
        <f>IF($AC330="", "", IF(ISNA(VLOOKUP($AC330, TABELAS!$Q:$Q, 1, FALSE)), 1, 0))</f>
        <v/>
      </c>
      <c r="BN330" s="306" t="str">
        <f t="shared" si="264"/>
        <v/>
      </c>
      <c r="BO330" s="304" t="str">
        <f t="shared" si="265"/>
        <v/>
      </c>
      <c r="BP330" s="304" t="str">
        <f t="shared" si="266"/>
        <v/>
      </c>
      <c r="BQ330" s="305" t="str">
        <f t="shared" si="267"/>
        <v/>
      </c>
      <c r="BR330" s="304" t="str">
        <f t="shared" si="268"/>
        <v/>
      </c>
      <c r="BS330" s="304" t="str">
        <f t="shared" si="269"/>
        <v/>
      </c>
      <c r="BT330" s="304" t="str">
        <f>IF(OR($B330="", $AH330 = "SIM"), "", IF( ISNA(VLOOKUP($AP330,#REF!, 1, FALSE)), 1, 0))</f>
        <v/>
      </c>
      <c r="BU330" s="304" t="str">
        <f t="shared" si="270"/>
        <v/>
      </c>
      <c r="BV330" s="304" t="str">
        <f>IF( $B330="", "", IF( ISNA(VLOOKUP($AN330, TABELAS!$T$2:$T$9,1,FALSE)), 1, 0))</f>
        <v/>
      </c>
      <c r="BW330" s="304" t="str">
        <f t="shared" si="271"/>
        <v/>
      </c>
      <c r="BX330" s="304" t="str">
        <f>IF( OR($B330="", $AH330 = "SIM"), "", IF( ISNA( VLOOKUP( $AQ330, SISTEMA!$B:$B, 1, FALSE)), 1, 0))</f>
        <v/>
      </c>
      <c r="BY330" s="305" t="str">
        <f t="shared" si="272"/>
        <v/>
      </c>
      <c r="BZ330" s="305" t="str">
        <f t="shared" si="273"/>
        <v/>
      </c>
      <c r="CA330" s="304" t="str">
        <f t="shared" si="274"/>
        <v/>
      </c>
      <c r="CB330" s="305" t="str">
        <f t="shared" si="275"/>
        <v/>
      </c>
      <c r="CC330" s="305" t="str">
        <f t="shared" si="276"/>
        <v/>
      </c>
      <c r="CD330" s="305" t="str">
        <f t="shared" si="277"/>
        <v/>
      </c>
    </row>
    <row r="331" spans="1:82" x14ac:dyDescent="0.2">
      <c r="A331" s="235"/>
      <c r="B331" s="236" t="str">
        <f t="shared" si="242"/>
        <v/>
      </c>
      <c r="C331" s="237" t="str">
        <f t="shared" si="232"/>
        <v/>
      </c>
      <c r="D331" s="237" t="str">
        <f t="shared" si="243"/>
        <v/>
      </c>
      <c r="E331" s="237" t="str">
        <f>IF($C331="", "", COUNTIF($M$8:$M331,$D331))</f>
        <v/>
      </c>
      <c r="F331" s="238">
        <v>324</v>
      </c>
      <c r="G331" s="239"/>
      <c r="H331" s="240"/>
      <c r="I331" s="240"/>
      <c r="J331" s="241"/>
      <c r="K331" s="240"/>
      <c r="L331" s="240"/>
      <c r="M331" s="240"/>
      <c r="N331" s="242"/>
      <c r="O331" s="243"/>
      <c r="P331" s="243"/>
      <c r="Q331" s="243"/>
      <c r="R331" s="243"/>
      <c r="S331" s="243"/>
      <c r="T331" s="245"/>
      <c r="U331" s="246" t="str">
        <f>IF($T331="", "", VLOOKUP($T331, CONTRATOS!$B:$E, 2, FALSE))</f>
        <v/>
      </c>
      <c r="V331" s="247">
        <f>IF(OR($T331="",TB_DEFESA!$C$2="Criação Baseline"),0,
   IF(VLOOKUP($T331, CONTRATOS!B:E, 3, FALSE)&lt;&gt;"",1,IF(VLOOKUP($T331, CONTRATOS!B:E, 4, FALSE)&lt;&gt;"",2,0)))</f>
        <v>0</v>
      </c>
      <c r="W331" s="248"/>
      <c r="X331" s="248"/>
      <c r="Y331" s="249"/>
      <c r="Z331" s="250"/>
      <c r="AA331" s="251"/>
      <c r="AB331" s="252"/>
      <c r="AC331" s="253"/>
      <c r="AD331" s="251"/>
      <c r="AE331" s="254" t="str">
        <f t="shared" si="233"/>
        <v/>
      </c>
      <c r="AF331" s="256" t="str">
        <f t="shared" si="244"/>
        <v/>
      </c>
      <c r="AG331" s="293" t="s">
        <v>62</v>
      </c>
      <c r="AH331" s="294" t="str">
        <f t="shared" si="245"/>
        <v/>
      </c>
      <c r="AI331" s="294" t="str">
        <f t="shared" si="246"/>
        <v/>
      </c>
      <c r="AJ331" s="295" t="str">
        <f t="shared" si="247"/>
        <v/>
      </c>
      <c r="AK331" s="296" t="str">
        <f t="shared" si="248"/>
        <v/>
      </c>
      <c r="AL331" s="297" t="str">
        <f t="shared" si="249"/>
        <v/>
      </c>
      <c r="AM331" s="294" t="str">
        <f t="shared" si="250"/>
        <v/>
      </c>
      <c r="AN331" s="294" t="str">
        <f t="shared" si="251"/>
        <v/>
      </c>
      <c r="AO331" s="298" t="str">
        <f t="shared" si="252"/>
        <v/>
      </c>
      <c r="AP331" s="299" t="str">
        <f t="shared" si="253"/>
        <v/>
      </c>
      <c r="AQ331" s="299" t="str">
        <f t="shared" si="254"/>
        <v/>
      </c>
      <c r="AR331" s="300" t="str">
        <f t="shared" si="234"/>
        <v/>
      </c>
      <c r="AS331" s="300" t="str">
        <f t="shared" si="235"/>
        <v/>
      </c>
      <c r="AT331" s="294" t="str">
        <f t="shared" si="236"/>
        <v/>
      </c>
      <c r="AU331" s="301" t="str">
        <f>IF(OR($B331="", $AP331= ""),"",IF(VLOOKUP($AP331, CONTRATOS!B:K,3,FALSE)="","",VLOOKUP($AP331, CONTRATOS!B:K, 3,FALSE)))</f>
        <v/>
      </c>
      <c r="AV331" s="301" t="str">
        <f>IF(OR($B331="", $AP331 = ""), "", IF(VLOOKUP($AP331, CONTRATOS!B:K,4,FALSE)="","",VLOOKUP($AP331, CONTRATOS!B:K,4, FALSE)))</f>
        <v/>
      </c>
      <c r="AW331" s="302" t="str">
        <f t="shared" si="237"/>
        <v/>
      </c>
      <c r="AX331" s="301" t="str">
        <f t="shared" si="238"/>
        <v/>
      </c>
      <c r="AY331" s="301" t="str">
        <f t="shared" si="239"/>
        <v/>
      </c>
      <c r="AZ331" s="301" t="str">
        <f t="shared" si="240"/>
        <v/>
      </c>
      <c r="BA331" s="301" t="str">
        <f t="shared" si="241"/>
        <v/>
      </c>
      <c r="BB331" s="303">
        <f t="shared" si="255"/>
        <v>0</v>
      </c>
      <c r="BC331" s="303" t="str">
        <f t="shared" si="256"/>
        <v/>
      </c>
      <c r="BD331" s="303" t="str">
        <f t="shared" si="257"/>
        <v/>
      </c>
      <c r="BF331" s="304">
        <f t="shared" si="258"/>
        <v>0</v>
      </c>
      <c r="BG331" s="304">
        <f t="shared" si="259"/>
        <v>0</v>
      </c>
      <c r="BH331" s="304" t="str">
        <f>IF( $B331="", "", IF(ISNA(VLOOKUP($C331, Defesa!$C$8:$C$30,1,FALSE)),1,0))</f>
        <v/>
      </c>
      <c r="BI331" s="305" t="str">
        <f t="shared" si="260"/>
        <v/>
      </c>
      <c r="BJ331" s="305" t="str">
        <f t="shared" si="261"/>
        <v/>
      </c>
      <c r="BK331" s="304" t="str">
        <f t="shared" si="262"/>
        <v/>
      </c>
      <c r="BL331" s="304">
        <f t="shared" si="263"/>
        <v>0</v>
      </c>
      <c r="BM331" s="304" t="str">
        <f>IF($AC331="", "", IF(ISNA(VLOOKUP($AC331, TABELAS!$Q:$Q, 1, FALSE)), 1, 0))</f>
        <v/>
      </c>
      <c r="BN331" s="306" t="str">
        <f t="shared" si="264"/>
        <v/>
      </c>
      <c r="BO331" s="304" t="str">
        <f t="shared" si="265"/>
        <v/>
      </c>
      <c r="BP331" s="304" t="str">
        <f t="shared" si="266"/>
        <v/>
      </c>
      <c r="BQ331" s="305" t="str">
        <f t="shared" si="267"/>
        <v/>
      </c>
      <c r="BR331" s="304" t="str">
        <f t="shared" si="268"/>
        <v/>
      </c>
      <c r="BS331" s="304" t="str">
        <f t="shared" si="269"/>
        <v/>
      </c>
      <c r="BT331" s="304" t="str">
        <f>IF(OR($B331="", $AH331 = "SIM"), "", IF( ISNA(VLOOKUP($AP331,#REF!, 1, FALSE)), 1, 0))</f>
        <v/>
      </c>
      <c r="BU331" s="304" t="str">
        <f t="shared" si="270"/>
        <v/>
      </c>
      <c r="BV331" s="304" t="str">
        <f>IF( $B331="", "", IF( ISNA(VLOOKUP($AN331, TABELAS!$T$2:$T$9,1,FALSE)), 1, 0))</f>
        <v/>
      </c>
      <c r="BW331" s="304" t="str">
        <f t="shared" si="271"/>
        <v/>
      </c>
      <c r="BX331" s="304" t="str">
        <f>IF( OR($B331="", $AH331 = "SIM"), "", IF( ISNA( VLOOKUP( $AQ331, SISTEMA!$B:$B, 1, FALSE)), 1, 0))</f>
        <v/>
      </c>
      <c r="BY331" s="305" t="str">
        <f t="shared" si="272"/>
        <v/>
      </c>
      <c r="BZ331" s="305" t="str">
        <f t="shared" si="273"/>
        <v/>
      </c>
      <c r="CA331" s="304" t="str">
        <f t="shared" si="274"/>
        <v/>
      </c>
      <c r="CB331" s="305" t="str">
        <f t="shared" si="275"/>
        <v/>
      </c>
      <c r="CC331" s="305" t="str">
        <f t="shared" si="276"/>
        <v/>
      </c>
      <c r="CD331" s="305" t="str">
        <f t="shared" si="277"/>
        <v/>
      </c>
    </row>
    <row r="332" spans="1:82" x14ac:dyDescent="0.2">
      <c r="A332" s="235"/>
      <c r="B332" s="236" t="str">
        <f t="shared" si="242"/>
        <v/>
      </c>
      <c r="C332" s="237" t="str">
        <f t="shared" si="232"/>
        <v/>
      </c>
      <c r="D332" s="237" t="str">
        <f t="shared" si="243"/>
        <v/>
      </c>
      <c r="E332" s="237" t="str">
        <f>IF($C332="", "", COUNTIF($M$8:$M332,$D332))</f>
        <v/>
      </c>
      <c r="F332" s="238">
        <v>325</v>
      </c>
      <c r="G332" s="239"/>
      <c r="H332" s="240"/>
      <c r="I332" s="240"/>
      <c r="J332" s="241"/>
      <c r="K332" s="240"/>
      <c r="L332" s="240"/>
      <c r="M332" s="240"/>
      <c r="N332" s="242"/>
      <c r="O332" s="243"/>
      <c r="P332" s="243"/>
      <c r="Q332" s="243"/>
      <c r="R332" s="243"/>
      <c r="S332" s="243"/>
      <c r="T332" s="245"/>
      <c r="U332" s="246" t="str">
        <f>IF($T332="", "", VLOOKUP($T332, CONTRATOS!$B:$E, 2, FALSE))</f>
        <v/>
      </c>
      <c r="V332" s="247">
        <f>IF(OR($T332="",TB_DEFESA!$C$2="Criação Baseline"),0,
   IF(VLOOKUP($T332, CONTRATOS!B:E, 3, FALSE)&lt;&gt;"",1,IF(VLOOKUP($T332, CONTRATOS!B:E, 4, FALSE)&lt;&gt;"",2,0)))</f>
        <v>0</v>
      </c>
      <c r="W332" s="248"/>
      <c r="X332" s="248"/>
      <c r="Y332" s="249"/>
      <c r="Z332" s="250"/>
      <c r="AA332" s="251"/>
      <c r="AB332" s="252"/>
      <c r="AC332" s="253"/>
      <c r="AD332" s="251"/>
      <c r="AE332" s="254" t="str">
        <f t="shared" si="233"/>
        <v/>
      </c>
      <c r="AF332" s="256" t="str">
        <f t="shared" si="244"/>
        <v/>
      </c>
      <c r="AG332" s="293" t="s">
        <v>62</v>
      </c>
      <c r="AH332" s="294" t="str">
        <f t="shared" si="245"/>
        <v/>
      </c>
      <c r="AI332" s="294" t="str">
        <f t="shared" si="246"/>
        <v/>
      </c>
      <c r="AJ332" s="295" t="str">
        <f t="shared" si="247"/>
        <v/>
      </c>
      <c r="AK332" s="296" t="str">
        <f t="shared" si="248"/>
        <v/>
      </c>
      <c r="AL332" s="297" t="str">
        <f t="shared" si="249"/>
        <v/>
      </c>
      <c r="AM332" s="294" t="str">
        <f t="shared" si="250"/>
        <v/>
      </c>
      <c r="AN332" s="294" t="str">
        <f t="shared" si="251"/>
        <v/>
      </c>
      <c r="AO332" s="298" t="str">
        <f t="shared" si="252"/>
        <v/>
      </c>
      <c r="AP332" s="299" t="str">
        <f t="shared" si="253"/>
        <v/>
      </c>
      <c r="AQ332" s="299" t="str">
        <f t="shared" si="254"/>
        <v/>
      </c>
      <c r="AR332" s="300" t="str">
        <f t="shared" si="234"/>
        <v/>
      </c>
      <c r="AS332" s="300" t="str">
        <f t="shared" si="235"/>
        <v/>
      </c>
      <c r="AT332" s="294" t="str">
        <f t="shared" si="236"/>
        <v/>
      </c>
      <c r="AU332" s="301" t="str">
        <f>IF(OR($B332="", $AP332= ""),"",IF(VLOOKUP($AP332, CONTRATOS!B:K,3,FALSE)="","",VLOOKUP($AP332, CONTRATOS!B:K, 3,FALSE)))</f>
        <v/>
      </c>
      <c r="AV332" s="301" t="str">
        <f>IF(OR($B332="", $AP332 = ""), "", IF(VLOOKUP($AP332, CONTRATOS!B:K,4,FALSE)="","",VLOOKUP($AP332, CONTRATOS!B:K,4, FALSE)))</f>
        <v/>
      </c>
      <c r="AW332" s="302" t="str">
        <f t="shared" si="237"/>
        <v/>
      </c>
      <c r="AX332" s="301" t="str">
        <f t="shared" si="238"/>
        <v/>
      </c>
      <c r="AY332" s="301" t="str">
        <f t="shared" si="239"/>
        <v/>
      </c>
      <c r="AZ332" s="301" t="str">
        <f t="shared" si="240"/>
        <v/>
      </c>
      <c r="BA332" s="301" t="str">
        <f t="shared" si="241"/>
        <v/>
      </c>
      <c r="BB332" s="303">
        <f t="shared" si="255"/>
        <v>0</v>
      </c>
      <c r="BC332" s="303" t="str">
        <f t="shared" si="256"/>
        <v/>
      </c>
      <c r="BD332" s="303" t="str">
        <f t="shared" si="257"/>
        <v/>
      </c>
      <c r="BF332" s="304">
        <f t="shared" si="258"/>
        <v>0</v>
      </c>
      <c r="BG332" s="304">
        <f t="shared" si="259"/>
        <v>0</v>
      </c>
      <c r="BH332" s="304" t="str">
        <f>IF( $B332="", "", IF(ISNA(VLOOKUP($C332, Defesa!$C$8:$C$30,1,FALSE)),1,0))</f>
        <v/>
      </c>
      <c r="BI332" s="305" t="str">
        <f t="shared" si="260"/>
        <v/>
      </c>
      <c r="BJ332" s="305" t="str">
        <f t="shared" si="261"/>
        <v/>
      </c>
      <c r="BK332" s="304" t="str">
        <f t="shared" si="262"/>
        <v/>
      </c>
      <c r="BL332" s="304">
        <f t="shared" si="263"/>
        <v>0</v>
      </c>
      <c r="BM332" s="304" t="str">
        <f>IF($AC332="", "", IF(ISNA(VLOOKUP($AC332, TABELAS!$Q:$Q, 1, FALSE)), 1, 0))</f>
        <v/>
      </c>
      <c r="BN332" s="306" t="str">
        <f t="shared" si="264"/>
        <v/>
      </c>
      <c r="BO332" s="304" t="str">
        <f t="shared" si="265"/>
        <v/>
      </c>
      <c r="BP332" s="304" t="str">
        <f t="shared" si="266"/>
        <v/>
      </c>
      <c r="BQ332" s="305" t="str">
        <f t="shared" si="267"/>
        <v/>
      </c>
      <c r="BR332" s="304" t="str">
        <f t="shared" si="268"/>
        <v/>
      </c>
      <c r="BS332" s="304" t="str">
        <f t="shared" si="269"/>
        <v/>
      </c>
      <c r="BT332" s="304" t="str">
        <f>IF(OR($B332="", $AH332 = "SIM"), "", IF( ISNA(VLOOKUP($AP332,#REF!, 1, FALSE)), 1, 0))</f>
        <v/>
      </c>
      <c r="BU332" s="304" t="str">
        <f t="shared" si="270"/>
        <v/>
      </c>
      <c r="BV332" s="304" t="str">
        <f>IF( $B332="", "", IF( ISNA(VLOOKUP($AN332, TABELAS!$T$2:$T$9,1,FALSE)), 1, 0))</f>
        <v/>
      </c>
      <c r="BW332" s="304" t="str">
        <f t="shared" si="271"/>
        <v/>
      </c>
      <c r="BX332" s="304" t="str">
        <f>IF( OR($B332="", $AH332 = "SIM"), "", IF( ISNA( VLOOKUP( $AQ332, SISTEMA!$B:$B, 1, FALSE)), 1, 0))</f>
        <v/>
      </c>
      <c r="BY332" s="305" t="str">
        <f t="shared" si="272"/>
        <v/>
      </c>
      <c r="BZ332" s="305" t="str">
        <f t="shared" si="273"/>
        <v/>
      </c>
      <c r="CA332" s="304" t="str">
        <f t="shared" si="274"/>
        <v/>
      </c>
      <c r="CB332" s="305" t="str">
        <f t="shared" si="275"/>
        <v/>
      </c>
      <c r="CC332" s="305" t="str">
        <f t="shared" si="276"/>
        <v/>
      </c>
      <c r="CD332" s="305" t="str">
        <f t="shared" si="277"/>
        <v/>
      </c>
    </row>
    <row r="333" spans="1:82" x14ac:dyDescent="0.2">
      <c r="A333" s="235"/>
      <c r="B333" s="236" t="str">
        <f t="shared" si="242"/>
        <v/>
      </c>
      <c r="C333" s="237" t="str">
        <f t="shared" si="232"/>
        <v/>
      </c>
      <c r="D333" s="237" t="str">
        <f t="shared" si="243"/>
        <v/>
      </c>
      <c r="E333" s="237" t="str">
        <f>IF($C333="", "", COUNTIF($M$8:$M333,$D333))</f>
        <v/>
      </c>
      <c r="F333" s="238">
        <v>326</v>
      </c>
      <c r="G333" s="239"/>
      <c r="H333" s="240"/>
      <c r="I333" s="240"/>
      <c r="J333" s="241"/>
      <c r="K333" s="240"/>
      <c r="L333" s="240"/>
      <c r="M333" s="240"/>
      <c r="N333" s="242"/>
      <c r="O333" s="243"/>
      <c r="P333" s="243"/>
      <c r="Q333" s="243"/>
      <c r="R333" s="243"/>
      <c r="S333" s="243"/>
      <c r="T333" s="245"/>
      <c r="U333" s="246" t="str">
        <f>IF($T333="", "", VLOOKUP($T333, CONTRATOS!$B:$E, 2, FALSE))</f>
        <v/>
      </c>
      <c r="V333" s="247">
        <f>IF(OR($T333="",TB_DEFESA!$C$2="Criação Baseline"),0,
   IF(VLOOKUP($T333, CONTRATOS!B:E, 3, FALSE)&lt;&gt;"",1,IF(VLOOKUP($T333, CONTRATOS!B:E, 4, FALSE)&lt;&gt;"",2,0)))</f>
        <v>0</v>
      </c>
      <c r="W333" s="248"/>
      <c r="X333" s="248"/>
      <c r="Y333" s="249"/>
      <c r="Z333" s="250"/>
      <c r="AA333" s="251"/>
      <c r="AB333" s="252"/>
      <c r="AC333" s="253"/>
      <c r="AD333" s="251"/>
      <c r="AE333" s="254" t="str">
        <f t="shared" si="233"/>
        <v/>
      </c>
      <c r="AF333" s="256" t="str">
        <f t="shared" si="244"/>
        <v/>
      </c>
      <c r="AG333" s="293" t="s">
        <v>62</v>
      </c>
      <c r="AH333" s="294" t="str">
        <f t="shared" si="245"/>
        <v/>
      </c>
      <c r="AI333" s="294" t="str">
        <f t="shared" si="246"/>
        <v/>
      </c>
      <c r="AJ333" s="295" t="str">
        <f t="shared" si="247"/>
        <v/>
      </c>
      <c r="AK333" s="296" t="str">
        <f t="shared" si="248"/>
        <v/>
      </c>
      <c r="AL333" s="297" t="str">
        <f t="shared" si="249"/>
        <v/>
      </c>
      <c r="AM333" s="294" t="str">
        <f t="shared" si="250"/>
        <v/>
      </c>
      <c r="AN333" s="294" t="str">
        <f t="shared" si="251"/>
        <v/>
      </c>
      <c r="AO333" s="298" t="str">
        <f t="shared" si="252"/>
        <v/>
      </c>
      <c r="AP333" s="299" t="str">
        <f t="shared" si="253"/>
        <v/>
      </c>
      <c r="AQ333" s="299" t="str">
        <f t="shared" si="254"/>
        <v/>
      </c>
      <c r="AR333" s="300" t="str">
        <f t="shared" si="234"/>
        <v/>
      </c>
      <c r="AS333" s="300" t="str">
        <f t="shared" si="235"/>
        <v/>
      </c>
      <c r="AT333" s="294" t="str">
        <f t="shared" si="236"/>
        <v/>
      </c>
      <c r="AU333" s="301" t="str">
        <f>IF(OR($B333="", $AP333= ""),"",IF(VLOOKUP($AP333, CONTRATOS!B:K,3,FALSE)="","",VLOOKUP($AP333, CONTRATOS!B:K, 3,FALSE)))</f>
        <v/>
      </c>
      <c r="AV333" s="301" t="str">
        <f>IF(OR($B333="", $AP333 = ""), "", IF(VLOOKUP($AP333, CONTRATOS!B:K,4,FALSE)="","",VLOOKUP($AP333, CONTRATOS!B:K,4, FALSE)))</f>
        <v/>
      </c>
      <c r="AW333" s="302" t="str">
        <f t="shared" si="237"/>
        <v/>
      </c>
      <c r="AX333" s="301" t="str">
        <f t="shared" si="238"/>
        <v/>
      </c>
      <c r="AY333" s="301" t="str">
        <f t="shared" si="239"/>
        <v/>
      </c>
      <c r="AZ333" s="301" t="str">
        <f t="shared" si="240"/>
        <v/>
      </c>
      <c r="BA333" s="301" t="str">
        <f t="shared" si="241"/>
        <v/>
      </c>
      <c r="BB333" s="303">
        <f t="shared" si="255"/>
        <v>0</v>
      </c>
      <c r="BC333" s="303" t="str">
        <f t="shared" si="256"/>
        <v/>
      </c>
      <c r="BD333" s="303" t="str">
        <f t="shared" si="257"/>
        <v/>
      </c>
      <c r="BF333" s="304">
        <f t="shared" si="258"/>
        <v>0</v>
      </c>
      <c r="BG333" s="304">
        <f t="shared" si="259"/>
        <v>0</v>
      </c>
      <c r="BH333" s="304" t="str">
        <f>IF( $B333="", "", IF(ISNA(VLOOKUP($C333, Defesa!$C$8:$C$30,1,FALSE)),1,0))</f>
        <v/>
      </c>
      <c r="BI333" s="305" t="str">
        <f t="shared" si="260"/>
        <v/>
      </c>
      <c r="BJ333" s="305" t="str">
        <f t="shared" si="261"/>
        <v/>
      </c>
      <c r="BK333" s="304" t="str">
        <f t="shared" si="262"/>
        <v/>
      </c>
      <c r="BL333" s="304">
        <f t="shared" si="263"/>
        <v>0</v>
      </c>
      <c r="BM333" s="304" t="str">
        <f>IF($AC333="", "", IF(ISNA(VLOOKUP($AC333, TABELAS!$Q:$Q, 1, FALSE)), 1, 0))</f>
        <v/>
      </c>
      <c r="BN333" s="306" t="str">
        <f t="shared" si="264"/>
        <v/>
      </c>
      <c r="BO333" s="304" t="str">
        <f t="shared" si="265"/>
        <v/>
      </c>
      <c r="BP333" s="304" t="str">
        <f t="shared" si="266"/>
        <v/>
      </c>
      <c r="BQ333" s="305" t="str">
        <f t="shared" si="267"/>
        <v/>
      </c>
      <c r="BR333" s="304" t="str">
        <f t="shared" si="268"/>
        <v/>
      </c>
      <c r="BS333" s="304" t="str">
        <f t="shared" si="269"/>
        <v/>
      </c>
      <c r="BT333" s="304" t="str">
        <f>IF(OR($B333="", $AH333 = "SIM"), "", IF( ISNA(VLOOKUP($AP333,#REF!, 1, FALSE)), 1, 0))</f>
        <v/>
      </c>
      <c r="BU333" s="304" t="str">
        <f t="shared" si="270"/>
        <v/>
      </c>
      <c r="BV333" s="304" t="str">
        <f>IF( $B333="", "", IF( ISNA(VLOOKUP($AN333, TABELAS!$T$2:$T$9,1,FALSE)), 1, 0))</f>
        <v/>
      </c>
      <c r="BW333" s="304" t="str">
        <f t="shared" si="271"/>
        <v/>
      </c>
      <c r="BX333" s="304" t="str">
        <f>IF( OR($B333="", $AH333 = "SIM"), "", IF( ISNA( VLOOKUP( $AQ333, SISTEMA!$B:$B, 1, FALSE)), 1, 0))</f>
        <v/>
      </c>
      <c r="BY333" s="305" t="str">
        <f t="shared" si="272"/>
        <v/>
      </c>
      <c r="BZ333" s="305" t="str">
        <f t="shared" si="273"/>
        <v/>
      </c>
      <c r="CA333" s="304" t="str">
        <f t="shared" si="274"/>
        <v/>
      </c>
      <c r="CB333" s="305" t="str">
        <f t="shared" si="275"/>
        <v/>
      </c>
      <c r="CC333" s="305" t="str">
        <f t="shared" si="276"/>
        <v/>
      </c>
      <c r="CD333" s="305" t="str">
        <f t="shared" si="277"/>
        <v/>
      </c>
    </row>
    <row r="334" spans="1:82" x14ac:dyDescent="0.2">
      <c r="A334" s="235"/>
      <c r="B334" s="236" t="str">
        <f t="shared" si="242"/>
        <v/>
      </c>
      <c r="C334" s="237" t="str">
        <f t="shared" si="232"/>
        <v/>
      </c>
      <c r="D334" s="237" t="str">
        <f t="shared" si="243"/>
        <v/>
      </c>
      <c r="E334" s="237" t="str">
        <f>IF($C334="", "", COUNTIF($M$8:$M334,$D334))</f>
        <v/>
      </c>
      <c r="F334" s="238">
        <v>327</v>
      </c>
      <c r="G334" s="239"/>
      <c r="H334" s="240"/>
      <c r="I334" s="240"/>
      <c r="J334" s="241"/>
      <c r="K334" s="240"/>
      <c r="L334" s="240"/>
      <c r="M334" s="240"/>
      <c r="N334" s="242"/>
      <c r="O334" s="243"/>
      <c r="P334" s="243"/>
      <c r="Q334" s="243"/>
      <c r="R334" s="243"/>
      <c r="S334" s="243"/>
      <c r="T334" s="245"/>
      <c r="U334" s="246" t="str">
        <f>IF($T334="", "", VLOOKUP($T334, CONTRATOS!$B:$E, 2, FALSE))</f>
        <v/>
      </c>
      <c r="V334" s="247">
        <f>IF(OR($T334="",TB_DEFESA!$C$2="Criação Baseline"),0,
   IF(VLOOKUP($T334, CONTRATOS!B:E, 3, FALSE)&lt;&gt;"",1,IF(VLOOKUP($T334, CONTRATOS!B:E, 4, FALSE)&lt;&gt;"",2,0)))</f>
        <v>0</v>
      </c>
      <c r="W334" s="248"/>
      <c r="X334" s="248"/>
      <c r="Y334" s="249"/>
      <c r="Z334" s="250"/>
      <c r="AA334" s="251"/>
      <c r="AB334" s="252"/>
      <c r="AC334" s="253"/>
      <c r="AD334" s="251"/>
      <c r="AE334" s="254" t="str">
        <f t="shared" si="233"/>
        <v/>
      </c>
      <c r="AF334" s="256" t="str">
        <f t="shared" si="244"/>
        <v/>
      </c>
      <c r="AG334" s="293" t="s">
        <v>62</v>
      </c>
      <c r="AH334" s="294" t="str">
        <f t="shared" si="245"/>
        <v/>
      </c>
      <c r="AI334" s="294" t="str">
        <f t="shared" si="246"/>
        <v/>
      </c>
      <c r="AJ334" s="295" t="str">
        <f t="shared" si="247"/>
        <v/>
      </c>
      <c r="AK334" s="296" t="str">
        <f t="shared" si="248"/>
        <v/>
      </c>
      <c r="AL334" s="297" t="str">
        <f t="shared" si="249"/>
        <v/>
      </c>
      <c r="AM334" s="294" t="str">
        <f t="shared" si="250"/>
        <v/>
      </c>
      <c r="AN334" s="294" t="str">
        <f t="shared" si="251"/>
        <v/>
      </c>
      <c r="AO334" s="298" t="str">
        <f t="shared" si="252"/>
        <v/>
      </c>
      <c r="AP334" s="299" t="str">
        <f t="shared" si="253"/>
        <v/>
      </c>
      <c r="AQ334" s="299" t="str">
        <f t="shared" si="254"/>
        <v/>
      </c>
      <c r="AR334" s="300" t="str">
        <f t="shared" si="234"/>
        <v/>
      </c>
      <c r="AS334" s="300" t="str">
        <f t="shared" si="235"/>
        <v/>
      </c>
      <c r="AT334" s="294" t="str">
        <f t="shared" si="236"/>
        <v/>
      </c>
      <c r="AU334" s="301" t="str">
        <f>IF(OR($B334="", $AP334= ""),"",IF(VLOOKUP($AP334, CONTRATOS!B:K,3,FALSE)="","",VLOOKUP($AP334, CONTRATOS!B:K, 3,FALSE)))</f>
        <v/>
      </c>
      <c r="AV334" s="301" t="str">
        <f>IF(OR($B334="", $AP334 = ""), "", IF(VLOOKUP($AP334, CONTRATOS!B:K,4,FALSE)="","",VLOOKUP($AP334, CONTRATOS!B:K,4, FALSE)))</f>
        <v/>
      </c>
      <c r="AW334" s="302" t="str">
        <f t="shared" si="237"/>
        <v/>
      </c>
      <c r="AX334" s="301" t="str">
        <f t="shared" si="238"/>
        <v/>
      </c>
      <c r="AY334" s="301" t="str">
        <f t="shared" si="239"/>
        <v/>
      </c>
      <c r="AZ334" s="301" t="str">
        <f t="shared" si="240"/>
        <v/>
      </c>
      <c r="BA334" s="301" t="str">
        <f t="shared" si="241"/>
        <v/>
      </c>
      <c r="BB334" s="303">
        <f t="shared" si="255"/>
        <v>0</v>
      </c>
      <c r="BC334" s="303" t="str">
        <f t="shared" si="256"/>
        <v/>
      </c>
      <c r="BD334" s="303" t="str">
        <f t="shared" si="257"/>
        <v/>
      </c>
      <c r="BF334" s="304">
        <f t="shared" si="258"/>
        <v>0</v>
      </c>
      <c r="BG334" s="304">
        <f t="shared" si="259"/>
        <v>0</v>
      </c>
      <c r="BH334" s="304" t="str">
        <f>IF( $B334="", "", IF(ISNA(VLOOKUP($C334, Defesa!$C$8:$C$30,1,FALSE)),1,0))</f>
        <v/>
      </c>
      <c r="BI334" s="305" t="str">
        <f t="shared" si="260"/>
        <v/>
      </c>
      <c r="BJ334" s="305" t="str">
        <f t="shared" si="261"/>
        <v/>
      </c>
      <c r="BK334" s="304" t="str">
        <f t="shared" si="262"/>
        <v/>
      </c>
      <c r="BL334" s="304">
        <f t="shared" si="263"/>
        <v>0</v>
      </c>
      <c r="BM334" s="304" t="str">
        <f>IF($AC334="", "", IF(ISNA(VLOOKUP($AC334, TABELAS!$Q:$Q, 1, FALSE)), 1, 0))</f>
        <v/>
      </c>
      <c r="BN334" s="306" t="str">
        <f t="shared" si="264"/>
        <v/>
      </c>
      <c r="BO334" s="304" t="str">
        <f t="shared" si="265"/>
        <v/>
      </c>
      <c r="BP334" s="304" t="str">
        <f t="shared" si="266"/>
        <v/>
      </c>
      <c r="BQ334" s="305" t="str">
        <f t="shared" si="267"/>
        <v/>
      </c>
      <c r="BR334" s="304" t="str">
        <f t="shared" si="268"/>
        <v/>
      </c>
      <c r="BS334" s="304" t="str">
        <f t="shared" si="269"/>
        <v/>
      </c>
      <c r="BT334" s="304" t="str">
        <f>IF(OR($B334="", $AH334 = "SIM"), "", IF( ISNA(VLOOKUP($AP334,#REF!, 1, FALSE)), 1, 0))</f>
        <v/>
      </c>
      <c r="BU334" s="304" t="str">
        <f t="shared" si="270"/>
        <v/>
      </c>
      <c r="BV334" s="304" t="str">
        <f>IF( $B334="", "", IF( ISNA(VLOOKUP($AN334, TABELAS!$T$2:$T$9,1,FALSE)), 1, 0))</f>
        <v/>
      </c>
      <c r="BW334" s="304" t="str">
        <f t="shared" si="271"/>
        <v/>
      </c>
      <c r="BX334" s="304" t="str">
        <f>IF( OR($B334="", $AH334 = "SIM"), "", IF( ISNA( VLOOKUP( $AQ334, SISTEMA!$B:$B, 1, FALSE)), 1, 0))</f>
        <v/>
      </c>
      <c r="BY334" s="305" t="str">
        <f t="shared" si="272"/>
        <v/>
      </c>
      <c r="BZ334" s="305" t="str">
        <f t="shared" si="273"/>
        <v/>
      </c>
      <c r="CA334" s="304" t="str">
        <f t="shared" si="274"/>
        <v/>
      </c>
      <c r="CB334" s="305" t="str">
        <f t="shared" si="275"/>
        <v/>
      </c>
      <c r="CC334" s="305" t="str">
        <f t="shared" si="276"/>
        <v/>
      </c>
      <c r="CD334" s="305" t="str">
        <f t="shared" si="277"/>
        <v/>
      </c>
    </row>
    <row r="335" spans="1:82" x14ac:dyDescent="0.2">
      <c r="A335" s="235"/>
      <c r="B335" s="236" t="str">
        <f t="shared" si="242"/>
        <v/>
      </c>
      <c r="C335" s="237" t="str">
        <f t="shared" si="232"/>
        <v/>
      </c>
      <c r="D335" s="237" t="str">
        <f t="shared" si="243"/>
        <v/>
      </c>
      <c r="E335" s="237" t="str">
        <f>IF($C335="", "", COUNTIF($M$8:$M335,$D335))</f>
        <v/>
      </c>
      <c r="F335" s="238">
        <v>328</v>
      </c>
      <c r="G335" s="239"/>
      <c r="H335" s="240"/>
      <c r="I335" s="240"/>
      <c r="J335" s="241"/>
      <c r="K335" s="240"/>
      <c r="L335" s="240"/>
      <c r="M335" s="240"/>
      <c r="N335" s="242"/>
      <c r="O335" s="243"/>
      <c r="P335" s="243"/>
      <c r="Q335" s="243"/>
      <c r="R335" s="243"/>
      <c r="S335" s="243"/>
      <c r="T335" s="245"/>
      <c r="U335" s="246" t="str">
        <f>IF($T335="", "", VLOOKUP($T335, CONTRATOS!$B:$E, 2, FALSE))</f>
        <v/>
      </c>
      <c r="V335" s="247">
        <f>IF(OR($T335="",TB_DEFESA!$C$2="Criação Baseline"),0,
   IF(VLOOKUP($T335, CONTRATOS!B:E, 3, FALSE)&lt;&gt;"",1,IF(VLOOKUP($T335, CONTRATOS!B:E, 4, FALSE)&lt;&gt;"",2,0)))</f>
        <v>0</v>
      </c>
      <c r="W335" s="248"/>
      <c r="X335" s="248"/>
      <c r="Y335" s="249"/>
      <c r="Z335" s="250"/>
      <c r="AA335" s="251"/>
      <c r="AB335" s="252"/>
      <c r="AC335" s="253"/>
      <c r="AD335" s="251"/>
      <c r="AE335" s="254" t="str">
        <f t="shared" si="233"/>
        <v/>
      </c>
      <c r="AF335" s="256" t="str">
        <f t="shared" si="244"/>
        <v/>
      </c>
      <c r="AG335" s="293" t="s">
        <v>62</v>
      </c>
      <c r="AH335" s="294" t="str">
        <f t="shared" si="245"/>
        <v/>
      </c>
      <c r="AI335" s="294" t="str">
        <f t="shared" si="246"/>
        <v/>
      </c>
      <c r="AJ335" s="295" t="str">
        <f t="shared" si="247"/>
        <v/>
      </c>
      <c r="AK335" s="296" t="str">
        <f t="shared" si="248"/>
        <v/>
      </c>
      <c r="AL335" s="297" t="str">
        <f t="shared" si="249"/>
        <v/>
      </c>
      <c r="AM335" s="294" t="str">
        <f t="shared" si="250"/>
        <v/>
      </c>
      <c r="AN335" s="294" t="str">
        <f t="shared" si="251"/>
        <v/>
      </c>
      <c r="AO335" s="298" t="str">
        <f t="shared" si="252"/>
        <v/>
      </c>
      <c r="AP335" s="299" t="str">
        <f t="shared" si="253"/>
        <v/>
      </c>
      <c r="AQ335" s="299" t="str">
        <f t="shared" si="254"/>
        <v/>
      </c>
      <c r="AR335" s="300" t="str">
        <f t="shared" si="234"/>
        <v/>
      </c>
      <c r="AS335" s="300" t="str">
        <f t="shared" si="235"/>
        <v/>
      </c>
      <c r="AT335" s="294" t="str">
        <f t="shared" si="236"/>
        <v/>
      </c>
      <c r="AU335" s="301" t="str">
        <f>IF(OR($B335="", $AP335= ""),"",IF(VLOOKUP($AP335, CONTRATOS!B:K,3,FALSE)="","",VLOOKUP($AP335, CONTRATOS!B:K, 3,FALSE)))</f>
        <v/>
      </c>
      <c r="AV335" s="301" t="str">
        <f>IF(OR($B335="", $AP335 = ""), "", IF(VLOOKUP($AP335, CONTRATOS!B:K,4,FALSE)="","",VLOOKUP($AP335, CONTRATOS!B:K,4, FALSE)))</f>
        <v/>
      </c>
      <c r="AW335" s="302" t="str">
        <f t="shared" si="237"/>
        <v/>
      </c>
      <c r="AX335" s="301" t="str">
        <f t="shared" si="238"/>
        <v/>
      </c>
      <c r="AY335" s="301" t="str">
        <f t="shared" si="239"/>
        <v/>
      </c>
      <c r="AZ335" s="301" t="str">
        <f t="shared" si="240"/>
        <v/>
      </c>
      <c r="BA335" s="301" t="str">
        <f t="shared" si="241"/>
        <v/>
      </c>
      <c r="BB335" s="303">
        <f t="shared" si="255"/>
        <v>0</v>
      </c>
      <c r="BC335" s="303" t="str">
        <f t="shared" si="256"/>
        <v/>
      </c>
      <c r="BD335" s="303" t="str">
        <f t="shared" si="257"/>
        <v/>
      </c>
      <c r="BF335" s="304">
        <f t="shared" si="258"/>
        <v>0</v>
      </c>
      <c r="BG335" s="304">
        <f t="shared" si="259"/>
        <v>0</v>
      </c>
      <c r="BH335" s="304" t="str">
        <f>IF( $B335="", "", IF(ISNA(VLOOKUP($C335, Defesa!$C$8:$C$30,1,FALSE)),1,0))</f>
        <v/>
      </c>
      <c r="BI335" s="305" t="str">
        <f t="shared" si="260"/>
        <v/>
      </c>
      <c r="BJ335" s="305" t="str">
        <f t="shared" si="261"/>
        <v/>
      </c>
      <c r="BK335" s="304" t="str">
        <f t="shared" si="262"/>
        <v/>
      </c>
      <c r="BL335" s="304">
        <f t="shared" si="263"/>
        <v>0</v>
      </c>
      <c r="BM335" s="304" t="str">
        <f>IF($AC335="", "", IF(ISNA(VLOOKUP($AC335, TABELAS!$Q:$Q, 1, FALSE)), 1, 0))</f>
        <v/>
      </c>
      <c r="BN335" s="306" t="str">
        <f t="shared" si="264"/>
        <v/>
      </c>
      <c r="BO335" s="304" t="str">
        <f t="shared" si="265"/>
        <v/>
      </c>
      <c r="BP335" s="304" t="str">
        <f t="shared" si="266"/>
        <v/>
      </c>
      <c r="BQ335" s="305" t="str">
        <f t="shared" si="267"/>
        <v/>
      </c>
      <c r="BR335" s="304" t="str">
        <f t="shared" si="268"/>
        <v/>
      </c>
      <c r="BS335" s="304" t="str">
        <f t="shared" si="269"/>
        <v/>
      </c>
      <c r="BT335" s="304" t="str">
        <f>IF(OR($B335="", $AH335 = "SIM"), "", IF( ISNA(VLOOKUP($AP335,#REF!, 1, FALSE)), 1, 0))</f>
        <v/>
      </c>
      <c r="BU335" s="304" t="str">
        <f t="shared" si="270"/>
        <v/>
      </c>
      <c r="BV335" s="304" t="str">
        <f>IF( $B335="", "", IF( ISNA(VLOOKUP($AN335, TABELAS!$T$2:$T$9,1,FALSE)), 1, 0))</f>
        <v/>
      </c>
      <c r="BW335" s="304" t="str">
        <f t="shared" si="271"/>
        <v/>
      </c>
      <c r="BX335" s="304" t="str">
        <f>IF( OR($B335="", $AH335 = "SIM"), "", IF( ISNA( VLOOKUP( $AQ335, SISTEMA!$B:$B, 1, FALSE)), 1, 0))</f>
        <v/>
      </c>
      <c r="BY335" s="305" t="str">
        <f t="shared" si="272"/>
        <v/>
      </c>
      <c r="BZ335" s="305" t="str">
        <f t="shared" si="273"/>
        <v/>
      </c>
      <c r="CA335" s="304" t="str">
        <f t="shared" si="274"/>
        <v/>
      </c>
      <c r="CB335" s="305" t="str">
        <f t="shared" si="275"/>
        <v/>
      </c>
      <c r="CC335" s="305" t="str">
        <f t="shared" si="276"/>
        <v/>
      </c>
      <c r="CD335" s="305" t="str">
        <f t="shared" si="277"/>
        <v/>
      </c>
    </row>
    <row r="336" spans="1:82" x14ac:dyDescent="0.2">
      <c r="A336" s="235"/>
      <c r="B336" s="236" t="str">
        <f t="shared" si="242"/>
        <v/>
      </c>
      <c r="C336" s="237" t="str">
        <f t="shared" si="232"/>
        <v/>
      </c>
      <c r="D336" s="237" t="str">
        <f t="shared" si="243"/>
        <v/>
      </c>
      <c r="E336" s="237" t="str">
        <f>IF($C336="", "", COUNTIF($M$8:$M336,$D336))</f>
        <v/>
      </c>
      <c r="F336" s="238">
        <v>329</v>
      </c>
      <c r="G336" s="239"/>
      <c r="H336" s="240"/>
      <c r="I336" s="240"/>
      <c r="J336" s="241"/>
      <c r="K336" s="240"/>
      <c r="L336" s="240"/>
      <c r="M336" s="240"/>
      <c r="N336" s="242"/>
      <c r="O336" s="243"/>
      <c r="P336" s="243"/>
      <c r="Q336" s="243"/>
      <c r="R336" s="243"/>
      <c r="S336" s="243"/>
      <c r="T336" s="245"/>
      <c r="U336" s="246" t="str">
        <f>IF($T336="", "", VLOOKUP($T336, CONTRATOS!$B:$E, 2, FALSE))</f>
        <v/>
      </c>
      <c r="V336" s="247">
        <f>IF(OR($T336="",TB_DEFESA!$C$2="Criação Baseline"),0,
   IF(VLOOKUP($T336, CONTRATOS!B:E, 3, FALSE)&lt;&gt;"",1,IF(VLOOKUP($T336, CONTRATOS!B:E, 4, FALSE)&lt;&gt;"",2,0)))</f>
        <v>0</v>
      </c>
      <c r="W336" s="248"/>
      <c r="X336" s="248"/>
      <c r="Y336" s="249"/>
      <c r="Z336" s="250"/>
      <c r="AA336" s="251"/>
      <c r="AB336" s="252"/>
      <c r="AC336" s="253"/>
      <c r="AD336" s="251"/>
      <c r="AE336" s="254" t="str">
        <f t="shared" si="233"/>
        <v/>
      </c>
      <c r="AF336" s="256" t="str">
        <f t="shared" si="244"/>
        <v/>
      </c>
      <c r="AG336" s="293" t="s">
        <v>62</v>
      </c>
      <c r="AH336" s="294" t="str">
        <f t="shared" si="245"/>
        <v/>
      </c>
      <c r="AI336" s="294" t="str">
        <f t="shared" si="246"/>
        <v/>
      </c>
      <c r="AJ336" s="295" t="str">
        <f t="shared" si="247"/>
        <v/>
      </c>
      <c r="AK336" s="296" t="str">
        <f t="shared" si="248"/>
        <v/>
      </c>
      <c r="AL336" s="297" t="str">
        <f t="shared" si="249"/>
        <v/>
      </c>
      <c r="AM336" s="294" t="str">
        <f t="shared" si="250"/>
        <v/>
      </c>
      <c r="AN336" s="294" t="str">
        <f t="shared" si="251"/>
        <v/>
      </c>
      <c r="AO336" s="298" t="str">
        <f t="shared" si="252"/>
        <v/>
      </c>
      <c r="AP336" s="299" t="str">
        <f t="shared" si="253"/>
        <v/>
      </c>
      <c r="AQ336" s="299" t="str">
        <f t="shared" si="254"/>
        <v/>
      </c>
      <c r="AR336" s="300" t="str">
        <f t="shared" si="234"/>
        <v/>
      </c>
      <c r="AS336" s="300" t="str">
        <f t="shared" si="235"/>
        <v/>
      </c>
      <c r="AT336" s="294" t="str">
        <f t="shared" si="236"/>
        <v/>
      </c>
      <c r="AU336" s="301" t="str">
        <f>IF(OR($B336="", $AP336= ""),"",IF(VLOOKUP($AP336, CONTRATOS!B:K,3,FALSE)="","",VLOOKUP($AP336, CONTRATOS!B:K, 3,FALSE)))</f>
        <v/>
      </c>
      <c r="AV336" s="301" t="str">
        <f>IF(OR($B336="", $AP336 = ""), "", IF(VLOOKUP($AP336, CONTRATOS!B:K,4,FALSE)="","",VLOOKUP($AP336, CONTRATOS!B:K,4, FALSE)))</f>
        <v/>
      </c>
      <c r="AW336" s="302" t="str">
        <f t="shared" si="237"/>
        <v/>
      </c>
      <c r="AX336" s="301" t="str">
        <f t="shared" si="238"/>
        <v/>
      </c>
      <c r="AY336" s="301" t="str">
        <f t="shared" si="239"/>
        <v/>
      </c>
      <c r="AZ336" s="301" t="str">
        <f t="shared" si="240"/>
        <v/>
      </c>
      <c r="BA336" s="301" t="str">
        <f t="shared" si="241"/>
        <v/>
      </c>
      <c r="BB336" s="303">
        <f t="shared" si="255"/>
        <v>0</v>
      </c>
      <c r="BC336" s="303" t="str">
        <f t="shared" si="256"/>
        <v/>
      </c>
      <c r="BD336" s="303" t="str">
        <f t="shared" si="257"/>
        <v/>
      </c>
      <c r="BF336" s="304">
        <f t="shared" si="258"/>
        <v>0</v>
      </c>
      <c r="BG336" s="304">
        <f t="shared" si="259"/>
        <v>0</v>
      </c>
      <c r="BH336" s="304" t="str">
        <f>IF( $B336="", "", IF(ISNA(VLOOKUP($C336, Defesa!$C$8:$C$30,1,FALSE)),1,0))</f>
        <v/>
      </c>
      <c r="BI336" s="305" t="str">
        <f t="shared" si="260"/>
        <v/>
      </c>
      <c r="BJ336" s="305" t="str">
        <f t="shared" si="261"/>
        <v/>
      </c>
      <c r="BK336" s="304" t="str">
        <f t="shared" si="262"/>
        <v/>
      </c>
      <c r="BL336" s="304">
        <f t="shared" si="263"/>
        <v>0</v>
      </c>
      <c r="BM336" s="304" t="str">
        <f>IF($AC336="", "", IF(ISNA(VLOOKUP($AC336, TABELAS!$Q:$Q, 1, FALSE)), 1, 0))</f>
        <v/>
      </c>
      <c r="BN336" s="306" t="str">
        <f t="shared" si="264"/>
        <v/>
      </c>
      <c r="BO336" s="304" t="str">
        <f t="shared" si="265"/>
        <v/>
      </c>
      <c r="BP336" s="304" t="str">
        <f t="shared" si="266"/>
        <v/>
      </c>
      <c r="BQ336" s="305" t="str">
        <f t="shared" si="267"/>
        <v/>
      </c>
      <c r="BR336" s="304" t="str">
        <f t="shared" si="268"/>
        <v/>
      </c>
      <c r="BS336" s="304" t="str">
        <f t="shared" si="269"/>
        <v/>
      </c>
      <c r="BT336" s="304" t="str">
        <f>IF(OR($B336="", $AH336 = "SIM"), "", IF( ISNA(VLOOKUP($AP336,#REF!, 1, FALSE)), 1, 0))</f>
        <v/>
      </c>
      <c r="BU336" s="304" t="str">
        <f t="shared" si="270"/>
        <v/>
      </c>
      <c r="BV336" s="304" t="str">
        <f>IF( $B336="", "", IF( ISNA(VLOOKUP($AN336, TABELAS!$T$2:$T$9,1,FALSE)), 1, 0))</f>
        <v/>
      </c>
      <c r="BW336" s="304" t="str">
        <f t="shared" si="271"/>
        <v/>
      </c>
      <c r="BX336" s="304" t="str">
        <f>IF( OR($B336="", $AH336 = "SIM"), "", IF( ISNA( VLOOKUP( $AQ336, SISTEMA!$B:$B, 1, FALSE)), 1, 0))</f>
        <v/>
      </c>
      <c r="BY336" s="305" t="str">
        <f t="shared" si="272"/>
        <v/>
      </c>
      <c r="BZ336" s="305" t="str">
        <f t="shared" si="273"/>
        <v/>
      </c>
      <c r="CA336" s="304" t="str">
        <f t="shared" si="274"/>
        <v/>
      </c>
      <c r="CB336" s="305" t="str">
        <f t="shared" si="275"/>
        <v/>
      </c>
      <c r="CC336" s="305" t="str">
        <f t="shared" si="276"/>
        <v/>
      </c>
      <c r="CD336" s="305" t="str">
        <f t="shared" si="277"/>
        <v/>
      </c>
    </row>
    <row r="337" spans="1:82" x14ac:dyDescent="0.2">
      <c r="A337" s="235"/>
      <c r="B337" s="236" t="str">
        <f t="shared" si="242"/>
        <v/>
      </c>
      <c r="C337" s="237" t="str">
        <f t="shared" si="232"/>
        <v/>
      </c>
      <c r="D337" s="237" t="str">
        <f t="shared" si="243"/>
        <v/>
      </c>
      <c r="E337" s="237" t="str">
        <f>IF($C337="", "", COUNTIF($M$8:$M337,$D337))</f>
        <v/>
      </c>
      <c r="F337" s="238">
        <v>330</v>
      </c>
      <c r="G337" s="239"/>
      <c r="H337" s="240"/>
      <c r="I337" s="240"/>
      <c r="J337" s="241"/>
      <c r="K337" s="240"/>
      <c r="L337" s="240"/>
      <c r="M337" s="240"/>
      <c r="N337" s="242"/>
      <c r="O337" s="243"/>
      <c r="P337" s="243"/>
      <c r="Q337" s="243"/>
      <c r="R337" s="243"/>
      <c r="S337" s="243"/>
      <c r="T337" s="245"/>
      <c r="U337" s="246" t="str">
        <f>IF($T337="", "", VLOOKUP($T337, CONTRATOS!$B:$E, 2, FALSE))</f>
        <v/>
      </c>
      <c r="V337" s="247">
        <f>IF(OR($T337="",TB_DEFESA!$C$2="Criação Baseline"),0,
   IF(VLOOKUP($T337, CONTRATOS!B:E, 3, FALSE)&lt;&gt;"",1,IF(VLOOKUP($T337, CONTRATOS!B:E, 4, FALSE)&lt;&gt;"",2,0)))</f>
        <v>0</v>
      </c>
      <c r="W337" s="248"/>
      <c r="X337" s="248"/>
      <c r="Y337" s="249"/>
      <c r="Z337" s="250"/>
      <c r="AA337" s="251"/>
      <c r="AB337" s="252"/>
      <c r="AC337" s="253"/>
      <c r="AD337" s="251"/>
      <c r="AE337" s="254" t="str">
        <f t="shared" si="233"/>
        <v/>
      </c>
      <c r="AF337" s="256" t="str">
        <f t="shared" si="244"/>
        <v/>
      </c>
      <c r="AG337" s="293" t="s">
        <v>62</v>
      </c>
      <c r="AH337" s="294" t="str">
        <f t="shared" si="245"/>
        <v/>
      </c>
      <c r="AI337" s="294" t="str">
        <f t="shared" si="246"/>
        <v/>
      </c>
      <c r="AJ337" s="295" t="str">
        <f t="shared" si="247"/>
        <v/>
      </c>
      <c r="AK337" s="296" t="str">
        <f t="shared" si="248"/>
        <v/>
      </c>
      <c r="AL337" s="297" t="str">
        <f t="shared" si="249"/>
        <v/>
      </c>
      <c r="AM337" s="294" t="str">
        <f t="shared" si="250"/>
        <v/>
      </c>
      <c r="AN337" s="294" t="str">
        <f t="shared" si="251"/>
        <v/>
      </c>
      <c r="AO337" s="298" t="str">
        <f t="shared" si="252"/>
        <v/>
      </c>
      <c r="AP337" s="299" t="str">
        <f t="shared" si="253"/>
        <v/>
      </c>
      <c r="AQ337" s="299" t="str">
        <f t="shared" si="254"/>
        <v/>
      </c>
      <c r="AR337" s="300" t="str">
        <f t="shared" si="234"/>
        <v/>
      </c>
      <c r="AS337" s="300" t="str">
        <f t="shared" si="235"/>
        <v/>
      </c>
      <c r="AT337" s="294" t="str">
        <f t="shared" si="236"/>
        <v/>
      </c>
      <c r="AU337" s="301" t="str">
        <f>IF(OR($B337="", $AP337= ""),"",IF(VLOOKUP($AP337, CONTRATOS!B:K,3,FALSE)="","",VLOOKUP($AP337, CONTRATOS!B:K, 3,FALSE)))</f>
        <v/>
      </c>
      <c r="AV337" s="301" t="str">
        <f>IF(OR($B337="", $AP337 = ""), "", IF(VLOOKUP($AP337, CONTRATOS!B:K,4,FALSE)="","",VLOOKUP($AP337, CONTRATOS!B:K,4, FALSE)))</f>
        <v/>
      </c>
      <c r="AW337" s="302" t="str">
        <f t="shared" si="237"/>
        <v/>
      </c>
      <c r="AX337" s="301" t="str">
        <f t="shared" si="238"/>
        <v/>
      </c>
      <c r="AY337" s="301" t="str">
        <f t="shared" si="239"/>
        <v/>
      </c>
      <c r="AZ337" s="301" t="str">
        <f t="shared" si="240"/>
        <v/>
      </c>
      <c r="BA337" s="301" t="str">
        <f t="shared" si="241"/>
        <v/>
      </c>
      <c r="BB337" s="303">
        <f t="shared" si="255"/>
        <v>0</v>
      </c>
      <c r="BC337" s="303" t="str">
        <f t="shared" si="256"/>
        <v/>
      </c>
      <c r="BD337" s="303" t="str">
        <f t="shared" si="257"/>
        <v/>
      </c>
      <c r="BF337" s="304">
        <f t="shared" si="258"/>
        <v>0</v>
      </c>
      <c r="BG337" s="304">
        <f t="shared" si="259"/>
        <v>0</v>
      </c>
      <c r="BH337" s="304" t="str">
        <f>IF( $B337="", "", IF(ISNA(VLOOKUP($C337, Defesa!$C$8:$C$30,1,FALSE)),1,0))</f>
        <v/>
      </c>
      <c r="BI337" s="305" t="str">
        <f t="shared" si="260"/>
        <v/>
      </c>
      <c r="BJ337" s="305" t="str">
        <f t="shared" si="261"/>
        <v/>
      </c>
      <c r="BK337" s="304" t="str">
        <f t="shared" si="262"/>
        <v/>
      </c>
      <c r="BL337" s="304">
        <f t="shared" si="263"/>
        <v>0</v>
      </c>
      <c r="BM337" s="304" t="str">
        <f>IF($AC337="", "", IF(ISNA(VLOOKUP($AC337, TABELAS!$Q:$Q, 1, FALSE)), 1, 0))</f>
        <v/>
      </c>
      <c r="BN337" s="306" t="str">
        <f t="shared" si="264"/>
        <v/>
      </c>
      <c r="BO337" s="304" t="str">
        <f t="shared" si="265"/>
        <v/>
      </c>
      <c r="BP337" s="304" t="str">
        <f t="shared" si="266"/>
        <v/>
      </c>
      <c r="BQ337" s="305" t="str">
        <f t="shared" si="267"/>
        <v/>
      </c>
      <c r="BR337" s="304" t="str">
        <f t="shared" si="268"/>
        <v/>
      </c>
      <c r="BS337" s="304" t="str">
        <f t="shared" si="269"/>
        <v/>
      </c>
      <c r="BT337" s="304" t="str">
        <f>IF(OR($B337="", $AH337 = "SIM"), "", IF( ISNA(VLOOKUP($AP337,#REF!, 1, FALSE)), 1, 0))</f>
        <v/>
      </c>
      <c r="BU337" s="304" t="str">
        <f t="shared" si="270"/>
        <v/>
      </c>
      <c r="BV337" s="304" t="str">
        <f>IF( $B337="", "", IF( ISNA(VLOOKUP($AN337, TABELAS!$T$2:$T$9,1,FALSE)), 1, 0))</f>
        <v/>
      </c>
      <c r="BW337" s="304" t="str">
        <f t="shared" si="271"/>
        <v/>
      </c>
      <c r="BX337" s="304" t="str">
        <f>IF( OR($B337="", $AH337 = "SIM"), "", IF( ISNA( VLOOKUP( $AQ337, SISTEMA!$B:$B, 1, FALSE)), 1, 0))</f>
        <v/>
      </c>
      <c r="BY337" s="305" t="str">
        <f t="shared" si="272"/>
        <v/>
      </c>
      <c r="BZ337" s="305" t="str">
        <f t="shared" si="273"/>
        <v/>
      </c>
      <c r="CA337" s="304" t="str">
        <f t="shared" si="274"/>
        <v/>
      </c>
      <c r="CB337" s="305" t="str">
        <f t="shared" si="275"/>
        <v/>
      </c>
      <c r="CC337" s="305" t="str">
        <f t="shared" si="276"/>
        <v/>
      </c>
      <c r="CD337" s="305" t="str">
        <f t="shared" si="277"/>
        <v/>
      </c>
    </row>
    <row r="338" spans="1:82" x14ac:dyDescent="0.2">
      <c r="A338" s="235"/>
      <c r="B338" s="236" t="str">
        <f t="shared" si="242"/>
        <v/>
      </c>
      <c r="C338" s="237" t="str">
        <f t="shared" si="232"/>
        <v/>
      </c>
      <c r="D338" s="237" t="str">
        <f t="shared" si="243"/>
        <v/>
      </c>
      <c r="E338" s="237" t="str">
        <f>IF($C338="", "", COUNTIF($M$8:$M338,$D338))</f>
        <v/>
      </c>
      <c r="F338" s="238">
        <v>331</v>
      </c>
      <c r="G338" s="239"/>
      <c r="H338" s="240"/>
      <c r="I338" s="240"/>
      <c r="J338" s="241"/>
      <c r="K338" s="240"/>
      <c r="L338" s="240"/>
      <c r="M338" s="240"/>
      <c r="N338" s="242"/>
      <c r="O338" s="243"/>
      <c r="P338" s="243"/>
      <c r="Q338" s="243"/>
      <c r="R338" s="243"/>
      <c r="S338" s="243"/>
      <c r="T338" s="245"/>
      <c r="U338" s="246" t="str">
        <f>IF($T338="", "", VLOOKUP($T338, CONTRATOS!$B:$E, 2, FALSE))</f>
        <v/>
      </c>
      <c r="V338" s="247">
        <f>IF(OR($T338="",TB_DEFESA!$C$2="Criação Baseline"),0,
   IF(VLOOKUP($T338, CONTRATOS!B:E, 3, FALSE)&lt;&gt;"",1,IF(VLOOKUP($T338, CONTRATOS!B:E, 4, FALSE)&lt;&gt;"",2,0)))</f>
        <v>0</v>
      </c>
      <c r="W338" s="248"/>
      <c r="X338" s="248"/>
      <c r="Y338" s="249"/>
      <c r="Z338" s="250"/>
      <c r="AA338" s="251"/>
      <c r="AB338" s="252"/>
      <c r="AC338" s="253"/>
      <c r="AD338" s="251"/>
      <c r="AE338" s="254" t="str">
        <f t="shared" si="233"/>
        <v/>
      </c>
      <c r="AF338" s="256" t="str">
        <f t="shared" si="244"/>
        <v/>
      </c>
      <c r="AG338" s="293" t="s">
        <v>62</v>
      </c>
      <c r="AH338" s="294" t="str">
        <f t="shared" si="245"/>
        <v/>
      </c>
      <c r="AI338" s="294" t="str">
        <f t="shared" si="246"/>
        <v/>
      </c>
      <c r="AJ338" s="295" t="str">
        <f t="shared" si="247"/>
        <v/>
      </c>
      <c r="AK338" s="296" t="str">
        <f t="shared" si="248"/>
        <v/>
      </c>
      <c r="AL338" s="297" t="str">
        <f t="shared" si="249"/>
        <v/>
      </c>
      <c r="AM338" s="294" t="str">
        <f t="shared" si="250"/>
        <v/>
      </c>
      <c r="AN338" s="294" t="str">
        <f t="shared" si="251"/>
        <v/>
      </c>
      <c r="AO338" s="298" t="str">
        <f t="shared" si="252"/>
        <v/>
      </c>
      <c r="AP338" s="299" t="str">
        <f t="shared" si="253"/>
        <v/>
      </c>
      <c r="AQ338" s="299" t="str">
        <f t="shared" si="254"/>
        <v/>
      </c>
      <c r="AR338" s="300" t="str">
        <f t="shared" si="234"/>
        <v/>
      </c>
      <c r="AS338" s="300" t="str">
        <f t="shared" si="235"/>
        <v/>
      </c>
      <c r="AT338" s="294" t="str">
        <f t="shared" si="236"/>
        <v/>
      </c>
      <c r="AU338" s="301" t="str">
        <f>IF(OR($B338="", $AP338= ""),"",IF(VLOOKUP($AP338, CONTRATOS!B:K,3,FALSE)="","",VLOOKUP($AP338, CONTRATOS!B:K, 3,FALSE)))</f>
        <v/>
      </c>
      <c r="AV338" s="301" t="str">
        <f>IF(OR($B338="", $AP338 = ""), "", IF(VLOOKUP($AP338, CONTRATOS!B:K,4,FALSE)="","",VLOOKUP($AP338, CONTRATOS!B:K,4, FALSE)))</f>
        <v/>
      </c>
      <c r="AW338" s="302" t="str">
        <f t="shared" si="237"/>
        <v/>
      </c>
      <c r="AX338" s="301" t="str">
        <f t="shared" si="238"/>
        <v/>
      </c>
      <c r="AY338" s="301" t="str">
        <f t="shared" si="239"/>
        <v/>
      </c>
      <c r="AZ338" s="301" t="str">
        <f t="shared" si="240"/>
        <v/>
      </c>
      <c r="BA338" s="301" t="str">
        <f t="shared" si="241"/>
        <v/>
      </c>
      <c r="BB338" s="303">
        <f t="shared" si="255"/>
        <v>0</v>
      </c>
      <c r="BC338" s="303" t="str">
        <f t="shared" si="256"/>
        <v/>
      </c>
      <c r="BD338" s="303" t="str">
        <f t="shared" si="257"/>
        <v/>
      </c>
      <c r="BF338" s="304">
        <f t="shared" si="258"/>
        <v>0</v>
      </c>
      <c r="BG338" s="304">
        <f t="shared" si="259"/>
        <v>0</v>
      </c>
      <c r="BH338" s="304" t="str">
        <f>IF( $B338="", "", IF(ISNA(VLOOKUP($C338, Defesa!$C$8:$C$30,1,FALSE)),1,0))</f>
        <v/>
      </c>
      <c r="BI338" s="305" t="str">
        <f t="shared" si="260"/>
        <v/>
      </c>
      <c r="BJ338" s="305" t="str">
        <f t="shared" si="261"/>
        <v/>
      </c>
      <c r="BK338" s="304" t="str">
        <f t="shared" si="262"/>
        <v/>
      </c>
      <c r="BL338" s="304">
        <f t="shared" si="263"/>
        <v>0</v>
      </c>
      <c r="BM338" s="304" t="str">
        <f>IF($AC338="", "", IF(ISNA(VLOOKUP($AC338, TABELAS!$Q:$Q, 1, FALSE)), 1, 0))</f>
        <v/>
      </c>
      <c r="BN338" s="306" t="str">
        <f t="shared" si="264"/>
        <v/>
      </c>
      <c r="BO338" s="304" t="str">
        <f t="shared" si="265"/>
        <v/>
      </c>
      <c r="BP338" s="304" t="str">
        <f t="shared" si="266"/>
        <v/>
      </c>
      <c r="BQ338" s="305" t="str">
        <f t="shared" si="267"/>
        <v/>
      </c>
      <c r="BR338" s="304" t="str">
        <f t="shared" si="268"/>
        <v/>
      </c>
      <c r="BS338" s="304" t="str">
        <f t="shared" si="269"/>
        <v/>
      </c>
      <c r="BT338" s="304" t="str">
        <f>IF(OR($B338="", $AH338 = "SIM"), "", IF( ISNA(VLOOKUP($AP338,#REF!, 1, FALSE)), 1, 0))</f>
        <v/>
      </c>
      <c r="BU338" s="304" t="str">
        <f t="shared" si="270"/>
        <v/>
      </c>
      <c r="BV338" s="304" t="str">
        <f>IF( $B338="", "", IF( ISNA(VLOOKUP($AN338, TABELAS!$T$2:$T$9,1,FALSE)), 1, 0))</f>
        <v/>
      </c>
      <c r="BW338" s="304" t="str">
        <f t="shared" si="271"/>
        <v/>
      </c>
      <c r="BX338" s="304" t="str">
        <f>IF( OR($B338="", $AH338 = "SIM"), "", IF( ISNA( VLOOKUP( $AQ338, SISTEMA!$B:$B, 1, FALSE)), 1, 0))</f>
        <v/>
      </c>
      <c r="BY338" s="305" t="str">
        <f t="shared" si="272"/>
        <v/>
      </c>
      <c r="BZ338" s="305" t="str">
        <f t="shared" si="273"/>
        <v/>
      </c>
      <c r="CA338" s="304" t="str">
        <f t="shared" si="274"/>
        <v/>
      </c>
      <c r="CB338" s="305" t="str">
        <f t="shared" si="275"/>
        <v/>
      </c>
      <c r="CC338" s="305" t="str">
        <f t="shared" si="276"/>
        <v/>
      </c>
      <c r="CD338" s="305" t="str">
        <f t="shared" si="277"/>
        <v/>
      </c>
    </row>
    <row r="339" spans="1:82" x14ac:dyDescent="0.2">
      <c r="A339" s="235"/>
      <c r="B339" s="236" t="str">
        <f t="shared" si="242"/>
        <v/>
      </c>
      <c r="C339" s="237" t="str">
        <f t="shared" si="232"/>
        <v/>
      </c>
      <c r="D339" s="237" t="str">
        <f t="shared" si="243"/>
        <v/>
      </c>
      <c r="E339" s="237" t="str">
        <f>IF($C339="", "", COUNTIF($M$8:$M339,$D339))</f>
        <v/>
      </c>
      <c r="F339" s="238">
        <v>332</v>
      </c>
      <c r="G339" s="239"/>
      <c r="H339" s="240"/>
      <c r="I339" s="240"/>
      <c r="J339" s="241"/>
      <c r="K339" s="240"/>
      <c r="L339" s="240"/>
      <c r="M339" s="240"/>
      <c r="N339" s="242"/>
      <c r="O339" s="243"/>
      <c r="P339" s="243"/>
      <c r="Q339" s="243"/>
      <c r="R339" s="243"/>
      <c r="S339" s="243"/>
      <c r="T339" s="245"/>
      <c r="U339" s="246" t="str">
        <f>IF($T339="", "", VLOOKUP($T339, CONTRATOS!$B:$E, 2, FALSE))</f>
        <v/>
      </c>
      <c r="V339" s="247">
        <f>IF(OR($T339="",TB_DEFESA!$C$2="Criação Baseline"),0,
   IF(VLOOKUP($T339, CONTRATOS!B:E, 3, FALSE)&lt;&gt;"",1,IF(VLOOKUP($T339, CONTRATOS!B:E, 4, FALSE)&lt;&gt;"",2,0)))</f>
        <v>0</v>
      </c>
      <c r="W339" s="248"/>
      <c r="X339" s="248"/>
      <c r="Y339" s="249"/>
      <c r="Z339" s="250"/>
      <c r="AA339" s="251"/>
      <c r="AB339" s="252"/>
      <c r="AC339" s="253"/>
      <c r="AD339" s="251"/>
      <c r="AE339" s="254" t="str">
        <f t="shared" si="233"/>
        <v/>
      </c>
      <c r="AF339" s="256" t="str">
        <f t="shared" si="244"/>
        <v/>
      </c>
      <c r="AG339" s="293" t="s">
        <v>62</v>
      </c>
      <c r="AH339" s="294" t="str">
        <f t="shared" si="245"/>
        <v/>
      </c>
      <c r="AI339" s="294" t="str">
        <f t="shared" si="246"/>
        <v/>
      </c>
      <c r="AJ339" s="295" t="str">
        <f t="shared" si="247"/>
        <v/>
      </c>
      <c r="AK339" s="296" t="str">
        <f t="shared" si="248"/>
        <v/>
      </c>
      <c r="AL339" s="297" t="str">
        <f t="shared" si="249"/>
        <v/>
      </c>
      <c r="AM339" s="294" t="str">
        <f t="shared" si="250"/>
        <v/>
      </c>
      <c r="AN339" s="294" t="str">
        <f t="shared" si="251"/>
        <v/>
      </c>
      <c r="AO339" s="298" t="str">
        <f t="shared" si="252"/>
        <v/>
      </c>
      <c r="AP339" s="299" t="str">
        <f t="shared" si="253"/>
        <v/>
      </c>
      <c r="AQ339" s="299" t="str">
        <f t="shared" si="254"/>
        <v/>
      </c>
      <c r="AR339" s="300" t="str">
        <f t="shared" si="234"/>
        <v/>
      </c>
      <c r="AS339" s="300" t="str">
        <f t="shared" si="235"/>
        <v/>
      </c>
      <c r="AT339" s="294" t="str">
        <f t="shared" si="236"/>
        <v/>
      </c>
      <c r="AU339" s="301" t="str">
        <f>IF(OR($B339="", $AP339= ""),"",IF(VLOOKUP($AP339, CONTRATOS!B:K,3,FALSE)="","",VLOOKUP($AP339, CONTRATOS!B:K, 3,FALSE)))</f>
        <v/>
      </c>
      <c r="AV339" s="301" t="str">
        <f>IF(OR($B339="", $AP339 = ""), "", IF(VLOOKUP($AP339, CONTRATOS!B:K,4,FALSE)="","",VLOOKUP($AP339, CONTRATOS!B:K,4, FALSE)))</f>
        <v/>
      </c>
      <c r="AW339" s="302" t="str">
        <f t="shared" si="237"/>
        <v/>
      </c>
      <c r="AX339" s="301" t="str">
        <f t="shared" si="238"/>
        <v/>
      </c>
      <c r="AY339" s="301" t="str">
        <f t="shared" si="239"/>
        <v/>
      </c>
      <c r="AZ339" s="301" t="str">
        <f t="shared" si="240"/>
        <v/>
      </c>
      <c r="BA339" s="301" t="str">
        <f t="shared" si="241"/>
        <v/>
      </c>
      <c r="BB339" s="303">
        <f t="shared" si="255"/>
        <v>0</v>
      </c>
      <c r="BC339" s="303" t="str">
        <f t="shared" si="256"/>
        <v/>
      </c>
      <c r="BD339" s="303" t="str">
        <f t="shared" si="257"/>
        <v/>
      </c>
      <c r="BF339" s="304">
        <f t="shared" si="258"/>
        <v>0</v>
      </c>
      <c r="BG339" s="304">
        <f t="shared" si="259"/>
        <v>0</v>
      </c>
      <c r="BH339" s="304" t="str">
        <f>IF( $B339="", "", IF(ISNA(VLOOKUP($C339, Defesa!$C$8:$C$30,1,FALSE)),1,0))</f>
        <v/>
      </c>
      <c r="BI339" s="305" t="str">
        <f t="shared" si="260"/>
        <v/>
      </c>
      <c r="BJ339" s="305" t="str">
        <f t="shared" si="261"/>
        <v/>
      </c>
      <c r="BK339" s="304" t="str">
        <f t="shared" si="262"/>
        <v/>
      </c>
      <c r="BL339" s="304">
        <f t="shared" si="263"/>
        <v>0</v>
      </c>
      <c r="BM339" s="304" t="str">
        <f>IF($AC339="", "", IF(ISNA(VLOOKUP($AC339, TABELAS!$Q:$Q, 1, FALSE)), 1, 0))</f>
        <v/>
      </c>
      <c r="BN339" s="306" t="str">
        <f t="shared" si="264"/>
        <v/>
      </c>
      <c r="BO339" s="304" t="str">
        <f t="shared" si="265"/>
        <v/>
      </c>
      <c r="BP339" s="304" t="str">
        <f t="shared" si="266"/>
        <v/>
      </c>
      <c r="BQ339" s="305" t="str">
        <f t="shared" si="267"/>
        <v/>
      </c>
      <c r="BR339" s="304" t="str">
        <f t="shared" si="268"/>
        <v/>
      </c>
      <c r="BS339" s="304" t="str">
        <f t="shared" si="269"/>
        <v/>
      </c>
      <c r="BT339" s="304" t="str">
        <f>IF(OR($B339="", $AH339 = "SIM"), "", IF( ISNA(VLOOKUP($AP339,#REF!, 1, FALSE)), 1, 0))</f>
        <v/>
      </c>
      <c r="BU339" s="304" t="str">
        <f t="shared" si="270"/>
        <v/>
      </c>
      <c r="BV339" s="304" t="str">
        <f>IF( $B339="", "", IF( ISNA(VLOOKUP($AN339, TABELAS!$T$2:$T$9,1,FALSE)), 1, 0))</f>
        <v/>
      </c>
      <c r="BW339" s="304" t="str">
        <f t="shared" si="271"/>
        <v/>
      </c>
      <c r="BX339" s="304" t="str">
        <f>IF( OR($B339="", $AH339 = "SIM"), "", IF( ISNA( VLOOKUP( $AQ339, SISTEMA!$B:$B, 1, FALSE)), 1, 0))</f>
        <v/>
      </c>
      <c r="BY339" s="305" t="str">
        <f t="shared" si="272"/>
        <v/>
      </c>
      <c r="BZ339" s="305" t="str">
        <f t="shared" si="273"/>
        <v/>
      </c>
      <c r="CA339" s="304" t="str">
        <f t="shared" si="274"/>
        <v/>
      </c>
      <c r="CB339" s="305" t="str">
        <f t="shared" si="275"/>
        <v/>
      </c>
      <c r="CC339" s="305" t="str">
        <f t="shared" si="276"/>
        <v/>
      </c>
      <c r="CD339" s="305" t="str">
        <f t="shared" si="277"/>
        <v/>
      </c>
    </row>
    <row r="340" spans="1:82" x14ac:dyDescent="0.2">
      <c r="A340" s="235"/>
      <c r="B340" s="236" t="str">
        <f t="shared" si="242"/>
        <v/>
      </c>
      <c r="C340" s="237" t="str">
        <f t="shared" si="232"/>
        <v/>
      </c>
      <c r="D340" s="237" t="str">
        <f t="shared" si="243"/>
        <v/>
      </c>
      <c r="E340" s="237" t="str">
        <f>IF($C340="", "", COUNTIF($M$8:$M340,$D340))</f>
        <v/>
      </c>
      <c r="F340" s="238">
        <v>333</v>
      </c>
      <c r="G340" s="239"/>
      <c r="H340" s="240"/>
      <c r="I340" s="240"/>
      <c r="J340" s="241"/>
      <c r="K340" s="240"/>
      <c r="L340" s="240"/>
      <c r="M340" s="240"/>
      <c r="N340" s="242"/>
      <c r="O340" s="243"/>
      <c r="P340" s="243"/>
      <c r="Q340" s="243"/>
      <c r="R340" s="243"/>
      <c r="S340" s="243"/>
      <c r="T340" s="245"/>
      <c r="U340" s="246" t="str">
        <f>IF($T340="", "", VLOOKUP($T340, CONTRATOS!$B:$E, 2, FALSE))</f>
        <v/>
      </c>
      <c r="V340" s="247">
        <f>IF(OR($T340="",TB_DEFESA!$C$2="Criação Baseline"),0,
   IF(VLOOKUP($T340, CONTRATOS!B:E, 3, FALSE)&lt;&gt;"",1,IF(VLOOKUP($T340, CONTRATOS!B:E, 4, FALSE)&lt;&gt;"",2,0)))</f>
        <v>0</v>
      </c>
      <c r="W340" s="248"/>
      <c r="X340" s="248"/>
      <c r="Y340" s="249"/>
      <c r="Z340" s="250"/>
      <c r="AA340" s="251"/>
      <c r="AB340" s="252"/>
      <c r="AC340" s="253"/>
      <c r="AD340" s="251"/>
      <c r="AE340" s="254" t="str">
        <f t="shared" si="233"/>
        <v/>
      </c>
      <c r="AF340" s="256" t="str">
        <f t="shared" si="244"/>
        <v/>
      </c>
      <c r="AG340" s="293" t="s">
        <v>62</v>
      </c>
      <c r="AH340" s="294" t="str">
        <f t="shared" si="245"/>
        <v/>
      </c>
      <c r="AI340" s="294" t="str">
        <f t="shared" si="246"/>
        <v/>
      </c>
      <c r="AJ340" s="295" t="str">
        <f t="shared" si="247"/>
        <v/>
      </c>
      <c r="AK340" s="296" t="str">
        <f t="shared" si="248"/>
        <v/>
      </c>
      <c r="AL340" s="297" t="str">
        <f t="shared" si="249"/>
        <v/>
      </c>
      <c r="AM340" s="294" t="str">
        <f t="shared" si="250"/>
        <v/>
      </c>
      <c r="AN340" s="294" t="str">
        <f t="shared" si="251"/>
        <v/>
      </c>
      <c r="AO340" s="298" t="str">
        <f t="shared" si="252"/>
        <v/>
      </c>
      <c r="AP340" s="299" t="str">
        <f t="shared" si="253"/>
        <v/>
      </c>
      <c r="AQ340" s="299" t="str">
        <f t="shared" si="254"/>
        <v/>
      </c>
      <c r="AR340" s="300" t="str">
        <f t="shared" si="234"/>
        <v/>
      </c>
      <c r="AS340" s="300" t="str">
        <f t="shared" si="235"/>
        <v/>
      </c>
      <c r="AT340" s="294" t="str">
        <f t="shared" si="236"/>
        <v/>
      </c>
      <c r="AU340" s="301" t="str">
        <f>IF(OR($B340="", $AP340= ""),"",IF(VLOOKUP($AP340, CONTRATOS!B:K,3,FALSE)="","",VLOOKUP($AP340, CONTRATOS!B:K, 3,FALSE)))</f>
        <v/>
      </c>
      <c r="AV340" s="301" t="str">
        <f>IF(OR($B340="", $AP340 = ""), "", IF(VLOOKUP($AP340, CONTRATOS!B:K,4,FALSE)="","",VLOOKUP($AP340, CONTRATOS!B:K,4, FALSE)))</f>
        <v/>
      </c>
      <c r="AW340" s="302" t="str">
        <f t="shared" si="237"/>
        <v/>
      </c>
      <c r="AX340" s="301" t="str">
        <f t="shared" si="238"/>
        <v/>
      </c>
      <c r="AY340" s="301" t="str">
        <f t="shared" si="239"/>
        <v/>
      </c>
      <c r="AZ340" s="301" t="str">
        <f t="shared" si="240"/>
        <v/>
      </c>
      <c r="BA340" s="301" t="str">
        <f t="shared" si="241"/>
        <v/>
      </c>
      <c r="BB340" s="303">
        <f t="shared" si="255"/>
        <v>0</v>
      </c>
      <c r="BC340" s="303" t="str">
        <f t="shared" si="256"/>
        <v/>
      </c>
      <c r="BD340" s="303" t="str">
        <f t="shared" si="257"/>
        <v/>
      </c>
      <c r="BF340" s="304">
        <f t="shared" si="258"/>
        <v>0</v>
      </c>
      <c r="BG340" s="304">
        <f t="shared" si="259"/>
        <v>0</v>
      </c>
      <c r="BH340" s="304" t="str">
        <f>IF( $B340="", "", IF(ISNA(VLOOKUP($C340, Defesa!$C$8:$C$30,1,FALSE)),1,0))</f>
        <v/>
      </c>
      <c r="BI340" s="305" t="str">
        <f t="shared" si="260"/>
        <v/>
      </c>
      <c r="BJ340" s="305" t="str">
        <f t="shared" si="261"/>
        <v/>
      </c>
      <c r="BK340" s="304" t="str">
        <f t="shared" si="262"/>
        <v/>
      </c>
      <c r="BL340" s="304">
        <f t="shared" si="263"/>
        <v>0</v>
      </c>
      <c r="BM340" s="304" t="str">
        <f>IF($AC340="", "", IF(ISNA(VLOOKUP($AC340, TABELAS!$Q:$Q, 1, FALSE)), 1, 0))</f>
        <v/>
      </c>
      <c r="BN340" s="306" t="str">
        <f t="shared" si="264"/>
        <v/>
      </c>
      <c r="BO340" s="304" t="str">
        <f t="shared" si="265"/>
        <v/>
      </c>
      <c r="BP340" s="304" t="str">
        <f t="shared" si="266"/>
        <v/>
      </c>
      <c r="BQ340" s="305" t="str">
        <f t="shared" si="267"/>
        <v/>
      </c>
      <c r="BR340" s="304" t="str">
        <f t="shared" si="268"/>
        <v/>
      </c>
      <c r="BS340" s="304" t="str">
        <f t="shared" si="269"/>
        <v/>
      </c>
      <c r="BT340" s="304" t="str">
        <f>IF(OR($B340="", $AH340 = "SIM"), "", IF( ISNA(VLOOKUP($AP340,#REF!, 1, FALSE)), 1, 0))</f>
        <v/>
      </c>
      <c r="BU340" s="304" t="str">
        <f t="shared" si="270"/>
        <v/>
      </c>
      <c r="BV340" s="304" t="str">
        <f>IF( $B340="", "", IF( ISNA(VLOOKUP($AN340, TABELAS!$T$2:$T$9,1,FALSE)), 1, 0))</f>
        <v/>
      </c>
      <c r="BW340" s="304" t="str">
        <f t="shared" si="271"/>
        <v/>
      </c>
      <c r="BX340" s="304" t="str">
        <f>IF( OR($B340="", $AH340 = "SIM"), "", IF( ISNA( VLOOKUP( $AQ340, SISTEMA!$B:$B, 1, FALSE)), 1, 0))</f>
        <v/>
      </c>
      <c r="BY340" s="305" t="str">
        <f t="shared" si="272"/>
        <v/>
      </c>
      <c r="BZ340" s="305" t="str">
        <f t="shared" si="273"/>
        <v/>
      </c>
      <c r="CA340" s="304" t="str">
        <f t="shared" si="274"/>
        <v/>
      </c>
      <c r="CB340" s="305" t="str">
        <f t="shared" si="275"/>
        <v/>
      </c>
      <c r="CC340" s="305" t="str">
        <f t="shared" si="276"/>
        <v/>
      </c>
      <c r="CD340" s="305" t="str">
        <f t="shared" si="277"/>
        <v/>
      </c>
    </row>
    <row r="341" spans="1:82" x14ac:dyDescent="0.2">
      <c r="A341" s="235"/>
      <c r="B341" s="236" t="str">
        <f t="shared" si="242"/>
        <v/>
      </c>
      <c r="C341" s="237" t="str">
        <f t="shared" si="232"/>
        <v/>
      </c>
      <c r="D341" s="237" t="str">
        <f t="shared" si="243"/>
        <v/>
      </c>
      <c r="E341" s="237" t="str">
        <f>IF($C341="", "", COUNTIF($M$8:$M341,$D341))</f>
        <v/>
      </c>
      <c r="F341" s="238">
        <v>334</v>
      </c>
      <c r="G341" s="239"/>
      <c r="H341" s="240"/>
      <c r="I341" s="240"/>
      <c r="J341" s="241"/>
      <c r="K341" s="240"/>
      <c r="L341" s="240"/>
      <c r="M341" s="240"/>
      <c r="N341" s="242"/>
      <c r="O341" s="243"/>
      <c r="P341" s="243"/>
      <c r="Q341" s="243"/>
      <c r="R341" s="243"/>
      <c r="S341" s="243"/>
      <c r="T341" s="245"/>
      <c r="U341" s="246" t="str">
        <f>IF($T341="", "", VLOOKUP($T341, CONTRATOS!$B:$E, 2, FALSE))</f>
        <v/>
      </c>
      <c r="V341" s="247">
        <f>IF(OR($T341="",TB_DEFESA!$C$2="Criação Baseline"),0,
   IF(VLOOKUP($T341, CONTRATOS!B:E, 3, FALSE)&lt;&gt;"",1,IF(VLOOKUP($T341, CONTRATOS!B:E, 4, FALSE)&lt;&gt;"",2,0)))</f>
        <v>0</v>
      </c>
      <c r="W341" s="248"/>
      <c r="X341" s="248"/>
      <c r="Y341" s="249"/>
      <c r="Z341" s="250"/>
      <c r="AA341" s="251"/>
      <c r="AB341" s="252"/>
      <c r="AC341" s="253"/>
      <c r="AD341" s="251"/>
      <c r="AE341" s="254" t="str">
        <f t="shared" si="233"/>
        <v/>
      </c>
      <c r="AF341" s="256" t="str">
        <f t="shared" si="244"/>
        <v/>
      </c>
      <c r="AG341" s="293" t="s">
        <v>62</v>
      </c>
      <c r="AH341" s="294" t="str">
        <f t="shared" si="245"/>
        <v/>
      </c>
      <c r="AI341" s="294" t="str">
        <f t="shared" si="246"/>
        <v/>
      </c>
      <c r="AJ341" s="295" t="str">
        <f t="shared" si="247"/>
        <v/>
      </c>
      <c r="AK341" s="296" t="str">
        <f t="shared" si="248"/>
        <v/>
      </c>
      <c r="AL341" s="297" t="str">
        <f t="shared" si="249"/>
        <v/>
      </c>
      <c r="AM341" s="294" t="str">
        <f t="shared" si="250"/>
        <v/>
      </c>
      <c r="AN341" s="294" t="str">
        <f t="shared" si="251"/>
        <v/>
      </c>
      <c r="AO341" s="298" t="str">
        <f t="shared" si="252"/>
        <v/>
      </c>
      <c r="AP341" s="299" t="str">
        <f t="shared" si="253"/>
        <v/>
      </c>
      <c r="AQ341" s="299" t="str">
        <f t="shared" si="254"/>
        <v/>
      </c>
      <c r="AR341" s="300" t="str">
        <f t="shared" si="234"/>
        <v/>
      </c>
      <c r="AS341" s="300" t="str">
        <f t="shared" si="235"/>
        <v/>
      </c>
      <c r="AT341" s="294" t="str">
        <f t="shared" si="236"/>
        <v/>
      </c>
      <c r="AU341" s="301" t="str">
        <f>IF(OR($B341="", $AP341= ""),"",IF(VLOOKUP($AP341, CONTRATOS!B:K,3,FALSE)="","",VLOOKUP($AP341, CONTRATOS!B:K, 3,FALSE)))</f>
        <v/>
      </c>
      <c r="AV341" s="301" t="str">
        <f>IF(OR($B341="", $AP341 = ""), "", IF(VLOOKUP($AP341, CONTRATOS!B:K,4,FALSE)="","",VLOOKUP($AP341, CONTRATOS!B:K,4, FALSE)))</f>
        <v/>
      </c>
      <c r="AW341" s="302" t="str">
        <f t="shared" si="237"/>
        <v/>
      </c>
      <c r="AX341" s="301" t="str">
        <f t="shared" si="238"/>
        <v/>
      </c>
      <c r="AY341" s="301" t="str">
        <f t="shared" si="239"/>
        <v/>
      </c>
      <c r="AZ341" s="301" t="str">
        <f t="shared" si="240"/>
        <v/>
      </c>
      <c r="BA341" s="301" t="str">
        <f t="shared" si="241"/>
        <v/>
      </c>
      <c r="BB341" s="303">
        <f t="shared" si="255"/>
        <v>0</v>
      </c>
      <c r="BC341" s="303" t="str">
        <f t="shared" si="256"/>
        <v/>
      </c>
      <c r="BD341" s="303" t="str">
        <f t="shared" si="257"/>
        <v/>
      </c>
      <c r="BF341" s="304">
        <f t="shared" si="258"/>
        <v>0</v>
      </c>
      <c r="BG341" s="304">
        <f t="shared" si="259"/>
        <v>0</v>
      </c>
      <c r="BH341" s="304" t="str">
        <f>IF( $B341="", "", IF(ISNA(VLOOKUP($C341, Defesa!$C$8:$C$30,1,FALSE)),1,0))</f>
        <v/>
      </c>
      <c r="BI341" s="305" t="str">
        <f t="shared" si="260"/>
        <v/>
      </c>
      <c r="BJ341" s="305" t="str">
        <f t="shared" si="261"/>
        <v/>
      </c>
      <c r="BK341" s="304" t="str">
        <f t="shared" si="262"/>
        <v/>
      </c>
      <c r="BL341" s="304">
        <f t="shared" si="263"/>
        <v>0</v>
      </c>
      <c r="BM341" s="304" t="str">
        <f>IF($AC341="", "", IF(ISNA(VLOOKUP($AC341, TABELAS!$Q:$Q, 1, FALSE)), 1, 0))</f>
        <v/>
      </c>
      <c r="BN341" s="306" t="str">
        <f t="shared" si="264"/>
        <v/>
      </c>
      <c r="BO341" s="304" t="str">
        <f t="shared" si="265"/>
        <v/>
      </c>
      <c r="BP341" s="304" t="str">
        <f t="shared" si="266"/>
        <v/>
      </c>
      <c r="BQ341" s="305" t="str">
        <f t="shared" si="267"/>
        <v/>
      </c>
      <c r="BR341" s="304" t="str">
        <f t="shared" si="268"/>
        <v/>
      </c>
      <c r="BS341" s="304" t="str">
        <f t="shared" si="269"/>
        <v/>
      </c>
      <c r="BT341" s="304" t="str">
        <f>IF(OR($B341="", $AH341 = "SIM"), "", IF( ISNA(VLOOKUP($AP341,#REF!, 1, FALSE)), 1, 0))</f>
        <v/>
      </c>
      <c r="BU341" s="304" t="str">
        <f t="shared" si="270"/>
        <v/>
      </c>
      <c r="BV341" s="304" t="str">
        <f>IF( $B341="", "", IF( ISNA(VLOOKUP($AN341, TABELAS!$T$2:$T$9,1,FALSE)), 1, 0))</f>
        <v/>
      </c>
      <c r="BW341" s="304" t="str">
        <f t="shared" si="271"/>
        <v/>
      </c>
      <c r="BX341" s="304" t="str">
        <f>IF( OR($B341="", $AH341 = "SIM"), "", IF( ISNA( VLOOKUP( $AQ341, SISTEMA!$B:$B, 1, FALSE)), 1, 0))</f>
        <v/>
      </c>
      <c r="BY341" s="305" t="str">
        <f t="shared" si="272"/>
        <v/>
      </c>
      <c r="BZ341" s="305" t="str">
        <f t="shared" si="273"/>
        <v/>
      </c>
      <c r="CA341" s="304" t="str">
        <f t="shared" si="274"/>
        <v/>
      </c>
      <c r="CB341" s="305" t="str">
        <f t="shared" si="275"/>
        <v/>
      </c>
      <c r="CC341" s="305" t="str">
        <f t="shared" si="276"/>
        <v/>
      </c>
      <c r="CD341" s="305" t="str">
        <f t="shared" si="277"/>
        <v/>
      </c>
    </row>
    <row r="342" spans="1:82" x14ac:dyDescent="0.2">
      <c r="A342" s="235"/>
      <c r="B342" s="236" t="str">
        <f t="shared" si="242"/>
        <v/>
      </c>
      <c r="C342" s="237" t="str">
        <f t="shared" si="232"/>
        <v/>
      </c>
      <c r="D342" s="237" t="str">
        <f t="shared" si="243"/>
        <v/>
      </c>
      <c r="E342" s="237" t="str">
        <f>IF($C342="", "", COUNTIF($M$8:$M342,$D342))</f>
        <v/>
      </c>
      <c r="F342" s="238">
        <v>335</v>
      </c>
      <c r="G342" s="239"/>
      <c r="H342" s="240"/>
      <c r="I342" s="240"/>
      <c r="J342" s="241"/>
      <c r="K342" s="240"/>
      <c r="L342" s="240"/>
      <c r="M342" s="240"/>
      <c r="N342" s="242"/>
      <c r="O342" s="243"/>
      <c r="P342" s="243"/>
      <c r="Q342" s="243"/>
      <c r="R342" s="243"/>
      <c r="S342" s="243"/>
      <c r="T342" s="245"/>
      <c r="U342" s="246" t="str">
        <f>IF($T342="", "", VLOOKUP($T342, CONTRATOS!$B:$E, 2, FALSE))</f>
        <v/>
      </c>
      <c r="V342" s="247">
        <f>IF(OR($T342="",TB_DEFESA!$C$2="Criação Baseline"),0,
   IF(VLOOKUP($T342, CONTRATOS!B:E, 3, FALSE)&lt;&gt;"",1,IF(VLOOKUP($T342, CONTRATOS!B:E, 4, FALSE)&lt;&gt;"",2,0)))</f>
        <v>0</v>
      </c>
      <c r="W342" s="248"/>
      <c r="X342" s="248"/>
      <c r="Y342" s="249"/>
      <c r="Z342" s="250"/>
      <c r="AA342" s="251"/>
      <c r="AB342" s="252"/>
      <c r="AC342" s="253"/>
      <c r="AD342" s="251"/>
      <c r="AE342" s="254" t="str">
        <f t="shared" si="233"/>
        <v/>
      </c>
      <c r="AF342" s="256" t="str">
        <f t="shared" si="244"/>
        <v/>
      </c>
      <c r="AG342" s="293" t="s">
        <v>62</v>
      </c>
      <c r="AH342" s="294" t="str">
        <f t="shared" si="245"/>
        <v/>
      </c>
      <c r="AI342" s="294" t="str">
        <f t="shared" si="246"/>
        <v/>
      </c>
      <c r="AJ342" s="295" t="str">
        <f t="shared" si="247"/>
        <v/>
      </c>
      <c r="AK342" s="296" t="str">
        <f t="shared" si="248"/>
        <v/>
      </c>
      <c r="AL342" s="297" t="str">
        <f t="shared" si="249"/>
        <v/>
      </c>
      <c r="AM342" s="294" t="str">
        <f t="shared" si="250"/>
        <v/>
      </c>
      <c r="AN342" s="294" t="str">
        <f t="shared" si="251"/>
        <v/>
      </c>
      <c r="AO342" s="298" t="str">
        <f t="shared" si="252"/>
        <v/>
      </c>
      <c r="AP342" s="299" t="str">
        <f t="shared" si="253"/>
        <v/>
      </c>
      <c r="AQ342" s="299" t="str">
        <f t="shared" si="254"/>
        <v/>
      </c>
      <c r="AR342" s="300" t="str">
        <f t="shared" si="234"/>
        <v/>
      </c>
      <c r="AS342" s="300" t="str">
        <f t="shared" si="235"/>
        <v/>
      </c>
      <c r="AT342" s="294" t="str">
        <f t="shared" si="236"/>
        <v/>
      </c>
      <c r="AU342" s="301" t="str">
        <f>IF(OR($B342="", $AP342= ""),"",IF(VLOOKUP($AP342, CONTRATOS!B:K,3,FALSE)="","",VLOOKUP($AP342, CONTRATOS!B:K, 3,FALSE)))</f>
        <v/>
      </c>
      <c r="AV342" s="301" t="str">
        <f>IF(OR($B342="", $AP342 = ""), "", IF(VLOOKUP($AP342, CONTRATOS!B:K,4,FALSE)="","",VLOOKUP($AP342, CONTRATOS!B:K,4, FALSE)))</f>
        <v/>
      </c>
      <c r="AW342" s="302" t="str">
        <f t="shared" si="237"/>
        <v/>
      </c>
      <c r="AX342" s="301" t="str">
        <f t="shared" si="238"/>
        <v/>
      </c>
      <c r="AY342" s="301" t="str">
        <f t="shared" si="239"/>
        <v/>
      </c>
      <c r="AZ342" s="301" t="str">
        <f t="shared" si="240"/>
        <v/>
      </c>
      <c r="BA342" s="301" t="str">
        <f t="shared" si="241"/>
        <v/>
      </c>
      <c r="BB342" s="303">
        <f t="shared" si="255"/>
        <v>0</v>
      </c>
      <c r="BC342" s="303" t="str">
        <f t="shared" si="256"/>
        <v/>
      </c>
      <c r="BD342" s="303" t="str">
        <f t="shared" si="257"/>
        <v/>
      </c>
      <c r="BF342" s="304">
        <f t="shared" si="258"/>
        <v>0</v>
      </c>
      <c r="BG342" s="304">
        <f t="shared" si="259"/>
        <v>0</v>
      </c>
      <c r="BH342" s="304" t="str">
        <f>IF( $B342="", "", IF(ISNA(VLOOKUP($C342, Defesa!$C$8:$C$30,1,FALSE)),1,0))</f>
        <v/>
      </c>
      <c r="BI342" s="305" t="str">
        <f t="shared" si="260"/>
        <v/>
      </c>
      <c r="BJ342" s="305" t="str">
        <f t="shared" si="261"/>
        <v/>
      </c>
      <c r="BK342" s="304" t="str">
        <f t="shared" si="262"/>
        <v/>
      </c>
      <c r="BL342" s="304">
        <f t="shared" si="263"/>
        <v>0</v>
      </c>
      <c r="BM342" s="304" t="str">
        <f>IF($AC342="", "", IF(ISNA(VLOOKUP($AC342, TABELAS!$Q:$Q, 1, FALSE)), 1, 0))</f>
        <v/>
      </c>
      <c r="BN342" s="306" t="str">
        <f t="shared" si="264"/>
        <v/>
      </c>
      <c r="BO342" s="304" t="str">
        <f t="shared" si="265"/>
        <v/>
      </c>
      <c r="BP342" s="304" t="str">
        <f t="shared" si="266"/>
        <v/>
      </c>
      <c r="BQ342" s="305" t="str">
        <f t="shared" si="267"/>
        <v/>
      </c>
      <c r="BR342" s="304" t="str">
        <f t="shared" si="268"/>
        <v/>
      </c>
      <c r="BS342" s="304" t="str">
        <f t="shared" si="269"/>
        <v/>
      </c>
      <c r="BT342" s="304" t="str">
        <f>IF(OR($B342="", $AH342 = "SIM"), "", IF( ISNA(VLOOKUP($AP342,#REF!, 1, FALSE)), 1, 0))</f>
        <v/>
      </c>
      <c r="BU342" s="304" t="str">
        <f t="shared" si="270"/>
        <v/>
      </c>
      <c r="BV342" s="304" t="str">
        <f>IF( $B342="", "", IF( ISNA(VLOOKUP($AN342, TABELAS!$T$2:$T$9,1,FALSE)), 1, 0))</f>
        <v/>
      </c>
      <c r="BW342" s="304" t="str">
        <f t="shared" si="271"/>
        <v/>
      </c>
      <c r="BX342" s="304" t="str">
        <f>IF( OR($B342="", $AH342 = "SIM"), "", IF( ISNA( VLOOKUP( $AQ342, SISTEMA!$B:$B, 1, FALSE)), 1, 0))</f>
        <v/>
      </c>
      <c r="BY342" s="305" t="str">
        <f t="shared" si="272"/>
        <v/>
      </c>
      <c r="BZ342" s="305" t="str">
        <f t="shared" si="273"/>
        <v/>
      </c>
      <c r="CA342" s="304" t="str">
        <f t="shared" si="274"/>
        <v/>
      </c>
      <c r="CB342" s="305" t="str">
        <f t="shared" si="275"/>
        <v/>
      </c>
      <c r="CC342" s="305" t="str">
        <f t="shared" si="276"/>
        <v/>
      </c>
      <c r="CD342" s="305" t="str">
        <f t="shared" si="277"/>
        <v/>
      </c>
    </row>
    <row r="343" spans="1:82" x14ac:dyDescent="0.2">
      <c r="A343" s="235"/>
      <c r="B343" s="236" t="str">
        <f t="shared" si="242"/>
        <v/>
      </c>
      <c r="C343" s="237" t="str">
        <f t="shared" si="232"/>
        <v/>
      </c>
      <c r="D343" s="237" t="str">
        <f t="shared" si="243"/>
        <v/>
      </c>
      <c r="E343" s="237" t="str">
        <f>IF($C343="", "", COUNTIF($M$8:$M343,$D343))</f>
        <v/>
      </c>
      <c r="F343" s="238">
        <v>336</v>
      </c>
      <c r="G343" s="239"/>
      <c r="H343" s="240"/>
      <c r="I343" s="240"/>
      <c r="J343" s="241"/>
      <c r="K343" s="240"/>
      <c r="L343" s="240"/>
      <c r="M343" s="240"/>
      <c r="N343" s="242"/>
      <c r="O343" s="243"/>
      <c r="P343" s="243"/>
      <c r="Q343" s="243"/>
      <c r="R343" s="243"/>
      <c r="S343" s="243"/>
      <c r="T343" s="245"/>
      <c r="U343" s="246" t="str">
        <f>IF($T343="", "", VLOOKUP($T343, CONTRATOS!$B:$E, 2, FALSE))</f>
        <v/>
      </c>
      <c r="V343" s="247">
        <f>IF(OR($T343="",TB_DEFESA!$C$2="Criação Baseline"),0,
   IF(VLOOKUP($T343, CONTRATOS!B:E, 3, FALSE)&lt;&gt;"",1,IF(VLOOKUP($T343, CONTRATOS!B:E, 4, FALSE)&lt;&gt;"",2,0)))</f>
        <v>0</v>
      </c>
      <c r="W343" s="248"/>
      <c r="X343" s="248"/>
      <c r="Y343" s="249"/>
      <c r="Z343" s="250"/>
      <c r="AA343" s="251"/>
      <c r="AB343" s="252"/>
      <c r="AC343" s="253"/>
      <c r="AD343" s="251"/>
      <c r="AE343" s="254" t="str">
        <f t="shared" si="233"/>
        <v/>
      </c>
      <c r="AF343" s="256" t="str">
        <f t="shared" si="244"/>
        <v/>
      </c>
      <c r="AG343" s="293" t="s">
        <v>62</v>
      </c>
      <c r="AH343" s="294" t="str">
        <f t="shared" si="245"/>
        <v/>
      </c>
      <c r="AI343" s="294" t="str">
        <f t="shared" si="246"/>
        <v/>
      </c>
      <c r="AJ343" s="295" t="str">
        <f t="shared" si="247"/>
        <v/>
      </c>
      <c r="AK343" s="296" t="str">
        <f t="shared" si="248"/>
        <v/>
      </c>
      <c r="AL343" s="297" t="str">
        <f t="shared" si="249"/>
        <v/>
      </c>
      <c r="AM343" s="294" t="str">
        <f t="shared" si="250"/>
        <v/>
      </c>
      <c r="AN343" s="294" t="str">
        <f t="shared" si="251"/>
        <v/>
      </c>
      <c r="AO343" s="298" t="str">
        <f t="shared" si="252"/>
        <v/>
      </c>
      <c r="AP343" s="299" t="str">
        <f t="shared" si="253"/>
        <v/>
      </c>
      <c r="AQ343" s="299" t="str">
        <f t="shared" si="254"/>
        <v/>
      </c>
      <c r="AR343" s="300" t="str">
        <f t="shared" si="234"/>
        <v/>
      </c>
      <c r="AS343" s="300" t="str">
        <f t="shared" si="235"/>
        <v/>
      </c>
      <c r="AT343" s="294" t="str">
        <f t="shared" si="236"/>
        <v/>
      </c>
      <c r="AU343" s="301" t="str">
        <f>IF(OR($B343="", $AP343= ""),"",IF(VLOOKUP($AP343, CONTRATOS!B:K,3,FALSE)="","",VLOOKUP($AP343, CONTRATOS!B:K, 3,FALSE)))</f>
        <v/>
      </c>
      <c r="AV343" s="301" t="str">
        <f>IF(OR($B343="", $AP343 = ""), "", IF(VLOOKUP($AP343, CONTRATOS!B:K,4,FALSE)="","",VLOOKUP($AP343, CONTRATOS!B:K,4, FALSE)))</f>
        <v/>
      </c>
      <c r="AW343" s="302" t="str">
        <f t="shared" si="237"/>
        <v/>
      </c>
      <c r="AX343" s="301" t="str">
        <f t="shared" si="238"/>
        <v/>
      </c>
      <c r="AY343" s="301" t="str">
        <f t="shared" si="239"/>
        <v/>
      </c>
      <c r="AZ343" s="301" t="str">
        <f t="shared" si="240"/>
        <v/>
      </c>
      <c r="BA343" s="301" t="str">
        <f t="shared" si="241"/>
        <v/>
      </c>
      <c r="BB343" s="303">
        <f t="shared" si="255"/>
        <v>0</v>
      </c>
      <c r="BC343" s="303" t="str">
        <f t="shared" si="256"/>
        <v/>
      </c>
      <c r="BD343" s="303" t="str">
        <f t="shared" si="257"/>
        <v/>
      </c>
      <c r="BF343" s="304">
        <f t="shared" si="258"/>
        <v>0</v>
      </c>
      <c r="BG343" s="304">
        <f t="shared" si="259"/>
        <v>0</v>
      </c>
      <c r="BH343" s="304" t="str">
        <f>IF( $B343="", "", IF(ISNA(VLOOKUP($C343, Defesa!$C$8:$C$30,1,FALSE)),1,0))</f>
        <v/>
      </c>
      <c r="BI343" s="305" t="str">
        <f t="shared" si="260"/>
        <v/>
      </c>
      <c r="BJ343" s="305" t="str">
        <f t="shared" si="261"/>
        <v/>
      </c>
      <c r="BK343" s="304" t="str">
        <f t="shared" si="262"/>
        <v/>
      </c>
      <c r="BL343" s="304">
        <f t="shared" si="263"/>
        <v>0</v>
      </c>
      <c r="BM343" s="304" t="str">
        <f>IF($AC343="", "", IF(ISNA(VLOOKUP($AC343, TABELAS!$Q:$Q, 1, FALSE)), 1, 0))</f>
        <v/>
      </c>
      <c r="BN343" s="306" t="str">
        <f t="shared" si="264"/>
        <v/>
      </c>
      <c r="BO343" s="304" t="str">
        <f t="shared" si="265"/>
        <v/>
      </c>
      <c r="BP343" s="304" t="str">
        <f t="shared" si="266"/>
        <v/>
      </c>
      <c r="BQ343" s="305" t="str">
        <f t="shared" si="267"/>
        <v/>
      </c>
      <c r="BR343" s="304" t="str">
        <f t="shared" si="268"/>
        <v/>
      </c>
      <c r="BS343" s="304" t="str">
        <f t="shared" si="269"/>
        <v/>
      </c>
      <c r="BT343" s="304" t="str">
        <f>IF(OR($B343="", $AH343 = "SIM"), "", IF( ISNA(VLOOKUP($AP343,#REF!, 1, FALSE)), 1, 0))</f>
        <v/>
      </c>
      <c r="BU343" s="304" t="str">
        <f t="shared" si="270"/>
        <v/>
      </c>
      <c r="BV343" s="304" t="str">
        <f>IF( $B343="", "", IF( ISNA(VLOOKUP($AN343, TABELAS!$T$2:$T$9,1,FALSE)), 1, 0))</f>
        <v/>
      </c>
      <c r="BW343" s="304" t="str">
        <f t="shared" si="271"/>
        <v/>
      </c>
      <c r="BX343" s="304" t="str">
        <f>IF( OR($B343="", $AH343 = "SIM"), "", IF( ISNA( VLOOKUP( $AQ343, SISTEMA!$B:$B, 1, FALSE)), 1, 0))</f>
        <v/>
      </c>
      <c r="BY343" s="305" t="str">
        <f t="shared" si="272"/>
        <v/>
      </c>
      <c r="BZ343" s="305" t="str">
        <f t="shared" si="273"/>
        <v/>
      </c>
      <c r="CA343" s="304" t="str">
        <f t="shared" si="274"/>
        <v/>
      </c>
      <c r="CB343" s="305" t="str">
        <f t="shared" si="275"/>
        <v/>
      </c>
      <c r="CC343" s="305" t="str">
        <f t="shared" si="276"/>
        <v/>
      </c>
      <c r="CD343" s="305" t="str">
        <f t="shared" si="277"/>
        <v/>
      </c>
    </row>
    <row r="344" spans="1:82" x14ac:dyDescent="0.2">
      <c r="A344" s="235"/>
      <c r="B344" s="236" t="str">
        <f t="shared" si="242"/>
        <v/>
      </c>
      <c r="C344" s="237" t="str">
        <f t="shared" si="232"/>
        <v/>
      </c>
      <c r="D344" s="237" t="str">
        <f t="shared" si="243"/>
        <v/>
      </c>
      <c r="E344" s="237" t="str">
        <f>IF($C344="", "", COUNTIF($M$8:$M344,$D344))</f>
        <v/>
      </c>
      <c r="F344" s="238">
        <v>337</v>
      </c>
      <c r="G344" s="239"/>
      <c r="H344" s="240"/>
      <c r="I344" s="240"/>
      <c r="J344" s="241"/>
      <c r="K344" s="240"/>
      <c r="L344" s="240"/>
      <c r="M344" s="240"/>
      <c r="N344" s="242"/>
      <c r="O344" s="243"/>
      <c r="P344" s="243"/>
      <c r="Q344" s="243"/>
      <c r="R344" s="243"/>
      <c r="S344" s="243"/>
      <c r="T344" s="245"/>
      <c r="U344" s="246" t="str">
        <f>IF($T344="", "", VLOOKUP($T344, CONTRATOS!$B:$E, 2, FALSE))</f>
        <v/>
      </c>
      <c r="V344" s="247">
        <f>IF(OR($T344="",TB_DEFESA!$C$2="Criação Baseline"),0,
   IF(VLOOKUP($T344, CONTRATOS!B:E, 3, FALSE)&lt;&gt;"",1,IF(VLOOKUP($T344, CONTRATOS!B:E, 4, FALSE)&lt;&gt;"",2,0)))</f>
        <v>0</v>
      </c>
      <c r="W344" s="248"/>
      <c r="X344" s="248"/>
      <c r="Y344" s="249"/>
      <c r="Z344" s="250"/>
      <c r="AA344" s="251"/>
      <c r="AB344" s="252"/>
      <c r="AC344" s="253"/>
      <c r="AD344" s="251"/>
      <c r="AE344" s="254" t="str">
        <f t="shared" si="233"/>
        <v/>
      </c>
      <c r="AF344" s="256" t="str">
        <f t="shared" si="244"/>
        <v/>
      </c>
      <c r="AG344" s="293" t="s">
        <v>62</v>
      </c>
      <c r="AH344" s="294" t="str">
        <f t="shared" si="245"/>
        <v/>
      </c>
      <c r="AI344" s="294" t="str">
        <f t="shared" si="246"/>
        <v/>
      </c>
      <c r="AJ344" s="295" t="str">
        <f t="shared" si="247"/>
        <v/>
      </c>
      <c r="AK344" s="296" t="str">
        <f t="shared" si="248"/>
        <v/>
      </c>
      <c r="AL344" s="297" t="str">
        <f t="shared" si="249"/>
        <v/>
      </c>
      <c r="AM344" s="294" t="str">
        <f t="shared" si="250"/>
        <v/>
      </c>
      <c r="AN344" s="294" t="str">
        <f t="shared" si="251"/>
        <v/>
      </c>
      <c r="AO344" s="298" t="str">
        <f t="shared" si="252"/>
        <v/>
      </c>
      <c r="AP344" s="299" t="str">
        <f t="shared" si="253"/>
        <v/>
      </c>
      <c r="AQ344" s="299" t="str">
        <f t="shared" si="254"/>
        <v/>
      </c>
      <c r="AR344" s="300" t="str">
        <f t="shared" si="234"/>
        <v/>
      </c>
      <c r="AS344" s="300" t="str">
        <f t="shared" si="235"/>
        <v/>
      </c>
      <c r="AT344" s="294" t="str">
        <f t="shared" si="236"/>
        <v/>
      </c>
      <c r="AU344" s="301" t="str">
        <f>IF(OR($B344="", $AP344= ""),"",IF(VLOOKUP($AP344, CONTRATOS!B:K,3,FALSE)="","",VLOOKUP($AP344, CONTRATOS!B:K, 3,FALSE)))</f>
        <v/>
      </c>
      <c r="AV344" s="301" t="str">
        <f>IF(OR($B344="", $AP344 = ""), "", IF(VLOOKUP($AP344, CONTRATOS!B:K,4,FALSE)="","",VLOOKUP($AP344, CONTRATOS!B:K,4, FALSE)))</f>
        <v/>
      </c>
      <c r="AW344" s="302" t="str">
        <f t="shared" si="237"/>
        <v/>
      </c>
      <c r="AX344" s="301" t="str">
        <f t="shared" si="238"/>
        <v/>
      </c>
      <c r="AY344" s="301" t="str">
        <f t="shared" si="239"/>
        <v/>
      </c>
      <c r="AZ344" s="301" t="str">
        <f t="shared" si="240"/>
        <v/>
      </c>
      <c r="BA344" s="301" t="str">
        <f t="shared" si="241"/>
        <v/>
      </c>
      <c r="BB344" s="303">
        <f t="shared" si="255"/>
        <v>0</v>
      </c>
      <c r="BC344" s="303" t="str">
        <f t="shared" si="256"/>
        <v/>
      </c>
      <c r="BD344" s="303" t="str">
        <f t="shared" si="257"/>
        <v/>
      </c>
      <c r="BF344" s="304">
        <f t="shared" si="258"/>
        <v>0</v>
      </c>
      <c r="BG344" s="304">
        <f t="shared" si="259"/>
        <v>0</v>
      </c>
      <c r="BH344" s="304" t="str">
        <f>IF( $B344="", "", IF(ISNA(VLOOKUP($C344, Defesa!$C$8:$C$30,1,FALSE)),1,0))</f>
        <v/>
      </c>
      <c r="BI344" s="305" t="str">
        <f t="shared" si="260"/>
        <v/>
      </c>
      <c r="BJ344" s="305" t="str">
        <f t="shared" si="261"/>
        <v/>
      </c>
      <c r="BK344" s="304" t="str">
        <f t="shared" si="262"/>
        <v/>
      </c>
      <c r="BL344" s="304">
        <f t="shared" si="263"/>
        <v>0</v>
      </c>
      <c r="BM344" s="304" t="str">
        <f>IF($AC344="", "", IF(ISNA(VLOOKUP($AC344, TABELAS!$Q:$Q, 1, FALSE)), 1, 0))</f>
        <v/>
      </c>
      <c r="BN344" s="306" t="str">
        <f t="shared" si="264"/>
        <v/>
      </c>
      <c r="BO344" s="304" t="str">
        <f t="shared" si="265"/>
        <v/>
      </c>
      <c r="BP344" s="304" t="str">
        <f t="shared" si="266"/>
        <v/>
      </c>
      <c r="BQ344" s="305" t="str">
        <f t="shared" si="267"/>
        <v/>
      </c>
      <c r="BR344" s="304" t="str">
        <f t="shared" si="268"/>
        <v/>
      </c>
      <c r="BS344" s="304" t="str">
        <f t="shared" si="269"/>
        <v/>
      </c>
      <c r="BT344" s="304" t="str">
        <f>IF(OR($B344="", $AH344 = "SIM"), "", IF( ISNA(VLOOKUP($AP344,#REF!, 1, FALSE)), 1, 0))</f>
        <v/>
      </c>
      <c r="BU344" s="304" t="str">
        <f t="shared" si="270"/>
        <v/>
      </c>
      <c r="BV344" s="304" t="str">
        <f>IF( $B344="", "", IF( ISNA(VLOOKUP($AN344, TABELAS!$T$2:$T$9,1,FALSE)), 1, 0))</f>
        <v/>
      </c>
      <c r="BW344" s="304" t="str">
        <f t="shared" si="271"/>
        <v/>
      </c>
      <c r="BX344" s="304" t="str">
        <f>IF( OR($B344="", $AH344 = "SIM"), "", IF( ISNA( VLOOKUP( $AQ344, SISTEMA!$B:$B, 1, FALSE)), 1, 0))</f>
        <v/>
      </c>
      <c r="BY344" s="305" t="str">
        <f t="shared" si="272"/>
        <v/>
      </c>
      <c r="BZ344" s="305" t="str">
        <f t="shared" si="273"/>
        <v/>
      </c>
      <c r="CA344" s="304" t="str">
        <f t="shared" si="274"/>
        <v/>
      </c>
      <c r="CB344" s="305" t="str">
        <f t="shared" si="275"/>
        <v/>
      </c>
      <c r="CC344" s="305" t="str">
        <f t="shared" si="276"/>
        <v/>
      </c>
      <c r="CD344" s="305" t="str">
        <f t="shared" si="277"/>
        <v/>
      </c>
    </row>
    <row r="345" spans="1:82" x14ac:dyDescent="0.2">
      <c r="A345" s="235"/>
      <c r="B345" s="236" t="str">
        <f t="shared" si="242"/>
        <v/>
      </c>
      <c r="C345" s="237" t="str">
        <f t="shared" si="232"/>
        <v/>
      </c>
      <c r="D345" s="237" t="str">
        <f t="shared" si="243"/>
        <v/>
      </c>
      <c r="E345" s="237" t="str">
        <f>IF($C345="", "", COUNTIF($M$8:$M345,$D345))</f>
        <v/>
      </c>
      <c r="F345" s="238">
        <v>338</v>
      </c>
      <c r="G345" s="239"/>
      <c r="H345" s="240"/>
      <c r="I345" s="240"/>
      <c r="J345" s="241"/>
      <c r="K345" s="240"/>
      <c r="L345" s="240"/>
      <c r="M345" s="240"/>
      <c r="N345" s="242"/>
      <c r="O345" s="243"/>
      <c r="P345" s="243"/>
      <c r="Q345" s="243"/>
      <c r="R345" s="243"/>
      <c r="S345" s="243"/>
      <c r="T345" s="245"/>
      <c r="U345" s="246" t="str">
        <f>IF($T345="", "", VLOOKUP($T345, CONTRATOS!$B:$E, 2, FALSE))</f>
        <v/>
      </c>
      <c r="V345" s="247">
        <f>IF(OR($T345="",TB_DEFESA!$C$2="Criação Baseline"),0,
   IF(VLOOKUP($T345, CONTRATOS!B:E, 3, FALSE)&lt;&gt;"",1,IF(VLOOKUP($T345, CONTRATOS!B:E, 4, FALSE)&lt;&gt;"",2,0)))</f>
        <v>0</v>
      </c>
      <c r="W345" s="248"/>
      <c r="X345" s="248"/>
      <c r="Y345" s="249"/>
      <c r="Z345" s="250"/>
      <c r="AA345" s="251"/>
      <c r="AB345" s="252"/>
      <c r="AC345" s="253"/>
      <c r="AD345" s="251"/>
      <c r="AE345" s="254" t="str">
        <f t="shared" si="233"/>
        <v/>
      </c>
      <c r="AF345" s="256" t="str">
        <f t="shared" si="244"/>
        <v/>
      </c>
      <c r="AG345" s="293" t="s">
        <v>62</v>
      </c>
      <c r="AH345" s="294" t="str">
        <f t="shared" si="245"/>
        <v/>
      </c>
      <c r="AI345" s="294" t="str">
        <f t="shared" si="246"/>
        <v/>
      </c>
      <c r="AJ345" s="295" t="str">
        <f t="shared" si="247"/>
        <v/>
      </c>
      <c r="AK345" s="296" t="str">
        <f t="shared" si="248"/>
        <v/>
      </c>
      <c r="AL345" s="297" t="str">
        <f t="shared" si="249"/>
        <v/>
      </c>
      <c r="AM345" s="294" t="str">
        <f t="shared" si="250"/>
        <v/>
      </c>
      <c r="AN345" s="294" t="str">
        <f t="shared" si="251"/>
        <v/>
      </c>
      <c r="AO345" s="298" t="str">
        <f t="shared" si="252"/>
        <v/>
      </c>
      <c r="AP345" s="299" t="str">
        <f t="shared" si="253"/>
        <v/>
      </c>
      <c r="AQ345" s="299" t="str">
        <f t="shared" si="254"/>
        <v/>
      </c>
      <c r="AR345" s="300" t="str">
        <f t="shared" si="234"/>
        <v/>
      </c>
      <c r="AS345" s="300" t="str">
        <f t="shared" si="235"/>
        <v/>
      </c>
      <c r="AT345" s="294" t="str">
        <f t="shared" si="236"/>
        <v/>
      </c>
      <c r="AU345" s="301" t="str">
        <f>IF(OR($B345="", $AP345= ""),"",IF(VLOOKUP($AP345, CONTRATOS!B:K,3,FALSE)="","",VLOOKUP($AP345, CONTRATOS!B:K, 3,FALSE)))</f>
        <v/>
      </c>
      <c r="AV345" s="301" t="str">
        <f>IF(OR($B345="", $AP345 = ""), "", IF(VLOOKUP($AP345, CONTRATOS!B:K,4,FALSE)="","",VLOOKUP($AP345, CONTRATOS!B:K,4, FALSE)))</f>
        <v/>
      </c>
      <c r="AW345" s="302" t="str">
        <f t="shared" si="237"/>
        <v/>
      </c>
      <c r="AX345" s="301" t="str">
        <f t="shared" si="238"/>
        <v/>
      </c>
      <c r="AY345" s="301" t="str">
        <f t="shared" si="239"/>
        <v/>
      </c>
      <c r="AZ345" s="301" t="str">
        <f t="shared" si="240"/>
        <v/>
      </c>
      <c r="BA345" s="301" t="str">
        <f t="shared" si="241"/>
        <v/>
      </c>
      <c r="BB345" s="303">
        <f t="shared" si="255"/>
        <v>0</v>
      </c>
      <c r="BC345" s="303" t="str">
        <f t="shared" si="256"/>
        <v/>
      </c>
      <c r="BD345" s="303" t="str">
        <f t="shared" si="257"/>
        <v/>
      </c>
      <c r="BF345" s="304">
        <f t="shared" si="258"/>
        <v>0</v>
      </c>
      <c r="BG345" s="304">
        <f t="shared" si="259"/>
        <v>0</v>
      </c>
      <c r="BH345" s="304" t="str">
        <f>IF( $B345="", "", IF(ISNA(VLOOKUP($C345, Defesa!$C$8:$C$30,1,FALSE)),1,0))</f>
        <v/>
      </c>
      <c r="BI345" s="305" t="str">
        <f t="shared" si="260"/>
        <v/>
      </c>
      <c r="BJ345" s="305" t="str">
        <f t="shared" si="261"/>
        <v/>
      </c>
      <c r="BK345" s="304" t="str">
        <f t="shared" si="262"/>
        <v/>
      </c>
      <c r="BL345" s="304">
        <f t="shared" si="263"/>
        <v>0</v>
      </c>
      <c r="BM345" s="304" t="str">
        <f>IF($AC345="", "", IF(ISNA(VLOOKUP($AC345, TABELAS!$Q:$Q, 1, FALSE)), 1, 0))</f>
        <v/>
      </c>
      <c r="BN345" s="306" t="str">
        <f t="shared" si="264"/>
        <v/>
      </c>
      <c r="BO345" s="304" t="str">
        <f t="shared" si="265"/>
        <v/>
      </c>
      <c r="BP345" s="304" t="str">
        <f t="shared" si="266"/>
        <v/>
      </c>
      <c r="BQ345" s="305" t="str">
        <f t="shared" si="267"/>
        <v/>
      </c>
      <c r="BR345" s="304" t="str">
        <f t="shared" si="268"/>
        <v/>
      </c>
      <c r="BS345" s="304" t="str">
        <f t="shared" si="269"/>
        <v/>
      </c>
      <c r="BT345" s="304" t="str">
        <f>IF(OR($B345="", $AH345 = "SIM"), "", IF( ISNA(VLOOKUP($AP345,#REF!, 1, FALSE)), 1, 0))</f>
        <v/>
      </c>
      <c r="BU345" s="304" t="str">
        <f t="shared" si="270"/>
        <v/>
      </c>
      <c r="BV345" s="304" t="str">
        <f>IF( $B345="", "", IF( ISNA(VLOOKUP($AN345, TABELAS!$T$2:$T$9,1,FALSE)), 1, 0))</f>
        <v/>
      </c>
      <c r="BW345" s="304" t="str">
        <f t="shared" si="271"/>
        <v/>
      </c>
      <c r="BX345" s="304" t="str">
        <f>IF( OR($B345="", $AH345 = "SIM"), "", IF( ISNA( VLOOKUP( $AQ345, SISTEMA!$B:$B, 1, FALSE)), 1, 0))</f>
        <v/>
      </c>
      <c r="BY345" s="305" t="str">
        <f t="shared" si="272"/>
        <v/>
      </c>
      <c r="BZ345" s="305" t="str">
        <f t="shared" si="273"/>
        <v/>
      </c>
      <c r="CA345" s="304" t="str">
        <f t="shared" si="274"/>
        <v/>
      </c>
      <c r="CB345" s="305" t="str">
        <f t="shared" si="275"/>
        <v/>
      </c>
      <c r="CC345" s="305" t="str">
        <f t="shared" si="276"/>
        <v/>
      </c>
      <c r="CD345" s="305" t="str">
        <f t="shared" si="277"/>
        <v/>
      </c>
    </row>
    <row r="346" spans="1:82" x14ac:dyDescent="0.2">
      <c r="A346" s="235"/>
      <c r="B346" s="236" t="str">
        <f t="shared" si="242"/>
        <v/>
      </c>
      <c r="C346" s="237" t="str">
        <f t="shared" si="232"/>
        <v/>
      </c>
      <c r="D346" s="237" t="str">
        <f t="shared" si="243"/>
        <v/>
      </c>
      <c r="E346" s="237" t="str">
        <f>IF($C346="", "", COUNTIF($M$8:$M346,$D346))</f>
        <v/>
      </c>
      <c r="F346" s="238">
        <v>339</v>
      </c>
      <c r="G346" s="239"/>
      <c r="H346" s="240"/>
      <c r="I346" s="240"/>
      <c r="J346" s="241"/>
      <c r="K346" s="240"/>
      <c r="L346" s="240"/>
      <c r="M346" s="240"/>
      <c r="N346" s="242"/>
      <c r="O346" s="243"/>
      <c r="P346" s="243"/>
      <c r="Q346" s="243"/>
      <c r="R346" s="243"/>
      <c r="S346" s="243"/>
      <c r="T346" s="245"/>
      <c r="U346" s="246" t="str">
        <f>IF($T346="", "", VLOOKUP($T346, CONTRATOS!$B:$E, 2, FALSE))</f>
        <v/>
      </c>
      <c r="V346" s="247">
        <f>IF(OR($T346="",TB_DEFESA!$C$2="Criação Baseline"),0,
   IF(VLOOKUP($T346, CONTRATOS!B:E, 3, FALSE)&lt;&gt;"",1,IF(VLOOKUP($T346, CONTRATOS!B:E, 4, FALSE)&lt;&gt;"",2,0)))</f>
        <v>0</v>
      </c>
      <c r="W346" s="248"/>
      <c r="X346" s="248"/>
      <c r="Y346" s="249"/>
      <c r="Z346" s="250"/>
      <c r="AA346" s="251"/>
      <c r="AB346" s="252"/>
      <c r="AC346" s="253"/>
      <c r="AD346" s="251"/>
      <c r="AE346" s="254" t="str">
        <f t="shared" si="233"/>
        <v/>
      </c>
      <c r="AF346" s="256" t="str">
        <f t="shared" si="244"/>
        <v/>
      </c>
      <c r="AG346" s="293" t="s">
        <v>62</v>
      </c>
      <c r="AH346" s="294" t="str">
        <f t="shared" si="245"/>
        <v/>
      </c>
      <c r="AI346" s="294" t="str">
        <f t="shared" si="246"/>
        <v/>
      </c>
      <c r="AJ346" s="295" t="str">
        <f t="shared" si="247"/>
        <v/>
      </c>
      <c r="AK346" s="296" t="str">
        <f t="shared" si="248"/>
        <v/>
      </c>
      <c r="AL346" s="297" t="str">
        <f t="shared" si="249"/>
        <v/>
      </c>
      <c r="AM346" s="294" t="str">
        <f t="shared" si="250"/>
        <v/>
      </c>
      <c r="AN346" s="294" t="str">
        <f t="shared" si="251"/>
        <v/>
      </c>
      <c r="AO346" s="298" t="str">
        <f t="shared" si="252"/>
        <v/>
      </c>
      <c r="AP346" s="299" t="str">
        <f t="shared" si="253"/>
        <v/>
      </c>
      <c r="AQ346" s="299" t="str">
        <f t="shared" si="254"/>
        <v/>
      </c>
      <c r="AR346" s="300" t="str">
        <f t="shared" si="234"/>
        <v/>
      </c>
      <c r="AS346" s="300" t="str">
        <f t="shared" si="235"/>
        <v/>
      </c>
      <c r="AT346" s="294" t="str">
        <f t="shared" si="236"/>
        <v/>
      </c>
      <c r="AU346" s="301" t="str">
        <f>IF(OR($B346="", $AP346= ""),"",IF(VLOOKUP($AP346, CONTRATOS!B:K,3,FALSE)="","",VLOOKUP($AP346, CONTRATOS!B:K, 3,FALSE)))</f>
        <v/>
      </c>
      <c r="AV346" s="301" t="str">
        <f>IF(OR($B346="", $AP346 = ""), "", IF(VLOOKUP($AP346, CONTRATOS!B:K,4,FALSE)="","",VLOOKUP($AP346, CONTRATOS!B:K,4, FALSE)))</f>
        <v/>
      </c>
      <c r="AW346" s="302" t="str">
        <f t="shared" si="237"/>
        <v/>
      </c>
      <c r="AX346" s="301" t="str">
        <f t="shared" si="238"/>
        <v/>
      </c>
      <c r="AY346" s="301" t="str">
        <f t="shared" si="239"/>
        <v/>
      </c>
      <c r="AZ346" s="301" t="str">
        <f t="shared" si="240"/>
        <v/>
      </c>
      <c r="BA346" s="301" t="str">
        <f t="shared" si="241"/>
        <v/>
      </c>
      <c r="BB346" s="303">
        <f t="shared" si="255"/>
        <v>0</v>
      </c>
      <c r="BC346" s="303" t="str">
        <f t="shared" si="256"/>
        <v/>
      </c>
      <c r="BD346" s="303" t="str">
        <f t="shared" si="257"/>
        <v/>
      </c>
      <c r="BF346" s="304">
        <f t="shared" si="258"/>
        <v>0</v>
      </c>
      <c r="BG346" s="304">
        <f t="shared" si="259"/>
        <v>0</v>
      </c>
      <c r="BH346" s="304" t="str">
        <f>IF( $B346="", "", IF(ISNA(VLOOKUP($C346, Defesa!$C$8:$C$30,1,FALSE)),1,0))</f>
        <v/>
      </c>
      <c r="BI346" s="305" t="str">
        <f t="shared" si="260"/>
        <v/>
      </c>
      <c r="BJ346" s="305" t="str">
        <f t="shared" si="261"/>
        <v/>
      </c>
      <c r="BK346" s="304" t="str">
        <f t="shared" si="262"/>
        <v/>
      </c>
      <c r="BL346" s="304">
        <f t="shared" si="263"/>
        <v>0</v>
      </c>
      <c r="BM346" s="304" t="str">
        <f>IF($AC346="", "", IF(ISNA(VLOOKUP($AC346, TABELAS!$Q:$Q, 1, FALSE)), 1, 0))</f>
        <v/>
      </c>
      <c r="BN346" s="306" t="str">
        <f t="shared" si="264"/>
        <v/>
      </c>
      <c r="BO346" s="304" t="str">
        <f t="shared" si="265"/>
        <v/>
      </c>
      <c r="BP346" s="304" t="str">
        <f t="shared" si="266"/>
        <v/>
      </c>
      <c r="BQ346" s="305" t="str">
        <f t="shared" si="267"/>
        <v/>
      </c>
      <c r="BR346" s="304" t="str">
        <f t="shared" si="268"/>
        <v/>
      </c>
      <c r="BS346" s="304" t="str">
        <f t="shared" si="269"/>
        <v/>
      </c>
      <c r="BT346" s="304" t="str">
        <f>IF(OR($B346="", $AH346 = "SIM"), "", IF( ISNA(VLOOKUP($AP346,#REF!, 1, FALSE)), 1, 0))</f>
        <v/>
      </c>
      <c r="BU346" s="304" t="str">
        <f t="shared" si="270"/>
        <v/>
      </c>
      <c r="BV346" s="304" t="str">
        <f>IF( $B346="", "", IF( ISNA(VLOOKUP($AN346, TABELAS!$T$2:$T$9,1,FALSE)), 1, 0))</f>
        <v/>
      </c>
      <c r="BW346" s="304" t="str">
        <f t="shared" si="271"/>
        <v/>
      </c>
      <c r="BX346" s="304" t="str">
        <f>IF( OR($B346="", $AH346 = "SIM"), "", IF( ISNA( VLOOKUP( $AQ346, SISTEMA!$B:$B, 1, FALSE)), 1, 0))</f>
        <v/>
      </c>
      <c r="BY346" s="305" t="str">
        <f t="shared" si="272"/>
        <v/>
      </c>
      <c r="BZ346" s="305" t="str">
        <f t="shared" si="273"/>
        <v/>
      </c>
      <c r="CA346" s="304" t="str">
        <f t="shared" si="274"/>
        <v/>
      </c>
      <c r="CB346" s="305" t="str">
        <f t="shared" si="275"/>
        <v/>
      </c>
      <c r="CC346" s="305" t="str">
        <f t="shared" si="276"/>
        <v/>
      </c>
      <c r="CD346" s="305" t="str">
        <f t="shared" si="277"/>
        <v/>
      </c>
    </row>
    <row r="347" spans="1:82" x14ac:dyDescent="0.2">
      <c r="A347" s="235"/>
      <c r="B347" s="236" t="str">
        <f t="shared" si="242"/>
        <v/>
      </c>
      <c r="C347" s="237" t="str">
        <f t="shared" si="232"/>
        <v/>
      </c>
      <c r="D347" s="237" t="str">
        <f t="shared" si="243"/>
        <v/>
      </c>
      <c r="E347" s="237" t="str">
        <f>IF($C347="", "", COUNTIF($M$8:$M347,$D347))</f>
        <v/>
      </c>
      <c r="F347" s="238">
        <v>340</v>
      </c>
      <c r="G347" s="239"/>
      <c r="H347" s="240"/>
      <c r="I347" s="240"/>
      <c r="J347" s="241"/>
      <c r="K347" s="240"/>
      <c r="L347" s="240"/>
      <c r="M347" s="240"/>
      <c r="N347" s="242"/>
      <c r="O347" s="243"/>
      <c r="P347" s="243"/>
      <c r="Q347" s="243"/>
      <c r="R347" s="243"/>
      <c r="S347" s="243"/>
      <c r="T347" s="245"/>
      <c r="U347" s="246" t="str">
        <f>IF($T347="", "", VLOOKUP($T347, CONTRATOS!$B:$E, 2, FALSE))</f>
        <v/>
      </c>
      <c r="V347" s="247">
        <f>IF(OR($T347="",TB_DEFESA!$C$2="Criação Baseline"),0,
   IF(VLOOKUP($T347, CONTRATOS!B:E, 3, FALSE)&lt;&gt;"",1,IF(VLOOKUP($T347, CONTRATOS!B:E, 4, FALSE)&lt;&gt;"",2,0)))</f>
        <v>0</v>
      </c>
      <c r="W347" s="248"/>
      <c r="X347" s="248"/>
      <c r="Y347" s="249"/>
      <c r="Z347" s="250"/>
      <c r="AA347" s="251"/>
      <c r="AB347" s="252"/>
      <c r="AC347" s="253"/>
      <c r="AD347" s="251"/>
      <c r="AE347" s="254" t="str">
        <f t="shared" si="233"/>
        <v/>
      </c>
      <c r="AF347" s="256" t="str">
        <f t="shared" si="244"/>
        <v/>
      </c>
      <c r="AG347" s="293" t="s">
        <v>62</v>
      </c>
      <c r="AH347" s="294" t="str">
        <f t="shared" si="245"/>
        <v/>
      </c>
      <c r="AI347" s="294" t="str">
        <f t="shared" si="246"/>
        <v/>
      </c>
      <c r="AJ347" s="295" t="str">
        <f t="shared" si="247"/>
        <v/>
      </c>
      <c r="AK347" s="296" t="str">
        <f t="shared" si="248"/>
        <v/>
      </c>
      <c r="AL347" s="297" t="str">
        <f t="shared" si="249"/>
        <v/>
      </c>
      <c r="AM347" s="294" t="str">
        <f t="shared" si="250"/>
        <v/>
      </c>
      <c r="AN347" s="294" t="str">
        <f t="shared" si="251"/>
        <v/>
      </c>
      <c r="AO347" s="298" t="str">
        <f t="shared" si="252"/>
        <v/>
      </c>
      <c r="AP347" s="299" t="str">
        <f t="shared" si="253"/>
        <v/>
      </c>
      <c r="AQ347" s="299" t="str">
        <f t="shared" si="254"/>
        <v/>
      </c>
      <c r="AR347" s="300" t="str">
        <f t="shared" si="234"/>
        <v/>
      </c>
      <c r="AS347" s="300" t="str">
        <f t="shared" si="235"/>
        <v/>
      </c>
      <c r="AT347" s="294" t="str">
        <f t="shared" si="236"/>
        <v/>
      </c>
      <c r="AU347" s="301" t="str">
        <f>IF(OR($B347="", $AP347= ""),"",IF(VLOOKUP($AP347, CONTRATOS!B:K,3,FALSE)="","",VLOOKUP($AP347, CONTRATOS!B:K, 3,FALSE)))</f>
        <v/>
      </c>
      <c r="AV347" s="301" t="str">
        <f>IF(OR($B347="", $AP347 = ""), "", IF(VLOOKUP($AP347, CONTRATOS!B:K,4,FALSE)="","",VLOOKUP($AP347, CONTRATOS!B:K,4, FALSE)))</f>
        <v/>
      </c>
      <c r="AW347" s="302" t="str">
        <f t="shared" si="237"/>
        <v/>
      </c>
      <c r="AX347" s="301" t="str">
        <f t="shared" si="238"/>
        <v/>
      </c>
      <c r="AY347" s="301" t="str">
        <f t="shared" si="239"/>
        <v/>
      </c>
      <c r="AZ347" s="301" t="str">
        <f t="shared" si="240"/>
        <v/>
      </c>
      <c r="BA347" s="301" t="str">
        <f t="shared" si="241"/>
        <v/>
      </c>
      <c r="BB347" s="303">
        <f t="shared" si="255"/>
        <v>0</v>
      </c>
      <c r="BC347" s="303" t="str">
        <f t="shared" si="256"/>
        <v/>
      </c>
      <c r="BD347" s="303" t="str">
        <f t="shared" si="257"/>
        <v/>
      </c>
      <c r="BF347" s="304">
        <f t="shared" si="258"/>
        <v>0</v>
      </c>
      <c r="BG347" s="304">
        <f t="shared" si="259"/>
        <v>0</v>
      </c>
      <c r="BH347" s="304" t="str">
        <f>IF( $B347="", "", IF(ISNA(VLOOKUP($C347, Defesa!$C$8:$C$30,1,FALSE)),1,0))</f>
        <v/>
      </c>
      <c r="BI347" s="305" t="str">
        <f t="shared" si="260"/>
        <v/>
      </c>
      <c r="BJ347" s="305" t="str">
        <f t="shared" si="261"/>
        <v/>
      </c>
      <c r="BK347" s="304" t="str">
        <f t="shared" si="262"/>
        <v/>
      </c>
      <c r="BL347" s="304">
        <f t="shared" si="263"/>
        <v>0</v>
      </c>
      <c r="BM347" s="304" t="str">
        <f>IF($AC347="", "", IF(ISNA(VLOOKUP($AC347, TABELAS!$Q:$Q, 1, FALSE)), 1, 0))</f>
        <v/>
      </c>
      <c r="BN347" s="306" t="str">
        <f t="shared" si="264"/>
        <v/>
      </c>
      <c r="BO347" s="304" t="str">
        <f t="shared" si="265"/>
        <v/>
      </c>
      <c r="BP347" s="304" t="str">
        <f t="shared" si="266"/>
        <v/>
      </c>
      <c r="BQ347" s="305" t="str">
        <f t="shared" si="267"/>
        <v/>
      </c>
      <c r="BR347" s="304" t="str">
        <f t="shared" si="268"/>
        <v/>
      </c>
      <c r="BS347" s="304" t="str">
        <f t="shared" si="269"/>
        <v/>
      </c>
      <c r="BT347" s="304" t="str">
        <f>IF(OR($B347="", $AH347 = "SIM"), "", IF( ISNA(VLOOKUP($AP347,#REF!, 1, FALSE)), 1, 0))</f>
        <v/>
      </c>
      <c r="BU347" s="304" t="str">
        <f t="shared" si="270"/>
        <v/>
      </c>
      <c r="BV347" s="304" t="str">
        <f>IF( $B347="", "", IF( ISNA(VLOOKUP($AN347, TABELAS!$T$2:$T$9,1,FALSE)), 1, 0))</f>
        <v/>
      </c>
      <c r="BW347" s="304" t="str">
        <f t="shared" si="271"/>
        <v/>
      </c>
      <c r="BX347" s="304" t="str">
        <f>IF( OR($B347="", $AH347 = "SIM"), "", IF( ISNA( VLOOKUP( $AQ347, SISTEMA!$B:$B, 1, FALSE)), 1, 0))</f>
        <v/>
      </c>
      <c r="BY347" s="305" t="str">
        <f t="shared" si="272"/>
        <v/>
      </c>
      <c r="BZ347" s="305" t="str">
        <f t="shared" si="273"/>
        <v/>
      </c>
      <c r="CA347" s="304" t="str">
        <f t="shared" si="274"/>
        <v/>
      </c>
      <c r="CB347" s="305" t="str">
        <f t="shared" si="275"/>
        <v/>
      </c>
      <c r="CC347" s="305" t="str">
        <f t="shared" si="276"/>
        <v/>
      </c>
      <c r="CD347" s="305" t="str">
        <f t="shared" si="277"/>
        <v/>
      </c>
    </row>
    <row r="348" spans="1:82" x14ac:dyDescent="0.2">
      <c r="A348" s="235"/>
      <c r="B348" s="236" t="str">
        <f t="shared" si="242"/>
        <v/>
      </c>
      <c r="C348" s="237" t="str">
        <f t="shared" si="232"/>
        <v/>
      </c>
      <c r="D348" s="237" t="str">
        <f t="shared" si="243"/>
        <v/>
      </c>
      <c r="E348" s="237" t="str">
        <f>IF($C348="", "", COUNTIF($M$8:$M348,$D348))</f>
        <v/>
      </c>
      <c r="F348" s="238">
        <v>341</v>
      </c>
      <c r="G348" s="239"/>
      <c r="H348" s="240"/>
      <c r="I348" s="240"/>
      <c r="J348" s="241"/>
      <c r="K348" s="240"/>
      <c r="L348" s="240"/>
      <c r="M348" s="240"/>
      <c r="N348" s="242"/>
      <c r="O348" s="243"/>
      <c r="P348" s="243"/>
      <c r="Q348" s="243"/>
      <c r="R348" s="243"/>
      <c r="S348" s="243"/>
      <c r="T348" s="245"/>
      <c r="U348" s="246" t="str">
        <f>IF($T348="", "", VLOOKUP($T348, CONTRATOS!$B:$E, 2, FALSE))</f>
        <v/>
      </c>
      <c r="V348" s="247">
        <f>IF(OR($T348="",TB_DEFESA!$C$2="Criação Baseline"),0,
   IF(VLOOKUP($T348, CONTRATOS!B:E, 3, FALSE)&lt;&gt;"",1,IF(VLOOKUP($T348, CONTRATOS!B:E, 4, FALSE)&lt;&gt;"",2,0)))</f>
        <v>0</v>
      </c>
      <c r="W348" s="248"/>
      <c r="X348" s="248"/>
      <c r="Y348" s="249"/>
      <c r="Z348" s="250"/>
      <c r="AA348" s="251"/>
      <c r="AB348" s="252"/>
      <c r="AC348" s="253"/>
      <c r="AD348" s="251"/>
      <c r="AE348" s="254" t="str">
        <f t="shared" si="233"/>
        <v/>
      </c>
      <c r="AF348" s="256" t="str">
        <f t="shared" si="244"/>
        <v/>
      </c>
      <c r="AG348" s="293" t="s">
        <v>62</v>
      </c>
      <c r="AH348" s="294" t="str">
        <f t="shared" si="245"/>
        <v/>
      </c>
      <c r="AI348" s="294" t="str">
        <f t="shared" si="246"/>
        <v/>
      </c>
      <c r="AJ348" s="295" t="str">
        <f t="shared" si="247"/>
        <v/>
      </c>
      <c r="AK348" s="296" t="str">
        <f t="shared" si="248"/>
        <v/>
      </c>
      <c r="AL348" s="297" t="str">
        <f t="shared" si="249"/>
        <v/>
      </c>
      <c r="AM348" s="294" t="str">
        <f t="shared" si="250"/>
        <v/>
      </c>
      <c r="AN348" s="294" t="str">
        <f t="shared" si="251"/>
        <v/>
      </c>
      <c r="AO348" s="298" t="str">
        <f t="shared" si="252"/>
        <v/>
      </c>
      <c r="AP348" s="299" t="str">
        <f t="shared" si="253"/>
        <v/>
      </c>
      <c r="AQ348" s="299" t="str">
        <f t="shared" si="254"/>
        <v/>
      </c>
      <c r="AR348" s="300" t="str">
        <f t="shared" si="234"/>
        <v/>
      </c>
      <c r="AS348" s="300" t="str">
        <f t="shared" si="235"/>
        <v/>
      </c>
      <c r="AT348" s="294" t="str">
        <f t="shared" si="236"/>
        <v/>
      </c>
      <c r="AU348" s="301" t="str">
        <f>IF(OR($B348="", $AP348= ""),"",IF(VLOOKUP($AP348, CONTRATOS!B:K,3,FALSE)="","",VLOOKUP($AP348, CONTRATOS!B:K, 3,FALSE)))</f>
        <v/>
      </c>
      <c r="AV348" s="301" t="str">
        <f>IF(OR($B348="", $AP348 = ""), "", IF(VLOOKUP($AP348, CONTRATOS!B:K,4,FALSE)="","",VLOOKUP($AP348, CONTRATOS!B:K,4, FALSE)))</f>
        <v/>
      </c>
      <c r="AW348" s="302" t="str">
        <f t="shared" si="237"/>
        <v/>
      </c>
      <c r="AX348" s="301" t="str">
        <f t="shared" si="238"/>
        <v/>
      </c>
      <c r="AY348" s="301" t="str">
        <f t="shared" si="239"/>
        <v/>
      </c>
      <c r="AZ348" s="301" t="str">
        <f t="shared" si="240"/>
        <v/>
      </c>
      <c r="BA348" s="301" t="str">
        <f t="shared" si="241"/>
        <v/>
      </c>
      <c r="BB348" s="303">
        <f t="shared" si="255"/>
        <v>0</v>
      </c>
      <c r="BC348" s="303" t="str">
        <f t="shared" si="256"/>
        <v/>
      </c>
      <c r="BD348" s="303" t="str">
        <f t="shared" si="257"/>
        <v/>
      </c>
      <c r="BF348" s="304">
        <f t="shared" si="258"/>
        <v>0</v>
      </c>
      <c r="BG348" s="304">
        <f t="shared" si="259"/>
        <v>0</v>
      </c>
      <c r="BH348" s="304" t="str">
        <f>IF( $B348="", "", IF(ISNA(VLOOKUP($C348, Defesa!$C$8:$C$30,1,FALSE)),1,0))</f>
        <v/>
      </c>
      <c r="BI348" s="305" t="str">
        <f t="shared" si="260"/>
        <v/>
      </c>
      <c r="BJ348" s="305" t="str">
        <f t="shared" si="261"/>
        <v/>
      </c>
      <c r="BK348" s="304" t="str">
        <f t="shared" si="262"/>
        <v/>
      </c>
      <c r="BL348" s="304">
        <f t="shared" si="263"/>
        <v>0</v>
      </c>
      <c r="BM348" s="304" t="str">
        <f>IF($AC348="", "", IF(ISNA(VLOOKUP($AC348, TABELAS!$Q:$Q, 1, FALSE)), 1, 0))</f>
        <v/>
      </c>
      <c r="BN348" s="306" t="str">
        <f t="shared" si="264"/>
        <v/>
      </c>
      <c r="BO348" s="304" t="str">
        <f t="shared" si="265"/>
        <v/>
      </c>
      <c r="BP348" s="304" t="str">
        <f t="shared" si="266"/>
        <v/>
      </c>
      <c r="BQ348" s="305" t="str">
        <f t="shared" si="267"/>
        <v/>
      </c>
      <c r="BR348" s="304" t="str">
        <f t="shared" si="268"/>
        <v/>
      </c>
      <c r="BS348" s="304" t="str">
        <f t="shared" si="269"/>
        <v/>
      </c>
      <c r="BT348" s="304" t="str">
        <f>IF(OR($B348="", $AH348 = "SIM"), "", IF( ISNA(VLOOKUP($AP348,#REF!, 1, FALSE)), 1, 0))</f>
        <v/>
      </c>
      <c r="BU348" s="304" t="str">
        <f t="shared" si="270"/>
        <v/>
      </c>
      <c r="BV348" s="304" t="str">
        <f>IF( $B348="", "", IF( ISNA(VLOOKUP($AN348, TABELAS!$T$2:$T$9,1,FALSE)), 1, 0))</f>
        <v/>
      </c>
      <c r="BW348" s="304" t="str">
        <f t="shared" si="271"/>
        <v/>
      </c>
      <c r="BX348" s="304" t="str">
        <f>IF( OR($B348="", $AH348 = "SIM"), "", IF( ISNA( VLOOKUP( $AQ348, SISTEMA!$B:$B, 1, FALSE)), 1, 0))</f>
        <v/>
      </c>
      <c r="BY348" s="305" t="str">
        <f t="shared" si="272"/>
        <v/>
      </c>
      <c r="BZ348" s="305" t="str">
        <f t="shared" si="273"/>
        <v/>
      </c>
      <c r="CA348" s="304" t="str">
        <f t="shared" si="274"/>
        <v/>
      </c>
      <c r="CB348" s="305" t="str">
        <f t="shared" si="275"/>
        <v/>
      </c>
      <c r="CC348" s="305" t="str">
        <f t="shared" si="276"/>
        <v/>
      </c>
      <c r="CD348" s="305" t="str">
        <f t="shared" si="277"/>
        <v/>
      </c>
    </row>
    <row r="349" spans="1:82" x14ac:dyDescent="0.2">
      <c r="A349" s="235"/>
      <c r="B349" s="236" t="str">
        <f t="shared" si="242"/>
        <v/>
      </c>
      <c r="C349" s="237" t="str">
        <f t="shared" si="232"/>
        <v/>
      </c>
      <c r="D349" s="237" t="str">
        <f t="shared" si="243"/>
        <v/>
      </c>
      <c r="E349" s="237" t="str">
        <f>IF($C349="", "", COUNTIF($M$8:$M349,$D349))</f>
        <v/>
      </c>
      <c r="F349" s="238">
        <v>342</v>
      </c>
      <c r="G349" s="239"/>
      <c r="H349" s="240"/>
      <c r="I349" s="240"/>
      <c r="J349" s="241"/>
      <c r="K349" s="240"/>
      <c r="L349" s="240"/>
      <c r="M349" s="240"/>
      <c r="N349" s="242"/>
      <c r="O349" s="243"/>
      <c r="P349" s="243"/>
      <c r="Q349" s="243"/>
      <c r="R349" s="243"/>
      <c r="S349" s="243"/>
      <c r="T349" s="245"/>
      <c r="U349" s="246" t="str">
        <f>IF($T349="", "", VLOOKUP($T349, CONTRATOS!$B:$E, 2, FALSE))</f>
        <v/>
      </c>
      <c r="V349" s="247">
        <f>IF(OR($T349="",TB_DEFESA!$C$2="Criação Baseline"),0,
   IF(VLOOKUP($T349, CONTRATOS!B:E, 3, FALSE)&lt;&gt;"",1,IF(VLOOKUP($T349, CONTRATOS!B:E, 4, FALSE)&lt;&gt;"",2,0)))</f>
        <v>0</v>
      </c>
      <c r="W349" s="248"/>
      <c r="X349" s="248"/>
      <c r="Y349" s="249"/>
      <c r="Z349" s="250"/>
      <c r="AA349" s="251"/>
      <c r="AB349" s="252"/>
      <c r="AC349" s="253"/>
      <c r="AD349" s="251"/>
      <c r="AE349" s="254" t="str">
        <f t="shared" si="233"/>
        <v/>
      </c>
      <c r="AF349" s="256" t="str">
        <f t="shared" si="244"/>
        <v/>
      </c>
      <c r="AG349" s="293" t="s">
        <v>62</v>
      </c>
      <c r="AH349" s="294" t="str">
        <f t="shared" si="245"/>
        <v/>
      </c>
      <c r="AI349" s="294" t="str">
        <f t="shared" si="246"/>
        <v/>
      </c>
      <c r="AJ349" s="295" t="str">
        <f t="shared" si="247"/>
        <v/>
      </c>
      <c r="AK349" s="296" t="str">
        <f t="shared" si="248"/>
        <v/>
      </c>
      <c r="AL349" s="297" t="str">
        <f t="shared" si="249"/>
        <v/>
      </c>
      <c r="AM349" s="294" t="str">
        <f t="shared" si="250"/>
        <v/>
      </c>
      <c r="AN349" s="294" t="str">
        <f t="shared" si="251"/>
        <v/>
      </c>
      <c r="AO349" s="298" t="str">
        <f t="shared" si="252"/>
        <v/>
      </c>
      <c r="AP349" s="299" t="str">
        <f t="shared" si="253"/>
        <v/>
      </c>
      <c r="AQ349" s="299" t="str">
        <f t="shared" si="254"/>
        <v/>
      </c>
      <c r="AR349" s="300" t="str">
        <f t="shared" si="234"/>
        <v/>
      </c>
      <c r="AS349" s="300" t="str">
        <f t="shared" si="235"/>
        <v/>
      </c>
      <c r="AT349" s="294" t="str">
        <f t="shared" si="236"/>
        <v/>
      </c>
      <c r="AU349" s="301" t="str">
        <f>IF(OR($B349="", $AP349= ""),"",IF(VLOOKUP($AP349, CONTRATOS!B:K,3,FALSE)="","",VLOOKUP($AP349, CONTRATOS!B:K, 3,FALSE)))</f>
        <v/>
      </c>
      <c r="AV349" s="301" t="str">
        <f>IF(OR($B349="", $AP349 = ""), "", IF(VLOOKUP($AP349, CONTRATOS!B:K,4,FALSE)="","",VLOOKUP($AP349, CONTRATOS!B:K,4, FALSE)))</f>
        <v/>
      </c>
      <c r="AW349" s="302" t="str">
        <f t="shared" si="237"/>
        <v/>
      </c>
      <c r="AX349" s="301" t="str">
        <f t="shared" si="238"/>
        <v/>
      </c>
      <c r="AY349" s="301" t="str">
        <f t="shared" si="239"/>
        <v/>
      </c>
      <c r="AZ349" s="301" t="str">
        <f t="shared" si="240"/>
        <v/>
      </c>
      <c r="BA349" s="301" t="str">
        <f t="shared" si="241"/>
        <v/>
      </c>
      <c r="BB349" s="303">
        <f t="shared" si="255"/>
        <v>0</v>
      </c>
      <c r="BC349" s="303" t="str">
        <f t="shared" si="256"/>
        <v/>
      </c>
      <c r="BD349" s="303" t="str">
        <f t="shared" si="257"/>
        <v/>
      </c>
      <c r="BF349" s="304">
        <f t="shared" si="258"/>
        <v>0</v>
      </c>
      <c r="BG349" s="304">
        <f t="shared" si="259"/>
        <v>0</v>
      </c>
      <c r="BH349" s="304" t="str">
        <f>IF( $B349="", "", IF(ISNA(VLOOKUP($C349, Defesa!$C$8:$C$30,1,FALSE)),1,0))</f>
        <v/>
      </c>
      <c r="BI349" s="305" t="str">
        <f t="shared" si="260"/>
        <v/>
      </c>
      <c r="BJ349" s="305" t="str">
        <f t="shared" si="261"/>
        <v/>
      </c>
      <c r="BK349" s="304" t="str">
        <f t="shared" si="262"/>
        <v/>
      </c>
      <c r="BL349" s="304">
        <f t="shared" si="263"/>
        <v>0</v>
      </c>
      <c r="BM349" s="304" t="str">
        <f>IF($AC349="", "", IF(ISNA(VLOOKUP($AC349, TABELAS!$Q:$Q, 1, FALSE)), 1, 0))</f>
        <v/>
      </c>
      <c r="BN349" s="306" t="str">
        <f t="shared" si="264"/>
        <v/>
      </c>
      <c r="BO349" s="304" t="str">
        <f t="shared" si="265"/>
        <v/>
      </c>
      <c r="BP349" s="304" t="str">
        <f t="shared" si="266"/>
        <v/>
      </c>
      <c r="BQ349" s="305" t="str">
        <f t="shared" si="267"/>
        <v/>
      </c>
      <c r="BR349" s="304" t="str">
        <f t="shared" si="268"/>
        <v/>
      </c>
      <c r="BS349" s="304" t="str">
        <f t="shared" si="269"/>
        <v/>
      </c>
      <c r="BT349" s="304" t="str">
        <f>IF(OR($B349="", $AH349 = "SIM"), "", IF( ISNA(VLOOKUP($AP349,#REF!, 1, FALSE)), 1, 0))</f>
        <v/>
      </c>
      <c r="BU349" s="304" t="str">
        <f t="shared" si="270"/>
        <v/>
      </c>
      <c r="BV349" s="304" t="str">
        <f>IF( $B349="", "", IF( ISNA(VLOOKUP($AN349, TABELAS!$T$2:$T$9,1,FALSE)), 1, 0))</f>
        <v/>
      </c>
      <c r="BW349" s="304" t="str">
        <f t="shared" si="271"/>
        <v/>
      </c>
      <c r="BX349" s="304" t="str">
        <f>IF( OR($B349="", $AH349 = "SIM"), "", IF( ISNA( VLOOKUP( $AQ349, SISTEMA!$B:$B, 1, FALSE)), 1, 0))</f>
        <v/>
      </c>
      <c r="BY349" s="305" t="str">
        <f t="shared" si="272"/>
        <v/>
      </c>
      <c r="BZ349" s="305" t="str">
        <f t="shared" si="273"/>
        <v/>
      </c>
      <c r="CA349" s="304" t="str">
        <f t="shared" si="274"/>
        <v/>
      </c>
      <c r="CB349" s="305" t="str">
        <f t="shared" si="275"/>
        <v/>
      </c>
      <c r="CC349" s="305" t="str">
        <f t="shared" si="276"/>
        <v/>
      </c>
      <c r="CD349" s="305" t="str">
        <f t="shared" si="277"/>
        <v/>
      </c>
    </row>
    <row r="350" spans="1:82" x14ac:dyDescent="0.2">
      <c r="A350" s="235"/>
      <c r="B350" s="236" t="str">
        <f t="shared" si="242"/>
        <v/>
      </c>
      <c r="C350" s="237" t="str">
        <f t="shared" si="232"/>
        <v/>
      </c>
      <c r="D350" s="237" t="str">
        <f t="shared" si="243"/>
        <v/>
      </c>
      <c r="E350" s="237" t="str">
        <f>IF($C350="", "", COUNTIF($M$8:$M350,$D350))</f>
        <v/>
      </c>
      <c r="F350" s="238">
        <v>343</v>
      </c>
      <c r="G350" s="239"/>
      <c r="H350" s="240"/>
      <c r="I350" s="240"/>
      <c r="J350" s="241"/>
      <c r="K350" s="240"/>
      <c r="L350" s="240"/>
      <c r="M350" s="240"/>
      <c r="N350" s="242"/>
      <c r="O350" s="243"/>
      <c r="P350" s="243"/>
      <c r="Q350" s="243"/>
      <c r="R350" s="243"/>
      <c r="S350" s="243"/>
      <c r="T350" s="245"/>
      <c r="U350" s="246" t="str">
        <f>IF($T350="", "", VLOOKUP($T350, CONTRATOS!$B:$E, 2, FALSE))</f>
        <v/>
      </c>
      <c r="V350" s="247">
        <f>IF(OR($T350="",TB_DEFESA!$C$2="Criação Baseline"),0,
   IF(VLOOKUP($T350, CONTRATOS!B:E, 3, FALSE)&lt;&gt;"",1,IF(VLOOKUP($T350, CONTRATOS!B:E, 4, FALSE)&lt;&gt;"",2,0)))</f>
        <v>0</v>
      </c>
      <c r="W350" s="248"/>
      <c r="X350" s="248"/>
      <c r="Y350" s="249"/>
      <c r="Z350" s="250"/>
      <c r="AA350" s="251"/>
      <c r="AB350" s="252"/>
      <c r="AC350" s="253"/>
      <c r="AD350" s="251"/>
      <c r="AE350" s="254" t="str">
        <f t="shared" si="233"/>
        <v/>
      </c>
      <c r="AF350" s="256" t="str">
        <f t="shared" si="244"/>
        <v/>
      </c>
      <c r="AG350" s="293" t="s">
        <v>62</v>
      </c>
      <c r="AH350" s="294" t="str">
        <f t="shared" si="245"/>
        <v/>
      </c>
      <c r="AI350" s="294" t="str">
        <f t="shared" si="246"/>
        <v/>
      </c>
      <c r="AJ350" s="295" t="str">
        <f t="shared" si="247"/>
        <v/>
      </c>
      <c r="AK350" s="296" t="str">
        <f t="shared" si="248"/>
        <v/>
      </c>
      <c r="AL350" s="297" t="str">
        <f t="shared" si="249"/>
        <v/>
      </c>
      <c r="AM350" s="294" t="str">
        <f t="shared" si="250"/>
        <v/>
      </c>
      <c r="AN350" s="294" t="str">
        <f t="shared" si="251"/>
        <v/>
      </c>
      <c r="AO350" s="298" t="str">
        <f t="shared" si="252"/>
        <v/>
      </c>
      <c r="AP350" s="299" t="str">
        <f t="shared" si="253"/>
        <v/>
      </c>
      <c r="AQ350" s="299" t="str">
        <f t="shared" si="254"/>
        <v/>
      </c>
      <c r="AR350" s="300" t="str">
        <f t="shared" si="234"/>
        <v/>
      </c>
      <c r="AS350" s="300" t="str">
        <f t="shared" si="235"/>
        <v/>
      </c>
      <c r="AT350" s="294" t="str">
        <f t="shared" si="236"/>
        <v/>
      </c>
      <c r="AU350" s="301" t="str">
        <f>IF(OR($B350="", $AP350= ""),"",IF(VLOOKUP($AP350, CONTRATOS!B:K,3,FALSE)="","",VLOOKUP($AP350, CONTRATOS!B:K, 3,FALSE)))</f>
        <v/>
      </c>
      <c r="AV350" s="301" t="str">
        <f>IF(OR($B350="", $AP350 = ""), "", IF(VLOOKUP($AP350, CONTRATOS!B:K,4,FALSE)="","",VLOOKUP($AP350, CONTRATOS!B:K,4, FALSE)))</f>
        <v/>
      </c>
      <c r="AW350" s="302" t="str">
        <f t="shared" si="237"/>
        <v/>
      </c>
      <c r="AX350" s="301" t="str">
        <f t="shared" si="238"/>
        <v/>
      </c>
      <c r="AY350" s="301" t="str">
        <f t="shared" si="239"/>
        <v/>
      </c>
      <c r="AZ350" s="301" t="str">
        <f t="shared" si="240"/>
        <v/>
      </c>
      <c r="BA350" s="301" t="str">
        <f t="shared" si="241"/>
        <v/>
      </c>
      <c r="BB350" s="303">
        <f t="shared" si="255"/>
        <v>0</v>
      </c>
      <c r="BC350" s="303" t="str">
        <f t="shared" si="256"/>
        <v/>
      </c>
      <c r="BD350" s="303" t="str">
        <f t="shared" si="257"/>
        <v/>
      </c>
      <c r="BF350" s="304">
        <f t="shared" si="258"/>
        <v>0</v>
      </c>
      <c r="BG350" s="304">
        <f t="shared" si="259"/>
        <v>0</v>
      </c>
      <c r="BH350" s="304" t="str">
        <f>IF( $B350="", "", IF(ISNA(VLOOKUP($C350, Defesa!$C$8:$C$30,1,FALSE)),1,0))</f>
        <v/>
      </c>
      <c r="BI350" s="305" t="str">
        <f t="shared" si="260"/>
        <v/>
      </c>
      <c r="BJ350" s="305" t="str">
        <f t="shared" si="261"/>
        <v/>
      </c>
      <c r="BK350" s="304" t="str">
        <f t="shared" si="262"/>
        <v/>
      </c>
      <c r="BL350" s="304">
        <f t="shared" si="263"/>
        <v>0</v>
      </c>
      <c r="BM350" s="304" t="str">
        <f>IF($AC350="", "", IF(ISNA(VLOOKUP($AC350, TABELAS!$Q:$Q, 1, FALSE)), 1, 0))</f>
        <v/>
      </c>
      <c r="BN350" s="306" t="str">
        <f t="shared" si="264"/>
        <v/>
      </c>
      <c r="BO350" s="304" t="str">
        <f t="shared" si="265"/>
        <v/>
      </c>
      <c r="BP350" s="304" t="str">
        <f t="shared" si="266"/>
        <v/>
      </c>
      <c r="BQ350" s="305" t="str">
        <f t="shared" si="267"/>
        <v/>
      </c>
      <c r="BR350" s="304" t="str">
        <f t="shared" si="268"/>
        <v/>
      </c>
      <c r="BS350" s="304" t="str">
        <f t="shared" si="269"/>
        <v/>
      </c>
      <c r="BT350" s="304" t="str">
        <f>IF(OR($B350="", $AH350 = "SIM"), "", IF( ISNA(VLOOKUP($AP350,#REF!, 1, FALSE)), 1, 0))</f>
        <v/>
      </c>
      <c r="BU350" s="304" t="str">
        <f t="shared" si="270"/>
        <v/>
      </c>
      <c r="BV350" s="304" t="str">
        <f>IF( $B350="", "", IF( ISNA(VLOOKUP($AN350, TABELAS!$T$2:$T$9,1,FALSE)), 1, 0))</f>
        <v/>
      </c>
      <c r="BW350" s="304" t="str">
        <f t="shared" si="271"/>
        <v/>
      </c>
      <c r="BX350" s="304" t="str">
        <f>IF( OR($B350="", $AH350 = "SIM"), "", IF( ISNA( VLOOKUP( $AQ350, SISTEMA!$B:$B, 1, FALSE)), 1, 0))</f>
        <v/>
      </c>
      <c r="BY350" s="305" t="str">
        <f t="shared" si="272"/>
        <v/>
      </c>
      <c r="BZ350" s="305" t="str">
        <f t="shared" si="273"/>
        <v/>
      </c>
      <c r="CA350" s="304" t="str">
        <f t="shared" si="274"/>
        <v/>
      </c>
      <c r="CB350" s="305" t="str">
        <f t="shared" si="275"/>
        <v/>
      </c>
      <c r="CC350" s="305" t="str">
        <f t="shared" si="276"/>
        <v/>
      </c>
      <c r="CD350" s="305" t="str">
        <f t="shared" si="277"/>
        <v/>
      </c>
    </row>
    <row r="351" spans="1:82" x14ac:dyDescent="0.2">
      <c r="A351" s="235"/>
      <c r="B351" s="236" t="str">
        <f t="shared" si="242"/>
        <v/>
      </c>
      <c r="C351" s="237" t="str">
        <f t="shared" si="232"/>
        <v/>
      </c>
      <c r="D351" s="237" t="str">
        <f t="shared" si="243"/>
        <v/>
      </c>
      <c r="E351" s="237" t="str">
        <f>IF($C351="", "", COUNTIF($M$8:$M351,$D351))</f>
        <v/>
      </c>
      <c r="F351" s="238">
        <v>344</v>
      </c>
      <c r="G351" s="239"/>
      <c r="H351" s="240"/>
      <c r="I351" s="240"/>
      <c r="J351" s="241"/>
      <c r="K351" s="240"/>
      <c r="L351" s="240"/>
      <c r="M351" s="240"/>
      <c r="N351" s="242"/>
      <c r="O351" s="243"/>
      <c r="P351" s="243"/>
      <c r="Q351" s="243"/>
      <c r="R351" s="243"/>
      <c r="S351" s="243"/>
      <c r="T351" s="245"/>
      <c r="U351" s="246" t="str">
        <f>IF($T351="", "", VLOOKUP($T351, CONTRATOS!$B:$E, 2, FALSE))</f>
        <v/>
      </c>
      <c r="V351" s="247">
        <f>IF(OR($T351="",TB_DEFESA!$C$2="Criação Baseline"),0,
   IF(VLOOKUP($T351, CONTRATOS!B:E, 3, FALSE)&lt;&gt;"",1,IF(VLOOKUP($T351, CONTRATOS!B:E, 4, FALSE)&lt;&gt;"",2,0)))</f>
        <v>0</v>
      </c>
      <c r="W351" s="248"/>
      <c r="X351" s="248"/>
      <c r="Y351" s="249"/>
      <c r="Z351" s="250"/>
      <c r="AA351" s="251"/>
      <c r="AB351" s="252"/>
      <c r="AC351" s="253"/>
      <c r="AD351" s="251"/>
      <c r="AE351" s="254" t="str">
        <f t="shared" si="233"/>
        <v/>
      </c>
      <c r="AF351" s="256" t="str">
        <f t="shared" si="244"/>
        <v/>
      </c>
      <c r="AG351" s="293" t="s">
        <v>62</v>
      </c>
      <c r="AH351" s="294" t="str">
        <f t="shared" si="245"/>
        <v/>
      </c>
      <c r="AI351" s="294" t="str">
        <f t="shared" si="246"/>
        <v/>
      </c>
      <c r="AJ351" s="295" t="str">
        <f t="shared" si="247"/>
        <v/>
      </c>
      <c r="AK351" s="296" t="str">
        <f t="shared" si="248"/>
        <v/>
      </c>
      <c r="AL351" s="297" t="str">
        <f t="shared" si="249"/>
        <v/>
      </c>
      <c r="AM351" s="294" t="str">
        <f t="shared" si="250"/>
        <v/>
      </c>
      <c r="AN351" s="294" t="str">
        <f t="shared" si="251"/>
        <v/>
      </c>
      <c r="AO351" s="298" t="str">
        <f t="shared" si="252"/>
        <v/>
      </c>
      <c r="AP351" s="299" t="str">
        <f t="shared" si="253"/>
        <v/>
      </c>
      <c r="AQ351" s="299" t="str">
        <f t="shared" si="254"/>
        <v/>
      </c>
      <c r="AR351" s="300" t="str">
        <f t="shared" si="234"/>
        <v/>
      </c>
      <c r="AS351" s="300" t="str">
        <f t="shared" si="235"/>
        <v/>
      </c>
      <c r="AT351" s="294" t="str">
        <f t="shared" si="236"/>
        <v/>
      </c>
      <c r="AU351" s="301" t="str">
        <f>IF(OR($B351="", $AP351= ""),"",IF(VLOOKUP($AP351, CONTRATOS!B:K,3,FALSE)="","",VLOOKUP($AP351, CONTRATOS!B:K, 3,FALSE)))</f>
        <v/>
      </c>
      <c r="AV351" s="301" t="str">
        <f>IF(OR($B351="", $AP351 = ""), "", IF(VLOOKUP($AP351, CONTRATOS!B:K,4,FALSE)="","",VLOOKUP($AP351, CONTRATOS!B:K,4, FALSE)))</f>
        <v/>
      </c>
      <c r="AW351" s="302" t="str">
        <f t="shared" si="237"/>
        <v/>
      </c>
      <c r="AX351" s="301" t="str">
        <f t="shared" si="238"/>
        <v/>
      </c>
      <c r="AY351" s="301" t="str">
        <f t="shared" si="239"/>
        <v/>
      </c>
      <c r="AZ351" s="301" t="str">
        <f t="shared" si="240"/>
        <v/>
      </c>
      <c r="BA351" s="301" t="str">
        <f t="shared" si="241"/>
        <v/>
      </c>
      <c r="BB351" s="303">
        <f t="shared" si="255"/>
        <v>0</v>
      </c>
      <c r="BC351" s="303" t="str">
        <f t="shared" si="256"/>
        <v/>
      </c>
      <c r="BD351" s="303" t="str">
        <f t="shared" si="257"/>
        <v/>
      </c>
      <c r="BF351" s="304">
        <f t="shared" si="258"/>
        <v>0</v>
      </c>
      <c r="BG351" s="304">
        <f t="shared" si="259"/>
        <v>0</v>
      </c>
      <c r="BH351" s="304" t="str">
        <f>IF( $B351="", "", IF(ISNA(VLOOKUP($C351, Defesa!$C$8:$C$30,1,FALSE)),1,0))</f>
        <v/>
      </c>
      <c r="BI351" s="305" t="str">
        <f t="shared" si="260"/>
        <v/>
      </c>
      <c r="BJ351" s="305" t="str">
        <f t="shared" si="261"/>
        <v/>
      </c>
      <c r="BK351" s="304" t="str">
        <f t="shared" si="262"/>
        <v/>
      </c>
      <c r="BL351" s="304">
        <f t="shared" si="263"/>
        <v>0</v>
      </c>
      <c r="BM351" s="304" t="str">
        <f>IF($AC351="", "", IF(ISNA(VLOOKUP($AC351, TABELAS!$Q:$Q, 1, FALSE)), 1, 0))</f>
        <v/>
      </c>
      <c r="BN351" s="306" t="str">
        <f t="shared" si="264"/>
        <v/>
      </c>
      <c r="BO351" s="304" t="str">
        <f t="shared" si="265"/>
        <v/>
      </c>
      <c r="BP351" s="304" t="str">
        <f t="shared" si="266"/>
        <v/>
      </c>
      <c r="BQ351" s="305" t="str">
        <f t="shared" si="267"/>
        <v/>
      </c>
      <c r="BR351" s="304" t="str">
        <f t="shared" si="268"/>
        <v/>
      </c>
      <c r="BS351" s="304" t="str">
        <f t="shared" si="269"/>
        <v/>
      </c>
      <c r="BT351" s="304" t="str">
        <f>IF(OR($B351="", $AH351 = "SIM"), "", IF( ISNA(VLOOKUP($AP351,#REF!, 1, FALSE)), 1, 0))</f>
        <v/>
      </c>
      <c r="BU351" s="304" t="str">
        <f t="shared" si="270"/>
        <v/>
      </c>
      <c r="BV351" s="304" t="str">
        <f>IF( $B351="", "", IF( ISNA(VLOOKUP($AN351, TABELAS!$T$2:$T$9,1,FALSE)), 1, 0))</f>
        <v/>
      </c>
      <c r="BW351" s="304" t="str">
        <f t="shared" si="271"/>
        <v/>
      </c>
      <c r="BX351" s="304" t="str">
        <f>IF( OR($B351="", $AH351 = "SIM"), "", IF( ISNA( VLOOKUP( $AQ351, SISTEMA!$B:$B, 1, FALSE)), 1, 0))</f>
        <v/>
      </c>
      <c r="BY351" s="305" t="str">
        <f t="shared" si="272"/>
        <v/>
      </c>
      <c r="BZ351" s="305" t="str">
        <f t="shared" si="273"/>
        <v/>
      </c>
      <c r="CA351" s="304" t="str">
        <f t="shared" si="274"/>
        <v/>
      </c>
      <c r="CB351" s="305" t="str">
        <f t="shared" si="275"/>
        <v/>
      </c>
      <c r="CC351" s="305" t="str">
        <f t="shared" si="276"/>
        <v/>
      </c>
      <c r="CD351" s="305" t="str">
        <f t="shared" si="277"/>
        <v/>
      </c>
    </row>
    <row r="352" spans="1:82" x14ac:dyDescent="0.2">
      <c r="A352" s="235"/>
      <c r="B352" s="236" t="str">
        <f t="shared" si="242"/>
        <v/>
      </c>
      <c r="C352" s="237" t="str">
        <f t="shared" si="232"/>
        <v/>
      </c>
      <c r="D352" s="237" t="str">
        <f t="shared" si="243"/>
        <v/>
      </c>
      <c r="E352" s="237" t="str">
        <f>IF($C352="", "", COUNTIF($M$8:$M352,$D352))</f>
        <v/>
      </c>
      <c r="F352" s="238">
        <v>345</v>
      </c>
      <c r="G352" s="239"/>
      <c r="H352" s="240"/>
      <c r="I352" s="240"/>
      <c r="J352" s="241"/>
      <c r="K352" s="240"/>
      <c r="L352" s="240"/>
      <c r="M352" s="240"/>
      <c r="N352" s="242"/>
      <c r="O352" s="243"/>
      <c r="P352" s="243"/>
      <c r="Q352" s="243"/>
      <c r="R352" s="243"/>
      <c r="S352" s="243"/>
      <c r="T352" s="245"/>
      <c r="U352" s="246" t="str">
        <f>IF($T352="", "", VLOOKUP($T352, CONTRATOS!$B:$E, 2, FALSE))</f>
        <v/>
      </c>
      <c r="V352" s="247">
        <f>IF(OR($T352="",TB_DEFESA!$C$2="Criação Baseline"),0,
   IF(VLOOKUP($T352, CONTRATOS!B:E, 3, FALSE)&lt;&gt;"",1,IF(VLOOKUP($T352, CONTRATOS!B:E, 4, FALSE)&lt;&gt;"",2,0)))</f>
        <v>0</v>
      </c>
      <c r="W352" s="248"/>
      <c r="X352" s="248"/>
      <c r="Y352" s="249"/>
      <c r="Z352" s="250"/>
      <c r="AA352" s="251"/>
      <c r="AB352" s="252"/>
      <c r="AC352" s="253"/>
      <c r="AD352" s="251"/>
      <c r="AE352" s="254" t="str">
        <f t="shared" si="233"/>
        <v/>
      </c>
      <c r="AF352" s="256" t="str">
        <f t="shared" si="244"/>
        <v/>
      </c>
      <c r="AG352" s="293" t="s">
        <v>62</v>
      </c>
      <c r="AH352" s="294" t="str">
        <f t="shared" si="245"/>
        <v/>
      </c>
      <c r="AI352" s="294" t="str">
        <f t="shared" si="246"/>
        <v/>
      </c>
      <c r="AJ352" s="295" t="str">
        <f t="shared" si="247"/>
        <v/>
      </c>
      <c r="AK352" s="296" t="str">
        <f t="shared" si="248"/>
        <v/>
      </c>
      <c r="AL352" s="297" t="str">
        <f t="shared" si="249"/>
        <v/>
      </c>
      <c r="AM352" s="294" t="str">
        <f t="shared" si="250"/>
        <v/>
      </c>
      <c r="AN352" s="294" t="str">
        <f t="shared" si="251"/>
        <v/>
      </c>
      <c r="AO352" s="298" t="str">
        <f t="shared" si="252"/>
        <v/>
      </c>
      <c r="AP352" s="299" t="str">
        <f t="shared" si="253"/>
        <v/>
      </c>
      <c r="AQ352" s="299" t="str">
        <f t="shared" si="254"/>
        <v/>
      </c>
      <c r="AR352" s="300" t="str">
        <f t="shared" si="234"/>
        <v/>
      </c>
      <c r="AS352" s="300" t="str">
        <f t="shared" si="235"/>
        <v/>
      </c>
      <c r="AT352" s="294" t="str">
        <f t="shared" si="236"/>
        <v/>
      </c>
      <c r="AU352" s="301" t="str">
        <f>IF(OR($B352="", $AP352= ""),"",IF(VLOOKUP($AP352, CONTRATOS!B:K,3,FALSE)="","",VLOOKUP($AP352, CONTRATOS!B:K, 3,FALSE)))</f>
        <v/>
      </c>
      <c r="AV352" s="301" t="str">
        <f>IF(OR($B352="", $AP352 = ""), "", IF(VLOOKUP($AP352, CONTRATOS!B:K,4,FALSE)="","",VLOOKUP($AP352, CONTRATOS!B:K,4, FALSE)))</f>
        <v/>
      </c>
      <c r="AW352" s="302" t="str">
        <f t="shared" si="237"/>
        <v/>
      </c>
      <c r="AX352" s="301" t="str">
        <f t="shared" si="238"/>
        <v/>
      </c>
      <c r="AY352" s="301" t="str">
        <f t="shared" si="239"/>
        <v/>
      </c>
      <c r="AZ352" s="301" t="str">
        <f t="shared" si="240"/>
        <v/>
      </c>
      <c r="BA352" s="301" t="str">
        <f t="shared" si="241"/>
        <v/>
      </c>
      <c r="BB352" s="303">
        <f t="shared" si="255"/>
        <v>0</v>
      </c>
      <c r="BC352" s="303" t="str">
        <f t="shared" si="256"/>
        <v/>
      </c>
      <c r="BD352" s="303" t="str">
        <f t="shared" si="257"/>
        <v/>
      </c>
      <c r="BF352" s="304">
        <f t="shared" si="258"/>
        <v>0</v>
      </c>
      <c r="BG352" s="304">
        <f t="shared" si="259"/>
        <v>0</v>
      </c>
      <c r="BH352" s="304" t="str">
        <f>IF( $B352="", "", IF(ISNA(VLOOKUP($C352, Defesa!$C$8:$C$30,1,FALSE)),1,0))</f>
        <v/>
      </c>
      <c r="BI352" s="305" t="str">
        <f t="shared" si="260"/>
        <v/>
      </c>
      <c r="BJ352" s="305" t="str">
        <f t="shared" si="261"/>
        <v/>
      </c>
      <c r="BK352" s="304" t="str">
        <f t="shared" si="262"/>
        <v/>
      </c>
      <c r="BL352" s="304">
        <f t="shared" si="263"/>
        <v>0</v>
      </c>
      <c r="BM352" s="304" t="str">
        <f>IF($AC352="", "", IF(ISNA(VLOOKUP($AC352, TABELAS!$Q:$Q, 1, FALSE)), 1, 0))</f>
        <v/>
      </c>
      <c r="BN352" s="306" t="str">
        <f t="shared" si="264"/>
        <v/>
      </c>
      <c r="BO352" s="304" t="str">
        <f t="shared" si="265"/>
        <v/>
      </c>
      <c r="BP352" s="304" t="str">
        <f t="shared" si="266"/>
        <v/>
      </c>
      <c r="BQ352" s="305" t="str">
        <f t="shared" si="267"/>
        <v/>
      </c>
      <c r="BR352" s="304" t="str">
        <f t="shared" si="268"/>
        <v/>
      </c>
      <c r="BS352" s="304" t="str">
        <f t="shared" si="269"/>
        <v/>
      </c>
      <c r="BT352" s="304" t="str">
        <f>IF(OR($B352="", $AH352 = "SIM"), "", IF( ISNA(VLOOKUP($AP352,#REF!, 1, FALSE)), 1, 0))</f>
        <v/>
      </c>
      <c r="BU352" s="304" t="str">
        <f t="shared" si="270"/>
        <v/>
      </c>
      <c r="BV352" s="304" t="str">
        <f>IF( $B352="", "", IF( ISNA(VLOOKUP($AN352, TABELAS!$T$2:$T$9,1,FALSE)), 1, 0))</f>
        <v/>
      </c>
      <c r="BW352" s="304" t="str">
        <f t="shared" si="271"/>
        <v/>
      </c>
      <c r="BX352" s="304" t="str">
        <f>IF( OR($B352="", $AH352 = "SIM"), "", IF( ISNA( VLOOKUP( $AQ352, SISTEMA!$B:$B, 1, FALSE)), 1, 0))</f>
        <v/>
      </c>
      <c r="BY352" s="305" t="str">
        <f t="shared" si="272"/>
        <v/>
      </c>
      <c r="BZ352" s="305" t="str">
        <f t="shared" si="273"/>
        <v/>
      </c>
      <c r="CA352" s="304" t="str">
        <f t="shared" si="274"/>
        <v/>
      </c>
      <c r="CB352" s="305" t="str">
        <f t="shared" si="275"/>
        <v/>
      </c>
      <c r="CC352" s="305" t="str">
        <f t="shared" si="276"/>
        <v/>
      </c>
      <c r="CD352" s="305" t="str">
        <f t="shared" si="277"/>
        <v/>
      </c>
    </row>
    <row r="353" spans="1:82" x14ac:dyDescent="0.2">
      <c r="A353" s="235"/>
      <c r="B353" s="236" t="str">
        <f t="shared" si="242"/>
        <v/>
      </c>
      <c r="C353" s="237" t="str">
        <f t="shared" si="232"/>
        <v/>
      </c>
      <c r="D353" s="237" t="str">
        <f t="shared" si="243"/>
        <v/>
      </c>
      <c r="E353" s="237" t="str">
        <f>IF($C353="", "", COUNTIF($M$8:$M353,$D353))</f>
        <v/>
      </c>
      <c r="F353" s="238">
        <v>346</v>
      </c>
      <c r="G353" s="239"/>
      <c r="H353" s="240"/>
      <c r="I353" s="240"/>
      <c r="J353" s="241"/>
      <c r="K353" s="240"/>
      <c r="L353" s="240"/>
      <c r="M353" s="240"/>
      <c r="N353" s="242"/>
      <c r="O353" s="243"/>
      <c r="P353" s="243"/>
      <c r="Q353" s="243"/>
      <c r="R353" s="243"/>
      <c r="S353" s="243"/>
      <c r="T353" s="245"/>
      <c r="U353" s="246" t="str">
        <f>IF($T353="", "", VLOOKUP($T353, CONTRATOS!$B:$E, 2, FALSE))</f>
        <v/>
      </c>
      <c r="V353" s="247">
        <f>IF(OR($T353="",TB_DEFESA!$C$2="Criação Baseline"),0,
   IF(VLOOKUP($T353, CONTRATOS!B:E, 3, FALSE)&lt;&gt;"",1,IF(VLOOKUP($T353, CONTRATOS!B:E, 4, FALSE)&lt;&gt;"",2,0)))</f>
        <v>0</v>
      </c>
      <c r="W353" s="248"/>
      <c r="X353" s="248"/>
      <c r="Y353" s="249"/>
      <c r="Z353" s="250"/>
      <c r="AA353" s="251"/>
      <c r="AB353" s="252"/>
      <c r="AC353" s="253"/>
      <c r="AD353" s="251"/>
      <c r="AE353" s="254" t="str">
        <f t="shared" si="233"/>
        <v/>
      </c>
      <c r="AF353" s="256" t="str">
        <f t="shared" si="244"/>
        <v/>
      </c>
      <c r="AG353" s="293" t="s">
        <v>62</v>
      </c>
      <c r="AH353" s="294" t="str">
        <f t="shared" si="245"/>
        <v/>
      </c>
      <c r="AI353" s="294" t="str">
        <f t="shared" si="246"/>
        <v/>
      </c>
      <c r="AJ353" s="295" t="str">
        <f t="shared" si="247"/>
        <v/>
      </c>
      <c r="AK353" s="296" t="str">
        <f t="shared" si="248"/>
        <v/>
      </c>
      <c r="AL353" s="297" t="str">
        <f t="shared" si="249"/>
        <v/>
      </c>
      <c r="AM353" s="294" t="str">
        <f t="shared" si="250"/>
        <v/>
      </c>
      <c r="AN353" s="294" t="str">
        <f t="shared" si="251"/>
        <v/>
      </c>
      <c r="AO353" s="298" t="str">
        <f t="shared" si="252"/>
        <v/>
      </c>
      <c r="AP353" s="299" t="str">
        <f t="shared" si="253"/>
        <v/>
      </c>
      <c r="AQ353" s="299" t="str">
        <f t="shared" si="254"/>
        <v/>
      </c>
      <c r="AR353" s="300" t="str">
        <f t="shared" si="234"/>
        <v/>
      </c>
      <c r="AS353" s="300" t="str">
        <f t="shared" si="235"/>
        <v/>
      </c>
      <c r="AT353" s="294" t="str">
        <f t="shared" si="236"/>
        <v/>
      </c>
      <c r="AU353" s="301" t="str">
        <f>IF(OR($B353="", $AP353= ""),"",IF(VLOOKUP($AP353, CONTRATOS!B:K,3,FALSE)="","",VLOOKUP($AP353, CONTRATOS!B:K, 3,FALSE)))</f>
        <v/>
      </c>
      <c r="AV353" s="301" t="str">
        <f>IF(OR($B353="", $AP353 = ""), "", IF(VLOOKUP($AP353, CONTRATOS!B:K,4,FALSE)="","",VLOOKUP($AP353, CONTRATOS!B:K,4, FALSE)))</f>
        <v/>
      </c>
      <c r="AW353" s="302" t="str">
        <f t="shared" si="237"/>
        <v/>
      </c>
      <c r="AX353" s="301" t="str">
        <f t="shared" si="238"/>
        <v/>
      </c>
      <c r="AY353" s="301" t="str">
        <f t="shared" si="239"/>
        <v/>
      </c>
      <c r="AZ353" s="301" t="str">
        <f t="shared" si="240"/>
        <v/>
      </c>
      <c r="BA353" s="301" t="str">
        <f t="shared" si="241"/>
        <v/>
      </c>
      <c r="BB353" s="303">
        <f t="shared" si="255"/>
        <v>0</v>
      </c>
      <c r="BC353" s="303" t="str">
        <f t="shared" si="256"/>
        <v/>
      </c>
      <c r="BD353" s="303" t="str">
        <f t="shared" si="257"/>
        <v/>
      </c>
      <c r="BF353" s="304">
        <f t="shared" si="258"/>
        <v>0</v>
      </c>
      <c r="BG353" s="304">
        <f t="shared" si="259"/>
        <v>0</v>
      </c>
      <c r="BH353" s="304" t="str">
        <f>IF( $B353="", "", IF(ISNA(VLOOKUP($C353, Defesa!$C$8:$C$30,1,FALSE)),1,0))</f>
        <v/>
      </c>
      <c r="BI353" s="305" t="str">
        <f t="shared" si="260"/>
        <v/>
      </c>
      <c r="BJ353" s="305" t="str">
        <f t="shared" si="261"/>
        <v/>
      </c>
      <c r="BK353" s="304" t="str">
        <f t="shared" si="262"/>
        <v/>
      </c>
      <c r="BL353" s="304">
        <f t="shared" si="263"/>
        <v>0</v>
      </c>
      <c r="BM353" s="304" t="str">
        <f>IF($AC353="", "", IF(ISNA(VLOOKUP($AC353, TABELAS!$Q:$Q, 1, FALSE)), 1, 0))</f>
        <v/>
      </c>
      <c r="BN353" s="306" t="str">
        <f t="shared" si="264"/>
        <v/>
      </c>
      <c r="BO353" s="304" t="str">
        <f t="shared" si="265"/>
        <v/>
      </c>
      <c r="BP353" s="304" t="str">
        <f t="shared" si="266"/>
        <v/>
      </c>
      <c r="BQ353" s="305" t="str">
        <f t="shared" si="267"/>
        <v/>
      </c>
      <c r="BR353" s="304" t="str">
        <f t="shared" si="268"/>
        <v/>
      </c>
      <c r="BS353" s="304" t="str">
        <f t="shared" si="269"/>
        <v/>
      </c>
      <c r="BT353" s="304" t="str">
        <f>IF(OR($B353="", $AH353 = "SIM"), "", IF( ISNA(VLOOKUP($AP353,#REF!, 1, FALSE)), 1, 0))</f>
        <v/>
      </c>
      <c r="BU353" s="304" t="str">
        <f t="shared" si="270"/>
        <v/>
      </c>
      <c r="BV353" s="304" t="str">
        <f>IF( $B353="", "", IF( ISNA(VLOOKUP($AN353, TABELAS!$T$2:$T$9,1,FALSE)), 1, 0))</f>
        <v/>
      </c>
      <c r="BW353" s="304" t="str">
        <f t="shared" si="271"/>
        <v/>
      </c>
      <c r="BX353" s="304" t="str">
        <f>IF( OR($B353="", $AH353 = "SIM"), "", IF( ISNA( VLOOKUP( $AQ353, SISTEMA!$B:$B, 1, FALSE)), 1, 0))</f>
        <v/>
      </c>
      <c r="BY353" s="305" t="str">
        <f t="shared" si="272"/>
        <v/>
      </c>
      <c r="BZ353" s="305" t="str">
        <f t="shared" si="273"/>
        <v/>
      </c>
      <c r="CA353" s="304" t="str">
        <f t="shared" si="274"/>
        <v/>
      </c>
      <c r="CB353" s="305" t="str">
        <f t="shared" si="275"/>
        <v/>
      </c>
      <c r="CC353" s="305" t="str">
        <f t="shared" si="276"/>
        <v/>
      </c>
      <c r="CD353" s="305" t="str">
        <f t="shared" si="277"/>
        <v/>
      </c>
    </row>
    <row r="354" spans="1:82" x14ac:dyDescent="0.2">
      <c r="A354" s="235"/>
      <c r="B354" s="236" t="str">
        <f t="shared" si="242"/>
        <v/>
      </c>
      <c r="C354" s="237" t="str">
        <f t="shared" si="232"/>
        <v/>
      </c>
      <c r="D354" s="237" t="str">
        <f t="shared" si="243"/>
        <v/>
      </c>
      <c r="E354" s="237" t="str">
        <f>IF($C354="", "", COUNTIF($M$8:$M354,$D354))</f>
        <v/>
      </c>
      <c r="F354" s="238">
        <v>347</v>
      </c>
      <c r="G354" s="239"/>
      <c r="H354" s="240"/>
      <c r="I354" s="240"/>
      <c r="J354" s="241"/>
      <c r="K354" s="240"/>
      <c r="L354" s="240"/>
      <c r="M354" s="240"/>
      <c r="N354" s="242"/>
      <c r="O354" s="243"/>
      <c r="P354" s="243"/>
      <c r="Q354" s="243"/>
      <c r="R354" s="243"/>
      <c r="S354" s="243"/>
      <c r="T354" s="245"/>
      <c r="U354" s="246" t="str">
        <f>IF($T354="", "", VLOOKUP($T354, CONTRATOS!$B:$E, 2, FALSE))</f>
        <v/>
      </c>
      <c r="V354" s="247">
        <f>IF(OR($T354="",TB_DEFESA!$C$2="Criação Baseline"),0,
   IF(VLOOKUP($T354, CONTRATOS!B:E, 3, FALSE)&lt;&gt;"",1,IF(VLOOKUP($T354, CONTRATOS!B:E, 4, FALSE)&lt;&gt;"",2,0)))</f>
        <v>0</v>
      </c>
      <c r="W354" s="248"/>
      <c r="X354" s="248"/>
      <c r="Y354" s="249"/>
      <c r="Z354" s="250"/>
      <c r="AA354" s="251"/>
      <c r="AB354" s="252"/>
      <c r="AC354" s="253"/>
      <c r="AD354" s="251"/>
      <c r="AE354" s="254" t="str">
        <f t="shared" si="233"/>
        <v/>
      </c>
      <c r="AF354" s="256" t="str">
        <f t="shared" si="244"/>
        <v/>
      </c>
      <c r="AG354" s="293" t="s">
        <v>62</v>
      </c>
      <c r="AH354" s="294" t="str">
        <f t="shared" si="245"/>
        <v/>
      </c>
      <c r="AI354" s="294" t="str">
        <f t="shared" si="246"/>
        <v/>
      </c>
      <c r="AJ354" s="295" t="str">
        <f t="shared" si="247"/>
        <v/>
      </c>
      <c r="AK354" s="296" t="str">
        <f t="shared" si="248"/>
        <v/>
      </c>
      <c r="AL354" s="297" t="str">
        <f t="shared" si="249"/>
        <v/>
      </c>
      <c r="AM354" s="294" t="str">
        <f t="shared" si="250"/>
        <v/>
      </c>
      <c r="AN354" s="294" t="str">
        <f t="shared" si="251"/>
        <v/>
      </c>
      <c r="AO354" s="298" t="str">
        <f t="shared" si="252"/>
        <v/>
      </c>
      <c r="AP354" s="299" t="str">
        <f t="shared" si="253"/>
        <v/>
      </c>
      <c r="AQ354" s="299" t="str">
        <f t="shared" si="254"/>
        <v/>
      </c>
      <c r="AR354" s="300" t="str">
        <f t="shared" si="234"/>
        <v/>
      </c>
      <c r="AS354" s="300" t="str">
        <f t="shared" si="235"/>
        <v/>
      </c>
      <c r="AT354" s="294" t="str">
        <f t="shared" si="236"/>
        <v/>
      </c>
      <c r="AU354" s="301" t="str">
        <f>IF(OR($B354="", $AP354= ""),"",IF(VLOOKUP($AP354, CONTRATOS!B:K,3,FALSE)="","",VLOOKUP($AP354, CONTRATOS!B:K, 3,FALSE)))</f>
        <v/>
      </c>
      <c r="AV354" s="301" t="str">
        <f>IF(OR($B354="", $AP354 = ""), "", IF(VLOOKUP($AP354, CONTRATOS!B:K,4,FALSE)="","",VLOOKUP($AP354, CONTRATOS!B:K,4, FALSE)))</f>
        <v/>
      </c>
      <c r="AW354" s="302" t="str">
        <f t="shared" si="237"/>
        <v/>
      </c>
      <c r="AX354" s="301" t="str">
        <f t="shared" si="238"/>
        <v/>
      </c>
      <c r="AY354" s="301" t="str">
        <f t="shared" si="239"/>
        <v/>
      </c>
      <c r="AZ354" s="301" t="str">
        <f t="shared" si="240"/>
        <v/>
      </c>
      <c r="BA354" s="301" t="str">
        <f t="shared" si="241"/>
        <v/>
      </c>
      <c r="BB354" s="303">
        <f t="shared" si="255"/>
        <v>0</v>
      </c>
      <c r="BC354" s="303" t="str">
        <f t="shared" si="256"/>
        <v/>
      </c>
      <c r="BD354" s="303" t="str">
        <f t="shared" si="257"/>
        <v/>
      </c>
      <c r="BF354" s="304">
        <f t="shared" si="258"/>
        <v>0</v>
      </c>
      <c r="BG354" s="304">
        <f t="shared" si="259"/>
        <v>0</v>
      </c>
      <c r="BH354" s="304" t="str">
        <f>IF( $B354="", "", IF(ISNA(VLOOKUP($C354, Defesa!$C$8:$C$30,1,FALSE)),1,0))</f>
        <v/>
      </c>
      <c r="BI354" s="305" t="str">
        <f t="shared" si="260"/>
        <v/>
      </c>
      <c r="BJ354" s="305" t="str">
        <f t="shared" si="261"/>
        <v/>
      </c>
      <c r="BK354" s="304" t="str">
        <f t="shared" si="262"/>
        <v/>
      </c>
      <c r="BL354" s="304">
        <f t="shared" si="263"/>
        <v>0</v>
      </c>
      <c r="BM354" s="304" t="str">
        <f>IF($AC354="", "", IF(ISNA(VLOOKUP($AC354, TABELAS!$Q:$Q, 1, FALSE)), 1, 0))</f>
        <v/>
      </c>
      <c r="BN354" s="306" t="str">
        <f t="shared" si="264"/>
        <v/>
      </c>
      <c r="BO354" s="304" t="str">
        <f t="shared" si="265"/>
        <v/>
      </c>
      <c r="BP354" s="304" t="str">
        <f t="shared" si="266"/>
        <v/>
      </c>
      <c r="BQ354" s="305" t="str">
        <f t="shared" si="267"/>
        <v/>
      </c>
      <c r="BR354" s="304" t="str">
        <f t="shared" si="268"/>
        <v/>
      </c>
      <c r="BS354" s="304" t="str">
        <f t="shared" si="269"/>
        <v/>
      </c>
      <c r="BT354" s="304" t="str">
        <f>IF(OR($B354="", $AH354 = "SIM"), "", IF( ISNA(VLOOKUP($AP354,#REF!, 1, FALSE)), 1, 0))</f>
        <v/>
      </c>
      <c r="BU354" s="304" t="str">
        <f t="shared" si="270"/>
        <v/>
      </c>
      <c r="BV354" s="304" t="str">
        <f>IF( $B354="", "", IF( ISNA(VLOOKUP($AN354, TABELAS!$T$2:$T$9,1,FALSE)), 1, 0))</f>
        <v/>
      </c>
      <c r="BW354" s="304" t="str">
        <f t="shared" si="271"/>
        <v/>
      </c>
      <c r="BX354" s="304" t="str">
        <f>IF( OR($B354="", $AH354 = "SIM"), "", IF( ISNA( VLOOKUP( $AQ354, SISTEMA!$B:$B, 1, FALSE)), 1, 0))</f>
        <v/>
      </c>
      <c r="BY354" s="305" t="str">
        <f t="shared" si="272"/>
        <v/>
      </c>
      <c r="BZ354" s="305" t="str">
        <f t="shared" si="273"/>
        <v/>
      </c>
      <c r="CA354" s="304" t="str">
        <f t="shared" si="274"/>
        <v/>
      </c>
      <c r="CB354" s="305" t="str">
        <f t="shared" si="275"/>
        <v/>
      </c>
      <c r="CC354" s="305" t="str">
        <f t="shared" si="276"/>
        <v/>
      </c>
      <c r="CD354" s="305" t="str">
        <f t="shared" si="277"/>
        <v/>
      </c>
    </row>
    <row r="355" spans="1:82" x14ac:dyDescent="0.2">
      <c r="A355" s="235"/>
      <c r="B355" s="236" t="str">
        <f t="shared" si="242"/>
        <v/>
      </c>
      <c r="C355" s="237" t="str">
        <f t="shared" si="232"/>
        <v/>
      </c>
      <c r="D355" s="237" t="str">
        <f t="shared" si="243"/>
        <v/>
      </c>
      <c r="E355" s="237" t="str">
        <f>IF($C355="", "", COUNTIF($M$8:$M355,$D355))</f>
        <v/>
      </c>
      <c r="F355" s="238">
        <v>348</v>
      </c>
      <c r="G355" s="239"/>
      <c r="H355" s="240"/>
      <c r="I355" s="240"/>
      <c r="J355" s="241"/>
      <c r="K355" s="240"/>
      <c r="L355" s="240"/>
      <c r="M355" s="240"/>
      <c r="N355" s="242"/>
      <c r="O355" s="243"/>
      <c r="P355" s="243"/>
      <c r="Q355" s="243"/>
      <c r="R355" s="243"/>
      <c r="S355" s="243"/>
      <c r="T355" s="245"/>
      <c r="U355" s="246" t="str">
        <f>IF($T355="", "", VLOOKUP($T355, CONTRATOS!$B:$E, 2, FALSE))</f>
        <v/>
      </c>
      <c r="V355" s="247">
        <f>IF(OR($T355="",TB_DEFESA!$C$2="Criação Baseline"),0,
   IF(VLOOKUP($T355, CONTRATOS!B:E, 3, FALSE)&lt;&gt;"",1,IF(VLOOKUP($T355, CONTRATOS!B:E, 4, FALSE)&lt;&gt;"",2,0)))</f>
        <v>0</v>
      </c>
      <c r="W355" s="248"/>
      <c r="X355" s="248"/>
      <c r="Y355" s="249"/>
      <c r="Z355" s="250"/>
      <c r="AA355" s="251"/>
      <c r="AB355" s="252"/>
      <c r="AC355" s="253"/>
      <c r="AD355" s="251"/>
      <c r="AE355" s="254" t="str">
        <f t="shared" si="233"/>
        <v/>
      </c>
      <c r="AF355" s="256" t="str">
        <f t="shared" si="244"/>
        <v/>
      </c>
      <c r="AG355" s="293" t="s">
        <v>62</v>
      </c>
      <c r="AH355" s="294" t="str">
        <f t="shared" si="245"/>
        <v/>
      </c>
      <c r="AI355" s="294" t="str">
        <f t="shared" si="246"/>
        <v/>
      </c>
      <c r="AJ355" s="295" t="str">
        <f t="shared" si="247"/>
        <v/>
      </c>
      <c r="AK355" s="296" t="str">
        <f t="shared" si="248"/>
        <v/>
      </c>
      <c r="AL355" s="297" t="str">
        <f t="shared" si="249"/>
        <v/>
      </c>
      <c r="AM355" s="294" t="str">
        <f t="shared" si="250"/>
        <v/>
      </c>
      <c r="AN355" s="294" t="str">
        <f t="shared" si="251"/>
        <v/>
      </c>
      <c r="AO355" s="298" t="str">
        <f t="shared" si="252"/>
        <v/>
      </c>
      <c r="AP355" s="299" t="str">
        <f t="shared" si="253"/>
        <v/>
      </c>
      <c r="AQ355" s="299" t="str">
        <f t="shared" si="254"/>
        <v/>
      </c>
      <c r="AR355" s="300" t="str">
        <f t="shared" si="234"/>
        <v/>
      </c>
      <c r="AS355" s="300" t="str">
        <f t="shared" si="235"/>
        <v/>
      </c>
      <c r="AT355" s="294" t="str">
        <f t="shared" si="236"/>
        <v/>
      </c>
      <c r="AU355" s="301" t="str">
        <f>IF(OR($B355="", $AP355= ""),"",IF(VLOOKUP($AP355, CONTRATOS!B:K,3,FALSE)="","",VLOOKUP($AP355, CONTRATOS!B:K, 3,FALSE)))</f>
        <v/>
      </c>
      <c r="AV355" s="301" t="str">
        <f>IF(OR($B355="", $AP355 = ""), "", IF(VLOOKUP($AP355, CONTRATOS!B:K,4,FALSE)="","",VLOOKUP($AP355, CONTRATOS!B:K,4, FALSE)))</f>
        <v/>
      </c>
      <c r="AW355" s="302" t="str">
        <f t="shared" si="237"/>
        <v/>
      </c>
      <c r="AX355" s="301" t="str">
        <f t="shared" si="238"/>
        <v/>
      </c>
      <c r="AY355" s="301" t="str">
        <f t="shared" si="239"/>
        <v/>
      </c>
      <c r="AZ355" s="301" t="str">
        <f t="shared" si="240"/>
        <v/>
      </c>
      <c r="BA355" s="301" t="str">
        <f t="shared" si="241"/>
        <v/>
      </c>
      <c r="BB355" s="303">
        <f t="shared" si="255"/>
        <v>0</v>
      </c>
      <c r="BC355" s="303" t="str">
        <f t="shared" si="256"/>
        <v/>
      </c>
      <c r="BD355" s="303" t="str">
        <f t="shared" si="257"/>
        <v/>
      </c>
      <c r="BF355" s="304">
        <f t="shared" si="258"/>
        <v>0</v>
      </c>
      <c r="BG355" s="304">
        <f t="shared" si="259"/>
        <v>0</v>
      </c>
      <c r="BH355" s="304" t="str">
        <f>IF( $B355="", "", IF(ISNA(VLOOKUP($C355, Defesa!$C$8:$C$30,1,FALSE)),1,0))</f>
        <v/>
      </c>
      <c r="BI355" s="305" t="str">
        <f t="shared" si="260"/>
        <v/>
      </c>
      <c r="BJ355" s="305" t="str">
        <f t="shared" si="261"/>
        <v/>
      </c>
      <c r="BK355" s="304" t="str">
        <f t="shared" si="262"/>
        <v/>
      </c>
      <c r="BL355" s="304">
        <f t="shared" si="263"/>
        <v>0</v>
      </c>
      <c r="BM355" s="304" t="str">
        <f>IF($AC355="", "", IF(ISNA(VLOOKUP($AC355, TABELAS!$Q:$Q, 1, FALSE)), 1, 0))</f>
        <v/>
      </c>
      <c r="BN355" s="306" t="str">
        <f t="shared" si="264"/>
        <v/>
      </c>
      <c r="BO355" s="304" t="str">
        <f t="shared" si="265"/>
        <v/>
      </c>
      <c r="BP355" s="304" t="str">
        <f t="shared" si="266"/>
        <v/>
      </c>
      <c r="BQ355" s="305" t="str">
        <f t="shared" si="267"/>
        <v/>
      </c>
      <c r="BR355" s="304" t="str">
        <f t="shared" si="268"/>
        <v/>
      </c>
      <c r="BS355" s="304" t="str">
        <f t="shared" si="269"/>
        <v/>
      </c>
      <c r="BT355" s="304" t="str">
        <f>IF(OR($B355="", $AH355 = "SIM"), "", IF( ISNA(VLOOKUP($AP355,#REF!, 1, FALSE)), 1, 0))</f>
        <v/>
      </c>
      <c r="BU355" s="304" t="str">
        <f t="shared" si="270"/>
        <v/>
      </c>
      <c r="BV355" s="304" t="str">
        <f>IF( $B355="", "", IF( ISNA(VLOOKUP($AN355, TABELAS!$T$2:$T$9,1,FALSE)), 1, 0))</f>
        <v/>
      </c>
      <c r="BW355" s="304" t="str">
        <f t="shared" si="271"/>
        <v/>
      </c>
      <c r="BX355" s="304" t="str">
        <f>IF( OR($B355="", $AH355 = "SIM"), "", IF( ISNA( VLOOKUP( $AQ355, SISTEMA!$B:$B, 1, FALSE)), 1, 0))</f>
        <v/>
      </c>
      <c r="BY355" s="305" t="str">
        <f t="shared" si="272"/>
        <v/>
      </c>
      <c r="BZ355" s="305" t="str">
        <f t="shared" si="273"/>
        <v/>
      </c>
      <c r="CA355" s="304" t="str">
        <f t="shared" si="274"/>
        <v/>
      </c>
      <c r="CB355" s="305" t="str">
        <f t="shared" si="275"/>
        <v/>
      </c>
      <c r="CC355" s="305" t="str">
        <f t="shared" si="276"/>
        <v/>
      </c>
      <c r="CD355" s="305" t="str">
        <f t="shared" si="277"/>
        <v/>
      </c>
    </row>
    <row r="356" spans="1:82" x14ac:dyDescent="0.2">
      <c r="A356" s="235"/>
      <c r="B356" s="236" t="str">
        <f t="shared" si="242"/>
        <v/>
      </c>
      <c r="C356" s="237" t="str">
        <f t="shared" si="232"/>
        <v/>
      </c>
      <c r="D356" s="237" t="str">
        <f t="shared" si="243"/>
        <v/>
      </c>
      <c r="E356" s="237" t="str">
        <f>IF($C356="", "", COUNTIF($M$8:$M356,$D356))</f>
        <v/>
      </c>
      <c r="F356" s="238">
        <v>349</v>
      </c>
      <c r="G356" s="239"/>
      <c r="H356" s="240"/>
      <c r="I356" s="240"/>
      <c r="J356" s="241"/>
      <c r="K356" s="240"/>
      <c r="L356" s="240"/>
      <c r="M356" s="240"/>
      <c r="N356" s="242"/>
      <c r="O356" s="243"/>
      <c r="P356" s="243"/>
      <c r="Q356" s="243"/>
      <c r="R356" s="243"/>
      <c r="S356" s="243"/>
      <c r="T356" s="245"/>
      <c r="U356" s="246" t="str">
        <f>IF($T356="", "", VLOOKUP($T356, CONTRATOS!$B:$E, 2, FALSE))</f>
        <v/>
      </c>
      <c r="V356" s="247">
        <f>IF(OR($T356="",TB_DEFESA!$C$2="Criação Baseline"),0,
   IF(VLOOKUP($T356, CONTRATOS!B:E, 3, FALSE)&lt;&gt;"",1,IF(VLOOKUP($T356, CONTRATOS!B:E, 4, FALSE)&lt;&gt;"",2,0)))</f>
        <v>0</v>
      </c>
      <c r="W356" s="248"/>
      <c r="X356" s="248"/>
      <c r="Y356" s="249"/>
      <c r="Z356" s="250"/>
      <c r="AA356" s="251"/>
      <c r="AB356" s="252"/>
      <c r="AC356" s="253"/>
      <c r="AD356" s="251"/>
      <c r="AE356" s="254" t="str">
        <f t="shared" si="233"/>
        <v/>
      </c>
      <c r="AF356" s="256" t="str">
        <f t="shared" si="244"/>
        <v/>
      </c>
      <c r="AG356" s="293" t="s">
        <v>62</v>
      </c>
      <c r="AH356" s="294" t="str">
        <f t="shared" si="245"/>
        <v/>
      </c>
      <c r="AI356" s="294" t="str">
        <f t="shared" si="246"/>
        <v/>
      </c>
      <c r="AJ356" s="295" t="str">
        <f t="shared" si="247"/>
        <v/>
      </c>
      <c r="AK356" s="296" t="str">
        <f t="shared" si="248"/>
        <v/>
      </c>
      <c r="AL356" s="297" t="str">
        <f t="shared" si="249"/>
        <v/>
      </c>
      <c r="AM356" s="294" t="str">
        <f t="shared" si="250"/>
        <v/>
      </c>
      <c r="AN356" s="294" t="str">
        <f t="shared" si="251"/>
        <v/>
      </c>
      <c r="AO356" s="298" t="str">
        <f t="shared" si="252"/>
        <v/>
      </c>
      <c r="AP356" s="299" t="str">
        <f t="shared" si="253"/>
        <v/>
      </c>
      <c r="AQ356" s="299" t="str">
        <f t="shared" si="254"/>
        <v/>
      </c>
      <c r="AR356" s="300" t="str">
        <f t="shared" si="234"/>
        <v/>
      </c>
      <c r="AS356" s="300" t="str">
        <f t="shared" si="235"/>
        <v/>
      </c>
      <c r="AT356" s="294" t="str">
        <f t="shared" si="236"/>
        <v/>
      </c>
      <c r="AU356" s="301" t="str">
        <f>IF(OR($B356="", $AP356= ""),"",IF(VLOOKUP($AP356, CONTRATOS!B:K,3,FALSE)="","",VLOOKUP($AP356, CONTRATOS!B:K, 3,FALSE)))</f>
        <v/>
      </c>
      <c r="AV356" s="301" t="str">
        <f>IF(OR($B356="", $AP356 = ""), "", IF(VLOOKUP($AP356, CONTRATOS!B:K,4,FALSE)="","",VLOOKUP($AP356, CONTRATOS!B:K,4, FALSE)))</f>
        <v/>
      </c>
      <c r="AW356" s="302" t="str">
        <f t="shared" si="237"/>
        <v/>
      </c>
      <c r="AX356" s="301" t="str">
        <f t="shared" si="238"/>
        <v/>
      </c>
      <c r="AY356" s="301" t="str">
        <f t="shared" si="239"/>
        <v/>
      </c>
      <c r="AZ356" s="301" t="str">
        <f t="shared" si="240"/>
        <v/>
      </c>
      <c r="BA356" s="301" t="str">
        <f t="shared" si="241"/>
        <v/>
      </c>
      <c r="BB356" s="303">
        <f t="shared" si="255"/>
        <v>0</v>
      </c>
      <c r="BC356" s="303" t="str">
        <f t="shared" si="256"/>
        <v/>
      </c>
      <c r="BD356" s="303" t="str">
        <f t="shared" si="257"/>
        <v/>
      </c>
      <c r="BF356" s="304">
        <f t="shared" si="258"/>
        <v>0</v>
      </c>
      <c r="BG356" s="304">
        <f t="shared" si="259"/>
        <v>0</v>
      </c>
      <c r="BH356" s="304" t="str">
        <f>IF( $B356="", "", IF(ISNA(VLOOKUP($C356, Defesa!$C$8:$C$30,1,FALSE)),1,0))</f>
        <v/>
      </c>
      <c r="BI356" s="305" t="str">
        <f t="shared" si="260"/>
        <v/>
      </c>
      <c r="BJ356" s="305" t="str">
        <f t="shared" si="261"/>
        <v/>
      </c>
      <c r="BK356" s="304" t="str">
        <f t="shared" si="262"/>
        <v/>
      </c>
      <c r="BL356" s="304">
        <f t="shared" si="263"/>
        <v>0</v>
      </c>
      <c r="BM356" s="304" t="str">
        <f>IF($AC356="", "", IF(ISNA(VLOOKUP($AC356, TABELAS!$Q:$Q, 1, FALSE)), 1, 0))</f>
        <v/>
      </c>
      <c r="BN356" s="306" t="str">
        <f t="shared" si="264"/>
        <v/>
      </c>
      <c r="BO356" s="304" t="str">
        <f t="shared" si="265"/>
        <v/>
      </c>
      <c r="BP356" s="304" t="str">
        <f t="shared" si="266"/>
        <v/>
      </c>
      <c r="BQ356" s="305" t="str">
        <f t="shared" si="267"/>
        <v/>
      </c>
      <c r="BR356" s="304" t="str">
        <f t="shared" si="268"/>
        <v/>
      </c>
      <c r="BS356" s="304" t="str">
        <f t="shared" si="269"/>
        <v/>
      </c>
      <c r="BT356" s="304" t="str">
        <f>IF(OR($B356="", $AH356 = "SIM"), "", IF( ISNA(VLOOKUP($AP356,#REF!, 1, FALSE)), 1, 0))</f>
        <v/>
      </c>
      <c r="BU356" s="304" t="str">
        <f t="shared" si="270"/>
        <v/>
      </c>
      <c r="BV356" s="304" t="str">
        <f>IF( $B356="", "", IF( ISNA(VLOOKUP($AN356, TABELAS!$T$2:$T$9,1,FALSE)), 1, 0))</f>
        <v/>
      </c>
      <c r="BW356" s="304" t="str">
        <f t="shared" si="271"/>
        <v/>
      </c>
      <c r="BX356" s="304" t="str">
        <f>IF( OR($B356="", $AH356 = "SIM"), "", IF( ISNA( VLOOKUP( $AQ356, SISTEMA!$B:$B, 1, FALSE)), 1, 0))</f>
        <v/>
      </c>
      <c r="BY356" s="305" t="str">
        <f t="shared" si="272"/>
        <v/>
      </c>
      <c r="BZ356" s="305" t="str">
        <f t="shared" si="273"/>
        <v/>
      </c>
      <c r="CA356" s="304" t="str">
        <f t="shared" si="274"/>
        <v/>
      </c>
      <c r="CB356" s="305" t="str">
        <f t="shared" si="275"/>
        <v/>
      </c>
      <c r="CC356" s="305" t="str">
        <f t="shared" si="276"/>
        <v/>
      </c>
      <c r="CD356" s="305" t="str">
        <f t="shared" si="277"/>
        <v/>
      </c>
    </row>
    <row r="357" spans="1:82" x14ac:dyDescent="0.2">
      <c r="A357" s="235"/>
      <c r="B357" s="236" t="str">
        <f t="shared" si="242"/>
        <v/>
      </c>
      <c r="C357" s="237" t="str">
        <f t="shared" si="232"/>
        <v/>
      </c>
      <c r="D357" s="237" t="str">
        <f t="shared" si="243"/>
        <v/>
      </c>
      <c r="E357" s="237" t="str">
        <f>IF($C357="", "", COUNTIF($M$8:$M357,$D357))</f>
        <v/>
      </c>
      <c r="F357" s="238">
        <v>350</v>
      </c>
      <c r="G357" s="239"/>
      <c r="H357" s="240"/>
      <c r="I357" s="240"/>
      <c r="J357" s="241"/>
      <c r="K357" s="240"/>
      <c r="L357" s="240"/>
      <c r="M357" s="240"/>
      <c r="N357" s="242"/>
      <c r="O357" s="243"/>
      <c r="P357" s="243"/>
      <c r="Q357" s="243"/>
      <c r="R357" s="243"/>
      <c r="S357" s="243"/>
      <c r="T357" s="245"/>
      <c r="U357" s="246" t="str">
        <f>IF($T357="", "", VLOOKUP($T357, CONTRATOS!$B:$E, 2, FALSE))</f>
        <v/>
      </c>
      <c r="V357" s="247">
        <f>IF(OR($T357="",TB_DEFESA!$C$2="Criação Baseline"),0,
   IF(VLOOKUP($T357, CONTRATOS!B:E, 3, FALSE)&lt;&gt;"",1,IF(VLOOKUP($T357, CONTRATOS!B:E, 4, FALSE)&lt;&gt;"",2,0)))</f>
        <v>0</v>
      </c>
      <c r="W357" s="248"/>
      <c r="X357" s="248"/>
      <c r="Y357" s="249"/>
      <c r="Z357" s="250"/>
      <c r="AA357" s="251"/>
      <c r="AB357" s="252"/>
      <c r="AC357" s="253"/>
      <c r="AD357" s="251"/>
      <c r="AE357" s="254" t="str">
        <f t="shared" si="233"/>
        <v/>
      </c>
      <c r="AF357" s="256" t="str">
        <f t="shared" si="244"/>
        <v/>
      </c>
      <c r="AG357" s="293" t="s">
        <v>62</v>
      </c>
      <c r="AH357" s="294" t="str">
        <f t="shared" si="245"/>
        <v/>
      </c>
      <c r="AI357" s="294" t="str">
        <f t="shared" si="246"/>
        <v/>
      </c>
      <c r="AJ357" s="295" t="str">
        <f t="shared" si="247"/>
        <v/>
      </c>
      <c r="AK357" s="296" t="str">
        <f t="shared" si="248"/>
        <v/>
      </c>
      <c r="AL357" s="297" t="str">
        <f t="shared" si="249"/>
        <v/>
      </c>
      <c r="AM357" s="294" t="str">
        <f t="shared" si="250"/>
        <v/>
      </c>
      <c r="AN357" s="294" t="str">
        <f t="shared" si="251"/>
        <v/>
      </c>
      <c r="AO357" s="298" t="str">
        <f t="shared" si="252"/>
        <v/>
      </c>
      <c r="AP357" s="299" t="str">
        <f t="shared" si="253"/>
        <v/>
      </c>
      <c r="AQ357" s="299" t="str">
        <f t="shared" si="254"/>
        <v/>
      </c>
      <c r="AR357" s="300" t="str">
        <f t="shared" si="234"/>
        <v/>
      </c>
      <c r="AS357" s="300" t="str">
        <f t="shared" si="235"/>
        <v/>
      </c>
      <c r="AT357" s="294" t="str">
        <f t="shared" si="236"/>
        <v/>
      </c>
      <c r="AU357" s="301" t="str">
        <f>IF(OR($B357="", $AP357= ""),"",IF(VLOOKUP($AP357, CONTRATOS!B:K,3,FALSE)="","",VLOOKUP($AP357, CONTRATOS!B:K, 3,FALSE)))</f>
        <v/>
      </c>
      <c r="AV357" s="301" t="str">
        <f>IF(OR($B357="", $AP357 = ""), "", IF(VLOOKUP($AP357, CONTRATOS!B:K,4,FALSE)="","",VLOOKUP($AP357, CONTRATOS!B:K,4, FALSE)))</f>
        <v/>
      </c>
      <c r="AW357" s="302" t="str">
        <f t="shared" si="237"/>
        <v/>
      </c>
      <c r="AX357" s="301" t="str">
        <f t="shared" si="238"/>
        <v/>
      </c>
      <c r="AY357" s="301" t="str">
        <f t="shared" si="239"/>
        <v/>
      </c>
      <c r="AZ357" s="301" t="str">
        <f t="shared" si="240"/>
        <v/>
      </c>
      <c r="BA357" s="301" t="str">
        <f t="shared" si="241"/>
        <v/>
      </c>
      <c r="BB357" s="303">
        <f t="shared" si="255"/>
        <v>0</v>
      </c>
      <c r="BC357" s="303" t="str">
        <f t="shared" si="256"/>
        <v/>
      </c>
      <c r="BD357" s="303" t="str">
        <f t="shared" si="257"/>
        <v/>
      </c>
      <c r="BF357" s="304">
        <f t="shared" si="258"/>
        <v>0</v>
      </c>
      <c r="BG357" s="304">
        <f t="shared" si="259"/>
        <v>0</v>
      </c>
      <c r="BH357" s="304" t="str">
        <f>IF( $B357="", "", IF(ISNA(VLOOKUP($C357, Defesa!$C$8:$C$30,1,FALSE)),1,0))</f>
        <v/>
      </c>
      <c r="BI357" s="305" t="str">
        <f t="shared" si="260"/>
        <v/>
      </c>
      <c r="BJ357" s="305" t="str">
        <f t="shared" si="261"/>
        <v/>
      </c>
      <c r="BK357" s="304" t="str">
        <f t="shared" si="262"/>
        <v/>
      </c>
      <c r="BL357" s="304">
        <f t="shared" si="263"/>
        <v>0</v>
      </c>
      <c r="BM357" s="304" t="str">
        <f>IF($AC357="", "", IF(ISNA(VLOOKUP($AC357, TABELAS!$Q:$Q, 1, FALSE)), 1, 0))</f>
        <v/>
      </c>
      <c r="BN357" s="306" t="str">
        <f t="shared" si="264"/>
        <v/>
      </c>
      <c r="BO357" s="304" t="str">
        <f t="shared" si="265"/>
        <v/>
      </c>
      <c r="BP357" s="304" t="str">
        <f t="shared" si="266"/>
        <v/>
      </c>
      <c r="BQ357" s="305" t="str">
        <f t="shared" si="267"/>
        <v/>
      </c>
      <c r="BR357" s="304" t="str">
        <f t="shared" si="268"/>
        <v/>
      </c>
      <c r="BS357" s="304" t="str">
        <f t="shared" si="269"/>
        <v/>
      </c>
      <c r="BT357" s="304" t="str">
        <f>IF(OR($B357="", $AH357 = "SIM"), "", IF( ISNA(VLOOKUP($AP357,#REF!, 1, FALSE)), 1, 0))</f>
        <v/>
      </c>
      <c r="BU357" s="304" t="str">
        <f t="shared" si="270"/>
        <v/>
      </c>
      <c r="BV357" s="304" t="str">
        <f>IF( $B357="", "", IF( ISNA(VLOOKUP($AN357, TABELAS!$T$2:$T$9,1,FALSE)), 1, 0))</f>
        <v/>
      </c>
      <c r="BW357" s="304" t="str">
        <f t="shared" si="271"/>
        <v/>
      </c>
      <c r="BX357" s="304" t="str">
        <f>IF( OR($B357="", $AH357 = "SIM"), "", IF( ISNA( VLOOKUP( $AQ357, SISTEMA!$B:$B, 1, FALSE)), 1, 0))</f>
        <v/>
      </c>
      <c r="BY357" s="305" t="str">
        <f t="shared" si="272"/>
        <v/>
      </c>
      <c r="BZ357" s="305" t="str">
        <f t="shared" si="273"/>
        <v/>
      </c>
      <c r="CA357" s="304" t="str">
        <f t="shared" si="274"/>
        <v/>
      </c>
      <c r="CB357" s="305" t="str">
        <f t="shared" si="275"/>
        <v/>
      </c>
      <c r="CC357" s="305" t="str">
        <f t="shared" si="276"/>
        <v/>
      </c>
      <c r="CD357" s="305" t="str">
        <f t="shared" si="277"/>
        <v/>
      </c>
    </row>
    <row r="358" spans="1:82" x14ac:dyDescent="0.2">
      <c r="A358" s="235"/>
      <c r="B358" s="236" t="str">
        <f t="shared" si="242"/>
        <v/>
      </c>
      <c r="C358" s="237" t="str">
        <f t="shared" si="232"/>
        <v/>
      </c>
      <c r="D358" s="237" t="str">
        <f t="shared" si="243"/>
        <v/>
      </c>
      <c r="E358" s="237" t="str">
        <f>IF($C358="", "", COUNTIF($M$8:$M358,$D358))</f>
        <v/>
      </c>
      <c r="F358" s="238">
        <v>351</v>
      </c>
      <c r="G358" s="239"/>
      <c r="H358" s="240"/>
      <c r="I358" s="240"/>
      <c r="J358" s="241"/>
      <c r="K358" s="240"/>
      <c r="L358" s="240"/>
      <c r="M358" s="240"/>
      <c r="N358" s="242"/>
      <c r="O358" s="243"/>
      <c r="P358" s="243"/>
      <c r="Q358" s="243"/>
      <c r="R358" s="243"/>
      <c r="S358" s="243"/>
      <c r="T358" s="245"/>
      <c r="U358" s="246" t="str">
        <f>IF($T358="", "", VLOOKUP($T358, CONTRATOS!$B:$E, 2, FALSE))</f>
        <v/>
      </c>
      <c r="V358" s="247">
        <f>IF(OR($T358="",TB_DEFESA!$C$2="Criação Baseline"),0,
   IF(VLOOKUP($T358, CONTRATOS!B:E, 3, FALSE)&lt;&gt;"",1,IF(VLOOKUP($T358, CONTRATOS!B:E, 4, FALSE)&lt;&gt;"",2,0)))</f>
        <v>0</v>
      </c>
      <c r="W358" s="248"/>
      <c r="X358" s="248"/>
      <c r="Y358" s="249"/>
      <c r="Z358" s="250"/>
      <c r="AA358" s="251"/>
      <c r="AB358" s="252"/>
      <c r="AC358" s="253"/>
      <c r="AD358" s="251"/>
      <c r="AE358" s="254" t="str">
        <f t="shared" si="233"/>
        <v/>
      </c>
      <c r="AF358" s="256" t="str">
        <f t="shared" si="244"/>
        <v/>
      </c>
      <c r="AG358" s="293" t="s">
        <v>62</v>
      </c>
      <c r="AH358" s="294" t="str">
        <f t="shared" si="245"/>
        <v/>
      </c>
      <c r="AI358" s="294" t="str">
        <f t="shared" si="246"/>
        <v/>
      </c>
      <c r="AJ358" s="295" t="str">
        <f t="shared" si="247"/>
        <v/>
      </c>
      <c r="AK358" s="296" t="str">
        <f t="shared" si="248"/>
        <v/>
      </c>
      <c r="AL358" s="297" t="str">
        <f t="shared" si="249"/>
        <v/>
      </c>
      <c r="AM358" s="294" t="str">
        <f t="shared" si="250"/>
        <v/>
      </c>
      <c r="AN358" s="294" t="str">
        <f t="shared" si="251"/>
        <v/>
      </c>
      <c r="AO358" s="298" t="str">
        <f t="shared" si="252"/>
        <v/>
      </c>
      <c r="AP358" s="299" t="str">
        <f t="shared" si="253"/>
        <v/>
      </c>
      <c r="AQ358" s="299" t="str">
        <f t="shared" si="254"/>
        <v/>
      </c>
      <c r="AR358" s="300" t="str">
        <f t="shared" si="234"/>
        <v/>
      </c>
      <c r="AS358" s="300" t="str">
        <f t="shared" si="235"/>
        <v/>
      </c>
      <c r="AT358" s="294" t="str">
        <f t="shared" si="236"/>
        <v/>
      </c>
      <c r="AU358" s="301" t="str">
        <f>IF(OR($B358="", $AP358= ""),"",IF(VLOOKUP($AP358, CONTRATOS!B:K,3,FALSE)="","",VLOOKUP($AP358, CONTRATOS!B:K, 3,FALSE)))</f>
        <v/>
      </c>
      <c r="AV358" s="301" t="str">
        <f>IF(OR($B358="", $AP358 = ""), "", IF(VLOOKUP($AP358, CONTRATOS!B:K,4,FALSE)="","",VLOOKUP($AP358, CONTRATOS!B:K,4, FALSE)))</f>
        <v/>
      </c>
      <c r="AW358" s="302" t="str">
        <f t="shared" si="237"/>
        <v/>
      </c>
      <c r="AX358" s="301" t="str">
        <f t="shared" si="238"/>
        <v/>
      </c>
      <c r="AY358" s="301" t="str">
        <f t="shared" si="239"/>
        <v/>
      </c>
      <c r="AZ358" s="301" t="str">
        <f t="shared" si="240"/>
        <v/>
      </c>
      <c r="BA358" s="301" t="str">
        <f t="shared" si="241"/>
        <v/>
      </c>
      <c r="BB358" s="303">
        <f t="shared" si="255"/>
        <v>0</v>
      </c>
      <c r="BC358" s="303" t="str">
        <f t="shared" si="256"/>
        <v/>
      </c>
      <c r="BD358" s="303" t="str">
        <f t="shared" si="257"/>
        <v/>
      </c>
      <c r="BF358" s="304">
        <f t="shared" si="258"/>
        <v>0</v>
      </c>
      <c r="BG358" s="304">
        <f t="shared" si="259"/>
        <v>0</v>
      </c>
      <c r="BH358" s="304" t="str">
        <f>IF( $B358="", "", IF(ISNA(VLOOKUP($C358, Defesa!$C$8:$C$30,1,FALSE)),1,0))</f>
        <v/>
      </c>
      <c r="BI358" s="305" t="str">
        <f t="shared" si="260"/>
        <v/>
      </c>
      <c r="BJ358" s="305" t="str">
        <f t="shared" si="261"/>
        <v/>
      </c>
      <c r="BK358" s="304" t="str">
        <f t="shared" si="262"/>
        <v/>
      </c>
      <c r="BL358" s="304">
        <f t="shared" si="263"/>
        <v>0</v>
      </c>
      <c r="BM358" s="304" t="str">
        <f>IF($AC358="", "", IF(ISNA(VLOOKUP($AC358, TABELAS!$Q:$Q, 1, FALSE)), 1, 0))</f>
        <v/>
      </c>
      <c r="BN358" s="306" t="str">
        <f t="shared" si="264"/>
        <v/>
      </c>
      <c r="BO358" s="304" t="str">
        <f t="shared" si="265"/>
        <v/>
      </c>
      <c r="BP358" s="304" t="str">
        <f t="shared" si="266"/>
        <v/>
      </c>
      <c r="BQ358" s="305" t="str">
        <f t="shared" si="267"/>
        <v/>
      </c>
      <c r="BR358" s="304" t="str">
        <f t="shared" si="268"/>
        <v/>
      </c>
      <c r="BS358" s="304" t="str">
        <f t="shared" si="269"/>
        <v/>
      </c>
      <c r="BT358" s="304" t="str">
        <f>IF(OR($B358="", $AH358 = "SIM"), "", IF( ISNA(VLOOKUP($AP358,#REF!, 1, FALSE)), 1, 0))</f>
        <v/>
      </c>
      <c r="BU358" s="304" t="str">
        <f t="shared" si="270"/>
        <v/>
      </c>
      <c r="BV358" s="304" t="str">
        <f>IF( $B358="", "", IF( ISNA(VLOOKUP($AN358, TABELAS!$T$2:$T$9,1,FALSE)), 1, 0))</f>
        <v/>
      </c>
      <c r="BW358" s="304" t="str">
        <f t="shared" si="271"/>
        <v/>
      </c>
      <c r="BX358" s="304" t="str">
        <f>IF( OR($B358="", $AH358 = "SIM"), "", IF( ISNA( VLOOKUP( $AQ358, SISTEMA!$B:$B, 1, FALSE)), 1, 0))</f>
        <v/>
      </c>
      <c r="BY358" s="305" t="str">
        <f t="shared" si="272"/>
        <v/>
      </c>
      <c r="BZ358" s="305" t="str">
        <f t="shared" si="273"/>
        <v/>
      </c>
      <c r="CA358" s="304" t="str">
        <f t="shared" si="274"/>
        <v/>
      </c>
      <c r="CB358" s="305" t="str">
        <f t="shared" si="275"/>
        <v/>
      </c>
      <c r="CC358" s="305" t="str">
        <f t="shared" si="276"/>
        <v/>
      </c>
      <c r="CD358" s="305" t="str">
        <f t="shared" si="277"/>
        <v/>
      </c>
    </row>
    <row r="359" spans="1:82" x14ac:dyDescent="0.2">
      <c r="A359" s="235"/>
      <c r="B359" s="236" t="str">
        <f t="shared" si="242"/>
        <v/>
      </c>
      <c r="C359" s="237" t="str">
        <f t="shared" si="232"/>
        <v/>
      </c>
      <c r="D359" s="237" t="str">
        <f t="shared" si="243"/>
        <v/>
      </c>
      <c r="E359" s="237" t="str">
        <f>IF($C359="", "", COUNTIF($M$8:$M359,$D359))</f>
        <v/>
      </c>
      <c r="F359" s="238">
        <v>352</v>
      </c>
      <c r="G359" s="239"/>
      <c r="H359" s="240"/>
      <c r="I359" s="240"/>
      <c r="J359" s="241"/>
      <c r="K359" s="240"/>
      <c r="L359" s="240"/>
      <c r="M359" s="240"/>
      <c r="N359" s="242"/>
      <c r="O359" s="243"/>
      <c r="P359" s="243"/>
      <c r="Q359" s="243"/>
      <c r="R359" s="243"/>
      <c r="S359" s="243"/>
      <c r="T359" s="245"/>
      <c r="U359" s="246" t="str">
        <f>IF($T359="", "", VLOOKUP($T359, CONTRATOS!$B:$E, 2, FALSE))</f>
        <v/>
      </c>
      <c r="V359" s="247">
        <f>IF(OR($T359="",TB_DEFESA!$C$2="Criação Baseline"),0,
   IF(VLOOKUP($T359, CONTRATOS!B:E, 3, FALSE)&lt;&gt;"",1,IF(VLOOKUP($T359, CONTRATOS!B:E, 4, FALSE)&lt;&gt;"",2,0)))</f>
        <v>0</v>
      </c>
      <c r="W359" s="248"/>
      <c r="X359" s="248"/>
      <c r="Y359" s="249"/>
      <c r="Z359" s="250"/>
      <c r="AA359" s="251"/>
      <c r="AB359" s="252"/>
      <c r="AC359" s="253"/>
      <c r="AD359" s="251"/>
      <c r="AE359" s="254" t="str">
        <f t="shared" si="233"/>
        <v/>
      </c>
      <c r="AF359" s="256" t="str">
        <f t="shared" si="244"/>
        <v/>
      </c>
      <c r="AG359" s="293" t="s">
        <v>62</v>
      </c>
      <c r="AH359" s="294" t="str">
        <f t="shared" si="245"/>
        <v/>
      </c>
      <c r="AI359" s="294" t="str">
        <f t="shared" si="246"/>
        <v/>
      </c>
      <c r="AJ359" s="295" t="str">
        <f t="shared" si="247"/>
        <v/>
      </c>
      <c r="AK359" s="296" t="str">
        <f t="shared" si="248"/>
        <v/>
      </c>
      <c r="AL359" s="297" t="str">
        <f t="shared" si="249"/>
        <v/>
      </c>
      <c r="AM359" s="294" t="str">
        <f t="shared" si="250"/>
        <v/>
      </c>
      <c r="AN359" s="294" t="str">
        <f t="shared" si="251"/>
        <v/>
      </c>
      <c r="AO359" s="298" t="str">
        <f t="shared" si="252"/>
        <v/>
      </c>
      <c r="AP359" s="299" t="str">
        <f t="shared" si="253"/>
        <v/>
      </c>
      <c r="AQ359" s="299" t="str">
        <f t="shared" si="254"/>
        <v/>
      </c>
      <c r="AR359" s="300" t="str">
        <f t="shared" si="234"/>
        <v/>
      </c>
      <c r="AS359" s="300" t="str">
        <f t="shared" si="235"/>
        <v/>
      </c>
      <c r="AT359" s="294" t="str">
        <f t="shared" si="236"/>
        <v/>
      </c>
      <c r="AU359" s="301" t="str">
        <f>IF(OR($B359="", $AP359= ""),"",IF(VLOOKUP($AP359, CONTRATOS!B:K,3,FALSE)="","",VLOOKUP($AP359, CONTRATOS!B:K, 3,FALSE)))</f>
        <v/>
      </c>
      <c r="AV359" s="301" t="str">
        <f>IF(OR($B359="", $AP359 = ""), "", IF(VLOOKUP($AP359, CONTRATOS!B:K,4,FALSE)="","",VLOOKUP($AP359, CONTRATOS!B:K,4, FALSE)))</f>
        <v/>
      </c>
      <c r="AW359" s="302" t="str">
        <f t="shared" si="237"/>
        <v/>
      </c>
      <c r="AX359" s="301" t="str">
        <f t="shared" si="238"/>
        <v/>
      </c>
      <c r="AY359" s="301" t="str">
        <f t="shared" si="239"/>
        <v/>
      </c>
      <c r="AZ359" s="301" t="str">
        <f t="shared" si="240"/>
        <v/>
      </c>
      <c r="BA359" s="301" t="str">
        <f t="shared" si="241"/>
        <v/>
      </c>
      <c r="BB359" s="303">
        <f t="shared" si="255"/>
        <v>0</v>
      </c>
      <c r="BC359" s="303" t="str">
        <f t="shared" si="256"/>
        <v/>
      </c>
      <c r="BD359" s="303" t="str">
        <f t="shared" si="257"/>
        <v/>
      </c>
      <c r="BF359" s="304">
        <f t="shared" si="258"/>
        <v>0</v>
      </c>
      <c r="BG359" s="304">
        <f t="shared" si="259"/>
        <v>0</v>
      </c>
      <c r="BH359" s="304" t="str">
        <f>IF( $B359="", "", IF(ISNA(VLOOKUP($C359, Defesa!$C$8:$C$30,1,FALSE)),1,0))</f>
        <v/>
      </c>
      <c r="BI359" s="305" t="str">
        <f t="shared" si="260"/>
        <v/>
      </c>
      <c r="BJ359" s="305" t="str">
        <f t="shared" si="261"/>
        <v/>
      </c>
      <c r="BK359" s="304" t="str">
        <f t="shared" si="262"/>
        <v/>
      </c>
      <c r="BL359" s="304">
        <f t="shared" si="263"/>
        <v>0</v>
      </c>
      <c r="BM359" s="304" t="str">
        <f>IF($AC359="", "", IF(ISNA(VLOOKUP($AC359, TABELAS!$Q:$Q, 1, FALSE)), 1, 0))</f>
        <v/>
      </c>
      <c r="BN359" s="306" t="str">
        <f t="shared" si="264"/>
        <v/>
      </c>
      <c r="BO359" s="304" t="str">
        <f t="shared" si="265"/>
        <v/>
      </c>
      <c r="BP359" s="304" t="str">
        <f t="shared" si="266"/>
        <v/>
      </c>
      <c r="BQ359" s="305" t="str">
        <f t="shared" si="267"/>
        <v/>
      </c>
      <c r="BR359" s="304" t="str">
        <f t="shared" si="268"/>
        <v/>
      </c>
      <c r="BS359" s="304" t="str">
        <f t="shared" si="269"/>
        <v/>
      </c>
      <c r="BT359" s="304" t="str">
        <f>IF(OR($B359="", $AH359 = "SIM"), "", IF( ISNA(VLOOKUP($AP359,#REF!, 1, FALSE)), 1, 0))</f>
        <v/>
      </c>
      <c r="BU359" s="304" t="str">
        <f t="shared" si="270"/>
        <v/>
      </c>
      <c r="BV359" s="304" t="str">
        <f>IF( $B359="", "", IF( ISNA(VLOOKUP($AN359, TABELAS!$T$2:$T$9,1,FALSE)), 1, 0))</f>
        <v/>
      </c>
      <c r="BW359" s="304" t="str">
        <f t="shared" si="271"/>
        <v/>
      </c>
      <c r="BX359" s="304" t="str">
        <f>IF( OR($B359="", $AH359 = "SIM"), "", IF( ISNA( VLOOKUP( $AQ359, SISTEMA!$B:$B, 1, FALSE)), 1, 0))</f>
        <v/>
      </c>
      <c r="BY359" s="305" t="str">
        <f t="shared" si="272"/>
        <v/>
      </c>
      <c r="BZ359" s="305" t="str">
        <f t="shared" si="273"/>
        <v/>
      </c>
      <c r="CA359" s="304" t="str">
        <f t="shared" si="274"/>
        <v/>
      </c>
      <c r="CB359" s="305" t="str">
        <f t="shared" si="275"/>
        <v/>
      </c>
      <c r="CC359" s="305" t="str">
        <f t="shared" si="276"/>
        <v/>
      </c>
      <c r="CD359" s="305" t="str">
        <f t="shared" si="277"/>
        <v/>
      </c>
    </row>
    <row r="360" spans="1:82" x14ac:dyDescent="0.2">
      <c r="A360" s="235"/>
      <c r="B360" s="236" t="str">
        <f t="shared" si="242"/>
        <v/>
      </c>
      <c r="C360" s="237" t="str">
        <f t="shared" si="232"/>
        <v/>
      </c>
      <c r="D360" s="237" t="str">
        <f t="shared" si="243"/>
        <v/>
      </c>
      <c r="E360" s="237" t="str">
        <f>IF($C360="", "", COUNTIF($M$8:$M360,$D360))</f>
        <v/>
      </c>
      <c r="F360" s="238">
        <v>353</v>
      </c>
      <c r="G360" s="239"/>
      <c r="H360" s="240"/>
      <c r="I360" s="240"/>
      <c r="J360" s="241"/>
      <c r="K360" s="240"/>
      <c r="L360" s="240"/>
      <c r="M360" s="240"/>
      <c r="N360" s="242"/>
      <c r="O360" s="243"/>
      <c r="P360" s="243"/>
      <c r="Q360" s="243"/>
      <c r="R360" s="243"/>
      <c r="S360" s="243"/>
      <c r="T360" s="245"/>
      <c r="U360" s="246" t="str">
        <f>IF($T360="", "", VLOOKUP($T360, CONTRATOS!$B:$E, 2, FALSE))</f>
        <v/>
      </c>
      <c r="V360" s="247">
        <f>IF(OR($T360="",TB_DEFESA!$C$2="Criação Baseline"),0,
   IF(VLOOKUP($T360, CONTRATOS!B:E, 3, FALSE)&lt;&gt;"",1,IF(VLOOKUP($T360, CONTRATOS!B:E, 4, FALSE)&lt;&gt;"",2,0)))</f>
        <v>0</v>
      </c>
      <c r="W360" s="248"/>
      <c r="X360" s="248"/>
      <c r="Y360" s="249"/>
      <c r="Z360" s="250"/>
      <c r="AA360" s="251"/>
      <c r="AB360" s="252"/>
      <c r="AC360" s="253"/>
      <c r="AD360" s="251"/>
      <c r="AE360" s="254" t="str">
        <f t="shared" si="233"/>
        <v/>
      </c>
      <c r="AF360" s="256" t="str">
        <f t="shared" si="244"/>
        <v/>
      </c>
      <c r="AG360" s="293" t="s">
        <v>62</v>
      </c>
      <c r="AH360" s="294" t="str">
        <f t="shared" si="245"/>
        <v/>
      </c>
      <c r="AI360" s="294" t="str">
        <f t="shared" si="246"/>
        <v/>
      </c>
      <c r="AJ360" s="295" t="str">
        <f t="shared" si="247"/>
        <v/>
      </c>
      <c r="AK360" s="296" t="str">
        <f t="shared" si="248"/>
        <v/>
      </c>
      <c r="AL360" s="297" t="str">
        <f t="shared" si="249"/>
        <v/>
      </c>
      <c r="AM360" s="294" t="str">
        <f t="shared" si="250"/>
        <v/>
      </c>
      <c r="AN360" s="294" t="str">
        <f t="shared" si="251"/>
        <v/>
      </c>
      <c r="AO360" s="298" t="str">
        <f t="shared" si="252"/>
        <v/>
      </c>
      <c r="AP360" s="299" t="str">
        <f t="shared" si="253"/>
        <v/>
      </c>
      <c r="AQ360" s="299" t="str">
        <f t="shared" si="254"/>
        <v/>
      </c>
      <c r="AR360" s="300" t="str">
        <f t="shared" si="234"/>
        <v/>
      </c>
      <c r="AS360" s="300" t="str">
        <f t="shared" si="235"/>
        <v/>
      </c>
      <c r="AT360" s="294" t="str">
        <f t="shared" si="236"/>
        <v/>
      </c>
      <c r="AU360" s="301" t="str">
        <f>IF(OR($B360="", $AP360= ""),"",IF(VLOOKUP($AP360, CONTRATOS!B:K,3,FALSE)="","",VLOOKUP($AP360, CONTRATOS!B:K, 3,FALSE)))</f>
        <v/>
      </c>
      <c r="AV360" s="301" t="str">
        <f>IF(OR($B360="", $AP360 = ""), "", IF(VLOOKUP($AP360, CONTRATOS!B:K,4,FALSE)="","",VLOOKUP($AP360, CONTRATOS!B:K,4, FALSE)))</f>
        <v/>
      </c>
      <c r="AW360" s="302" t="str">
        <f t="shared" si="237"/>
        <v/>
      </c>
      <c r="AX360" s="301" t="str">
        <f t="shared" si="238"/>
        <v/>
      </c>
      <c r="AY360" s="301" t="str">
        <f t="shared" si="239"/>
        <v/>
      </c>
      <c r="AZ360" s="301" t="str">
        <f t="shared" si="240"/>
        <v/>
      </c>
      <c r="BA360" s="301" t="str">
        <f t="shared" si="241"/>
        <v/>
      </c>
      <c r="BB360" s="303">
        <f t="shared" si="255"/>
        <v>0</v>
      </c>
      <c r="BC360" s="303" t="str">
        <f t="shared" si="256"/>
        <v/>
      </c>
      <c r="BD360" s="303" t="str">
        <f t="shared" si="257"/>
        <v/>
      </c>
      <c r="BF360" s="304">
        <f t="shared" si="258"/>
        <v>0</v>
      </c>
      <c r="BG360" s="304">
        <f t="shared" si="259"/>
        <v>0</v>
      </c>
      <c r="BH360" s="304" t="str">
        <f>IF( $B360="", "", IF(ISNA(VLOOKUP($C360, Defesa!$C$8:$C$30,1,FALSE)),1,0))</f>
        <v/>
      </c>
      <c r="BI360" s="305" t="str">
        <f t="shared" si="260"/>
        <v/>
      </c>
      <c r="BJ360" s="305" t="str">
        <f t="shared" si="261"/>
        <v/>
      </c>
      <c r="BK360" s="304" t="str">
        <f t="shared" si="262"/>
        <v/>
      </c>
      <c r="BL360" s="304">
        <f t="shared" si="263"/>
        <v>0</v>
      </c>
      <c r="BM360" s="304" t="str">
        <f>IF($AC360="", "", IF(ISNA(VLOOKUP($AC360, TABELAS!$Q:$Q, 1, FALSE)), 1, 0))</f>
        <v/>
      </c>
      <c r="BN360" s="306" t="str">
        <f t="shared" si="264"/>
        <v/>
      </c>
      <c r="BO360" s="304" t="str">
        <f t="shared" si="265"/>
        <v/>
      </c>
      <c r="BP360" s="304" t="str">
        <f t="shared" si="266"/>
        <v/>
      </c>
      <c r="BQ360" s="305" t="str">
        <f t="shared" si="267"/>
        <v/>
      </c>
      <c r="BR360" s="304" t="str">
        <f t="shared" si="268"/>
        <v/>
      </c>
      <c r="BS360" s="304" t="str">
        <f t="shared" si="269"/>
        <v/>
      </c>
      <c r="BT360" s="304" t="str">
        <f>IF(OR($B360="", $AH360 = "SIM"), "", IF( ISNA(VLOOKUP($AP360,#REF!, 1, FALSE)), 1, 0))</f>
        <v/>
      </c>
      <c r="BU360" s="304" t="str">
        <f t="shared" si="270"/>
        <v/>
      </c>
      <c r="BV360" s="304" t="str">
        <f>IF( $B360="", "", IF( ISNA(VLOOKUP($AN360, TABELAS!$T$2:$T$9,1,FALSE)), 1, 0))</f>
        <v/>
      </c>
      <c r="BW360" s="304" t="str">
        <f t="shared" si="271"/>
        <v/>
      </c>
      <c r="BX360" s="304" t="str">
        <f>IF( OR($B360="", $AH360 = "SIM"), "", IF( ISNA( VLOOKUP( $AQ360, SISTEMA!$B:$B, 1, FALSE)), 1, 0))</f>
        <v/>
      </c>
      <c r="BY360" s="305" t="str">
        <f t="shared" si="272"/>
        <v/>
      </c>
      <c r="BZ360" s="305" t="str">
        <f t="shared" si="273"/>
        <v/>
      </c>
      <c r="CA360" s="304" t="str">
        <f t="shared" si="274"/>
        <v/>
      </c>
      <c r="CB360" s="305" t="str">
        <f t="shared" si="275"/>
        <v/>
      </c>
      <c r="CC360" s="305" t="str">
        <f t="shared" si="276"/>
        <v/>
      </c>
      <c r="CD360" s="305" t="str">
        <f t="shared" si="277"/>
        <v/>
      </c>
    </row>
    <row r="361" spans="1:82" x14ac:dyDescent="0.2">
      <c r="A361" s="235"/>
      <c r="B361" s="236" t="str">
        <f t="shared" si="242"/>
        <v/>
      </c>
      <c r="C361" s="237" t="str">
        <f t="shared" si="232"/>
        <v/>
      </c>
      <c r="D361" s="237" t="str">
        <f t="shared" si="243"/>
        <v/>
      </c>
      <c r="E361" s="237" t="str">
        <f>IF($C361="", "", COUNTIF($M$8:$M361,$D361))</f>
        <v/>
      </c>
      <c r="F361" s="238">
        <v>354</v>
      </c>
      <c r="G361" s="239"/>
      <c r="H361" s="240"/>
      <c r="I361" s="240"/>
      <c r="J361" s="241"/>
      <c r="K361" s="240"/>
      <c r="L361" s="240"/>
      <c r="M361" s="240"/>
      <c r="N361" s="242"/>
      <c r="O361" s="243"/>
      <c r="P361" s="243"/>
      <c r="Q361" s="243"/>
      <c r="R361" s="243"/>
      <c r="S361" s="243"/>
      <c r="T361" s="245"/>
      <c r="U361" s="246" t="str">
        <f>IF($T361="", "", VLOOKUP($T361, CONTRATOS!$B:$E, 2, FALSE))</f>
        <v/>
      </c>
      <c r="V361" s="247">
        <f>IF(OR($T361="",TB_DEFESA!$C$2="Criação Baseline"),0,
   IF(VLOOKUP($T361, CONTRATOS!B:E, 3, FALSE)&lt;&gt;"",1,IF(VLOOKUP($T361, CONTRATOS!B:E, 4, FALSE)&lt;&gt;"",2,0)))</f>
        <v>0</v>
      </c>
      <c r="W361" s="248"/>
      <c r="X361" s="248"/>
      <c r="Y361" s="249"/>
      <c r="Z361" s="250"/>
      <c r="AA361" s="251"/>
      <c r="AB361" s="252"/>
      <c r="AC361" s="253"/>
      <c r="AD361" s="251"/>
      <c r="AE361" s="254" t="str">
        <f t="shared" si="233"/>
        <v/>
      </c>
      <c r="AF361" s="256" t="str">
        <f t="shared" si="244"/>
        <v/>
      </c>
      <c r="AG361" s="293" t="s">
        <v>62</v>
      </c>
      <c r="AH361" s="294" t="str">
        <f t="shared" si="245"/>
        <v/>
      </c>
      <c r="AI361" s="294" t="str">
        <f t="shared" si="246"/>
        <v/>
      </c>
      <c r="AJ361" s="295" t="str">
        <f t="shared" si="247"/>
        <v/>
      </c>
      <c r="AK361" s="296" t="str">
        <f t="shared" si="248"/>
        <v/>
      </c>
      <c r="AL361" s="297" t="str">
        <f t="shared" si="249"/>
        <v/>
      </c>
      <c r="AM361" s="294" t="str">
        <f t="shared" si="250"/>
        <v/>
      </c>
      <c r="AN361" s="294" t="str">
        <f t="shared" si="251"/>
        <v/>
      </c>
      <c r="AO361" s="298" t="str">
        <f t="shared" si="252"/>
        <v/>
      </c>
      <c r="AP361" s="299" t="str">
        <f t="shared" si="253"/>
        <v/>
      </c>
      <c r="AQ361" s="299" t="str">
        <f t="shared" si="254"/>
        <v/>
      </c>
      <c r="AR361" s="300" t="str">
        <f t="shared" si="234"/>
        <v/>
      </c>
      <c r="AS361" s="300" t="str">
        <f t="shared" si="235"/>
        <v/>
      </c>
      <c r="AT361" s="294" t="str">
        <f t="shared" si="236"/>
        <v/>
      </c>
      <c r="AU361" s="301" t="str">
        <f>IF(OR($B361="", $AP361= ""),"",IF(VLOOKUP($AP361, CONTRATOS!B:K,3,FALSE)="","",VLOOKUP($AP361, CONTRATOS!B:K, 3,FALSE)))</f>
        <v/>
      </c>
      <c r="AV361" s="301" t="str">
        <f>IF(OR($B361="", $AP361 = ""), "", IF(VLOOKUP($AP361, CONTRATOS!B:K,4,FALSE)="","",VLOOKUP($AP361, CONTRATOS!B:K,4, FALSE)))</f>
        <v/>
      </c>
      <c r="AW361" s="302" t="str">
        <f t="shared" si="237"/>
        <v/>
      </c>
      <c r="AX361" s="301" t="str">
        <f t="shared" si="238"/>
        <v/>
      </c>
      <c r="AY361" s="301" t="str">
        <f t="shared" si="239"/>
        <v/>
      </c>
      <c r="AZ361" s="301" t="str">
        <f t="shared" si="240"/>
        <v/>
      </c>
      <c r="BA361" s="301" t="str">
        <f t="shared" si="241"/>
        <v/>
      </c>
      <c r="BB361" s="303">
        <f t="shared" si="255"/>
        <v>0</v>
      </c>
      <c r="BC361" s="303" t="str">
        <f t="shared" si="256"/>
        <v/>
      </c>
      <c r="BD361" s="303" t="str">
        <f t="shared" si="257"/>
        <v/>
      </c>
      <c r="BF361" s="304">
        <f t="shared" si="258"/>
        <v>0</v>
      </c>
      <c r="BG361" s="304">
        <f t="shared" si="259"/>
        <v>0</v>
      </c>
      <c r="BH361" s="304" t="str">
        <f>IF( $B361="", "", IF(ISNA(VLOOKUP($C361, Defesa!$C$8:$C$30,1,FALSE)),1,0))</f>
        <v/>
      </c>
      <c r="BI361" s="305" t="str">
        <f t="shared" si="260"/>
        <v/>
      </c>
      <c r="BJ361" s="305" t="str">
        <f t="shared" si="261"/>
        <v/>
      </c>
      <c r="BK361" s="304" t="str">
        <f t="shared" si="262"/>
        <v/>
      </c>
      <c r="BL361" s="304">
        <f t="shared" si="263"/>
        <v>0</v>
      </c>
      <c r="BM361" s="304" t="str">
        <f>IF($AC361="", "", IF(ISNA(VLOOKUP($AC361, TABELAS!$Q:$Q, 1, FALSE)), 1, 0))</f>
        <v/>
      </c>
      <c r="BN361" s="306" t="str">
        <f t="shared" si="264"/>
        <v/>
      </c>
      <c r="BO361" s="304" t="str">
        <f t="shared" si="265"/>
        <v/>
      </c>
      <c r="BP361" s="304" t="str">
        <f t="shared" si="266"/>
        <v/>
      </c>
      <c r="BQ361" s="305" t="str">
        <f t="shared" si="267"/>
        <v/>
      </c>
      <c r="BR361" s="304" t="str">
        <f t="shared" si="268"/>
        <v/>
      </c>
      <c r="BS361" s="304" t="str">
        <f t="shared" si="269"/>
        <v/>
      </c>
      <c r="BT361" s="304" t="str">
        <f>IF(OR($B361="", $AH361 = "SIM"), "", IF( ISNA(VLOOKUP($AP361,#REF!, 1, FALSE)), 1, 0))</f>
        <v/>
      </c>
      <c r="BU361" s="304" t="str">
        <f t="shared" si="270"/>
        <v/>
      </c>
      <c r="BV361" s="304" t="str">
        <f>IF( $B361="", "", IF( ISNA(VLOOKUP($AN361, TABELAS!$T$2:$T$9,1,FALSE)), 1, 0))</f>
        <v/>
      </c>
      <c r="BW361" s="304" t="str">
        <f t="shared" si="271"/>
        <v/>
      </c>
      <c r="BX361" s="304" t="str">
        <f>IF( OR($B361="", $AH361 = "SIM"), "", IF( ISNA( VLOOKUP( $AQ361, SISTEMA!$B:$B, 1, FALSE)), 1, 0))</f>
        <v/>
      </c>
      <c r="BY361" s="305" t="str">
        <f t="shared" si="272"/>
        <v/>
      </c>
      <c r="BZ361" s="305" t="str">
        <f t="shared" si="273"/>
        <v/>
      </c>
      <c r="CA361" s="304" t="str">
        <f t="shared" si="274"/>
        <v/>
      </c>
      <c r="CB361" s="305" t="str">
        <f t="shared" si="275"/>
        <v/>
      </c>
      <c r="CC361" s="305" t="str">
        <f t="shared" si="276"/>
        <v/>
      </c>
      <c r="CD361" s="305" t="str">
        <f t="shared" si="277"/>
        <v/>
      </c>
    </row>
    <row r="362" spans="1:82" x14ac:dyDescent="0.2">
      <c r="A362" s="235"/>
      <c r="B362" s="236" t="str">
        <f t="shared" si="242"/>
        <v/>
      </c>
      <c r="C362" s="237" t="str">
        <f t="shared" si="232"/>
        <v/>
      </c>
      <c r="D362" s="237" t="str">
        <f t="shared" si="243"/>
        <v/>
      </c>
      <c r="E362" s="237" t="str">
        <f>IF($C362="", "", COUNTIF($M$8:$M362,$D362))</f>
        <v/>
      </c>
      <c r="F362" s="238">
        <v>355</v>
      </c>
      <c r="G362" s="239"/>
      <c r="H362" s="240"/>
      <c r="I362" s="240"/>
      <c r="J362" s="241"/>
      <c r="K362" s="240"/>
      <c r="L362" s="240"/>
      <c r="M362" s="240"/>
      <c r="N362" s="242"/>
      <c r="O362" s="243"/>
      <c r="P362" s="243"/>
      <c r="Q362" s="243"/>
      <c r="R362" s="243"/>
      <c r="S362" s="243"/>
      <c r="T362" s="245"/>
      <c r="U362" s="246" t="str">
        <f>IF($T362="", "", VLOOKUP($T362, CONTRATOS!$B:$E, 2, FALSE))</f>
        <v/>
      </c>
      <c r="V362" s="247">
        <f>IF(OR($T362="",TB_DEFESA!$C$2="Criação Baseline"),0,
   IF(VLOOKUP($T362, CONTRATOS!B:E, 3, FALSE)&lt;&gt;"",1,IF(VLOOKUP($T362, CONTRATOS!B:E, 4, FALSE)&lt;&gt;"",2,0)))</f>
        <v>0</v>
      </c>
      <c r="W362" s="248"/>
      <c r="X362" s="248"/>
      <c r="Y362" s="249"/>
      <c r="Z362" s="250"/>
      <c r="AA362" s="251"/>
      <c r="AB362" s="252"/>
      <c r="AC362" s="253"/>
      <c r="AD362" s="251"/>
      <c r="AE362" s="254" t="str">
        <f t="shared" si="233"/>
        <v/>
      </c>
      <c r="AF362" s="256" t="str">
        <f t="shared" si="244"/>
        <v/>
      </c>
      <c r="AG362" s="293" t="s">
        <v>62</v>
      </c>
      <c r="AH362" s="294" t="str">
        <f t="shared" si="245"/>
        <v/>
      </c>
      <c r="AI362" s="294" t="str">
        <f t="shared" si="246"/>
        <v/>
      </c>
      <c r="AJ362" s="295" t="str">
        <f t="shared" si="247"/>
        <v/>
      </c>
      <c r="AK362" s="296" t="str">
        <f t="shared" si="248"/>
        <v/>
      </c>
      <c r="AL362" s="297" t="str">
        <f t="shared" si="249"/>
        <v/>
      </c>
      <c r="AM362" s="294" t="str">
        <f t="shared" si="250"/>
        <v/>
      </c>
      <c r="AN362" s="294" t="str">
        <f t="shared" si="251"/>
        <v/>
      </c>
      <c r="AO362" s="298" t="str">
        <f t="shared" si="252"/>
        <v/>
      </c>
      <c r="AP362" s="299" t="str">
        <f t="shared" si="253"/>
        <v/>
      </c>
      <c r="AQ362" s="299" t="str">
        <f t="shared" si="254"/>
        <v/>
      </c>
      <c r="AR362" s="300" t="str">
        <f t="shared" si="234"/>
        <v/>
      </c>
      <c r="AS362" s="300" t="str">
        <f t="shared" si="235"/>
        <v/>
      </c>
      <c r="AT362" s="294" t="str">
        <f t="shared" si="236"/>
        <v/>
      </c>
      <c r="AU362" s="301" t="str">
        <f>IF(OR($B362="", $AP362= ""),"",IF(VLOOKUP($AP362, CONTRATOS!B:K,3,FALSE)="","",VLOOKUP($AP362, CONTRATOS!B:K, 3,FALSE)))</f>
        <v/>
      </c>
      <c r="AV362" s="301" t="str">
        <f>IF(OR($B362="", $AP362 = ""), "", IF(VLOOKUP($AP362, CONTRATOS!B:K,4,FALSE)="","",VLOOKUP($AP362, CONTRATOS!B:K,4, FALSE)))</f>
        <v/>
      </c>
      <c r="AW362" s="302" t="str">
        <f t="shared" si="237"/>
        <v/>
      </c>
      <c r="AX362" s="301" t="str">
        <f t="shared" si="238"/>
        <v/>
      </c>
      <c r="AY362" s="301" t="str">
        <f t="shared" si="239"/>
        <v/>
      </c>
      <c r="AZ362" s="301" t="str">
        <f t="shared" si="240"/>
        <v/>
      </c>
      <c r="BA362" s="301" t="str">
        <f t="shared" si="241"/>
        <v/>
      </c>
      <c r="BB362" s="303">
        <f t="shared" si="255"/>
        <v>0</v>
      </c>
      <c r="BC362" s="303" t="str">
        <f t="shared" si="256"/>
        <v/>
      </c>
      <c r="BD362" s="303" t="str">
        <f t="shared" si="257"/>
        <v/>
      </c>
      <c r="BF362" s="304">
        <f t="shared" si="258"/>
        <v>0</v>
      </c>
      <c r="BG362" s="304">
        <f t="shared" si="259"/>
        <v>0</v>
      </c>
      <c r="BH362" s="304" t="str">
        <f>IF( $B362="", "", IF(ISNA(VLOOKUP($C362, Defesa!$C$8:$C$30,1,FALSE)),1,0))</f>
        <v/>
      </c>
      <c r="BI362" s="305" t="str">
        <f t="shared" si="260"/>
        <v/>
      </c>
      <c r="BJ362" s="305" t="str">
        <f t="shared" si="261"/>
        <v/>
      </c>
      <c r="BK362" s="304" t="str">
        <f t="shared" si="262"/>
        <v/>
      </c>
      <c r="BL362" s="304">
        <f t="shared" si="263"/>
        <v>0</v>
      </c>
      <c r="BM362" s="304" t="str">
        <f>IF($AC362="", "", IF(ISNA(VLOOKUP($AC362, TABELAS!$Q:$Q, 1, FALSE)), 1, 0))</f>
        <v/>
      </c>
      <c r="BN362" s="306" t="str">
        <f t="shared" si="264"/>
        <v/>
      </c>
      <c r="BO362" s="304" t="str">
        <f t="shared" si="265"/>
        <v/>
      </c>
      <c r="BP362" s="304" t="str">
        <f t="shared" si="266"/>
        <v/>
      </c>
      <c r="BQ362" s="305" t="str">
        <f t="shared" si="267"/>
        <v/>
      </c>
      <c r="BR362" s="304" t="str">
        <f t="shared" si="268"/>
        <v/>
      </c>
      <c r="BS362" s="304" t="str">
        <f t="shared" si="269"/>
        <v/>
      </c>
      <c r="BT362" s="304" t="str">
        <f>IF(OR($B362="", $AH362 = "SIM"), "", IF( ISNA(VLOOKUP($AP362,#REF!, 1, FALSE)), 1, 0))</f>
        <v/>
      </c>
      <c r="BU362" s="304" t="str">
        <f t="shared" si="270"/>
        <v/>
      </c>
      <c r="BV362" s="304" t="str">
        <f>IF( $B362="", "", IF( ISNA(VLOOKUP($AN362, TABELAS!$T$2:$T$9,1,FALSE)), 1, 0))</f>
        <v/>
      </c>
      <c r="BW362" s="304" t="str">
        <f t="shared" si="271"/>
        <v/>
      </c>
      <c r="BX362" s="304" t="str">
        <f>IF( OR($B362="", $AH362 = "SIM"), "", IF( ISNA( VLOOKUP( $AQ362, SISTEMA!$B:$B, 1, FALSE)), 1, 0))</f>
        <v/>
      </c>
      <c r="BY362" s="305" t="str">
        <f t="shared" si="272"/>
        <v/>
      </c>
      <c r="BZ362" s="305" t="str">
        <f t="shared" si="273"/>
        <v/>
      </c>
      <c r="CA362" s="304" t="str">
        <f t="shared" si="274"/>
        <v/>
      </c>
      <c r="CB362" s="305" t="str">
        <f t="shared" si="275"/>
        <v/>
      </c>
      <c r="CC362" s="305" t="str">
        <f t="shared" si="276"/>
        <v/>
      </c>
      <c r="CD362" s="305" t="str">
        <f t="shared" si="277"/>
        <v/>
      </c>
    </row>
    <row r="363" spans="1:82" x14ac:dyDescent="0.2">
      <c r="A363" s="235"/>
      <c r="B363" s="236" t="str">
        <f t="shared" si="242"/>
        <v/>
      </c>
      <c r="C363" s="237" t="str">
        <f t="shared" si="232"/>
        <v/>
      </c>
      <c r="D363" s="237" t="str">
        <f t="shared" si="243"/>
        <v/>
      </c>
      <c r="E363" s="237" t="str">
        <f>IF($C363="", "", COUNTIF($M$8:$M363,$D363))</f>
        <v/>
      </c>
      <c r="F363" s="238">
        <v>356</v>
      </c>
      <c r="G363" s="239"/>
      <c r="H363" s="240"/>
      <c r="I363" s="240"/>
      <c r="J363" s="241"/>
      <c r="K363" s="240"/>
      <c r="L363" s="240"/>
      <c r="M363" s="240"/>
      <c r="N363" s="242"/>
      <c r="O363" s="243"/>
      <c r="P363" s="243"/>
      <c r="Q363" s="243"/>
      <c r="R363" s="243"/>
      <c r="S363" s="243"/>
      <c r="T363" s="245"/>
      <c r="U363" s="246" t="str">
        <f>IF($T363="", "", VLOOKUP($T363, CONTRATOS!$B:$E, 2, FALSE))</f>
        <v/>
      </c>
      <c r="V363" s="247">
        <f>IF(OR($T363="",TB_DEFESA!$C$2="Criação Baseline"),0,
   IF(VLOOKUP($T363, CONTRATOS!B:E, 3, FALSE)&lt;&gt;"",1,IF(VLOOKUP($T363, CONTRATOS!B:E, 4, FALSE)&lt;&gt;"",2,0)))</f>
        <v>0</v>
      </c>
      <c r="W363" s="248"/>
      <c r="X363" s="248"/>
      <c r="Y363" s="249"/>
      <c r="Z363" s="250"/>
      <c r="AA363" s="251"/>
      <c r="AB363" s="252"/>
      <c r="AC363" s="253"/>
      <c r="AD363" s="251"/>
      <c r="AE363" s="254" t="str">
        <f t="shared" si="233"/>
        <v/>
      </c>
      <c r="AF363" s="256" t="str">
        <f t="shared" si="244"/>
        <v/>
      </c>
      <c r="AG363" s="293" t="s">
        <v>62</v>
      </c>
      <c r="AH363" s="294" t="str">
        <f t="shared" si="245"/>
        <v/>
      </c>
      <c r="AI363" s="294" t="str">
        <f t="shared" si="246"/>
        <v/>
      </c>
      <c r="AJ363" s="295" t="str">
        <f t="shared" si="247"/>
        <v/>
      </c>
      <c r="AK363" s="296" t="str">
        <f t="shared" si="248"/>
        <v/>
      </c>
      <c r="AL363" s="297" t="str">
        <f t="shared" si="249"/>
        <v/>
      </c>
      <c r="AM363" s="294" t="str">
        <f t="shared" si="250"/>
        <v/>
      </c>
      <c r="AN363" s="294" t="str">
        <f t="shared" si="251"/>
        <v/>
      </c>
      <c r="AO363" s="298" t="str">
        <f t="shared" si="252"/>
        <v/>
      </c>
      <c r="AP363" s="299" t="str">
        <f t="shared" si="253"/>
        <v/>
      </c>
      <c r="AQ363" s="299" t="str">
        <f t="shared" si="254"/>
        <v/>
      </c>
      <c r="AR363" s="300" t="str">
        <f t="shared" si="234"/>
        <v/>
      </c>
      <c r="AS363" s="300" t="str">
        <f t="shared" si="235"/>
        <v/>
      </c>
      <c r="AT363" s="294" t="str">
        <f t="shared" si="236"/>
        <v/>
      </c>
      <c r="AU363" s="301" t="str">
        <f>IF(OR($B363="", $AP363= ""),"",IF(VLOOKUP($AP363, CONTRATOS!B:K,3,FALSE)="","",VLOOKUP($AP363, CONTRATOS!B:K, 3,FALSE)))</f>
        <v/>
      </c>
      <c r="AV363" s="301" t="str">
        <f>IF(OR($B363="", $AP363 = ""), "", IF(VLOOKUP($AP363, CONTRATOS!B:K,4,FALSE)="","",VLOOKUP($AP363, CONTRATOS!B:K,4, FALSE)))</f>
        <v/>
      </c>
      <c r="AW363" s="302" t="str">
        <f t="shared" si="237"/>
        <v/>
      </c>
      <c r="AX363" s="301" t="str">
        <f t="shared" si="238"/>
        <v/>
      </c>
      <c r="AY363" s="301" t="str">
        <f t="shared" si="239"/>
        <v/>
      </c>
      <c r="AZ363" s="301" t="str">
        <f t="shared" si="240"/>
        <v/>
      </c>
      <c r="BA363" s="301" t="str">
        <f t="shared" si="241"/>
        <v/>
      </c>
      <c r="BB363" s="303">
        <f t="shared" si="255"/>
        <v>0</v>
      </c>
      <c r="BC363" s="303" t="str">
        <f t="shared" si="256"/>
        <v/>
      </c>
      <c r="BD363" s="303" t="str">
        <f t="shared" si="257"/>
        <v/>
      </c>
      <c r="BF363" s="304">
        <f t="shared" si="258"/>
        <v>0</v>
      </c>
      <c r="BG363" s="304">
        <f t="shared" si="259"/>
        <v>0</v>
      </c>
      <c r="BH363" s="304" t="str">
        <f>IF( $B363="", "", IF(ISNA(VLOOKUP($C363, Defesa!$C$8:$C$30,1,FALSE)),1,0))</f>
        <v/>
      </c>
      <c r="BI363" s="305" t="str">
        <f t="shared" si="260"/>
        <v/>
      </c>
      <c r="BJ363" s="305" t="str">
        <f t="shared" si="261"/>
        <v/>
      </c>
      <c r="BK363" s="304" t="str">
        <f t="shared" si="262"/>
        <v/>
      </c>
      <c r="BL363" s="304">
        <f t="shared" si="263"/>
        <v>0</v>
      </c>
      <c r="BM363" s="304" t="str">
        <f>IF($AC363="", "", IF(ISNA(VLOOKUP($AC363, TABELAS!$Q:$Q, 1, FALSE)), 1, 0))</f>
        <v/>
      </c>
      <c r="BN363" s="306" t="str">
        <f t="shared" si="264"/>
        <v/>
      </c>
      <c r="BO363" s="304" t="str">
        <f t="shared" si="265"/>
        <v/>
      </c>
      <c r="BP363" s="304" t="str">
        <f t="shared" si="266"/>
        <v/>
      </c>
      <c r="BQ363" s="305" t="str">
        <f t="shared" si="267"/>
        <v/>
      </c>
      <c r="BR363" s="304" t="str">
        <f t="shared" si="268"/>
        <v/>
      </c>
      <c r="BS363" s="304" t="str">
        <f t="shared" si="269"/>
        <v/>
      </c>
      <c r="BT363" s="304" t="str">
        <f>IF(OR($B363="", $AH363 = "SIM"), "", IF( ISNA(VLOOKUP($AP363,#REF!, 1, FALSE)), 1, 0))</f>
        <v/>
      </c>
      <c r="BU363" s="304" t="str">
        <f t="shared" si="270"/>
        <v/>
      </c>
      <c r="BV363" s="304" t="str">
        <f>IF( $B363="", "", IF( ISNA(VLOOKUP($AN363, TABELAS!$T$2:$T$9,1,FALSE)), 1, 0))</f>
        <v/>
      </c>
      <c r="BW363" s="304" t="str">
        <f t="shared" si="271"/>
        <v/>
      </c>
      <c r="BX363" s="304" t="str">
        <f>IF( OR($B363="", $AH363 = "SIM"), "", IF( ISNA( VLOOKUP( $AQ363, SISTEMA!$B:$B, 1, FALSE)), 1, 0))</f>
        <v/>
      </c>
      <c r="BY363" s="305" t="str">
        <f t="shared" si="272"/>
        <v/>
      </c>
      <c r="BZ363" s="305" t="str">
        <f t="shared" si="273"/>
        <v/>
      </c>
      <c r="CA363" s="304" t="str">
        <f t="shared" si="274"/>
        <v/>
      </c>
      <c r="CB363" s="305" t="str">
        <f t="shared" si="275"/>
        <v/>
      </c>
      <c r="CC363" s="305" t="str">
        <f t="shared" si="276"/>
        <v/>
      </c>
      <c r="CD363" s="305" t="str">
        <f t="shared" si="277"/>
        <v/>
      </c>
    </row>
    <row r="364" spans="1:82" x14ac:dyDescent="0.2">
      <c r="A364" s="235"/>
      <c r="B364" s="236" t="str">
        <f t="shared" si="242"/>
        <v/>
      </c>
      <c r="C364" s="237" t="str">
        <f t="shared" si="232"/>
        <v/>
      </c>
      <c r="D364" s="237" t="str">
        <f t="shared" si="243"/>
        <v/>
      </c>
      <c r="E364" s="237" t="str">
        <f>IF($C364="", "", COUNTIF($M$8:$M364,$D364))</f>
        <v/>
      </c>
      <c r="F364" s="238">
        <v>357</v>
      </c>
      <c r="G364" s="239"/>
      <c r="H364" s="240"/>
      <c r="I364" s="240"/>
      <c r="J364" s="241"/>
      <c r="K364" s="240"/>
      <c r="L364" s="240"/>
      <c r="M364" s="240"/>
      <c r="N364" s="242"/>
      <c r="O364" s="243"/>
      <c r="P364" s="243"/>
      <c r="Q364" s="243"/>
      <c r="R364" s="243"/>
      <c r="S364" s="243"/>
      <c r="T364" s="245"/>
      <c r="U364" s="246" t="str">
        <f>IF($T364="", "", VLOOKUP($T364, CONTRATOS!$B:$E, 2, FALSE))</f>
        <v/>
      </c>
      <c r="V364" s="247">
        <f>IF(OR($T364="",TB_DEFESA!$C$2="Criação Baseline"),0,
   IF(VLOOKUP($T364, CONTRATOS!B:E, 3, FALSE)&lt;&gt;"",1,IF(VLOOKUP($T364, CONTRATOS!B:E, 4, FALSE)&lt;&gt;"",2,0)))</f>
        <v>0</v>
      </c>
      <c r="W364" s="248"/>
      <c r="X364" s="248"/>
      <c r="Y364" s="249"/>
      <c r="Z364" s="250"/>
      <c r="AA364" s="251"/>
      <c r="AB364" s="252"/>
      <c r="AC364" s="253"/>
      <c r="AD364" s="251"/>
      <c r="AE364" s="254" t="str">
        <f t="shared" si="233"/>
        <v/>
      </c>
      <c r="AF364" s="256" t="str">
        <f t="shared" si="244"/>
        <v/>
      </c>
      <c r="AG364" s="293" t="s">
        <v>62</v>
      </c>
      <c r="AH364" s="294" t="str">
        <f t="shared" si="245"/>
        <v/>
      </c>
      <c r="AI364" s="294" t="str">
        <f t="shared" si="246"/>
        <v/>
      </c>
      <c r="AJ364" s="295" t="str">
        <f t="shared" si="247"/>
        <v/>
      </c>
      <c r="AK364" s="296" t="str">
        <f t="shared" si="248"/>
        <v/>
      </c>
      <c r="AL364" s="297" t="str">
        <f t="shared" si="249"/>
        <v/>
      </c>
      <c r="AM364" s="294" t="str">
        <f t="shared" si="250"/>
        <v/>
      </c>
      <c r="AN364" s="294" t="str">
        <f t="shared" si="251"/>
        <v/>
      </c>
      <c r="AO364" s="298" t="str">
        <f t="shared" si="252"/>
        <v/>
      </c>
      <c r="AP364" s="299" t="str">
        <f t="shared" si="253"/>
        <v/>
      </c>
      <c r="AQ364" s="299" t="str">
        <f t="shared" si="254"/>
        <v/>
      </c>
      <c r="AR364" s="300" t="str">
        <f t="shared" si="234"/>
        <v/>
      </c>
      <c r="AS364" s="300" t="str">
        <f t="shared" si="235"/>
        <v/>
      </c>
      <c r="AT364" s="294" t="str">
        <f t="shared" si="236"/>
        <v/>
      </c>
      <c r="AU364" s="301" t="str">
        <f>IF(OR($B364="", $AP364= ""),"",IF(VLOOKUP($AP364, CONTRATOS!B:K,3,FALSE)="","",VLOOKUP($AP364, CONTRATOS!B:K, 3,FALSE)))</f>
        <v/>
      </c>
      <c r="AV364" s="301" t="str">
        <f>IF(OR($B364="", $AP364 = ""), "", IF(VLOOKUP($AP364, CONTRATOS!B:K,4,FALSE)="","",VLOOKUP($AP364, CONTRATOS!B:K,4, FALSE)))</f>
        <v/>
      </c>
      <c r="AW364" s="302" t="str">
        <f t="shared" si="237"/>
        <v/>
      </c>
      <c r="AX364" s="301" t="str">
        <f t="shared" si="238"/>
        <v/>
      </c>
      <c r="AY364" s="301" t="str">
        <f t="shared" si="239"/>
        <v/>
      </c>
      <c r="AZ364" s="301" t="str">
        <f t="shared" si="240"/>
        <v/>
      </c>
      <c r="BA364" s="301" t="str">
        <f t="shared" si="241"/>
        <v/>
      </c>
      <c r="BB364" s="303">
        <f t="shared" si="255"/>
        <v>0</v>
      </c>
      <c r="BC364" s="303" t="str">
        <f t="shared" si="256"/>
        <v/>
      </c>
      <c r="BD364" s="303" t="str">
        <f t="shared" si="257"/>
        <v/>
      </c>
      <c r="BF364" s="304">
        <f t="shared" si="258"/>
        <v>0</v>
      </c>
      <c r="BG364" s="304">
        <f t="shared" si="259"/>
        <v>0</v>
      </c>
      <c r="BH364" s="304" t="str">
        <f>IF( $B364="", "", IF(ISNA(VLOOKUP($C364, Defesa!$C$8:$C$30,1,FALSE)),1,0))</f>
        <v/>
      </c>
      <c r="BI364" s="305" t="str">
        <f t="shared" si="260"/>
        <v/>
      </c>
      <c r="BJ364" s="305" t="str">
        <f t="shared" si="261"/>
        <v/>
      </c>
      <c r="BK364" s="304" t="str">
        <f t="shared" si="262"/>
        <v/>
      </c>
      <c r="BL364" s="304">
        <f t="shared" si="263"/>
        <v>0</v>
      </c>
      <c r="BM364" s="304" t="str">
        <f>IF($AC364="", "", IF(ISNA(VLOOKUP($AC364, TABELAS!$Q:$Q, 1, FALSE)), 1, 0))</f>
        <v/>
      </c>
      <c r="BN364" s="306" t="str">
        <f t="shared" si="264"/>
        <v/>
      </c>
      <c r="BO364" s="304" t="str">
        <f t="shared" si="265"/>
        <v/>
      </c>
      <c r="BP364" s="304" t="str">
        <f t="shared" si="266"/>
        <v/>
      </c>
      <c r="BQ364" s="305" t="str">
        <f t="shared" si="267"/>
        <v/>
      </c>
      <c r="BR364" s="304" t="str">
        <f t="shared" si="268"/>
        <v/>
      </c>
      <c r="BS364" s="304" t="str">
        <f t="shared" si="269"/>
        <v/>
      </c>
      <c r="BT364" s="304" t="str">
        <f>IF(OR($B364="", $AH364 = "SIM"), "", IF( ISNA(VLOOKUP($AP364,#REF!, 1, FALSE)), 1, 0))</f>
        <v/>
      </c>
      <c r="BU364" s="304" t="str">
        <f t="shared" si="270"/>
        <v/>
      </c>
      <c r="BV364" s="304" t="str">
        <f>IF( $B364="", "", IF( ISNA(VLOOKUP($AN364, TABELAS!$T$2:$T$9,1,FALSE)), 1, 0))</f>
        <v/>
      </c>
      <c r="BW364" s="304" t="str">
        <f t="shared" si="271"/>
        <v/>
      </c>
      <c r="BX364" s="304" t="str">
        <f>IF( OR($B364="", $AH364 = "SIM"), "", IF( ISNA( VLOOKUP( $AQ364, SISTEMA!$B:$B, 1, FALSE)), 1, 0))</f>
        <v/>
      </c>
      <c r="BY364" s="305" t="str">
        <f t="shared" si="272"/>
        <v/>
      </c>
      <c r="BZ364" s="305" t="str">
        <f t="shared" si="273"/>
        <v/>
      </c>
      <c r="CA364" s="304" t="str">
        <f t="shared" si="274"/>
        <v/>
      </c>
      <c r="CB364" s="305" t="str">
        <f t="shared" si="275"/>
        <v/>
      </c>
      <c r="CC364" s="305" t="str">
        <f t="shared" si="276"/>
        <v/>
      </c>
      <c r="CD364" s="305" t="str">
        <f t="shared" si="277"/>
        <v/>
      </c>
    </row>
    <row r="365" spans="1:82" x14ac:dyDescent="0.2">
      <c r="A365" s="235"/>
      <c r="B365" s="236" t="str">
        <f t="shared" si="242"/>
        <v/>
      </c>
      <c r="C365" s="237" t="str">
        <f t="shared" si="232"/>
        <v/>
      </c>
      <c r="D365" s="237" t="str">
        <f t="shared" si="243"/>
        <v/>
      </c>
      <c r="E365" s="237" t="str">
        <f>IF($C365="", "", COUNTIF($M$8:$M365,$D365))</f>
        <v/>
      </c>
      <c r="F365" s="238">
        <v>358</v>
      </c>
      <c r="G365" s="239"/>
      <c r="H365" s="240"/>
      <c r="I365" s="240"/>
      <c r="J365" s="241"/>
      <c r="K365" s="240"/>
      <c r="L365" s="240"/>
      <c r="M365" s="240"/>
      <c r="N365" s="242"/>
      <c r="O365" s="243"/>
      <c r="P365" s="243"/>
      <c r="Q365" s="243"/>
      <c r="R365" s="243"/>
      <c r="S365" s="243"/>
      <c r="T365" s="245"/>
      <c r="U365" s="246" t="str">
        <f>IF($T365="", "", VLOOKUP($T365, CONTRATOS!$B:$E, 2, FALSE))</f>
        <v/>
      </c>
      <c r="V365" s="247">
        <f>IF(OR($T365="",TB_DEFESA!$C$2="Criação Baseline"),0,
   IF(VLOOKUP($T365, CONTRATOS!B:E, 3, FALSE)&lt;&gt;"",1,IF(VLOOKUP($T365, CONTRATOS!B:E, 4, FALSE)&lt;&gt;"",2,0)))</f>
        <v>0</v>
      </c>
      <c r="W365" s="248"/>
      <c r="X365" s="248"/>
      <c r="Y365" s="249"/>
      <c r="Z365" s="250"/>
      <c r="AA365" s="251"/>
      <c r="AB365" s="252"/>
      <c r="AC365" s="253"/>
      <c r="AD365" s="251"/>
      <c r="AE365" s="254" t="str">
        <f t="shared" si="233"/>
        <v/>
      </c>
      <c r="AF365" s="256" t="str">
        <f t="shared" si="244"/>
        <v/>
      </c>
      <c r="AG365" s="293" t="s">
        <v>62</v>
      </c>
      <c r="AH365" s="294" t="str">
        <f t="shared" si="245"/>
        <v/>
      </c>
      <c r="AI365" s="294" t="str">
        <f t="shared" si="246"/>
        <v/>
      </c>
      <c r="AJ365" s="295" t="str">
        <f t="shared" si="247"/>
        <v/>
      </c>
      <c r="AK365" s="296" t="str">
        <f t="shared" si="248"/>
        <v/>
      </c>
      <c r="AL365" s="297" t="str">
        <f t="shared" si="249"/>
        <v/>
      </c>
      <c r="AM365" s="294" t="str">
        <f t="shared" si="250"/>
        <v/>
      </c>
      <c r="AN365" s="294" t="str">
        <f t="shared" si="251"/>
        <v/>
      </c>
      <c r="AO365" s="298" t="str">
        <f t="shared" si="252"/>
        <v/>
      </c>
      <c r="AP365" s="299" t="str">
        <f t="shared" si="253"/>
        <v/>
      </c>
      <c r="AQ365" s="299" t="str">
        <f t="shared" si="254"/>
        <v/>
      </c>
      <c r="AR365" s="300" t="str">
        <f t="shared" si="234"/>
        <v/>
      </c>
      <c r="AS365" s="300" t="str">
        <f t="shared" si="235"/>
        <v/>
      </c>
      <c r="AT365" s="294" t="str">
        <f t="shared" si="236"/>
        <v/>
      </c>
      <c r="AU365" s="301" t="str">
        <f>IF(OR($B365="", $AP365= ""),"",IF(VLOOKUP($AP365, CONTRATOS!B:K,3,FALSE)="","",VLOOKUP($AP365, CONTRATOS!B:K, 3,FALSE)))</f>
        <v/>
      </c>
      <c r="AV365" s="301" t="str">
        <f>IF(OR($B365="", $AP365 = ""), "", IF(VLOOKUP($AP365, CONTRATOS!B:K,4,FALSE)="","",VLOOKUP($AP365, CONTRATOS!B:K,4, FALSE)))</f>
        <v/>
      </c>
      <c r="AW365" s="302" t="str">
        <f t="shared" si="237"/>
        <v/>
      </c>
      <c r="AX365" s="301" t="str">
        <f t="shared" si="238"/>
        <v/>
      </c>
      <c r="AY365" s="301" t="str">
        <f t="shared" si="239"/>
        <v/>
      </c>
      <c r="AZ365" s="301" t="str">
        <f t="shared" si="240"/>
        <v/>
      </c>
      <c r="BA365" s="301" t="str">
        <f t="shared" si="241"/>
        <v/>
      </c>
      <c r="BB365" s="303">
        <f t="shared" si="255"/>
        <v>0</v>
      </c>
      <c r="BC365" s="303" t="str">
        <f t="shared" si="256"/>
        <v/>
      </c>
      <c r="BD365" s="303" t="str">
        <f t="shared" si="257"/>
        <v/>
      </c>
      <c r="BF365" s="304">
        <f t="shared" si="258"/>
        <v>0</v>
      </c>
      <c r="BG365" s="304">
        <f t="shared" si="259"/>
        <v>0</v>
      </c>
      <c r="BH365" s="304" t="str">
        <f>IF( $B365="", "", IF(ISNA(VLOOKUP($C365, Defesa!$C$8:$C$30,1,FALSE)),1,0))</f>
        <v/>
      </c>
      <c r="BI365" s="305" t="str">
        <f t="shared" si="260"/>
        <v/>
      </c>
      <c r="BJ365" s="305" t="str">
        <f t="shared" si="261"/>
        <v/>
      </c>
      <c r="BK365" s="304" t="str">
        <f t="shared" si="262"/>
        <v/>
      </c>
      <c r="BL365" s="304">
        <f t="shared" si="263"/>
        <v>0</v>
      </c>
      <c r="BM365" s="304" t="str">
        <f>IF($AC365="", "", IF(ISNA(VLOOKUP($AC365, TABELAS!$Q:$Q, 1, FALSE)), 1, 0))</f>
        <v/>
      </c>
      <c r="BN365" s="306" t="str">
        <f t="shared" si="264"/>
        <v/>
      </c>
      <c r="BO365" s="304" t="str">
        <f t="shared" si="265"/>
        <v/>
      </c>
      <c r="BP365" s="304" t="str">
        <f t="shared" si="266"/>
        <v/>
      </c>
      <c r="BQ365" s="305" t="str">
        <f t="shared" si="267"/>
        <v/>
      </c>
      <c r="BR365" s="304" t="str">
        <f t="shared" si="268"/>
        <v/>
      </c>
      <c r="BS365" s="304" t="str">
        <f t="shared" si="269"/>
        <v/>
      </c>
      <c r="BT365" s="304" t="str">
        <f>IF(OR($B365="", $AH365 = "SIM"), "", IF( ISNA(VLOOKUP($AP365,#REF!, 1, FALSE)), 1, 0))</f>
        <v/>
      </c>
      <c r="BU365" s="304" t="str">
        <f t="shared" si="270"/>
        <v/>
      </c>
      <c r="BV365" s="304" t="str">
        <f>IF( $B365="", "", IF( ISNA(VLOOKUP($AN365, TABELAS!$T$2:$T$9,1,FALSE)), 1, 0))</f>
        <v/>
      </c>
      <c r="BW365" s="304" t="str">
        <f t="shared" si="271"/>
        <v/>
      </c>
      <c r="BX365" s="304" t="str">
        <f>IF( OR($B365="", $AH365 = "SIM"), "", IF( ISNA( VLOOKUP( $AQ365, SISTEMA!$B:$B, 1, FALSE)), 1, 0))</f>
        <v/>
      </c>
      <c r="BY365" s="305" t="str">
        <f t="shared" si="272"/>
        <v/>
      </c>
      <c r="BZ365" s="305" t="str">
        <f t="shared" si="273"/>
        <v/>
      </c>
      <c r="CA365" s="304" t="str">
        <f t="shared" si="274"/>
        <v/>
      </c>
      <c r="CB365" s="305" t="str">
        <f t="shared" si="275"/>
        <v/>
      </c>
      <c r="CC365" s="305" t="str">
        <f t="shared" si="276"/>
        <v/>
      </c>
      <c r="CD365" s="305" t="str">
        <f t="shared" si="277"/>
        <v/>
      </c>
    </row>
    <row r="366" spans="1:82" x14ac:dyDescent="0.2">
      <c r="A366" s="235"/>
      <c r="B366" s="236" t="str">
        <f t="shared" si="242"/>
        <v/>
      </c>
      <c r="C366" s="237" t="str">
        <f t="shared" si="232"/>
        <v/>
      </c>
      <c r="D366" s="237" t="str">
        <f t="shared" si="243"/>
        <v/>
      </c>
      <c r="E366" s="237" t="str">
        <f>IF($C366="", "", COUNTIF($M$8:$M366,$D366))</f>
        <v/>
      </c>
      <c r="F366" s="238">
        <v>359</v>
      </c>
      <c r="G366" s="239"/>
      <c r="H366" s="240"/>
      <c r="I366" s="240"/>
      <c r="J366" s="241"/>
      <c r="K366" s="240"/>
      <c r="L366" s="240"/>
      <c r="M366" s="240"/>
      <c r="N366" s="242"/>
      <c r="O366" s="243"/>
      <c r="P366" s="243"/>
      <c r="Q366" s="243"/>
      <c r="R366" s="243"/>
      <c r="S366" s="243"/>
      <c r="T366" s="245"/>
      <c r="U366" s="246" t="str">
        <f>IF($T366="", "", VLOOKUP($T366, CONTRATOS!$B:$E, 2, FALSE))</f>
        <v/>
      </c>
      <c r="V366" s="247">
        <f>IF(OR($T366="",TB_DEFESA!$C$2="Criação Baseline"),0,
   IF(VLOOKUP($T366, CONTRATOS!B:E, 3, FALSE)&lt;&gt;"",1,IF(VLOOKUP($T366, CONTRATOS!B:E, 4, FALSE)&lt;&gt;"",2,0)))</f>
        <v>0</v>
      </c>
      <c r="W366" s="248"/>
      <c r="X366" s="248"/>
      <c r="Y366" s="249"/>
      <c r="Z366" s="250"/>
      <c r="AA366" s="251"/>
      <c r="AB366" s="252"/>
      <c r="AC366" s="253"/>
      <c r="AD366" s="251"/>
      <c r="AE366" s="254" t="str">
        <f t="shared" si="233"/>
        <v/>
      </c>
      <c r="AF366" s="256" t="str">
        <f t="shared" si="244"/>
        <v/>
      </c>
      <c r="AG366" s="293" t="s">
        <v>62</v>
      </c>
      <c r="AH366" s="294" t="str">
        <f t="shared" si="245"/>
        <v/>
      </c>
      <c r="AI366" s="294" t="str">
        <f t="shared" si="246"/>
        <v/>
      </c>
      <c r="AJ366" s="295" t="str">
        <f t="shared" si="247"/>
        <v/>
      </c>
      <c r="AK366" s="296" t="str">
        <f t="shared" si="248"/>
        <v/>
      </c>
      <c r="AL366" s="297" t="str">
        <f t="shared" si="249"/>
        <v/>
      </c>
      <c r="AM366" s="294" t="str">
        <f t="shared" si="250"/>
        <v/>
      </c>
      <c r="AN366" s="294" t="str">
        <f t="shared" si="251"/>
        <v/>
      </c>
      <c r="AO366" s="298" t="str">
        <f t="shared" si="252"/>
        <v/>
      </c>
      <c r="AP366" s="299" t="str">
        <f t="shared" si="253"/>
        <v/>
      </c>
      <c r="AQ366" s="299" t="str">
        <f t="shared" si="254"/>
        <v/>
      </c>
      <c r="AR366" s="300" t="str">
        <f t="shared" si="234"/>
        <v/>
      </c>
      <c r="AS366" s="300" t="str">
        <f t="shared" si="235"/>
        <v/>
      </c>
      <c r="AT366" s="294" t="str">
        <f t="shared" si="236"/>
        <v/>
      </c>
      <c r="AU366" s="301" t="str">
        <f>IF(OR($B366="", $AP366= ""),"",IF(VLOOKUP($AP366, CONTRATOS!B:K,3,FALSE)="","",VLOOKUP($AP366, CONTRATOS!B:K, 3,FALSE)))</f>
        <v/>
      </c>
      <c r="AV366" s="301" t="str">
        <f>IF(OR($B366="", $AP366 = ""), "", IF(VLOOKUP($AP366, CONTRATOS!B:K,4,FALSE)="","",VLOOKUP($AP366, CONTRATOS!B:K,4, FALSE)))</f>
        <v/>
      </c>
      <c r="AW366" s="302" t="str">
        <f t="shared" si="237"/>
        <v/>
      </c>
      <c r="AX366" s="301" t="str">
        <f t="shared" si="238"/>
        <v/>
      </c>
      <c r="AY366" s="301" t="str">
        <f t="shared" si="239"/>
        <v/>
      </c>
      <c r="AZ366" s="301" t="str">
        <f t="shared" si="240"/>
        <v/>
      </c>
      <c r="BA366" s="301" t="str">
        <f t="shared" si="241"/>
        <v/>
      </c>
      <c r="BB366" s="303">
        <f t="shared" si="255"/>
        <v>0</v>
      </c>
      <c r="BC366" s="303" t="str">
        <f t="shared" si="256"/>
        <v/>
      </c>
      <c r="BD366" s="303" t="str">
        <f t="shared" si="257"/>
        <v/>
      </c>
      <c r="BF366" s="304">
        <f t="shared" si="258"/>
        <v>0</v>
      </c>
      <c r="BG366" s="304">
        <f t="shared" si="259"/>
        <v>0</v>
      </c>
      <c r="BH366" s="304" t="str">
        <f>IF( $B366="", "", IF(ISNA(VLOOKUP($C366, Defesa!$C$8:$C$30,1,FALSE)),1,0))</f>
        <v/>
      </c>
      <c r="BI366" s="305" t="str">
        <f t="shared" si="260"/>
        <v/>
      </c>
      <c r="BJ366" s="305" t="str">
        <f t="shared" si="261"/>
        <v/>
      </c>
      <c r="BK366" s="304" t="str">
        <f t="shared" si="262"/>
        <v/>
      </c>
      <c r="BL366" s="304">
        <f t="shared" si="263"/>
        <v>0</v>
      </c>
      <c r="BM366" s="304" t="str">
        <f>IF($AC366="", "", IF(ISNA(VLOOKUP($AC366, TABELAS!$Q:$Q, 1, FALSE)), 1, 0))</f>
        <v/>
      </c>
      <c r="BN366" s="306" t="str">
        <f t="shared" si="264"/>
        <v/>
      </c>
      <c r="BO366" s="304" t="str">
        <f t="shared" si="265"/>
        <v/>
      </c>
      <c r="BP366" s="304" t="str">
        <f t="shared" si="266"/>
        <v/>
      </c>
      <c r="BQ366" s="305" t="str">
        <f t="shared" si="267"/>
        <v/>
      </c>
      <c r="BR366" s="304" t="str">
        <f t="shared" si="268"/>
        <v/>
      </c>
      <c r="BS366" s="304" t="str">
        <f t="shared" si="269"/>
        <v/>
      </c>
      <c r="BT366" s="304" t="str">
        <f>IF(OR($B366="", $AH366 = "SIM"), "", IF( ISNA(VLOOKUP($AP366,#REF!, 1, FALSE)), 1, 0))</f>
        <v/>
      </c>
      <c r="BU366" s="304" t="str">
        <f t="shared" si="270"/>
        <v/>
      </c>
      <c r="BV366" s="304" t="str">
        <f>IF( $B366="", "", IF( ISNA(VLOOKUP($AN366, TABELAS!$T$2:$T$9,1,FALSE)), 1, 0))</f>
        <v/>
      </c>
      <c r="BW366" s="304" t="str">
        <f t="shared" si="271"/>
        <v/>
      </c>
      <c r="BX366" s="304" t="str">
        <f>IF( OR($B366="", $AH366 = "SIM"), "", IF( ISNA( VLOOKUP( $AQ366, SISTEMA!$B:$B, 1, FALSE)), 1, 0))</f>
        <v/>
      </c>
      <c r="BY366" s="305" t="str">
        <f t="shared" si="272"/>
        <v/>
      </c>
      <c r="BZ366" s="305" t="str">
        <f t="shared" si="273"/>
        <v/>
      </c>
      <c r="CA366" s="304" t="str">
        <f t="shared" si="274"/>
        <v/>
      </c>
      <c r="CB366" s="305" t="str">
        <f t="shared" si="275"/>
        <v/>
      </c>
      <c r="CC366" s="305" t="str">
        <f t="shared" si="276"/>
        <v/>
      </c>
      <c r="CD366" s="305" t="str">
        <f t="shared" si="277"/>
        <v/>
      </c>
    </row>
    <row r="367" spans="1:82" x14ac:dyDescent="0.2">
      <c r="A367" s="235"/>
      <c r="B367" s="236" t="str">
        <f t="shared" si="242"/>
        <v/>
      </c>
      <c r="C367" s="237" t="str">
        <f t="shared" si="232"/>
        <v/>
      </c>
      <c r="D367" s="237" t="str">
        <f t="shared" si="243"/>
        <v/>
      </c>
      <c r="E367" s="237" t="str">
        <f>IF($C367="", "", COUNTIF($M$8:$M367,$D367))</f>
        <v/>
      </c>
      <c r="F367" s="238">
        <v>360</v>
      </c>
      <c r="G367" s="239"/>
      <c r="H367" s="240"/>
      <c r="I367" s="240"/>
      <c r="J367" s="241"/>
      <c r="K367" s="240"/>
      <c r="L367" s="240"/>
      <c r="M367" s="240"/>
      <c r="N367" s="242"/>
      <c r="O367" s="243"/>
      <c r="P367" s="243"/>
      <c r="Q367" s="243"/>
      <c r="R367" s="243"/>
      <c r="S367" s="243"/>
      <c r="T367" s="245"/>
      <c r="U367" s="246" t="str">
        <f>IF($T367="", "", VLOOKUP($T367, CONTRATOS!$B:$E, 2, FALSE))</f>
        <v/>
      </c>
      <c r="V367" s="247">
        <f>IF(OR($T367="",TB_DEFESA!$C$2="Criação Baseline"),0,
   IF(VLOOKUP($T367, CONTRATOS!B:E, 3, FALSE)&lt;&gt;"",1,IF(VLOOKUP($T367, CONTRATOS!B:E, 4, FALSE)&lt;&gt;"",2,0)))</f>
        <v>0</v>
      </c>
      <c r="W367" s="248"/>
      <c r="X367" s="248"/>
      <c r="Y367" s="249"/>
      <c r="Z367" s="250"/>
      <c r="AA367" s="251"/>
      <c r="AB367" s="252"/>
      <c r="AC367" s="253"/>
      <c r="AD367" s="251"/>
      <c r="AE367" s="254" t="str">
        <f t="shared" si="233"/>
        <v/>
      </c>
      <c r="AF367" s="256" t="str">
        <f t="shared" si="244"/>
        <v/>
      </c>
      <c r="AG367" s="293" t="s">
        <v>62</v>
      </c>
      <c r="AH367" s="294" t="str">
        <f t="shared" si="245"/>
        <v/>
      </c>
      <c r="AI367" s="294" t="str">
        <f t="shared" si="246"/>
        <v/>
      </c>
      <c r="AJ367" s="295" t="str">
        <f t="shared" si="247"/>
        <v/>
      </c>
      <c r="AK367" s="296" t="str">
        <f t="shared" si="248"/>
        <v/>
      </c>
      <c r="AL367" s="297" t="str">
        <f t="shared" si="249"/>
        <v/>
      </c>
      <c r="AM367" s="294" t="str">
        <f t="shared" si="250"/>
        <v/>
      </c>
      <c r="AN367" s="294" t="str">
        <f t="shared" si="251"/>
        <v/>
      </c>
      <c r="AO367" s="298" t="str">
        <f t="shared" si="252"/>
        <v/>
      </c>
      <c r="AP367" s="299" t="str">
        <f t="shared" si="253"/>
        <v/>
      </c>
      <c r="AQ367" s="299" t="str">
        <f t="shared" si="254"/>
        <v/>
      </c>
      <c r="AR367" s="300" t="str">
        <f t="shared" si="234"/>
        <v/>
      </c>
      <c r="AS367" s="300" t="str">
        <f t="shared" si="235"/>
        <v/>
      </c>
      <c r="AT367" s="294" t="str">
        <f t="shared" si="236"/>
        <v/>
      </c>
      <c r="AU367" s="301" t="str">
        <f>IF(OR($B367="", $AP367= ""),"",IF(VLOOKUP($AP367, CONTRATOS!B:K,3,FALSE)="","",VLOOKUP($AP367, CONTRATOS!B:K, 3,FALSE)))</f>
        <v/>
      </c>
      <c r="AV367" s="301" t="str">
        <f>IF(OR($B367="", $AP367 = ""), "", IF(VLOOKUP($AP367, CONTRATOS!B:K,4,FALSE)="","",VLOOKUP($AP367, CONTRATOS!B:K,4, FALSE)))</f>
        <v/>
      </c>
      <c r="AW367" s="302" t="str">
        <f t="shared" si="237"/>
        <v/>
      </c>
      <c r="AX367" s="301" t="str">
        <f t="shared" si="238"/>
        <v/>
      </c>
      <c r="AY367" s="301" t="str">
        <f t="shared" si="239"/>
        <v/>
      </c>
      <c r="AZ367" s="301" t="str">
        <f t="shared" si="240"/>
        <v/>
      </c>
      <c r="BA367" s="301" t="str">
        <f t="shared" si="241"/>
        <v/>
      </c>
      <c r="BB367" s="303">
        <f t="shared" si="255"/>
        <v>0</v>
      </c>
      <c r="BC367" s="303" t="str">
        <f t="shared" si="256"/>
        <v/>
      </c>
      <c r="BD367" s="303" t="str">
        <f t="shared" si="257"/>
        <v/>
      </c>
      <c r="BF367" s="304">
        <f t="shared" si="258"/>
        <v>0</v>
      </c>
      <c r="BG367" s="304">
        <f t="shared" si="259"/>
        <v>0</v>
      </c>
      <c r="BH367" s="304" t="str">
        <f>IF( $B367="", "", IF(ISNA(VLOOKUP($C367, Defesa!$C$8:$C$30,1,FALSE)),1,0))</f>
        <v/>
      </c>
      <c r="BI367" s="305" t="str">
        <f t="shared" si="260"/>
        <v/>
      </c>
      <c r="BJ367" s="305" t="str">
        <f t="shared" si="261"/>
        <v/>
      </c>
      <c r="BK367" s="304" t="str">
        <f t="shared" si="262"/>
        <v/>
      </c>
      <c r="BL367" s="304">
        <f t="shared" si="263"/>
        <v>0</v>
      </c>
      <c r="BM367" s="304" t="str">
        <f>IF($AC367="", "", IF(ISNA(VLOOKUP($AC367, TABELAS!$Q:$Q, 1, FALSE)), 1, 0))</f>
        <v/>
      </c>
      <c r="BN367" s="306" t="str">
        <f t="shared" si="264"/>
        <v/>
      </c>
      <c r="BO367" s="304" t="str">
        <f t="shared" si="265"/>
        <v/>
      </c>
      <c r="BP367" s="304" t="str">
        <f t="shared" si="266"/>
        <v/>
      </c>
      <c r="BQ367" s="305" t="str">
        <f t="shared" si="267"/>
        <v/>
      </c>
      <c r="BR367" s="304" t="str">
        <f t="shared" si="268"/>
        <v/>
      </c>
      <c r="BS367" s="304" t="str">
        <f t="shared" si="269"/>
        <v/>
      </c>
      <c r="BT367" s="304" t="str">
        <f>IF(OR($B367="", $AH367 = "SIM"), "", IF( ISNA(VLOOKUP($AP367,#REF!, 1, FALSE)), 1, 0))</f>
        <v/>
      </c>
      <c r="BU367" s="304" t="str">
        <f t="shared" si="270"/>
        <v/>
      </c>
      <c r="BV367" s="304" t="str">
        <f>IF( $B367="", "", IF( ISNA(VLOOKUP($AN367, TABELAS!$T$2:$T$9,1,FALSE)), 1, 0))</f>
        <v/>
      </c>
      <c r="BW367" s="304" t="str">
        <f t="shared" si="271"/>
        <v/>
      </c>
      <c r="BX367" s="304" t="str">
        <f>IF( OR($B367="", $AH367 = "SIM"), "", IF( ISNA( VLOOKUP( $AQ367, SISTEMA!$B:$B, 1, FALSE)), 1, 0))</f>
        <v/>
      </c>
      <c r="BY367" s="305" t="str">
        <f t="shared" si="272"/>
        <v/>
      </c>
      <c r="BZ367" s="305" t="str">
        <f t="shared" si="273"/>
        <v/>
      </c>
      <c r="CA367" s="304" t="str">
        <f t="shared" si="274"/>
        <v/>
      </c>
      <c r="CB367" s="305" t="str">
        <f t="shared" si="275"/>
        <v/>
      </c>
      <c r="CC367" s="305" t="str">
        <f t="shared" si="276"/>
        <v/>
      </c>
      <c r="CD367" s="305" t="str">
        <f t="shared" si="277"/>
        <v/>
      </c>
    </row>
    <row r="368" spans="1:82" x14ac:dyDescent="0.2">
      <c r="A368" s="235"/>
      <c r="B368" s="236" t="str">
        <f t="shared" si="242"/>
        <v/>
      </c>
      <c r="C368" s="237" t="str">
        <f t="shared" si="232"/>
        <v/>
      </c>
      <c r="D368" s="237" t="str">
        <f t="shared" si="243"/>
        <v/>
      </c>
      <c r="E368" s="237" t="str">
        <f>IF($C368="", "", COUNTIF($M$8:$M368,$D368))</f>
        <v/>
      </c>
      <c r="F368" s="238">
        <v>361</v>
      </c>
      <c r="G368" s="239"/>
      <c r="H368" s="240"/>
      <c r="I368" s="240"/>
      <c r="J368" s="241"/>
      <c r="K368" s="240"/>
      <c r="L368" s="240"/>
      <c r="M368" s="240"/>
      <c r="N368" s="242"/>
      <c r="O368" s="243"/>
      <c r="P368" s="243"/>
      <c r="Q368" s="243"/>
      <c r="R368" s="243"/>
      <c r="S368" s="243"/>
      <c r="T368" s="245"/>
      <c r="U368" s="246" t="str">
        <f>IF($T368="", "", VLOOKUP($T368, CONTRATOS!$B:$E, 2, FALSE))</f>
        <v/>
      </c>
      <c r="V368" s="247">
        <f>IF(OR($T368="",TB_DEFESA!$C$2="Criação Baseline"),0,
   IF(VLOOKUP($T368, CONTRATOS!B:E, 3, FALSE)&lt;&gt;"",1,IF(VLOOKUP($T368, CONTRATOS!B:E, 4, FALSE)&lt;&gt;"",2,0)))</f>
        <v>0</v>
      </c>
      <c r="W368" s="248"/>
      <c r="X368" s="248"/>
      <c r="Y368" s="249"/>
      <c r="Z368" s="250"/>
      <c r="AA368" s="251"/>
      <c r="AB368" s="252"/>
      <c r="AC368" s="253"/>
      <c r="AD368" s="251"/>
      <c r="AE368" s="254" t="str">
        <f t="shared" si="233"/>
        <v/>
      </c>
      <c r="AF368" s="256" t="str">
        <f t="shared" si="244"/>
        <v/>
      </c>
      <c r="AG368" s="293" t="s">
        <v>62</v>
      </c>
      <c r="AH368" s="294" t="str">
        <f t="shared" si="245"/>
        <v/>
      </c>
      <c r="AI368" s="294" t="str">
        <f t="shared" si="246"/>
        <v/>
      </c>
      <c r="AJ368" s="295" t="str">
        <f t="shared" si="247"/>
        <v/>
      </c>
      <c r="AK368" s="296" t="str">
        <f t="shared" si="248"/>
        <v/>
      </c>
      <c r="AL368" s="297" t="str">
        <f t="shared" si="249"/>
        <v/>
      </c>
      <c r="AM368" s="294" t="str">
        <f t="shared" si="250"/>
        <v/>
      </c>
      <c r="AN368" s="294" t="str">
        <f t="shared" si="251"/>
        <v/>
      </c>
      <c r="AO368" s="298" t="str">
        <f t="shared" si="252"/>
        <v/>
      </c>
      <c r="AP368" s="299" t="str">
        <f t="shared" si="253"/>
        <v/>
      </c>
      <c r="AQ368" s="299" t="str">
        <f t="shared" si="254"/>
        <v/>
      </c>
      <c r="AR368" s="300" t="str">
        <f t="shared" si="234"/>
        <v/>
      </c>
      <c r="AS368" s="300" t="str">
        <f t="shared" si="235"/>
        <v/>
      </c>
      <c r="AT368" s="294" t="str">
        <f t="shared" si="236"/>
        <v/>
      </c>
      <c r="AU368" s="301" t="str">
        <f>IF(OR($B368="", $AP368= ""),"",IF(VLOOKUP($AP368, CONTRATOS!B:K,3,FALSE)="","",VLOOKUP($AP368, CONTRATOS!B:K, 3,FALSE)))</f>
        <v/>
      </c>
      <c r="AV368" s="301" t="str">
        <f>IF(OR($B368="", $AP368 = ""), "", IF(VLOOKUP($AP368, CONTRATOS!B:K,4,FALSE)="","",VLOOKUP($AP368, CONTRATOS!B:K,4, FALSE)))</f>
        <v/>
      </c>
      <c r="AW368" s="302" t="str">
        <f t="shared" si="237"/>
        <v/>
      </c>
      <c r="AX368" s="301" t="str">
        <f t="shared" si="238"/>
        <v/>
      </c>
      <c r="AY368" s="301" t="str">
        <f t="shared" si="239"/>
        <v/>
      </c>
      <c r="AZ368" s="301" t="str">
        <f t="shared" si="240"/>
        <v/>
      </c>
      <c r="BA368" s="301" t="str">
        <f t="shared" si="241"/>
        <v/>
      </c>
      <c r="BB368" s="303">
        <f t="shared" si="255"/>
        <v>0</v>
      </c>
      <c r="BC368" s="303" t="str">
        <f t="shared" si="256"/>
        <v/>
      </c>
      <c r="BD368" s="303" t="str">
        <f t="shared" si="257"/>
        <v/>
      </c>
      <c r="BF368" s="304">
        <f t="shared" si="258"/>
        <v>0</v>
      </c>
      <c r="BG368" s="304">
        <f t="shared" si="259"/>
        <v>0</v>
      </c>
      <c r="BH368" s="304" t="str">
        <f>IF( $B368="", "", IF(ISNA(VLOOKUP($C368, Defesa!$C$8:$C$30,1,FALSE)),1,0))</f>
        <v/>
      </c>
      <c r="BI368" s="305" t="str">
        <f t="shared" si="260"/>
        <v/>
      </c>
      <c r="BJ368" s="305" t="str">
        <f t="shared" si="261"/>
        <v/>
      </c>
      <c r="BK368" s="304" t="str">
        <f t="shared" si="262"/>
        <v/>
      </c>
      <c r="BL368" s="304">
        <f t="shared" si="263"/>
        <v>0</v>
      </c>
      <c r="BM368" s="304" t="str">
        <f>IF($AC368="", "", IF(ISNA(VLOOKUP($AC368, TABELAS!$Q:$Q, 1, FALSE)), 1, 0))</f>
        <v/>
      </c>
      <c r="BN368" s="306" t="str">
        <f t="shared" si="264"/>
        <v/>
      </c>
      <c r="BO368" s="304" t="str">
        <f t="shared" si="265"/>
        <v/>
      </c>
      <c r="BP368" s="304" t="str">
        <f t="shared" si="266"/>
        <v/>
      </c>
      <c r="BQ368" s="305" t="str">
        <f t="shared" si="267"/>
        <v/>
      </c>
      <c r="BR368" s="304" t="str">
        <f t="shared" si="268"/>
        <v/>
      </c>
      <c r="BS368" s="304" t="str">
        <f t="shared" si="269"/>
        <v/>
      </c>
      <c r="BT368" s="304" t="str">
        <f>IF(OR($B368="", $AH368 = "SIM"), "", IF( ISNA(VLOOKUP($AP368,#REF!, 1, FALSE)), 1, 0))</f>
        <v/>
      </c>
      <c r="BU368" s="304" t="str">
        <f t="shared" si="270"/>
        <v/>
      </c>
      <c r="BV368" s="304" t="str">
        <f>IF( $B368="", "", IF( ISNA(VLOOKUP($AN368, TABELAS!$T$2:$T$9,1,FALSE)), 1, 0))</f>
        <v/>
      </c>
      <c r="BW368" s="304" t="str">
        <f t="shared" si="271"/>
        <v/>
      </c>
      <c r="BX368" s="304" t="str">
        <f>IF( OR($B368="", $AH368 = "SIM"), "", IF( ISNA( VLOOKUP( $AQ368, SISTEMA!$B:$B, 1, FALSE)), 1, 0))</f>
        <v/>
      </c>
      <c r="BY368" s="305" t="str">
        <f t="shared" si="272"/>
        <v/>
      </c>
      <c r="BZ368" s="305" t="str">
        <f t="shared" si="273"/>
        <v/>
      </c>
      <c r="CA368" s="304" t="str">
        <f t="shared" si="274"/>
        <v/>
      </c>
      <c r="CB368" s="305" t="str">
        <f t="shared" si="275"/>
        <v/>
      </c>
      <c r="CC368" s="305" t="str">
        <f t="shared" si="276"/>
        <v/>
      </c>
      <c r="CD368" s="305" t="str">
        <f t="shared" si="277"/>
        <v/>
      </c>
    </row>
    <row r="369" spans="1:82" x14ac:dyDescent="0.2">
      <c r="A369" s="235"/>
      <c r="B369" s="236" t="str">
        <f t="shared" si="242"/>
        <v/>
      </c>
      <c r="C369" s="237" t="str">
        <f t="shared" si="232"/>
        <v/>
      </c>
      <c r="D369" s="237" t="str">
        <f t="shared" si="243"/>
        <v/>
      </c>
      <c r="E369" s="237" t="str">
        <f>IF($C369="", "", COUNTIF($M$8:$M369,$D369))</f>
        <v/>
      </c>
      <c r="F369" s="238">
        <v>362</v>
      </c>
      <c r="G369" s="239"/>
      <c r="H369" s="240"/>
      <c r="I369" s="240"/>
      <c r="J369" s="241"/>
      <c r="K369" s="240"/>
      <c r="L369" s="240"/>
      <c r="M369" s="240"/>
      <c r="N369" s="242"/>
      <c r="O369" s="243"/>
      <c r="P369" s="243"/>
      <c r="Q369" s="243"/>
      <c r="R369" s="243"/>
      <c r="S369" s="243"/>
      <c r="T369" s="245"/>
      <c r="U369" s="246" t="str">
        <f>IF($T369="", "", VLOOKUP($T369, CONTRATOS!$B:$E, 2, FALSE))</f>
        <v/>
      </c>
      <c r="V369" s="247">
        <f>IF(OR($T369="",TB_DEFESA!$C$2="Criação Baseline"),0,
   IF(VLOOKUP($T369, CONTRATOS!B:E, 3, FALSE)&lt;&gt;"",1,IF(VLOOKUP($T369, CONTRATOS!B:E, 4, FALSE)&lt;&gt;"",2,0)))</f>
        <v>0</v>
      </c>
      <c r="W369" s="248"/>
      <c r="X369" s="248"/>
      <c r="Y369" s="249"/>
      <c r="Z369" s="250"/>
      <c r="AA369" s="251"/>
      <c r="AB369" s="252"/>
      <c r="AC369" s="253"/>
      <c r="AD369" s="251"/>
      <c r="AE369" s="254" t="str">
        <f t="shared" si="233"/>
        <v/>
      </c>
      <c r="AF369" s="256" t="str">
        <f t="shared" si="244"/>
        <v/>
      </c>
      <c r="AG369" s="293" t="s">
        <v>62</v>
      </c>
      <c r="AH369" s="294" t="str">
        <f t="shared" si="245"/>
        <v/>
      </c>
      <c r="AI369" s="294" t="str">
        <f t="shared" si="246"/>
        <v/>
      </c>
      <c r="AJ369" s="295" t="str">
        <f t="shared" si="247"/>
        <v/>
      </c>
      <c r="AK369" s="296" t="str">
        <f t="shared" si="248"/>
        <v/>
      </c>
      <c r="AL369" s="297" t="str">
        <f t="shared" si="249"/>
        <v/>
      </c>
      <c r="AM369" s="294" t="str">
        <f t="shared" si="250"/>
        <v/>
      </c>
      <c r="AN369" s="294" t="str">
        <f t="shared" si="251"/>
        <v/>
      </c>
      <c r="AO369" s="298" t="str">
        <f t="shared" si="252"/>
        <v/>
      </c>
      <c r="AP369" s="299" t="str">
        <f t="shared" si="253"/>
        <v/>
      </c>
      <c r="AQ369" s="299" t="str">
        <f t="shared" si="254"/>
        <v/>
      </c>
      <c r="AR369" s="300" t="str">
        <f t="shared" si="234"/>
        <v/>
      </c>
      <c r="AS369" s="300" t="str">
        <f t="shared" si="235"/>
        <v/>
      </c>
      <c r="AT369" s="294" t="str">
        <f t="shared" si="236"/>
        <v/>
      </c>
      <c r="AU369" s="301" t="str">
        <f>IF(OR($B369="", $AP369= ""),"",IF(VLOOKUP($AP369, CONTRATOS!B:K,3,FALSE)="","",VLOOKUP($AP369, CONTRATOS!B:K, 3,FALSE)))</f>
        <v/>
      </c>
      <c r="AV369" s="301" t="str">
        <f>IF(OR($B369="", $AP369 = ""), "", IF(VLOOKUP($AP369, CONTRATOS!B:K,4,FALSE)="","",VLOOKUP($AP369, CONTRATOS!B:K,4, FALSE)))</f>
        <v/>
      </c>
      <c r="AW369" s="302" t="str">
        <f t="shared" si="237"/>
        <v/>
      </c>
      <c r="AX369" s="301" t="str">
        <f t="shared" si="238"/>
        <v/>
      </c>
      <c r="AY369" s="301" t="str">
        <f t="shared" si="239"/>
        <v/>
      </c>
      <c r="AZ369" s="301" t="str">
        <f t="shared" si="240"/>
        <v/>
      </c>
      <c r="BA369" s="301" t="str">
        <f t="shared" si="241"/>
        <v/>
      </c>
      <c r="BB369" s="303">
        <f t="shared" si="255"/>
        <v>0</v>
      </c>
      <c r="BC369" s="303" t="str">
        <f t="shared" si="256"/>
        <v/>
      </c>
      <c r="BD369" s="303" t="str">
        <f t="shared" si="257"/>
        <v/>
      </c>
      <c r="BF369" s="304">
        <f t="shared" si="258"/>
        <v>0</v>
      </c>
      <c r="BG369" s="304">
        <f t="shared" si="259"/>
        <v>0</v>
      </c>
      <c r="BH369" s="304" t="str">
        <f>IF( $B369="", "", IF(ISNA(VLOOKUP($C369, Defesa!$C$8:$C$30,1,FALSE)),1,0))</f>
        <v/>
      </c>
      <c r="BI369" s="305" t="str">
        <f t="shared" si="260"/>
        <v/>
      </c>
      <c r="BJ369" s="305" t="str">
        <f t="shared" si="261"/>
        <v/>
      </c>
      <c r="BK369" s="304" t="str">
        <f t="shared" si="262"/>
        <v/>
      </c>
      <c r="BL369" s="304">
        <f t="shared" si="263"/>
        <v>0</v>
      </c>
      <c r="BM369" s="304" t="str">
        <f>IF($AC369="", "", IF(ISNA(VLOOKUP($AC369, TABELAS!$Q:$Q, 1, FALSE)), 1, 0))</f>
        <v/>
      </c>
      <c r="BN369" s="306" t="str">
        <f t="shared" si="264"/>
        <v/>
      </c>
      <c r="BO369" s="304" t="str">
        <f t="shared" si="265"/>
        <v/>
      </c>
      <c r="BP369" s="304" t="str">
        <f t="shared" si="266"/>
        <v/>
      </c>
      <c r="BQ369" s="305" t="str">
        <f t="shared" si="267"/>
        <v/>
      </c>
      <c r="BR369" s="304" t="str">
        <f t="shared" si="268"/>
        <v/>
      </c>
      <c r="BS369" s="304" t="str">
        <f t="shared" si="269"/>
        <v/>
      </c>
      <c r="BT369" s="304" t="str">
        <f>IF(OR($B369="", $AH369 = "SIM"), "", IF( ISNA(VLOOKUP($AP369,#REF!, 1, FALSE)), 1, 0))</f>
        <v/>
      </c>
      <c r="BU369" s="304" t="str">
        <f t="shared" si="270"/>
        <v/>
      </c>
      <c r="BV369" s="304" t="str">
        <f>IF( $B369="", "", IF( ISNA(VLOOKUP($AN369, TABELAS!$T$2:$T$9,1,FALSE)), 1, 0))</f>
        <v/>
      </c>
      <c r="BW369" s="304" t="str">
        <f t="shared" si="271"/>
        <v/>
      </c>
      <c r="BX369" s="304" t="str">
        <f>IF( OR($B369="", $AH369 = "SIM"), "", IF( ISNA( VLOOKUP( $AQ369, SISTEMA!$B:$B, 1, FALSE)), 1, 0))</f>
        <v/>
      </c>
      <c r="BY369" s="305" t="str">
        <f t="shared" si="272"/>
        <v/>
      </c>
      <c r="BZ369" s="305" t="str">
        <f t="shared" si="273"/>
        <v/>
      </c>
      <c r="CA369" s="304" t="str">
        <f t="shared" si="274"/>
        <v/>
      </c>
      <c r="CB369" s="305" t="str">
        <f t="shared" si="275"/>
        <v/>
      </c>
      <c r="CC369" s="305" t="str">
        <f t="shared" si="276"/>
        <v/>
      </c>
      <c r="CD369" s="305" t="str">
        <f t="shared" si="277"/>
        <v/>
      </c>
    </row>
    <row r="370" spans="1:82" x14ac:dyDescent="0.2">
      <c r="A370" s="235"/>
      <c r="B370" s="236" t="str">
        <f t="shared" si="242"/>
        <v/>
      </c>
      <c r="C370" s="237" t="str">
        <f t="shared" si="232"/>
        <v/>
      </c>
      <c r="D370" s="237" t="str">
        <f t="shared" si="243"/>
        <v/>
      </c>
      <c r="E370" s="237" t="str">
        <f>IF($C370="", "", COUNTIF($M$8:$M370,$D370))</f>
        <v/>
      </c>
      <c r="F370" s="238">
        <v>363</v>
      </c>
      <c r="G370" s="239"/>
      <c r="H370" s="240"/>
      <c r="I370" s="240"/>
      <c r="J370" s="241"/>
      <c r="K370" s="240"/>
      <c r="L370" s="240"/>
      <c r="M370" s="240"/>
      <c r="N370" s="242"/>
      <c r="O370" s="243"/>
      <c r="P370" s="243"/>
      <c r="Q370" s="243"/>
      <c r="R370" s="243"/>
      <c r="S370" s="243"/>
      <c r="T370" s="245"/>
      <c r="U370" s="246" t="str">
        <f>IF($T370="", "", VLOOKUP($T370, CONTRATOS!$B:$E, 2, FALSE))</f>
        <v/>
      </c>
      <c r="V370" s="247">
        <f>IF(OR($T370="",TB_DEFESA!$C$2="Criação Baseline"),0,
   IF(VLOOKUP($T370, CONTRATOS!B:E, 3, FALSE)&lt;&gt;"",1,IF(VLOOKUP($T370, CONTRATOS!B:E, 4, FALSE)&lt;&gt;"",2,0)))</f>
        <v>0</v>
      </c>
      <c r="W370" s="248"/>
      <c r="X370" s="248"/>
      <c r="Y370" s="249"/>
      <c r="Z370" s="250"/>
      <c r="AA370" s="251"/>
      <c r="AB370" s="252"/>
      <c r="AC370" s="253"/>
      <c r="AD370" s="251"/>
      <c r="AE370" s="254" t="str">
        <f t="shared" si="233"/>
        <v/>
      </c>
      <c r="AF370" s="256" t="str">
        <f t="shared" si="244"/>
        <v/>
      </c>
      <c r="AG370" s="293" t="s">
        <v>62</v>
      </c>
      <c r="AH370" s="294" t="str">
        <f t="shared" si="245"/>
        <v/>
      </c>
      <c r="AI370" s="294" t="str">
        <f t="shared" si="246"/>
        <v/>
      </c>
      <c r="AJ370" s="295" t="str">
        <f t="shared" si="247"/>
        <v/>
      </c>
      <c r="AK370" s="296" t="str">
        <f t="shared" si="248"/>
        <v/>
      </c>
      <c r="AL370" s="297" t="str">
        <f t="shared" si="249"/>
        <v/>
      </c>
      <c r="AM370" s="294" t="str">
        <f t="shared" si="250"/>
        <v/>
      </c>
      <c r="AN370" s="294" t="str">
        <f t="shared" si="251"/>
        <v/>
      </c>
      <c r="AO370" s="298" t="str">
        <f t="shared" si="252"/>
        <v/>
      </c>
      <c r="AP370" s="299" t="str">
        <f t="shared" si="253"/>
        <v/>
      </c>
      <c r="AQ370" s="299" t="str">
        <f t="shared" si="254"/>
        <v/>
      </c>
      <c r="AR370" s="300" t="str">
        <f t="shared" si="234"/>
        <v/>
      </c>
      <c r="AS370" s="300" t="str">
        <f t="shared" si="235"/>
        <v/>
      </c>
      <c r="AT370" s="294" t="str">
        <f t="shared" si="236"/>
        <v/>
      </c>
      <c r="AU370" s="301" t="str">
        <f>IF(OR($B370="", $AP370= ""),"",IF(VLOOKUP($AP370, CONTRATOS!B:K,3,FALSE)="","",VLOOKUP($AP370, CONTRATOS!B:K, 3,FALSE)))</f>
        <v/>
      </c>
      <c r="AV370" s="301" t="str">
        <f>IF(OR($B370="", $AP370 = ""), "", IF(VLOOKUP($AP370, CONTRATOS!B:K,4,FALSE)="","",VLOOKUP($AP370, CONTRATOS!B:K,4, FALSE)))</f>
        <v/>
      </c>
      <c r="AW370" s="302" t="str">
        <f t="shared" si="237"/>
        <v/>
      </c>
      <c r="AX370" s="301" t="str">
        <f t="shared" si="238"/>
        <v/>
      </c>
      <c r="AY370" s="301" t="str">
        <f t="shared" si="239"/>
        <v/>
      </c>
      <c r="AZ370" s="301" t="str">
        <f t="shared" si="240"/>
        <v/>
      </c>
      <c r="BA370" s="301" t="str">
        <f t="shared" si="241"/>
        <v/>
      </c>
      <c r="BB370" s="303">
        <f t="shared" si="255"/>
        <v>0</v>
      </c>
      <c r="BC370" s="303" t="str">
        <f t="shared" si="256"/>
        <v/>
      </c>
      <c r="BD370" s="303" t="str">
        <f t="shared" si="257"/>
        <v/>
      </c>
      <c r="BF370" s="304">
        <f t="shared" si="258"/>
        <v>0</v>
      </c>
      <c r="BG370" s="304">
        <f t="shared" si="259"/>
        <v>0</v>
      </c>
      <c r="BH370" s="304" t="str">
        <f>IF( $B370="", "", IF(ISNA(VLOOKUP($C370, Defesa!$C$8:$C$30,1,FALSE)),1,0))</f>
        <v/>
      </c>
      <c r="BI370" s="305" t="str">
        <f t="shared" si="260"/>
        <v/>
      </c>
      <c r="BJ370" s="305" t="str">
        <f t="shared" si="261"/>
        <v/>
      </c>
      <c r="BK370" s="304" t="str">
        <f t="shared" si="262"/>
        <v/>
      </c>
      <c r="BL370" s="304">
        <f t="shared" si="263"/>
        <v>0</v>
      </c>
      <c r="BM370" s="304" t="str">
        <f>IF($AC370="", "", IF(ISNA(VLOOKUP($AC370, TABELAS!$Q:$Q, 1, FALSE)), 1, 0))</f>
        <v/>
      </c>
      <c r="BN370" s="306" t="str">
        <f t="shared" si="264"/>
        <v/>
      </c>
      <c r="BO370" s="304" t="str">
        <f t="shared" si="265"/>
        <v/>
      </c>
      <c r="BP370" s="304" t="str">
        <f t="shared" si="266"/>
        <v/>
      </c>
      <c r="BQ370" s="305" t="str">
        <f t="shared" si="267"/>
        <v/>
      </c>
      <c r="BR370" s="304" t="str">
        <f t="shared" si="268"/>
        <v/>
      </c>
      <c r="BS370" s="304" t="str">
        <f t="shared" si="269"/>
        <v/>
      </c>
      <c r="BT370" s="304" t="str">
        <f>IF(OR($B370="", $AH370 = "SIM"), "", IF( ISNA(VLOOKUP($AP370,#REF!, 1, FALSE)), 1, 0))</f>
        <v/>
      </c>
      <c r="BU370" s="304" t="str">
        <f t="shared" si="270"/>
        <v/>
      </c>
      <c r="BV370" s="304" t="str">
        <f>IF( $B370="", "", IF( ISNA(VLOOKUP($AN370, TABELAS!$T$2:$T$9,1,FALSE)), 1, 0))</f>
        <v/>
      </c>
      <c r="BW370" s="304" t="str">
        <f t="shared" si="271"/>
        <v/>
      </c>
      <c r="BX370" s="304" t="str">
        <f>IF( OR($B370="", $AH370 = "SIM"), "", IF( ISNA( VLOOKUP( $AQ370, SISTEMA!$B:$B, 1, FALSE)), 1, 0))</f>
        <v/>
      </c>
      <c r="BY370" s="305" t="str">
        <f t="shared" si="272"/>
        <v/>
      </c>
      <c r="BZ370" s="305" t="str">
        <f t="shared" si="273"/>
        <v/>
      </c>
      <c r="CA370" s="304" t="str">
        <f t="shared" si="274"/>
        <v/>
      </c>
      <c r="CB370" s="305" t="str">
        <f t="shared" si="275"/>
        <v/>
      </c>
      <c r="CC370" s="305" t="str">
        <f t="shared" si="276"/>
        <v/>
      </c>
      <c r="CD370" s="305" t="str">
        <f t="shared" si="277"/>
        <v/>
      </c>
    </row>
    <row r="371" spans="1:82" x14ac:dyDescent="0.2">
      <c r="A371" s="235"/>
      <c r="B371" s="236" t="str">
        <f t="shared" si="242"/>
        <v/>
      </c>
      <c r="C371" s="237" t="str">
        <f t="shared" si="232"/>
        <v/>
      </c>
      <c r="D371" s="237" t="str">
        <f t="shared" si="243"/>
        <v/>
      </c>
      <c r="E371" s="237" t="str">
        <f>IF($C371="", "", COUNTIF($M$8:$M371,$D371))</f>
        <v/>
      </c>
      <c r="F371" s="238">
        <v>364</v>
      </c>
      <c r="G371" s="239"/>
      <c r="H371" s="240"/>
      <c r="I371" s="240"/>
      <c r="J371" s="241"/>
      <c r="K371" s="240"/>
      <c r="L371" s="240"/>
      <c r="M371" s="240"/>
      <c r="N371" s="242"/>
      <c r="O371" s="243"/>
      <c r="P371" s="243"/>
      <c r="Q371" s="243"/>
      <c r="R371" s="243"/>
      <c r="S371" s="243"/>
      <c r="T371" s="245"/>
      <c r="U371" s="246" t="str">
        <f>IF($T371="", "", VLOOKUP($T371, CONTRATOS!$B:$E, 2, FALSE))</f>
        <v/>
      </c>
      <c r="V371" s="247">
        <f>IF(OR($T371="",TB_DEFESA!$C$2="Criação Baseline"),0,
   IF(VLOOKUP($T371, CONTRATOS!B:E, 3, FALSE)&lt;&gt;"",1,IF(VLOOKUP($T371, CONTRATOS!B:E, 4, FALSE)&lt;&gt;"",2,0)))</f>
        <v>0</v>
      </c>
      <c r="W371" s="248"/>
      <c r="X371" s="248"/>
      <c r="Y371" s="249"/>
      <c r="Z371" s="250"/>
      <c r="AA371" s="251"/>
      <c r="AB371" s="252"/>
      <c r="AC371" s="253"/>
      <c r="AD371" s="251"/>
      <c r="AE371" s="254" t="str">
        <f t="shared" si="233"/>
        <v/>
      </c>
      <c r="AF371" s="256" t="str">
        <f t="shared" si="244"/>
        <v/>
      </c>
      <c r="AG371" s="293" t="s">
        <v>62</v>
      </c>
      <c r="AH371" s="294" t="str">
        <f t="shared" si="245"/>
        <v/>
      </c>
      <c r="AI371" s="294" t="str">
        <f t="shared" si="246"/>
        <v/>
      </c>
      <c r="AJ371" s="295" t="str">
        <f t="shared" si="247"/>
        <v/>
      </c>
      <c r="AK371" s="296" t="str">
        <f t="shared" si="248"/>
        <v/>
      </c>
      <c r="AL371" s="297" t="str">
        <f t="shared" si="249"/>
        <v/>
      </c>
      <c r="AM371" s="294" t="str">
        <f t="shared" si="250"/>
        <v/>
      </c>
      <c r="AN371" s="294" t="str">
        <f t="shared" si="251"/>
        <v/>
      </c>
      <c r="AO371" s="298" t="str">
        <f t="shared" si="252"/>
        <v/>
      </c>
      <c r="AP371" s="299" t="str">
        <f t="shared" si="253"/>
        <v/>
      </c>
      <c r="AQ371" s="299" t="str">
        <f t="shared" si="254"/>
        <v/>
      </c>
      <c r="AR371" s="300" t="str">
        <f t="shared" si="234"/>
        <v/>
      </c>
      <c r="AS371" s="300" t="str">
        <f t="shared" si="235"/>
        <v/>
      </c>
      <c r="AT371" s="294" t="str">
        <f t="shared" si="236"/>
        <v/>
      </c>
      <c r="AU371" s="301" t="str">
        <f>IF(OR($B371="", $AP371= ""),"",IF(VLOOKUP($AP371, CONTRATOS!B:K,3,FALSE)="","",VLOOKUP($AP371, CONTRATOS!B:K, 3,FALSE)))</f>
        <v/>
      </c>
      <c r="AV371" s="301" t="str">
        <f>IF(OR($B371="", $AP371 = ""), "", IF(VLOOKUP($AP371, CONTRATOS!B:K,4,FALSE)="","",VLOOKUP($AP371, CONTRATOS!B:K,4, FALSE)))</f>
        <v/>
      </c>
      <c r="AW371" s="302" t="str">
        <f t="shared" si="237"/>
        <v/>
      </c>
      <c r="AX371" s="301" t="str">
        <f t="shared" si="238"/>
        <v/>
      </c>
      <c r="AY371" s="301" t="str">
        <f t="shared" si="239"/>
        <v/>
      </c>
      <c r="AZ371" s="301" t="str">
        <f t="shared" si="240"/>
        <v/>
      </c>
      <c r="BA371" s="301" t="str">
        <f t="shared" si="241"/>
        <v/>
      </c>
      <c r="BB371" s="303">
        <f t="shared" si="255"/>
        <v>0</v>
      </c>
      <c r="BC371" s="303" t="str">
        <f t="shared" si="256"/>
        <v/>
      </c>
      <c r="BD371" s="303" t="str">
        <f t="shared" si="257"/>
        <v/>
      </c>
      <c r="BF371" s="304">
        <f t="shared" si="258"/>
        <v>0</v>
      </c>
      <c r="BG371" s="304">
        <f t="shared" si="259"/>
        <v>0</v>
      </c>
      <c r="BH371" s="304" t="str">
        <f>IF( $B371="", "", IF(ISNA(VLOOKUP($C371, Defesa!$C$8:$C$30,1,FALSE)),1,0))</f>
        <v/>
      </c>
      <c r="BI371" s="305" t="str">
        <f t="shared" si="260"/>
        <v/>
      </c>
      <c r="BJ371" s="305" t="str">
        <f t="shared" si="261"/>
        <v/>
      </c>
      <c r="BK371" s="304" t="str">
        <f t="shared" si="262"/>
        <v/>
      </c>
      <c r="BL371" s="304">
        <f t="shared" si="263"/>
        <v>0</v>
      </c>
      <c r="BM371" s="304" t="str">
        <f>IF($AC371="", "", IF(ISNA(VLOOKUP($AC371, TABELAS!$Q:$Q, 1, FALSE)), 1, 0))</f>
        <v/>
      </c>
      <c r="BN371" s="306" t="str">
        <f t="shared" si="264"/>
        <v/>
      </c>
      <c r="BO371" s="304" t="str">
        <f t="shared" si="265"/>
        <v/>
      </c>
      <c r="BP371" s="304" t="str">
        <f t="shared" si="266"/>
        <v/>
      </c>
      <c r="BQ371" s="305" t="str">
        <f t="shared" si="267"/>
        <v/>
      </c>
      <c r="BR371" s="304" t="str">
        <f t="shared" si="268"/>
        <v/>
      </c>
      <c r="BS371" s="304" t="str">
        <f t="shared" si="269"/>
        <v/>
      </c>
      <c r="BT371" s="304" t="str">
        <f>IF(OR($B371="", $AH371 = "SIM"), "", IF( ISNA(VLOOKUP($AP371,#REF!, 1, FALSE)), 1, 0))</f>
        <v/>
      </c>
      <c r="BU371" s="304" t="str">
        <f t="shared" si="270"/>
        <v/>
      </c>
      <c r="BV371" s="304" t="str">
        <f>IF( $B371="", "", IF( ISNA(VLOOKUP($AN371, TABELAS!$T$2:$T$9,1,FALSE)), 1, 0))</f>
        <v/>
      </c>
      <c r="BW371" s="304" t="str">
        <f t="shared" si="271"/>
        <v/>
      </c>
      <c r="BX371" s="304" t="str">
        <f>IF( OR($B371="", $AH371 = "SIM"), "", IF( ISNA( VLOOKUP( $AQ371, SISTEMA!$B:$B, 1, FALSE)), 1, 0))</f>
        <v/>
      </c>
      <c r="BY371" s="305" t="str">
        <f t="shared" si="272"/>
        <v/>
      </c>
      <c r="BZ371" s="305" t="str">
        <f t="shared" si="273"/>
        <v/>
      </c>
      <c r="CA371" s="304" t="str">
        <f t="shared" si="274"/>
        <v/>
      </c>
      <c r="CB371" s="305" t="str">
        <f t="shared" si="275"/>
        <v/>
      </c>
      <c r="CC371" s="305" t="str">
        <f t="shared" si="276"/>
        <v/>
      </c>
      <c r="CD371" s="305" t="str">
        <f t="shared" si="277"/>
        <v/>
      </c>
    </row>
    <row r="372" spans="1:82" x14ac:dyDescent="0.2">
      <c r="A372" s="235"/>
      <c r="B372" s="236" t="str">
        <f t="shared" si="242"/>
        <v/>
      </c>
      <c r="C372" s="237" t="str">
        <f t="shared" si="232"/>
        <v/>
      </c>
      <c r="D372" s="237" t="str">
        <f t="shared" si="243"/>
        <v/>
      </c>
      <c r="E372" s="237" t="str">
        <f>IF($C372="", "", COUNTIF($M$8:$M372,$D372))</f>
        <v/>
      </c>
      <c r="F372" s="238">
        <v>365</v>
      </c>
      <c r="G372" s="239"/>
      <c r="H372" s="240"/>
      <c r="I372" s="240"/>
      <c r="J372" s="241"/>
      <c r="K372" s="240"/>
      <c r="L372" s="240"/>
      <c r="M372" s="240"/>
      <c r="N372" s="242"/>
      <c r="O372" s="243"/>
      <c r="P372" s="243"/>
      <c r="Q372" s="243"/>
      <c r="R372" s="243"/>
      <c r="S372" s="243"/>
      <c r="T372" s="245"/>
      <c r="U372" s="246" t="str">
        <f>IF($T372="", "", VLOOKUP($T372, CONTRATOS!$B:$E, 2, FALSE))</f>
        <v/>
      </c>
      <c r="V372" s="247">
        <f>IF(OR($T372="",TB_DEFESA!$C$2="Criação Baseline"),0,
   IF(VLOOKUP($T372, CONTRATOS!B:E, 3, FALSE)&lt;&gt;"",1,IF(VLOOKUP($T372, CONTRATOS!B:E, 4, FALSE)&lt;&gt;"",2,0)))</f>
        <v>0</v>
      </c>
      <c r="W372" s="248"/>
      <c r="X372" s="248"/>
      <c r="Y372" s="249"/>
      <c r="Z372" s="250"/>
      <c r="AA372" s="251"/>
      <c r="AB372" s="252"/>
      <c r="AC372" s="253"/>
      <c r="AD372" s="251"/>
      <c r="AE372" s="254" t="str">
        <f t="shared" si="233"/>
        <v/>
      </c>
      <c r="AF372" s="256" t="str">
        <f t="shared" si="244"/>
        <v/>
      </c>
      <c r="AG372" s="293" t="s">
        <v>62</v>
      </c>
      <c r="AH372" s="294" t="str">
        <f t="shared" si="245"/>
        <v/>
      </c>
      <c r="AI372" s="294" t="str">
        <f t="shared" si="246"/>
        <v/>
      </c>
      <c r="AJ372" s="295" t="str">
        <f t="shared" si="247"/>
        <v/>
      </c>
      <c r="AK372" s="296" t="str">
        <f t="shared" si="248"/>
        <v/>
      </c>
      <c r="AL372" s="297" t="str">
        <f t="shared" si="249"/>
        <v/>
      </c>
      <c r="AM372" s="294" t="str">
        <f t="shared" si="250"/>
        <v/>
      </c>
      <c r="AN372" s="294" t="str">
        <f t="shared" si="251"/>
        <v/>
      </c>
      <c r="AO372" s="298" t="str">
        <f t="shared" si="252"/>
        <v/>
      </c>
      <c r="AP372" s="299" t="str">
        <f t="shared" si="253"/>
        <v/>
      </c>
      <c r="AQ372" s="299" t="str">
        <f t="shared" si="254"/>
        <v/>
      </c>
      <c r="AR372" s="300" t="str">
        <f t="shared" si="234"/>
        <v/>
      </c>
      <c r="AS372" s="300" t="str">
        <f t="shared" si="235"/>
        <v/>
      </c>
      <c r="AT372" s="294" t="str">
        <f t="shared" si="236"/>
        <v/>
      </c>
      <c r="AU372" s="301" t="str">
        <f>IF(OR($B372="", $AP372= ""),"",IF(VLOOKUP($AP372, CONTRATOS!B:K,3,FALSE)="","",VLOOKUP($AP372, CONTRATOS!B:K, 3,FALSE)))</f>
        <v/>
      </c>
      <c r="AV372" s="301" t="str">
        <f>IF(OR($B372="", $AP372 = ""), "", IF(VLOOKUP($AP372, CONTRATOS!B:K,4,FALSE)="","",VLOOKUP($AP372, CONTRATOS!B:K,4, FALSE)))</f>
        <v/>
      </c>
      <c r="AW372" s="302" t="str">
        <f t="shared" si="237"/>
        <v/>
      </c>
      <c r="AX372" s="301" t="str">
        <f t="shared" si="238"/>
        <v/>
      </c>
      <c r="AY372" s="301" t="str">
        <f t="shared" si="239"/>
        <v/>
      </c>
      <c r="AZ372" s="301" t="str">
        <f t="shared" si="240"/>
        <v/>
      </c>
      <c r="BA372" s="301" t="str">
        <f t="shared" si="241"/>
        <v/>
      </c>
      <c r="BB372" s="303">
        <f t="shared" si="255"/>
        <v>0</v>
      </c>
      <c r="BC372" s="303" t="str">
        <f t="shared" si="256"/>
        <v/>
      </c>
      <c r="BD372" s="303" t="str">
        <f t="shared" si="257"/>
        <v/>
      </c>
      <c r="BF372" s="304">
        <f t="shared" si="258"/>
        <v>0</v>
      </c>
      <c r="BG372" s="304">
        <f t="shared" si="259"/>
        <v>0</v>
      </c>
      <c r="BH372" s="304" t="str">
        <f>IF( $B372="", "", IF(ISNA(VLOOKUP($C372, Defesa!$C$8:$C$30,1,FALSE)),1,0))</f>
        <v/>
      </c>
      <c r="BI372" s="305" t="str">
        <f t="shared" si="260"/>
        <v/>
      </c>
      <c r="BJ372" s="305" t="str">
        <f t="shared" si="261"/>
        <v/>
      </c>
      <c r="BK372" s="304" t="str">
        <f t="shared" si="262"/>
        <v/>
      </c>
      <c r="BL372" s="304">
        <f t="shared" si="263"/>
        <v>0</v>
      </c>
      <c r="BM372" s="304" t="str">
        <f>IF($AC372="", "", IF(ISNA(VLOOKUP($AC372, TABELAS!$Q:$Q, 1, FALSE)), 1, 0))</f>
        <v/>
      </c>
      <c r="BN372" s="306" t="str">
        <f t="shared" si="264"/>
        <v/>
      </c>
      <c r="BO372" s="304" t="str">
        <f t="shared" si="265"/>
        <v/>
      </c>
      <c r="BP372" s="304" t="str">
        <f t="shared" si="266"/>
        <v/>
      </c>
      <c r="BQ372" s="305" t="str">
        <f t="shared" si="267"/>
        <v/>
      </c>
      <c r="BR372" s="304" t="str">
        <f t="shared" si="268"/>
        <v/>
      </c>
      <c r="BS372" s="304" t="str">
        <f t="shared" si="269"/>
        <v/>
      </c>
      <c r="BT372" s="304" t="str">
        <f>IF(OR($B372="", $AH372 = "SIM"), "", IF( ISNA(VLOOKUP($AP372,#REF!, 1, FALSE)), 1, 0))</f>
        <v/>
      </c>
      <c r="BU372" s="304" t="str">
        <f t="shared" si="270"/>
        <v/>
      </c>
      <c r="BV372" s="304" t="str">
        <f>IF( $B372="", "", IF( ISNA(VLOOKUP($AN372, TABELAS!$T$2:$T$9,1,FALSE)), 1, 0))</f>
        <v/>
      </c>
      <c r="BW372" s="304" t="str">
        <f t="shared" si="271"/>
        <v/>
      </c>
      <c r="BX372" s="304" t="str">
        <f>IF( OR($B372="", $AH372 = "SIM"), "", IF( ISNA( VLOOKUP( $AQ372, SISTEMA!$B:$B, 1, FALSE)), 1, 0))</f>
        <v/>
      </c>
      <c r="BY372" s="305" t="str">
        <f t="shared" si="272"/>
        <v/>
      </c>
      <c r="BZ372" s="305" t="str">
        <f t="shared" si="273"/>
        <v/>
      </c>
      <c r="CA372" s="304" t="str">
        <f t="shared" si="274"/>
        <v/>
      </c>
      <c r="CB372" s="305" t="str">
        <f t="shared" si="275"/>
        <v/>
      </c>
      <c r="CC372" s="305" t="str">
        <f t="shared" si="276"/>
        <v/>
      </c>
      <c r="CD372" s="305" t="str">
        <f t="shared" si="277"/>
        <v/>
      </c>
    </row>
    <row r="373" spans="1:82" x14ac:dyDescent="0.2">
      <c r="A373" s="235"/>
      <c r="B373" s="236" t="str">
        <f t="shared" si="242"/>
        <v/>
      </c>
      <c r="C373" s="237" t="str">
        <f t="shared" si="232"/>
        <v/>
      </c>
      <c r="D373" s="237" t="str">
        <f t="shared" si="243"/>
        <v/>
      </c>
      <c r="E373" s="237" t="str">
        <f>IF($C373="", "", COUNTIF($M$8:$M373,$D373))</f>
        <v/>
      </c>
      <c r="F373" s="238">
        <v>366</v>
      </c>
      <c r="G373" s="239"/>
      <c r="H373" s="240"/>
      <c r="I373" s="240"/>
      <c r="J373" s="241"/>
      <c r="K373" s="240"/>
      <c r="L373" s="240"/>
      <c r="M373" s="240"/>
      <c r="N373" s="242"/>
      <c r="O373" s="243"/>
      <c r="P373" s="243"/>
      <c r="Q373" s="243"/>
      <c r="R373" s="243"/>
      <c r="S373" s="243"/>
      <c r="T373" s="245"/>
      <c r="U373" s="246" t="str">
        <f>IF($T373="", "", VLOOKUP($T373, CONTRATOS!$B:$E, 2, FALSE))</f>
        <v/>
      </c>
      <c r="V373" s="247">
        <f>IF(OR($T373="",TB_DEFESA!$C$2="Criação Baseline"),0,
   IF(VLOOKUP($T373, CONTRATOS!B:E, 3, FALSE)&lt;&gt;"",1,IF(VLOOKUP($T373, CONTRATOS!B:E, 4, FALSE)&lt;&gt;"",2,0)))</f>
        <v>0</v>
      </c>
      <c r="W373" s="248"/>
      <c r="X373" s="248"/>
      <c r="Y373" s="249"/>
      <c r="Z373" s="250"/>
      <c r="AA373" s="251"/>
      <c r="AB373" s="252"/>
      <c r="AC373" s="253"/>
      <c r="AD373" s="251"/>
      <c r="AE373" s="254" t="str">
        <f t="shared" si="233"/>
        <v/>
      </c>
      <c r="AF373" s="256" t="str">
        <f t="shared" si="244"/>
        <v/>
      </c>
      <c r="AG373" s="293" t="s">
        <v>62</v>
      </c>
      <c r="AH373" s="294" t="str">
        <f t="shared" si="245"/>
        <v/>
      </c>
      <c r="AI373" s="294" t="str">
        <f t="shared" si="246"/>
        <v/>
      </c>
      <c r="AJ373" s="295" t="str">
        <f t="shared" si="247"/>
        <v/>
      </c>
      <c r="AK373" s="296" t="str">
        <f t="shared" si="248"/>
        <v/>
      </c>
      <c r="AL373" s="297" t="str">
        <f t="shared" si="249"/>
        <v/>
      </c>
      <c r="AM373" s="294" t="str">
        <f t="shared" si="250"/>
        <v/>
      </c>
      <c r="AN373" s="294" t="str">
        <f t="shared" si="251"/>
        <v/>
      </c>
      <c r="AO373" s="298" t="str">
        <f t="shared" si="252"/>
        <v/>
      </c>
      <c r="AP373" s="299" t="str">
        <f t="shared" si="253"/>
        <v/>
      </c>
      <c r="AQ373" s="299" t="str">
        <f t="shared" si="254"/>
        <v/>
      </c>
      <c r="AR373" s="300" t="str">
        <f t="shared" si="234"/>
        <v/>
      </c>
      <c r="AS373" s="300" t="str">
        <f t="shared" si="235"/>
        <v/>
      </c>
      <c r="AT373" s="294" t="str">
        <f t="shared" si="236"/>
        <v/>
      </c>
      <c r="AU373" s="301" t="str">
        <f>IF(OR($B373="", $AP373= ""),"",IF(VLOOKUP($AP373, CONTRATOS!B:K,3,FALSE)="","",VLOOKUP($AP373, CONTRATOS!B:K, 3,FALSE)))</f>
        <v/>
      </c>
      <c r="AV373" s="301" t="str">
        <f>IF(OR($B373="", $AP373 = ""), "", IF(VLOOKUP($AP373, CONTRATOS!B:K,4,FALSE)="","",VLOOKUP($AP373, CONTRATOS!B:K,4, FALSE)))</f>
        <v/>
      </c>
      <c r="AW373" s="302" t="str">
        <f t="shared" si="237"/>
        <v/>
      </c>
      <c r="AX373" s="301" t="str">
        <f t="shared" si="238"/>
        <v/>
      </c>
      <c r="AY373" s="301" t="str">
        <f t="shared" si="239"/>
        <v/>
      </c>
      <c r="AZ373" s="301" t="str">
        <f t="shared" si="240"/>
        <v/>
      </c>
      <c r="BA373" s="301" t="str">
        <f t="shared" si="241"/>
        <v/>
      </c>
      <c r="BB373" s="303">
        <f t="shared" si="255"/>
        <v>0</v>
      </c>
      <c r="BC373" s="303" t="str">
        <f t="shared" si="256"/>
        <v/>
      </c>
      <c r="BD373" s="303" t="str">
        <f t="shared" si="257"/>
        <v/>
      </c>
      <c r="BF373" s="304">
        <f t="shared" si="258"/>
        <v>0</v>
      </c>
      <c r="BG373" s="304">
        <f t="shared" si="259"/>
        <v>0</v>
      </c>
      <c r="BH373" s="304" t="str">
        <f>IF( $B373="", "", IF(ISNA(VLOOKUP($C373, Defesa!$C$8:$C$30,1,FALSE)),1,0))</f>
        <v/>
      </c>
      <c r="BI373" s="305" t="str">
        <f t="shared" si="260"/>
        <v/>
      </c>
      <c r="BJ373" s="305" t="str">
        <f t="shared" si="261"/>
        <v/>
      </c>
      <c r="BK373" s="304" t="str">
        <f t="shared" si="262"/>
        <v/>
      </c>
      <c r="BL373" s="304">
        <f t="shared" si="263"/>
        <v>0</v>
      </c>
      <c r="BM373" s="304" t="str">
        <f>IF($AC373="", "", IF(ISNA(VLOOKUP($AC373, TABELAS!$Q:$Q, 1, FALSE)), 1, 0))</f>
        <v/>
      </c>
      <c r="BN373" s="306" t="str">
        <f t="shared" si="264"/>
        <v/>
      </c>
      <c r="BO373" s="304" t="str">
        <f t="shared" si="265"/>
        <v/>
      </c>
      <c r="BP373" s="304" t="str">
        <f t="shared" si="266"/>
        <v/>
      </c>
      <c r="BQ373" s="305" t="str">
        <f t="shared" si="267"/>
        <v/>
      </c>
      <c r="BR373" s="304" t="str">
        <f t="shared" si="268"/>
        <v/>
      </c>
      <c r="BS373" s="304" t="str">
        <f t="shared" si="269"/>
        <v/>
      </c>
      <c r="BT373" s="304" t="str">
        <f>IF(OR($B373="", $AH373 = "SIM"), "", IF( ISNA(VLOOKUP($AP373,#REF!, 1, FALSE)), 1, 0))</f>
        <v/>
      </c>
      <c r="BU373" s="304" t="str">
        <f t="shared" si="270"/>
        <v/>
      </c>
      <c r="BV373" s="304" t="str">
        <f>IF( $B373="", "", IF( ISNA(VLOOKUP($AN373, TABELAS!$T$2:$T$9,1,FALSE)), 1, 0))</f>
        <v/>
      </c>
      <c r="BW373" s="304" t="str">
        <f t="shared" si="271"/>
        <v/>
      </c>
      <c r="BX373" s="304" t="str">
        <f>IF( OR($B373="", $AH373 = "SIM"), "", IF( ISNA( VLOOKUP( $AQ373, SISTEMA!$B:$B, 1, FALSE)), 1, 0))</f>
        <v/>
      </c>
      <c r="BY373" s="305" t="str">
        <f t="shared" si="272"/>
        <v/>
      </c>
      <c r="BZ373" s="305" t="str">
        <f t="shared" si="273"/>
        <v/>
      </c>
      <c r="CA373" s="304" t="str">
        <f t="shared" si="274"/>
        <v/>
      </c>
      <c r="CB373" s="305" t="str">
        <f t="shared" si="275"/>
        <v/>
      </c>
      <c r="CC373" s="305" t="str">
        <f t="shared" si="276"/>
        <v/>
      </c>
      <c r="CD373" s="305" t="str">
        <f t="shared" si="277"/>
        <v/>
      </c>
    </row>
    <row r="374" spans="1:82" x14ac:dyDescent="0.2">
      <c r="A374" s="235"/>
      <c r="B374" s="236" t="str">
        <f t="shared" si="242"/>
        <v/>
      </c>
      <c r="C374" s="237" t="str">
        <f t="shared" si="232"/>
        <v/>
      </c>
      <c r="D374" s="237" t="str">
        <f t="shared" si="243"/>
        <v/>
      </c>
      <c r="E374" s="237" t="str">
        <f>IF($C374="", "", COUNTIF($M$8:$M374,$D374))</f>
        <v/>
      </c>
      <c r="F374" s="238">
        <v>367</v>
      </c>
      <c r="G374" s="239"/>
      <c r="H374" s="240"/>
      <c r="I374" s="240"/>
      <c r="J374" s="241"/>
      <c r="K374" s="240"/>
      <c r="L374" s="240"/>
      <c r="M374" s="240"/>
      <c r="N374" s="242"/>
      <c r="O374" s="243"/>
      <c r="P374" s="243"/>
      <c r="Q374" s="243"/>
      <c r="R374" s="243"/>
      <c r="S374" s="243"/>
      <c r="T374" s="245"/>
      <c r="U374" s="246" t="str">
        <f>IF($T374="", "", VLOOKUP($T374, CONTRATOS!$B:$E, 2, FALSE))</f>
        <v/>
      </c>
      <c r="V374" s="247">
        <f>IF(OR($T374="",TB_DEFESA!$C$2="Criação Baseline"),0,
   IF(VLOOKUP($T374, CONTRATOS!B:E, 3, FALSE)&lt;&gt;"",1,IF(VLOOKUP($T374, CONTRATOS!B:E, 4, FALSE)&lt;&gt;"",2,0)))</f>
        <v>0</v>
      </c>
      <c r="W374" s="248"/>
      <c r="X374" s="248"/>
      <c r="Y374" s="249"/>
      <c r="Z374" s="250"/>
      <c r="AA374" s="251"/>
      <c r="AB374" s="252"/>
      <c r="AC374" s="253"/>
      <c r="AD374" s="251"/>
      <c r="AE374" s="254" t="str">
        <f t="shared" si="233"/>
        <v/>
      </c>
      <c r="AF374" s="256" t="str">
        <f t="shared" si="244"/>
        <v/>
      </c>
      <c r="AG374" s="293" t="s">
        <v>62</v>
      </c>
      <c r="AH374" s="294" t="str">
        <f t="shared" si="245"/>
        <v/>
      </c>
      <c r="AI374" s="294" t="str">
        <f t="shared" si="246"/>
        <v/>
      </c>
      <c r="AJ374" s="295" t="str">
        <f t="shared" si="247"/>
        <v/>
      </c>
      <c r="AK374" s="296" t="str">
        <f t="shared" si="248"/>
        <v/>
      </c>
      <c r="AL374" s="297" t="str">
        <f t="shared" si="249"/>
        <v/>
      </c>
      <c r="AM374" s="294" t="str">
        <f t="shared" si="250"/>
        <v/>
      </c>
      <c r="AN374" s="294" t="str">
        <f t="shared" si="251"/>
        <v/>
      </c>
      <c r="AO374" s="298" t="str">
        <f t="shared" si="252"/>
        <v/>
      </c>
      <c r="AP374" s="299" t="str">
        <f t="shared" si="253"/>
        <v/>
      </c>
      <c r="AQ374" s="299" t="str">
        <f t="shared" si="254"/>
        <v/>
      </c>
      <c r="AR374" s="300" t="str">
        <f t="shared" si="234"/>
        <v/>
      </c>
      <c r="AS374" s="300" t="str">
        <f t="shared" si="235"/>
        <v/>
      </c>
      <c r="AT374" s="294" t="str">
        <f t="shared" si="236"/>
        <v/>
      </c>
      <c r="AU374" s="301" t="str">
        <f>IF(OR($B374="", $AP374= ""),"",IF(VLOOKUP($AP374, CONTRATOS!B:K,3,FALSE)="","",VLOOKUP($AP374, CONTRATOS!B:K, 3,FALSE)))</f>
        <v/>
      </c>
      <c r="AV374" s="301" t="str">
        <f>IF(OR($B374="", $AP374 = ""), "", IF(VLOOKUP($AP374, CONTRATOS!B:K,4,FALSE)="","",VLOOKUP($AP374, CONTRATOS!B:K,4, FALSE)))</f>
        <v/>
      </c>
      <c r="AW374" s="302" t="str">
        <f t="shared" si="237"/>
        <v/>
      </c>
      <c r="AX374" s="301" t="str">
        <f t="shared" si="238"/>
        <v/>
      </c>
      <c r="AY374" s="301" t="str">
        <f t="shared" si="239"/>
        <v/>
      </c>
      <c r="AZ374" s="301" t="str">
        <f t="shared" si="240"/>
        <v/>
      </c>
      <c r="BA374" s="301" t="str">
        <f t="shared" si="241"/>
        <v/>
      </c>
      <c r="BB374" s="303">
        <f t="shared" si="255"/>
        <v>0</v>
      </c>
      <c r="BC374" s="303" t="str">
        <f t="shared" si="256"/>
        <v/>
      </c>
      <c r="BD374" s="303" t="str">
        <f t="shared" si="257"/>
        <v/>
      </c>
      <c r="BF374" s="304">
        <f t="shared" si="258"/>
        <v>0</v>
      </c>
      <c r="BG374" s="304">
        <f t="shared" si="259"/>
        <v>0</v>
      </c>
      <c r="BH374" s="304" t="str">
        <f>IF( $B374="", "", IF(ISNA(VLOOKUP($C374, Defesa!$C$8:$C$30,1,FALSE)),1,0))</f>
        <v/>
      </c>
      <c r="BI374" s="305" t="str">
        <f t="shared" si="260"/>
        <v/>
      </c>
      <c r="BJ374" s="305" t="str">
        <f t="shared" si="261"/>
        <v/>
      </c>
      <c r="BK374" s="304" t="str">
        <f t="shared" si="262"/>
        <v/>
      </c>
      <c r="BL374" s="304">
        <f t="shared" si="263"/>
        <v>0</v>
      </c>
      <c r="BM374" s="304" t="str">
        <f>IF($AC374="", "", IF(ISNA(VLOOKUP($AC374, TABELAS!$Q:$Q, 1, FALSE)), 1, 0))</f>
        <v/>
      </c>
      <c r="BN374" s="306" t="str">
        <f t="shared" si="264"/>
        <v/>
      </c>
      <c r="BO374" s="304" t="str">
        <f t="shared" si="265"/>
        <v/>
      </c>
      <c r="BP374" s="304" t="str">
        <f t="shared" si="266"/>
        <v/>
      </c>
      <c r="BQ374" s="305" t="str">
        <f t="shared" si="267"/>
        <v/>
      </c>
      <c r="BR374" s="304" t="str">
        <f t="shared" si="268"/>
        <v/>
      </c>
      <c r="BS374" s="304" t="str">
        <f t="shared" si="269"/>
        <v/>
      </c>
      <c r="BT374" s="304" t="str">
        <f>IF(OR($B374="", $AH374 = "SIM"), "", IF( ISNA(VLOOKUP($AP374,#REF!, 1, FALSE)), 1, 0))</f>
        <v/>
      </c>
      <c r="BU374" s="304" t="str">
        <f t="shared" si="270"/>
        <v/>
      </c>
      <c r="BV374" s="304" t="str">
        <f>IF( $B374="", "", IF( ISNA(VLOOKUP($AN374, TABELAS!$T$2:$T$9,1,FALSE)), 1, 0))</f>
        <v/>
      </c>
      <c r="BW374" s="304" t="str">
        <f t="shared" si="271"/>
        <v/>
      </c>
      <c r="BX374" s="304" t="str">
        <f>IF( OR($B374="", $AH374 = "SIM"), "", IF( ISNA( VLOOKUP( $AQ374, SISTEMA!$B:$B, 1, FALSE)), 1, 0))</f>
        <v/>
      </c>
      <c r="BY374" s="305" t="str">
        <f t="shared" si="272"/>
        <v/>
      </c>
      <c r="BZ374" s="305" t="str">
        <f t="shared" si="273"/>
        <v/>
      </c>
      <c r="CA374" s="304" t="str">
        <f t="shared" si="274"/>
        <v/>
      </c>
      <c r="CB374" s="305" t="str">
        <f t="shared" si="275"/>
        <v/>
      </c>
      <c r="CC374" s="305" t="str">
        <f t="shared" si="276"/>
        <v/>
      </c>
      <c r="CD374" s="305" t="str">
        <f t="shared" si="277"/>
        <v/>
      </c>
    </row>
    <row r="375" spans="1:82" x14ac:dyDescent="0.2">
      <c r="A375" s="235"/>
      <c r="B375" s="236" t="str">
        <f t="shared" si="242"/>
        <v/>
      </c>
      <c r="C375" s="237" t="str">
        <f t="shared" si="232"/>
        <v/>
      </c>
      <c r="D375" s="237" t="str">
        <f t="shared" si="243"/>
        <v/>
      </c>
      <c r="E375" s="237" t="str">
        <f>IF($C375="", "", COUNTIF($M$8:$M375,$D375))</f>
        <v/>
      </c>
      <c r="F375" s="238">
        <v>368</v>
      </c>
      <c r="G375" s="239"/>
      <c r="H375" s="240"/>
      <c r="I375" s="240"/>
      <c r="J375" s="241"/>
      <c r="K375" s="240"/>
      <c r="L375" s="240"/>
      <c r="M375" s="240"/>
      <c r="N375" s="242"/>
      <c r="O375" s="243"/>
      <c r="P375" s="243"/>
      <c r="Q375" s="243"/>
      <c r="R375" s="243"/>
      <c r="S375" s="243"/>
      <c r="T375" s="245"/>
      <c r="U375" s="246" t="str">
        <f>IF($T375="", "", VLOOKUP($T375, CONTRATOS!$B:$E, 2, FALSE))</f>
        <v/>
      </c>
      <c r="V375" s="247">
        <f>IF(OR($T375="",TB_DEFESA!$C$2="Criação Baseline"),0,
   IF(VLOOKUP($T375, CONTRATOS!B:E, 3, FALSE)&lt;&gt;"",1,IF(VLOOKUP($T375, CONTRATOS!B:E, 4, FALSE)&lt;&gt;"",2,0)))</f>
        <v>0</v>
      </c>
      <c r="W375" s="248"/>
      <c r="X375" s="248"/>
      <c r="Y375" s="249"/>
      <c r="Z375" s="250"/>
      <c r="AA375" s="251"/>
      <c r="AB375" s="252"/>
      <c r="AC375" s="253"/>
      <c r="AD375" s="251"/>
      <c r="AE375" s="254" t="str">
        <f t="shared" si="233"/>
        <v/>
      </c>
      <c r="AF375" s="256" t="str">
        <f t="shared" si="244"/>
        <v/>
      </c>
      <c r="AG375" s="293" t="s">
        <v>62</v>
      </c>
      <c r="AH375" s="294" t="str">
        <f t="shared" si="245"/>
        <v/>
      </c>
      <c r="AI375" s="294" t="str">
        <f t="shared" si="246"/>
        <v/>
      </c>
      <c r="AJ375" s="295" t="str">
        <f t="shared" si="247"/>
        <v/>
      </c>
      <c r="AK375" s="296" t="str">
        <f t="shared" si="248"/>
        <v/>
      </c>
      <c r="AL375" s="297" t="str">
        <f t="shared" si="249"/>
        <v/>
      </c>
      <c r="AM375" s="294" t="str">
        <f t="shared" si="250"/>
        <v/>
      </c>
      <c r="AN375" s="294" t="str">
        <f t="shared" si="251"/>
        <v/>
      </c>
      <c r="AO375" s="298" t="str">
        <f t="shared" si="252"/>
        <v/>
      </c>
      <c r="AP375" s="299" t="str">
        <f t="shared" si="253"/>
        <v/>
      </c>
      <c r="AQ375" s="299" t="str">
        <f t="shared" si="254"/>
        <v/>
      </c>
      <c r="AR375" s="300" t="str">
        <f t="shared" si="234"/>
        <v/>
      </c>
      <c r="AS375" s="300" t="str">
        <f t="shared" si="235"/>
        <v/>
      </c>
      <c r="AT375" s="294" t="str">
        <f t="shared" si="236"/>
        <v/>
      </c>
      <c r="AU375" s="301" t="str">
        <f>IF(OR($B375="", $AP375= ""),"",IF(VLOOKUP($AP375, CONTRATOS!B:K,3,FALSE)="","",VLOOKUP($AP375, CONTRATOS!B:K, 3,FALSE)))</f>
        <v/>
      </c>
      <c r="AV375" s="301" t="str">
        <f>IF(OR($B375="", $AP375 = ""), "", IF(VLOOKUP($AP375, CONTRATOS!B:K,4,FALSE)="","",VLOOKUP($AP375, CONTRATOS!B:K,4, FALSE)))</f>
        <v/>
      </c>
      <c r="AW375" s="302" t="str">
        <f t="shared" si="237"/>
        <v/>
      </c>
      <c r="AX375" s="301" t="str">
        <f t="shared" si="238"/>
        <v/>
      </c>
      <c r="AY375" s="301" t="str">
        <f t="shared" si="239"/>
        <v/>
      </c>
      <c r="AZ375" s="301" t="str">
        <f t="shared" si="240"/>
        <v/>
      </c>
      <c r="BA375" s="301" t="str">
        <f t="shared" si="241"/>
        <v/>
      </c>
      <c r="BB375" s="303">
        <f t="shared" si="255"/>
        <v>0</v>
      </c>
      <c r="BC375" s="303" t="str">
        <f t="shared" si="256"/>
        <v/>
      </c>
      <c r="BD375" s="303" t="str">
        <f t="shared" si="257"/>
        <v/>
      </c>
      <c r="BF375" s="304">
        <f t="shared" si="258"/>
        <v>0</v>
      </c>
      <c r="BG375" s="304">
        <f t="shared" si="259"/>
        <v>0</v>
      </c>
      <c r="BH375" s="304" t="str">
        <f>IF( $B375="", "", IF(ISNA(VLOOKUP($C375, Defesa!$C$8:$C$30,1,FALSE)),1,0))</f>
        <v/>
      </c>
      <c r="BI375" s="305" t="str">
        <f t="shared" si="260"/>
        <v/>
      </c>
      <c r="BJ375" s="305" t="str">
        <f t="shared" si="261"/>
        <v/>
      </c>
      <c r="BK375" s="304" t="str">
        <f t="shared" si="262"/>
        <v/>
      </c>
      <c r="BL375" s="304">
        <f t="shared" si="263"/>
        <v>0</v>
      </c>
      <c r="BM375" s="304" t="str">
        <f>IF($AC375="", "", IF(ISNA(VLOOKUP($AC375, TABELAS!$Q:$Q, 1, FALSE)), 1, 0))</f>
        <v/>
      </c>
      <c r="BN375" s="306" t="str">
        <f t="shared" si="264"/>
        <v/>
      </c>
      <c r="BO375" s="304" t="str">
        <f t="shared" si="265"/>
        <v/>
      </c>
      <c r="BP375" s="304" t="str">
        <f t="shared" si="266"/>
        <v/>
      </c>
      <c r="BQ375" s="305" t="str">
        <f t="shared" si="267"/>
        <v/>
      </c>
      <c r="BR375" s="304" t="str">
        <f t="shared" si="268"/>
        <v/>
      </c>
      <c r="BS375" s="304" t="str">
        <f t="shared" si="269"/>
        <v/>
      </c>
      <c r="BT375" s="304" t="str">
        <f>IF(OR($B375="", $AH375 = "SIM"), "", IF( ISNA(VLOOKUP($AP375,#REF!, 1, FALSE)), 1, 0))</f>
        <v/>
      </c>
      <c r="BU375" s="304" t="str">
        <f t="shared" si="270"/>
        <v/>
      </c>
      <c r="BV375" s="304" t="str">
        <f>IF( $B375="", "", IF( ISNA(VLOOKUP($AN375, TABELAS!$T$2:$T$9,1,FALSE)), 1, 0))</f>
        <v/>
      </c>
      <c r="BW375" s="304" t="str">
        <f t="shared" si="271"/>
        <v/>
      </c>
      <c r="BX375" s="304" t="str">
        <f>IF( OR($B375="", $AH375 = "SIM"), "", IF( ISNA( VLOOKUP( $AQ375, SISTEMA!$B:$B, 1, FALSE)), 1, 0))</f>
        <v/>
      </c>
      <c r="BY375" s="305" t="str">
        <f t="shared" si="272"/>
        <v/>
      </c>
      <c r="BZ375" s="305" t="str">
        <f t="shared" si="273"/>
        <v/>
      </c>
      <c r="CA375" s="304" t="str">
        <f t="shared" si="274"/>
        <v/>
      </c>
      <c r="CB375" s="305" t="str">
        <f t="shared" si="275"/>
        <v/>
      </c>
      <c r="CC375" s="305" t="str">
        <f t="shared" si="276"/>
        <v/>
      </c>
      <c r="CD375" s="305" t="str">
        <f t="shared" si="277"/>
        <v/>
      </c>
    </row>
    <row r="376" spans="1:82" x14ac:dyDescent="0.2">
      <c r="A376" s="235"/>
      <c r="B376" s="236" t="str">
        <f t="shared" si="242"/>
        <v/>
      </c>
      <c r="C376" s="237" t="str">
        <f t="shared" si="232"/>
        <v/>
      </c>
      <c r="D376" s="237" t="str">
        <f t="shared" si="243"/>
        <v/>
      </c>
      <c r="E376" s="237" t="str">
        <f>IF($C376="", "", COUNTIF($M$8:$M376,$D376))</f>
        <v/>
      </c>
      <c r="F376" s="238">
        <v>369</v>
      </c>
      <c r="G376" s="239"/>
      <c r="H376" s="240"/>
      <c r="I376" s="240"/>
      <c r="J376" s="241"/>
      <c r="K376" s="240"/>
      <c r="L376" s="240"/>
      <c r="M376" s="240"/>
      <c r="N376" s="242"/>
      <c r="O376" s="243"/>
      <c r="P376" s="243"/>
      <c r="Q376" s="243"/>
      <c r="R376" s="243"/>
      <c r="S376" s="243"/>
      <c r="T376" s="245"/>
      <c r="U376" s="246" t="str">
        <f>IF($T376="", "", VLOOKUP($T376, CONTRATOS!$B:$E, 2, FALSE))</f>
        <v/>
      </c>
      <c r="V376" s="247">
        <f>IF(OR($T376="",TB_DEFESA!$C$2="Criação Baseline"),0,
   IF(VLOOKUP($T376, CONTRATOS!B:E, 3, FALSE)&lt;&gt;"",1,IF(VLOOKUP($T376, CONTRATOS!B:E, 4, FALSE)&lt;&gt;"",2,0)))</f>
        <v>0</v>
      </c>
      <c r="W376" s="248"/>
      <c r="X376" s="248"/>
      <c r="Y376" s="249"/>
      <c r="Z376" s="250"/>
      <c r="AA376" s="251"/>
      <c r="AB376" s="252"/>
      <c r="AC376" s="253"/>
      <c r="AD376" s="251"/>
      <c r="AE376" s="254" t="str">
        <f t="shared" si="233"/>
        <v/>
      </c>
      <c r="AF376" s="256" t="str">
        <f t="shared" si="244"/>
        <v/>
      </c>
      <c r="AG376" s="293" t="s">
        <v>62</v>
      </c>
      <c r="AH376" s="294" t="str">
        <f t="shared" si="245"/>
        <v/>
      </c>
      <c r="AI376" s="294" t="str">
        <f t="shared" si="246"/>
        <v/>
      </c>
      <c r="AJ376" s="295" t="str">
        <f t="shared" si="247"/>
        <v/>
      </c>
      <c r="AK376" s="296" t="str">
        <f t="shared" si="248"/>
        <v/>
      </c>
      <c r="AL376" s="297" t="str">
        <f t="shared" si="249"/>
        <v/>
      </c>
      <c r="AM376" s="294" t="str">
        <f t="shared" si="250"/>
        <v/>
      </c>
      <c r="AN376" s="294" t="str">
        <f t="shared" si="251"/>
        <v/>
      </c>
      <c r="AO376" s="298" t="str">
        <f t="shared" si="252"/>
        <v/>
      </c>
      <c r="AP376" s="299" t="str">
        <f t="shared" si="253"/>
        <v/>
      </c>
      <c r="AQ376" s="299" t="str">
        <f t="shared" si="254"/>
        <v/>
      </c>
      <c r="AR376" s="300" t="str">
        <f t="shared" si="234"/>
        <v/>
      </c>
      <c r="AS376" s="300" t="str">
        <f t="shared" si="235"/>
        <v/>
      </c>
      <c r="AT376" s="294" t="str">
        <f t="shared" si="236"/>
        <v/>
      </c>
      <c r="AU376" s="301" t="str">
        <f>IF(OR($B376="", $AP376= ""),"",IF(VLOOKUP($AP376, CONTRATOS!B:K,3,FALSE)="","",VLOOKUP($AP376, CONTRATOS!B:K, 3,FALSE)))</f>
        <v/>
      </c>
      <c r="AV376" s="301" t="str">
        <f>IF(OR($B376="", $AP376 = ""), "", IF(VLOOKUP($AP376, CONTRATOS!B:K,4,FALSE)="","",VLOOKUP($AP376, CONTRATOS!B:K,4, FALSE)))</f>
        <v/>
      </c>
      <c r="AW376" s="302" t="str">
        <f t="shared" si="237"/>
        <v/>
      </c>
      <c r="AX376" s="301" t="str">
        <f t="shared" si="238"/>
        <v/>
      </c>
      <c r="AY376" s="301" t="str">
        <f t="shared" si="239"/>
        <v/>
      </c>
      <c r="AZ376" s="301" t="str">
        <f t="shared" si="240"/>
        <v/>
      </c>
      <c r="BA376" s="301" t="str">
        <f t="shared" si="241"/>
        <v/>
      </c>
      <c r="BB376" s="303">
        <f t="shared" si="255"/>
        <v>0</v>
      </c>
      <c r="BC376" s="303" t="str">
        <f t="shared" si="256"/>
        <v/>
      </c>
      <c r="BD376" s="303" t="str">
        <f t="shared" si="257"/>
        <v/>
      </c>
      <c r="BF376" s="304">
        <f t="shared" si="258"/>
        <v>0</v>
      </c>
      <c r="BG376" s="304">
        <f t="shared" si="259"/>
        <v>0</v>
      </c>
      <c r="BH376" s="304" t="str">
        <f>IF( $B376="", "", IF(ISNA(VLOOKUP($C376, Defesa!$C$8:$C$30,1,FALSE)),1,0))</f>
        <v/>
      </c>
      <c r="BI376" s="305" t="str">
        <f t="shared" si="260"/>
        <v/>
      </c>
      <c r="BJ376" s="305" t="str">
        <f t="shared" si="261"/>
        <v/>
      </c>
      <c r="BK376" s="304" t="str">
        <f t="shared" si="262"/>
        <v/>
      </c>
      <c r="BL376" s="304">
        <f t="shared" si="263"/>
        <v>0</v>
      </c>
      <c r="BM376" s="304" t="str">
        <f>IF($AC376="", "", IF(ISNA(VLOOKUP($AC376, TABELAS!$Q:$Q, 1, FALSE)), 1, 0))</f>
        <v/>
      </c>
      <c r="BN376" s="306" t="str">
        <f t="shared" si="264"/>
        <v/>
      </c>
      <c r="BO376" s="304" t="str">
        <f t="shared" si="265"/>
        <v/>
      </c>
      <c r="BP376" s="304" t="str">
        <f t="shared" si="266"/>
        <v/>
      </c>
      <c r="BQ376" s="305" t="str">
        <f t="shared" si="267"/>
        <v/>
      </c>
      <c r="BR376" s="304" t="str">
        <f t="shared" si="268"/>
        <v/>
      </c>
      <c r="BS376" s="304" t="str">
        <f t="shared" si="269"/>
        <v/>
      </c>
      <c r="BT376" s="304" t="str">
        <f>IF(OR($B376="", $AH376 = "SIM"), "", IF( ISNA(VLOOKUP($AP376,#REF!, 1, FALSE)), 1, 0))</f>
        <v/>
      </c>
      <c r="BU376" s="304" t="str">
        <f t="shared" si="270"/>
        <v/>
      </c>
      <c r="BV376" s="304" t="str">
        <f>IF( $B376="", "", IF( ISNA(VLOOKUP($AN376, TABELAS!$T$2:$T$9,1,FALSE)), 1, 0))</f>
        <v/>
      </c>
      <c r="BW376" s="304" t="str">
        <f t="shared" si="271"/>
        <v/>
      </c>
      <c r="BX376" s="304" t="str">
        <f>IF( OR($B376="", $AH376 = "SIM"), "", IF( ISNA( VLOOKUP( $AQ376, SISTEMA!$B:$B, 1, FALSE)), 1, 0))</f>
        <v/>
      </c>
      <c r="BY376" s="305" t="str">
        <f t="shared" si="272"/>
        <v/>
      </c>
      <c r="BZ376" s="305" t="str">
        <f t="shared" si="273"/>
        <v/>
      </c>
      <c r="CA376" s="304" t="str">
        <f t="shared" si="274"/>
        <v/>
      </c>
      <c r="CB376" s="305" t="str">
        <f t="shared" si="275"/>
        <v/>
      </c>
      <c r="CC376" s="305" t="str">
        <f t="shared" si="276"/>
        <v/>
      </c>
      <c r="CD376" s="305" t="str">
        <f t="shared" si="277"/>
        <v/>
      </c>
    </row>
    <row r="377" spans="1:82" x14ac:dyDescent="0.2">
      <c r="A377" s="235"/>
      <c r="B377" s="236" t="str">
        <f t="shared" si="242"/>
        <v/>
      </c>
      <c r="C377" s="237" t="str">
        <f t="shared" si="232"/>
        <v/>
      </c>
      <c r="D377" s="237" t="str">
        <f t="shared" si="243"/>
        <v/>
      </c>
      <c r="E377" s="237" t="str">
        <f>IF($C377="", "", COUNTIF($M$8:$M377,$D377))</f>
        <v/>
      </c>
      <c r="F377" s="238">
        <v>370</v>
      </c>
      <c r="G377" s="239"/>
      <c r="H377" s="240"/>
      <c r="I377" s="240"/>
      <c r="J377" s="241"/>
      <c r="K377" s="240"/>
      <c r="L377" s="240"/>
      <c r="M377" s="240"/>
      <c r="N377" s="242"/>
      <c r="O377" s="243"/>
      <c r="P377" s="243"/>
      <c r="Q377" s="243"/>
      <c r="R377" s="243"/>
      <c r="S377" s="243"/>
      <c r="T377" s="245"/>
      <c r="U377" s="246" t="str">
        <f>IF($T377="", "", VLOOKUP($T377, CONTRATOS!$B:$E, 2, FALSE))</f>
        <v/>
      </c>
      <c r="V377" s="247">
        <f>IF(OR($T377="",TB_DEFESA!$C$2="Criação Baseline"),0,
   IF(VLOOKUP($T377, CONTRATOS!B:E, 3, FALSE)&lt;&gt;"",1,IF(VLOOKUP($T377, CONTRATOS!B:E, 4, FALSE)&lt;&gt;"",2,0)))</f>
        <v>0</v>
      </c>
      <c r="W377" s="248"/>
      <c r="X377" s="248"/>
      <c r="Y377" s="249"/>
      <c r="Z377" s="250"/>
      <c r="AA377" s="251"/>
      <c r="AB377" s="252"/>
      <c r="AC377" s="253"/>
      <c r="AD377" s="251"/>
      <c r="AE377" s="254" t="str">
        <f t="shared" si="233"/>
        <v/>
      </c>
      <c r="AF377" s="256" t="str">
        <f t="shared" si="244"/>
        <v/>
      </c>
      <c r="AG377" s="293" t="s">
        <v>62</v>
      </c>
      <c r="AH377" s="294" t="str">
        <f t="shared" si="245"/>
        <v/>
      </c>
      <c r="AI377" s="294" t="str">
        <f t="shared" si="246"/>
        <v/>
      </c>
      <c r="AJ377" s="295" t="str">
        <f t="shared" si="247"/>
        <v/>
      </c>
      <c r="AK377" s="296" t="str">
        <f t="shared" si="248"/>
        <v/>
      </c>
      <c r="AL377" s="297" t="str">
        <f t="shared" si="249"/>
        <v/>
      </c>
      <c r="AM377" s="294" t="str">
        <f t="shared" si="250"/>
        <v/>
      </c>
      <c r="AN377" s="294" t="str">
        <f t="shared" si="251"/>
        <v/>
      </c>
      <c r="AO377" s="298" t="str">
        <f t="shared" si="252"/>
        <v/>
      </c>
      <c r="AP377" s="299" t="str">
        <f t="shared" si="253"/>
        <v/>
      </c>
      <c r="AQ377" s="299" t="str">
        <f t="shared" si="254"/>
        <v/>
      </c>
      <c r="AR377" s="300" t="str">
        <f t="shared" si="234"/>
        <v/>
      </c>
      <c r="AS377" s="300" t="str">
        <f t="shared" si="235"/>
        <v/>
      </c>
      <c r="AT377" s="294" t="str">
        <f t="shared" si="236"/>
        <v/>
      </c>
      <c r="AU377" s="301" t="str">
        <f>IF(OR($B377="", $AP377= ""),"",IF(VLOOKUP($AP377, CONTRATOS!B:K,3,FALSE)="","",VLOOKUP($AP377, CONTRATOS!B:K, 3,FALSE)))</f>
        <v/>
      </c>
      <c r="AV377" s="301" t="str">
        <f>IF(OR($B377="", $AP377 = ""), "", IF(VLOOKUP($AP377, CONTRATOS!B:K,4,FALSE)="","",VLOOKUP($AP377, CONTRATOS!B:K,4, FALSE)))</f>
        <v/>
      </c>
      <c r="AW377" s="302" t="str">
        <f t="shared" si="237"/>
        <v/>
      </c>
      <c r="AX377" s="301" t="str">
        <f t="shared" si="238"/>
        <v/>
      </c>
      <c r="AY377" s="301" t="str">
        <f t="shared" si="239"/>
        <v/>
      </c>
      <c r="AZ377" s="301" t="str">
        <f t="shared" si="240"/>
        <v/>
      </c>
      <c r="BA377" s="301" t="str">
        <f t="shared" si="241"/>
        <v/>
      </c>
      <c r="BB377" s="303">
        <f t="shared" si="255"/>
        <v>0</v>
      </c>
      <c r="BC377" s="303" t="str">
        <f t="shared" si="256"/>
        <v/>
      </c>
      <c r="BD377" s="303" t="str">
        <f t="shared" si="257"/>
        <v/>
      </c>
      <c r="BF377" s="304">
        <f t="shared" si="258"/>
        <v>0</v>
      </c>
      <c r="BG377" s="304">
        <f t="shared" si="259"/>
        <v>0</v>
      </c>
      <c r="BH377" s="304" t="str">
        <f>IF( $B377="", "", IF(ISNA(VLOOKUP($C377, Defesa!$C$8:$C$30,1,FALSE)),1,0))</f>
        <v/>
      </c>
      <c r="BI377" s="305" t="str">
        <f t="shared" si="260"/>
        <v/>
      </c>
      <c r="BJ377" s="305" t="str">
        <f t="shared" si="261"/>
        <v/>
      </c>
      <c r="BK377" s="304" t="str">
        <f t="shared" si="262"/>
        <v/>
      </c>
      <c r="BL377" s="304">
        <f t="shared" si="263"/>
        <v>0</v>
      </c>
      <c r="BM377" s="304" t="str">
        <f>IF($AC377="", "", IF(ISNA(VLOOKUP($AC377, TABELAS!$Q:$Q, 1, FALSE)), 1, 0))</f>
        <v/>
      </c>
      <c r="BN377" s="306" t="str">
        <f t="shared" si="264"/>
        <v/>
      </c>
      <c r="BO377" s="304" t="str">
        <f t="shared" si="265"/>
        <v/>
      </c>
      <c r="BP377" s="304" t="str">
        <f t="shared" si="266"/>
        <v/>
      </c>
      <c r="BQ377" s="305" t="str">
        <f t="shared" si="267"/>
        <v/>
      </c>
      <c r="BR377" s="304" t="str">
        <f t="shared" si="268"/>
        <v/>
      </c>
      <c r="BS377" s="304" t="str">
        <f t="shared" si="269"/>
        <v/>
      </c>
      <c r="BT377" s="304" t="str">
        <f>IF(OR($B377="", $AH377 = "SIM"), "", IF( ISNA(VLOOKUP($AP377,#REF!, 1, FALSE)), 1, 0))</f>
        <v/>
      </c>
      <c r="BU377" s="304" t="str">
        <f t="shared" si="270"/>
        <v/>
      </c>
      <c r="BV377" s="304" t="str">
        <f>IF( $B377="", "", IF( ISNA(VLOOKUP($AN377, TABELAS!$T$2:$T$9,1,FALSE)), 1, 0))</f>
        <v/>
      </c>
      <c r="BW377" s="304" t="str">
        <f t="shared" si="271"/>
        <v/>
      </c>
      <c r="BX377" s="304" t="str">
        <f>IF( OR($B377="", $AH377 = "SIM"), "", IF( ISNA( VLOOKUP( $AQ377, SISTEMA!$B:$B, 1, FALSE)), 1, 0))</f>
        <v/>
      </c>
      <c r="BY377" s="305" t="str">
        <f t="shared" si="272"/>
        <v/>
      </c>
      <c r="BZ377" s="305" t="str">
        <f t="shared" si="273"/>
        <v/>
      </c>
      <c r="CA377" s="304" t="str">
        <f t="shared" si="274"/>
        <v/>
      </c>
      <c r="CB377" s="305" t="str">
        <f t="shared" si="275"/>
        <v/>
      </c>
      <c r="CC377" s="305" t="str">
        <f t="shared" si="276"/>
        <v/>
      </c>
      <c r="CD377" s="305" t="str">
        <f t="shared" si="277"/>
        <v/>
      </c>
    </row>
    <row r="378" spans="1:82" x14ac:dyDescent="0.2">
      <c r="A378" s="235"/>
      <c r="B378" s="236" t="str">
        <f t="shared" si="242"/>
        <v/>
      </c>
      <c r="C378" s="237" t="str">
        <f t="shared" si="232"/>
        <v/>
      </c>
      <c r="D378" s="237" t="str">
        <f t="shared" si="243"/>
        <v/>
      </c>
      <c r="E378" s="237" t="str">
        <f>IF($C378="", "", COUNTIF($M$8:$M378,$D378))</f>
        <v/>
      </c>
      <c r="F378" s="238">
        <v>371</v>
      </c>
      <c r="G378" s="239"/>
      <c r="H378" s="240"/>
      <c r="I378" s="240"/>
      <c r="J378" s="241"/>
      <c r="K378" s="240"/>
      <c r="L378" s="240"/>
      <c r="M378" s="240"/>
      <c r="N378" s="242"/>
      <c r="O378" s="243"/>
      <c r="P378" s="243"/>
      <c r="Q378" s="243"/>
      <c r="R378" s="243"/>
      <c r="S378" s="243"/>
      <c r="T378" s="245"/>
      <c r="U378" s="246" t="str">
        <f>IF($T378="", "", VLOOKUP($T378, CONTRATOS!$B:$E, 2, FALSE))</f>
        <v/>
      </c>
      <c r="V378" s="247">
        <f>IF(OR($T378="",TB_DEFESA!$C$2="Criação Baseline"),0,
   IF(VLOOKUP($T378, CONTRATOS!B:E, 3, FALSE)&lt;&gt;"",1,IF(VLOOKUP($T378, CONTRATOS!B:E, 4, FALSE)&lt;&gt;"",2,0)))</f>
        <v>0</v>
      </c>
      <c r="W378" s="248"/>
      <c r="X378" s="248"/>
      <c r="Y378" s="249"/>
      <c r="Z378" s="250"/>
      <c r="AA378" s="251"/>
      <c r="AB378" s="252"/>
      <c r="AC378" s="253"/>
      <c r="AD378" s="251"/>
      <c r="AE378" s="254" t="str">
        <f t="shared" si="233"/>
        <v/>
      </c>
      <c r="AF378" s="256" t="str">
        <f t="shared" si="244"/>
        <v/>
      </c>
      <c r="AG378" s="293" t="s">
        <v>62</v>
      </c>
      <c r="AH378" s="294" t="str">
        <f t="shared" si="245"/>
        <v/>
      </c>
      <c r="AI378" s="294" t="str">
        <f t="shared" si="246"/>
        <v/>
      </c>
      <c r="AJ378" s="295" t="str">
        <f t="shared" si="247"/>
        <v/>
      </c>
      <c r="AK378" s="296" t="str">
        <f t="shared" si="248"/>
        <v/>
      </c>
      <c r="AL378" s="297" t="str">
        <f t="shared" si="249"/>
        <v/>
      </c>
      <c r="AM378" s="294" t="str">
        <f t="shared" si="250"/>
        <v/>
      </c>
      <c r="AN378" s="294" t="str">
        <f t="shared" si="251"/>
        <v/>
      </c>
      <c r="AO378" s="298" t="str">
        <f t="shared" si="252"/>
        <v/>
      </c>
      <c r="AP378" s="299" t="str">
        <f t="shared" si="253"/>
        <v/>
      </c>
      <c r="AQ378" s="299" t="str">
        <f t="shared" si="254"/>
        <v/>
      </c>
      <c r="AR378" s="300" t="str">
        <f t="shared" si="234"/>
        <v/>
      </c>
      <c r="AS378" s="300" t="str">
        <f t="shared" si="235"/>
        <v/>
      </c>
      <c r="AT378" s="294" t="str">
        <f t="shared" si="236"/>
        <v/>
      </c>
      <c r="AU378" s="301" t="str">
        <f>IF(OR($B378="", $AP378= ""),"",IF(VLOOKUP($AP378, CONTRATOS!B:K,3,FALSE)="","",VLOOKUP($AP378, CONTRATOS!B:K, 3,FALSE)))</f>
        <v/>
      </c>
      <c r="AV378" s="301" t="str">
        <f>IF(OR($B378="", $AP378 = ""), "", IF(VLOOKUP($AP378, CONTRATOS!B:K,4,FALSE)="","",VLOOKUP($AP378, CONTRATOS!B:K,4, FALSE)))</f>
        <v/>
      </c>
      <c r="AW378" s="302" t="str">
        <f t="shared" si="237"/>
        <v/>
      </c>
      <c r="AX378" s="301" t="str">
        <f t="shared" si="238"/>
        <v/>
      </c>
      <c r="AY378" s="301" t="str">
        <f t="shared" si="239"/>
        <v/>
      </c>
      <c r="AZ378" s="301" t="str">
        <f t="shared" si="240"/>
        <v/>
      </c>
      <c r="BA378" s="301" t="str">
        <f t="shared" si="241"/>
        <v/>
      </c>
      <c r="BB378" s="303">
        <f t="shared" si="255"/>
        <v>0</v>
      </c>
      <c r="BC378" s="303" t="str">
        <f t="shared" si="256"/>
        <v/>
      </c>
      <c r="BD378" s="303" t="str">
        <f t="shared" si="257"/>
        <v/>
      </c>
      <c r="BF378" s="304">
        <f t="shared" si="258"/>
        <v>0</v>
      </c>
      <c r="BG378" s="304">
        <f t="shared" si="259"/>
        <v>0</v>
      </c>
      <c r="BH378" s="304" t="str">
        <f>IF( $B378="", "", IF(ISNA(VLOOKUP($C378, Defesa!$C$8:$C$30,1,FALSE)),1,0))</f>
        <v/>
      </c>
      <c r="BI378" s="305" t="str">
        <f t="shared" si="260"/>
        <v/>
      </c>
      <c r="BJ378" s="305" t="str">
        <f t="shared" si="261"/>
        <v/>
      </c>
      <c r="BK378" s="304" t="str">
        <f t="shared" si="262"/>
        <v/>
      </c>
      <c r="BL378" s="304">
        <f t="shared" si="263"/>
        <v>0</v>
      </c>
      <c r="BM378" s="304" t="str">
        <f>IF($AC378="", "", IF(ISNA(VLOOKUP($AC378, TABELAS!$Q:$Q, 1, FALSE)), 1, 0))</f>
        <v/>
      </c>
      <c r="BN378" s="306" t="str">
        <f t="shared" si="264"/>
        <v/>
      </c>
      <c r="BO378" s="304" t="str">
        <f t="shared" si="265"/>
        <v/>
      </c>
      <c r="BP378" s="304" t="str">
        <f t="shared" si="266"/>
        <v/>
      </c>
      <c r="BQ378" s="305" t="str">
        <f t="shared" si="267"/>
        <v/>
      </c>
      <c r="BR378" s="304" t="str">
        <f t="shared" si="268"/>
        <v/>
      </c>
      <c r="BS378" s="304" t="str">
        <f t="shared" si="269"/>
        <v/>
      </c>
      <c r="BT378" s="304" t="str">
        <f>IF(OR($B378="", $AH378 = "SIM"), "", IF( ISNA(VLOOKUP($AP378,#REF!, 1, FALSE)), 1, 0))</f>
        <v/>
      </c>
      <c r="BU378" s="304" t="str">
        <f t="shared" si="270"/>
        <v/>
      </c>
      <c r="BV378" s="304" t="str">
        <f>IF( $B378="", "", IF( ISNA(VLOOKUP($AN378, TABELAS!$T$2:$T$9,1,FALSE)), 1, 0))</f>
        <v/>
      </c>
      <c r="BW378" s="304" t="str">
        <f t="shared" si="271"/>
        <v/>
      </c>
      <c r="BX378" s="304" t="str">
        <f>IF( OR($B378="", $AH378 = "SIM"), "", IF( ISNA( VLOOKUP( $AQ378, SISTEMA!$B:$B, 1, FALSE)), 1, 0))</f>
        <v/>
      </c>
      <c r="BY378" s="305" t="str">
        <f t="shared" si="272"/>
        <v/>
      </c>
      <c r="BZ378" s="305" t="str">
        <f t="shared" si="273"/>
        <v/>
      </c>
      <c r="CA378" s="304" t="str">
        <f t="shared" si="274"/>
        <v/>
      </c>
      <c r="CB378" s="305" t="str">
        <f t="shared" si="275"/>
        <v/>
      </c>
      <c r="CC378" s="305" t="str">
        <f t="shared" si="276"/>
        <v/>
      </c>
      <c r="CD378" s="305" t="str">
        <f t="shared" si="277"/>
        <v/>
      </c>
    </row>
    <row r="379" spans="1:82" x14ac:dyDescent="0.2">
      <c r="A379" s="235"/>
      <c r="B379" s="236" t="str">
        <f t="shared" si="242"/>
        <v/>
      </c>
      <c r="C379" s="237" t="str">
        <f t="shared" si="232"/>
        <v/>
      </c>
      <c r="D379" s="237" t="str">
        <f t="shared" si="243"/>
        <v/>
      </c>
      <c r="E379" s="237" t="str">
        <f>IF($C379="", "", COUNTIF($M$8:$M379,$D379))</f>
        <v/>
      </c>
      <c r="F379" s="238">
        <v>372</v>
      </c>
      <c r="G379" s="239"/>
      <c r="H379" s="240"/>
      <c r="I379" s="240"/>
      <c r="J379" s="241"/>
      <c r="K379" s="240"/>
      <c r="L379" s="240"/>
      <c r="M379" s="240"/>
      <c r="N379" s="242"/>
      <c r="O379" s="243"/>
      <c r="P379" s="243"/>
      <c r="Q379" s="243"/>
      <c r="R379" s="243"/>
      <c r="S379" s="243"/>
      <c r="T379" s="245"/>
      <c r="U379" s="246" t="str">
        <f>IF($T379="", "", VLOOKUP($T379, CONTRATOS!$B:$E, 2, FALSE))</f>
        <v/>
      </c>
      <c r="V379" s="247">
        <f>IF(OR($T379="",TB_DEFESA!$C$2="Criação Baseline"),0,
   IF(VLOOKUP($T379, CONTRATOS!B:E, 3, FALSE)&lt;&gt;"",1,IF(VLOOKUP($T379, CONTRATOS!B:E, 4, FALSE)&lt;&gt;"",2,0)))</f>
        <v>0</v>
      </c>
      <c r="W379" s="248"/>
      <c r="X379" s="248"/>
      <c r="Y379" s="249"/>
      <c r="Z379" s="250"/>
      <c r="AA379" s="251"/>
      <c r="AB379" s="252"/>
      <c r="AC379" s="253"/>
      <c r="AD379" s="251"/>
      <c r="AE379" s="254" t="str">
        <f t="shared" si="233"/>
        <v/>
      </c>
      <c r="AF379" s="256" t="str">
        <f t="shared" si="244"/>
        <v/>
      </c>
      <c r="AG379" s="293" t="s">
        <v>62</v>
      </c>
      <c r="AH379" s="294" t="str">
        <f t="shared" si="245"/>
        <v/>
      </c>
      <c r="AI379" s="294" t="str">
        <f t="shared" si="246"/>
        <v/>
      </c>
      <c r="AJ379" s="295" t="str">
        <f t="shared" si="247"/>
        <v/>
      </c>
      <c r="AK379" s="296" t="str">
        <f t="shared" si="248"/>
        <v/>
      </c>
      <c r="AL379" s="297" t="str">
        <f t="shared" si="249"/>
        <v/>
      </c>
      <c r="AM379" s="294" t="str">
        <f t="shared" si="250"/>
        <v/>
      </c>
      <c r="AN379" s="294" t="str">
        <f t="shared" si="251"/>
        <v/>
      </c>
      <c r="AO379" s="298" t="str">
        <f t="shared" si="252"/>
        <v/>
      </c>
      <c r="AP379" s="299" t="str">
        <f t="shared" si="253"/>
        <v/>
      </c>
      <c r="AQ379" s="299" t="str">
        <f t="shared" si="254"/>
        <v/>
      </c>
      <c r="AR379" s="300" t="str">
        <f t="shared" si="234"/>
        <v/>
      </c>
      <c r="AS379" s="300" t="str">
        <f t="shared" si="235"/>
        <v/>
      </c>
      <c r="AT379" s="294" t="str">
        <f t="shared" si="236"/>
        <v/>
      </c>
      <c r="AU379" s="301" t="str">
        <f>IF(OR($B379="", $AP379= ""),"",IF(VLOOKUP($AP379, CONTRATOS!B:K,3,FALSE)="","",VLOOKUP($AP379, CONTRATOS!B:K, 3,FALSE)))</f>
        <v/>
      </c>
      <c r="AV379" s="301" t="str">
        <f>IF(OR($B379="", $AP379 = ""), "", IF(VLOOKUP($AP379, CONTRATOS!B:K,4,FALSE)="","",VLOOKUP($AP379, CONTRATOS!B:K,4, FALSE)))</f>
        <v/>
      </c>
      <c r="AW379" s="302" t="str">
        <f t="shared" si="237"/>
        <v/>
      </c>
      <c r="AX379" s="301" t="str">
        <f t="shared" si="238"/>
        <v/>
      </c>
      <c r="AY379" s="301" t="str">
        <f t="shared" si="239"/>
        <v/>
      </c>
      <c r="AZ379" s="301" t="str">
        <f t="shared" si="240"/>
        <v/>
      </c>
      <c r="BA379" s="301" t="str">
        <f t="shared" si="241"/>
        <v/>
      </c>
      <c r="BB379" s="303">
        <f t="shared" si="255"/>
        <v>0</v>
      </c>
      <c r="BC379" s="303" t="str">
        <f t="shared" si="256"/>
        <v/>
      </c>
      <c r="BD379" s="303" t="str">
        <f t="shared" si="257"/>
        <v/>
      </c>
      <c r="BF379" s="304">
        <f t="shared" si="258"/>
        <v>0</v>
      </c>
      <c r="BG379" s="304">
        <f t="shared" si="259"/>
        <v>0</v>
      </c>
      <c r="BH379" s="304" t="str">
        <f>IF( $B379="", "", IF(ISNA(VLOOKUP($C379, Defesa!$C$8:$C$30,1,FALSE)),1,0))</f>
        <v/>
      </c>
      <c r="BI379" s="305" t="str">
        <f t="shared" si="260"/>
        <v/>
      </c>
      <c r="BJ379" s="305" t="str">
        <f t="shared" si="261"/>
        <v/>
      </c>
      <c r="BK379" s="304" t="str">
        <f t="shared" si="262"/>
        <v/>
      </c>
      <c r="BL379" s="304">
        <f t="shared" si="263"/>
        <v>0</v>
      </c>
      <c r="BM379" s="304" t="str">
        <f>IF($AC379="", "", IF(ISNA(VLOOKUP($AC379, TABELAS!$Q:$Q, 1, FALSE)), 1, 0))</f>
        <v/>
      </c>
      <c r="BN379" s="306" t="str">
        <f t="shared" si="264"/>
        <v/>
      </c>
      <c r="BO379" s="304" t="str">
        <f t="shared" si="265"/>
        <v/>
      </c>
      <c r="BP379" s="304" t="str">
        <f t="shared" si="266"/>
        <v/>
      </c>
      <c r="BQ379" s="305" t="str">
        <f t="shared" si="267"/>
        <v/>
      </c>
      <c r="BR379" s="304" t="str">
        <f t="shared" si="268"/>
        <v/>
      </c>
      <c r="BS379" s="304" t="str">
        <f t="shared" si="269"/>
        <v/>
      </c>
      <c r="BT379" s="304" t="str">
        <f>IF(OR($B379="", $AH379 = "SIM"), "", IF( ISNA(VLOOKUP($AP379,#REF!, 1, FALSE)), 1, 0))</f>
        <v/>
      </c>
      <c r="BU379" s="304" t="str">
        <f t="shared" si="270"/>
        <v/>
      </c>
      <c r="BV379" s="304" t="str">
        <f>IF( $B379="", "", IF( ISNA(VLOOKUP($AN379, TABELAS!$T$2:$T$9,1,FALSE)), 1, 0))</f>
        <v/>
      </c>
      <c r="BW379" s="304" t="str">
        <f t="shared" si="271"/>
        <v/>
      </c>
      <c r="BX379" s="304" t="str">
        <f>IF( OR($B379="", $AH379 = "SIM"), "", IF( ISNA( VLOOKUP( $AQ379, SISTEMA!$B:$B, 1, FALSE)), 1, 0))</f>
        <v/>
      </c>
      <c r="BY379" s="305" t="str">
        <f t="shared" si="272"/>
        <v/>
      </c>
      <c r="BZ379" s="305" t="str">
        <f t="shared" si="273"/>
        <v/>
      </c>
      <c r="CA379" s="304" t="str">
        <f t="shared" si="274"/>
        <v/>
      </c>
      <c r="CB379" s="305" t="str">
        <f t="shared" si="275"/>
        <v/>
      </c>
      <c r="CC379" s="305" t="str">
        <f t="shared" si="276"/>
        <v/>
      </c>
      <c r="CD379" s="305" t="str">
        <f t="shared" si="277"/>
        <v/>
      </c>
    </row>
    <row r="380" spans="1:82" x14ac:dyDescent="0.2">
      <c r="A380" s="235"/>
      <c r="B380" s="236" t="str">
        <f t="shared" si="242"/>
        <v/>
      </c>
      <c r="C380" s="237" t="str">
        <f t="shared" si="232"/>
        <v/>
      </c>
      <c r="D380" s="237" t="str">
        <f t="shared" si="243"/>
        <v/>
      </c>
      <c r="E380" s="237" t="str">
        <f>IF($C380="", "", COUNTIF($M$8:$M380,$D380))</f>
        <v/>
      </c>
      <c r="F380" s="238">
        <v>373</v>
      </c>
      <c r="G380" s="239"/>
      <c r="H380" s="240"/>
      <c r="I380" s="240"/>
      <c r="J380" s="241"/>
      <c r="K380" s="240"/>
      <c r="L380" s="240"/>
      <c r="M380" s="240"/>
      <c r="N380" s="242"/>
      <c r="O380" s="243"/>
      <c r="P380" s="243"/>
      <c r="Q380" s="243"/>
      <c r="R380" s="243"/>
      <c r="S380" s="243"/>
      <c r="T380" s="245"/>
      <c r="U380" s="246" t="str">
        <f>IF($T380="", "", VLOOKUP($T380, CONTRATOS!$B:$E, 2, FALSE))</f>
        <v/>
      </c>
      <c r="V380" s="247">
        <f>IF(OR($T380="",TB_DEFESA!$C$2="Criação Baseline"),0,
   IF(VLOOKUP($T380, CONTRATOS!B:E, 3, FALSE)&lt;&gt;"",1,IF(VLOOKUP($T380, CONTRATOS!B:E, 4, FALSE)&lt;&gt;"",2,0)))</f>
        <v>0</v>
      </c>
      <c r="W380" s="248"/>
      <c r="X380" s="248"/>
      <c r="Y380" s="249"/>
      <c r="Z380" s="250"/>
      <c r="AA380" s="251"/>
      <c r="AB380" s="252"/>
      <c r="AC380" s="253"/>
      <c r="AD380" s="251"/>
      <c r="AE380" s="254" t="str">
        <f t="shared" si="233"/>
        <v/>
      </c>
      <c r="AF380" s="256" t="str">
        <f t="shared" si="244"/>
        <v/>
      </c>
      <c r="AG380" s="293" t="s">
        <v>62</v>
      </c>
      <c r="AH380" s="294" t="str">
        <f t="shared" si="245"/>
        <v/>
      </c>
      <c r="AI380" s="294" t="str">
        <f t="shared" si="246"/>
        <v/>
      </c>
      <c r="AJ380" s="295" t="str">
        <f t="shared" si="247"/>
        <v/>
      </c>
      <c r="AK380" s="296" t="str">
        <f t="shared" si="248"/>
        <v/>
      </c>
      <c r="AL380" s="297" t="str">
        <f t="shared" si="249"/>
        <v/>
      </c>
      <c r="AM380" s="294" t="str">
        <f t="shared" si="250"/>
        <v/>
      </c>
      <c r="AN380" s="294" t="str">
        <f t="shared" si="251"/>
        <v/>
      </c>
      <c r="AO380" s="298" t="str">
        <f t="shared" si="252"/>
        <v/>
      </c>
      <c r="AP380" s="299" t="str">
        <f t="shared" si="253"/>
        <v/>
      </c>
      <c r="AQ380" s="299" t="str">
        <f t="shared" si="254"/>
        <v/>
      </c>
      <c r="AR380" s="300" t="str">
        <f t="shared" si="234"/>
        <v/>
      </c>
      <c r="AS380" s="300" t="str">
        <f t="shared" si="235"/>
        <v/>
      </c>
      <c r="AT380" s="294" t="str">
        <f t="shared" si="236"/>
        <v/>
      </c>
      <c r="AU380" s="301" t="str">
        <f>IF(OR($B380="", $AP380= ""),"",IF(VLOOKUP($AP380, CONTRATOS!B:K,3,FALSE)="","",VLOOKUP($AP380, CONTRATOS!B:K, 3,FALSE)))</f>
        <v/>
      </c>
      <c r="AV380" s="301" t="str">
        <f>IF(OR($B380="", $AP380 = ""), "", IF(VLOOKUP($AP380, CONTRATOS!B:K,4,FALSE)="","",VLOOKUP($AP380, CONTRATOS!B:K,4, FALSE)))</f>
        <v/>
      </c>
      <c r="AW380" s="302" t="str">
        <f t="shared" si="237"/>
        <v/>
      </c>
      <c r="AX380" s="301" t="str">
        <f t="shared" si="238"/>
        <v/>
      </c>
      <c r="AY380" s="301" t="str">
        <f t="shared" si="239"/>
        <v/>
      </c>
      <c r="AZ380" s="301" t="str">
        <f t="shared" si="240"/>
        <v/>
      </c>
      <c r="BA380" s="301" t="str">
        <f t="shared" si="241"/>
        <v/>
      </c>
      <c r="BB380" s="303">
        <f t="shared" si="255"/>
        <v>0</v>
      </c>
      <c r="BC380" s="303" t="str">
        <f t="shared" si="256"/>
        <v/>
      </c>
      <c r="BD380" s="303" t="str">
        <f t="shared" si="257"/>
        <v/>
      </c>
      <c r="BF380" s="304">
        <f t="shared" si="258"/>
        <v>0</v>
      </c>
      <c r="BG380" s="304">
        <f t="shared" si="259"/>
        <v>0</v>
      </c>
      <c r="BH380" s="304" t="str">
        <f>IF( $B380="", "", IF(ISNA(VLOOKUP($C380, Defesa!$C$8:$C$30,1,FALSE)),1,0))</f>
        <v/>
      </c>
      <c r="BI380" s="305" t="str">
        <f t="shared" si="260"/>
        <v/>
      </c>
      <c r="BJ380" s="305" t="str">
        <f t="shared" si="261"/>
        <v/>
      </c>
      <c r="BK380" s="304" t="str">
        <f t="shared" si="262"/>
        <v/>
      </c>
      <c r="BL380" s="304">
        <f t="shared" si="263"/>
        <v>0</v>
      </c>
      <c r="BM380" s="304" t="str">
        <f>IF($AC380="", "", IF(ISNA(VLOOKUP($AC380, TABELAS!$Q:$Q, 1, FALSE)), 1, 0))</f>
        <v/>
      </c>
      <c r="BN380" s="306" t="str">
        <f t="shared" si="264"/>
        <v/>
      </c>
      <c r="BO380" s="304" t="str">
        <f t="shared" si="265"/>
        <v/>
      </c>
      <c r="BP380" s="304" t="str">
        <f t="shared" si="266"/>
        <v/>
      </c>
      <c r="BQ380" s="305" t="str">
        <f t="shared" si="267"/>
        <v/>
      </c>
      <c r="BR380" s="304" t="str">
        <f t="shared" si="268"/>
        <v/>
      </c>
      <c r="BS380" s="304" t="str">
        <f t="shared" si="269"/>
        <v/>
      </c>
      <c r="BT380" s="304" t="str">
        <f>IF(OR($B380="", $AH380 = "SIM"), "", IF( ISNA(VLOOKUP($AP380,#REF!, 1, FALSE)), 1, 0))</f>
        <v/>
      </c>
      <c r="BU380" s="304" t="str">
        <f t="shared" si="270"/>
        <v/>
      </c>
      <c r="BV380" s="304" t="str">
        <f>IF( $B380="", "", IF( ISNA(VLOOKUP($AN380, TABELAS!$T$2:$T$9,1,FALSE)), 1, 0))</f>
        <v/>
      </c>
      <c r="BW380" s="304" t="str">
        <f t="shared" si="271"/>
        <v/>
      </c>
      <c r="BX380" s="304" t="str">
        <f>IF( OR($B380="", $AH380 = "SIM"), "", IF( ISNA( VLOOKUP( $AQ380, SISTEMA!$B:$B, 1, FALSE)), 1, 0))</f>
        <v/>
      </c>
      <c r="BY380" s="305" t="str">
        <f t="shared" si="272"/>
        <v/>
      </c>
      <c r="BZ380" s="305" t="str">
        <f t="shared" si="273"/>
        <v/>
      </c>
      <c r="CA380" s="304" t="str">
        <f t="shared" si="274"/>
        <v/>
      </c>
      <c r="CB380" s="305" t="str">
        <f t="shared" si="275"/>
        <v/>
      </c>
      <c r="CC380" s="305" t="str">
        <f t="shared" si="276"/>
        <v/>
      </c>
      <c r="CD380" s="305" t="str">
        <f t="shared" si="277"/>
        <v/>
      </c>
    </row>
    <row r="381" spans="1:82" x14ac:dyDescent="0.2">
      <c r="A381" s="235"/>
      <c r="B381" s="236" t="str">
        <f t="shared" si="242"/>
        <v/>
      </c>
      <c r="C381" s="237" t="str">
        <f t="shared" si="232"/>
        <v/>
      </c>
      <c r="D381" s="237" t="str">
        <f t="shared" si="243"/>
        <v/>
      </c>
      <c r="E381" s="237" t="str">
        <f>IF($C381="", "", COUNTIF($M$8:$M381,$D381))</f>
        <v/>
      </c>
      <c r="F381" s="238">
        <v>374</v>
      </c>
      <c r="G381" s="239"/>
      <c r="H381" s="240"/>
      <c r="I381" s="240"/>
      <c r="J381" s="241"/>
      <c r="K381" s="240"/>
      <c r="L381" s="240"/>
      <c r="M381" s="240"/>
      <c r="N381" s="242"/>
      <c r="O381" s="243"/>
      <c r="P381" s="243"/>
      <c r="Q381" s="243"/>
      <c r="R381" s="243"/>
      <c r="S381" s="243"/>
      <c r="T381" s="245"/>
      <c r="U381" s="246" t="str">
        <f>IF($T381="", "", VLOOKUP($T381, CONTRATOS!$B:$E, 2, FALSE))</f>
        <v/>
      </c>
      <c r="V381" s="247">
        <f>IF(OR($T381="",TB_DEFESA!$C$2="Criação Baseline"),0,
   IF(VLOOKUP($T381, CONTRATOS!B:E, 3, FALSE)&lt;&gt;"",1,IF(VLOOKUP($T381, CONTRATOS!B:E, 4, FALSE)&lt;&gt;"",2,0)))</f>
        <v>0</v>
      </c>
      <c r="W381" s="248"/>
      <c r="X381" s="248"/>
      <c r="Y381" s="249"/>
      <c r="Z381" s="250"/>
      <c r="AA381" s="251"/>
      <c r="AB381" s="252"/>
      <c r="AC381" s="253"/>
      <c r="AD381" s="251"/>
      <c r="AE381" s="254" t="str">
        <f t="shared" si="233"/>
        <v/>
      </c>
      <c r="AF381" s="256" t="str">
        <f t="shared" si="244"/>
        <v/>
      </c>
      <c r="AG381" s="293" t="s">
        <v>62</v>
      </c>
      <c r="AH381" s="294" t="str">
        <f t="shared" si="245"/>
        <v/>
      </c>
      <c r="AI381" s="294" t="str">
        <f t="shared" si="246"/>
        <v/>
      </c>
      <c r="AJ381" s="295" t="str">
        <f t="shared" si="247"/>
        <v/>
      </c>
      <c r="AK381" s="296" t="str">
        <f t="shared" si="248"/>
        <v/>
      </c>
      <c r="AL381" s="297" t="str">
        <f t="shared" si="249"/>
        <v/>
      </c>
      <c r="AM381" s="294" t="str">
        <f t="shared" si="250"/>
        <v/>
      </c>
      <c r="AN381" s="294" t="str">
        <f t="shared" si="251"/>
        <v/>
      </c>
      <c r="AO381" s="298" t="str">
        <f t="shared" si="252"/>
        <v/>
      </c>
      <c r="AP381" s="299" t="str">
        <f t="shared" si="253"/>
        <v/>
      </c>
      <c r="AQ381" s="299" t="str">
        <f t="shared" si="254"/>
        <v/>
      </c>
      <c r="AR381" s="300" t="str">
        <f t="shared" si="234"/>
        <v/>
      </c>
      <c r="AS381" s="300" t="str">
        <f t="shared" si="235"/>
        <v/>
      </c>
      <c r="AT381" s="294" t="str">
        <f t="shared" si="236"/>
        <v/>
      </c>
      <c r="AU381" s="301" t="str">
        <f>IF(OR($B381="", $AP381= ""),"",IF(VLOOKUP($AP381, CONTRATOS!B:K,3,FALSE)="","",VLOOKUP($AP381, CONTRATOS!B:K, 3,FALSE)))</f>
        <v/>
      </c>
      <c r="AV381" s="301" t="str">
        <f>IF(OR($B381="", $AP381 = ""), "", IF(VLOOKUP($AP381, CONTRATOS!B:K,4,FALSE)="","",VLOOKUP($AP381, CONTRATOS!B:K,4, FALSE)))</f>
        <v/>
      </c>
      <c r="AW381" s="302" t="str">
        <f t="shared" si="237"/>
        <v/>
      </c>
      <c r="AX381" s="301" t="str">
        <f t="shared" si="238"/>
        <v/>
      </c>
      <c r="AY381" s="301" t="str">
        <f t="shared" si="239"/>
        <v/>
      </c>
      <c r="AZ381" s="301" t="str">
        <f t="shared" si="240"/>
        <v/>
      </c>
      <c r="BA381" s="301" t="str">
        <f t="shared" si="241"/>
        <v/>
      </c>
      <c r="BB381" s="303">
        <f t="shared" si="255"/>
        <v>0</v>
      </c>
      <c r="BC381" s="303" t="str">
        <f t="shared" si="256"/>
        <v/>
      </c>
      <c r="BD381" s="303" t="str">
        <f t="shared" si="257"/>
        <v/>
      </c>
      <c r="BF381" s="304">
        <f t="shared" si="258"/>
        <v>0</v>
      </c>
      <c r="BG381" s="304">
        <f t="shared" si="259"/>
        <v>0</v>
      </c>
      <c r="BH381" s="304" t="str">
        <f>IF( $B381="", "", IF(ISNA(VLOOKUP($C381, Defesa!$C$8:$C$30,1,FALSE)),1,0))</f>
        <v/>
      </c>
      <c r="BI381" s="305" t="str">
        <f t="shared" si="260"/>
        <v/>
      </c>
      <c r="BJ381" s="305" t="str">
        <f t="shared" si="261"/>
        <v/>
      </c>
      <c r="BK381" s="304" t="str">
        <f t="shared" si="262"/>
        <v/>
      </c>
      <c r="BL381" s="304">
        <f t="shared" si="263"/>
        <v>0</v>
      </c>
      <c r="BM381" s="304" t="str">
        <f>IF($AC381="", "", IF(ISNA(VLOOKUP($AC381, TABELAS!$Q:$Q, 1, FALSE)), 1, 0))</f>
        <v/>
      </c>
      <c r="BN381" s="306" t="str">
        <f t="shared" si="264"/>
        <v/>
      </c>
      <c r="BO381" s="304" t="str">
        <f t="shared" si="265"/>
        <v/>
      </c>
      <c r="BP381" s="304" t="str">
        <f t="shared" si="266"/>
        <v/>
      </c>
      <c r="BQ381" s="305" t="str">
        <f t="shared" si="267"/>
        <v/>
      </c>
      <c r="BR381" s="304" t="str">
        <f t="shared" si="268"/>
        <v/>
      </c>
      <c r="BS381" s="304" t="str">
        <f t="shared" si="269"/>
        <v/>
      </c>
      <c r="BT381" s="304" t="str">
        <f>IF(OR($B381="", $AH381 = "SIM"), "", IF( ISNA(VLOOKUP($AP381,#REF!, 1, FALSE)), 1, 0))</f>
        <v/>
      </c>
      <c r="BU381" s="304" t="str">
        <f t="shared" si="270"/>
        <v/>
      </c>
      <c r="BV381" s="304" t="str">
        <f>IF( $B381="", "", IF( ISNA(VLOOKUP($AN381, TABELAS!$T$2:$T$9,1,FALSE)), 1, 0))</f>
        <v/>
      </c>
      <c r="BW381" s="304" t="str">
        <f t="shared" si="271"/>
        <v/>
      </c>
      <c r="BX381" s="304" t="str">
        <f>IF( OR($B381="", $AH381 = "SIM"), "", IF( ISNA( VLOOKUP( $AQ381, SISTEMA!$B:$B, 1, FALSE)), 1, 0))</f>
        <v/>
      </c>
      <c r="BY381" s="305" t="str">
        <f t="shared" si="272"/>
        <v/>
      </c>
      <c r="BZ381" s="305" t="str">
        <f t="shared" si="273"/>
        <v/>
      </c>
      <c r="CA381" s="304" t="str">
        <f t="shared" si="274"/>
        <v/>
      </c>
      <c r="CB381" s="305" t="str">
        <f t="shared" si="275"/>
        <v/>
      </c>
      <c r="CC381" s="305" t="str">
        <f t="shared" si="276"/>
        <v/>
      </c>
      <c r="CD381" s="305" t="str">
        <f t="shared" si="277"/>
        <v/>
      </c>
    </row>
    <row r="382" spans="1:82" x14ac:dyDescent="0.2">
      <c r="A382" s="235"/>
      <c r="B382" s="236" t="str">
        <f t="shared" si="242"/>
        <v/>
      </c>
      <c r="C382" s="237" t="str">
        <f t="shared" si="232"/>
        <v/>
      </c>
      <c r="D382" s="237" t="str">
        <f t="shared" si="243"/>
        <v/>
      </c>
      <c r="E382" s="237" t="str">
        <f>IF($C382="", "", COUNTIF($M$8:$M382,$D382))</f>
        <v/>
      </c>
      <c r="F382" s="238">
        <v>375</v>
      </c>
      <c r="G382" s="239"/>
      <c r="H382" s="240"/>
      <c r="I382" s="240"/>
      <c r="J382" s="241"/>
      <c r="K382" s="240"/>
      <c r="L382" s="240"/>
      <c r="M382" s="240"/>
      <c r="N382" s="242"/>
      <c r="O382" s="243"/>
      <c r="P382" s="243"/>
      <c r="Q382" s="243"/>
      <c r="R382" s="243"/>
      <c r="S382" s="243"/>
      <c r="T382" s="245"/>
      <c r="U382" s="246" t="str">
        <f>IF($T382="", "", VLOOKUP($T382, CONTRATOS!$B:$E, 2, FALSE))</f>
        <v/>
      </c>
      <c r="V382" s="247">
        <f>IF(OR($T382="",TB_DEFESA!$C$2="Criação Baseline"),0,
   IF(VLOOKUP($T382, CONTRATOS!B:E, 3, FALSE)&lt;&gt;"",1,IF(VLOOKUP($T382, CONTRATOS!B:E, 4, FALSE)&lt;&gt;"",2,0)))</f>
        <v>0</v>
      </c>
      <c r="W382" s="248"/>
      <c r="X382" s="248"/>
      <c r="Y382" s="249"/>
      <c r="Z382" s="250"/>
      <c r="AA382" s="251"/>
      <c r="AB382" s="252"/>
      <c r="AC382" s="253"/>
      <c r="AD382" s="251"/>
      <c r="AE382" s="254" t="str">
        <f t="shared" si="233"/>
        <v/>
      </c>
      <c r="AF382" s="256" t="str">
        <f t="shared" si="244"/>
        <v/>
      </c>
      <c r="AG382" s="293" t="s">
        <v>62</v>
      </c>
      <c r="AH382" s="294" t="str">
        <f t="shared" si="245"/>
        <v/>
      </c>
      <c r="AI382" s="294" t="str">
        <f t="shared" si="246"/>
        <v/>
      </c>
      <c r="AJ382" s="295" t="str">
        <f t="shared" si="247"/>
        <v/>
      </c>
      <c r="AK382" s="296" t="str">
        <f t="shared" si="248"/>
        <v/>
      </c>
      <c r="AL382" s="297" t="str">
        <f t="shared" si="249"/>
        <v/>
      </c>
      <c r="AM382" s="294" t="str">
        <f t="shared" si="250"/>
        <v/>
      </c>
      <c r="AN382" s="294" t="str">
        <f t="shared" si="251"/>
        <v/>
      </c>
      <c r="AO382" s="298" t="str">
        <f t="shared" si="252"/>
        <v/>
      </c>
      <c r="AP382" s="299" t="str">
        <f t="shared" si="253"/>
        <v/>
      </c>
      <c r="AQ382" s="299" t="str">
        <f t="shared" si="254"/>
        <v/>
      </c>
      <c r="AR382" s="300" t="str">
        <f t="shared" si="234"/>
        <v/>
      </c>
      <c r="AS382" s="300" t="str">
        <f t="shared" si="235"/>
        <v/>
      </c>
      <c r="AT382" s="294" t="str">
        <f t="shared" si="236"/>
        <v/>
      </c>
      <c r="AU382" s="301" t="str">
        <f>IF(OR($B382="", $AP382= ""),"",IF(VLOOKUP($AP382, CONTRATOS!B:K,3,FALSE)="","",VLOOKUP($AP382, CONTRATOS!B:K, 3,FALSE)))</f>
        <v/>
      </c>
      <c r="AV382" s="301" t="str">
        <f>IF(OR($B382="", $AP382 = ""), "", IF(VLOOKUP($AP382, CONTRATOS!B:K,4,FALSE)="","",VLOOKUP($AP382, CONTRATOS!B:K,4, FALSE)))</f>
        <v/>
      </c>
      <c r="AW382" s="302" t="str">
        <f t="shared" si="237"/>
        <v/>
      </c>
      <c r="AX382" s="301" t="str">
        <f t="shared" si="238"/>
        <v/>
      </c>
      <c r="AY382" s="301" t="str">
        <f t="shared" si="239"/>
        <v/>
      </c>
      <c r="AZ382" s="301" t="str">
        <f t="shared" si="240"/>
        <v/>
      </c>
      <c r="BA382" s="301" t="str">
        <f t="shared" si="241"/>
        <v/>
      </c>
      <c r="BB382" s="303">
        <f t="shared" si="255"/>
        <v>0</v>
      </c>
      <c r="BC382" s="303" t="str">
        <f t="shared" si="256"/>
        <v/>
      </c>
      <c r="BD382" s="303" t="str">
        <f t="shared" si="257"/>
        <v/>
      </c>
      <c r="BF382" s="304">
        <f t="shared" si="258"/>
        <v>0</v>
      </c>
      <c r="BG382" s="304">
        <f t="shared" si="259"/>
        <v>0</v>
      </c>
      <c r="BH382" s="304" t="str">
        <f>IF( $B382="", "", IF(ISNA(VLOOKUP($C382, Defesa!$C$8:$C$30,1,FALSE)),1,0))</f>
        <v/>
      </c>
      <c r="BI382" s="305" t="str">
        <f t="shared" si="260"/>
        <v/>
      </c>
      <c r="BJ382" s="305" t="str">
        <f t="shared" si="261"/>
        <v/>
      </c>
      <c r="BK382" s="304" t="str">
        <f t="shared" si="262"/>
        <v/>
      </c>
      <c r="BL382" s="304">
        <f t="shared" si="263"/>
        <v>0</v>
      </c>
      <c r="BM382" s="304" t="str">
        <f>IF($AC382="", "", IF(ISNA(VLOOKUP($AC382, TABELAS!$Q:$Q, 1, FALSE)), 1, 0))</f>
        <v/>
      </c>
      <c r="BN382" s="306" t="str">
        <f t="shared" si="264"/>
        <v/>
      </c>
      <c r="BO382" s="304" t="str">
        <f t="shared" si="265"/>
        <v/>
      </c>
      <c r="BP382" s="304" t="str">
        <f t="shared" si="266"/>
        <v/>
      </c>
      <c r="BQ382" s="305" t="str">
        <f t="shared" si="267"/>
        <v/>
      </c>
      <c r="BR382" s="304" t="str">
        <f t="shared" si="268"/>
        <v/>
      </c>
      <c r="BS382" s="304" t="str">
        <f t="shared" si="269"/>
        <v/>
      </c>
      <c r="BT382" s="304" t="str">
        <f>IF(OR($B382="", $AH382 = "SIM"), "", IF( ISNA(VLOOKUP($AP382,#REF!, 1, FALSE)), 1, 0))</f>
        <v/>
      </c>
      <c r="BU382" s="304" t="str">
        <f t="shared" si="270"/>
        <v/>
      </c>
      <c r="BV382" s="304" t="str">
        <f>IF( $B382="", "", IF( ISNA(VLOOKUP($AN382, TABELAS!$T$2:$T$9,1,FALSE)), 1, 0))</f>
        <v/>
      </c>
      <c r="BW382" s="304" t="str">
        <f t="shared" si="271"/>
        <v/>
      </c>
      <c r="BX382" s="304" t="str">
        <f>IF( OR($B382="", $AH382 = "SIM"), "", IF( ISNA( VLOOKUP( $AQ382, SISTEMA!$B:$B, 1, FALSE)), 1, 0))</f>
        <v/>
      </c>
      <c r="BY382" s="305" t="str">
        <f t="shared" si="272"/>
        <v/>
      </c>
      <c r="BZ382" s="305" t="str">
        <f t="shared" si="273"/>
        <v/>
      </c>
      <c r="CA382" s="304" t="str">
        <f t="shared" si="274"/>
        <v/>
      </c>
      <c r="CB382" s="305" t="str">
        <f t="shared" si="275"/>
        <v/>
      </c>
      <c r="CC382" s="305" t="str">
        <f t="shared" si="276"/>
        <v/>
      </c>
      <c r="CD382" s="305" t="str">
        <f t="shared" si="277"/>
        <v/>
      </c>
    </row>
    <row r="383" spans="1:82" x14ac:dyDescent="0.2">
      <c r="A383" s="235"/>
      <c r="B383" s="236" t="str">
        <f t="shared" si="242"/>
        <v/>
      </c>
      <c r="C383" s="237" t="str">
        <f t="shared" si="232"/>
        <v/>
      </c>
      <c r="D383" s="237" t="str">
        <f t="shared" si="243"/>
        <v/>
      </c>
      <c r="E383" s="237" t="str">
        <f>IF($C383="", "", COUNTIF($M$8:$M383,$D383))</f>
        <v/>
      </c>
      <c r="F383" s="238">
        <v>376</v>
      </c>
      <c r="G383" s="239"/>
      <c r="H383" s="240"/>
      <c r="I383" s="240"/>
      <c r="J383" s="241"/>
      <c r="K383" s="240"/>
      <c r="L383" s="240"/>
      <c r="M383" s="240"/>
      <c r="N383" s="242"/>
      <c r="O383" s="243"/>
      <c r="P383" s="243"/>
      <c r="Q383" s="243"/>
      <c r="R383" s="243"/>
      <c r="S383" s="243"/>
      <c r="T383" s="245"/>
      <c r="U383" s="246" t="str">
        <f>IF($T383="", "", VLOOKUP($T383, CONTRATOS!$B:$E, 2, FALSE))</f>
        <v/>
      </c>
      <c r="V383" s="247">
        <f>IF(OR($T383="",TB_DEFESA!$C$2="Criação Baseline"),0,
   IF(VLOOKUP($T383, CONTRATOS!B:E, 3, FALSE)&lt;&gt;"",1,IF(VLOOKUP($T383, CONTRATOS!B:E, 4, FALSE)&lt;&gt;"",2,0)))</f>
        <v>0</v>
      </c>
      <c r="W383" s="248"/>
      <c r="X383" s="248"/>
      <c r="Y383" s="249"/>
      <c r="Z383" s="250"/>
      <c r="AA383" s="251"/>
      <c r="AB383" s="252"/>
      <c r="AC383" s="253"/>
      <c r="AD383" s="251"/>
      <c r="AE383" s="254" t="str">
        <f t="shared" si="233"/>
        <v/>
      </c>
      <c r="AF383" s="256" t="str">
        <f t="shared" si="244"/>
        <v/>
      </c>
      <c r="AG383" s="293" t="s">
        <v>62</v>
      </c>
      <c r="AH383" s="294" t="str">
        <f t="shared" si="245"/>
        <v/>
      </c>
      <c r="AI383" s="294" t="str">
        <f t="shared" si="246"/>
        <v/>
      </c>
      <c r="AJ383" s="295" t="str">
        <f t="shared" si="247"/>
        <v/>
      </c>
      <c r="AK383" s="296" t="str">
        <f t="shared" si="248"/>
        <v/>
      </c>
      <c r="AL383" s="297" t="str">
        <f t="shared" si="249"/>
        <v/>
      </c>
      <c r="AM383" s="294" t="str">
        <f t="shared" si="250"/>
        <v/>
      </c>
      <c r="AN383" s="294" t="str">
        <f t="shared" si="251"/>
        <v/>
      </c>
      <c r="AO383" s="298" t="str">
        <f t="shared" si="252"/>
        <v/>
      </c>
      <c r="AP383" s="299" t="str">
        <f t="shared" si="253"/>
        <v/>
      </c>
      <c r="AQ383" s="299" t="str">
        <f t="shared" si="254"/>
        <v/>
      </c>
      <c r="AR383" s="300" t="str">
        <f t="shared" si="234"/>
        <v/>
      </c>
      <c r="AS383" s="300" t="str">
        <f t="shared" si="235"/>
        <v/>
      </c>
      <c r="AT383" s="294" t="str">
        <f t="shared" si="236"/>
        <v/>
      </c>
      <c r="AU383" s="301" t="str">
        <f>IF(OR($B383="", $AP383= ""),"",IF(VLOOKUP($AP383, CONTRATOS!B:K,3,FALSE)="","",VLOOKUP($AP383, CONTRATOS!B:K, 3,FALSE)))</f>
        <v/>
      </c>
      <c r="AV383" s="301" t="str">
        <f>IF(OR($B383="", $AP383 = ""), "", IF(VLOOKUP($AP383, CONTRATOS!B:K,4,FALSE)="","",VLOOKUP($AP383, CONTRATOS!B:K,4, FALSE)))</f>
        <v/>
      </c>
      <c r="AW383" s="302" t="str">
        <f t="shared" si="237"/>
        <v/>
      </c>
      <c r="AX383" s="301" t="str">
        <f t="shared" si="238"/>
        <v/>
      </c>
      <c r="AY383" s="301" t="str">
        <f t="shared" si="239"/>
        <v/>
      </c>
      <c r="AZ383" s="301" t="str">
        <f t="shared" si="240"/>
        <v/>
      </c>
      <c r="BA383" s="301" t="str">
        <f t="shared" si="241"/>
        <v/>
      </c>
      <c r="BB383" s="303">
        <f t="shared" si="255"/>
        <v>0</v>
      </c>
      <c r="BC383" s="303" t="str">
        <f t="shared" si="256"/>
        <v/>
      </c>
      <c r="BD383" s="303" t="str">
        <f t="shared" si="257"/>
        <v/>
      </c>
      <c r="BF383" s="304">
        <f t="shared" si="258"/>
        <v>0</v>
      </c>
      <c r="BG383" s="304">
        <f t="shared" si="259"/>
        <v>0</v>
      </c>
      <c r="BH383" s="304" t="str">
        <f>IF( $B383="", "", IF(ISNA(VLOOKUP($C383, Defesa!$C$8:$C$30,1,FALSE)),1,0))</f>
        <v/>
      </c>
      <c r="BI383" s="305" t="str">
        <f t="shared" si="260"/>
        <v/>
      </c>
      <c r="BJ383" s="305" t="str">
        <f t="shared" si="261"/>
        <v/>
      </c>
      <c r="BK383" s="304" t="str">
        <f t="shared" si="262"/>
        <v/>
      </c>
      <c r="BL383" s="304">
        <f t="shared" si="263"/>
        <v>0</v>
      </c>
      <c r="BM383" s="304" t="str">
        <f>IF($AC383="", "", IF(ISNA(VLOOKUP($AC383, TABELAS!$Q:$Q, 1, FALSE)), 1, 0))</f>
        <v/>
      </c>
      <c r="BN383" s="306" t="str">
        <f t="shared" si="264"/>
        <v/>
      </c>
      <c r="BO383" s="304" t="str">
        <f t="shared" si="265"/>
        <v/>
      </c>
      <c r="BP383" s="304" t="str">
        <f t="shared" si="266"/>
        <v/>
      </c>
      <c r="BQ383" s="305" t="str">
        <f t="shared" si="267"/>
        <v/>
      </c>
      <c r="BR383" s="304" t="str">
        <f t="shared" si="268"/>
        <v/>
      </c>
      <c r="BS383" s="304" t="str">
        <f t="shared" si="269"/>
        <v/>
      </c>
      <c r="BT383" s="304" t="str">
        <f>IF(OR($B383="", $AH383 = "SIM"), "", IF( ISNA(VLOOKUP($AP383,#REF!, 1, FALSE)), 1, 0))</f>
        <v/>
      </c>
      <c r="BU383" s="304" t="str">
        <f t="shared" si="270"/>
        <v/>
      </c>
      <c r="BV383" s="304" t="str">
        <f>IF( $B383="", "", IF( ISNA(VLOOKUP($AN383, TABELAS!$T$2:$T$9,1,FALSE)), 1, 0))</f>
        <v/>
      </c>
      <c r="BW383" s="304" t="str">
        <f t="shared" si="271"/>
        <v/>
      </c>
      <c r="BX383" s="304" t="str">
        <f>IF( OR($B383="", $AH383 = "SIM"), "", IF( ISNA( VLOOKUP( $AQ383, SISTEMA!$B:$B, 1, FALSE)), 1, 0))</f>
        <v/>
      </c>
      <c r="BY383" s="305" t="str">
        <f t="shared" si="272"/>
        <v/>
      </c>
      <c r="BZ383" s="305" t="str">
        <f t="shared" si="273"/>
        <v/>
      </c>
      <c r="CA383" s="304" t="str">
        <f t="shared" si="274"/>
        <v/>
      </c>
      <c r="CB383" s="305" t="str">
        <f t="shared" si="275"/>
        <v/>
      </c>
      <c r="CC383" s="305" t="str">
        <f t="shared" si="276"/>
        <v/>
      </c>
      <c r="CD383" s="305" t="str">
        <f t="shared" si="277"/>
        <v/>
      </c>
    </row>
    <row r="384" spans="1:82" x14ac:dyDescent="0.2">
      <c r="A384" s="235"/>
      <c r="B384" s="236" t="str">
        <f t="shared" si="242"/>
        <v/>
      </c>
      <c r="C384" s="237" t="str">
        <f t="shared" si="232"/>
        <v/>
      </c>
      <c r="D384" s="237" t="str">
        <f t="shared" si="243"/>
        <v/>
      </c>
      <c r="E384" s="237" t="str">
        <f>IF($C384="", "", COUNTIF($M$8:$M384,$D384))</f>
        <v/>
      </c>
      <c r="F384" s="238">
        <v>377</v>
      </c>
      <c r="G384" s="239"/>
      <c r="H384" s="240"/>
      <c r="I384" s="240"/>
      <c r="J384" s="241"/>
      <c r="K384" s="240"/>
      <c r="L384" s="240"/>
      <c r="M384" s="240"/>
      <c r="N384" s="242"/>
      <c r="O384" s="243"/>
      <c r="P384" s="243"/>
      <c r="Q384" s="243"/>
      <c r="R384" s="243"/>
      <c r="S384" s="243"/>
      <c r="T384" s="245"/>
      <c r="U384" s="246" t="str">
        <f>IF($T384="", "", VLOOKUP($T384, CONTRATOS!$B:$E, 2, FALSE))</f>
        <v/>
      </c>
      <c r="V384" s="247">
        <f>IF(OR($T384="",TB_DEFESA!$C$2="Criação Baseline"),0,
   IF(VLOOKUP($T384, CONTRATOS!B:E, 3, FALSE)&lt;&gt;"",1,IF(VLOOKUP($T384, CONTRATOS!B:E, 4, FALSE)&lt;&gt;"",2,0)))</f>
        <v>0</v>
      </c>
      <c r="W384" s="248"/>
      <c r="X384" s="248"/>
      <c r="Y384" s="249"/>
      <c r="Z384" s="250"/>
      <c r="AA384" s="251"/>
      <c r="AB384" s="252"/>
      <c r="AC384" s="253"/>
      <c r="AD384" s="251"/>
      <c r="AE384" s="254" t="str">
        <f t="shared" si="233"/>
        <v/>
      </c>
      <c r="AF384" s="256" t="str">
        <f t="shared" si="244"/>
        <v/>
      </c>
      <c r="AG384" s="293" t="s">
        <v>62</v>
      </c>
      <c r="AH384" s="294" t="str">
        <f t="shared" si="245"/>
        <v/>
      </c>
      <c r="AI384" s="294" t="str">
        <f t="shared" si="246"/>
        <v/>
      </c>
      <c r="AJ384" s="295" t="str">
        <f t="shared" si="247"/>
        <v/>
      </c>
      <c r="AK384" s="296" t="str">
        <f t="shared" si="248"/>
        <v/>
      </c>
      <c r="AL384" s="297" t="str">
        <f t="shared" si="249"/>
        <v/>
      </c>
      <c r="AM384" s="294" t="str">
        <f t="shared" si="250"/>
        <v/>
      </c>
      <c r="AN384" s="294" t="str">
        <f t="shared" si="251"/>
        <v/>
      </c>
      <c r="AO384" s="298" t="str">
        <f t="shared" si="252"/>
        <v/>
      </c>
      <c r="AP384" s="299" t="str">
        <f t="shared" si="253"/>
        <v/>
      </c>
      <c r="AQ384" s="299" t="str">
        <f t="shared" si="254"/>
        <v/>
      </c>
      <c r="AR384" s="300" t="str">
        <f t="shared" si="234"/>
        <v/>
      </c>
      <c r="AS384" s="300" t="str">
        <f t="shared" si="235"/>
        <v/>
      </c>
      <c r="AT384" s="294" t="str">
        <f t="shared" si="236"/>
        <v/>
      </c>
      <c r="AU384" s="301" t="str">
        <f>IF(OR($B384="", $AP384= ""),"",IF(VLOOKUP($AP384, CONTRATOS!B:K,3,FALSE)="","",VLOOKUP($AP384, CONTRATOS!B:K, 3,FALSE)))</f>
        <v/>
      </c>
      <c r="AV384" s="301" t="str">
        <f>IF(OR($B384="", $AP384 = ""), "", IF(VLOOKUP($AP384, CONTRATOS!B:K,4,FALSE)="","",VLOOKUP($AP384, CONTRATOS!B:K,4, FALSE)))</f>
        <v/>
      </c>
      <c r="AW384" s="302" t="str">
        <f t="shared" si="237"/>
        <v/>
      </c>
      <c r="AX384" s="301" t="str">
        <f t="shared" si="238"/>
        <v/>
      </c>
      <c r="AY384" s="301" t="str">
        <f t="shared" si="239"/>
        <v/>
      </c>
      <c r="AZ384" s="301" t="str">
        <f t="shared" si="240"/>
        <v/>
      </c>
      <c r="BA384" s="301" t="str">
        <f t="shared" si="241"/>
        <v/>
      </c>
      <c r="BB384" s="303">
        <f t="shared" si="255"/>
        <v>0</v>
      </c>
      <c r="BC384" s="303" t="str">
        <f t="shared" si="256"/>
        <v/>
      </c>
      <c r="BD384" s="303" t="str">
        <f t="shared" si="257"/>
        <v/>
      </c>
      <c r="BF384" s="304">
        <f t="shared" si="258"/>
        <v>0</v>
      </c>
      <c r="BG384" s="304">
        <f t="shared" si="259"/>
        <v>0</v>
      </c>
      <c r="BH384" s="304" t="str">
        <f>IF( $B384="", "", IF(ISNA(VLOOKUP($C384, Defesa!$C$8:$C$30,1,FALSE)),1,0))</f>
        <v/>
      </c>
      <c r="BI384" s="305" t="str">
        <f t="shared" si="260"/>
        <v/>
      </c>
      <c r="BJ384" s="305" t="str">
        <f t="shared" si="261"/>
        <v/>
      </c>
      <c r="BK384" s="304" t="str">
        <f t="shared" si="262"/>
        <v/>
      </c>
      <c r="BL384" s="304">
        <f t="shared" si="263"/>
        <v>0</v>
      </c>
      <c r="BM384" s="304" t="str">
        <f>IF($AC384="", "", IF(ISNA(VLOOKUP($AC384, TABELAS!$Q:$Q, 1, FALSE)), 1, 0))</f>
        <v/>
      </c>
      <c r="BN384" s="306" t="str">
        <f t="shared" si="264"/>
        <v/>
      </c>
      <c r="BO384" s="304" t="str">
        <f t="shared" si="265"/>
        <v/>
      </c>
      <c r="BP384" s="304" t="str">
        <f t="shared" si="266"/>
        <v/>
      </c>
      <c r="BQ384" s="305" t="str">
        <f t="shared" si="267"/>
        <v/>
      </c>
      <c r="BR384" s="304" t="str">
        <f t="shared" si="268"/>
        <v/>
      </c>
      <c r="BS384" s="304" t="str">
        <f t="shared" si="269"/>
        <v/>
      </c>
      <c r="BT384" s="304" t="str">
        <f>IF(OR($B384="", $AH384 = "SIM"), "", IF( ISNA(VLOOKUP($AP384,#REF!, 1, FALSE)), 1, 0))</f>
        <v/>
      </c>
      <c r="BU384" s="304" t="str">
        <f t="shared" si="270"/>
        <v/>
      </c>
      <c r="BV384" s="304" t="str">
        <f>IF( $B384="", "", IF( ISNA(VLOOKUP($AN384, TABELAS!$T$2:$T$9,1,FALSE)), 1, 0))</f>
        <v/>
      </c>
      <c r="BW384" s="304" t="str">
        <f t="shared" si="271"/>
        <v/>
      </c>
      <c r="BX384" s="304" t="str">
        <f>IF( OR($B384="", $AH384 = "SIM"), "", IF( ISNA( VLOOKUP( $AQ384, SISTEMA!$B:$B, 1, FALSE)), 1, 0))</f>
        <v/>
      </c>
      <c r="BY384" s="305" t="str">
        <f t="shared" si="272"/>
        <v/>
      </c>
      <c r="BZ384" s="305" t="str">
        <f t="shared" si="273"/>
        <v/>
      </c>
      <c r="CA384" s="304" t="str">
        <f t="shared" si="274"/>
        <v/>
      </c>
      <c r="CB384" s="305" t="str">
        <f t="shared" si="275"/>
        <v/>
      </c>
      <c r="CC384" s="305" t="str">
        <f t="shared" si="276"/>
        <v/>
      </c>
      <c r="CD384" s="305" t="str">
        <f t="shared" si="277"/>
        <v/>
      </c>
    </row>
    <row r="385" spans="1:82" x14ac:dyDescent="0.2">
      <c r="A385" s="235"/>
      <c r="B385" s="236" t="str">
        <f t="shared" si="242"/>
        <v/>
      </c>
      <c r="C385" s="237" t="str">
        <f t="shared" si="232"/>
        <v/>
      </c>
      <c r="D385" s="237" t="str">
        <f t="shared" si="243"/>
        <v/>
      </c>
      <c r="E385" s="237" t="str">
        <f>IF($C385="", "", COUNTIF($M$8:$M385,$D385))</f>
        <v/>
      </c>
      <c r="F385" s="238">
        <v>378</v>
      </c>
      <c r="G385" s="239"/>
      <c r="H385" s="240"/>
      <c r="I385" s="240"/>
      <c r="J385" s="241"/>
      <c r="K385" s="240"/>
      <c r="L385" s="240"/>
      <c r="M385" s="240"/>
      <c r="N385" s="242"/>
      <c r="O385" s="243"/>
      <c r="P385" s="243"/>
      <c r="Q385" s="243"/>
      <c r="R385" s="243"/>
      <c r="S385" s="243"/>
      <c r="T385" s="245"/>
      <c r="U385" s="246" t="str">
        <f>IF($T385="", "", VLOOKUP($T385, CONTRATOS!$B:$E, 2, FALSE))</f>
        <v/>
      </c>
      <c r="V385" s="247">
        <f>IF(OR($T385="",TB_DEFESA!$C$2="Criação Baseline"),0,
   IF(VLOOKUP($T385, CONTRATOS!B:E, 3, FALSE)&lt;&gt;"",1,IF(VLOOKUP($T385, CONTRATOS!B:E, 4, FALSE)&lt;&gt;"",2,0)))</f>
        <v>0</v>
      </c>
      <c r="W385" s="248"/>
      <c r="X385" s="248"/>
      <c r="Y385" s="249"/>
      <c r="Z385" s="250"/>
      <c r="AA385" s="251"/>
      <c r="AB385" s="252"/>
      <c r="AC385" s="253"/>
      <c r="AD385" s="251"/>
      <c r="AE385" s="254" t="str">
        <f t="shared" si="233"/>
        <v/>
      </c>
      <c r="AF385" s="256" t="str">
        <f t="shared" si="244"/>
        <v/>
      </c>
      <c r="AG385" s="293" t="s">
        <v>62</v>
      </c>
      <c r="AH385" s="294" t="str">
        <f t="shared" si="245"/>
        <v/>
      </c>
      <c r="AI385" s="294" t="str">
        <f t="shared" si="246"/>
        <v/>
      </c>
      <c r="AJ385" s="295" t="str">
        <f t="shared" si="247"/>
        <v/>
      </c>
      <c r="AK385" s="296" t="str">
        <f t="shared" si="248"/>
        <v/>
      </c>
      <c r="AL385" s="297" t="str">
        <f t="shared" si="249"/>
        <v/>
      </c>
      <c r="AM385" s="294" t="str">
        <f t="shared" si="250"/>
        <v/>
      </c>
      <c r="AN385" s="294" t="str">
        <f t="shared" si="251"/>
        <v/>
      </c>
      <c r="AO385" s="298" t="str">
        <f t="shared" si="252"/>
        <v/>
      </c>
      <c r="AP385" s="299" t="str">
        <f t="shared" si="253"/>
        <v/>
      </c>
      <c r="AQ385" s="299" t="str">
        <f t="shared" si="254"/>
        <v/>
      </c>
      <c r="AR385" s="300" t="str">
        <f t="shared" si="234"/>
        <v/>
      </c>
      <c r="AS385" s="300" t="str">
        <f t="shared" si="235"/>
        <v/>
      </c>
      <c r="AT385" s="294" t="str">
        <f t="shared" si="236"/>
        <v/>
      </c>
      <c r="AU385" s="301" t="str">
        <f>IF(OR($B385="", $AP385= ""),"",IF(VLOOKUP($AP385, CONTRATOS!B:K,3,FALSE)="","",VLOOKUP($AP385, CONTRATOS!B:K, 3,FALSE)))</f>
        <v/>
      </c>
      <c r="AV385" s="301" t="str">
        <f>IF(OR($B385="", $AP385 = ""), "", IF(VLOOKUP($AP385, CONTRATOS!B:K,4,FALSE)="","",VLOOKUP($AP385, CONTRATOS!B:K,4, FALSE)))</f>
        <v/>
      </c>
      <c r="AW385" s="302" t="str">
        <f t="shared" si="237"/>
        <v/>
      </c>
      <c r="AX385" s="301" t="str">
        <f t="shared" si="238"/>
        <v/>
      </c>
      <c r="AY385" s="301" t="str">
        <f t="shared" si="239"/>
        <v/>
      </c>
      <c r="AZ385" s="301" t="str">
        <f t="shared" si="240"/>
        <v/>
      </c>
      <c r="BA385" s="301" t="str">
        <f t="shared" si="241"/>
        <v/>
      </c>
      <c r="BB385" s="303">
        <f t="shared" si="255"/>
        <v>0</v>
      </c>
      <c r="BC385" s="303" t="str">
        <f t="shared" si="256"/>
        <v/>
      </c>
      <c r="BD385" s="303" t="str">
        <f t="shared" si="257"/>
        <v/>
      </c>
      <c r="BF385" s="304">
        <f t="shared" si="258"/>
        <v>0</v>
      </c>
      <c r="BG385" s="304">
        <f t="shared" si="259"/>
        <v>0</v>
      </c>
      <c r="BH385" s="304" t="str">
        <f>IF( $B385="", "", IF(ISNA(VLOOKUP($C385, Defesa!$C$8:$C$30,1,FALSE)),1,0))</f>
        <v/>
      </c>
      <c r="BI385" s="305" t="str">
        <f t="shared" si="260"/>
        <v/>
      </c>
      <c r="BJ385" s="305" t="str">
        <f t="shared" si="261"/>
        <v/>
      </c>
      <c r="BK385" s="304" t="str">
        <f t="shared" si="262"/>
        <v/>
      </c>
      <c r="BL385" s="304">
        <f t="shared" si="263"/>
        <v>0</v>
      </c>
      <c r="BM385" s="304" t="str">
        <f>IF($AC385="", "", IF(ISNA(VLOOKUP($AC385, TABELAS!$Q:$Q, 1, FALSE)), 1, 0))</f>
        <v/>
      </c>
      <c r="BN385" s="306" t="str">
        <f t="shared" si="264"/>
        <v/>
      </c>
      <c r="BO385" s="304" t="str">
        <f t="shared" si="265"/>
        <v/>
      </c>
      <c r="BP385" s="304" t="str">
        <f t="shared" si="266"/>
        <v/>
      </c>
      <c r="BQ385" s="305" t="str">
        <f t="shared" si="267"/>
        <v/>
      </c>
      <c r="BR385" s="304" t="str">
        <f t="shared" si="268"/>
        <v/>
      </c>
      <c r="BS385" s="304" t="str">
        <f t="shared" si="269"/>
        <v/>
      </c>
      <c r="BT385" s="304" t="str">
        <f>IF(OR($B385="", $AH385 = "SIM"), "", IF( ISNA(VLOOKUP($AP385,#REF!, 1, FALSE)), 1, 0))</f>
        <v/>
      </c>
      <c r="BU385" s="304" t="str">
        <f t="shared" si="270"/>
        <v/>
      </c>
      <c r="BV385" s="304" t="str">
        <f>IF( $B385="", "", IF( ISNA(VLOOKUP($AN385, TABELAS!$T$2:$T$9,1,FALSE)), 1, 0))</f>
        <v/>
      </c>
      <c r="BW385" s="304" t="str">
        <f t="shared" si="271"/>
        <v/>
      </c>
      <c r="BX385" s="304" t="str">
        <f>IF( OR($B385="", $AH385 = "SIM"), "", IF( ISNA( VLOOKUP( $AQ385, SISTEMA!$B:$B, 1, FALSE)), 1, 0))</f>
        <v/>
      </c>
      <c r="BY385" s="305" t="str">
        <f t="shared" si="272"/>
        <v/>
      </c>
      <c r="BZ385" s="305" t="str">
        <f t="shared" si="273"/>
        <v/>
      </c>
      <c r="CA385" s="304" t="str">
        <f t="shared" si="274"/>
        <v/>
      </c>
      <c r="CB385" s="305" t="str">
        <f t="shared" si="275"/>
        <v/>
      </c>
      <c r="CC385" s="305" t="str">
        <f t="shared" si="276"/>
        <v/>
      </c>
      <c r="CD385" s="305" t="str">
        <f t="shared" si="277"/>
        <v/>
      </c>
    </row>
    <row r="386" spans="1:82" x14ac:dyDescent="0.2">
      <c r="A386" s="235"/>
      <c r="B386" s="236" t="str">
        <f t="shared" si="242"/>
        <v/>
      </c>
      <c r="C386" s="237" t="str">
        <f t="shared" si="232"/>
        <v/>
      </c>
      <c r="D386" s="237" t="str">
        <f t="shared" si="243"/>
        <v/>
      </c>
      <c r="E386" s="237" t="str">
        <f>IF($C386="", "", COUNTIF($M$8:$M386,$D386))</f>
        <v/>
      </c>
      <c r="F386" s="238">
        <v>379</v>
      </c>
      <c r="G386" s="239"/>
      <c r="H386" s="240"/>
      <c r="I386" s="240"/>
      <c r="J386" s="241"/>
      <c r="K386" s="240"/>
      <c r="L386" s="240"/>
      <c r="M386" s="240"/>
      <c r="N386" s="242"/>
      <c r="O386" s="243"/>
      <c r="P386" s="243"/>
      <c r="Q386" s="243"/>
      <c r="R386" s="243"/>
      <c r="S386" s="243"/>
      <c r="T386" s="245"/>
      <c r="U386" s="246" t="str">
        <f>IF($T386="", "", VLOOKUP($T386, CONTRATOS!$B:$E, 2, FALSE))</f>
        <v/>
      </c>
      <c r="V386" s="247">
        <f>IF(OR($T386="",TB_DEFESA!$C$2="Criação Baseline"),0,
   IF(VLOOKUP($T386, CONTRATOS!B:E, 3, FALSE)&lt;&gt;"",1,IF(VLOOKUP($T386, CONTRATOS!B:E, 4, FALSE)&lt;&gt;"",2,0)))</f>
        <v>0</v>
      </c>
      <c r="W386" s="248"/>
      <c r="X386" s="248"/>
      <c r="Y386" s="249"/>
      <c r="Z386" s="250"/>
      <c r="AA386" s="251"/>
      <c r="AB386" s="252"/>
      <c r="AC386" s="253"/>
      <c r="AD386" s="251"/>
      <c r="AE386" s="254" t="str">
        <f t="shared" si="233"/>
        <v/>
      </c>
      <c r="AF386" s="256" t="str">
        <f t="shared" si="244"/>
        <v/>
      </c>
      <c r="AG386" s="293" t="s">
        <v>62</v>
      </c>
      <c r="AH386" s="294" t="str">
        <f t="shared" si="245"/>
        <v/>
      </c>
      <c r="AI386" s="294" t="str">
        <f t="shared" si="246"/>
        <v/>
      </c>
      <c r="AJ386" s="295" t="str">
        <f t="shared" si="247"/>
        <v/>
      </c>
      <c r="AK386" s="296" t="str">
        <f t="shared" si="248"/>
        <v/>
      </c>
      <c r="AL386" s="297" t="str">
        <f t="shared" si="249"/>
        <v/>
      </c>
      <c r="AM386" s="294" t="str">
        <f t="shared" si="250"/>
        <v/>
      </c>
      <c r="AN386" s="294" t="str">
        <f t="shared" si="251"/>
        <v/>
      </c>
      <c r="AO386" s="298" t="str">
        <f t="shared" si="252"/>
        <v/>
      </c>
      <c r="AP386" s="299" t="str">
        <f t="shared" si="253"/>
        <v/>
      </c>
      <c r="AQ386" s="299" t="str">
        <f t="shared" si="254"/>
        <v/>
      </c>
      <c r="AR386" s="300" t="str">
        <f t="shared" si="234"/>
        <v/>
      </c>
      <c r="AS386" s="300" t="str">
        <f t="shared" si="235"/>
        <v/>
      </c>
      <c r="AT386" s="294" t="str">
        <f t="shared" si="236"/>
        <v/>
      </c>
      <c r="AU386" s="301" t="str">
        <f>IF(OR($B386="", $AP386= ""),"",IF(VLOOKUP($AP386, CONTRATOS!B:K,3,FALSE)="","",VLOOKUP($AP386, CONTRATOS!B:K, 3,FALSE)))</f>
        <v/>
      </c>
      <c r="AV386" s="301" t="str">
        <f>IF(OR($B386="", $AP386 = ""), "", IF(VLOOKUP($AP386, CONTRATOS!B:K,4,FALSE)="","",VLOOKUP($AP386, CONTRATOS!B:K,4, FALSE)))</f>
        <v/>
      </c>
      <c r="AW386" s="302" t="str">
        <f t="shared" si="237"/>
        <v/>
      </c>
      <c r="AX386" s="301" t="str">
        <f t="shared" si="238"/>
        <v/>
      </c>
      <c r="AY386" s="301" t="str">
        <f t="shared" si="239"/>
        <v/>
      </c>
      <c r="AZ386" s="301" t="str">
        <f t="shared" si="240"/>
        <v/>
      </c>
      <c r="BA386" s="301" t="str">
        <f t="shared" si="241"/>
        <v/>
      </c>
      <c r="BB386" s="303">
        <f t="shared" si="255"/>
        <v>0</v>
      </c>
      <c r="BC386" s="303" t="str">
        <f t="shared" si="256"/>
        <v/>
      </c>
      <c r="BD386" s="303" t="str">
        <f t="shared" si="257"/>
        <v/>
      </c>
      <c r="BF386" s="304">
        <f t="shared" si="258"/>
        <v>0</v>
      </c>
      <c r="BG386" s="304">
        <f t="shared" si="259"/>
        <v>0</v>
      </c>
      <c r="BH386" s="304" t="str">
        <f>IF( $B386="", "", IF(ISNA(VLOOKUP($C386, Defesa!$C$8:$C$30,1,FALSE)),1,0))</f>
        <v/>
      </c>
      <c r="BI386" s="305" t="str">
        <f t="shared" si="260"/>
        <v/>
      </c>
      <c r="BJ386" s="305" t="str">
        <f t="shared" si="261"/>
        <v/>
      </c>
      <c r="BK386" s="304" t="str">
        <f t="shared" si="262"/>
        <v/>
      </c>
      <c r="BL386" s="304">
        <f t="shared" si="263"/>
        <v>0</v>
      </c>
      <c r="BM386" s="304" t="str">
        <f>IF($AC386="", "", IF(ISNA(VLOOKUP($AC386, TABELAS!$Q:$Q, 1, FALSE)), 1, 0))</f>
        <v/>
      </c>
      <c r="BN386" s="306" t="str">
        <f t="shared" si="264"/>
        <v/>
      </c>
      <c r="BO386" s="304" t="str">
        <f t="shared" si="265"/>
        <v/>
      </c>
      <c r="BP386" s="304" t="str">
        <f t="shared" si="266"/>
        <v/>
      </c>
      <c r="BQ386" s="305" t="str">
        <f t="shared" si="267"/>
        <v/>
      </c>
      <c r="BR386" s="304" t="str">
        <f t="shared" si="268"/>
        <v/>
      </c>
      <c r="BS386" s="304" t="str">
        <f t="shared" si="269"/>
        <v/>
      </c>
      <c r="BT386" s="304" t="str">
        <f>IF(OR($B386="", $AH386 = "SIM"), "", IF( ISNA(VLOOKUP($AP386,#REF!, 1, FALSE)), 1, 0))</f>
        <v/>
      </c>
      <c r="BU386" s="304" t="str">
        <f t="shared" si="270"/>
        <v/>
      </c>
      <c r="BV386" s="304" t="str">
        <f>IF( $B386="", "", IF( ISNA(VLOOKUP($AN386, TABELAS!$T$2:$T$9,1,FALSE)), 1, 0))</f>
        <v/>
      </c>
      <c r="BW386" s="304" t="str">
        <f t="shared" si="271"/>
        <v/>
      </c>
      <c r="BX386" s="304" t="str">
        <f>IF( OR($B386="", $AH386 = "SIM"), "", IF( ISNA( VLOOKUP( $AQ386, SISTEMA!$B:$B, 1, FALSE)), 1, 0))</f>
        <v/>
      </c>
      <c r="BY386" s="305" t="str">
        <f t="shared" si="272"/>
        <v/>
      </c>
      <c r="BZ386" s="305" t="str">
        <f t="shared" si="273"/>
        <v/>
      </c>
      <c r="CA386" s="304" t="str">
        <f t="shared" si="274"/>
        <v/>
      </c>
      <c r="CB386" s="305" t="str">
        <f t="shared" si="275"/>
        <v/>
      </c>
      <c r="CC386" s="305" t="str">
        <f t="shared" si="276"/>
        <v/>
      </c>
      <c r="CD386" s="305" t="str">
        <f t="shared" si="277"/>
        <v/>
      </c>
    </row>
    <row r="387" spans="1:82" x14ac:dyDescent="0.2">
      <c r="A387" s="235"/>
      <c r="B387" s="236" t="str">
        <f t="shared" si="242"/>
        <v/>
      </c>
      <c r="C387" s="237" t="str">
        <f t="shared" si="232"/>
        <v/>
      </c>
      <c r="D387" s="237" t="str">
        <f t="shared" si="243"/>
        <v/>
      </c>
      <c r="E387" s="237" t="str">
        <f>IF($C387="", "", COUNTIF($M$8:$M387,$D387))</f>
        <v/>
      </c>
      <c r="F387" s="238">
        <v>380</v>
      </c>
      <c r="G387" s="239"/>
      <c r="H387" s="240"/>
      <c r="I387" s="240"/>
      <c r="J387" s="241"/>
      <c r="K387" s="240"/>
      <c r="L387" s="240"/>
      <c r="M387" s="240"/>
      <c r="N387" s="242"/>
      <c r="O387" s="243"/>
      <c r="P387" s="243"/>
      <c r="Q387" s="243"/>
      <c r="R387" s="243"/>
      <c r="S387" s="243"/>
      <c r="T387" s="245"/>
      <c r="U387" s="246" t="str">
        <f>IF($T387="", "", VLOOKUP($T387, CONTRATOS!$B:$E, 2, FALSE))</f>
        <v/>
      </c>
      <c r="V387" s="247">
        <f>IF(OR($T387="",TB_DEFESA!$C$2="Criação Baseline"),0,
   IF(VLOOKUP($T387, CONTRATOS!B:E, 3, FALSE)&lt;&gt;"",1,IF(VLOOKUP($T387, CONTRATOS!B:E, 4, FALSE)&lt;&gt;"",2,0)))</f>
        <v>0</v>
      </c>
      <c r="W387" s="248"/>
      <c r="X387" s="248"/>
      <c r="Y387" s="249"/>
      <c r="Z387" s="250"/>
      <c r="AA387" s="251"/>
      <c r="AB387" s="252"/>
      <c r="AC387" s="253"/>
      <c r="AD387" s="251"/>
      <c r="AE387" s="254" t="str">
        <f t="shared" si="233"/>
        <v/>
      </c>
      <c r="AF387" s="256" t="str">
        <f t="shared" si="244"/>
        <v/>
      </c>
      <c r="AG387" s="293" t="s">
        <v>62</v>
      </c>
      <c r="AH387" s="294" t="str">
        <f t="shared" si="245"/>
        <v/>
      </c>
      <c r="AI387" s="294" t="str">
        <f t="shared" si="246"/>
        <v/>
      </c>
      <c r="AJ387" s="295" t="str">
        <f t="shared" si="247"/>
        <v/>
      </c>
      <c r="AK387" s="296" t="str">
        <f t="shared" si="248"/>
        <v/>
      </c>
      <c r="AL387" s="297" t="str">
        <f t="shared" si="249"/>
        <v/>
      </c>
      <c r="AM387" s="294" t="str">
        <f t="shared" si="250"/>
        <v/>
      </c>
      <c r="AN387" s="294" t="str">
        <f t="shared" si="251"/>
        <v/>
      </c>
      <c r="AO387" s="298" t="str">
        <f t="shared" si="252"/>
        <v/>
      </c>
      <c r="AP387" s="299" t="str">
        <f t="shared" si="253"/>
        <v/>
      </c>
      <c r="AQ387" s="299" t="str">
        <f t="shared" si="254"/>
        <v/>
      </c>
      <c r="AR387" s="300" t="str">
        <f t="shared" si="234"/>
        <v/>
      </c>
      <c r="AS387" s="300" t="str">
        <f t="shared" si="235"/>
        <v/>
      </c>
      <c r="AT387" s="294" t="str">
        <f t="shared" si="236"/>
        <v/>
      </c>
      <c r="AU387" s="301" t="str">
        <f>IF(OR($B387="", $AP387= ""),"",IF(VLOOKUP($AP387, CONTRATOS!B:K,3,FALSE)="","",VLOOKUP($AP387, CONTRATOS!B:K, 3,FALSE)))</f>
        <v/>
      </c>
      <c r="AV387" s="301" t="str">
        <f>IF(OR($B387="", $AP387 = ""), "", IF(VLOOKUP($AP387, CONTRATOS!B:K,4,FALSE)="","",VLOOKUP($AP387, CONTRATOS!B:K,4, FALSE)))</f>
        <v/>
      </c>
      <c r="AW387" s="302" t="str">
        <f t="shared" si="237"/>
        <v/>
      </c>
      <c r="AX387" s="301" t="str">
        <f t="shared" si="238"/>
        <v/>
      </c>
      <c r="AY387" s="301" t="str">
        <f t="shared" si="239"/>
        <v/>
      </c>
      <c r="AZ387" s="301" t="str">
        <f t="shared" si="240"/>
        <v/>
      </c>
      <c r="BA387" s="301" t="str">
        <f t="shared" si="241"/>
        <v/>
      </c>
      <c r="BB387" s="303">
        <f t="shared" si="255"/>
        <v>0</v>
      </c>
      <c r="BC387" s="303" t="str">
        <f t="shared" si="256"/>
        <v/>
      </c>
      <c r="BD387" s="303" t="str">
        <f t="shared" si="257"/>
        <v/>
      </c>
      <c r="BF387" s="304">
        <f t="shared" si="258"/>
        <v>0</v>
      </c>
      <c r="BG387" s="304">
        <f t="shared" si="259"/>
        <v>0</v>
      </c>
      <c r="BH387" s="304" t="str">
        <f>IF( $B387="", "", IF(ISNA(VLOOKUP($C387, Defesa!$C$8:$C$30,1,FALSE)),1,0))</f>
        <v/>
      </c>
      <c r="BI387" s="305" t="str">
        <f t="shared" si="260"/>
        <v/>
      </c>
      <c r="BJ387" s="305" t="str">
        <f t="shared" si="261"/>
        <v/>
      </c>
      <c r="BK387" s="304" t="str">
        <f t="shared" si="262"/>
        <v/>
      </c>
      <c r="BL387" s="304">
        <f t="shared" si="263"/>
        <v>0</v>
      </c>
      <c r="BM387" s="304" t="str">
        <f>IF($AC387="", "", IF(ISNA(VLOOKUP($AC387, TABELAS!$Q:$Q, 1, FALSE)), 1, 0))</f>
        <v/>
      </c>
      <c r="BN387" s="306" t="str">
        <f t="shared" si="264"/>
        <v/>
      </c>
      <c r="BO387" s="304" t="str">
        <f t="shared" si="265"/>
        <v/>
      </c>
      <c r="BP387" s="304" t="str">
        <f t="shared" si="266"/>
        <v/>
      </c>
      <c r="BQ387" s="305" t="str">
        <f t="shared" si="267"/>
        <v/>
      </c>
      <c r="BR387" s="304" t="str">
        <f t="shared" si="268"/>
        <v/>
      </c>
      <c r="BS387" s="304" t="str">
        <f t="shared" si="269"/>
        <v/>
      </c>
      <c r="BT387" s="304" t="str">
        <f>IF(OR($B387="", $AH387 = "SIM"), "", IF( ISNA(VLOOKUP($AP387,#REF!, 1, FALSE)), 1, 0))</f>
        <v/>
      </c>
      <c r="BU387" s="304" t="str">
        <f t="shared" si="270"/>
        <v/>
      </c>
      <c r="BV387" s="304" t="str">
        <f>IF( $B387="", "", IF( ISNA(VLOOKUP($AN387, TABELAS!$T$2:$T$9,1,FALSE)), 1, 0))</f>
        <v/>
      </c>
      <c r="BW387" s="304" t="str">
        <f t="shared" si="271"/>
        <v/>
      </c>
      <c r="BX387" s="304" t="str">
        <f>IF( OR($B387="", $AH387 = "SIM"), "", IF( ISNA( VLOOKUP( $AQ387, SISTEMA!$B:$B, 1, FALSE)), 1, 0))</f>
        <v/>
      </c>
      <c r="BY387" s="305" t="str">
        <f t="shared" si="272"/>
        <v/>
      </c>
      <c r="BZ387" s="305" t="str">
        <f t="shared" si="273"/>
        <v/>
      </c>
      <c r="CA387" s="304" t="str">
        <f t="shared" si="274"/>
        <v/>
      </c>
      <c r="CB387" s="305" t="str">
        <f t="shared" si="275"/>
        <v/>
      </c>
      <c r="CC387" s="305" t="str">
        <f t="shared" si="276"/>
        <v/>
      </c>
      <c r="CD387" s="305" t="str">
        <f t="shared" si="277"/>
        <v/>
      </c>
    </row>
    <row r="388" spans="1:82" x14ac:dyDescent="0.2">
      <c r="A388" s="235"/>
      <c r="B388" s="236" t="str">
        <f t="shared" si="242"/>
        <v/>
      </c>
      <c r="C388" s="237" t="str">
        <f t="shared" si="232"/>
        <v/>
      </c>
      <c r="D388" s="237" t="str">
        <f t="shared" si="243"/>
        <v/>
      </c>
      <c r="E388" s="237" t="str">
        <f>IF($C388="", "", COUNTIF($M$8:$M388,$D388))</f>
        <v/>
      </c>
      <c r="F388" s="238">
        <v>381</v>
      </c>
      <c r="G388" s="239"/>
      <c r="H388" s="240"/>
      <c r="I388" s="240"/>
      <c r="J388" s="241"/>
      <c r="K388" s="240"/>
      <c r="L388" s="240"/>
      <c r="M388" s="240"/>
      <c r="N388" s="242"/>
      <c r="O388" s="243"/>
      <c r="P388" s="243"/>
      <c r="Q388" s="243"/>
      <c r="R388" s="243"/>
      <c r="S388" s="243"/>
      <c r="T388" s="245"/>
      <c r="U388" s="246" t="str">
        <f>IF($T388="", "", VLOOKUP($T388, CONTRATOS!$B:$E, 2, FALSE))</f>
        <v/>
      </c>
      <c r="V388" s="247">
        <f>IF(OR($T388="",TB_DEFESA!$C$2="Criação Baseline"),0,
   IF(VLOOKUP($T388, CONTRATOS!B:E, 3, FALSE)&lt;&gt;"",1,IF(VLOOKUP($T388, CONTRATOS!B:E, 4, FALSE)&lt;&gt;"",2,0)))</f>
        <v>0</v>
      </c>
      <c r="W388" s="248"/>
      <c r="X388" s="248"/>
      <c r="Y388" s="249"/>
      <c r="Z388" s="250"/>
      <c r="AA388" s="251"/>
      <c r="AB388" s="252"/>
      <c r="AC388" s="253"/>
      <c r="AD388" s="251"/>
      <c r="AE388" s="254" t="str">
        <f t="shared" si="233"/>
        <v/>
      </c>
      <c r="AF388" s="256" t="str">
        <f t="shared" si="244"/>
        <v/>
      </c>
      <c r="AG388" s="293" t="s">
        <v>62</v>
      </c>
      <c r="AH388" s="294" t="str">
        <f t="shared" si="245"/>
        <v/>
      </c>
      <c r="AI388" s="294" t="str">
        <f t="shared" si="246"/>
        <v/>
      </c>
      <c r="AJ388" s="295" t="str">
        <f t="shared" si="247"/>
        <v/>
      </c>
      <c r="AK388" s="296" t="str">
        <f t="shared" si="248"/>
        <v/>
      </c>
      <c r="AL388" s="297" t="str">
        <f t="shared" si="249"/>
        <v/>
      </c>
      <c r="AM388" s="294" t="str">
        <f t="shared" si="250"/>
        <v/>
      </c>
      <c r="AN388" s="294" t="str">
        <f t="shared" si="251"/>
        <v/>
      </c>
      <c r="AO388" s="298" t="str">
        <f t="shared" si="252"/>
        <v/>
      </c>
      <c r="AP388" s="299" t="str">
        <f t="shared" si="253"/>
        <v/>
      </c>
      <c r="AQ388" s="299" t="str">
        <f t="shared" si="254"/>
        <v/>
      </c>
      <c r="AR388" s="300" t="str">
        <f t="shared" si="234"/>
        <v/>
      </c>
      <c r="AS388" s="300" t="str">
        <f t="shared" si="235"/>
        <v/>
      </c>
      <c r="AT388" s="294" t="str">
        <f t="shared" si="236"/>
        <v/>
      </c>
      <c r="AU388" s="301" t="str">
        <f>IF(OR($B388="", $AP388= ""),"",IF(VLOOKUP($AP388, CONTRATOS!B:K,3,FALSE)="","",VLOOKUP($AP388, CONTRATOS!B:K, 3,FALSE)))</f>
        <v/>
      </c>
      <c r="AV388" s="301" t="str">
        <f>IF(OR($B388="", $AP388 = ""), "", IF(VLOOKUP($AP388, CONTRATOS!B:K,4,FALSE)="","",VLOOKUP($AP388, CONTRATOS!B:K,4, FALSE)))</f>
        <v/>
      </c>
      <c r="AW388" s="302" t="str">
        <f t="shared" si="237"/>
        <v/>
      </c>
      <c r="AX388" s="301" t="str">
        <f t="shared" si="238"/>
        <v/>
      </c>
      <c r="AY388" s="301" t="str">
        <f t="shared" si="239"/>
        <v/>
      </c>
      <c r="AZ388" s="301" t="str">
        <f t="shared" si="240"/>
        <v/>
      </c>
      <c r="BA388" s="301" t="str">
        <f t="shared" si="241"/>
        <v/>
      </c>
      <c r="BB388" s="303">
        <f t="shared" si="255"/>
        <v>0</v>
      </c>
      <c r="BC388" s="303" t="str">
        <f t="shared" si="256"/>
        <v/>
      </c>
      <c r="BD388" s="303" t="str">
        <f t="shared" si="257"/>
        <v/>
      </c>
      <c r="BF388" s="304">
        <f t="shared" si="258"/>
        <v>0</v>
      </c>
      <c r="BG388" s="304">
        <f t="shared" si="259"/>
        <v>0</v>
      </c>
      <c r="BH388" s="304" t="str">
        <f>IF( $B388="", "", IF(ISNA(VLOOKUP($C388, Defesa!$C$8:$C$30,1,FALSE)),1,0))</f>
        <v/>
      </c>
      <c r="BI388" s="305" t="str">
        <f t="shared" si="260"/>
        <v/>
      </c>
      <c r="BJ388" s="305" t="str">
        <f t="shared" si="261"/>
        <v/>
      </c>
      <c r="BK388" s="304" t="str">
        <f t="shared" si="262"/>
        <v/>
      </c>
      <c r="BL388" s="304">
        <f t="shared" si="263"/>
        <v>0</v>
      </c>
      <c r="BM388" s="304" t="str">
        <f>IF($AC388="", "", IF(ISNA(VLOOKUP($AC388, TABELAS!$Q:$Q, 1, FALSE)), 1, 0))</f>
        <v/>
      </c>
      <c r="BN388" s="306" t="str">
        <f t="shared" si="264"/>
        <v/>
      </c>
      <c r="BO388" s="304" t="str">
        <f t="shared" si="265"/>
        <v/>
      </c>
      <c r="BP388" s="304" t="str">
        <f t="shared" si="266"/>
        <v/>
      </c>
      <c r="BQ388" s="305" t="str">
        <f t="shared" si="267"/>
        <v/>
      </c>
      <c r="BR388" s="304" t="str">
        <f t="shared" si="268"/>
        <v/>
      </c>
      <c r="BS388" s="304" t="str">
        <f t="shared" si="269"/>
        <v/>
      </c>
      <c r="BT388" s="304" t="str">
        <f>IF(OR($B388="", $AH388 = "SIM"), "", IF( ISNA(VLOOKUP($AP388,#REF!, 1, FALSE)), 1, 0))</f>
        <v/>
      </c>
      <c r="BU388" s="304" t="str">
        <f t="shared" si="270"/>
        <v/>
      </c>
      <c r="BV388" s="304" t="str">
        <f>IF( $B388="", "", IF( ISNA(VLOOKUP($AN388, TABELAS!$T$2:$T$9,1,FALSE)), 1, 0))</f>
        <v/>
      </c>
      <c r="BW388" s="304" t="str">
        <f t="shared" si="271"/>
        <v/>
      </c>
      <c r="BX388" s="304" t="str">
        <f>IF( OR($B388="", $AH388 = "SIM"), "", IF( ISNA( VLOOKUP( $AQ388, SISTEMA!$B:$B, 1, FALSE)), 1, 0))</f>
        <v/>
      </c>
      <c r="BY388" s="305" t="str">
        <f t="shared" si="272"/>
        <v/>
      </c>
      <c r="BZ388" s="305" t="str">
        <f t="shared" si="273"/>
        <v/>
      </c>
      <c r="CA388" s="304" t="str">
        <f t="shared" si="274"/>
        <v/>
      </c>
      <c r="CB388" s="305" t="str">
        <f t="shared" si="275"/>
        <v/>
      </c>
      <c r="CC388" s="305" t="str">
        <f t="shared" si="276"/>
        <v/>
      </c>
      <c r="CD388" s="305" t="str">
        <f t="shared" si="277"/>
        <v/>
      </c>
    </row>
    <row r="389" spans="1:82" x14ac:dyDescent="0.2">
      <c r="A389" s="235"/>
      <c r="B389" s="236" t="str">
        <f t="shared" si="242"/>
        <v/>
      </c>
      <c r="C389" s="237" t="str">
        <f t="shared" si="232"/>
        <v/>
      </c>
      <c r="D389" s="237" t="str">
        <f t="shared" si="243"/>
        <v/>
      </c>
      <c r="E389" s="237" t="str">
        <f>IF($C389="", "", COUNTIF($M$8:$M389,$D389))</f>
        <v/>
      </c>
      <c r="F389" s="238">
        <v>382</v>
      </c>
      <c r="G389" s="239"/>
      <c r="H389" s="240"/>
      <c r="I389" s="240"/>
      <c r="J389" s="241"/>
      <c r="K389" s="240"/>
      <c r="L389" s="240"/>
      <c r="M389" s="240"/>
      <c r="N389" s="242"/>
      <c r="O389" s="243"/>
      <c r="P389" s="243"/>
      <c r="Q389" s="243"/>
      <c r="R389" s="243"/>
      <c r="S389" s="243"/>
      <c r="T389" s="245"/>
      <c r="U389" s="246" t="str">
        <f>IF($T389="", "", VLOOKUP($T389, CONTRATOS!$B:$E, 2, FALSE))</f>
        <v/>
      </c>
      <c r="V389" s="247">
        <f>IF(OR($T389="",TB_DEFESA!$C$2="Criação Baseline"),0,
   IF(VLOOKUP($T389, CONTRATOS!B:E, 3, FALSE)&lt;&gt;"",1,IF(VLOOKUP($T389, CONTRATOS!B:E, 4, FALSE)&lt;&gt;"",2,0)))</f>
        <v>0</v>
      </c>
      <c r="W389" s="248"/>
      <c r="X389" s="248"/>
      <c r="Y389" s="249"/>
      <c r="Z389" s="250"/>
      <c r="AA389" s="251"/>
      <c r="AB389" s="252"/>
      <c r="AC389" s="253"/>
      <c r="AD389" s="251"/>
      <c r="AE389" s="254" t="str">
        <f t="shared" si="233"/>
        <v/>
      </c>
      <c r="AF389" s="256" t="str">
        <f t="shared" si="244"/>
        <v/>
      </c>
      <c r="AG389" s="293" t="s">
        <v>62</v>
      </c>
      <c r="AH389" s="294" t="str">
        <f t="shared" si="245"/>
        <v/>
      </c>
      <c r="AI389" s="294" t="str">
        <f t="shared" si="246"/>
        <v/>
      </c>
      <c r="AJ389" s="295" t="str">
        <f t="shared" si="247"/>
        <v/>
      </c>
      <c r="AK389" s="296" t="str">
        <f t="shared" si="248"/>
        <v/>
      </c>
      <c r="AL389" s="297" t="str">
        <f t="shared" si="249"/>
        <v/>
      </c>
      <c r="AM389" s="294" t="str">
        <f t="shared" si="250"/>
        <v/>
      </c>
      <c r="AN389" s="294" t="str">
        <f t="shared" si="251"/>
        <v/>
      </c>
      <c r="AO389" s="298" t="str">
        <f t="shared" si="252"/>
        <v/>
      </c>
      <c r="AP389" s="299" t="str">
        <f t="shared" si="253"/>
        <v/>
      </c>
      <c r="AQ389" s="299" t="str">
        <f t="shared" si="254"/>
        <v/>
      </c>
      <c r="AR389" s="300" t="str">
        <f t="shared" si="234"/>
        <v/>
      </c>
      <c r="AS389" s="300" t="str">
        <f t="shared" si="235"/>
        <v/>
      </c>
      <c r="AT389" s="294" t="str">
        <f t="shared" si="236"/>
        <v/>
      </c>
      <c r="AU389" s="301" t="str">
        <f>IF(OR($B389="", $AP389= ""),"",IF(VLOOKUP($AP389, CONTRATOS!B:K,3,FALSE)="","",VLOOKUP($AP389, CONTRATOS!B:K, 3,FALSE)))</f>
        <v/>
      </c>
      <c r="AV389" s="301" t="str">
        <f>IF(OR($B389="", $AP389 = ""), "", IF(VLOOKUP($AP389, CONTRATOS!B:K,4,FALSE)="","",VLOOKUP($AP389, CONTRATOS!B:K,4, FALSE)))</f>
        <v/>
      </c>
      <c r="AW389" s="302" t="str">
        <f t="shared" si="237"/>
        <v/>
      </c>
      <c r="AX389" s="301" t="str">
        <f t="shared" si="238"/>
        <v/>
      </c>
      <c r="AY389" s="301" t="str">
        <f t="shared" si="239"/>
        <v/>
      </c>
      <c r="AZ389" s="301" t="str">
        <f t="shared" si="240"/>
        <v/>
      </c>
      <c r="BA389" s="301" t="str">
        <f t="shared" si="241"/>
        <v/>
      </c>
      <c r="BB389" s="303">
        <f t="shared" si="255"/>
        <v>0</v>
      </c>
      <c r="BC389" s="303" t="str">
        <f t="shared" si="256"/>
        <v/>
      </c>
      <c r="BD389" s="303" t="str">
        <f t="shared" si="257"/>
        <v/>
      </c>
      <c r="BF389" s="304">
        <f t="shared" si="258"/>
        <v>0</v>
      </c>
      <c r="BG389" s="304">
        <f t="shared" si="259"/>
        <v>0</v>
      </c>
      <c r="BH389" s="304" t="str">
        <f>IF( $B389="", "", IF(ISNA(VLOOKUP($C389, Defesa!$C$8:$C$30,1,FALSE)),1,0))</f>
        <v/>
      </c>
      <c r="BI389" s="305" t="str">
        <f t="shared" si="260"/>
        <v/>
      </c>
      <c r="BJ389" s="305" t="str">
        <f t="shared" si="261"/>
        <v/>
      </c>
      <c r="BK389" s="304" t="str">
        <f t="shared" si="262"/>
        <v/>
      </c>
      <c r="BL389" s="304">
        <f t="shared" si="263"/>
        <v>0</v>
      </c>
      <c r="BM389" s="304" t="str">
        <f>IF($AC389="", "", IF(ISNA(VLOOKUP($AC389, TABELAS!$Q:$Q, 1, FALSE)), 1, 0))</f>
        <v/>
      </c>
      <c r="BN389" s="306" t="str">
        <f t="shared" si="264"/>
        <v/>
      </c>
      <c r="BO389" s="304" t="str">
        <f t="shared" si="265"/>
        <v/>
      </c>
      <c r="BP389" s="304" t="str">
        <f t="shared" si="266"/>
        <v/>
      </c>
      <c r="BQ389" s="305" t="str">
        <f t="shared" si="267"/>
        <v/>
      </c>
      <c r="BR389" s="304" t="str">
        <f t="shared" si="268"/>
        <v/>
      </c>
      <c r="BS389" s="304" t="str">
        <f t="shared" si="269"/>
        <v/>
      </c>
      <c r="BT389" s="304" t="str">
        <f>IF(OR($B389="", $AH389 = "SIM"), "", IF( ISNA(VLOOKUP($AP389,#REF!, 1, FALSE)), 1, 0))</f>
        <v/>
      </c>
      <c r="BU389" s="304" t="str">
        <f t="shared" si="270"/>
        <v/>
      </c>
      <c r="BV389" s="304" t="str">
        <f>IF( $B389="", "", IF( ISNA(VLOOKUP($AN389, TABELAS!$T$2:$T$9,1,FALSE)), 1, 0))</f>
        <v/>
      </c>
      <c r="BW389" s="304" t="str">
        <f t="shared" si="271"/>
        <v/>
      </c>
      <c r="BX389" s="304" t="str">
        <f>IF( OR($B389="", $AH389 = "SIM"), "", IF( ISNA( VLOOKUP( $AQ389, SISTEMA!$B:$B, 1, FALSE)), 1, 0))</f>
        <v/>
      </c>
      <c r="BY389" s="305" t="str">
        <f t="shared" si="272"/>
        <v/>
      </c>
      <c r="BZ389" s="305" t="str">
        <f t="shared" si="273"/>
        <v/>
      </c>
      <c r="CA389" s="304" t="str">
        <f t="shared" si="274"/>
        <v/>
      </c>
      <c r="CB389" s="305" t="str">
        <f t="shared" si="275"/>
        <v/>
      </c>
      <c r="CC389" s="305" t="str">
        <f t="shared" si="276"/>
        <v/>
      </c>
      <c r="CD389" s="305" t="str">
        <f t="shared" si="277"/>
        <v/>
      </c>
    </row>
    <row r="390" spans="1:82" x14ac:dyDescent="0.2">
      <c r="A390" s="235"/>
      <c r="B390" s="236" t="str">
        <f t="shared" si="242"/>
        <v/>
      </c>
      <c r="C390" s="237" t="str">
        <f t="shared" si="232"/>
        <v/>
      </c>
      <c r="D390" s="237" t="str">
        <f t="shared" si="243"/>
        <v/>
      </c>
      <c r="E390" s="237" t="str">
        <f>IF($C390="", "", COUNTIF($M$8:$M390,$D390))</f>
        <v/>
      </c>
      <c r="F390" s="238">
        <v>383</v>
      </c>
      <c r="G390" s="239"/>
      <c r="H390" s="240"/>
      <c r="I390" s="240"/>
      <c r="J390" s="241"/>
      <c r="K390" s="240"/>
      <c r="L390" s="240"/>
      <c r="M390" s="240"/>
      <c r="N390" s="242"/>
      <c r="O390" s="243"/>
      <c r="P390" s="243"/>
      <c r="Q390" s="243"/>
      <c r="R390" s="243"/>
      <c r="S390" s="243"/>
      <c r="T390" s="245"/>
      <c r="U390" s="246" t="str">
        <f>IF($T390="", "", VLOOKUP($T390, CONTRATOS!$B:$E, 2, FALSE))</f>
        <v/>
      </c>
      <c r="V390" s="247">
        <f>IF(OR($T390="",TB_DEFESA!$C$2="Criação Baseline"),0,
   IF(VLOOKUP($T390, CONTRATOS!B:E, 3, FALSE)&lt;&gt;"",1,IF(VLOOKUP($T390, CONTRATOS!B:E, 4, FALSE)&lt;&gt;"",2,0)))</f>
        <v>0</v>
      </c>
      <c r="W390" s="248"/>
      <c r="X390" s="248"/>
      <c r="Y390" s="249"/>
      <c r="Z390" s="250"/>
      <c r="AA390" s="251"/>
      <c r="AB390" s="252"/>
      <c r="AC390" s="253"/>
      <c r="AD390" s="251"/>
      <c r="AE390" s="254" t="str">
        <f t="shared" si="233"/>
        <v/>
      </c>
      <c r="AF390" s="256" t="str">
        <f t="shared" si="244"/>
        <v/>
      </c>
      <c r="AG390" s="293" t="s">
        <v>62</v>
      </c>
      <c r="AH390" s="294" t="str">
        <f t="shared" si="245"/>
        <v/>
      </c>
      <c r="AI390" s="294" t="str">
        <f t="shared" si="246"/>
        <v/>
      </c>
      <c r="AJ390" s="295" t="str">
        <f t="shared" si="247"/>
        <v/>
      </c>
      <c r="AK390" s="296" t="str">
        <f t="shared" si="248"/>
        <v/>
      </c>
      <c r="AL390" s="297" t="str">
        <f t="shared" si="249"/>
        <v/>
      </c>
      <c r="AM390" s="294" t="str">
        <f t="shared" si="250"/>
        <v/>
      </c>
      <c r="AN390" s="294" t="str">
        <f t="shared" si="251"/>
        <v/>
      </c>
      <c r="AO390" s="298" t="str">
        <f t="shared" si="252"/>
        <v/>
      </c>
      <c r="AP390" s="299" t="str">
        <f t="shared" si="253"/>
        <v/>
      </c>
      <c r="AQ390" s="299" t="str">
        <f t="shared" si="254"/>
        <v/>
      </c>
      <c r="AR390" s="300" t="str">
        <f t="shared" si="234"/>
        <v/>
      </c>
      <c r="AS390" s="300" t="str">
        <f t="shared" si="235"/>
        <v/>
      </c>
      <c r="AT390" s="294" t="str">
        <f t="shared" si="236"/>
        <v/>
      </c>
      <c r="AU390" s="301" t="str">
        <f>IF(OR($B390="", $AP390= ""),"",IF(VLOOKUP($AP390, CONTRATOS!B:K,3,FALSE)="","",VLOOKUP($AP390, CONTRATOS!B:K, 3,FALSE)))</f>
        <v/>
      </c>
      <c r="AV390" s="301" t="str">
        <f>IF(OR($B390="", $AP390 = ""), "", IF(VLOOKUP($AP390, CONTRATOS!B:K,4,FALSE)="","",VLOOKUP($AP390, CONTRATOS!B:K,4, FALSE)))</f>
        <v/>
      </c>
      <c r="AW390" s="302" t="str">
        <f t="shared" si="237"/>
        <v/>
      </c>
      <c r="AX390" s="301" t="str">
        <f t="shared" si="238"/>
        <v/>
      </c>
      <c r="AY390" s="301" t="str">
        <f t="shared" si="239"/>
        <v/>
      </c>
      <c r="AZ390" s="301" t="str">
        <f t="shared" si="240"/>
        <v/>
      </c>
      <c r="BA390" s="301" t="str">
        <f t="shared" si="241"/>
        <v/>
      </c>
      <c r="BB390" s="303">
        <f t="shared" si="255"/>
        <v>0</v>
      </c>
      <c r="BC390" s="303" t="str">
        <f t="shared" si="256"/>
        <v/>
      </c>
      <c r="BD390" s="303" t="str">
        <f t="shared" si="257"/>
        <v/>
      </c>
      <c r="BF390" s="304">
        <f t="shared" si="258"/>
        <v>0</v>
      </c>
      <c r="BG390" s="304">
        <f t="shared" si="259"/>
        <v>0</v>
      </c>
      <c r="BH390" s="304" t="str">
        <f>IF( $B390="", "", IF(ISNA(VLOOKUP($C390, Defesa!$C$8:$C$30,1,FALSE)),1,0))</f>
        <v/>
      </c>
      <c r="BI390" s="305" t="str">
        <f t="shared" si="260"/>
        <v/>
      </c>
      <c r="BJ390" s="305" t="str">
        <f t="shared" si="261"/>
        <v/>
      </c>
      <c r="BK390" s="304" t="str">
        <f t="shared" si="262"/>
        <v/>
      </c>
      <c r="BL390" s="304">
        <f t="shared" si="263"/>
        <v>0</v>
      </c>
      <c r="BM390" s="304" t="str">
        <f>IF($AC390="", "", IF(ISNA(VLOOKUP($AC390, TABELAS!$Q:$Q, 1, FALSE)), 1, 0))</f>
        <v/>
      </c>
      <c r="BN390" s="306" t="str">
        <f t="shared" si="264"/>
        <v/>
      </c>
      <c r="BO390" s="304" t="str">
        <f t="shared" si="265"/>
        <v/>
      </c>
      <c r="BP390" s="304" t="str">
        <f t="shared" si="266"/>
        <v/>
      </c>
      <c r="BQ390" s="305" t="str">
        <f t="shared" si="267"/>
        <v/>
      </c>
      <c r="BR390" s="304" t="str">
        <f t="shared" si="268"/>
        <v/>
      </c>
      <c r="BS390" s="304" t="str">
        <f t="shared" si="269"/>
        <v/>
      </c>
      <c r="BT390" s="304" t="str">
        <f>IF(OR($B390="", $AH390 = "SIM"), "", IF( ISNA(VLOOKUP($AP390,#REF!, 1, FALSE)), 1, 0))</f>
        <v/>
      </c>
      <c r="BU390" s="304" t="str">
        <f t="shared" si="270"/>
        <v/>
      </c>
      <c r="BV390" s="304" t="str">
        <f>IF( $B390="", "", IF( ISNA(VLOOKUP($AN390, TABELAS!$T$2:$T$9,1,FALSE)), 1, 0))</f>
        <v/>
      </c>
      <c r="BW390" s="304" t="str">
        <f t="shared" si="271"/>
        <v/>
      </c>
      <c r="BX390" s="304" t="str">
        <f>IF( OR($B390="", $AH390 = "SIM"), "", IF( ISNA( VLOOKUP( $AQ390, SISTEMA!$B:$B, 1, FALSE)), 1, 0))</f>
        <v/>
      </c>
      <c r="BY390" s="305" t="str">
        <f t="shared" si="272"/>
        <v/>
      </c>
      <c r="BZ390" s="305" t="str">
        <f t="shared" si="273"/>
        <v/>
      </c>
      <c r="CA390" s="304" t="str">
        <f t="shared" si="274"/>
        <v/>
      </c>
      <c r="CB390" s="305" t="str">
        <f t="shared" si="275"/>
        <v/>
      </c>
      <c r="CC390" s="305" t="str">
        <f t="shared" si="276"/>
        <v/>
      </c>
      <c r="CD390" s="305" t="str">
        <f t="shared" si="277"/>
        <v/>
      </c>
    </row>
    <row r="391" spans="1:82" x14ac:dyDescent="0.2">
      <c r="A391" s="235"/>
      <c r="B391" s="236" t="str">
        <f t="shared" si="242"/>
        <v/>
      </c>
      <c r="C391" s="237" t="str">
        <f t="shared" si="232"/>
        <v/>
      </c>
      <c r="D391" s="237" t="str">
        <f t="shared" si="243"/>
        <v/>
      </c>
      <c r="E391" s="237" t="str">
        <f>IF($C391="", "", COUNTIF($M$8:$M391,$D391))</f>
        <v/>
      </c>
      <c r="F391" s="238">
        <v>384</v>
      </c>
      <c r="G391" s="239"/>
      <c r="H391" s="240"/>
      <c r="I391" s="240"/>
      <c r="J391" s="241"/>
      <c r="K391" s="240"/>
      <c r="L391" s="240"/>
      <c r="M391" s="240"/>
      <c r="N391" s="242"/>
      <c r="O391" s="243"/>
      <c r="P391" s="243"/>
      <c r="Q391" s="243"/>
      <c r="R391" s="243"/>
      <c r="S391" s="243"/>
      <c r="T391" s="245"/>
      <c r="U391" s="246" t="str">
        <f>IF($T391="", "", VLOOKUP($T391, CONTRATOS!$B:$E, 2, FALSE))</f>
        <v/>
      </c>
      <c r="V391" s="247">
        <f>IF(OR($T391="",TB_DEFESA!$C$2="Criação Baseline"),0,
   IF(VLOOKUP($T391, CONTRATOS!B:E, 3, FALSE)&lt;&gt;"",1,IF(VLOOKUP($T391, CONTRATOS!B:E, 4, FALSE)&lt;&gt;"",2,0)))</f>
        <v>0</v>
      </c>
      <c r="W391" s="248"/>
      <c r="X391" s="248"/>
      <c r="Y391" s="249"/>
      <c r="Z391" s="250"/>
      <c r="AA391" s="251"/>
      <c r="AB391" s="252"/>
      <c r="AC391" s="253"/>
      <c r="AD391" s="251"/>
      <c r="AE391" s="254" t="str">
        <f t="shared" si="233"/>
        <v/>
      </c>
      <c r="AF391" s="256" t="str">
        <f t="shared" si="244"/>
        <v/>
      </c>
      <c r="AG391" s="293" t="s">
        <v>62</v>
      </c>
      <c r="AH391" s="294" t="str">
        <f t="shared" si="245"/>
        <v/>
      </c>
      <c r="AI391" s="294" t="str">
        <f t="shared" si="246"/>
        <v/>
      </c>
      <c r="AJ391" s="295" t="str">
        <f t="shared" si="247"/>
        <v/>
      </c>
      <c r="AK391" s="296" t="str">
        <f t="shared" si="248"/>
        <v/>
      </c>
      <c r="AL391" s="297" t="str">
        <f t="shared" si="249"/>
        <v/>
      </c>
      <c r="AM391" s="294" t="str">
        <f t="shared" si="250"/>
        <v/>
      </c>
      <c r="AN391" s="294" t="str">
        <f t="shared" si="251"/>
        <v/>
      </c>
      <c r="AO391" s="298" t="str">
        <f t="shared" si="252"/>
        <v/>
      </c>
      <c r="AP391" s="299" t="str">
        <f t="shared" si="253"/>
        <v/>
      </c>
      <c r="AQ391" s="299" t="str">
        <f t="shared" si="254"/>
        <v/>
      </c>
      <c r="AR391" s="300" t="str">
        <f t="shared" si="234"/>
        <v/>
      </c>
      <c r="AS391" s="300" t="str">
        <f t="shared" si="235"/>
        <v/>
      </c>
      <c r="AT391" s="294" t="str">
        <f t="shared" si="236"/>
        <v/>
      </c>
      <c r="AU391" s="301" t="str">
        <f>IF(OR($B391="", $AP391= ""),"",IF(VLOOKUP($AP391, CONTRATOS!B:K,3,FALSE)="","",VLOOKUP($AP391, CONTRATOS!B:K, 3,FALSE)))</f>
        <v/>
      </c>
      <c r="AV391" s="301" t="str">
        <f>IF(OR($B391="", $AP391 = ""), "", IF(VLOOKUP($AP391, CONTRATOS!B:K,4,FALSE)="","",VLOOKUP($AP391, CONTRATOS!B:K,4, FALSE)))</f>
        <v/>
      </c>
      <c r="AW391" s="302" t="str">
        <f t="shared" si="237"/>
        <v/>
      </c>
      <c r="AX391" s="301" t="str">
        <f t="shared" si="238"/>
        <v/>
      </c>
      <c r="AY391" s="301" t="str">
        <f t="shared" si="239"/>
        <v/>
      </c>
      <c r="AZ391" s="301" t="str">
        <f t="shared" si="240"/>
        <v/>
      </c>
      <c r="BA391" s="301" t="str">
        <f t="shared" si="241"/>
        <v/>
      </c>
      <c r="BB391" s="303">
        <f t="shared" si="255"/>
        <v>0</v>
      </c>
      <c r="BC391" s="303" t="str">
        <f t="shared" si="256"/>
        <v/>
      </c>
      <c r="BD391" s="303" t="str">
        <f t="shared" si="257"/>
        <v/>
      </c>
      <c r="BF391" s="304">
        <f t="shared" si="258"/>
        <v>0</v>
      </c>
      <c r="BG391" s="304">
        <f t="shared" si="259"/>
        <v>0</v>
      </c>
      <c r="BH391" s="304" t="str">
        <f>IF( $B391="", "", IF(ISNA(VLOOKUP($C391, Defesa!$C$8:$C$30,1,FALSE)),1,0))</f>
        <v/>
      </c>
      <c r="BI391" s="305" t="str">
        <f t="shared" si="260"/>
        <v/>
      </c>
      <c r="BJ391" s="305" t="str">
        <f t="shared" si="261"/>
        <v/>
      </c>
      <c r="BK391" s="304" t="str">
        <f t="shared" si="262"/>
        <v/>
      </c>
      <c r="BL391" s="304">
        <f t="shared" si="263"/>
        <v>0</v>
      </c>
      <c r="BM391" s="304" t="str">
        <f>IF($AC391="", "", IF(ISNA(VLOOKUP($AC391, TABELAS!$Q:$Q, 1, FALSE)), 1, 0))</f>
        <v/>
      </c>
      <c r="BN391" s="306" t="str">
        <f t="shared" si="264"/>
        <v/>
      </c>
      <c r="BO391" s="304" t="str">
        <f t="shared" si="265"/>
        <v/>
      </c>
      <c r="BP391" s="304" t="str">
        <f t="shared" si="266"/>
        <v/>
      </c>
      <c r="BQ391" s="305" t="str">
        <f t="shared" si="267"/>
        <v/>
      </c>
      <c r="BR391" s="304" t="str">
        <f t="shared" si="268"/>
        <v/>
      </c>
      <c r="BS391" s="304" t="str">
        <f t="shared" si="269"/>
        <v/>
      </c>
      <c r="BT391" s="304" t="str">
        <f>IF(OR($B391="", $AH391 = "SIM"), "", IF( ISNA(VLOOKUP($AP391,#REF!, 1, FALSE)), 1, 0))</f>
        <v/>
      </c>
      <c r="BU391" s="304" t="str">
        <f t="shared" si="270"/>
        <v/>
      </c>
      <c r="BV391" s="304" t="str">
        <f>IF( $B391="", "", IF( ISNA(VLOOKUP($AN391, TABELAS!$T$2:$T$9,1,FALSE)), 1, 0))</f>
        <v/>
      </c>
      <c r="BW391" s="304" t="str">
        <f t="shared" si="271"/>
        <v/>
      </c>
      <c r="BX391" s="304" t="str">
        <f>IF( OR($B391="", $AH391 = "SIM"), "", IF( ISNA( VLOOKUP( $AQ391, SISTEMA!$B:$B, 1, FALSE)), 1, 0))</f>
        <v/>
      </c>
      <c r="BY391" s="305" t="str">
        <f t="shared" si="272"/>
        <v/>
      </c>
      <c r="BZ391" s="305" t="str">
        <f t="shared" si="273"/>
        <v/>
      </c>
      <c r="CA391" s="304" t="str">
        <f t="shared" si="274"/>
        <v/>
      </c>
      <c r="CB391" s="305" t="str">
        <f t="shared" si="275"/>
        <v/>
      </c>
      <c r="CC391" s="305" t="str">
        <f t="shared" si="276"/>
        <v/>
      </c>
      <c r="CD391" s="305" t="str">
        <f t="shared" si="277"/>
        <v/>
      </c>
    </row>
    <row r="392" spans="1:82" x14ac:dyDescent="0.2">
      <c r="A392" s="235"/>
      <c r="B392" s="236" t="str">
        <f t="shared" si="242"/>
        <v/>
      </c>
      <c r="C392" s="237" t="str">
        <f t="shared" ref="C392:C455" si="278">IF($K392&lt;&gt;"",$K392, IF($AB392 = "", "", $C391))</f>
        <v/>
      </c>
      <c r="D392" s="237" t="str">
        <f t="shared" si="243"/>
        <v/>
      </c>
      <c r="E392" s="237" t="str">
        <f>IF($C392="", "", COUNTIF($M$8:$M392,$D392))</f>
        <v/>
      </c>
      <c r="F392" s="238">
        <v>385</v>
      </c>
      <c r="G392" s="239"/>
      <c r="H392" s="240"/>
      <c r="I392" s="240"/>
      <c r="J392" s="241"/>
      <c r="K392" s="240"/>
      <c r="L392" s="240"/>
      <c r="M392" s="240"/>
      <c r="N392" s="242"/>
      <c r="O392" s="243"/>
      <c r="P392" s="243"/>
      <c r="Q392" s="243"/>
      <c r="R392" s="243"/>
      <c r="S392" s="243"/>
      <c r="T392" s="245"/>
      <c r="U392" s="246" t="str">
        <f>IF($T392="", "", VLOOKUP($T392, CONTRATOS!$B:$E, 2, FALSE))</f>
        <v/>
      </c>
      <c r="V392" s="247">
        <f>IF(OR($T392="",TB_DEFESA!$C$2="Criação Baseline"),0,
   IF(VLOOKUP($T392, CONTRATOS!B:E, 3, FALSE)&lt;&gt;"",1,IF(VLOOKUP($T392, CONTRATOS!B:E, 4, FALSE)&lt;&gt;"",2,0)))</f>
        <v>0</v>
      </c>
      <c r="W392" s="248"/>
      <c r="X392" s="248"/>
      <c r="Y392" s="249"/>
      <c r="Z392" s="250"/>
      <c r="AA392" s="251"/>
      <c r="AB392" s="252"/>
      <c r="AC392" s="253"/>
      <c r="AD392" s="251"/>
      <c r="AE392" s="254" t="str">
        <f t="shared" ref="AE392:AE455" si="279">IF(AT392="","",IF(V392=1,1,IF(AT392=0,0,AD392/AT392)))</f>
        <v/>
      </c>
      <c r="AF392" s="256" t="str">
        <f t="shared" si="244"/>
        <v/>
      </c>
      <c r="AG392" s="293" t="s">
        <v>62</v>
      </c>
      <c r="AH392" s="294" t="str">
        <f t="shared" si="245"/>
        <v/>
      </c>
      <c r="AI392" s="294" t="str">
        <f t="shared" si="246"/>
        <v/>
      </c>
      <c r="AJ392" s="295" t="str">
        <f t="shared" si="247"/>
        <v/>
      </c>
      <c r="AK392" s="296" t="str">
        <f t="shared" si="248"/>
        <v/>
      </c>
      <c r="AL392" s="297" t="str">
        <f t="shared" si="249"/>
        <v/>
      </c>
      <c r="AM392" s="294" t="str">
        <f t="shared" si="250"/>
        <v/>
      </c>
      <c r="AN392" s="294" t="str">
        <f t="shared" si="251"/>
        <v/>
      </c>
      <c r="AO392" s="298" t="str">
        <f t="shared" si="252"/>
        <v/>
      </c>
      <c r="AP392" s="299" t="str">
        <f t="shared" si="253"/>
        <v/>
      </c>
      <c r="AQ392" s="299" t="str">
        <f t="shared" si="254"/>
        <v/>
      </c>
      <c r="AR392" s="300" t="str">
        <f t="shared" ref="AR392:AR455" si="280">IF($B392 = "", "",  IF($Y392= "", IF(ISNUMBER($AR391), $AR391, 0), $Y392))</f>
        <v/>
      </c>
      <c r="AS392" s="300" t="str">
        <f t="shared" ref="AS392:AS455" si="281">IF($B392 = "", "",  IF($Z392= "", IF(ISNUMBER($AS391), $AS391, 0), $Z392))</f>
        <v/>
      </c>
      <c r="AT392" s="294" t="str">
        <f t="shared" ref="AT392:AT455" si="282">IF($B392="", "", IF($AA392=0, $AT391, $AA392))</f>
        <v/>
      </c>
      <c r="AU392" s="301" t="str">
        <f>IF(OR($B392="", $AP392= ""),"",IF(VLOOKUP($AP392, CONTRATOS!B:K,3,FALSE)="","",VLOOKUP($AP392, CONTRATOS!B:K, 3,FALSE)))</f>
        <v/>
      </c>
      <c r="AV392" s="301" t="str">
        <f>IF(OR($B392="", $AP392 = ""), "", IF(VLOOKUP($AP392, CONTRATOS!B:K,4,FALSE)="","",VLOOKUP($AP392, CONTRATOS!B:K,4, FALSE)))</f>
        <v/>
      </c>
      <c r="AW392" s="302" t="str">
        <f t="shared" ref="AW392:AW455" si="283">IF($B392="", "", IF($V392=1, 1, IF( OR($AT392 = "", $AT392=0), 0, $AD392/$AT392)))</f>
        <v/>
      </c>
      <c r="AX392" s="301" t="str">
        <f t="shared" ref="AX392:AX455" si="284">IF( $B392="", "", IF( $K392="",$AX391, IF($S392 = "", "", $S392)))</f>
        <v/>
      </c>
      <c r="AY392" s="301" t="str">
        <f t="shared" ref="AY392:AY455" si="285">IF( $B392="", "", IF( $K392="",$AY391, IF($P392 = "", "", $P392)))</f>
        <v/>
      </c>
      <c r="AZ392" s="301" t="str">
        <f t="shared" ref="AZ392:AZ455" si="286">IF( $B392="", "", IF( $K392="",$AZ391, IF($Q392 = "", "", $Q392)))</f>
        <v/>
      </c>
      <c r="BA392" s="301" t="str">
        <f t="shared" ref="BA392:BA455" si="287">IF( $B392="", "", IF( $K392="",$BA391, IF($R392 = "", "", $R392)))</f>
        <v/>
      </c>
      <c r="BB392" s="303">
        <f t="shared" si="255"/>
        <v>0</v>
      </c>
      <c r="BC392" s="303" t="str">
        <f t="shared" si="256"/>
        <v/>
      </c>
      <c r="BD392" s="303" t="str">
        <f t="shared" si="257"/>
        <v/>
      </c>
      <c r="BF392" s="304">
        <f t="shared" si="258"/>
        <v>0</v>
      </c>
      <c r="BG392" s="304">
        <f t="shared" si="259"/>
        <v>0</v>
      </c>
      <c r="BH392" s="304" t="str">
        <f>IF( $B392="", "", IF(ISNA(VLOOKUP($C392, Defesa!$C$8:$C$30,1,FALSE)),1,0))</f>
        <v/>
      </c>
      <c r="BI392" s="305" t="str">
        <f t="shared" si="260"/>
        <v/>
      </c>
      <c r="BJ392" s="305" t="str">
        <f t="shared" si="261"/>
        <v/>
      </c>
      <c r="BK392" s="304" t="str">
        <f t="shared" si="262"/>
        <v/>
      </c>
      <c r="BL392" s="304">
        <f t="shared" si="263"/>
        <v>0</v>
      </c>
      <c r="BM392" s="304" t="str">
        <f>IF($AC392="", "", IF(ISNA(VLOOKUP($AC392, TABELAS!$Q:$Q, 1, FALSE)), 1, 0))</f>
        <v/>
      </c>
      <c r="BN392" s="306" t="str">
        <f t="shared" si="264"/>
        <v/>
      </c>
      <c r="BO392" s="304" t="str">
        <f t="shared" si="265"/>
        <v/>
      </c>
      <c r="BP392" s="304" t="str">
        <f t="shared" si="266"/>
        <v/>
      </c>
      <c r="BQ392" s="305" t="str">
        <f t="shared" si="267"/>
        <v/>
      </c>
      <c r="BR392" s="304" t="str">
        <f t="shared" si="268"/>
        <v/>
      </c>
      <c r="BS392" s="304" t="str">
        <f t="shared" si="269"/>
        <v/>
      </c>
      <c r="BT392" s="304" t="str">
        <f>IF(OR($B392="", $AH392 = "SIM"), "", IF( ISNA(VLOOKUP($AP392,#REF!, 1, FALSE)), 1, 0))</f>
        <v/>
      </c>
      <c r="BU392" s="304" t="str">
        <f t="shared" si="270"/>
        <v/>
      </c>
      <c r="BV392" s="304" t="str">
        <f>IF( $B392="", "", IF( ISNA(VLOOKUP($AN392, TABELAS!$T$2:$T$9,1,FALSE)), 1, 0))</f>
        <v/>
      </c>
      <c r="BW392" s="304" t="str">
        <f t="shared" si="271"/>
        <v/>
      </c>
      <c r="BX392" s="304" t="str">
        <f>IF( OR($B392="", $AH392 = "SIM"), "", IF( ISNA( VLOOKUP( $AQ392, SISTEMA!$B:$B, 1, FALSE)), 1, 0))</f>
        <v/>
      </c>
      <c r="BY392" s="305" t="str">
        <f t="shared" si="272"/>
        <v/>
      </c>
      <c r="BZ392" s="305" t="str">
        <f t="shared" si="273"/>
        <v/>
      </c>
      <c r="CA392" s="304" t="str">
        <f t="shared" si="274"/>
        <v/>
      </c>
      <c r="CB392" s="305" t="str">
        <f t="shared" si="275"/>
        <v/>
      </c>
      <c r="CC392" s="305" t="str">
        <f t="shared" si="276"/>
        <v/>
      </c>
      <c r="CD392" s="305" t="str">
        <f t="shared" si="277"/>
        <v/>
      </c>
    </row>
    <row r="393" spans="1:82" x14ac:dyDescent="0.2">
      <c r="A393" s="235"/>
      <c r="B393" s="236" t="str">
        <f t="shared" ref="B393:B456" si="288" xml:space="preserve"> IF( C393 = "", "", C393 &amp; "." &amp; D393 &amp; "."  &amp; E393)</f>
        <v/>
      </c>
      <c r="C393" s="237" t="str">
        <f t="shared" si="278"/>
        <v/>
      </c>
      <c r="D393" s="237" t="str">
        <f t="shared" ref="D393:D456" si="289">IF( $C393 = "", "", IF( $M393="", IF(AND($C392=$C393,$G393 = ""), $D392, ""), TEXT($M393,"000")))</f>
        <v/>
      </c>
      <c r="E393" s="237" t="str">
        <f>IF($C393="", "", COUNTIF($M$8:$M393,$D393))</f>
        <v/>
      </c>
      <c r="F393" s="238">
        <v>386</v>
      </c>
      <c r="G393" s="239"/>
      <c r="H393" s="240"/>
      <c r="I393" s="240"/>
      <c r="J393" s="241"/>
      <c r="K393" s="240"/>
      <c r="L393" s="240"/>
      <c r="M393" s="240"/>
      <c r="N393" s="242"/>
      <c r="O393" s="243"/>
      <c r="P393" s="243"/>
      <c r="Q393" s="243"/>
      <c r="R393" s="243"/>
      <c r="S393" s="243"/>
      <c r="T393" s="245"/>
      <c r="U393" s="246" t="str">
        <f>IF($T393="", "", VLOOKUP($T393, CONTRATOS!$B:$E, 2, FALSE))</f>
        <v/>
      </c>
      <c r="V393" s="247">
        <f>IF(OR($T393="",TB_DEFESA!$C$2="Criação Baseline"),0,
   IF(VLOOKUP($T393, CONTRATOS!B:E, 3, FALSE)&lt;&gt;"",1,IF(VLOOKUP($T393, CONTRATOS!B:E, 4, FALSE)&lt;&gt;"",2,0)))</f>
        <v>0</v>
      </c>
      <c r="W393" s="248"/>
      <c r="X393" s="248"/>
      <c r="Y393" s="249"/>
      <c r="Z393" s="250"/>
      <c r="AA393" s="251"/>
      <c r="AB393" s="252"/>
      <c r="AC393" s="253"/>
      <c r="AD393" s="251"/>
      <c r="AE393" s="254" t="str">
        <f t="shared" si="279"/>
        <v/>
      </c>
      <c r="AF393" s="256" t="str">
        <f t="shared" ref="AF393:AF456" si="290">IF(B393= "", "", IF(SUM($BF393:$CD393) = 0, 0, 1))</f>
        <v/>
      </c>
      <c r="AG393" s="293" t="s">
        <v>62</v>
      </c>
      <c r="AH393" s="294" t="str">
        <f t="shared" ref="AH393:AH456" si="291">IF($B393="","", IF( AND($G393="", $B393 = $B392 ), $AH392, $G393))</f>
        <v/>
      </c>
      <c r="AI393" s="294" t="str">
        <f t="shared" ref="AI393:AI456" si="292">IF($B393 = "", "",  IF( AND($H393= "", $B393 = $B392 ), $AI392, $H393))</f>
        <v/>
      </c>
      <c r="AJ393" s="295" t="str">
        <f t="shared" ref="AJ393:AJ456" si="293">IF(AND($AB393="", $V393=""),"",IF(AND($I393="",$B393=$B392), $AJ392, IF($I393="","",$I393)))</f>
        <v/>
      </c>
      <c r="AK393" s="296" t="str">
        <f t="shared" ref="AK393:AK456" si="294">IF($B393="", "", IF( AND($J393 = "",$B393=$B392), $AK392, $J393))</f>
        <v/>
      </c>
      <c r="AL393" s="297" t="str">
        <f t="shared" ref="AL393:AL456" si="295">IF( $B393= "", "",  IF( AND($L393= "",$B393=$B392), $AL392, $L393))</f>
        <v/>
      </c>
      <c r="AM393" s="294" t="str">
        <f t="shared" ref="AM393:AM456" si="296">IF( $B393 = "", "",  IF(AND($N393= "",$B393=$B392), $AM392, $O393))</f>
        <v/>
      </c>
      <c r="AN393" s="294" t="str">
        <f t="shared" ref="AN393:AN456" si="297">IF( $B393 = "", "",  IF( AND($X393= "",$B393=$B392), $AN392, $X393))</f>
        <v/>
      </c>
      <c r="AO393" s="298" t="str">
        <f t="shared" ref="AO393:AO456" si="298">IF($B393="", "",  IF( AND($U393= "",$B393=$B392), $AO392, $U393))</f>
        <v/>
      </c>
      <c r="AP393" s="299" t="str">
        <f t="shared" ref="AP393:AP456" si="299">IF( $B393 = "", "",  IF( AND($U393= "",$B393=$B392), $AP392, IF($T393 = "", "", $T393)))</f>
        <v/>
      </c>
      <c r="AQ393" s="299" t="str">
        <f t="shared" ref="AQ393:AQ456" si="300">IF($B393="","",IF(AND($W393="",$B393=$B392),$AQ392,IF($W393="","",$W393)))</f>
        <v/>
      </c>
      <c r="AR393" s="300" t="str">
        <f t="shared" si="280"/>
        <v/>
      </c>
      <c r="AS393" s="300" t="str">
        <f t="shared" si="281"/>
        <v/>
      </c>
      <c r="AT393" s="294" t="str">
        <f t="shared" si="282"/>
        <v/>
      </c>
      <c r="AU393" s="301" t="str">
        <f>IF(OR($B393="", $AP393= ""),"",IF(VLOOKUP($AP393, CONTRATOS!B:K,3,FALSE)="","",VLOOKUP($AP393, CONTRATOS!B:K, 3,FALSE)))</f>
        <v/>
      </c>
      <c r="AV393" s="301" t="str">
        <f>IF(OR($B393="", $AP393 = ""), "", IF(VLOOKUP($AP393, CONTRATOS!B:K,4,FALSE)="","",VLOOKUP($AP393, CONTRATOS!B:K,4, FALSE)))</f>
        <v/>
      </c>
      <c r="AW393" s="302" t="str">
        <f t="shared" si="283"/>
        <v/>
      </c>
      <c r="AX393" s="301" t="str">
        <f t="shared" si="284"/>
        <v/>
      </c>
      <c r="AY393" s="301" t="str">
        <f t="shared" si="285"/>
        <v/>
      </c>
      <c r="AZ393" s="301" t="str">
        <f t="shared" si="286"/>
        <v/>
      </c>
      <c r="BA393" s="301" t="str">
        <f t="shared" si="287"/>
        <v/>
      </c>
      <c r="BB393" s="303">
        <f t="shared" ref="BB393:BB456" si="301">IF( $B393 = "", 0, ROW($B393))</f>
        <v>0</v>
      </c>
      <c r="BC393" s="303" t="str">
        <f t="shared" ref="BC393:BC456" si="302">IF($AC393="","",IF($AC393="Próximos Anos",$AC393,RIGHT($AC393,4)))</f>
        <v/>
      </c>
      <c r="BD393" s="303" t="str">
        <f t="shared" ref="BD393:BD456" si="303">IF($B393="", "", IF($B393=$B392, $BD392, $V393))</f>
        <v/>
      </c>
      <c r="BF393" s="304">
        <f t="shared" ref="BF393:BF456" si="304">IF( AND($G393="SIM", OR($H393="", $I393="", $J393="", $K393="", $L393="", $M393="", $O393="", $P393="", $Q393="", $R393="", $X393="",  $AA393="", $AB393="", $AC393="", $AD393="")), 1, 0)</f>
        <v>0</v>
      </c>
      <c r="BG393" s="304">
        <f t="shared" ref="BG393:BG456" si="305">IF(AND($G393="NÃO", OR($H393="", $I393="", $J393="", $K393="", $L393="", $M393="", $O393="", $T393="", $W393="", $X393="", $AA393="")), 1,
    IF( AND($AH393="NÃO",  $AU393 ="", OR( $AB393="", $AC393="", $AD393="")), 1,
    IF( AND($AH393="NÃO",  $AU393 &lt;&gt; "", OR($AB393&lt;&gt;"", $AC393&lt;&gt;"", $AD393&lt;&gt;"") ), 1, 0 ) ) )</f>
        <v>0</v>
      </c>
      <c r="BH393" s="304" t="str">
        <f>IF( $B393="", "", IF(ISNA(VLOOKUP($C393, Defesa!$C$8:$C$30,1,FALSE)),1,0))</f>
        <v/>
      </c>
      <c r="BI393" s="305" t="str">
        <f t="shared" ref="BI393:BI456" si="306">IF($B393= "", "",  IF(OR($D393 = "N/A", LEFT($D393, 2) = "ME", AND(LEN($D393) = 12, LEFT($D393, 4) = "PROP")), 0, 1))</f>
        <v/>
      </c>
      <c r="BJ393" s="305" t="str">
        <f t="shared" ref="BJ393:BJ456" si="307">IF($B393="","",IF(AND($AL393="N/A",LEFT($D393,4)&lt;&gt;"PROP"),0,IF(OR(AND(LEN($AL393)=10,LEFT($AL393,2)="AF",LEFT($AL393,4)&lt;&gt;"AFFT")),0,1)))</f>
        <v/>
      </c>
      <c r="BK393" s="304" t="str">
        <f t="shared" ref="BK393:BK456" si="308">IF($B393="", "", IF(COUNTIFS($AB:$AB, $AB393,$B:$B, $B393)&gt;1, 1, 0))</f>
        <v/>
      </c>
      <c r="BL393" s="304">
        <f t="shared" ref="BL393:BL456" si="309">IF( OR($B393= "",$V393 = 1), 0,  IF( OR($AC393 = "", $AD393="", $AB393=""), 1, 0))</f>
        <v>0</v>
      </c>
      <c r="BM393" s="304" t="str">
        <f>IF($AC393="", "", IF(ISNA(VLOOKUP($AC393, TABELAS!$Q:$Q, 1, FALSE)), 1, 0))</f>
        <v/>
      </c>
      <c r="BN393" s="306" t="str">
        <f t="shared" ref="BN393:BN456" si="310">IF($B393= "", "", IF( SUMIFS($AW:$AW,$C:$C, $C393,$D:$D, $D393,$E:$E, $E393) = 1, 0, 1))</f>
        <v/>
      </c>
      <c r="BO393" s="304" t="str">
        <f t="shared" ref="BO393:BO456" si="311">IF( $B393 ="", "", IF( AND($V393 = 1, OR( $AC393 &lt;&gt; "", $AB393 &lt;&gt; "", $AD393 &lt;&gt; "")), 1, 0))</f>
        <v/>
      </c>
      <c r="BP393" s="304" t="str">
        <f t="shared" ref="BP393:BP456" si="312" xml:space="preserve"> IF($B393 = "", "", IF(AND( $AI393 = "SIM", $AP393= "&lt; A DEFINIR &gt;"), 1, 0))</f>
        <v/>
      </c>
      <c r="BQ393" s="305" t="str">
        <f t="shared" ref="BQ393:BQ456" si="313">IF($B393="", "", IF( AND($AI393="SIM", OR(LEFT($D393,2)="ME", $D393 = "N/A")), 1, 0))</f>
        <v/>
      </c>
      <c r="BR393" s="304" t="str">
        <f t="shared" ref="BR393:BR456" si="314" xml:space="preserve"> IF($B393 = "", "", IF( AND( $AJ393 = "SIM", OR($AP393= "&lt; A DEFINIR &gt;", $V393 = 1, $AI393 = "ESTIMATIVA")), 1, 0))</f>
        <v/>
      </c>
      <c r="BS393" s="304" t="str">
        <f t="shared" ref="BS393:BS456" si="315" xml:space="preserve"> IF(B393 = "", "", IF(AND($X393 &lt;&gt; "N/A",  V393 = 1), 1, 0))</f>
        <v/>
      </c>
      <c r="BT393" s="304" t="str">
        <f>IF(OR($B393="", $AH393 = "SIM"), "", IF( ISNA(VLOOKUP($AP393,#REF!, 1, FALSE)), 1, 0))</f>
        <v/>
      </c>
      <c r="BU393" s="304" t="str">
        <f t="shared" ref="BU393:BU456" si="316">IF($AP393="", "", IF( AND(OR($AO393=4600046592, $U393 = 4600041840), $AN393&lt;&gt; "BTSA Fixa R2"), 1,0))</f>
        <v/>
      </c>
      <c r="BV393" s="304" t="str">
        <f>IF( $B393="", "", IF( ISNA(VLOOKUP($AN393, TABELAS!$T$2:$T$9,1,FALSE)), 1, 0))</f>
        <v/>
      </c>
      <c r="BW393" s="304" t="str">
        <f t="shared" ref="BW393:BW456" si="317" xml:space="preserve"> IF($B393 = "", "", IF( AND( $AN393 = "N/A", $V393 = 0), 1, 0) )</f>
        <v/>
      </c>
      <c r="BX393" s="304" t="str">
        <f>IF( OR($B393="", $AH393 = "SIM"), "", IF( ISNA( VLOOKUP( $AQ393, SISTEMA!$B:$B, 1, FALSE)), 1, 0))</f>
        <v/>
      </c>
      <c r="BY393" s="305" t="str">
        <f t="shared" ref="BY393:BY456" si="318">IF( $B393="", "", IF( AND($AI393="ESTIMATIVA", LEFT($D393, 4)="PROP"), 1, 0))</f>
        <v/>
      </c>
      <c r="BZ393" s="305" t="str">
        <f t="shared" ref="BZ393:BZ456" si="319">IF( $B393="", "", IF( AND($AX393&lt;&gt;"", $V393 = 1), 1, 0))</f>
        <v/>
      </c>
      <c r="CA393" s="304" t="str">
        <f t="shared" ref="CA393:CA456" si="320">IF($B393="", "", IF( AND($AM393 &lt;&gt; "SERVIÇOS", $AM393 &lt;&gt; "HARDWARE", $AM393 &lt;&gt; "SOFTWARE", $AM393 &lt;&gt; "FACILITIES", $AM393 &lt;&gt; "VIAGENS"  ), 1, 0))</f>
        <v/>
      </c>
      <c r="CB393" s="305" t="str">
        <f t="shared" ref="CB393:CB456" si="321">IF( $B393="", "", IF( AND( $AH393 = "NÃO", OR( $AM393 = "SOFTWARE", $AM393 = "HARDWARE", $AM393 = "FACILITIES")), 1, 0))</f>
        <v/>
      </c>
      <c r="CC393" s="305" t="str">
        <f t="shared" ref="CC393:CC456" si="322">IF( $B393="", "", IF( AND($AI393="COMPLEMENTO", LEFT($D393, 4)="PROP"), 1, 0))</f>
        <v/>
      </c>
      <c r="CD393" s="305" t="str">
        <f t="shared" ref="CD393:CD456" si="323">IF( $B393="", "", IF( AND($D393=$D392, $AP393 &lt;&gt; $AP392), 1, 0))</f>
        <v/>
      </c>
    </row>
    <row r="394" spans="1:82" x14ac:dyDescent="0.2">
      <c r="A394" s="235"/>
      <c r="B394" s="236" t="str">
        <f t="shared" si="288"/>
        <v/>
      </c>
      <c r="C394" s="237" t="str">
        <f t="shared" si="278"/>
        <v/>
      </c>
      <c r="D394" s="237" t="str">
        <f t="shared" si="289"/>
        <v/>
      </c>
      <c r="E394" s="237" t="str">
        <f>IF($C394="", "", COUNTIF($M$8:$M394,$D394))</f>
        <v/>
      </c>
      <c r="F394" s="238">
        <v>387</v>
      </c>
      <c r="G394" s="239"/>
      <c r="H394" s="240"/>
      <c r="I394" s="240"/>
      <c r="J394" s="241"/>
      <c r="K394" s="240"/>
      <c r="L394" s="240"/>
      <c r="M394" s="240"/>
      <c r="N394" s="242"/>
      <c r="O394" s="243"/>
      <c r="P394" s="243"/>
      <c r="Q394" s="243"/>
      <c r="R394" s="243"/>
      <c r="S394" s="243"/>
      <c r="T394" s="245"/>
      <c r="U394" s="246" t="str">
        <f>IF($T394="", "", VLOOKUP($T394, CONTRATOS!$B:$E, 2, FALSE))</f>
        <v/>
      </c>
      <c r="V394" s="247">
        <f>IF(OR($T394="",TB_DEFESA!$C$2="Criação Baseline"),0,
   IF(VLOOKUP($T394, CONTRATOS!B:E, 3, FALSE)&lt;&gt;"",1,IF(VLOOKUP($T394, CONTRATOS!B:E, 4, FALSE)&lt;&gt;"",2,0)))</f>
        <v>0</v>
      </c>
      <c r="W394" s="248"/>
      <c r="X394" s="248"/>
      <c r="Y394" s="249"/>
      <c r="Z394" s="250"/>
      <c r="AA394" s="251"/>
      <c r="AB394" s="252"/>
      <c r="AC394" s="253"/>
      <c r="AD394" s="251"/>
      <c r="AE394" s="254" t="str">
        <f t="shared" si="279"/>
        <v/>
      </c>
      <c r="AF394" s="256" t="str">
        <f t="shared" si="290"/>
        <v/>
      </c>
      <c r="AG394" s="293" t="s">
        <v>62</v>
      </c>
      <c r="AH394" s="294" t="str">
        <f t="shared" si="291"/>
        <v/>
      </c>
      <c r="AI394" s="294" t="str">
        <f t="shared" si="292"/>
        <v/>
      </c>
      <c r="AJ394" s="295" t="str">
        <f t="shared" si="293"/>
        <v/>
      </c>
      <c r="AK394" s="296" t="str">
        <f t="shared" si="294"/>
        <v/>
      </c>
      <c r="AL394" s="297" t="str">
        <f t="shared" si="295"/>
        <v/>
      </c>
      <c r="AM394" s="294" t="str">
        <f t="shared" si="296"/>
        <v/>
      </c>
      <c r="AN394" s="294" t="str">
        <f t="shared" si="297"/>
        <v/>
      </c>
      <c r="AO394" s="298" t="str">
        <f t="shared" si="298"/>
        <v/>
      </c>
      <c r="AP394" s="299" t="str">
        <f t="shared" si="299"/>
        <v/>
      </c>
      <c r="AQ394" s="299" t="str">
        <f t="shared" si="300"/>
        <v/>
      </c>
      <c r="AR394" s="300" t="str">
        <f t="shared" si="280"/>
        <v/>
      </c>
      <c r="AS394" s="300" t="str">
        <f t="shared" si="281"/>
        <v/>
      </c>
      <c r="AT394" s="294" t="str">
        <f t="shared" si="282"/>
        <v/>
      </c>
      <c r="AU394" s="301" t="str">
        <f>IF(OR($B394="", $AP394= ""),"",IF(VLOOKUP($AP394, CONTRATOS!B:K,3,FALSE)="","",VLOOKUP($AP394, CONTRATOS!B:K, 3,FALSE)))</f>
        <v/>
      </c>
      <c r="AV394" s="301" t="str">
        <f>IF(OR($B394="", $AP394 = ""), "", IF(VLOOKUP($AP394, CONTRATOS!B:K,4,FALSE)="","",VLOOKUP($AP394, CONTRATOS!B:K,4, FALSE)))</f>
        <v/>
      </c>
      <c r="AW394" s="302" t="str">
        <f t="shared" si="283"/>
        <v/>
      </c>
      <c r="AX394" s="301" t="str">
        <f t="shared" si="284"/>
        <v/>
      </c>
      <c r="AY394" s="301" t="str">
        <f t="shared" si="285"/>
        <v/>
      </c>
      <c r="AZ394" s="301" t="str">
        <f t="shared" si="286"/>
        <v/>
      </c>
      <c r="BA394" s="301" t="str">
        <f t="shared" si="287"/>
        <v/>
      </c>
      <c r="BB394" s="303">
        <f t="shared" si="301"/>
        <v>0</v>
      </c>
      <c r="BC394" s="303" t="str">
        <f t="shared" si="302"/>
        <v/>
      </c>
      <c r="BD394" s="303" t="str">
        <f t="shared" si="303"/>
        <v/>
      </c>
      <c r="BF394" s="304">
        <f t="shared" si="304"/>
        <v>0</v>
      </c>
      <c r="BG394" s="304">
        <f t="shared" si="305"/>
        <v>0</v>
      </c>
      <c r="BH394" s="304" t="str">
        <f>IF( $B394="", "", IF(ISNA(VLOOKUP($C394, Defesa!$C$8:$C$30,1,FALSE)),1,0))</f>
        <v/>
      </c>
      <c r="BI394" s="305" t="str">
        <f t="shared" si="306"/>
        <v/>
      </c>
      <c r="BJ394" s="305" t="str">
        <f t="shared" si="307"/>
        <v/>
      </c>
      <c r="BK394" s="304" t="str">
        <f t="shared" si="308"/>
        <v/>
      </c>
      <c r="BL394" s="304">
        <f t="shared" si="309"/>
        <v>0</v>
      </c>
      <c r="BM394" s="304" t="str">
        <f>IF($AC394="", "", IF(ISNA(VLOOKUP($AC394, TABELAS!$Q:$Q, 1, FALSE)), 1, 0))</f>
        <v/>
      </c>
      <c r="BN394" s="306" t="str">
        <f t="shared" si="310"/>
        <v/>
      </c>
      <c r="BO394" s="304" t="str">
        <f t="shared" si="311"/>
        <v/>
      </c>
      <c r="BP394" s="304" t="str">
        <f t="shared" si="312"/>
        <v/>
      </c>
      <c r="BQ394" s="305" t="str">
        <f t="shared" si="313"/>
        <v/>
      </c>
      <c r="BR394" s="304" t="str">
        <f t="shared" si="314"/>
        <v/>
      </c>
      <c r="BS394" s="304" t="str">
        <f t="shared" si="315"/>
        <v/>
      </c>
      <c r="BT394" s="304" t="str">
        <f>IF(OR($B394="", $AH394 = "SIM"), "", IF( ISNA(VLOOKUP($AP394,#REF!, 1, FALSE)), 1, 0))</f>
        <v/>
      </c>
      <c r="BU394" s="304" t="str">
        <f t="shared" si="316"/>
        <v/>
      </c>
      <c r="BV394" s="304" t="str">
        <f>IF( $B394="", "", IF( ISNA(VLOOKUP($AN394, TABELAS!$T$2:$T$9,1,FALSE)), 1, 0))</f>
        <v/>
      </c>
      <c r="BW394" s="304" t="str">
        <f t="shared" si="317"/>
        <v/>
      </c>
      <c r="BX394" s="304" t="str">
        <f>IF( OR($B394="", $AH394 = "SIM"), "", IF( ISNA( VLOOKUP( $AQ394, SISTEMA!$B:$B, 1, FALSE)), 1, 0))</f>
        <v/>
      </c>
      <c r="BY394" s="305" t="str">
        <f t="shared" si="318"/>
        <v/>
      </c>
      <c r="BZ394" s="305" t="str">
        <f t="shared" si="319"/>
        <v/>
      </c>
      <c r="CA394" s="304" t="str">
        <f t="shared" si="320"/>
        <v/>
      </c>
      <c r="CB394" s="305" t="str">
        <f t="shared" si="321"/>
        <v/>
      </c>
      <c r="CC394" s="305" t="str">
        <f t="shared" si="322"/>
        <v/>
      </c>
      <c r="CD394" s="305" t="str">
        <f t="shared" si="323"/>
        <v/>
      </c>
    </row>
    <row r="395" spans="1:82" x14ac:dyDescent="0.2">
      <c r="A395" s="235"/>
      <c r="B395" s="236" t="str">
        <f t="shared" si="288"/>
        <v/>
      </c>
      <c r="C395" s="237" t="str">
        <f t="shared" si="278"/>
        <v/>
      </c>
      <c r="D395" s="237" t="str">
        <f t="shared" si="289"/>
        <v/>
      </c>
      <c r="E395" s="237" t="str">
        <f>IF($C395="", "", COUNTIF($M$8:$M395,$D395))</f>
        <v/>
      </c>
      <c r="F395" s="238">
        <v>388</v>
      </c>
      <c r="G395" s="239"/>
      <c r="H395" s="240"/>
      <c r="I395" s="240"/>
      <c r="J395" s="241"/>
      <c r="K395" s="240"/>
      <c r="L395" s="240"/>
      <c r="M395" s="240"/>
      <c r="N395" s="242"/>
      <c r="O395" s="243"/>
      <c r="P395" s="243"/>
      <c r="Q395" s="243"/>
      <c r="R395" s="243"/>
      <c r="S395" s="243"/>
      <c r="T395" s="245"/>
      <c r="U395" s="246" t="str">
        <f>IF($T395="", "", VLOOKUP($T395, CONTRATOS!$B:$E, 2, FALSE))</f>
        <v/>
      </c>
      <c r="V395" s="247">
        <f>IF(OR($T395="",TB_DEFESA!$C$2="Criação Baseline"),0,
   IF(VLOOKUP($T395, CONTRATOS!B:E, 3, FALSE)&lt;&gt;"",1,IF(VLOOKUP($T395, CONTRATOS!B:E, 4, FALSE)&lt;&gt;"",2,0)))</f>
        <v>0</v>
      </c>
      <c r="W395" s="248"/>
      <c r="X395" s="248"/>
      <c r="Y395" s="249"/>
      <c r="Z395" s="250"/>
      <c r="AA395" s="251"/>
      <c r="AB395" s="252"/>
      <c r="AC395" s="253"/>
      <c r="AD395" s="251"/>
      <c r="AE395" s="254" t="str">
        <f t="shared" si="279"/>
        <v/>
      </c>
      <c r="AF395" s="256" t="str">
        <f t="shared" si="290"/>
        <v/>
      </c>
      <c r="AG395" s="293" t="s">
        <v>62</v>
      </c>
      <c r="AH395" s="294" t="str">
        <f t="shared" si="291"/>
        <v/>
      </c>
      <c r="AI395" s="294" t="str">
        <f t="shared" si="292"/>
        <v/>
      </c>
      <c r="AJ395" s="295" t="str">
        <f t="shared" si="293"/>
        <v/>
      </c>
      <c r="AK395" s="296" t="str">
        <f t="shared" si="294"/>
        <v/>
      </c>
      <c r="AL395" s="297" t="str">
        <f t="shared" si="295"/>
        <v/>
      </c>
      <c r="AM395" s="294" t="str">
        <f t="shared" si="296"/>
        <v/>
      </c>
      <c r="AN395" s="294" t="str">
        <f t="shared" si="297"/>
        <v/>
      </c>
      <c r="AO395" s="298" t="str">
        <f t="shared" si="298"/>
        <v/>
      </c>
      <c r="AP395" s="299" t="str">
        <f t="shared" si="299"/>
        <v/>
      </c>
      <c r="AQ395" s="299" t="str">
        <f t="shared" si="300"/>
        <v/>
      </c>
      <c r="AR395" s="300" t="str">
        <f t="shared" si="280"/>
        <v/>
      </c>
      <c r="AS395" s="300" t="str">
        <f t="shared" si="281"/>
        <v/>
      </c>
      <c r="AT395" s="294" t="str">
        <f t="shared" si="282"/>
        <v/>
      </c>
      <c r="AU395" s="301" t="str">
        <f>IF(OR($B395="", $AP395= ""),"",IF(VLOOKUP($AP395, CONTRATOS!B:K,3,FALSE)="","",VLOOKUP($AP395, CONTRATOS!B:K, 3,FALSE)))</f>
        <v/>
      </c>
      <c r="AV395" s="301" t="str">
        <f>IF(OR($B395="", $AP395 = ""), "", IF(VLOOKUP($AP395, CONTRATOS!B:K,4,FALSE)="","",VLOOKUP($AP395, CONTRATOS!B:K,4, FALSE)))</f>
        <v/>
      </c>
      <c r="AW395" s="302" t="str">
        <f t="shared" si="283"/>
        <v/>
      </c>
      <c r="AX395" s="301" t="str">
        <f t="shared" si="284"/>
        <v/>
      </c>
      <c r="AY395" s="301" t="str">
        <f t="shared" si="285"/>
        <v/>
      </c>
      <c r="AZ395" s="301" t="str">
        <f t="shared" si="286"/>
        <v/>
      </c>
      <c r="BA395" s="301" t="str">
        <f t="shared" si="287"/>
        <v/>
      </c>
      <c r="BB395" s="303">
        <f t="shared" si="301"/>
        <v>0</v>
      </c>
      <c r="BC395" s="303" t="str">
        <f t="shared" si="302"/>
        <v/>
      </c>
      <c r="BD395" s="303" t="str">
        <f t="shared" si="303"/>
        <v/>
      </c>
      <c r="BF395" s="304">
        <f t="shared" si="304"/>
        <v>0</v>
      </c>
      <c r="BG395" s="304">
        <f t="shared" si="305"/>
        <v>0</v>
      </c>
      <c r="BH395" s="304" t="str">
        <f>IF( $B395="", "", IF(ISNA(VLOOKUP($C395, Defesa!$C$8:$C$30,1,FALSE)),1,0))</f>
        <v/>
      </c>
      <c r="BI395" s="305" t="str">
        <f t="shared" si="306"/>
        <v/>
      </c>
      <c r="BJ395" s="305" t="str">
        <f t="shared" si="307"/>
        <v/>
      </c>
      <c r="BK395" s="304" t="str">
        <f t="shared" si="308"/>
        <v/>
      </c>
      <c r="BL395" s="304">
        <f t="shared" si="309"/>
        <v>0</v>
      </c>
      <c r="BM395" s="304" t="str">
        <f>IF($AC395="", "", IF(ISNA(VLOOKUP($AC395, TABELAS!$Q:$Q, 1, FALSE)), 1, 0))</f>
        <v/>
      </c>
      <c r="BN395" s="306" t="str">
        <f t="shared" si="310"/>
        <v/>
      </c>
      <c r="BO395" s="304" t="str">
        <f t="shared" si="311"/>
        <v/>
      </c>
      <c r="BP395" s="304" t="str">
        <f t="shared" si="312"/>
        <v/>
      </c>
      <c r="BQ395" s="305" t="str">
        <f t="shared" si="313"/>
        <v/>
      </c>
      <c r="BR395" s="304" t="str">
        <f t="shared" si="314"/>
        <v/>
      </c>
      <c r="BS395" s="304" t="str">
        <f t="shared" si="315"/>
        <v/>
      </c>
      <c r="BT395" s="304" t="str">
        <f>IF(OR($B395="", $AH395 = "SIM"), "", IF( ISNA(VLOOKUP($AP395,#REF!, 1, FALSE)), 1, 0))</f>
        <v/>
      </c>
      <c r="BU395" s="304" t="str">
        <f t="shared" si="316"/>
        <v/>
      </c>
      <c r="BV395" s="304" t="str">
        <f>IF( $B395="", "", IF( ISNA(VLOOKUP($AN395, TABELAS!$T$2:$T$9,1,FALSE)), 1, 0))</f>
        <v/>
      </c>
      <c r="BW395" s="304" t="str">
        <f t="shared" si="317"/>
        <v/>
      </c>
      <c r="BX395" s="304" t="str">
        <f>IF( OR($B395="", $AH395 = "SIM"), "", IF( ISNA( VLOOKUP( $AQ395, SISTEMA!$B:$B, 1, FALSE)), 1, 0))</f>
        <v/>
      </c>
      <c r="BY395" s="305" t="str">
        <f t="shared" si="318"/>
        <v/>
      </c>
      <c r="BZ395" s="305" t="str">
        <f t="shared" si="319"/>
        <v/>
      </c>
      <c r="CA395" s="304" t="str">
        <f t="shared" si="320"/>
        <v/>
      </c>
      <c r="CB395" s="305" t="str">
        <f t="shared" si="321"/>
        <v/>
      </c>
      <c r="CC395" s="305" t="str">
        <f t="shared" si="322"/>
        <v/>
      </c>
      <c r="CD395" s="305" t="str">
        <f t="shared" si="323"/>
        <v/>
      </c>
    </row>
    <row r="396" spans="1:82" x14ac:dyDescent="0.2">
      <c r="A396" s="235"/>
      <c r="B396" s="236" t="str">
        <f t="shared" si="288"/>
        <v/>
      </c>
      <c r="C396" s="237" t="str">
        <f t="shared" si="278"/>
        <v/>
      </c>
      <c r="D396" s="237" t="str">
        <f t="shared" si="289"/>
        <v/>
      </c>
      <c r="E396" s="237" t="str">
        <f>IF($C396="", "", COUNTIF($M$8:$M396,$D396))</f>
        <v/>
      </c>
      <c r="F396" s="238">
        <v>389</v>
      </c>
      <c r="G396" s="239"/>
      <c r="H396" s="240"/>
      <c r="I396" s="240"/>
      <c r="J396" s="241"/>
      <c r="K396" s="240"/>
      <c r="L396" s="240"/>
      <c r="M396" s="240"/>
      <c r="N396" s="242"/>
      <c r="O396" s="243"/>
      <c r="P396" s="243"/>
      <c r="Q396" s="243"/>
      <c r="R396" s="243"/>
      <c r="S396" s="243"/>
      <c r="T396" s="245"/>
      <c r="U396" s="246" t="str">
        <f>IF($T396="", "", VLOOKUP($T396, CONTRATOS!$B:$E, 2, FALSE))</f>
        <v/>
      </c>
      <c r="V396" s="247">
        <f>IF(OR($T396="",TB_DEFESA!$C$2="Criação Baseline"),0,
   IF(VLOOKUP($T396, CONTRATOS!B:E, 3, FALSE)&lt;&gt;"",1,IF(VLOOKUP($T396, CONTRATOS!B:E, 4, FALSE)&lt;&gt;"",2,0)))</f>
        <v>0</v>
      </c>
      <c r="W396" s="248"/>
      <c r="X396" s="248"/>
      <c r="Y396" s="249"/>
      <c r="Z396" s="250"/>
      <c r="AA396" s="251"/>
      <c r="AB396" s="252"/>
      <c r="AC396" s="253"/>
      <c r="AD396" s="251"/>
      <c r="AE396" s="254" t="str">
        <f t="shared" si="279"/>
        <v/>
      </c>
      <c r="AF396" s="256" t="str">
        <f t="shared" si="290"/>
        <v/>
      </c>
      <c r="AG396" s="293" t="s">
        <v>62</v>
      </c>
      <c r="AH396" s="294" t="str">
        <f t="shared" si="291"/>
        <v/>
      </c>
      <c r="AI396" s="294" t="str">
        <f t="shared" si="292"/>
        <v/>
      </c>
      <c r="AJ396" s="295" t="str">
        <f t="shared" si="293"/>
        <v/>
      </c>
      <c r="AK396" s="296" t="str">
        <f t="shared" si="294"/>
        <v/>
      </c>
      <c r="AL396" s="297" t="str">
        <f t="shared" si="295"/>
        <v/>
      </c>
      <c r="AM396" s="294" t="str">
        <f t="shared" si="296"/>
        <v/>
      </c>
      <c r="AN396" s="294" t="str">
        <f t="shared" si="297"/>
        <v/>
      </c>
      <c r="AO396" s="298" t="str">
        <f t="shared" si="298"/>
        <v/>
      </c>
      <c r="AP396" s="299" t="str">
        <f t="shared" si="299"/>
        <v/>
      </c>
      <c r="AQ396" s="299" t="str">
        <f t="shared" si="300"/>
        <v/>
      </c>
      <c r="AR396" s="300" t="str">
        <f t="shared" si="280"/>
        <v/>
      </c>
      <c r="AS396" s="300" t="str">
        <f t="shared" si="281"/>
        <v/>
      </c>
      <c r="AT396" s="294" t="str">
        <f t="shared" si="282"/>
        <v/>
      </c>
      <c r="AU396" s="301" t="str">
        <f>IF(OR($B396="", $AP396= ""),"",IF(VLOOKUP($AP396, CONTRATOS!B:K,3,FALSE)="","",VLOOKUP($AP396, CONTRATOS!B:K, 3,FALSE)))</f>
        <v/>
      </c>
      <c r="AV396" s="301" t="str">
        <f>IF(OR($B396="", $AP396 = ""), "", IF(VLOOKUP($AP396, CONTRATOS!B:K,4,FALSE)="","",VLOOKUP($AP396, CONTRATOS!B:K,4, FALSE)))</f>
        <v/>
      </c>
      <c r="AW396" s="302" t="str">
        <f t="shared" si="283"/>
        <v/>
      </c>
      <c r="AX396" s="301" t="str">
        <f t="shared" si="284"/>
        <v/>
      </c>
      <c r="AY396" s="301" t="str">
        <f t="shared" si="285"/>
        <v/>
      </c>
      <c r="AZ396" s="301" t="str">
        <f t="shared" si="286"/>
        <v/>
      </c>
      <c r="BA396" s="301" t="str">
        <f t="shared" si="287"/>
        <v/>
      </c>
      <c r="BB396" s="303">
        <f t="shared" si="301"/>
        <v>0</v>
      </c>
      <c r="BC396" s="303" t="str">
        <f t="shared" si="302"/>
        <v/>
      </c>
      <c r="BD396" s="303" t="str">
        <f t="shared" si="303"/>
        <v/>
      </c>
      <c r="BF396" s="304">
        <f t="shared" si="304"/>
        <v>0</v>
      </c>
      <c r="BG396" s="304">
        <f t="shared" si="305"/>
        <v>0</v>
      </c>
      <c r="BH396" s="304" t="str">
        <f>IF( $B396="", "", IF(ISNA(VLOOKUP($C396, Defesa!$C$8:$C$30,1,FALSE)),1,0))</f>
        <v/>
      </c>
      <c r="BI396" s="305" t="str">
        <f t="shared" si="306"/>
        <v/>
      </c>
      <c r="BJ396" s="305" t="str">
        <f t="shared" si="307"/>
        <v/>
      </c>
      <c r="BK396" s="304" t="str">
        <f t="shared" si="308"/>
        <v/>
      </c>
      <c r="BL396" s="304">
        <f t="shared" si="309"/>
        <v>0</v>
      </c>
      <c r="BM396" s="304" t="str">
        <f>IF($AC396="", "", IF(ISNA(VLOOKUP($AC396, TABELAS!$Q:$Q, 1, FALSE)), 1, 0))</f>
        <v/>
      </c>
      <c r="BN396" s="306" t="str">
        <f t="shared" si="310"/>
        <v/>
      </c>
      <c r="BO396" s="304" t="str">
        <f t="shared" si="311"/>
        <v/>
      </c>
      <c r="BP396" s="304" t="str">
        <f t="shared" si="312"/>
        <v/>
      </c>
      <c r="BQ396" s="305" t="str">
        <f t="shared" si="313"/>
        <v/>
      </c>
      <c r="BR396" s="304" t="str">
        <f t="shared" si="314"/>
        <v/>
      </c>
      <c r="BS396" s="304" t="str">
        <f t="shared" si="315"/>
        <v/>
      </c>
      <c r="BT396" s="304" t="str">
        <f>IF(OR($B396="", $AH396 = "SIM"), "", IF( ISNA(VLOOKUP($AP396,#REF!, 1, FALSE)), 1, 0))</f>
        <v/>
      </c>
      <c r="BU396" s="304" t="str">
        <f t="shared" si="316"/>
        <v/>
      </c>
      <c r="BV396" s="304" t="str">
        <f>IF( $B396="", "", IF( ISNA(VLOOKUP($AN396, TABELAS!$T$2:$T$9,1,FALSE)), 1, 0))</f>
        <v/>
      </c>
      <c r="BW396" s="304" t="str">
        <f t="shared" si="317"/>
        <v/>
      </c>
      <c r="BX396" s="304" t="str">
        <f>IF( OR($B396="", $AH396 = "SIM"), "", IF( ISNA( VLOOKUP( $AQ396, SISTEMA!$B:$B, 1, FALSE)), 1, 0))</f>
        <v/>
      </c>
      <c r="BY396" s="305" t="str">
        <f t="shared" si="318"/>
        <v/>
      </c>
      <c r="BZ396" s="305" t="str">
        <f t="shared" si="319"/>
        <v/>
      </c>
      <c r="CA396" s="304" t="str">
        <f t="shared" si="320"/>
        <v/>
      </c>
      <c r="CB396" s="305" t="str">
        <f t="shared" si="321"/>
        <v/>
      </c>
      <c r="CC396" s="305" t="str">
        <f t="shared" si="322"/>
        <v/>
      </c>
      <c r="CD396" s="305" t="str">
        <f t="shared" si="323"/>
        <v/>
      </c>
    </row>
    <row r="397" spans="1:82" x14ac:dyDescent="0.2">
      <c r="A397" s="235"/>
      <c r="B397" s="236" t="str">
        <f t="shared" si="288"/>
        <v/>
      </c>
      <c r="C397" s="237" t="str">
        <f t="shared" si="278"/>
        <v/>
      </c>
      <c r="D397" s="237" t="str">
        <f t="shared" si="289"/>
        <v/>
      </c>
      <c r="E397" s="237" t="str">
        <f>IF($C397="", "", COUNTIF($M$8:$M397,$D397))</f>
        <v/>
      </c>
      <c r="F397" s="238">
        <v>390</v>
      </c>
      <c r="G397" s="239"/>
      <c r="H397" s="240"/>
      <c r="I397" s="240"/>
      <c r="J397" s="241"/>
      <c r="K397" s="240"/>
      <c r="L397" s="240"/>
      <c r="M397" s="240"/>
      <c r="N397" s="242"/>
      <c r="O397" s="243"/>
      <c r="P397" s="243"/>
      <c r="Q397" s="243"/>
      <c r="R397" s="243"/>
      <c r="S397" s="243"/>
      <c r="T397" s="245"/>
      <c r="U397" s="246" t="str">
        <f>IF($T397="", "", VLOOKUP($T397, CONTRATOS!$B:$E, 2, FALSE))</f>
        <v/>
      </c>
      <c r="V397" s="247">
        <f>IF(OR($T397="",TB_DEFESA!$C$2="Criação Baseline"),0,
   IF(VLOOKUP($T397, CONTRATOS!B:E, 3, FALSE)&lt;&gt;"",1,IF(VLOOKUP($T397, CONTRATOS!B:E, 4, FALSE)&lt;&gt;"",2,0)))</f>
        <v>0</v>
      </c>
      <c r="W397" s="248"/>
      <c r="X397" s="248"/>
      <c r="Y397" s="249"/>
      <c r="Z397" s="250"/>
      <c r="AA397" s="251"/>
      <c r="AB397" s="252"/>
      <c r="AC397" s="253"/>
      <c r="AD397" s="251"/>
      <c r="AE397" s="254" t="str">
        <f t="shared" si="279"/>
        <v/>
      </c>
      <c r="AF397" s="256" t="str">
        <f t="shared" si="290"/>
        <v/>
      </c>
      <c r="AG397" s="293" t="s">
        <v>62</v>
      </c>
      <c r="AH397" s="294" t="str">
        <f t="shared" si="291"/>
        <v/>
      </c>
      <c r="AI397" s="294" t="str">
        <f t="shared" si="292"/>
        <v/>
      </c>
      <c r="AJ397" s="295" t="str">
        <f t="shared" si="293"/>
        <v/>
      </c>
      <c r="AK397" s="296" t="str">
        <f t="shared" si="294"/>
        <v/>
      </c>
      <c r="AL397" s="297" t="str">
        <f t="shared" si="295"/>
        <v/>
      </c>
      <c r="AM397" s="294" t="str">
        <f t="shared" si="296"/>
        <v/>
      </c>
      <c r="AN397" s="294" t="str">
        <f t="shared" si="297"/>
        <v/>
      </c>
      <c r="AO397" s="298" t="str">
        <f t="shared" si="298"/>
        <v/>
      </c>
      <c r="AP397" s="299" t="str">
        <f t="shared" si="299"/>
        <v/>
      </c>
      <c r="AQ397" s="299" t="str">
        <f t="shared" si="300"/>
        <v/>
      </c>
      <c r="AR397" s="300" t="str">
        <f t="shared" si="280"/>
        <v/>
      </c>
      <c r="AS397" s="300" t="str">
        <f t="shared" si="281"/>
        <v/>
      </c>
      <c r="AT397" s="294" t="str">
        <f t="shared" si="282"/>
        <v/>
      </c>
      <c r="AU397" s="301" t="str">
        <f>IF(OR($B397="", $AP397= ""),"",IF(VLOOKUP($AP397, CONTRATOS!B:K,3,FALSE)="","",VLOOKUP($AP397, CONTRATOS!B:K, 3,FALSE)))</f>
        <v/>
      </c>
      <c r="AV397" s="301" t="str">
        <f>IF(OR($B397="", $AP397 = ""), "", IF(VLOOKUP($AP397, CONTRATOS!B:K,4,FALSE)="","",VLOOKUP($AP397, CONTRATOS!B:K,4, FALSE)))</f>
        <v/>
      </c>
      <c r="AW397" s="302" t="str">
        <f t="shared" si="283"/>
        <v/>
      </c>
      <c r="AX397" s="301" t="str">
        <f t="shared" si="284"/>
        <v/>
      </c>
      <c r="AY397" s="301" t="str">
        <f t="shared" si="285"/>
        <v/>
      </c>
      <c r="AZ397" s="301" t="str">
        <f t="shared" si="286"/>
        <v/>
      </c>
      <c r="BA397" s="301" t="str">
        <f t="shared" si="287"/>
        <v/>
      </c>
      <c r="BB397" s="303">
        <f t="shared" si="301"/>
        <v>0</v>
      </c>
      <c r="BC397" s="303" t="str">
        <f t="shared" si="302"/>
        <v/>
      </c>
      <c r="BD397" s="303" t="str">
        <f t="shared" si="303"/>
        <v/>
      </c>
      <c r="BF397" s="304">
        <f t="shared" si="304"/>
        <v>0</v>
      </c>
      <c r="BG397" s="304">
        <f t="shared" si="305"/>
        <v>0</v>
      </c>
      <c r="BH397" s="304" t="str">
        <f>IF( $B397="", "", IF(ISNA(VLOOKUP($C397, Defesa!$C$8:$C$30,1,FALSE)),1,0))</f>
        <v/>
      </c>
      <c r="BI397" s="305" t="str">
        <f t="shared" si="306"/>
        <v/>
      </c>
      <c r="BJ397" s="305" t="str">
        <f t="shared" si="307"/>
        <v/>
      </c>
      <c r="BK397" s="304" t="str">
        <f t="shared" si="308"/>
        <v/>
      </c>
      <c r="BL397" s="304">
        <f t="shared" si="309"/>
        <v>0</v>
      </c>
      <c r="BM397" s="304" t="str">
        <f>IF($AC397="", "", IF(ISNA(VLOOKUP($AC397, TABELAS!$Q:$Q, 1, FALSE)), 1, 0))</f>
        <v/>
      </c>
      <c r="BN397" s="306" t="str">
        <f t="shared" si="310"/>
        <v/>
      </c>
      <c r="BO397" s="304" t="str">
        <f t="shared" si="311"/>
        <v/>
      </c>
      <c r="BP397" s="304" t="str">
        <f t="shared" si="312"/>
        <v/>
      </c>
      <c r="BQ397" s="305" t="str">
        <f t="shared" si="313"/>
        <v/>
      </c>
      <c r="BR397" s="304" t="str">
        <f t="shared" si="314"/>
        <v/>
      </c>
      <c r="BS397" s="304" t="str">
        <f t="shared" si="315"/>
        <v/>
      </c>
      <c r="BT397" s="304" t="str">
        <f>IF(OR($B397="", $AH397 = "SIM"), "", IF( ISNA(VLOOKUP($AP397,#REF!, 1, FALSE)), 1, 0))</f>
        <v/>
      </c>
      <c r="BU397" s="304" t="str">
        <f t="shared" si="316"/>
        <v/>
      </c>
      <c r="BV397" s="304" t="str">
        <f>IF( $B397="", "", IF( ISNA(VLOOKUP($AN397, TABELAS!$T$2:$T$9,1,FALSE)), 1, 0))</f>
        <v/>
      </c>
      <c r="BW397" s="304" t="str">
        <f t="shared" si="317"/>
        <v/>
      </c>
      <c r="BX397" s="304" t="str">
        <f>IF( OR($B397="", $AH397 = "SIM"), "", IF( ISNA( VLOOKUP( $AQ397, SISTEMA!$B:$B, 1, FALSE)), 1, 0))</f>
        <v/>
      </c>
      <c r="BY397" s="305" t="str">
        <f t="shared" si="318"/>
        <v/>
      </c>
      <c r="BZ397" s="305" t="str">
        <f t="shared" si="319"/>
        <v/>
      </c>
      <c r="CA397" s="304" t="str">
        <f t="shared" si="320"/>
        <v/>
      </c>
      <c r="CB397" s="305" t="str">
        <f t="shared" si="321"/>
        <v/>
      </c>
      <c r="CC397" s="305" t="str">
        <f t="shared" si="322"/>
        <v/>
      </c>
      <c r="CD397" s="305" t="str">
        <f t="shared" si="323"/>
        <v/>
      </c>
    </row>
    <row r="398" spans="1:82" x14ac:dyDescent="0.2">
      <c r="A398" s="235"/>
      <c r="B398" s="236" t="str">
        <f t="shared" si="288"/>
        <v/>
      </c>
      <c r="C398" s="237" t="str">
        <f t="shared" si="278"/>
        <v/>
      </c>
      <c r="D398" s="237" t="str">
        <f t="shared" si="289"/>
        <v/>
      </c>
      <c r="E398" s="237" t="str">
        <f>IF($C398="", "", COUNTIF($M$8:$M398,$D398))</f>
        <v/>
      </c>
      <c r="F398" s="238">
        <v>391</v>
      </c>
      <c r="G398" s="239"/>
      <c r="H398" s="240"/>
      <c r="I398" s="240"/>
      <c r="J398" s="241"/>
      <c r="K398" s="240"/>
      <c r="L398" s="240"/>
      <c r="M398" s="240"/>
      <c r="N398" s="242"/>
      <c r="O398" s="243"/>
      <c r="P398" s="243"/>
      <c r="Q398" s="243"/>
      <c r="R398" s="243"/>
      <c r="S398" s="243"/>
      <c r="T398" s="245"/>
      <c r="U398" s="246" t="str">
        <f>IF($T398="", "", VLOOKUP($T398, CONTRATOS!$B:$E, 2, FALSE))</f>
        <v/>
      </c>
      <c r="V398" s="247">
        <f>IF(OR($T398="",TB_DEFESA!$C$2="Criação Baseline"),0,
   IF(VLOOKUP($T398, CONTRATOS!B:E, 3, FALSE)&lt;&gt;"",1,IF(VLOOKUP($T398, CONTRATOS!B:E, 4, FALSE)&lt;&gt;"",2,0)))</f>
        <v>0</v>
      </c>
      <c r="W398" s="248"/>
      <c r="X398" s="248"/>
      <c r="Y398" s="249"/>
      <c r="Z398" s="250"/>
      <c r="AA398" s="251"/>
      <c r="AB398" s="252"/>
      <c r="AC398" s="253"/>
      <c r="AD398" s="251"/>
      <c r="AE398" s="254" t="str">
        <f t="shared" si="279"/>
        <v/>
      </c>
      <c r="AF398" s="256" t="str">
        <f t="shared" si="290"/>
        <v/>
      </c>
      <c r="AG398" s="293" t="s">
        <v>62</v>
      </c>
      <c r="AH398" s="294" t="str">
        <f t="shared" si="291"/>
        <v/>
      </c>
      <c r="AI398" s="294" t="str">
        <f t="shared" si="292"/>
        <v/>
      </c>
      <c r="AJ398" s="295" t="str">
        <f t="shared" si="293"/>
        <v/>
      </c>
      <c r="AK398" s="296" t="str">
        <f t="shared" si="294"/>
        <v/>
      </c>
      <c r="AL398" s="297" t="str">
        <f t="shared" si="295"/>
        <v/>
      </c>
      <c r="AM398" s="294" t="str">
        <f t="shared" si="296"/>
        <v/>
      </c>
      <c r="AN398" s="294" t="str">
        <f t="shared" si="297"/>
        <v/>
      </c>
      <c r="AO398" s="298" t="str">
        <f t="shared" si="298"/>
        <v/>
      </c>
      <c r="AP398" s="299" t="str">
        <f t="shared" si="299"/>
        <v/>
      </c>
      <c r="AQ398" s="299" t="str">
        <f t="shared" si="300"/>
        <v/>
      </c>
      <c r="AR398" s="300" t="str">
        <f t="shared" si="280"/>
        <v/>
      </c>
      <c r="AS398" s="300" t="str">
        <f t="shared" si="281"/>
        <v/>
      </c>
      <c r="AT398" s="294" t="str">
        <f t="shared" si="282"/>
        <v/>
      </c>
      <c r="AU398" s="301" t="str">
        <f>IF(OR($B398="", $AP398= ""),"",IF(VLOOKUP($AP398, CONTRATOS!B:K,3,FALSE)="","",VLOOKUP($AP398, CONTRATOS!B:K, 3,FALSE)))</f>
        <v/>
      </c>
      <c r="AV398" s="301" t="str">
        <f>IF(OR($B398="", $AP398 = ""), "", IF(VLOOKUP($AP398, CONTRATOS!B:K,4,FALSE)="","",VLOOKUP($AP398, CONTRATOS!B:K,4, FALSE)))</f>
        <v/>
      </c>
      <c r="AW398" s="302" t="str">
        <f t="shared" si="283"/>
        <v/>
      </c>
      <c r="AX398" s="301" t="str">
        <f t="shared" si="284"/>
        <v/>
      </c>
      <c r="AY398" s="301" t="str">
        <f t="shared" si="285"/>
        <v/>
      </c>
      <c r="AZ398" s="301" t="str">
        <f t="shared" si="286"/>
        <v/>
      </c>
      <c r="BA398" s="301" t="str">
        <f t="shared" si="287"/>
        <v/>
      </c>
      <c r="BB398" s="303">
        <f t="shared" si="301"/>
        <v>0</v>
      </c>
      <c r="BC398" s="303" t="str">
        <f t="shared" si="302"/>
        <v/>
      </c>
      <c r="BD398" s="303" t="str">
        <f t="shared" si="303"/>
        <v/>
      </c>
      <c r="BF398" s="304">
        <f t="shared" si="304"/>
        <v>0</v>
      </c>
      <c r="BG398" s="304">
        <f t="shared" si="305"/>
        <v>0</v>
      </c>
      <c r="BH398" s="304" t="str">
        <f>IF( $B398="", "", IF(ISNA(VLOOKUP($C398, Defesa!$C$8:$C$30,1,FALSE)),1,0))</f>
        <v/>
      </c>
      <c r="BI398" s="305" t="str">
        <f t="shared" si="306"/>
        <v/>
      </c>
      <c r="BJ398" s="305" t="str">
        <f t="shared" si="307"/>
        <v/>
      </c>
      <c r="BK398" s="304" t="str">
        <f t="shared" si="308"/>
        <v/>
      </c>
      <c r="BL398" s="304">
        <f t="shared" si="309"/>
        <v>0</v>
      </c>
      <c r="BM398" s="304" t="str">
        <f>IF($AC398="", "", IF(ISNA(VLOOKUP($AC398, TABELAS!$Q:$Q, 1, FALSE)), 1, 0))</f>
        <v/>
      </c>
      <c r="BN398" s="306" t="str">
        <f t="shared" si="310"/>
        <v/>
      </c>
      <c r="BO398" s="304" t="str">
        <f t="shared" si="311"/>
        <v/>
      </c>
      <c r="BP398" s="304" t="str">
        <f t="shared" si="312"/>
        <v/>
      </c>
      <c r="BQ398" s="305" t="str">
        <f t="shared" si="313"/>
        <v/>
      </c>
      <c r="BR398" s="304" t="str">
        <f t="shared" si="314"/>
        <v/>
      </c>
      <c r="BS398" s="304" t="str">
        <f t="shared" si="315"/>
        <v/>
      </c>
      <c r="BT398" s="304" t="str">
        <f>IF(OR($B398="", $AH398 = "SIM"), "", IF( ISNA(VLOOKUP($AP398,#REF!, 1, FALSE)), 1, 0))</f>
        <v/>
      </c>
      <c r="BU398" s="304" t="str">
        <f t="shared" si="316"/>
        <v/>
      </c>
      <c r="BV398" s="304" t="str">
        <f>IF( $B398="", "", IF( ISNA(VLOOKUP($AN398, TABELAS!$T$2:$T$9,1,FALSE)), 1, 0))</f>
        <v/>
      </c>
      <c r="BW398" s="304" t="str">
        <f t="shared" si="317"/>
        <v/>
      </c>
      <c r="BX398" s="304" t="str">
        <f>IF( OR($B398="", $AH398 = "SIM"), "", IF( ISNA( VLOOKUP( $AQ398, SISTEMA!$B:$B, 1, FALSE)), 1, 0))</f>
        <v/>
      </c>
      <c r="BY398" s="305" t="str">
        <f t="shared" si="318"/>
        <v/>
      </c>
      <c r="BZ398" s="305" t="str">
        <f t="shared" si="319"/>
        <v/>
      </c>
      <c r="CA398" s="304" t="str">
        <f t="shared" si="320"/>
        <v/>
      </c>
      <c r="CB398" s="305" t="str">
        <f t="shared" si="321"/>
        <v/>
      </c>
      <c r="CC398" s="305" t="str">
        <f t="shared" si="322"/>
        <v/>
      </c>
      <c r="CD398" s="305" t="str">
        <f t="shared" si="323"/>
        <v/>
      </c>
    </row>
    <row r="399" spans="1:82" x14ac:dyDescent="0.2">
      <c r="A399" s="235"/>
      <c r="B399" s="236" t="str">
        <f t="shared" si="288"/>
        <v/>
      </c>
      <c r="C399" s="237" t="str">
        <f t="shared" si="278"/>
        <v/>
      </c>
      <c r="D399" s="237" t="str">
        <f t="shared" si="289"/>
        <v/>
      </c>
      <c r="E399" s="237" t="str">
        <f>IF($C399="", "", COUNTIF($M$8:$M399,$D399))</f>
        <v/>
      </c>
      <c r="F399" s="238">
        <v>392</v>
      </c>
      <c r="G399" s="239"/>
      <c r="H399" s="240"/>
      <c r="I399" s="240"/>
      <c r="J399" s="241"/>
      <c r="K399" s="240"/>
      <c r="L399" s="240"/>
      <c r="M399" s="240"/>
      <c r="N399" s="242"/>
      <c r="O399" s="243"/>
      <c r="P399" s="243"/>
      <c r="Q399" s="243"/>
      <c r="R399" s="243"/>
      <c r="S399" s="243"/>
      <c r="T399" s="245"/>
      <c r="U399" s="246" t="str">
        <f>IF($T399="", "", VLOOKUP($T399, CONTRATOS!$B:$E, 2, FALSE))</f>
        <v/>
      </c>
      <c r="V399" s="247">
        <f>IF(OR($T399="",TB_DEFESA!$C$2="Criação Baseline"),0,
   IF(VLOOKUP($T399, CONTRATOS!B:E, 3, FALSE)&lt;&gt;"",1,IF(VLOOKUP($T399, CONTRATOS!B:E, 4, FALSE)&lt;&gt;"",2,0)))</f>
        <v>0</v>
      </c>
      <c r="W399" s="248"/>
      <c r="X399" s="248"/>
      <c r="Y399" s="249"/>
      <c r="Z399" s="250"/>
      <c r="AA399" s="251"/>
      <c r="AB399" s="252"/>
      <c r="AC399" s="253"/>
      <c r="AD399" s="251"/>
      <c r="AE399" s="254" t="str">
        <f t="shared" si="279"/>
        <v/>
      </c>
      <c r="AF399" s="256" t="str">
        <f t="shared" si="290"/>
        <v/>
      </c>
      <c r="AG399" s="293" t="s">
        <v>62</v>
      </c>
      <c r="AH399" s="294" t="str">
        <f t="shared" si="291"/>
        <v/>
      </c>
      <c r="AI399" s="294" t="str">
        <f t="shared" si="292"/>
        <v/>
      </c>
      <c r="AJ399" s="295" t="str">
        <f t="shared" si="293"/>
        <v/>
      </c>
      <c r="AK399" s="296" t="str">
        <f t="shared" si="294"/>
        <v/>
      </c>
      <c r="AL399" s="297" t="str">
        <f t="shared" si="295"/>
        <v/>
      </c>
      <c r="AM399" s="294" t="str">
        <f t="shared" si="296"/>
        <v/>
      </c>
      <c r="AN399" s="294" t="str">
        <f t="shared" si="297"/>
        <v/>
      </c>
      <c r="AO399" s="298" t="str">
        <f t="shared" si="298"/>
        <v/>
      </c>
      <c r="AP399" s="299" t="str">
        <f t="shared" si="299"/>
        <v/>
      </c>
      <c r="AQ399" s="299" t="str">
        <f t="shared" si="300"/>
        <v/>
      </c>
      <c r="AR399" s="300" t="str">
        <f t="shared" si="280"/>
        <v/>
      </c>
      <c r="AS399" s="300" t="str">
        <f t="shared" si="281"/>
        <v/>
      </c>
      <c r="AT399" s="294" t="str">
        <f t="shared" si="282"/>
        <v/>
      </c>
      <c r="AU399" s="301" t="str">
        <f>IF(OR($B399="", $AP399= ""),"",IF(VLOOKUP($AP399, CONTRATOS!B:K,3,FALSE)="","",VLOOKUP($AP399, CONTRATOS!B:K, 3,FALSE)))</f>
        <v/>
      </c>
      <c r="AV399" s="301" t="str">
        <f>IF(OR($B399="", $AP399 = ""), "", IF(VLOOKUP($AP399, CONTRATOS!B:K,4,FALSE)="","",VLOOKUP($AP399, CONTRATOS!B:K,4, FALSE)))</f>
        <v/>
      </c>
      <c r="AW399" s="302" t="str">
        <f t="shared" si="283"/>
        <v/>
      </c>
      <c r="AX399" s="301" t="str">
        <f t="shared" si="284"/>
        <v/>
      </c>
      <c r="AY399" s="301" t="str">
        <f t="shared" si="285"/>
        <v/>
      </c>
      <c r="AZ399" s="301" t="str">
        <f t="shared" si="286"/>
        <v/>
      </c>
      <c r="BA399" s="301" t="str">
        <f t="shared" si="287"/>
        <v/>
      </c>
      <c r="BB399" s="303">
        <f t="shared" si="301"/>
        <v>0</v>
      </c>
      <c r="BC399" s="303" t="str">
        <f t="shared" si="302"/>
        <v/>
      </c>
      <c r="BD399" s="303" t="str">
        <f t="shared" si="303"/>
        <v/>
      </c>
      <c r="BF399" s="304">
        <f t="shared" si="304"/>
        <v>0</v>
      </c>
      <c r="BG399" s="304">
        <f t="shared" si="305"/>
        <v>0</v>
      </c>
      <c r="BH399" s="304" t="str">
        <f>IF( $B399="", "", IF(ISNA(VLOOKUP($C399, Defesa!$C$8:$C$30,1,FALSE)),1,0))</f>
        <v/>
      </c>
      <c r="BI399" s="305" t="str">
        <f t="shared" si="306"/>
        <v/>
      </c>
      <c r="BJ399" s="305" t="str">
        <f t="shared" si="307"/>
        <v/>
      </c>
      <c r="BK399" s="304" t="str">
        <f t="shared" si="308"/>
        <v/>
      </c>
      <c r="BL399" s="304">
        <f t="shared" si="309"/>
        <v>0</v>
      </c>
      <c r="BM399" s="304" t="str">
        <f>IF($AC399="", "", IF(ISNA(VLOOKUP($AC399, TABELAS!$Q:$Q, 1, FALSE)), 1, 0))</f>
        <v/>
      </c>
      <c r="BN399" s="306" t="str">
        <f t="shared" si="310"/>
        <v/>
      </c>
      <c r="BO399" s="304" t="str">
        <f t="shared" si="311"/>
        <v/>
      </c>
      <c r="BP399" s="304" t="str">
        <f t="shared" si="312"/>
        <v/>
      </c>
      <c r="BQ399" s="305" t="str">
        <f t="shared" si="313"/>
        <v/>
      </c>
      <c r="BR399" s="304" t="str">
        <f t="shared" si="314"/>
        <v/>
      </c>
      <c r="BS399" s="304" t="str">
        <f t="shared" si="315"/>
        <v/>
      </c>
      <c r="BT399" s="304" t="str">
        <f>IF(OR($B399="", $AH399 = "SIM"), "", IF( ISNA(VLOOKUP($AP399,#REF!, 1, FALSE)), 1, 0))</f>
        <v/>
      </c>
      <c r="BU399" s="304" t="str">
        <f t="shared" si="316"/>
        <v/>
      </c>
      <c r="BV399" s="304" t="str">
        <f>IF( $B399="", "", IF( ISNA(VLOOKUP($AN399, TABELAS!$T$2:$T$9,1,FALSE)), 1, 0))</f>
        <v/>
      </c>
      <c r="BW399" s="304" t="str">
        <f t="shared" si="317"/>
        <v/>
      </c>
      <c r="BX399" s="304" t="str">
        <f>IF( OR($B399="", $AH399 = "SIM"), "", IF( ISNA( VLOOKUP( $AQ399, SISTEMA!$B:$B, 1, FALSE)), 1, 0))</f>
        <v/>
      </c>
      <c r="BY399" s="305" t="str">
        <f t="shared" si="318"/>
        <v/>
      </c>
      <c r="BZ399" s="305" t="str">
        <f t="shared" si="319"/>
        <v/>
      </c>
      <c r="CA399" s="304" t="str">
        <f t="shared" si="320"/>
        <v/>
      </c>
      <c r="CB399" s="305" t="str">
        <f t="shared" si="321"/>
        <v/>
      </c>
      <c r="CC399" s="305" t="str">
        <f t="shared" si="322"/>
        <v/>
      </c>
      <c r="CD399" s="305" t="str">
        <f t="shared" si="323"/>
        <v/>
      </c>
    </row>
    <row r="400" spans="1:82" x14ac:dyDescent="0.2">
      <c r="A400" s="235"/>
      <c r="B400" s="236" t="str">
        <f t="shared" si="288"/>
        <v/>
      </c>
      <c r="C400" s="237" t="str">
        <f t="shared" si="278"/>
        <v/>
      </c>
      <c r="D400" s="237" t="str">
        <f t="shared" si="289"/>
        <v/>
      </c>
      <c r="E400" s="237" t="str">
        <f>IF($C400="", "", COUNTIF($M$8:$M400,$D400))</f>
        <v/>
      </c>
      <c r="F400" s="238">
        <v>393</v>
      </c>
      <c r="G400" s="239"/>
      <c r="H400" s="240"/>
      <c r="I400" s="240"/>
      <c r="J400" s="241"/>
      <c r="K400" s="240"/>
      <c r="L400" s="240"/>
      <c r="M400" s="240"/>
      <c r="N400" s="242"/>
      <c r="O400" s="243"/>
      <c r="P400" s="243"/>
      <c r="Q400" s="243"/>
      <c r="R400" s="243"/>
      <c r="S400" s="243"/>
      <c r="T400" s="245"/>
      <c r="U400" s="246" t="str">
        <f>IF($T400="", "", VLOOKUP($T400, CONTRATOS!$B:$E, 2, FALSE))</f>
        <v/>
      </c>
      <c r="V400" s="247">
        <f>IF(OR($T400="",TB_DEFESA!$C$2="Criação Baseline"),0,
   IF(VLOOKUP($T400, CONTRATOS!B:E, 3, FALSE)&lt;&gt;"",1,IF(VLOOKUP($T400, CONTRATOS!B:E, 4, FALSE)&lt;&gt;"",2,0)))</f>
        <v>0</v>
      </c>
      <c r="W400" s="248"/>
      <c r="X400" s="248"/>
      <c r="Y400" s="249"/>
      <c r="Z400" s="250"/>
      <c r="AA400" s="251"/>
      <c r="AB400" s="252"/>
      <c r="AC400" s="253"/>
      <c r="AD400" s="251"/>
      <c r="AE400" s="254" t="str">
        <f t="shared" si="279"/>
        <v/>
      </c>
      <c r="AF400" s="256" t="str">
        <f t="shared" si="290"/>
        <v/>
      </c>
      <c r="AG400" s="293" t="s">
        <v>62</v>
      </c>
      <c r="AH400" s="294" t="str">
        <f t="shared" si="291"/>
        <v/>
      </c>
      <c r="AI400" s="294" t="str">
        <f t="shared" si="292"/>
        <v/>
      </c>
      <c r="AJ400" s="295" t="str">
        <f t="shared" si="293"/>
        <v/>
      </c>
      <c r="AK400" s="296" t="str">
        <f t="shared" si="294"/>
        <v/>
      </c>
      <c r="AL400" s="297" t="str">
        <f t="shared" si="295"/>
        <v/>
      </c>
      <c r="AM400" s="294" t="str">
        <f t="shared" si="296"/>
        <v/>
      </c>
      <c r="AN400" s="294" t="str">
        <f t="shared" si="297"/>
        <v/>
      </c>
      <c r="AO400" s="298" t="str">
        <f t="shared" si="298"/>
        <v/>
      </c>
      <c r="AP400" s="299" t="str">
        <f t="shared" si="299"/>
        <v/>
      </c>
      <c r="AQ400" s="299" t="str">
        <f t="shared" si="300"/>
        <v/>
      </c>
      <c r="AR400" s="300" t="str">
        <f t="shared" si="280"/>
        <v/>
      </c>
      <c r="AS400" s="300" t="str">
        <f t="shared" si="281"/>
        <v/>
      </c>
      <c r="AT400" s="294" t="str">
        <f t="shared" si="282"/>
        <v/>
      </c>
      <c r="AU400" s="301" t="str">
        <f>IF(OR($B400="", $AP400= ""),"",IF(VLOOKUP($AP400, CONTRATOS!B:K,3,FALSE)="","",VLOOKUP($AP400, CONTRATOS!B:K, 3,FALSE)))</f>
        <v/>
      </c>
      <c r="AV400" s="301" t="str">
        <f>IF(OR($B400="", $AP400 = ""), "", IF(VLOOKUP($AP400, CONTRATOS!B:K,4,FALSE)="","",VLOOKUP($AP400, CONTRATOS!B:K,4, FALSE)))</f>
        <v/>
      </c>
      <c r="AW400" s="302" t="str">
        <f t="shared" si="283"/>
        <v/>
      </c>
      <c r="AX400" s="301" t="str">
        <f t="shared" si="284"/>
        <v/>
      </c>
      <c r="AY400" s="301" t="str">
        <f t="shared" si="285"/>
        <v/>
      </c>
      <c r="AZ400" s="301" t="str">
        <f t="shared" si="286"/>
        <v/>
      </c>
      <c r="BA400" s="301" t="str">
        <f t="shared" si="287"/>
        <v/>
      </c>
      <c r="BB400" s="303">
        <f t="shared" si="301"/>
        <v>0</v>
      </c>
      <c r="BC400" s="303" t="str">
        <f t="shared" si="302"/>
        <v/>
      </c>
      <c r="BD400" s="303" t="str">
        <f t="shared" si="303"/>
        <v/>
      </c>
      <c r="BF400" s="304">
        <f t="shared" si="304"/>
        <v>0</v>
      </c>
      <c r="BG400" s="304">
        <f t="shared" si="305"/>
        <v>0</v>
      </c>
      <c r="BH400" s="304" t="str">
        <f>IF( $B400="", "", IF(ISNA(VLOOKUP($C400, Defesa!$C$8:$C$30,1,FALSE)),1,0))</f>
        <v/>
      </c>
      <c r="BI400" s="305" t="str">
        <f t="shared" si="306"/>
        <v/>
      </c>
      <c r="BJ400" s="305" t="str">
        <f t="shared" si="307"/>
        <v/>
      </c>
      <c r="BK400" s="304" t="str">
        <f t="shared" si="308"/>
        <v/>
      </c>
      <c r="BL400" s="304">
        <f t="shared" si="309"/>
        <v>0</v>
      </c>
      <c r="BM400" s="304" t="str">
        <f>IF($AC400="", "", IF(ISNA(VLOOKUP($AC400, TABELAS!$Q:$Q, 1, FALSE)), 1, 0))</f>
        <v/>
      </c>
      <c r="BN400" s="306" t="str">
        <f t="shared" si="310"/>
        <v/>
      </c>
      <c r="BO400" s="304" t="str">
        <f t="shared" si="311"/>
        <v/>
      </c>
      <c r="BP400" s="304" t="str">
        <f t="shared" si="312"/>
        <v/>
      </c>
      <c r="BQ400" s="305" t="str">
        <f t="shared" si="313"/>
        <v/>
      </c>
      <c r="BR400" s="304" t="str">
        <f t="shared" si="314"/>
        <v/>
      </c>
      <c r="BS400" s="304" t="str">
        <f t="shared" si="315"/>
        <v/>
      </c>
      <c r="BT400" s="304" t="str">
        <f>IF(OR($B400="", $AH400 = "SIM"), "", IF( ISNA(VLOOKUP($AP400,#REF!, 1, FALSE)), 1, 0))</f>
        <v/>
      </c>
      <c r="BU400" s="304" t="str">
        <f t="shared" si="316"/>
        <v/>
      </c>
      <c r="BV400" s="304" t="str">
        <f>IF( $B400="", "", IF( ISNA(VLOOKUP($AN400, TABELAS!$T$2:$T$9,1,FALSE)), 1, 0))</f>
        <v/>
      </c>
      <c r="BW400" s="304" t="str">
        <f t="shared" si="317"/>
        <v/>
      </c>
      <c r="BX400" s="304" t="str">
        <f>IF( OR($B400="", $AH400 = "SIM"), "", IF( ISNA( VLOOKUP( $AQ400, SISTEMA!$B:$B, 1, FALSE)), 1, 0))</f>
        <v/>
      </c>
      <c r="BY400" s="305" t="str">
        <f t="shared" si="318"/>
        <v/>
      </c>
      <c r="BZ400" s="305" t="str">
        <f t="shared" si="319"/>
        <v/>
      </c>
      <c r="CA400" s="304" t="str">
        <f t="shared" si="320"/>
        <v/>
      </c>
      <c r="CB400" s="305" t="str">
        <f t="shared" si="321"/>
        <v/>
      </c>
      <c r="CC400" s="305" t="str">
        <f t="shared" si="322"/>
        <v/>
      </c>
      <c r="CD400" s="305" t="str">
        <f t="shared" si="323"/>
        <v/>
      </c>
    </row>
    <row r="401" spans="1:82" x14ac:dyDescent="0.2">
      <c r="A401" s="235"/>
      <c r="B401" s="236" t="str">
        <f t="shared" si="288"/>
        <v/>
      </c>
      <c r="C401" s="237" t="str">
        <f t="shared" si="278"/>
        <v/>
      </c>
      <c r="D401" s="237" t="str">
        <f t="shared" si="289"/>
        <v/>
      </c>
      <c r="E401" s="237" t="str">
        <f>IF($C401="", "", COUNTIF($M$8:$M401,$D401))</f>
        <v/>
      </c>
      <c r="F401" s="238">
        <v>394</v>
      </c>
      <c r="G401" s="239"/>
      <c r="H401" s="240"/>
      <c r="I401" s="240"/>
      <c r="J401" s="241"/>
      <c r="K401" s="240"/>
      <c r="L401" s="240"/>
      <c r="M401" s="240"/>
      <c r="N401" s="242"/>
      <c r="O401" s="243"/>
      <c r="P401" s="243"/>
      <c r="Q401" s="243"/>
      <c r="R401" s="243"/>
      <c r="S401" s="243"/>
      <c r="T401" s="245"/>
      <c r="U401" s="246" t="str">
        <f>IF($T401="", "", VLOOKUP($T401, CONTRATOS!$B:$E, 2, FALSE))</f>
        <v/>
      </c>
      <c r="V401" s="247">
        <f>IF(OR($T401="",TB_DEFESA!$C$2="Criação Baseline"),0,
   IF(VLOOKUP($T401, CONTRATOS!B:E, 3, FALSE)&lt;&gt;"",1,IF(VLOOKUP($T401, CONTRATOS!B:E, 4, FALSE)&lt;&gt;"",2,0)))</f>
        <v>0</v>
      </c>
      <c r="W401" s="248"/>
      <c r="X401" s="248"/>
      <c r="Y401" s="249"/>
      <c r="Z401" s="250"/>
      <c r="AA401" s="251"/>
      <c r="AB401" s="252"/>
      <c r="AC401" s="253"/>
      <c r="AD401" s="251"/>
      <c r="AE401" s="254" t="str">
        <f t="shared" si="279"/>
        <v/>
      </c>
      <c r="AF401" s="256" t="str">
        <f t="shared" si="290"/>
        <v/>
      </c>
      <c r="AG401" s="293" t="s">
        <v>62</v>
      </c>
      <c r="AH401" s="294" t="str">
        <f t="shared" si="291"/>
        <v/>
      </c>
      <c r="AI401" s="294" t="str">
        <f t="shared" si="292"/>
        <v/>
      </c>
      <c r="AJ401" s="295" t="str">
        <f t="shared" si="293"/>
        <v/>
      </c>
      <c r="AK401" s="296" t="str">
        <f t="shared" si="294"/>
        <v/>
      </c>
      <c r="AL401" s="297" t="str">
        <f t="shared" si="295"/>
        <v/>
      </c>
      <c r="AM401" s="294" t="str">
        <f t="shared" si="296"/>
        <v/>
      </c>
      <c r="AN401" s="294" t="str">
        <f t="shared" si="297"/>
        <v/>
      </c>
      <c r="AO401" s="298" t="str">
        <f t="shared" si="298"/>
        <v/>
      </c>
      <c r="AP401" s="299" t="str">
        <f t="shared" si="299"/>
        <v/>
      </c>
      <c r="AQ401" s="299" t="str">
        <f t="shared" si="300"/>
        <v/>
      </c>
      <c r="AR401" s="300" t="str">
        <f t="shared" si="280"/>
        <v/>
      </c>
      <c r="AS401" s="300" t="str">
        <f t="shared" si="281"/>
        <v/>
      </c>
      <c r="AT401" s="294" t="str">
        <f t="shared" si="282"/>
        <v/>
      </c>
      <c r="AU401" s="301" t="str">
        <f>IF(OR($B401="", $AP401= ""),"",IF(VLOOKUP($AP401, CONTRATOS!B:K,3,FALSE)="","",VLOOKUP($AP401, CONTRATOS!B:K, 3,FALSE)))</f>
        <v/>
      </c>
      <c r="AV401" s="301" t="str">
        <f>IF(OR($B401="", $AP401 = ""), "", IF(VLOOKUP($AP401, CONTRATOS!B:K,4,FALSE)="","",VLOOKUP($AP401, CONTRATOS!B:K,4, FALSE)))</f>
        <v/>
      </c>
      <c r="AW401" s="302" t="str">
        <f t="shared" si="283"/>
        <v/>
      </c>
      <c r="AX401" s="301" t="str">
        <f t="shared" si="284"/>
        <v/>
      </c>
      <c r="AY401" s="301" t="str">
        <f t="shared" si="285"/>
        <v/>
      </c>
      <c r="AZ401" s="301" t="str">
        <f t="shared" si="286"/>
        <v/>
      </c>
      <c r="BA401" s="301" t="str">
        <f t="shared" si="287"/>
        <v/>
      </c>
      <c r="BB401" s="303">
        <f t="shared" si="301"/>
        <v>0</v>
      </c>
      <c r="BC401" s="303" t="str">
        <f t="shared" si="302"/>
        <v/>
      </c>
      <c r="BD401" s="303" t="str">
        <f t="shared" si="303"/>
        <v/>
      </c>
      <c r="BF401" s="304">
        <f t="shared" si="304"/>
        <v>0</v>
      </c>
      <c r="BG401" s="304">
        <f t="shared" si="305"/>
        <v>0</v>
      </c>
      <c r="BH401" s="304" t="str">
        <f>IF( $B401="", "", IF(ISNA(VLOOKUP($C401, Defesa!$C$8:$C$30,1,FALSE)),1,0))</f>
        <v/>
      </c>
      <c r="BI401" s="305" t="str">
        <f t="shared" si="306"/>
        <v/>
      </c>
      <c r="BJ401" s="305" t="str">
        <f t="shared" si="307"/>
        <v/>
      </c>
      <c r="BK401" s="304" t="str">
        <f t="shared" si="308"/>
        <v/>
      </c>
      <c r="BL401" s="304">
        <f t="shared" si="309"/>
        <v>0</v>
      </c>
      <c r="BM401" s="304" t="str">
        <f>IF($AC401="", "", IF(ISNA(VLOOKUP($AC401, TABELAS!$Q:$Q, 1, FALSE)), 1, 0))</f>
        <v/>
      </c>
      <c r="BN401" s="306" t="str">
        <f t="shared" si="310"/>
        <v/>
      </c>
      <c r="BO401" s="304" t="str">
        <f t="shared" si="311"/>
        <v/>
      </c>
      <c r="BP401" s="304" t="str">
        <f t="shared" si="312"/>
        <v/>
      </c>
      <c r="BQ401" s="305" t="str">
        <f t="shared" si="313"/>
        <v/>
      </c>
      <c r="BR401" s="304" t="str">
        <f t="shared" si="314"/>
        <v/>
      </c>
      <c r="BS401" s="304" t="str">
        <f t="shared" si="315"/>
        <v/>
      </c>
      <c r="BT401" s="304" t="str">
        <f>IF(OR($B401="", $AH401 = "SIM"), "", IF( ISNA(VLOOKUP($AP401,#REF!, 1, FALSE)), 1, 0))</f>
        <v/>
      </c>
      <c r="BU401" s="304" t="str">
        <f t="shared" si="316"/>
        <v/>
      </c>
      <c r="BV401" s="304" t="str">
        <f>IF( $B401="", "", IF( ISNA(VLOOKUP($AN401, TABELAS!$T$2:$T$9,1,FALSE)), 1, 0))</f>
        <v/>
      </c>
      <c r="BW401" s="304" t="str">
        <f t="shared" si="317"/>
        <v/>
      </c>
      <c r="BX401" s="304" t="str">
        <f>IF( OR($B401="", $AH401 = "SIM"), "", IF( ISNA( VLOOKUP( $AQ401, SISTEMA!$B:$B, 1, FALSE)), 1, 0))</f>
        <v/>
      </c>
      <c r="BY401" s="305" t="str">
        <f t="shared" si="318"/>
        <v/>
      </c>
      <c r="BZ401" s="305" t="str">
        <f t="shared" si="319"/>
        <v/>
      </c>
      <c r="CA401" s="304" t="str">
        <f t="shared" si="320"/>
        <v/>
      </c>
      <c r="CB401" s="305" t="str">
        <f t="shared" si="321"/>
        <v/>
      </c>
      <c r="CC401" s="305" t="str">
        <f t="shared" si="322"/>
        <v/>
      </c>
      <c r="CD401" s="305" t="str">
        <f t="shared" si="323"/>
        <v/>
      </c>
    </row>
    <row r="402" spans="1:82" x14ac:dyDescent="0.2">
      <c r="A402" s="235"/>
      <c r="B402" s="236" t="str">
        <f t="shared" si="288"/>
        <v/>
      </c>
      <c r="C402" s="237" t="str">
        <f t="shared" si="278"/>
        <v/>
      </c>
      <c r="D402" s="237" t="str">
        <f t="shared" si="289"/>
        <v/>
      </c>
      <c r="E402" s="237" t="str">
        <f>IF($C402="", "", COUNTIF($M$8:$M402,$D402))</f>
        <v/>
      </c>
      <c r="F402" s="238">
        <v>395</v>
      </c>
      <c r="G402" s="239"/>
      <c r="H402" s="240"/>
      <c r="I402" s="240"/>
      <c r="J402" s="241"/>
      <c r="K402" s="240"/>
      <c r="L402" s="240"/>
      <c r="M402" s="240"/>
      <c r="N402" s="242"/>
      <c r="O402" s="243"/>
      <c r="P402" s="243"/>
      <c r="Q402" s="243"/>
      <c r="R402" s="243"/>
      <c r="S402" s="243"/>
      <c r="T402" s="245"/>
      <c r="U402" s="246" t="str">
        <f>IF($T402="", "", VLOOKUP($T402, CONTRATOS!$B:$E, 2, FALSE))</f>
        <v/>
      </c>
      <c r="V402" s="247">
        <f>IF(OR($T402="",TB_DEFESA!$C$2="Criação Baseline"),0,
   IF(VLOOKUP($T402, CONTRATOS!B:E, 3, FALSE)&lt;&gt;"",1,IF(VLOOKUP($T402, CONTRATOS!B:E, 4, FALSE)&lt;&gt;"",2,0)))</f>
        <v>0</v>
      </c>
      <c r="W402" s="248"/>
      <c r="X402" s="248"/>
      <c r="Y402" s="249"/>
      <c r="Z402" s="250"/>
      <c r="AA402" s="251"/>
      <c r="AB402" s="252"/>
      <c r="AC402" s="253"/>
      <c r="AD402" s="251"/>
      <c r="AE402" s="254" t="str">
        <f t="shared" si="279"/>
        <v/>
      </c>
      <c r="AF402" s="256" t="str">
        <f t="shared" si="290"/>
        <v/>
      </c>
      <c r="AG402" s="293" t="s">
        <v>62</v>
      </c>
      <c r="AH402" s="294" t="str">
        <f t="shared" si="291"/>
        <v/>
      </c>
      <c r="AI402" s="294" t="str">
        <f t="shared" si="292"/>
        <v/>
      </c>
      <c r="AJ402" s="295" t="str">
        <f t="shared" si="293"/>
        <v/>
      </c>
      <c r="AK402" s="296" t="str">
        <f t="shared" si="294"/>
        <v/>
      </c>
      <c r="AL402" s="297" t="str">
        <f t="shared" si="295"/>
        <v/>
      </c>
      <c r="AM402" s="294" t="str">
        <f t="shared" si="296"/>
        <v/>
      </c>
      <c r="AN402" s="294" t="str">
        <f t="shared" si="297"/>
        <v/>
      </c>
      <c r="AO402" s="298" t="str">
        <f t="shared" si="298"/>
        <v/>
      </c>
      <c r="AP402" s="299" t="str">
        <f t="shared" si="299"/>
        <v/>
      </c>
      <c r="AQ402" s="299" t="str">
        <f t="shared" si="300"/>
        <v/>
      </c>
      <c r="AR402" s="300" t="str">
        <f t="shared" si="280"/>
        <v/>
      </c>
      <c r="AS402" s="300" t="str">
        <f t="shared" si="281"/>
        <v/>
      </c>
      <c r="AT402" s="294" t="str">
        <f t="shared" si="282"/>
        <v/>
      </c>
      <c r="AU402" s="301" t="str">
        <f>IF(OR($B402="", $AP402= ""),"",IF(VLOOKUP($AP402, CONTRATOS!B:K,3,FALSE)="","",VLOOKUP($AP402, CONTRATOS!B:K, 3,FALSE)))</f>
        <v/>
      </c>
      <c r="AV402" s="301" t="str">
        <f>IF(OR($B402="", $AP402 = ""), "", IF(VLOOKUP($AP402, CONTRATOS!B:K,4,FALSE)="","",VLOOKUP($AP402, CONTRATOS!B:K,4, FALSE)))</f>
        <v/>
      </c>
      <c r="AW402" s="302" t="str">
        <f t="shared" si="283"/>
        <v/>
      </c>
      <c r="AX402" s="301" t="str">
        <f t="shared" si="284"/>
        <v/>
      </c>
      <c r="AY402" s="301" t="str">
        <f t="shared" si="285"/>
        <v/>
      </c>
      <c r="AZ402" s="301" t="str">
        <f t="shared" si="286"/>
        <v/>
      </c>
      <c r="BA402" s="301" t="str">
        <f t="shared" si="287"/>
        <v/>
      </c>
      <c r="BB402" s="303">
        <f t="shared" si="301"/>
        <v>0</v>
      </c>
      <c r="BC402" s="303" t="str">
        <f t="shared" si="302"/>
        <v/>
      </c>
      <c r="BD402" s="303" t="str">
        <f t="shared" si="303"/>
        <v/>
      </c>
      <c r="BF402" s="304">
        <f t="shared" si="304"/>
        <v>0</v>
      </c>
      <c r="BG402" s="304">
        <f t="shared" si="305"/>
        <v>0</v>
      </c>
      <c r="BH402" s="304" t="str">
        <f>IF( $B402="", "", IF(ISNA(VLOOKUP($C402, Defesa!$C$8:$C$30,1,FALSE)),1,0))</f>
        <v/>
      </c>
      <c r="BI402" s="305" t="str">
        <f t="shared" si="306"/>
        <v/>
      </c>
      <c r="BJ402" s="305" t="str">
        <f t="shared" si="307"/>
        <v/>
      </c>
      <c r="BK402" s="304" t="str">
        <f t="shared" si="308"/>
        <v/>
      </c>
      <c r="BL402" s="304">
        <f t="shared" si="309"/>
        <v>0</v>
      </c>
      <c r="BM402" s="304" t="str">
        <f>IF($AC402="", "", IF(ISNA(VLOOKUP($AC402, TABELAS!$Q:$Q, 1, FALSE)), 1, 0))</f>
        <v/>
      </c>
      <c r="BN402" s="306" t="str">
        <f t="shared" si="310"/>
        <v/>
      </c>
      <c r="BO402" s="304" t="str">
        <f t="shared" si="311"/>
        <v/>
      </c>
      <c r="BP402" s="304" t="str">
        <f t="shared" si="312"/>
        <v/>
      </c>
      <c r="BQ402" s="305" t="str">
        <f t="shared" si="313"/>
        <v/>
      </c>
      <c r="BR402" s="304" t="str">
        <f t="shared" si="314"/>
        <v/>
      </c>
      <c r="BS402" s="304" t="str">
        <f t="shared" si="315"/>
        <v/>
      </c>
      <c r="BT402" s="304" t="str">
        <f>IF(OR($B402="", $AH402 = "SIM"), "", IF( ISNA(VLOOKUP($AP402,#REF!, 1, FALSE)), 1, 0))</f>
        <v/>
      </c>
      <c r="BU402" s="304" t="str">
        <f t="shared" si="316"/>
        <v/>
      </c>
      <c r="BV402" s="304" t="str">
        <f>IF( $B402="", "", IF( ISNA(VLOOKUP($AN402, TABELAS!$T$2:$T$9,1,FALSE)), 1, 0))</f>
        <v/>
      </c>
      <c r="BW402" s="304" t="str">
        <f t="shared" si="317"/>
        <v/>
      </c>
      <c r="BX402" s="304" t="str">
        <f>IF( OR($B402="", $AH402 = "SIM"), "", IF( ISNA( VLOOKUP( $AQ402, SISTEMA!$B:$B, 1, FALSE)), 1, 0))</f>
        <v/>
      </c>
      <c r="BY402" s="305" t="str">
        <f t="shared" si="318"/>
        <v/>
      </c>
      <c r="BZ402" s="305" t="str">
        <f t="shared" si="319"/>
        <v/>
      </c>
      <c r="CA402" s="304" t="str">
        <f t="shared" si="320"/>
        <v/>
      </c>
      <c r="CB402" s="305" t="str">
        <f t="shared" si="321"/>
        <v/>
      </c>
      <c r="CC402" s="305" t="str">
        <f t="shared" si="322"/>
        <v/>
      </c>
      <c r="CD402" s="305" t="str">
        <f t="shared" si="323"/>
        <v/>
      </c>
    </row>
    <row r="403" spans="1:82" x14ac:dyDescent="0.2">
      <c r="A403" s="235"/>
      <c r="B403" s="236" t="str">
        <f t="shared" si="288"/>
        <v/>
      </c>
      <c r="C403" s="237" t="str">
        <f t="shared" si="278"/>
        <v/>
      </c>
      <c r="D403" s="237" t="str">
        <f t="shared" si="289"/>
        <v/>
      </c>
      <c r="E403" s="237" t="str">
        <f>IF($C403="", "", COUNTIF($M$8:$M403,$D403))</f>
        <v/>
      </c>
      <c r="F403" s="238">
        <v>396</v>
      </c>
      <c r="G403" s="239"/>
      <c r="H403" s="240"/>
      <c r="I403" s="240"/>
      <c r="J403" s="241"/>
      <c r="K403" s="240"/>
      <c r="L403" s="240"/>
      <c r="M403" s="240"/>
      <c r="N403" s="242"/>
      <c r="O403" s="243"/>
      <c r="P403" s="243"/>
      <c r="Q403" s="243"/>
      <c r="R403" s="243"/>
      <c r="S403" s="243"/>
      <c r="T403" s="245"/>
      <c r="U403" s="246" t="str">
        <f>IF($T403="", "", VLOOKUP($T403, CONTRATOS!$B:$E, 2, FALSE))</f>
        <v/>
      </c>
      <c r="V403" s="247">
        <f>IF(OR($T403="",TB_DEFESA!$C$2="Criação Baseline"),0,
   IF(VLOOKUP($T403, CONTRATOS!B:E, 3, FALSE)&lt;&gt;"",1,IF(VLOOKUP($T403, CONTRATOS!B:E, 4, FALSE)&lt;&gt;"",2,0)))</f>
        <v>0</v>
      </c>
      <c r="W403" s="248"/>
      <c r="X403" s="248"/>
      <c r="Y403" s="249"/>
      <c r="Z403" s="250"/>
      <c r="AA403" s="251"/>
      <c r="AB403" s="252"/>
      <c r="AC403" s="253"/>
      <c r="AD403" s="251"/>
      <c r="AE403" s="254" t="str">
        <f t="shared" si="279"/>
        <v/>
      </c>
      <c r="AF403" s="256" t="str">
        <f t="shared" si="290"/>
        <v/>
      </c>
      <c r="AG403" s="293" t="s">
        <v>62</v>
      </c>
      <c r="AH403" s="294" t="str">
        <f t="shared" si="291"/>
        <v/>
      </c>
      <c r="AI403" s="294" t="str">
        <f t="shared" si="292"/>
        <v/>
      </c>
      <c r="AJ403" s="295" t="str">
        <f t="shared" si="293"/>
        <v/>
      </c>
      <c r="AK403" s="296" t="str">
        <f t="shared" si="294"/>
        <v/>
      </c>
      <c r="AL403" s="297" t="str">
        <f t="shared" si="295"/>
        <v/>
      </c>
      <c r="AM403" s="294" t="str">
        <f t="shared" si="296"/>
        <v/>
      </c>
      <c r="AN403" s="294" t="str">
        <f t="shared" si="297"/>
        <v/>
      </c>
      <c r="AO403" s="298" t="str">
        <f t="shared" si="298"/>
        <v/>
      </c>
      <c r="AP403" s="299" t="str">
        <f t="shared" si="299"/>
        <v/>
      </c>
      <c r="AQ403" s="299" t="str">
        <f t="shared" si="300"/>
        <v/>
      </c>
      <c r="AR403" s="300" t="str">
        <f t="shared" si="280"/>
        <v/>
      </c>
      <c r="AS403" s="300" t="str">
        <f t="shared" si="281"/>
        <v/>
      </c>
      <c r="AT403" s="294" t="str">
        <f t="shared" si="282"/>
        <v/>
      </c>
      <c r="AU403" s="301" t="str">
        <f>IF(OR($B403="", $AP403= ""),"",IF(VLOOKUP($AP403, CONTRATOS!B:K,3,FALSE)="","",VLOOKUP($AP403, CONTRATOS!B:K, 3,FALSE)))</f>
        <v/>
      </c>
      <c r="AV403" s="301" t="str">
        <f>IF(OR($B403="", $AP403 = ""), "", IF(VLOOKUP($AP403, CONTRATOS!B:K,4,FALSE)="","",VLOOKUP($AP403, CONTRATOS!B:K,4, FALSE)))</f>
        <v/>
      </c>
      <c r="AW403" s="302" t="str">
        <f t="shared" si="283"/>
        <v/>
      </c>
      <c r="AX403" s="301" t="str">
        <f t="shared" si="284"/>
        <v/>
      </c>
      <c r="AY403" s="301" t="str">
        <f t="shared" si="285"/>
        <v/>
      </c>
      <c r="AZ403" s="301" t="str">
        <f t="shared" si="286"/>
        <v/>
      </c>
      <c r="BA403" s="301" t="str">
        <f t="shared" si="287"/>
        <v/>
      </c>
      <c r="BB403" s="303">
        <f t="shared" si="301"/>
        <v>0</v>
      </c>
      <c r="BC403" s="303" t="str">
        <f t="shared" si="302"/>
        <v/>
      </c>
      <c r="BD403" s="303" t="str">
        <f t="shared" si="303"/>
        <v/>
      </c>
      <c r="BF403" s="304">
        <f t="shared" si="304"/>
        <v>0</v>
      </c>
      <c r="BG403" s="304">
        <f t="shared" si="305"/>
        <v>0</v>
      </c>
      <c r="BH403" s="304" t="str">
        <f>IF( $B403="", "", IF(ISNA(VLOOKUP($C403, Defesa!$C$8:$C$30,1,FALSE)),1,0))</f>
        <v/>
      </c>
      <c r="BI403" s="305" t="str">
        <f t="shared" si="306"/>
        <v/>
      </c>
      <c r="BJ403" s="305" t="str">
        <f t="shared" si="307"/>
        <v/>
      </c>
      <c r="BK403" s="304" t="str">
        <f t="shared" si="308"/>
        <v/>
      </c>
      <c r="BL403" s="304">
        <f t="shared" si="309"/>
        <v>0</v>
      </c>
      <c r="BM403" s="304" t="str">
        <f>IF($AC403="", "", IF(ISNA(VLOOKUP($AC403, TABELAS!$Q:$Q, 1, FALSE)), 1, 0))</f>
        <v/>
      </c>
      <c r="BN403" s="306" t="str">
        <f t="shared" si="310"/>
        <v/>
      </c>
      <c r="BO403" s="304" t="str">
        <f t="shared" si="311"/>
        <v/>
      </c>
      <c r="BP403" s="304" t="str">
        <f t="shared" si="312"/>
        <v/>
      </c>
      <c r="BQ403" s="305" t="str">
        <f t="shared" si="313"/>
        <v/>
      </c>
      <c r="BR403" s="304" t="str">
        <f t="shared" si="314"/>
        <v/>
      </c>
      <c r="BS403" s="304" t="str">
        <f t="shared" si="315"/>
        <v/>
      </c>
      <c r="BT403" s="304" t="str">
        <f>IF(OR($B403="", $AH403 = "SIM"), "", IF( ISNA(VLOOKUP($AP403,#REF!, 1, FALSE)), 1, 0))</f>
        <v/>
      </c>
      <c r="BU403" s="304" t="str">
        <f t="shared" si="316"/>
        <v/>
      </c>
      <c r="BV403" s="304" t="str">
        <f>IF( $B403="", "", IF( ISNA(VLOOKUP($AN403, TABELAS!$T$2:$T$9,1,FALSE)), 1, 0))</f>
        <v/>
      </c>
      <c r="BW403" s="304" t="str">
        <f t="shared" si="317"/>
        <v/>
      </c>
      <c r="BX403" s="304" t="str">
        <f>IF( OR($B403="", $AH403 = "SIM"), "", IF( ISNA( VLOOKUP( $AQ403, SISTEMA!$B:$B, 1, FALSE)), 1, 0))</f>
        <v/>
      </c>
      <c r="BY403" s="305" t="str">
        <f t="shared" si="318"/>
        <v/>
      </c>
      <c r="BZ403" s="305" t="str">
        <f t="shared" si="319"/>
        <v/>
      </c>
      <c r="CA403" s="304" t="str">
        <f t="shared" si="320"/>
        <v/>
      </c>
      <c r="CB403" s="305" t="str">
        <f t="shared" si="321"/>
        <v/>
      </c>
      <c r="CC403" s="305" t="str">
        <f t="shared" si="322"/>
        <v/>
      </c>
      <c r="CD403" s="305" t="str">
        <f t="shared" si="323"/>
        <v/>
      </c>
    </row>
    <row r="404" spans="1:82" x14ac:dyDescent="0.2">
      <c r="A404" s="235"/>
      <c r="B404" s="236" t="str">
        <f t="shared" si="288"/>
        <v/>
      </c>
      <c r="C404" s="237" t="str">
        <f t="shared" si="278"/>
        <v/>
      </c>
      <c r="D404" s="237" t="str">
        <f t="shared" si="289"/>
        <v/>
      </c>
      <c r="E404" s="237" t="str">
        <f>IF($C404="", "", COUNTIF($M$8:$M404,$D404))</f>
        <v/>
      </c>
      <c r="F404" s="238">
        <v>397</v>
      </c>
      <c r="G404" s="239"/>
      <c r="H404" s="240"/>
      <c r="I404" s="240"/>
      <c r="J404" s="241"/>
      <c r="K404" s="240"/>
      <c r="L404" s="240"/>
      <c r="M404" s="240"/>
      <c r="N404" s="242"/>
      <c r="O404" s="243"/>
      <c r="P404" s="243"/>
      <c r="Q404" s="243"/>
      <c r="R404" s="243"/>
      <c r="S404" s="243"/>
      <c r="T404" s="245"/>
      <c r="U404" s="246" t="str">
        <f>IF($T404="", "", VLOOKUP($T404, CONTRATOS!$B:$E, 2, FALSE))</f>
        <v/>
      </c>
      <c r="V404" s="247">
        <f>IF(OR($T404="",TB_DEFESA!$C$2="Criação Baseline"),0,
   IF(VLOOKUP($T404, CONTRATOS!B:E, 3, FALSE)&lt;&gt;"",1,IF(VLOOKUP($T404, CONTRATOS!B:E, 4, FALSE)&lt;&gt;"",2,0)))</f>
        <v>0</v>
      </c>
      <c r="W404" s="248"/>
      <c r="X404" s="248"/>
      <c r="Y404" s="249"/>
      <c r="Z404" s="250"/>
      <c r="AA404" s="251"/>
      <c r="AB404" s="252"/>
      <c r="AC404" s="253"/>
      <c r="AD404" s="251"/>
      <c r="AE404" s="254" t="str">
        <f t="shared" si="279"/>
        <v/>
      </c>
      <c r="AF404" s="256" t="str">
        <f t="shared" si="290"/>
        <v/>
      </c>
      <c r="AG404" s="293" t="s">
        <v>62</v>
      </c>
      <c r="AH404" s="294" t="str">
        <f t="shared" si="291"/>
        <v/>
      </c>
      <c r="AI404" s="294" t="str">
        <f t="shared" si="292"/>
        <v/>
      </c>
      <c r="AJ404" s="295" t="str">
        <f t="shared" si="293"/>
        <v/>
      </c>
      <c r="AK404" s="296" t="str">
        <f t="shared" si="294"/>
        <v/>
      </c>
      <c r="AL404" s="297" t="str">
        <f t="shared" si="295"/>
        <v/>
      </c>
      <c r="AM404" s="294" t="str">
        <f t="shared" si="296"/>
        <v/>
      </c>
      <c r="AN404" s="294" t="str">
        <f t="shared" si="297"/>
        <v/>
      </c>
      <c r="AO404" s="298" t="str">
        <f t="shared" si="298"/>
        <v/>
      </c>
      <c r="AP404" s="299" t="str">
        <f t="shared" si="299"/>
        <v/>
      </c>
      <c r="AQ404" s="299" t="str">
        <f t="shared" si="300"/>
        <v/>
      </c>
      <c r="AR404" s="300" t="str">
        <f t="shared" si="280"/>
        <v/>
      </c>
      <c r="AS404" s="300" t="str">
        <f t="shared" si="281"/>
        <v/>
      </c>
      <c r="AT404" s="294" t="str">
        <f t="shared" si="282"/>
        <v/>
      </c>
      <c r="AU404" s="301" t="str">
        <f>IF(OR($B404="", $AP404= ""),"",IF(VLOOKUP($AP404, CONTRATOS!B:K,3,FALSE)="","",VLOOKUP($AP404, CONTRATOS!B:K, 3,FALSE)))</f>
        <v/>
      </c>
      <c r="AV404" s="301" t="str">
        <f>IF(OR($B404="", $AP404 = ""), "", IF(VLOOKUP($AP404, CONTRATOS!B:K,4,FALSE)="","",VLOOKUP($AP404, CONTRATOS!B:K,4, FALSE)))</f>
        <v/>
      </c>
      <c r="AW404" s="302" t="str">
        <f t="shared" si="283"/>
        <v/>
      </c>
      <c r="AX404" s="301" t="str">
        <f t="shared" si="284"/>
        <v/>
      </c>
      <c r="AY404" s="301" t="str">
        <f t="shared" si="285"/>
        <v/>
      </c>
      <c r="AZ404" s="301" t="str">
        <f t="shared" si="286"/>
        <v/>
      </c>
      <c r="BA404" s="301" t="str">
        <f t="shared" si="287"/>
        <v/>
      </c>
      <c r="BB404" s="303">
        <f t="shared" si="301"/>
        <v>0</v>
      </c>
      <c r="BC404" s="303" t="str">
        <f t="shared" si="302"/>
        <v/>
      </c>
      <c r="BD404" s="303" t="str">
        <f t="shared" si="303"/>
        <v/>
      </c>
      <c r="BF404" s="304">
        <f t="shared" si="304"/>
        <v>0</v>
      </c>
      <c r="BG404" s="304">
        <f t="shared" si="305"/>
        <v>0</v>
      </c>
      <c r="BH404" s="304" t="str">
        <f>IF( $B404="", "", IF(ISNA(VLOOKUP($C404, Defesa!$C$8:$C$30,1,FALSE)),1,0))</f>
        <v/>
      </c>
      <c r="BI404" s="305" t="str">
        <f t="shared" si="306"/>
        <v/>
      </c>
      <c r="BJ404" s="305" t="str">
        <f t="shared" si="307"/>
        <v/>
      </c>
      <c r="BK404" s="304" t="str">
        <f t="shared" si="308"/>
        <v/>
      </c>
      <c r="BL404" s="304">
        <f t="shared" si="309"/>
        <v>0</v>
      </c>
      <c r="BM404" s="304" t="str">
        <f>IF($AC404="", "", IF(ISNA(VLOOKUP($AC404, TABELAS!$Q:$Q, 1, FALSE)), 1, 0))</f>
        <v/>
      </c>
      <c r="BN404" s="306" t="str">
        <f t="shared" si="310"/>
        <v/>
      </c>
      <c r="BO404" s="304" t="str">
        <f t="shared" si="311"/>
        <v/>
      </c>
      <c r="BP404" s="304" t="str">
        <f t="shared" si="312"/>
        <v/>
      </c>
      <c r="BQ404" s="305" t="str">
        <f t="shared" si="313"/>
        <v/>
      </c>
      <c r="BR404" s="304" t="str">
        <f t="shared" si="314"/>
        <v/>
      </c>
      <c r="BS404" s="304" t="str">
        <f t="shared" si="315"/>
        <v/>
      </c>
      <c r="BT404" s="304" t="str">
        <f>IF(OR($B404="", $AH404 = "SIM"), "", IF( ISNA(VLOOKUP($AP404,#REF!, 1, FALSE)), 1, 0))</f>
        <v/>
      </c>
      <c r="BU404" s="304" t="str">
        <f t="shared" si="316"/>
        <v/>
      </c>
      <c r="BV404" s="304" t="str">
        <f>IF( $B404="", "", IF( ISNA(VLOOKUP($AN404, TABELAS!$T$2:$T$9,1,FALSE)), 1, 0))</f>
        <v/>
      </c>
      <c r="BW404" s="304" t="str">
        <f t="shared" si="317"/>
        <v/>
      </c>
      <c r="BX404" s="304" t="str">
        <f>IF( OR($B404="", $AH404 = "SIM"), "", IF( ISNA( VLOOKUP( $AQ404, SISTEMA!$B:$B, 1, FALSE)), 1, 0))</f>
        <v/>
      </c>
      <c r="BY404" s="305" t="str">
        <f t="shared" si="318"/>
        <v/>
      </c>
      <c r="BZ404" s="305" t="str">
        <f t="shared" si="319"/>
        <v/>
      </c>
      <c r="CA404" s="304" t="str">
        <f t="shared" si="320"/>
        <v/>
      </c>
      <c r="CB404" s="305" t="str">
        <f t="shared" si="321"/>
        <v/>
      </c>
      <c r="CC404" s="305" t="str">
        <f t="shared" si="322"/>
        <v/>
      </c>
      <c r="CD404" s="305" t="str">
        <f t="shared" si="323"/>
        <v/>
      </c>
    </row>
    <row r="405" spans="1:82" x14ac:dyDescent="0.2">
      <c r="A405" s="235"/>
      <c r="B405" s="236" t="str">
        <f t="shared" si="288"/>
        <v/>
      </c>
      <c r="C405" s="237" t="str">
        <f t="shared" si="278"/>
        <v/>
      </c>
      <c r="D405" s="237" t="str">
        <f t="shared" si="289"/>
        <v/>
      </c>
      <c r="E405" s="237" t="str">
        <f>IF($C405="", "", COUNTIF($M$8:$M405,$D405))</f>
        <v/>
      </c>
      <c r="F405" s="238">
        <v>398</v>
      </c>
      <c r="G405" s="239"/>
      <c r="H405" s="240"/>
      <c r="I405" s="240"/>
      <c r="J405" s="241"/>
      <c r="K405" s="240"/>
      <c r="L405" s="240"/>
      <c r="M405" s="240"/>
      <c r="N405" s="242"/>
      <c r="O405" s="243"/>
      <c r="P405" s="243"/>
      <c r="Q405" s="243"/>
      <c r="R405" s="243"/>
      <c r="S405" s="243"/>
      <c r="T405" s="245"/>
      <c r="U405" s="246" t="str">
        <f>IF($T405="", "", VLOOKUP($T405, CONTRATOS!$B:$E, 2, FALSE))</f>
        <v/>
      </c>
      <c r="V405" s="247">
        <f>IF(OR($T405="",TB_DEFESA!$C$2="Criação Baseline"),0,
   IF(VLOOKUP($T405, CONTRATOS!B:E, 3, FALSE)&lt;&gt;"",1,IF(VLOOKUP($T405, CONTRATOS!B:E, 4, FALSE)&lt;&gt;"",2,0)))</f>
        <v>0</v>
      </c>
      <c r="W405" s="248"/>
      <c r="X405" s="248"/>
      <c r="Y405" s="249"/>
      <c r="Z405" s="250"/>
      <c r="AA405" s="251"/>
      <c r="AB405" s="252"/>
      <c r="AC405" s="253"/>
      <c r="AD405" s="251"/>
      <c r="AE405" s="254" t="str">
        <f t="shared" si="279"/>
        <v/>
      </c>
      <c r="AF405" s="256" t="str">
        <f t="shared" si="290"/>
        <v/>
      </c>
      <c r="AG405" s="293" t="s">
        <v>62</v>
      </c>
      <c r="AH405" s="294" t="str">
        <f t="shared" si="291"/>
        <v/>
      </c>
      <c r="AI405" s="294" t="str">
        <f t="shared" si="292"/>
        <v/>
      </c>
      <c r="AJ405" s="295" t="str">
        <f t="shared" si="293"/>
        <v/>
      </c>
      <c r="AK405" s="296" t="str">
        <f t="shared" si="294"/>
        <v/>
      </c>
      <c r="AL405" s="297" t="str">
        <f t="shared" si="295"/>
        <v/>
      </c>
      <c r="AM405" s="294" t="str">
        <f t="shared" si="296"/>
        <v/>
      </c>
      <c r="AN405" s="294" t="str">
        <f t="shared" si="297"/>
        <v/>
      </c>
      <c r="AO405" s="298" t="str">
        <f t="shared" si="298"/>
        <v/>
      </c>
      <c r="AP405" s="299" t="str">
        <f t="shared" si="299"/>
        <v/>
      </c>
      <c r="AQ405" s="299" t="str">
        <f t="shared" si="300"/>
        <v/>
      </c>
      <c r="AR405" s="300" t="str">
        <f t="shared" si="280"/>
        <v/>
      </c>
      <c r="AS405" s="300" t="str">
        <f t="shared" si="281"/>
        <v/>
      </c>
      <c r="AT405" s="294" t="str">
        <f t="shared" si="282"/>
        <v/>
      </c>
      <c r="AU405" s="301" t="str">
        <f>IF(OR($B405="", $AP405= ""),"",IF(VLOOKUP($AP405, CONTRATOS!B:K,3,FALSE)="","",VLOOKUP($AP405, CONTRATOS!B:K, 3,FALSE)))</f>
        <v/>
      </c>
      <c r="AV405" s="301" t="str">
        <f>IF(OR($B405="", $AP405 = ""), "", IF(VLOOKUP($AP405, CONTRATOS!B:K,4,FALSE)="","",VLOOKUP($AP405, CONTRATOS!B:K,4, FALSE)))</f>
        <v/>
      </c>
      <c r="AW405" s="302" t="str">
        <f t="shared" si="283"/>
        <v/>
      </c>
      <c r="AX405" s="301" t="str">
        <f t="shared" si="284"/>
        <v/>
      </c>
      <c r="AY405" s="301" t="str">
        <f t="shared" si="285"/>
        <v/>
      </c>
      <c r="AZ405" s="301" t="str">
        <f t="shared" si="286"/>
        <v/>
      </c>
      <c r="BA405" s="301" t="str">
        <f t="shared" si="287"/>
        <v/>
      </c>
      <c r="BB405" s="303">
        <f t="shared" si="301"/>
        <v>0</v>
      </c>
      <c r="BC405" s="303" t="str">
        <f t="shared" si="302"/>
        <v/>
      </c>
      <c r="BD405" s="303" t="str">
        <f t="shared" si="303"/>
        <v/>
      </c>
      <c r="BF405" s="304">
        <f t="shared" si="304"/>
        <v>0</v>
      </c>
      <c r="BG405" s="304">
        <f t="shared" si="305"/>
        <v>0</v>
      </c>
      <c r="BH405" s="304" t="str">
        <f>IF( $B405="", "", IF(ISNA(VLOOKUP($C405, Defesa!$C$8:$C$30,1,FALSE)),1,0))</f>
        <v/>
      </c>
      <c r="BI405" s="305" t="str">
        <f t="shared" si="306"/>
        <v/>
      </c>
      <c r="BJ405" s="305" t="str">
        <f t="shared" si="307"/>
        <v/>
      </c>
      <c r="BK405" s="304" t="str">
        <f t="shared" si="308"/>
        <v/>
      </c>
      <c r="BL405" s="304">
        <f t="shared" si="309"/>
        <v>0</v>
      </c>
      <c r="BM405" s="304" t="str">
        <f>IF($AC405="", "", IF(ISNA(VLOOKUP($AC405, TABELAS!$Q:$Q, 1, FALSE)), 1, 0))</f>
        <v/>
      </c>
      <c r="BN405" s="306" t="str">
        <f t="shared" si="310"/>
        <v/>
      </c>
      <c r="BO405" s="304" t="str">
        <f t="shared" si="311"/>
        <v/>
      </c>
      <c r="BP405" s="304" t="str">
        <f t="shared" si="312"/>
        <v/>
      </c>
      <c r="BQ405" s="305" t="str">
        <f t="shared" si="313"/>
        <v/>
      </c>
      <c r="BR405" s="304" t="str">
        <f t="shared" si="314"/>
        <v/>
      </c>
      <c r="BS405" s="304" t="str">
        <f t="shared" si="315"/>
        <v/>
      </c>
      <c r="BT405" s="304" t="str">
        <f>IF(OR($B405="", $AH405 = "SIM"), "", IF( ISNA(VLOOKUP($AP405,#REF!, 1, FALSE)), 1, 0))</f>
        <v/>
      </c>
      <c r="BU405" s="304" t="str">
        <f t="shared" si="316"/>
        <v/>
      </c>
      <c r="BV405" s="304" t="str">
        <f>IF( $B405="", "", IF( ISNA(VLOOKUP($AN405, TABELAS!$T$2:$T$9,1,FALSE)), 1, 0))</f>
        <v/>
      </c>
      <c r="BW405" s="304" t="str">
        <f t="shared" si="317"/>
        <v/>
      </c>
      <c r="BX405" s="304" t="str">
        <f>IF( OR($B405="", $AH405 = "SIM"), "", IF( ISNA( VLOOKUP( $AQ405, SISTEMA!$B:$B, 1, FALSE)), 1, 0))</f>
        <v/>
      </c>
      <c r="BY405" s="305" t="str">
        <f t="shared" si="318"/>
        <v/>
      </c>
      <c r="BZ405" s="305" t="str">
        <f t="shared" si="319"/>
        <v/>
      </c>
      <c r="CA405" s="304" t="str">
        <f t="shared" si="320"/>
        <v/>
      </c>
      <c r="CB405" s="305" t="str">
        <f t="shared" si="321"/>
        <v/>
      </c>
      <c r="CC405" s="305" t="str">
        <f t="shared" si="322"/>
        <v/>
      </c>
      <c r="CD405" s="305" t="str">
        <f t="shared" si="323"/>
        <v/>
      </c>
    </row>
    <row r="406" spans="1:82" x14ac:dyDescent="0.2">
      <c r="A406" s="235"/>
      <c r="B406" s="236" t="str">
        <f t="shared" si="288"/>
        <v/>
      </c>
      <c r="C406" s="237" t="str">
        <f t="shared" si="278"/>
        <v/>
      </c>
      <c r="D406" s="237" t="str">
        <f t="shared" si="289"/>
        <v/>
      </c>
      <c r="E406" s="237" t="str">
        <f>IF($C406="", "", COUNTIF($M$8:$M406,$D406))</f>
        <v/>
      </c>
      <c r="F406" s="238">
        <v>399</v>
      </c>
      <c r="G406" s="239"/>
      <c r="H406" s="240"/>
      <c r="I406" s="240"/>
      <c r="J406" s="241"/>
      <c r="K406" s="240"/>
      <c r="L406" s="240"/>
      <c r="M406" s="240"/>
      <c r="N406" s="242"/>
      <c r="O406" s="243"/>
      <c r="P406" s="243"/>
      <c r="Q406" s="243"/>
      <c r="R406" s="243"/>
      <c r="S406" s="243"/>
      <c r="T406" s="245"/>
      <c r="U406" s="246" t="str">
        <f>IF($T406="", "", VLOOKUP($T406, CONTRATOS!$B:$E, 2, FALSE))</f>
        <v/>
      </c>
      <c r="V406" s="247">
        <f>IF(OR($T406="",TB_DEFESA!$C$2="Criação Baseline"),0,
   IF(VLOOKUP($T406, CONTRATOS!B:E, 3, FALSE)&lt;&gt;"",1,IF(VLOOKUP($T406, CONTRATOS!B:E, 4, FALSE)&lt;&gt;"",2,0)))</f>
        <v>0</v>
      </c>
      <c r="W406" s="248"/>
      <c r="X406" s="248"/>
      <c r="Y406" s="249"/>
      <c r="Z406" s="250"/>
      <c r="AA406" s="251"/>
      <c r="AB406" s="252"/>
      <c r="AC406" s="253"/>
      <c r="AD406" s="251"/>
      <c r="AE406" s="254" t="str">
        <f t="shared" si="279"/>
        <v/>
      </c>
      <c r="AF406" s="256" t="str">
        <f t="shared" si="290"/>
        <v/>
      </c>
      <c r="AG406" s="293" t="s">
        <v>62</v>
      </c>
      <c r="AH406" s="294" t="str">
        <f t="shared" si="291"/>
        <v/>
      </c>
      <c r="AI406" s="294" t="str">
        <f t="shared" si="292"/>
        <v/>
      </c>
      <c r="AJ406" s="295" t="str">
        <f t="shared" si="293"/>
        <v/>
      </c>
      <c r="AK406" s="296" t="str">
        <f t="shared" si="294"/>
        <v/>
      </c>
      <c r="AL406" s="297" t="str">
        <f t="shared" si="295"/>
        <v/>
      </c>
      <c r="AM406" s="294" t="str">
        <f t="shared" si="296"/>
        <v/>
      </c>
      <c r="AN406" s="294" t="str">
        <f t="shared" si="297"/>
        <v/>
      </c>
      <c r="AO406" s="298" t="str">
        <f t="shared" si="298"/>
        <v/>
      </c>
      <c r="AP406" s="299" t="str">
        <f t="shared" si="299"/>
        <v/>
      </c>
      <c r="AQ406" s="299" t="str">
        <f t="shared" si="300"/>
        <v/>
      </c>
      <c r="AR406" s="300" t="str">
        <f t="shared" si="280"/>
        <v/>
      </c>
      <c r="AS406" s="300" t="str">
        <f t="shared" si="281"/>
        <v/>
      </c>
      <c r="AT406" s="294" t="str">
        <f t="shared" si="282"/>
        <v/>
      </c>
      <c r="AU406" s="301" t="str">
        <f>IF(OR($B406="", $AP406= ""),"",IF(VLOOKUP($AP406, CONTRATOS!B:K,3,FALSE)="","",VLOOKUP($AP406, CONTRATOS!B:K, 3,FALSE)))</f>
        <v/>
      </c>
      <c r="AV406" s="301" t="str">
        <f>IF(OR($B406="", $AP406 = ""), "", IF(VLOOKUP($AP406, CONTRATOS!B:K,4,FALSE)="","",VLOOKUP($AP406, CONTRATOS!B:K,4, FALSE)))</f>
        <v/>
      </c>
      <c r="AW406" s="302" t="str">
        <f t="shared" si="283"/>
        <v/>
      </c>
      <c r="AX406" s="301" t="str">
        <f t="shared" si="284"/>
        <v/>
      </c>
      <c r="AY406" s="301" t="str">
        <f t="shared" si="285"/>
        <v/>
      </c>
      <c r="AZ406" s="301" t="str">
        <f t="shared" si="286"/>
        <v/>
      </c>
      <c r="BA406" s="301" t="str">
        <f t="shared" si="287"/>
        <v/>
      </c>
      <c r="BB406" s="303">
        <f t="shared" si="301"/>
        <v>0</v>
      </c>
      <c r="BC406" s="303" t="str">
        <f t="shared" si="302"/>
        <v/>
      </c>
      <c r="BD406" s="303" t="str">
        <f t="shared" si="303"/>
        <v/>
      </c>
      <c r="BF406" s="304">
        <f t="shared" si="304"/>
        <v>0</v>
      </c>
      <c r="BG406" s="304">
        <f t="shared" si="305"/>
        <v>0</v>
      </c>
      <c r="BH406" s="304" t="str">
        <f>IF( $B406="", "", IF(ISNA(VLOOKUP($C406, Defesa!$C$8:$C$30,1,FALSE)),1,0))</f>
        <v/>
      </c>
      <c r="BI406" s="305" t="str">
        <f t="shared" si="306"/>
        <v/>
      </c>
      <c r="BJ406" s="305" t="str">
        <f t="shared" si="307"/>
        <v/>
      </c>
      <c r="BK406" s="304" t="str">
        <f t="shared" si="308"/>
        <v/>
      </c>
      <c r="BL406" s="304">
        <f t="shared" si="309"/>
        <v>0</v>
      </c>
      <c r="BM406" s="304" t="str">
        <f>IF($AC406="", "", IF(ISNA(VLOOKUP($AC406, TABELAS!$Q:$Q, 1, FALSE)), 1, 0))</f>
        <v/>
      </c>
      <c r="BN406" s="306" t="str">
        <f t="shared" si="310"/>
        <v/>
      </c>
      <c r="BO406" s="304" t="str">
        <f t="shared" si="311"/>
        <v/>
      </c>
      <c r="BP406" s="304" t="str">
        <f t="shared" si="312"/>
        <v/>
      </c>
      <c r="BQ406" s="305" t="str">
        <f t="shared" si="313"/>
        <v/>
      </c>
      <c r="BR406" s="304" t="str">
        <f t="shared" si="314"/>
        <v/>
      </c>
      <c r="BS406" s="304" t="str">
        <f t="shared" si="315"/>
        <v/>
      </c>
      <c r="BT406" s="304" t="str">
        <f>IF(OR($B406="", $AH406 = "SIM"), "", IF( ISNA(VLOOKUP($AP406,#REF!, 1, FALSE)), 1, 0))</f>
        <v/>
      </c>
      <c r="BU406" s="304" t="str">
        <f t="shared" si="316"/>
        <v/>
      </c>
      <c r="BV406" s="304" t="str">
        <f>IF( $B406="", "", IF( ISNA(VLOOKUP($AN406, TABELAS!$T$2:$T$9,1,FALSE)), 1, 0))</f>
        <v/>
      </c>
      <c r="BW406" s="304" t="str">
        <f t="shared" si="317"/>
        <v/>
      </c>
      <c r="BX406" s="304" t="str">
        <f>IF( OR($B406="", $AH406 = "SIM"), "", IF( ISNA( VLOOKUP( $AQ406, SISTEMA!$B:$B, 1, FALSE)), 1, 0))</f>
        <v/>
      </c>
      <c r="BY406" s="305" t="str">
        <f t="shared" si="318"/>
        <v/>
      </c>
      <c r="BZ406" s="305" t="str">
        <f t="shared" si="319"/>
        <v/>
      </c>
      <c r="CA406" s="304" t="str">
        <f t="shared" si="320"/>
        <v/>
      </c>
      <c r="CB406" s="305" t="str">
        <f t="shared" si="321"/>
        <v/>
      </c>
      <c r="CC406" s="305" t="str">
        <f t="shared" si="322"/>
        <v/>
      </c>
      <c r="CD406" s="305" t="str">
        <f t="shared" si="323"/>
        <v/>
      </c>
    </row>
    <row r="407" spans="1:82" x14ac:dyDescent="0.2">
      <c r="A407" s="235"/>
      <c r="B407" s="236" t="str">
        <f t="shared" si="288"/>
        <v/>
      </c>
      <c r="C407" s="237" t="str">
        <f t="shared" si="278"/>
        <v/>
      </c>
      <c r="D407" s="237" t="str">
        <f t="shared" si="289"/>
        <v/>
      </c>
      <c r="E407" s="237" t="str">
        <f>IF($C407="", "", COUNTIF($M$8:$M407,$D407))</f>
        <v/>
      </c>
      <c r="F407" s="238">
        <v>400</v>
      </c>
      <c r="G407" s="239"/>
      <c r="H407" s="240"/>
      <c r="I407" s="240"/>
      <c r="J407" s="241"/>
      <c r="K407" s="240"/>
      <c r="L407" s="240"/>
      <c r="M407" s="240"/>
      <c r="N407" s="242"/>
      <c r="O407" s="243"/>
      <c r="P407" s="243"/>
      <c r="Q407" s="243"/>
      <c r="R407" s="243"/>
      <c r="S407" s="243"/>
      <c r="T407" s="245"/>
      <c r="U407" s="246" t="str">
        <f>IF($T407="", "", VLOOKUP($T407, CONTRATOS!$B:$E, 2, FALSE))</f>
        <v/>
      </c>
      <c r="V407" s="247">
        <f>IF(OR($T407="",TB_DEFESA!$C$2="Criação Baseline"),0,
   IF(VLOOKUP($T407, CONTRATOS!B:E, 3, FALSE)&lt;&gt;"",1,IF(VLOOKUP($T407, CONTRATOS!B:E, 4, FALSE)&lt;&gt;"",2,0)))</f>
        <v>0</v>
      </c>
      <c r="W407" s="248"/>
      <c r="X407" s="248"/>
      <c r="Y407" s="249"/>
      <c r="Z407" s="250"/>
      <c r="AA407" s="251"/>
      <c r="AB407" s="252"/>
      <c r="AC407" s="253"/>
      <c r="AD407" s="251"/>
      <c r="AE407" s="254" t="str">
        <f t="shared" si="279"/>
        <v/>
      </c>
      <c r="AF407" s="256" t="str">
        <f t="shared" si="290"/>
        <v/>
      </c>
      <c r="AG407" s="293" t="s">
        <v>62</v>
      </c>
      <c r="AH407" s="294" t="str">
        <f t="shared" si="291"/>
        <v/>
      </c>
      <c r="AI407" s="294" t="str">
        <f t="shared" si="292"/>
        <v/>
      </c>
      <c r="AJ407" s="295" t="str">
        <f t="shared" si="293"/>
        <v/>
      </c>
      <c r="AK407" s="296" t="str">
        <f t="shared" si="294"/>
        <v/>
      </c>
      <c r="AL407" s="297" t="str">
        <f t="shared" si="295"/>
        <v/>
      </c>
      <c r="AM407" s="294" t="str">
        <f t="shared" si="296"/>
        <v/>
      </c>
      <c r="AN407" s="294" t="str">
        <f t="shared" si="297"/>
        <v/>
      </c>
      <c r="AO407" s="298" t="str">
        <f t="shared" si="298"/>
        <v/>
      </c>
      <c r="AP407" s="299" t="str">
        <f t="shared" si="299"/>
        <v/>
      </c>
      <c r="AQ407" s="299" t="str">
        <f t="shared" si="300"/>
        <v/>
      </c>
      <c r="AR407" s="300" t="str">
        <f t="shared" si="280"/>
        <v/>
      </c>
      <c r="AS407" s="300" t="str">
        <f t="shared" si="281"/>
        <v/>
      </c>
      <c r="AT407" s="294" t="str">
        <f t="shared" si="282"/>
        <v/>
      </c>
      <c r="AU407" s="301" t="str">
        <f>IF(OR($B407="", $AP407= ""),"",IF(VLOOKUP($AP407, CONTRATOS!B:K,3,FALSE)="","",VLOOKUP($AP407, CONTRATOS!B:K, 3,FALSE)))</f>
        <v/>
      </c>
      <c r="AV407" s="301" t="str">
        <f>IF(OR($B407="", $AP407 = ""), "", IF(VLOOKUP($AP407, CONTRATOS!B:K,4,FALSE)="","",VLOOKUP($AP407, CONTRATOS!B:K,4, FALSE)))</f>
        <v/>
      </c>
      <c r="AW407" s="302" t="str">
        <f t="shared" si="283"/>
        <v/>
      </c>
      <c r="AX407" s="301" t="str">
        <f t="shared" si="284"/>
        <v/>
      </c>
      <c r="AY407" s="301" t="str">
        <f t="shared" si="285"/>
        <v/>
      </c>
      <c r="AZ407" s="301" t="str">
        <f t="shared" si="286"/>
        <v/>
      </c>
      <c r="BA407" s="301" t="str">
        <f t="shared" si="287"/>
        <v/>
      </c>
      <c r="BB407" s="303">
        <f t="shared" si="301"/>
        <v>0</v>
      </c>
      <c r="BC407" s="303" t="str">
        <f t="shared" si="302"/>
        <v/>
      </c>
      <c r="BD407" s="303" t="str">
        <f t="shared" si="303"/>
        <v/>
      </c>
      <c r="BF407" s="304">
        <f t="shared" si="304"/>
        <v>0</v>
      </c>
      <c r="BG407" s="304">
        <f t="shared" si="305"/>
        <v>0</v>
      </c>
      <c r="BH407" s="304" t="str">
        <f>IF( $B407="", "", IF(ISNA(VLOOKUP($C407, Defesa!$C$8:$C$30,1,FALSE)),1,0))</f>
        <v/>
      </c>
      <c r="BI407" s="305" t="str">
        <f t="shared" si="306"/>
        <v/>
      </c>
      <c r="BJ407" s="305" t="str">
        <f t="shared" si="307"/>
        <v/>
      </c>
      <c r="BK407" s="304" t="str">
        <f t="shared" si="308"/>
        <v/>
      </c>
      <c r="BL407" s="304">
        <f t="shared" si="309"/>
        <v>0</v>
      </c>
      <c r="BM407" s="304" t="str">
        <f>IF($AC407="", "", IF(ISNA(VLOOKUP($AC407, TABELAS!$Q:$Q, 1, FALSE)), 1, 0))</f>
        <v/>
      </c>
      <c r="BN407" s="306" t="str">
        <f t="shared" si="310"/>
        <v/>
      </c>
      <c r="BO407" s="304" t="str">
        <f t="shared" si="311"/>
        <v/>
      </c>
      <c r="BP407" s="304" t="str">
        <f t="shared" si="312"/>
        <v/>
      </c>
      <c r="BQ407" s="305" t="str">
        <f t="shared" si="313"/>
        <v/>
      </c>
      <c r="BR407" s="304" t="str">
        <f t="shared" si="314"/>
        <v/>
      </c>
      <c r="BS407" s="304" t="str">
        <f t="shared" si="315"/>
        <v/>
      </c>
      <c r="BT407" s="304" t="str">
        <f>IF(OR($B407="", $AH407 = "SIM"), "", IF( ISNA(VLOOKUP($AP407,#REF!, 1, FALSE)), 1, 0))</f>
        <v/>
      </c>
      <c r="BU407" s="304" t="str">
        <f t="shared" si="316"/>
        <v/>
      </c>
      <c r="BV407" s="304" t="str">
        <f>IF( $B407="", "", IF( ISNA(VLOOKUP($AN407, TABELAS!$T$2:$T$9,1,FALSE)), 1, 0))</f>
        <v/>
      </c>
      <c r="BW407" s="304" t="str">
        <f t="shared" si="317"/>
        <v/>
      </c>
      <c r="BX407" s="304" t="str">
        <f>IF( OR($B407="", $AH407 = "SIM"), "", IF( ISNA( VLOOKUP( $AQ407, SISTEMA!$B:$B, 1, FALSE)), 1, 0))</f>
        <v/>
      </c>
      <c r="BY407" s="305" t="str">
        <f t="shared" si="318"/>
        <v/>
      </c>
      <c r="BZ407" s="305" t="str">
        <f t="shared" si="319"/>
        <v/>
      </c>
      <c r="CA407" s="304" t="str">
        <f t="shared" si="320"/>
        <v/>
      </c>
      <c r="CB407" s="305" t="str">
        <f t="shared" si="321"/>
        <v/>
      </c>
      <c r="CC407" s="305" t="str">
        <f t="shared" si="322"/>
        <v/>
      </c>
      <c r="CD407" s="305" t="str">
        <f t="shared" si="323"/>
        <v/>
      </c>
    </row>
    <row r="408" spans="1:82" x14ac:dyDescent="0.2">
      <c r="A408" s="235"/>
      <c r="B408" s="236" t="str">
        <f t="shared" si="288"/>
        <v/>
      </c>
      <c r="C408" s="237" t="str">
        <f t="shared" si="278"/>
        <v/>
      </c>
      <c r="D408" s="237" t="str">
        <f t="shared" si="289"/>
        <v/>
      </c>
      <c r="E408" s="237" t="str">
        <f>IF($C408="", "", COUNTIF($M$8:$M408,$D408))</f>
        <v/>
      </c>
      <c r="F408" s="238">
        <v>401</v>
      </c>
      <c r="G408" s="239"/>
      <c r="H408" s="240"/>
      <c r="I408" s="240"/>
      <c r="J408" s="241"/>
      <c r="K408" s="240"/>
      <c r="L408" s="240"/>
      <c r="M408" s="240"/>
      <c r="N408" s="242"/>
      <c r="O408" s="243"/>
      <c r="P408" s="243"/>
      <c r="Q408" s="243"/>
      <c r="R408" s="243"/>
      <c r="S408" s="243"/>
      <c r="T408" s="245"/>
      <c r="U408" s="246" t="str">
        <f>IF($T408="", "", VLOOKUP($T408, CONTRATOS!$B:$E, 2, FALSE))</f>
        <v/>
      </c>
      <c r="V408" s="247">
        <f>IF(OR($T408="",TB_DEFESA!$C$2="Criação Baseline"),0,
   IF(VLOOKUP($T408, CONTRATOS!B:E, 3, FALSE)&lt;&gt;"",1,IF(VLOOKUP($T408, CONTRATOS!B:E, 4, FALSE)&lt;&gt;"",2,0)))</f>
        <v>0</v>
      </c>
      <c r="W408" s="248"/>
      <c r="X408" s="248"/>
      <c r="Y408" s="249"/>
      <c r="Z408" s="250"/>
      <c r="AA408" s="251"/>
      <c r="AB408" s="252"/>
      <c r="AC408" s="253"/>
      <c r="AD408" s="251"/>
      <c r="AE408" s="254" t="str">
        <f t="shared" si="279"/>
        <v/>
      </c>
      <c r="AF408" s="256" t="str">
        <f t="shared" si="290"/>
        <v/>
      </c>
      <c r="AG408" s="293" t="s">
        <v>62</v>
      </c>
      <c r="AH408" s="294" t="str">
        <f t="shared" si="291"/>
        <v/>
      </c>
      <c r="AI408" s="294" t="str">
        <f t="shared" si="292"/>
        <v/>
      </c>
      <c r="AJ408" s="295" t="str">
        <f t="shared" si="293"/>
        <v/>
      </c>
      <c r="AK408" s="296" t="str">
        <f t="shared" si="294"/>
        <v/>
      </c>
      <c r="AL408" s="297" t="str">
        <f t="shared" si="295"/>
        <v/>
      </c>
      <c r="AM408" s="294" t="str">
        <f t="shared" si="296"/>
        <v/>
      </c>
      <c r="AN408" s="294" t="str">
        <f t="shared" si="297"/>
        <v/>
      </c>
      <c r="AO408" s="298" t="str">
        <f t="shared" si="298"/>
        <v/>
      </c>
      <c r="AP408" s="299" t="str">
        <f t="shared" si="299"/>
        <v/>
      </c>
      <c r="AQ408" s="299" t="str">
        <f t="shared" si="300"/>
        <v/>
      </c>
      <c r="AR408" s="300" t="str">
        <f t="shared" si="280"/>
        <v/>
      </c>
      <c r="AS408" s="300" t="str">
        <f t="shared" si="281"/>
        <v/>
      </c>
      <c r="AT408" s="294" t="str">
        <f t="shared" si="282"/>
        <v/>
      </c>
      <c r="AU408" s="301" t="str">
        <f>IF(OR($B408="", $AP408= ""),"",IF(VLOOKUP($AP408, CONTRATOS!B:K,3,FALSE)="","",VLOOKUP($AP408, CONTRATOS!B:K, 3,FALSE)))</f>
        <v/>
      </c>
      <c r="AV408" s="301" t="str">
        <f>IF(OR($B408="", $AP408 = ""), "", IF(VLOOKUP($AP408, CONTRATOS!B:K,4,FALSE)="","",VLOOKUP($AP408, CONTRATOS!B:K,4, FALSE)))</f>
        <v/>
      </c>
      <c r="AW408" s="302" t="str">
        <f t="shared" si="283"/>
        <v/>
      </c>
      <c r="AX408" s="301" t="str">
        <f t="shared" si="284"/>
        <v/>
      </c>
      <c r="AY408" s="301" t="str">
        <f t="shared" si="285"/>
        <v/>
      </c>
      <c r="AZ408" s="301" t="str">
        <f t="shared" si="286"/>
        <v/>
      </c>
      <c r="BA408" s="301" t="str">
        <f t="shared" si="287"/>
        <v/>
      </c>
      <c r="BB408" s="303">
        <f t="shared" si="301"/>
        <v>0</v>
      </c>
      <c r="BC408" s="303" t="str">
        <f t="shared" si="302"/>
        <v/>
      </c>
      <c r="BD408" s="303" t="str">
        <f t="shared" si="303"/>
        <v/>
      </c>
      <c r="BF408" s="304">
        <f t="shared" si="304"/>
        <v>0</v>
      </c>
      <c r="BG408" s="304">
        <f t="shared" si="305"/>
        <v>0</v>
      </c>
      <c r="BH408" s="304" t="str">
        <f>IF( $B408="", "", IF(ISNA(VLOOKUP($C408, Defesa!$C$8:$C$30,1,FALSE)),1,0))</f>
        <v/>
      </c>
      <c r="BI408" s="305" t="str">
        <f t="shared" si="306"/>
        <v/>
      </c>
      <c r="BJ408" s="305" t="str">
        <f t="shared" si="307"/>
        <v/>
      </c>
      <c r="BK408" s="304" t="str">
        <f t="shared" si="308"/>
        <v/>
      </c>
      <c r="BL408" s="304">
        <f t="shared" si="309"/>
        <v>0</v>
      </c>
      <c r="BM408" s="304" t="str">
        <f>IF($AC408="", "", IF(ISNA(VLOOKUP($AC408, TABELAS!$Q:$Q, 1, FALSE)), 1, 0))</f>
        <v/>
      </c>
      <c r="BN408" s="306" t="str">
        <f t="shared" si="310"/>
        <v/>
      </c>
      <c r="BO408" s="304" t="str">
        <f t="shared" si="311"/>
        <v/>
      </c>
      <c r="BP408" s="304" t="str">
        <f t="shared" si="312"/>
        <v/>
      </c>
      <c r="BQ408" s="305" t="str">
        <f t="shared" si="313"/>
        <v/>
      </c>
      <c r="BR408" s="304" t="str">
        <f t="shared" si="314"/>
        <v/>
      </c>
      <c r="BS408" s="304" t="str">
        <f t="shared" si="315"/>
        <v/>
      </c>
      <c r="BT408" s="304" t="str">
        <f>IF(OR($B408="", $AH408 = "SIM"), "", IF( ISNA(VLOOKUP($AP408,#REF!, 1, FALSE)), 1, 0))</f>
        <v/>
      </c>
      <c r="BU408" s="304" t="str">
        <f t="shared" si="316"/>
        <v/>
      </c>
      <c r="BV408" s="304" t="str">
        <f>IF( $B408="", "", IF( ISNA(VLOOKUP($AN408, TABELAS!$T$2:$T$9,1,FALSE)), 1, 0))</f>
        <v/>
      </c>
      <c r="BW408" s="304" t="str">
        <f t="shared" si="317"/>
        <v/>
      </c>
      <c r="BX408" s="304" t="str">
        <f>IF( OR($B408="", $AH408 = "SIM"), "", IF( ISNA( VLOOKUP( $AQ408, SISTEMA!$B:$B, 1, FALSE)), 1, 0))</f>
        <v/>
      </c>
      <c r="BY408" s="305" t="str">
        <f t="shared" si="318"/>
        <v/>
      </c>
      <c r="BZ408" s="305" t="str">
        <f t="shared" si="319"/>
        <v/>
      </c>
      <c r="CA408" s="304" t="str">
        <f t="shared" si="320"/>
        <v/>
      </c>
      <c r="CB408" s="305" t="str">
        <f t="shared" si="321"/>
        <v/>
      </c>
      <c r="CC408" s="305" t="str">
        <f t="shared" si="322"/>
        <v/>
      </c>
      <c r="CD408" s="305" t="str">
        <f t="shared" si="323"/>
        <v/>
      </c>
    </row>
    <row r="409" spans="1:82" x14ac:dyDescent="0.2">
      <c r="A409" s="235"/>
      <c r="B409" s="236" t="str">
        <f t="shared" si="288"/>
        <v/>
      </c>
      <c r="C409" s="237" t="str">
        <f t="shared" si="278"/>
        <v/>
      </c>
      <c r="D409" s="237" t="str">
        <f t="shared" si="289"/>
        <v/>
      </c>
      <c r="E409" s="237" t="str">
        <f>IF($C409="", "", COUNTIF($M$8:$M409,$D409))</f>
        <v/>
      </c>
      <c r="F409" s="238">
        <v>402</v>
      </c>
      <c r="G409" s="239"/>
      <c r="H409" s="240"/>
      <c r="I409" s="240"/>
      <c r="J409" s="241"/>
      <c r="K409" s="240"/>
      <c r="L409" s="240"/>
      <c r="M409" s="240"/>
      <c r="N409" s="242"/>
      <c r="O409" s="243"/>
      <c r="P409" s="243"/>
      <c r="Q409" s="243"/>
      <c r="R409" s="243"/>
      <c r="S409" s="243"/>
      <c r="T409" s="245"/>
      <c r="U409" s="246" t="str">
        <f>IF($T409="", "", VLOOKUP($T409, CONTRATOS!$B:$E, 2, FALSE))</f>
        <v/>
      </c>
      <c r="V409" s="247">
        <f>IF(OR($T409="",TB_DEFESA!$C$2="Criação Baseline"),0,
   IF(VLOOKUP($T409, CONTRATOS!B:E, 3, FALSE)&lt;&gt;"",1,IF(VLOOKUP($T409, CONTRATOS!B:E, 4, FALSE)&lt;&gt;"",2,0)))</f>
        <v>0</v>
      </c>
      <c r="W409" s="248"/>
      <c r="X409" s="248"/>
      <c r="Y409" s="249"/>
      <c r="Z409" s="250"/>
      <c r="AA409" s="251"/>
      <c r="AB409" s="252"/>
      <c r="AC409" s="253"/>
      <c r="AD409" s="251"/>
      <c r="AE409" s="254" t="str">
        <f t="shared" si="279"/>
        <v/>
      </c>
      <c r="AF409" s="256" t="str">
        <f t="shared" si="290"/>
        <v/>
      </c>
      <c r="AG409" s="293" t="s">
        <v>62</v>
      </c>
      <c r="AH409" s="294" t="str">
        <f t="shared" si="291"/>
        <v/>
      </c>
      <c r="AI409" s="294" t="str">
        <f t="shared" si="292"/>
        <v/>
      </c>
      <c r="AJ409" s="295" t="str">
        <f t="shared" si="293"/>
        <v/>
      </c>
      <c r="AK409" s="296" t="str">
        <f t="shared" si="294"/>
        <v/>
      </c>
      <c r="AL409" s="297" t="str">
        <f t="shared" si="295"/>
        <v/>
      </c>
      <c r="AM409" s="294" t="str">
        <f t="shared" si="296"/>
        <v/>
      </c>
      <c r="AN409" s="294" t="str">
        <f t="shared" si="297"/>
        <v/>
      </c>
      <c r="AO409" s="298" t="str">
        <f t="shared" si="298"/>
        <v/>
      </c>
      <c r="AP409" s="299" t="str">
        <f t="shared" si="299"/>
        <v/>
      </c>
      <c r="AQ409" s="299" t="str">
        <f t="shared" si="300"/>
        <v/>
      </c>
      <c r="AR409" s="300" t="str">
        <f t="shared" si="280"/>
        <v/>
      </c>
      <c r="AS409" s="300" t="str">
        <f t="shared" si="281"/>
        <v/>
      </c>
      <c r="AT409" s="294" t="str">
        <f t="shared" si="282"/>
        <v/>
      </c>
      <c r="AU409" s="301" t="str">
        <f>IF(OR($B409="", $AP409= ""),"",IF(VLOOKUP($AP409, CONTRATOS!B:K,3,FALSE)="","",VLOOKUP($AP409, CONTRATOS!B:K, 3,FALSE)))</f>
        <v/>
      </c>
      <c r="AV409" s="301" t="str">
        <f>IF(OR($B409="", $AP409 = ""), "", IF(VLOOKUP($AP409, CONTRATOS!B:K,4,FALSE)="","",VLOOKUP($AP409, CONTRATOS!B:K,4, FALSE)))</f>
        <v/>
      </c>
      <c r="AW409" s="302" t="str">
        <f t="shared" si="283"/>
        <v/>
      </c>
      <c r="AX409" s="301" t="str">
        <f t="shared" si="284"/>
        <v/>
      </c>
      <c r="AY409" s="301" t="str">
        <f t="shared" si="285"/>
        <v/>
      </c>
      <c r="AZ409" s="301" t="str">
        <f t="shared" si="286"/>
        <v/>
      </c>
      <c r="BA409" s="301" t="str">
        <f t="shared" si="287"/>
        <v/>
      </c>
      <c r="BB409" s="303">
        <f t="shared" si="301"/>
        <v>0</v>
      </c>
      <c r="BC409" s="303" t="str">
        <f t="shared" si="302"/>
        <v/>
      </c>
      <c r="BD409" s="303" t="str">
        <f t="shared" si="303"/>
        <v/>
      </c>
      <c r="BF409" s="304">
        <f t="shared" si="304"/>
        <v>0</v>
      </c>
      <c r="BG409" s="304">
        <f t="shared" si="305"/>
        <v>0</v>
      </c>
      <c r="BH409" s="304" t="str">
        <f>IF( $B409="", "", IF(ISNA(VLOOKUP($C409, Defesa!$C$8:$C$30,1,FALSE)),1,0))</f>
        <v/>
      </c>
      <c r="BI409" s="305" t="str">
        <f t="shared" si="306"/>
        <v/>
      </c>
      <c r="BJ409" s="305" t="str">
        <f t="shared" si="307"/>
        <v/>
      </c>
      <c r="BK409" s="304" t="str">
        <f t="shared" si="308"/>
        <v/>
      </c>
      <c r="BL409" s="304">
        <f t="shared" si="309"/>
        <v>0</v>
      </c>
      <c r="BM409" s="304" t="str">
        <f>IF($AC409="", "", IF(ISNA(VLOOKUP($AC409, TABELAS!$Q:$Q, 1, FALSE)), 1, 0))</f>
        <v/>
      </c>
      <c r="BN409" s="306" t="str">
        <f t="shared" si="310"/>
        <v/>
      </c>
      <c r="BO409" s="304" t="str">
        <f t="shared" si="311"/>
        <v/>
      </c>
      <c r="BP409" s="304" t="str">
        <f t="shared" si="312"/>
        <v/>
      </c>
      <c r="BQ409" s="305" t="str">
        <f t="shared" si="313"/>
        <v/>
      </c>
      <c r="BR409" s="304" t="str">
        <f t="shared" si="314"/>
        <v/>
      </c>
      <c r="BS409" s="304" t="str">
        <f t="shared" si="315"/>
        <v/>
      </c>
      <c r="BT409" s="304" t="str">
        <f>IF(OR($B409="", $AH409 = "SIM"), "", IF( ISNA(VLOOKUP($AP409,#REF!, 1, FALSE)), 1, 0))</f>
        <v/>
      </c>
      <c r="BU409" s="304" t="str">
        <f t="shared" si="316"/>
        <v/>
      </c>
      <c r="BV409" s="304" t="str">
        <f>IF( $B409="", "", IF( ISNA(VLOOKUP($AN409, TABELAS!$T$2:$T$9,1,FALSE)), 1, 0))</f>
        <v/>
      </c>
      <c r="BW409" s="304" t="str">
        <f t="shared" si="317"/>
        <v/>
      </c>
      <c r="BX409" s="304" t="str">
        <f>IF( OR($B409="", $AH409 = "SIM"), "", IF( ISNA( VLOOKUP( $AQ409, SISTEMA!$B:$B, 1, FALSE)), 1, 0))</f>
        <v/>
      </c>
      <c r="BY409" s="305" t="str">
        <f t="shared" si="318"/>
        <v/>
      </c>
      <c r="BZ409" s="305" t="str">
        <f t="shared" si="319"/>
        <v/>
      </c>
      <c r="CA409" s="304" t="str">
        <f t="shared" si="320"/>
        <v/>
      </c>
      <c r="CB409" s="305" t="str">
        <f t="shared" si="321"/>
        <v/>
      </c>
      <c r="CC409" s="305" t="str">
        <f t="shared" si="322"/>
        <v/>
      </c>
      <c r="CD409" s="305" t="str">
        <f t="shared" si="323"/>
        <v/>
      </c>
    </row>
    <row r="410" spans="1:82" x14ac:dyDescent="0.2">
      <c r="A410" s="235"/>
      <c r="B410" s="236" t="str">
        <f t="shared" si="288"/>
        <v/>
      </c>
      <c r="C410" s="237" t="str">
        <f t="shared" si="278"/>
        <v/>
      </c>
      <c r="D410" s="237" t="str">
        <f t="shared" si="289"/>
        <v/>
      </c>
      <c r="E410" s="237" t="str">
        <f>IF($C410="", "", COUNTIF($M$8:$M410,$D410))</f>
        <v/>
      </c>
      <c r="F410" s="238">
        <v>403</v>
      </c>
      <c r="G410" s="239"/>
      <c r="H410" s="240"/>
      <c r="I410" s="240"/>
      <c r="J410" s="241"/>
      <c r="K410" s="240"/>
      <c r="L410" s="240"/>
      <c r="M410" s="240"/>
      <c r="N410" s="242"/>
      <c r="O410" s="243"/>
      <c r="P410" s="243"/>
      <c r="Q410" s="243"/>
      <c r="R410" s="243"/>
      <c r="S410" s="243"/>
      <c r="T410" s="245"/>
      <c r="U410" s="246" t="str">
        <f>IF($T410="", "", VLOOKUP($T410, CONTRATOS!$B:$E, 2, FALSE))</f>
        <v/>
      </c>
      <c r="V410" s="247">
        <f>IF(OR($T410="",TB_DEFESA!$C$2="Criação Baseline"),0,
   IF(VLOOKUP($T410, CONTRATOS!B:E, 3, FALSE)&lt;&gt;"",1,IF(VLOOKUP($T410, CONTRATOS!B:E, 4, FALSE)&lt;&gt;"",2,0)))</f>
        <v>0</v>
      </c>
      <c r="W410" s="248"/>
      <c r="X410" s="248"/>
      <c r="Y410" s="249"/>
      <c r="Z410" s="250"/>
      <c r="AA410" s="251"/>
      <c r="AB410" s="252"/>
      <c r="AC410" s="253"/>
      <c r="AD410" s="251"/>
      <c r="AE410" s="254" t="str">
        <f t="shared" si="279"/>
        <v/>
      </c>
      <c r="AF410" s="256" t="str">
        <f t="shared" si="290"/>
        <v/>
      </c>
      <c r="AG410" s="293" t="s">
        <v>62</v>
      </c>
      <c r="AH410" s="294" t="str">
        <f t="shared" si="291"/>
        <v/>
      </c>
      <c r="AI410" s="294" t="str">
        <f t="shared" si="292"/>
        <v/>
      </c>
      <c r="AJ410" s="295" t="str">
        <f t="shared" si="293"/>
        <v/>
      </c>
      <c r="AK410" s="296" t="str">
        <f t="shared" si="294"/>
        <v/>
      </c>
      <c r="AL410" s="297" t="str">
        <f t="shared" si="295"/>
        <v/>
      </c>
      <c r="AM410" s="294" t="str">
        <f t="shared" si="296"/>
        <v/>
      </c>
      <c r="AN410" s="294" t="str">
        <f t="shared" si="297"/>
        <v/>
      </c>
      <c r="AO410" s="298" t="str">
        <f t="shared" si="298"/>
        <v/>
      </c>
      <c r="AP410" s="299" t="str">
        <f t="shared" si="299"/>
        <v/>
      </c>
      <c r="AQ410" s="299" t="str">
        <f t="shared" si="300"/>
        <v/>
      </c>
      <c r="AR410" s="300" t="str">
        <f t="shared" si="280"/>
        <v/>
      </c>
      <c r="AS410" s="300" t="str">
        <f t="shared" si="281"/>
        <v/>
      </c>
      <c r="AT410" s="294" t="str">
        <f t="shared" si="282"/>
        <v/>
      </c>
      <c r="AU410" s="301" t="str">
        <f>IF(OR($B410="", $AP410= ""),"",IF(VLOOKUP($AP410, CONTRATOS!B:K,3,FALSE)="","",VLOOKUP($AP410, CONTRATOS!B:K, 3,FALSE)))</f>
        <v/>
      </c>
      <c r="AV410" s="301" t="str">
        <f>IF(OR($B410="", $AP410 = ""), "", IF(VLOOKUP($AP410, CONTRATOS!B:K,4,FALSE)="","",VLOOKUP($AP410, CONTRATOS!B:K,4, FALSE)))</f>
        <v/>
      </c>
      <c r="AW410" s="302" t="str">
        <f t="shared" si="283"/>
        <v/>
      </c>
      <c r="AX410" s="301" t="str">
        <f t="shared" si="284"/>
        <v/>
      </c>
      <c r="AY410" s="301" t="str">
        <f t="shared" si="285"/>
        <v/>
      </c>
      <c r="AZ410" s="301" t="str">
        <f t="shared" si="286"/>
        <v/>
      </c>
      <c r="BA410" s="301" t="str">
        <f t="shared" si="287"/>
        <v/>
      </c>
      <c r="BB410" s="303">
        <f t="shared" si="301"/>
        <v>0</v>
      </c>
      <c r="BC410" s="303" t="str">
        <f t="shared" si="302"/>
        <v/>
      </c>
      <c r="BD410" s="303" t="str">
        <f t="shared" si="303"/>
        <v/>
      </c>
      <c r="BF410" s="304">
        <f t="shared" si="304"/>
        <v>0</v>
      </c>
      <c r="BG410" s="304">
        <f t="shared" si="305"/>
        <v>0</v>
      </c>
      <c r="BH410" s="304" t="str">
        <f>IF( $B410="", "", IF(ISNA(VLOOKUP($C410, Defesa!$C$8:$C$30,1,FALSE)),1,0))</f>
        <v/>
      </c>
      <c r="BI410" s="305" t="str">
        <f t="shared" si="306"/>
        <v/>
      </c>
      <c r="BJ410" s="305" t="str">
        <f t="shared" si="307"/>
        <v/>
      </c>
      <c r="BK410" s="304" t="str">
        <f t="shared" si="308"/>
        <v/>
      </c>
      <c r="BL410" s="304">
        <f t="shared" si="309"/>
        <v>0</v>
      </c>
      <c r="BM410" s="304" t="str">
        <f>IF($AC410="", "", IF(ISNA(VLOOKUP($AC410, TABELAS!$Q:$Q, 1, FALSE)), 1, 0))</f>
        <v/>
      </c>
      <c r="BN410" s="306" t="str">
        <f t="shared" si="310"/>
        <v/>
      </c>
      <c r="BO410" s="304" t="str">
        <f t="shared" si="311"/>
        <v/>
      </c>
      <c r="BP410" s="304" t="str">
        <f t="shared" si="312"/>
        <v/>
      </c>
      <c r="BQ410" s="305" t="str">
        <f t="shared" si="313"/>
        <v/>
      </c>
      <c r="BR410" s="304" t="str">
        <f t="shared" si="314"/>
        <v/>
      </c>
      <c r="BS410" s="304" t="str">
        <f t="shared" si="315"/>
        <v/>
      </c>
      <c r="BT410" s="304" t="str">
        <f>IF(OR($B410="", $AH410 = "SIM"), "", IF( ISNA(VLOOKUP($AP410,#REF!, 1, FALSE)), 1, 0))</f>
        <v/>
      </c>
      <c r="BU410" s="304" t="str">
        <f t="shared" si="316"/>
        <v/>
      </c>
      <c r="BV410" s="304" t="str">
        <f>IF( $B410="", "", IF( ISNA(VLOOKUP($AN410, TABELAS!$T$2:$T$9,1,FALSE)), 1, 0))</f>
        <v/>
      </c>
      <c r="BW410" s="304" t="str">
        <f t="shared" si="317"/>
        <v/>
      </c>
      <c r="BX410" s="304" t="str">
        <f>IF( OR($B410="", $AH410 = "SIM"), "", IF( ISNA( VLOOKUP( $AQ410, SISTEMA!$B:$B, 1, FALSE)), 1, 0))</f>
        <v/>
      </c>
      <c r="BY410" s="305" t="str">
        <f t="shared" si="318"/>
        <v/>
      </c>
      <c r="BZ410" s="305" t="str">
        <f t="shared" si="319"/>
        <v/>
      </c>
      <c r="CA410" s="304" t="str">
        <f t="shared" si="320"/>
        <v/>
      </c>
      <c r="CB410" s="305" t="str">
        <f t="shared" si="321"/>
        <v/>
      </c>
      <c r="CC410" s="305" t="str">
        <f t="shared" si="322"/>
        <v/>
      </c>
      <c r="CD410" s="305" t="str">
        <f t="shared" si="323"/>
        <v/>
      </c>
    </row>
    <row r="411" spans="1:82" x14ac:dyDescent="0.2">
      <c r="A411" s="235"/>
      <c r="B411" s="236" t="str">
        <f t="shared" si="288"/>
        <v/>
      </c>
      <c r="C411" s="237" t="str">
        <f t="shared" si="278"/>
        <v/>
      </c>
      <c r="D411" s="237" t="str">
        <f t="shared" si="289"/>
        <v/>
      </c>
      <c r="E411" s="237" t="str">
        <f>IF($C411="", "", COUNTIF($M$8:$M411,$D411))</f>
        <v/>
      </c>
      <c r="F411" s="238">
        <v>404</v>
      </c>
      <c r="G411" s="239"/>
      <c r="H411" s="240"/>
      <c r="I411" s="240"/>
      <c r="J411" s="241"/>
      <c r="K411" s="240"/>
      <c r="L411" s="240"/>
      <c r="M411" s="240"/>
      <c r="N411" s="242"/>
      <c r="O411" s="243"/>
      <c r="P411" s="243"/>
      <c r="Q411" s="243"/>
      <c r="R411" s="243"/>
      <c r="S411" s="243"/>
      <c r="T411" s="245"/>
      <c r="U411" s="246" t="str">
        <f>IF($T411="", "", VLOOKUP($T411, CONTRATOS!$B:$E, 2, FALSE))</f>
        <v/>
      </c>
      <c r="V411" s="247">
        <f>IF(OR($T411="",TB_DEFESA!$C$2="Criação Baseline"),0,
   IF(VLOOKUP($T411, CONTRATOS!B:E, 3, FALSE)&lt;&gt;"",1,IF(VLOOKUP($T411, CONTRATOS!B:E, 4, FALSE)&lt;&gt;"",2,0)))</f>
        <v>0</v>
      </c>
      <c r="W411" s="248"/>
      <c r="X411" s="248"/>
      <c r="Y411" s="249"/>
      <c r="Z411" s="250"/>
      <c r="AA411" s="251"/>
      <c r="AB411" s="252"/>
      <c r="AC411" s="253"/>
      <c r="AD411" s="251"/>
      <c r="AE411" s="254" t="str">
        <f t="shared" si="279"/>
        <v/>
      </c>
      <c r="AF411" s="256" t="str">
        <f t="shared" si="290"/>
        <v/>
      </c>
      <c r="AG411" s="293" t="s">
        <v>62</v>
      </c>
      <c r="AH411" s="294" t="str">
        <f t="shared" si="291"/>
        <v/>
      </c>
      <c r="AI411" s="294" t="str">
        <f t="shared" si="292"/>
        <v/>
      </c>
      <c r="AJ411" s="295" t="str">
        <f t="shared" si="293"/>
        <v/>
      </c>
      <c r="AK411" s="296" t="str">
        <f t="shared" si="294"/>
        <v/>
      </c>
      <c r="AL411" s="297" t="str">
        <f t="shared" si="295"/>
        <v/>
      </c>
      <c r="AM411" s="294" t="str">
        <f t="shared" si="296"/>
        <v/>
      </c>
      <c r="AN411" s="294" t="str">
        <f t="shared" si="297"/>
        <v/>
      </c>
      <c r="AO411" s="298" t="str">
        <f t="shared" si="298"/>
        <v/>
      </c>
      <c r="AP411" s="299" t="str">
        <f t="shared" si="299"/>
        <v/>
      </c>
      <c r="AQ411" s="299" t="str">
        <f t="shared" si="300"/>
        <v/>
      </c>
      <c r="AR411" s="300" t="str">
        <f t="shared" si="280"/>
        <v/>
      </c>
      <c r="AS411" s="300" t="str">
        <f t="shared" si="281"/>
        <v/>
      </c>
      <c r="AT411" s="294" t="str">
        <f t="shared" si="282"/>
        <v/>
      </c>
      <c r="AU411" s="301" t="str">
        <f>IF(OR($B411="", $AP411= ""),"",IF(VLOOKUP($AP411, CONTRATOS!B:K,3,FALSE)="","",VLOOKUP($AP411, CONTRATOS!B:K, 3,FALSE)))</f>
        <v/>
      </c>
      <c r="AV411" s="301" t="str">
        <f>IF(OR($B411="", $AP411 = ""), "", IF(VLOOKUP($AP411, CONTRATOS!B:K,4,FALSE)="","",VLOOKUP($AP411, CONTRATOS!B:K,4, FALSE)))</f>
        <v/>
      </c>
      <c r="AW411" s="302" t="str">
        <f t="shared" si="283"/>
        <v/>
      </c>
      <c r="AX411" s="301" t="str">
        <f t="shared" si="284"/>
        <v/>
      </c>
      <c r="AY411" s="301" t="str">
        <f t="shared" si="285"/>
        <v/>
      </c>
      <c r="AZ411" s="301" t="str">
        <f t="shared" si="286"/>
        <v/>
      </c>
      <c r="BA411" s="301" t="str">
        <f t="shared" si="287"/>
        <v/>
      </c>
      <c r="BB411" s="303">
        <f t="shared" si="301"/>
        <v>0</v>
      </c>
      <c r="BC411" s="303" t="str">
        <f t="shared" si="302"/>
        <v/>
      </c>
      <c r="BD411" s="303" t="str">
        <f t="shared" si="303"/>
        <v/>
      </c>
      <c r="BF411" s="304">
        <f t="shared" si="304"/>
        <v>0</v>
      </c>
      <c r="BG411" s="304">
        <f t="shared" si="305"/>
        <v>0</v>
      </c>
      <c r="BH411" s="304" t="str">
        <f>IF( $B411="", "", IF(ISNA(VLOOKUP($C411, Defesa!$C$8:$C$30,1,FALSE)),1,0))</f>
        <v/>
      </c>
      <c r="BI411" s="305" t="str">
        <f t="shared" si="306"/>
        <v/>
      </c>
      <c r="BJ411" s="305" t="str">
        <f t="shared" si="307"/>
        <v/>
      </c>
      <c r="BK411" s="304" t="str">
        <f t="shared" si="308"/>
        <v/>
      </c>
      <c r="BL411" s="304">
        <f t="shared" si="309"/>
        <v>0</v>
      </c>
      <c r="BM411" s="304" t="str">
        <f>IF($AC411="", "", IF(ISNA(VLOOKUP($AC411, TABELAS!$Q:$Q, 1, FALSE)), 1, 0))</f>
        <v/>
      </c>
      <c r="BN411" s="306" t="str">
        <f t="shared" si="310"/>
        <v/>
      </c>
      <c r="BO411" s="304" t="str">
        <f t="shared" si="311"/>
        <v/>
      </c>
      <c r="BP411" s="304" t="str">
        <f t="shared" si="312"/>
        <v/>
      </c>
      <c r="BQ411" s="305" t="str">
        <f t="shared" si="313"/>
        <v/>
      </c>
      <c r="BR411" s="304" t="str">
        <f t="shared" si="314"/>
        <v/>
      </c>
      <c r="BS411" s="304" t="str">
        <f t="shared" si="315"/>
        <v/>
      </c>
      <c r="BT411" s="304" t="str">
        <f>IF(OR($B411="", $AH411 = "SIM"), "", IF( ISNA(VLOOKUP($AP411,#REF!, 1, FALSE)), 1, 0))</f>
        <v/>
      </c>
      <c r="BU411" s="304" t="str">
        <f t="shared" si="316"/>
        <v/>
      </c>
      <c r="BV411" s="304" t="str">
        <f>IF( $B411="", "", IF( ISNA(VLOOKUP($AN411, TABELAS!$T$2:$T$9,1,FALSE)), 1, 0))</f>
        <v/>
      </c>
      <c r="BW411" s="304" t="str">
        <f t="shared" si="317"/>
        <v/>
      </c>
      <c r="BX411" s="304" t="str">
        <f>IF( OR($B411="", $AH411 = "SIM"), "", IF( ISNA( VLOOKUP( $AQ411, SISTEMA!$B:$B, 1, FALSE)), 1, 0))</f>
        <v/>
      </c>
      <c r="BY411" s="305" t="str">
        <f t="shared" si="318"/>
        <v/>
      </c>
      <c r="BZ411" s="305" t="str">
        <f t="shared" si="319"/>
        <v/>
      </c>
      <c r="CA411" s="304" t="str">
        <f t="shared" si="320"/>
        <v/>
      </c>
      <c r="CB411" s="305" t="str">
        <f t="shared" si="321"/>
        <v/>
      </c>
      <c r="CC411" s="305" t="str">
        <f t="shared" si="322"/>
        <v/>
      </c>
      <c r="CD411" s="305" t="str">
        <f t="shared" si="323"/>
        <v/>
      </c>
    </row>
    <row r="412" spans="1:82" x14ac:dyDescent="0.2">
      <c r="A412" s="235"/>
      <c r="B412" s="236" t="str">
        <f t="shared" si="288"/>
        <v/>
      </c>
      <c r="C412" s="237" t="str">
        <f t="shared" si="278"/>
        <v/>
      </c>
      <c r="D412" s="237" t="str">
        <f t="shared" si="289"/>
        <v/>
      </c>
      <c r="E412" s="237" t="str">
        <f>IF($C412="", "", COUNTIF($M$8:$M412,$D412))</f>
        <v/>
      </c>
      <c r="F412" s="238">
        <v>405</v>
      </c>
      <c r="G412" s="239"/>
      <c r="H412" s="240"/>
      <c r="I412" s="240"/>
      <c r="J412" s="241"/>
      <c r="K412" s="240"/>
      <c r="L412" s="240"/>
      <c r="M412" s="240"/>
      <c r="N412" s="242"/>
      <c r="O412" s="243"/>
      <c r="P412" s="243"/>
      <c r="Q412" s="243"/>
      <c r="R412" s="243"/>
      <c r="S412" s="243"/>
      <c r="T412" s="245"/>
      <c r="U412" s="246" t="str">
        <f>IF($T412="", "", VLOOKUP($T412, CONTRATOS!$B:$E, 2, FALSE))</f>
        <v/>
      </c>
      <c r="V412" s="247">
        <f>IF(OR($T412="",TB_DEFESA!$C$2="Criação Baseline"),0,
   IF(VLOOKUP($T412, CONTRATOS!B:E, 3, FALSE)&lt;&gt;"",1,IF(VLOOKUP($T412, CONTRATOS!B:E, 4, FALSE)&lt;&gt;"",2,0)))</f>
        <v>0</v>
      </c>
      <c r="W412" s="248"/>
      <c r="X412" s="248"/>
      <c r="Y412" s="249"/>
      <c r="Z412" s="250"/>
      <c r="AA412" s="251"/>
      <c r="AB412" s="252"/>
      <c r="AC412" s="253"/>
      <c r="AD412" s="251"/>
      <c r="AE412" s="254" t="str">
        <f t="shared" si="279"/>
        <v/>
      </c>
      <c r="AF412" s="256" t="str">
        <f t="shared" si="290"/>
        <v/>
      </c>
      <c r="AG412" s="293" t="s">
        <v>62</v>
      </c>
      <c r="AH412" s="294" t="str">
        <f t="shared" si="291"/>
        <v/>
      </c>
      <c r="AI412" s="294" t="str">
        <f t="shared" si="292"/>
        <v/>
      </c>
      <c r="AJ412" s="295" t="str">
        <f t="shared" si="293"/>
        <v/>
      </c>
      <c r="AK412" s="296" t="str">
        <f t="shared" si="294"/>
        <v/>
      </c>
      <c r="AL412" s="297" t="str">
        <f t="shared" si="295"/>
        <v/>
      </c>
      <c r="AM412" s="294" t="str">
        <f t="shared" si="296"/>
        <v/>
      </c>
      <c r="AN412" s="294" t="str">
        <f t="shared" si="297"/>
        <v/>
      </c>
      <c r="AO412" s="298" t="str">
        <f t="shared" si="298"/>
        <v/>
      </c>
      <c r="AP412" s="299" t="str">
        <f t="shared" si="299"/>
        <v/>
      </c>
      <c r="AQ412" s="299" t="str">
        <f t="shared" si="300"/>
        <v/>
      </c>
      <c r="AR412" s="300" t="str">
        <f t="shared" si="280"/>
        <v/>
      </c>
      <c r="AS412" s="300" t="str">
        <f t="shared" si="281"/>
        <v/>
      </c>
      <c r="AT412" s="294" t="str">
        <f t="shared" si="282"/>
        <v/>
      </c>
      <c r="AU412" s="301" t="str">
        <f>IF(OR($B412="", $AP412= ""),"",IF(VLOOKUP($AP412, CONTRATOS!B:K,3,FALSE)="","",VLOOKUP($AP412, CONTRATOS!B:K, 3,FALSE)))</f>
        <v/>
      </c>
      <c r="AV412" s="301" t="str">
        <f>IF(OR($B412="", $AP412 = ""), "", IF(VLOOKUP($AP412, CONTRATOS!B:K,4,FALSE)="","",VLOOKUP($AP412, CONTRATOS!B:K,4, FALSE)))</f>
        <v/>
      </c>
      <c r="AW412" s="302" t="str">
        <f t="shared" si="283"/>
        <v/>
      </c>
      <c r="AX412" s="301" t="str">
        <f t="shared" si="284"/>
        <v/>
      </c>
      <c r="AY412" s="301" t="str">
        <f t="shared" si="285"/>
        <v/>
      </c>
      <c r="AZ412" s="301" t="str">
        <f t="shared" si="286"/>
        <v/>
      </c>
      <c r="BA412" s="301" t="str">
        <f t="shared" si="287"/>
        <v/>
      </c>
      <c r="BB412" s="303">
        <f t="shared" si="301"/>
        <v>0</v>
      </c>
      <c r="BC412" s="303" t="str">
        <f t="shared" si="302"/>
        <v/>
      </c>
      <c r="BD412" s="303" t="str">
        <f t="shared" si="303"/>
        <v/>
      </c>
      <c r="BF412" s="304">
        <f t="shared" si="304"/>
        <v>0</v>
      </c>
      <c r="BG412" s="304">
        <f t="shared" si="305"/>
        <v>0</v>
      </c>
      <c r="BH412" s="304" t="str">
        <f>IF( $B412="", "", IF(ISNA(VLOOKUP($C412, Defesa!$C$8:$C$30,1,FALSE)),1,0))</f>
        <v/>
      </c>
      <c r="BI412" s="305" t="str">
        <f t="shared" si="306"/>
        <v/>
      </c>
      <c r="BJ412" s="305" t="str">
        <f t="shared" si="307"/>
        <v/>
      </c>
      <c r="BK412" s="304" t="str">
        <f t="shared" si="308"/>
        <v/>
      </c>
      <c r="BL412" s="304">
        <f t="shared" si="309"/>
        <v>0</v>
      </c>
      <c r="BM412" s="304" t="str">
        <f>IF($AC412="", "", IF(ISNA(VLOOKUP($AC412, TABELAS!$Q:$Q, 1, FALSE)), 1, 0))</f>
        <v/>
      </c>
      <c r="BN412" s="306" t="str">
        <f t="shared" si="310"/>
        <v/>
      </c>
      <c r="BO412" s="304" t="str">
        <f t="shared" si="311"/>
        <v/>
      </c>
      <c r="BP412" s="304" t="str">
        <f t="shared" si="312"/>
        <v/>
      </c>
      <c r="BQ412" s="305" t="str">
        <f t="shared" si="313"/>
        <v/>
      </c>
      <c r="BR412" s="304" t="str">
        <f t="shared" si="314"/>
        <v/>
      </c>
      <c r="BS412" s="304" t="str">
        <f t="shared" si="315"/>
        <v/>
      </c>
      <c r="BT412" s="304" t="str">
        <f>IF(OR($B412="", $AH412 = "SIM"), "", IF( ISNA(VLOOKUP($AP412,#REF!, 1, FALSE)), 1, 0))</f>
        <v/>
      </c>
      <c r="BU412" s="304" t="str">
        <f t="shared" si="316"/>
        <v/>
      </c>
      <c r="BV412" s="304" t="str">
        <f>IF( $B412="", "", IF( ISNA(VLOOKUP($AN412, TABELAS!$T$2:$T$9,1,FALSE)), 1, 0))</f>
        <v/>
      </c>
      <c r="BW412" s="304" t="str">
        <f t="shared" si="317"/>
        <v/>
      </c>
      <c r="BX412" s="304" t="str">
        <f>IF( OR($B412="", $AH412 = "SIM"), "", IF( ISNA( VLOOKUP( $AQ412, SISTEMA!$B:$B, 1, FALSE)), 1, 0))</f>
        <v/>
      </c>
      <c r="BY412" s="305" t="str">
        <f t="shared" si="318"/>
        <v/>
      </c>
      <c r="BZ412" s="305" t="str">
        <f t="shared" si="319"/>
        <v/>
      </c>
      <c r="CA412" s="304" t="str">
        <f t="shared" si="320"/>
        <v/>
      </c>
      <c r="CB412" s="305" t="str">
        <f t="shared" si="321"/>
        <v/>
      </c>
      <c r="CC412" s="305" t="str">
        <f t="shared" si="322"/>
        <v/>
      </c>
      <c r="CD412" s="305" t="str">
        <f t="shared" si="323"/>
        <v/>
      </c>
    </row>
    <row r="413" spans="1:82" x14ac:dyDescent="0.2">
      <c r="A413" s="235"/>
      <c r="B413" s="236" t="str">
        <f t="shared" si="288"/>
        <v/>
      </c>
      <c r="C413" s="237" t="str">
        <f t="shared" si="278"/>
        <v/>
      </c>
      <c r="D413" s="237" t="str">
        <f t="shared" si="289"/>
        <v/>
      </c>
      <c r="E413" s="237" t="str">
        <f>IF($C413="", "", COUNTIF($M$8:$M413,$D413))</f>
        <v/>
      </c>
      <c r="F413" s="238">
        <v>406</v>
      </c>
      <c r="G413" s="239"/>
      <c r="H413" s="240"/>
      <c r="I413" s="240"/>
      <c r="J413" s="241"/>
      <c r="K413" s="240"/>
      <c r="L413" s="240"/>
      <c r="M413" s="240"/>
      <c r="N413" s="242"/>
      <c r="O413" s="243"/>
      <c r="P413" s="243"/>
      <c r="Q413" s="243"/>
      <c r="R413" s="243"/>
      <c r="S413" s="243"/>
      <c r="T413" s="245"/>
      <c r="U413" s="246" t="str">
        <f>IF($T413="", "", VLOOKUP($T413, CONTRATOS!$B:$E, 2, FALSE))</f>
        <v/>
      </c>
      <c r="V413" s="247">
        <f>IF(OR($T413="",TB_DEFESA!$C$2="Criação Baseline"),0,
   IF(VLOOKUP($T413, CONTRATOS!B:E, 3, FALSE)&lt;&gt;"",1,IF(VLOOKUP($T413, CONTRATOS!B:E, 4, FALSE)&lt;&gt;"",2,0)))</f>
        <v>0</v>
      </c>
      <c r="W413" s="248"/>
      <c r="X413" s="248"/>
      <c r="Y413" s="249"/>
      <c r="Z413" s="250"/>
      <c r="AA413" s="251"/>
      <c r="AB413" s="252"/>
      <c r="AC413" s="253"/>
      <c r="AD413" s="251"/>
      <c r="AE413" s="254" t="str">
        <f t="shared" si="279"/>
        <v/>
      </c>
      <c r="AF413" s="256" t="str">
        <f t="shared" si="290"/>
        <v/>
      </c>
      <c r="AG413" s="293" t="s">
        <v>62</v>
      </c>
      <c r="AH413" s="294" t="str">
        <f t="shared" si="291"/>
        <v/>
      </c>
      <c r="AI413" s="294" t="str">
        <f t="shared" si="292"/>
        <v/>
      </c>
      <c r="AJ413" s="295" t="str">
        <f t="shared" si="293"/>
        <v/>
      </c>
      <c r="AK413" s="296" t="str">
        <f t="shared" si="294"/>
        <v/>
      </c>
      <c r="AL413" s="297" t="str">
        <f t="shared" si="295"/>
        <v/>
      </c>
      <c r="AM413" s="294" t="str">
        <f t="shared" si="296"/>
        <v/>
      </c>
      <c r="AN413" s="294" t="str">
        <f t="shared" si="297"/>
        <v/>
      </c>
      <c r="AO413" s="298" t="str">
        <f t="shared" si="298"/>
        <v/>
      </c>
      <c r="AP413" s="299" t="str">
        <f t="shared" si="299"/>
        <v/>
      </c>
      <c r="AQ413" s="299" t="str">
        <f t="shared" si="300"/>
        <v/>
      </c>
      <c r="AR413" s="300" t="str">
        <f t="shared" si="280"/>
        <v/>
      </c>
      <c r="AS413" s="300" t="str">
        <f t="shared" si="281"/>
        <v/>
      </c>
      <c r="AT413" s="294" t="str">
        <f t="shared" si="282"/>
        <v/>
      </c>
      <c r="AU413" s="301" t="str">
        <f>IF(OR($B413="", $AP413= ""),"",IF(VLOOKUP($AP413, CONTRATOS!B:K,3,FALSE)="","",VLOOKUP($AP413, CONTRATOS!B:K, 3,FALSE)))</f>
        <v/>
      </c>
      <c r="AV413" s="301" t="str">
        <f>IF(OR($B413="", $AP413 = ""), "", IF(VLOOKUP($AP413, CONTRATOS!B:K,4,FALSE)="","",VLOOKUP($AP413, CONTRATOS!B:K,4, FALSE)))</f>
        <v/>
      </c>
      <c r="AW413" s="302" t="str">
        <f t="shared" si="283"/>
        <v/>
      </c>
      <c r="AX413" s="301" t="str">
        <f t="shared" si="284"/>
        <v/>
      </c>
      <c r="AY413" s="301" t="str">
        <f t="shared" si="285"/>
        <v/>
      </c>
      <c r="AZ413" s="301" t="str">
        <f t="shared" si="286"/>
        <v/>
      </c>
      <c r="BA413" s="301" t="str">
        <f t="shared" si="287"/>
        <v/>
      </c>
      <c r="BB413" s="303">
        <f t="shared" si="301"/>
        <v>0</v>
      </c>
      <c r="BC413" s="303" t="str">
        <f t="shared" si="302"/>
        <v/>
      </c>
      <c r="BD413" s="303" t="str">
        <f t="shared" si="303"/>
        <v/>
      </c>
      <c r="BF413" s="304">
        <f t="shared" si="304"/>
        <v>0</v>
      </c>
      <c r="BG413" s="304">
        <f t="shared" si="305"/>
        <v>0</v>
      </c>
      <c r="BH413" s="304" t="str">
        <f>IF( $B413="", "", IF(ISNA(VLOOKUP($C413, Defesa!$C$8:$C$30,1,FALSE)),1,0))</f>
        <v/>
      </c>
      <c r="BI413" s="305" t="str">
        <f t="shared" si="306"/>
        <v/>
      </c>
      <c r="BJ413" s="305" t="str">
        <f t="shared" si="307"/>
        <v/>
      </c>
      <c r="BK413" s="304" t="str">
        <f t="shared" si="308"/>
        <v/>
      </c>
      <c r="BL413" s="304">
        <f t="shared" si="309"/>
        <v>0</v>
      </c>
      <c r="BM413" s="304" t="str">
        <f>IF($AC413="", "", IF(ISNA(VLOOKUP($AC413, TABELAS!$Q:$Q, 1, FALSE)), 1, 0))</f>
        <v/>
      </c>
      <c r="BN413" s="306" t="str">
        <f t="shared" si="310"/>
        <v/>
      </c>
      <c r="BO413" s="304" t="str">
        <f t="shared" si="311"/>
        <v/>
      </c>
      <c r="BP413" s="304" t="str">
        <f t="shared" si="312"/>
        <v/>
      </c>
      <c r="BQ413" s="305" t="str">
        <f t="shared" si="313"/>
        <v/>
      </c>
      <c r="BR413" s="304" t="str">
        <f t="shared" si="314"/>
        <v/>
      </c>
      <c r="BS413" s="304" t="str">
        <f t="shared" si="315"/>
        <v/>
      </c>
      <c r="BT413" s="304" t="str">
        <f>IF(OR($B413="", $AH413 = "SIM"), "", IF( ISNA(VLOOKUP($AP413,#REF!, 1, FALSE)), 1, 0))</f>
        <v/>
      </c>
      <c r="BU413" s="304" t="str">
        <f t="shared" si="316"/>
        <v/>
      </c>
      <c r="BV413" s="304" t="str">
        <f>IF( $B413="", "", IF( ISNA(VLOOKUP($AN413, TABELAS!$T$2:$T$9,1,FALSE)), 1, 0))</f>
        <v/>
      </c>
      <c r="BW413" s="304" t="str">
        <f t="shared" si="317"/>
        <v/>
      </c>
      <c r="BX413" s="304" t="str">
        <f>IF( OR($B413="", $AH413 = "SIM"), "", IF( ISNA( VLOOKUP( $AQ413, SISTEMA!$B:$B, 1, FALSE)), 1, 0))</f>
        <v/>
      </c>
      <c r="BY413" s="305" t="str">
        <f t="shared" si="318"/>
        <v/>
      </c>
      <c r="BZ413" s="305" t="str">
        <f t="shared" si="319"/>
        <v/>
      </c>
      <c r="CA413" s="304" t="str">
        <f t="shared" si="320"/>
        <v/>
      </c>
      <c r="CB413" s="305" t="str">
        <f t="shared" si="321"/>
        <v/>
      </c>
      <c r="CC413" s="305" t="str">
        <f t="shared" si="322"/>
        <v/>
      </c>
      <c r="CD413" s="305" t="str">
        <f t="shared" si="323"/>
        <v/>
      </c>
    </row>
    <row r="414" spans="1:82" x14ac:dyDescent="0.2">
      <c r="A414" s="235"/>
      <c r="B414" s="236" t="str">
        <f t="shared" si="288"/>
        <v/>
      </c>
      <c r="C414" s="237" t="str">
        <f t="shared" si="278"/>
        <v/>
      </c>
      <c r="D414" s="237" t="str">
        <f t="shared" si="289"/>
        <v/>
      </c>
      <c r="E414" s="237" t="str">
        <f>IF($C414="", "", COUNTIF($M$8:$M414,$D414))</f>
        <v/>
      </c>
      <c r="F414" s="238">
        <v>407</v>
      </c>
      <c r="G414" s="239"/>
      <c r="H414" s="240"/>
      <c r="I414" s="240"/>
      <c r="J414" s="241"/>
      <c r="K414" s="240"/>
      <c r="L414" s="240"/>
      <c r="M414" s="240"/>
      <c r="N414" s="242"/>
      <c r="O414" s="243"/>
      <c r="P414" s="243"/>
      <c r="Q414" s="243"/>
      <c r="R414" s="243"/>
      <c r="S414" s="243"/>
      <c r="T414" s="245"/>
      <c r="U414" s="246" t="str">
        <f>IF($T414="", "", VLOOKUP($T414, CONTRATOS!$B:$E, 2, FALSE))</f>
        <v/>
      </c>
      <c r="V414" s="247">
        <f>IF(OR($T414="",TB_DEFESA!$C$2="Criação Baseline"),0,
   IF(VLOOKUP($T414, CONTRATOS!B:E, 3, FALSE)&lt;&gt;"",1,IF(VLOOKUP($T414, CONTRATOS!B:E, 4, FALSE)&lt;&gt;"",2,0)))</f>
        <v>0</v>
      </c>
      <c r="W414" s="248"/>
      <c r="X414" s="248"/>
      <c r="Y414" s="249"/>
      <c r="Z414" s="250"/>
      <c r="AA414" s="251"/>
      <c r="AB414" s="252"/>
      <c r="AC414" s="253"/>
      <c r="AD414" s="251"/>
      <c r="AE414" s="254" t="str">
        <f t="shared" si="279"/>
        <v/>
      </c>
      <c r="AF414" s="256" t="str">
        <f t="shared" si="290"/>
        <v/>
      </c>
      <c r="AG414" s="293" t="s">
        <v>62</v>
      </c>
      <c r="AH414" s="294" t="str">
        <f t="shared" si="291"/>
        <v/>
      </c>
      <c r="AI414" s="294" t="str">
        <f t="shared" si="292"/>
        <v/>
      </c>
      <c r="AJ414" s="295" t="str">
        <f t="shared" si="293"/>
        <v/>
      </c>
      <c r="AK414" s="296" t="str">
        <f t="shared" si="294"/>
        <v/>
      </c>
      <c r="AL414" s="297" t="str">
        <f t="shared" si="295"/>
        <v/>
      </c>
      <c r="AM414" s="294" t="str">
        <f t="shared" si="296"/>
        <v/>
      </c>
      <c r="AN414" s="294" t="str">
        <f t="shared" si="297"/>
        <v/>
      </c>
      <c r="AO414" s="298" t="str">
        <f t="shared" si="298"/>
        <v/>
      </c>
      <c r="AP414" s="299" t="str">
        <f t="shared" si="299"/>
        <v/>
      </c>
      <c r="AQ414" s="299" t="str">
        <f t="shared" si="300"/>
        <v/>
      </c>
      <c r="AR414" s="300" t="str">
        <f t="shared" si="280"/>
        <v/>
      </c>
      <c r="AS414" s="300" t="str">
        <f t="shared" si="281"/>
        <v/>
      </c>
      <c r="AT414" s="294" t="str">
        <f t="shared" si="282"/>
        <v/>
      </c>
      <c r="AU414" s="301" t="str">
        <f>IF(OR($B414="", $AP414= ""),"",IF(VLOOKUP($AP414, CONTRATOS!B:K,3,FALSE)="","",VLOOKUP($AP414, CONTRATOS!B:K, 3,FALSE)))</f>
        <v/>
      </c>
      <c r="AV414" s="301" t="str">
        <f>IF(OR($B414="", $AP414 = ""), "", IF(VLOOKUP($AP414, CONTRATOS!B:K,4,FALSE)="","",VLOOKUP($AP414, CONTRATOS!B:K,4, FALSE)))</f>
        <v/>
      </c>
      <c r="AW414" s="302" t="str">
        <f t="shared" si="283"/>
        <v/>
      </c>
      <c r="AX414" s="301" t="str">
        <f t="shared" si="284"/>
        <v/>
      </c>
      <c r="AY414" s="301" t="str">
        <f t="shared" si="285"/>
        <v/>
      </c>
      <c r="AZ414" s="301" t="str">
        <f t="shared" si="286"/>
        <v/>
      </c>
      <c r="BA414" s="301" t="str">
        <f t="shared" si="287"/>
        <v/>
      </c>
      <c r="BB414" s="303">
        <f t="shared" si="301"/>
        <v>0</v>
      </c>
      <c r="BC414" s="303" t="str">
        <f t="shared" si="302"/>
        <v/>
      </c>
      <c r="BD414" s="303" t="str">
        <f t="shared" si="303"/>
        <v/>
      </c>
      <c r="BF414" s="304">
        <f t="shared" si="304"/>
        <v>0</v>
      </c>
      <c r="BG414" s="304">
        <f t="shared" si="305"/>
        <v>0</v>
      </c>
      <c r="BH414" s="304" t="str">
        <f>IF( $B414="", "", IF(ISNA(VLOOKUP($C414, Defesa!$C$8:$C$30,1,FALSE)),1,0))</f>
        <v/>
      </c>
      <c r="BI414" s="305" t="str">
        <f t="shared" si="306"/>
        <v/>
      </c>
      <c r="BJ414" s="305" t="str">
        <f t="shared" si="307"/>
        <v/>
      </c>
      <c r="BK414" s="304" t="str">
        <f t="shared" si="308"/>
        <v/>
      </c>
      <c r="BL414" s="304">
        <f t="shared" si="309"/>
        <v>0</v>
      </c>
      <c r="BM414" s="304" t="str">
        <f>IF($AC414="", "", IF(ISNA(VLOOKUP($AC414, TABELAS!$Q:$Q, 1, FALSE)), 1, 0))</f>
        <v/>
      </c>
      <c r="BN414" s="306" t="str">
        <f t="shared" si="310"/>
        <v/>
      </c>
      <c r="BO414" s="304" t="str">
        <f t="shared" si="311"/>
        <v/>
      </c>
      <c r="BP414" s="304" t="str">
        <f t="shared" si="312"/>
        <v/>
      </c>
      <c r="BQ414" s="305" t="str">
        <f t="shared" si="313"/>
        <v/>
      </c>
      <c r="BR414" s="304" t="str">
        <f t="shared" si="314"/>
        <v/>
      </c>
      <c r="BS414" s="304" t="str">
        <f t="shared" si="315"/>
        <v/>
      </c>
      <c r="BT414" s="304" t="str">
        <f>IF(OR($B414="", $AH414 = "SIM"), "", IF( ISNA(VLOOKUP($AP414,#REF!, 1, FALSE)), 1, 0))</f>
        <v/>
      </c>
      <c r="BU414" s="304" t="str">
        <f t="shared" si="316"/>
        <v/>
      </c>
      <c r="BV414" s="304" t="str">
        <f>IF( $B414="", "", IF( ISNA(VLOOKUP($AN414, TABELAS!$T$2:$T$9,1,FALSE)), 1, 0))</f>
        <v/>
      </c>
      <c r="BW414" s="304" t="str">
        <f t="shared" si="317"/>
        <v/>
      </c>
      <c r="BX414" s="304" t="str">
        <f>IF( OR($B414="", $AH414 = "SIM"), "", IF( ISNA( VLOOKUP( $AQ414, SISTEMA!$B:$B, 1, FALSE)), 1, 0))</f>
        <v/>
      </c>
      <c r="BY414" s="305" t="str">
        <f t="shared" si="318"/>
        <v/>
      </c>
      <c r="BZ414" s="305" t="str">
        <f t="shared" si="319"/>
        <v/>
      </c>
      <c r="CA414" s="304" t="str">
        <f t="shared" si="320"/>
        <v/>
      </c>
      <c r="CB414" s="305" t="str">
        <f t="shared" si="321"/>
        <v/>
      </c>
      <c r="CC414" s="305" t="str">
        <f t="shared" si="322"/>
        <v/>
      </c>
      <c r="CD414" s="305" t="str">
        <f t="shared" si="323"/>
        <v/>
      </c>
    </row>
    <row r="415" spans="1:82" x14ac:dyDescent="0.2">
      <c r="A415" s="235"/>
      <c r="B415" s="236" t="str">
        <f t="shared" si="288"/>
        <v/>
      </c>
      <c r="C415" s="237" t="str">
        <f t="shared" si="278"/>
        <v/>
      </c>
      <c r="D415" s="237" t="str">
        <f t="shared" si="289"/>
        <v/>
      </c>
      <c r="E415" s="237" t="str">
        <f>IF($C415="", "", COUNTIF($M$8:$M415,$D415))</f>
        <v/>
      </c>
      <c r="F415" s="238">
        <v>408</v>
      </c>
      <c r="G415" s="239"/>
      <c r="H415" s="240"/>
      <c r="I415" s="240"/>
      <c r="J415" s="241"/>
      <c r="K415" s="240"/>
      <c r="L415" s="240"/>
      <c r="M415" s="240"/>
      <c r="N415" s="242"/>
      <c r="O415" s="243"/>
      <c r="P415" s="243"/>
      <c r="Q415" s="243"/>
      <c r="R415" s="243"/>
      <c r="S415" s="243"/>
      <c r="T415" s="245"/>
      <c r="U415" s="246" t="str">
        <f>IF($T415="", "", VLOOKUP($T415, CONTRATOS!$B:$E, 2, FALSE))</f>
        <v/>
      </c>
      <c r="V415" s="247">
        <f>IF(OR($T415="",TB_DEFESA!$C$2="Criação Baseline"),0,
   IF(VLOOKUP($T415, CONTRATOS!B:E, 3, FALSE)&lt;&gt;"",1,IF(VLOOKUP($T415, CONTRATOS!B:E, 4, FALSE)&lt;&gt;"",2,0)))</f>
        <v>0</v>
      </c>
      <c r="W415" s="248"/>
      <c r="X415" s="248"/>
      <c r="Y415" s="249"/>
      <c r="Z415" s="250"/>
      <c r="AA415" s="251"/>
      <c r="AB415" s="252"/>
      <c r="AC415" s="253"/>
      <c r="AD415" s="251"/>
      <c r="AE415" s="254" t="str">
        <f t="shared" si="279"/>
        <v/>
      </c>
      <c r="AF415" s="256" t="str">
        <f t="shared" si="290"/>
        <v/>
      </c>
      <c r="AG415" s="293" t="s">
        <v>62</v>
      </c>
      <c r="AH415" s="294" t="str">
        <f t="shared" si="291"/>
        <v/>
      </c>
      <c r="AI415" s="294" t="str">
        <f t="shared" si="292"/>
        <v/>
      </c>
      <c r="AJ415" s="295" t="str">
        <f t="shared" si="293"/>
        <v/>
      </c>
      <c r="AK415" s="296" t="str">
        <f t="shared" si="294"/>
        <v/>
      </c>
      <c r="AL415" s="297" t="str">
        <f t="shared" si="295"/>
        <v/>
      </c>
      <c r="AM415" s="294" t="str">
        <f t="shared" si="296"/>
        <v/>
      </c>
      <c r="AN415" s="294" t="str">
        <f t="shared" si="297"/>
        <v/>
      </c>
      <c r="AO415" s="298" t="str">
        <f t="shared" si="298"/>
        <v/>
      </c>
      <c r="AP415" s="299" t="str">
        <f t="shared" si="299"/>
        <v/>
      </c>
      <c r="AQ415" s="299" t="str">
        <f t="shared" si="300"/>
        <v/>
      </c>
      <c r="AR415" s="300" t="str">
        <f t="shared" si="280"/>
        <v/>
      </c>
      <c r="AS415" s="300" t="str">
        <f t="shared" si="281"/>
        <v/>
      </c>
      <c r="AT415" s="294" t="str">
        <f t="shared" si="282"/>
        <v/>
      </c>
      <c r="AU415" s="301" t="str">
        <f>IF(OR($B415="", $AP415= ""),"",IF(VLOOKUP($AP415, CONTRATOS!B:K,3,FALSE)="","",VLOOKUP($AP415, CONTRATOS!B:K, 3,FALSE)))</f>
        <v/>
      </c>
      <c r="AV415" s="301" t="str">
        <f>IF(OR($B415="", $AP415 = ""), "", IF(VLOOKUP($AP415, CONTRATOS!B:K,4,FALSE)="","",VLOOKUP($AP415, CONTRATOS!B:K,4, FALSE)))</f>
        <v/>
      </c>
      <c r="AW415" s="302" t="str">
        <f t="shared" si="283"/>
        <v/>
      </c>
      <c r="AX415" s="301" t="str">
        <f t="shared" si="284"/>
        <v/>
      </c>
      <c r="AY415" s="301" t="str">
        <f t="shared" si="285"/>
        <v/>
      </c>
      <c r="AZ415" s="301" t="str">
        <f t="shared" si="286"/>
        <v/>
      </c>
      <c r="BA415" s="301" t="str">
        <f t="shared" si="287"/>
        <v/>
      </c>
      <c r="BB415" s="303">
        <f t="shared" si="301"/>
        <v>0</v>
      </c>
      <c r="BC415" s="303" t="str">
        <f t="shared" si="302"/>
        <v/>
      </c>
      <c r="BD415" s="303" t="str">
        <f t="shared" si="303"/>
        <v/>
      </c>
      <c r="BF415" s="304">
        <f t="shared" si="304"/>
        <v>0</v>
      </c>
      <c r="BG415" s="304">
        <f t="shared" si="305"/>
        <v>0</v>
      </c>
      <c r="BH415" s="304" t="str">
        <f>IF( $B415="", "", IF(ISNA(VLOOKUP($C415, Defesa!$C$8:$C$30,1,FALSE)),1,0))</f>
        <v/>
      </c>
      <c r="BI415" s="305" t="str">
        <f t="shared" si="306"/>
        <v/>
      </c>
      <c r="BJ415" s="305" t="str">
        <f t="shared" si="307"/>
        <v/>
      </c>
      <c r="BK415" s="304" t="str">
        <f t="shared" si="308"/>
        <v/>
      </c>
      <c r="BL415" s="304">
        <f t="shared" si="309"/>
        <v>0</v>
      </c>
      <c r="BM415" s="304" t="str">
        <f>IF($AC415="", "", IF(ISNA(VLOOKUP($AC415, TABELAS!$Q:$Q, 1, FALSE)), 1, 0))</f>
        <v/>
      </c>
      <c r="BN415" s="306" t="str">
        <f t="shared" si="310"/>
        <v/>
      </c>
      <c r="BO415" s="304" t="str">
        <f t="shared" si="311"/>
        <v/>
      </c>
      <c r="BP415" s="304" t="str">
        <f t="shared" si="312"/>
        <v/>
      </c>
      <c r="BQ415" s="305" t="str">
        <f t="shared" si="313"/>
        <v/>
      </c>
      <c r="BR415" s="304" t="str">
        <f t="shared" si="314"/>
        <v/>
      </c>
      <c r="BS415" s="304" t="str">
        <f t="shared" si="315"/>
        <v/>
      </c>
      <c r="BT415" s="304" t="str">
        <f>IF(OR($B415="", $AH415 = "SIM"), "", IF( ISNA(VLOOKUP($AP415,#REF!, 1, FALSE)), 1, 0))</f>
        <v/>
      </c>
      <c r="BU415" s="304" t="str">
        <f t="shared" si="316"/>
        <v/>
      </c>
      <c r="BV415" s="304" t="str">
        <f>IF( $B415="", "", IF( ISNA(VLOOKUP($AN415, TABELAS!$T$2:$T$9,1,FALSE)), 1, 0))</f>
        <v/>
      </c>
      <c r="BW415" s="304" t="str">
        <f t="shared" si="317"/>
        <v/>
      </c>
      <c r="BX415" s="304" t="str">
        <f>IF( OR($B415="", $AH415 = "SIM"), "", IF( ISNA( VLOOKUP( $AQ415, SISTEMA!$B:$B, 1, FALSE)), 1, 0))</f>
        <v/>
      </c>
      <c r="BY415" s="305" t="str">
        <f t="shared" si="318"/>
        <v/>
      </c>
      <c r="BZ415" s="305" t="str">
        <f t="shared" si="319"/>
        <v/>
      </c>
      <c r="CA415" s="304" t="str">
        <f t="shared" si="320"/>
        <v/>
      </c>
      <c r="CB415" s="305" t="str">
        <f t="shared" si="321"/>
        <v/>
      </c>
      <c r="CC415" s="305" t="str">
        <f t="shared" si="322"/>
        <v/>
      </c>
      <c r="CD415" s="305" t="str">
        <f t="shared" si="323"/>
        <v/>
      </c>
    </row>
    <row r="416" spans="1:82" x14ac:dyDescent="0.2">
      <c r="A416" s="235"/>
      <c r="B416" s="236" t="str">
        <f t="shared" si="288"/>
        <v/>
      </c>
      <c r="C416" s="237" t="str">
        <f t="shared" si="278"/>
        <v/>
      </c>
      <c r="D416" s="237" t="str">
        <f t="shared" si="289"/>
        <v/>
      </c>
      <c r="E416" s="237" t="str">
        <f>IF($C416="", "", COUNTIF($M$8:$M416,$D416))</f>
        <v/>
      </c>
      <c r="F416" s="238">
        <v>409</v>
      </c>
      <c r="G416" s="239"/>
      <c r="H416" s="240"/>
      <c r="I416" s="240"/>
      <c r="J416" s="241"/>
      <c r="K416" s="240"/>
      <c r="L416" s="240"/>
      <c r="M416" s="240"/>
      <c r="N416" s="242"/>
      <c r="O416" s="243"/>
      <c r="P416" s="243"/>
      <c r="Q416" s="243"/>
      <c r="R416" s="243"/>
      <c r="S416" s="243"/>
      <c r="T416" s="245"/>
      <c r="U416" s="246" t="str">
        <f>IF($T416="", "", VLOOKUP($T416, CONTRATOS!$B:$E, 2, FALSE))</f>
        <v/>
      </c>
      <c r="V416" s="247">
        <f>IF(OR($T416="",TB_DEFESA!$C$2="Criação Baseline"),0,
   IF(VLOOKUP($T416, CONTRATOS!B:E, 3, FALSE)&lt;&gt;"",1,IF(VLOOKUP($T416, CONTRATOS!B:E, 4, FALSE)&lt;&gt;"",2,0)))</f>
        <v>0</v>
      </c>
      <c r="W416" s="248"/>
      <c r="X416" s="248"/>
      <c r="Y416" s="249"/>
      <c r="Z416" s="250"/>
      <c r="AA416" s="251"/>
      <c r="AB416" s="252"/>
      <c r="AC416" s="253"/>
      <c r="AD416" s="251"/>
      <c r="AE416" s="254" t="str">
        <f t="shared" si="279"/>
        <v/>
      </c>
      <c r="AF416" s="256" t="str">
        <f t="shared" si="290"/>
        <v/>
      </c>
      <c r="AG416" s="293" t="s">
        <v>62</v>
      </c>
      <c r="AH416" s="294" t="str">
        <f t="shared" si="291"/>
        <v/>
      </c>
      <c r="AI416" s="294" t="str">
        <f t="shared" si="292"/>
        <v/>
      </c>
      <c r="AJ416" s="295" t="str">
        <f t="shared" si="293"/>
        <v/>
      </c>
      <c r="AK416" s="296" t="str">
        <f t="shared" si="294"/>
        <v/>
      </c>
      <c r="AL416" s="297" t="str">
        <f t="shared" si="295"/>
        <v/>
      </c>
      <c r="AM416" s="294" t="str">
        <f t="shared" si="296"/>
        <v/>
      </c>
      <c r="AN416" s="294" t="str">
        <f t="shared" si="297"/>
        <v/>
      </c>
      <c r="AO416" s="298" t="str">
        <f t="shared" si="298"/>
        <v/>
      </c>
      <c r="AP416" s="299" t="str">
        <f t="shared" si="299"/>
        <v/>
      </c>
      <c r="AQ416" s="299" t="str">
        <f t="shared" si="300"/>
        <v/>
      </c>
      <c r="AR416" s="300" t="str">
        <f t="shared" si="280"/>
        <v/>
      </c>
      <c r="AS416" s="300" t="str">
        <f t="shared" si="281"/>
        <v/>
      </c>
      <c r="AT416" s="294" t="str">
        <f t="shared" si="282"/>
        <v/>
      </c>
      <c r="AU416" s="301" t="str">
        <f>IF(OR($B416="", $AP416= ""),"",IF(VLOOKUP($AP416, CONTRATOS!B:K,3,FALSE)="","",VLOOKUP($AP416, CONTRATOS!B:K, 3,FALSE)))</f>
        <v/>
      </c>
      <c r="AV416" s="301" t="str">
        <f>IF(OR($B416="", $AP416 = ""), "", IF(VLOOKUP($AP416, CONTRATOS!B:K,4,FALSE)="","",VLOOKUP($AP416, CONTRATOS!B:K,4, FALSE)))</f>
        <v/>
      </c>
      <c r="AW416" s="302" t="str">
        <f t="shared" si="283"/>
        <v/>
      </c>
      <c r="AX416" s="301" t="str">
        <f t="shared" si="284"/>
        <v/>
      </c>
      <c r="AY416" s="301" t="str">
        <f t="shared" si="285"/>
        <v/>
      </c>
      <c r="AZ416" s="301" t="str">
        <f t="shared" si="286"/>
        <v/>
      </c>
      <c r="BA416" s="301" t="str">
        <f t="shared" si="287"/>
        <v/>
      </c>
      <c r="BB416" s="303">
        <f t="shared" si="301"/>
        <v>0</v>
      </c>
      <c r="BC416" s="303" t="str">
        <f t="shared" si="302"/>
        <v/>
      </c>
      <c r="BD416" s="303" t="str">
        <f t="shared" si="303"/>
        <v/>
      </c>
      <c r="BF416" s="304">
        <f t="shared" si="304"/>
        <v>0</v>
      </c>
      <c r="BG416" s="304">
        <f t="shared" si="305"/>
        <v>0</v>
      </c>
      <c r="BH416" s="304" t="str">
        <f>IF( $B416="", "", IF(ISNA(VLOOKUP($C416, Defesa!$C$8:$C$30,1,FALSE)),1,0))</f>
        <v/>
      </c>
      <c r="BI416" s="305" t="str">
        <f t="shared" si="306"/>
        <v/>
      </c>
      <c r="BJ416" s="305" t="str">
        <f t="shared" si="307"/>
        <v/>
      </c>
      <c r="BK416" s="304" t="str">
        <f t="shared" si="308"/>
        <v/>
      </c>
      <c r="BL416" s="304">
        <f t="shared" si="309"/>
        <v>0</v>
      </c>
      <c r="BM416" s="304" t="str">
        <f>IF($AC416="", "", IF(ISNA(VLOOKUP($AC416, TABELAS!$Q:$Q, 1, FALSE)), 1, 0))</f>
        <v/>
      </c>
      <c r="BN416" s="306" t="str">
        <f t="shared" si="310"/>
        <v/>
      </c>
      <c r="BO416" s="304" t="str">
        <f t="shared" si="311"/>
        <v/>
      </c>
      <c r="BP416" s="304" t="str">
        <f t="shared" si="312"/>
        <v/>
      </c>
      <c r="BQ416" s="305" t="str">
        <f t="shared" si="313"/>
        <v/>
      </c>
      <c r="BR416" s="304" t="str">
        <f t="shared" si="314"/>
        <v/>
      </c>
      <c r="BS416" s="304" t="str">
        <f t="shared" si="315"/>
        <v/>
      </c>
      <c r="BT416" s="304" t="str">
        <f>IF(OR($B416="", $AH416 = "SIM"), "", IF( ISNA(VLOOKUP($AP416,#REF!, 1, FALSE)), 1, 0))</f>
        <v/>
      </c>
      <c r="BU416" s="304" t="str">
        <f t="shared" si="316"/>
        <v/>
      </c>
      <c r="BV416" s="304" t="str">
        <f>IF( $B416="", "", IF( ISNA(VLOOKUP($AN416, TABELAS!$T$2:$T$9,1,FALSE)), 1, 0))</f>
        <v/>
      </c>
      <c r="BW416" s="304" t="str">
        <f t="shared" si="317"/>
        <v/>
      </c>
      <c r="BX416" s="304" t="str">
        <f>IF( OR($B416="", $AH416 = "SIM"), "", IF( ISNA( VLOOKUP( $AQ416, SISTEMA!$B:$B, 1, FALSE)), 1, 0))</f>
        <v/>
      </c>
      <c r="BY416" s="305" t="str">
        <f t="shared" si="318"/>
        <v/>
      </c>
      <c r="BZ416" s="305" t="str">
        <f t="shared" si="319"/>
        <v/>
      </c>
      <c r="CA416" s="304" t="str">
        <f t="shared" si="320"/>
        <v/>
      </c>
      <c r="CB416" s="305" t="str">
        <f t="shared" si="321"/>
        <v/>
      </c>
      <c r="CC416" s="305" t="str">
        <f t="shared" si="322"/>
        <v/>
      </c>
      <c r="CD416" s="305" t="str">
        <f t="shared" si="323"/>
        <v/>
      </c>
    </row>
    <row r="417" spans="1:82" x14ac:dyDescent="0.2">
      <c r="A417" s="235"/>
      <c r="B417" s="236" t="str">
        <f t="shared" si="288"/>
        <v/>
      </c>
      <c r="C417" s="237" t="str">
        <f t="shared" si="278"/>
        <v/>
      </c>
      <c r="D417" s="237" t="str">
        <f t="shared" si="289"/>
        <v/>
      </c>
      <c r="E417" s="237" t="str">
        <f>IF($C417="", "", COUNTIF($M$8:$M417,$D417))</f>
        <v/>
      </c>
      <c r="F417" s="238">
        <v>410</v>
      </c>
      <c r="G417" s="239"/>
      <c r="H417" s="240"/>
      <c r="I417" s="240"/>
      <c r="J417" s="241"/>
      <c r="K417" s="240"/>
      <c r="L417" s="240"/>
      <c r="M417" s="240"/>
      <c r="N417" s="242"/>
      <c r="O417" s="243"/>
      <c r="P417" s="243"/>
      <c r="Q417" s="243"/>
      <c r="R417" s="243"/>
      <c r="S417" s="243"/>
      <c r="T417" s="245"/>
      <c r="U417" s="246" t="str">
        <f>IF($T417="", "", VLOOKUP($T417, CONTRATOS!$B:$E, 2, FALSE))</f>
        <v/>
      </c>
      <c r="V417" s="247">
        <f>IF(OR($T417="",TB_DEFESA!$C$2="Criação Baseline"),0,
   IF(VLOOKUP($T417, CONTRATOS!B:E, 3, FALSE)&lt;&gt;"",1,IF(VLOOKUP($T417, CONTRATOS!B:E, 4, FALSE)&lt;&gt;"",2,0)))</f>
        <v>0</v>
      </c>
      <c r="W417" s="248"/>
      <c r="X417" s="248"/>
      <c r="Y417" s="249"/>
      <c r="Z417" s="250"/>
      <c r="AA417" s="251"/>
      <c r="AB417" s="252"/>
      <c r="AC417" s="253"/>
      <c r="AD417" s="251"/>
      <c r="AE417" s="254" t="str">
        <f t="shared" si="279"/>
        <v/>
      </c>
      <c r="AF417" s="256" t="str">
        <f t="shared" si="290"/>
        <v/>
      </c>
      <c r="AG417" s="293" t="s">
        <v>62</v>
      </c>
      <c r="AH417" s="294" t="str">
        <f t="shared" si="291"/>
        <v/>
      </c>
      <c r="AI417" s="294" t="str">
        <f t="shared" si="292"/>
        <v/>
      </c>
      <c r="AJ417" s="295" t="str">
        <f t="shared" si="293"/>
        <v/>
      </c>
      <c r="AK417" s="296" t="str">
        <f t="shared" si="294"/>
        <v/>
      </c>
      <c r="AL417" s="297" t="str">
        <f t="shared" si="295"/>
        <v/>
      </c>
      <c r="AM417" s="294" t="str">
        <f t="shared" si="296"/>
        <v/>
      </c>
      <c r="AN417" s="294" t="str">
        <f t="shared" si="297"/>
        <v/>
      </c>
      <c r="AO417" s="298" t="str">
        <f t="shared" si="298"/>
        <v/>
      </c>
      <c r="AP417" s="299" t="str">
        <f t="shared" si="299"/>
        <v/>
      </c>
      <c r="AQ417" s="299" t="str">
        <f t="shared" si="300"/>
        <v/>
      </c>
      <c r="AR417" s="300" t="str">
        <f t="shared" si="280"/>
        <v/>
      </c>
      <c r="AS417" s="300" t="str">
        <f t="shared" si="281"/>
        <v/>
      </c>
      <c r="AT417" s="294" t="str">
        <f t="shared" si="282"/>
        <v/>
      </c>
      <c r="AU417" s="301" t="str">
        <f>IF(OR($B417="", $AP417= ""),"",IF(VLOOKUP($AP417, CONTRATOS!B:K,3,FALSE)="","",VLOOKUP($AP417, CONTRATOS!B:K, 3,FALSE)))</f>
        <v/>
      </c>
      <c r="AV417" s="301" t="str">
        <f>IF(OR($B417="", $AP417 = ""), "", IF(VLOOKUP($AP417, CONTRATOS!B:K,4,FALSE)="","",VLOOKUP($AP417, CONTRATOS!B:K,4, FALSE)))</f>
        <v/>
      </c>
      <c r="AW417" s="302" t="str">
        <f t="shared" si="283"/>
        <v/>
      </c>
      <c r="AX417" s="301" t="str">
        <f t="shared" si="284"/>
        <v/>
      </c>
      <c r="AY417" s="301" t="str">
        <f t="shared" si="285"/>
        <v/>
      </c>
      <c r="AZ417" s="301" t="str">
        <f t="shared" si="286"/>
        <v/>
      </c>
      <c r="BA417" s="301" t="str">
        <f t="shared" si="287"/>
        <v/>
      </c>
      <c r="BB417" s="303">
        <f t="shared" si="301"/>
        <v>0</v>
      </c>
      <c r="BC417" s="303" t="str">
        <f t="shared" si="302"/>
        <v/>
      </c>
      <c r="BD417" s="303" t="str">
        <f t="shared" si="303"/>
        <v/>
      </c>
      <c r="BF417" s="304">
        <f t="shared" si="304"/>
        <v>0</v>
      </c>
      <c r="BG417" s="304">
        <f t="shared" si="305"/>
        <v>0</v>
      </c>
      <c r="BH417" s="304" t="str">
        <f>IF( $B417="", "", IF(ISNA(VLOOKUP($C417, Defesa!$C$8:$C$30,1,FALSE)),1,0))</f>
        <v/>
      </c>
      <c r="BI417" s="305" t="str">
        <f t="shared" si="306"/>
        <v/>
      </c>
      <c r="BJ417" s="305" t="str">
        <f t="shared" si="307"/>
        <v/>
      </c>
      <c r="BK417" s="304" t="str">
        <f t="shared" si="308"/>
        <v/>
      </c>
      <c r="BL417" s="304">
        <f t="shared" si="309"/>
        <v>0</v>
      </c>
      <c r="BM417" s="304" t="str">
        <f>IF($AC417="", "", IF(ISNA(VLOOKUP($AC417, TABELAS!$Q:$Q, 1, FALSE)), 1, 0))</f>
        <v/>
      </c>
      <c r="BN417" s="306" t="str">
        <f t="shared" si="310"/>
        <v/>
      </c>
      <c r="BO417" s="304" t="str">
        <f t="shared" si="311"/>
        <v/>
      </c>
      <c r="BP417" s="304" t="str">
        <f t="shared" si="312"/>
        <v/>
      </c>
      <c r="BQ417" s="305" t="str">
        <f t="shared" si="313"/>
        <v/>
      </c>
      <c r="BR417" s="304" t="str">
        <f t="shared" si="314"/>
        <v/>
      </c>
      <c r="BS417" s="304" t="str">
        <f t="shared" si="315"/>
        <v/>
      </c>
      <c r="BT417" s="304" t="str">
        <f>IF(OR($B417="", $AH417 = "SIM"), "", IF( ISNA(VLOOKUP($AP417,#REF!, 1, FALSE)), 1, 0))</f>
        <v/>
      </c>
      <c r="BU417" s="304" t="str">
        <f t="shared" si="316"/>
        <v/>
      </c>
      <c r="BV417" s="304" t="str">
        <f>IF( $B417="", "", IF( ISNA(VLOOKUP($AN417, TABELAS!$T$2:$T$9,1,FALSE)), 1, 0))</f>
        <v/>
      </c>
      <c r="BW417" s="304" t="str">
        <f t="shared" si="317"/>
        <v/>
      </c>
      <c r="BX417" s="304" t="str">
        <f>IF( OR($B417="", $AH417 = "SIM"), "", IF( ISNA( VLOOKUP( $AQ417, SISTEMA!$B:$B, 1, FALSE)), 1, 0))</f>
        <v/>
      </c>
      <c r="BY417" s="305" t="str">
        <f t="shared" si="318"/>
        <v/>
      </c>
      <c r="BZ417" s="305" t="str">
        <f t="shared" si="319"/>
        <v/>
      </c>
      <c r="CA417" s="304" t="str">
        <f t="shared" si="320"/>
        <v/>
      </c>
      <c r="CB417" s="305" t="str">
        <f t="shared" si="321"/>
        <v/>
      </c>
      <c r="CC417" s="305" t="str">
        <f t="shared" si="322"/>
        <v/>
      </c>
      <c r="CD417" s="305" t="str">
        <f t="shared" si="323"/>
        <v/>
      </c>
    </row>
    <row r="418" spans="1:82" x14ac:dyDescent="0.2">
      <c r="A418" s="235"/>
      <c r="B418" s="236" t="str">
        <f t="shared" si="288"/>
        <v/>
      </c>
      <c r="C418" s="237" t="str">
        <f t="shared" si="278"/>
        <v/>
      </c>
      <c r="D418" s="237" t="str">
        <f t="shared" si="289"/>
        <v/>
      </c>
      <c r="E418" s="237" t="str">
        <f>IF($C418="", "", COUNTIF($M$8:$M418,$D418))</f>
        <v/>
      </c>
      <c r="F418" s="238">
        <v>411</v>
      </c>
      <c r="G418" s="239"/>
      <c r="H418" s="240"/>
      <c r="I418" s="240"/>
      <c r="J418" s="241"/>
      <c r="K418" s="240"/>
      <c r="L418" s="240"/>
      <c r="M418" s="240"/>
      <c r="N418" s="242"/>
      <c r="O418" s="243"/>
      <c r="P418" s="243"/>
      <c r="Q418" s="243"/>
      <c r="R418" s="243"/>
      <c r="S418" s="243"/>
      <c r="T418" s="245"/>
      <c r="U418" s="246" t="str">
        <f>IF($T418="", "", VLOOKUP($T418, CONTRATOS!$B:$E, 2, FALSE))</f>
        <v/>
      </c>
      <c r="V418" s="247">
        <f>IF(OR($T418="",TB_DEFESA!$C$2="Criação Baseline"),0,
   IF(VLOOKUP($T418, CONTRATOS!B:E, 3, FALSE)&lt;&gt;"",1,IF(VLOOKUP($T418, CONTRATOS!B:E, 4, FALSE)&lt;&gt;"",2,0)))</f>
        <v>0</v>
      </c>
      <c r="W418" s="248"/>
      <c r="X418" s="248"/>
      <c r="Y418" s="249"/>
      <c r="Z418" s="250"/>
      <c r="AA418" s="251"/>
      <c r="AB418" s="252"/>
      <c r="AC418" s="253"/>
      <c r="AD418" s="251"/>
      <c r="AE418" s="254" t="str">
        <f t="shared" si="279"/>
        <v/>
      </c>
      <c r="AF418" s="256" t="str">
        <f t="shared" si="290"/>
        <v/>
      </c>
      <c r="AG418" s="293" t="s">
        <v>62</v>
      </c>
      <c r="AH418" s="294" t="str">
        <f t="shared" si="291"/>
        <v/>
      </c>
      <c r="AI418" s="294" t="str">
        <f t="shared" si="292"/>
        <v/>
      </c>
      <c r="AJ418" s="295" t="str">
        <f t="shared" si="293"/>
        <v/>
      </c>
      <c r="AK418" s="296" t="str">
        <f t="shared" si="294"/>
        <v/>
      </c>
      <c r="AL418" s="297" t="str">
        <f t="shared" si="295"/>
        <v/>
      </c>
      <c r="AM418" s="294" t="str">
        <f t="shared" si="296"/>
        <v/>
      </c>
      <c r="AN418" s="294" t="str">
        <f t="shared" si="297"/>
        <v/>
      </c>
      <c r="AO418" s="298" t="str">
        <f t="shared" si="298"/>
        <v/>
      </c>
      <c r="AP418" s="299" t="str">
        <f t="shared" si="299"/>
        <v/>
      </c>
      <c r="AQ418" s="299" t="str">
        <f t="shared" si="300"/>
        <v/>
      </c>
      <c r="AR418" s="300" t="str">
        <f t="shared" si="280"/>
        <v/>
      </c>
      <c r="AS418" s="300" t="str">
        <f t="shared" si="281"/>
        <v/>
      </c>
      <c r="AT418" s="294" t="str">
        <f t="shared" si="282"/>
        <v/>
      </c>
      <c r="AU418" s="301" t="str">
        <f>IF(OR($B418="", $AP418= ""),"",IF(VLOOKUP($AP418, CONTRATOS!B:K,3,FALSE)="","",VLOOKUP($AP418, CONTRATOS!B:K, 3,FALSE)))</f>
        <v/>
      </c>
      <c r="AV418" s="301" t="str">
        <f>IF(OR($B418="", $AP418 = ""), "", IF(VLOOKUP($AP418, CONTRATOS!B:K,4,FALSE)="","",VLOOKUP($AP418, CONTRATOS!B:K,4, FALSE)))</f>
        <v/>
      </c>
      <c r="AW418" s="302" t="str">
        <f t="shared" si="283"/>
        <v/>
      </c>
      <c r="AX418" s="301" t="str">
        <f t="shared" si="284"/>
        <v/>
      </c>
      <c r="AY418" s="301" t="str">
        <f t="shared" si="285"/>
        <v/>
      </c>
      <c r="AZ418" s="301" t="str">
        <f t="shared" si="286"/>
        <v/>
      </c>
      <c r="BA418" s="301" t="str">
        <f t="shared" si="287"/>
        <v/>
      </c>
      <c r="BB418" s="303">
        <f t="shared" si="301"/>
        <v>0</v>
      </c>
      <c r="BC418" s="303" t="str">
        <f t="shared" si="302"/>
        <v/>
      </c>
      <c r="BD418" s="303" t="str">
        <f t="shared" si="303"/>
        <v/>
      </c>
      <c r="BF418" s="304">
        <f t="shared" si="304"/>
        <v>0</v>
      </c>
      <c r="BG418" s="304">
        <f t="shared" si="305"/>
        <v>0</v>
      </c>
      <c r="BH418" s="304" t="str">
        <f>IF( $B418="", "", IF(ISNA(VLOOKUP($C418, Defesa!$C$8:$C$30,1,FALSE)),1,0))</f>
        <v/>
      </c>
      <c r="BI418" s="305" t="str">
        <f t="shared" si="306"/>
        <v/>
      </c>
      <c r="BJ418" s="305" t="str">
        <f t="shared" si="307"/>
        <v/>
      </c>
      <c r="BK418" s="304" t="str">
        <f t="shared" si="308"/>
        <v/>
      </c>
      <c r="BL418" s="304">
        <f t="shared" si="309"/>
        <v>0</v>
      </c>
      <c r="BM418" s="304" t="str">
        <f>IF($AC418="", "", IF(ISNA(VLOOKUP($AC418, TABELAS!$Q:$Q, 1, FALSE)), 1, 0))</f>
        <v/>
      </c>
      <c r="BN418" s="306" t="str">
        <f t="shared" si="310"/>
        <v/>
      </c>
      <c r="BO418" s="304" t="str">
        <f t="shared" si="311"/>
        <v/>
      </c>
      <c r="BP418" s="304" t="str">
        <f t="shared" si="312"/>
        <v/>
      </c>
      <c r="BQ418" s="305" t="str">
        <f t="shared" si="313"/>
        <v/>
      </c>
      <c r="BR418" s="304" t="str">
        <f t="shared" si="314"/>
        <v/>
      </c>
      <c r="BS418" s="304" t="str">
        <f t="shared" si="315"/>
        <v/>
      </c>
      <c r="BT418" s="304" t="str">
        <f>IF(OR($B418="", $AH418 = "SIM"), "", IF( ISNA(VLOOKUP($AP418,#REF!, 1, FALSE)), 1, 0))</f>
        <v/>
      </c>
      <c r="BU418" s="304" t="str">
        <f t="shared" si="316"/>
        <v/>
      </c>
      <c r="BV418" s="304" t="str">
        <f>IF( $B418="", "", IF( ISNA(VLOOKUP($AN418, TABELAS!$T$2:$T$9,1,FALSE)), 1, 0))</f>
        <v/>
      </c>
      <c r="BW418" s="304" t="str">
        <f t="shared" si="317"/>
        <v/>
      </c>
      <c r="BX418" s="304" t="str">
        <f>IF( OR($B418="", $AH418 = "SIM"), "", IF( ISNA( VLOOKUP( $AQ418, SISTEMA!$B:$B, 1, FALSE)), 1, 0))</f>
        <v/>
      </c>
      <c r="BY418" s="305" t="str">
        <f t="shared" si="318"/>
        <v/>
      </c>
      <c r="BZ418" s="305" t="str">
        <f t="shared" si="319"/>
        <v/>
      </c>
      <c r="CA418" s="304" t="str">
        <f t="shared" si="320"/>
        <v/>
      </c>
      <c r="CB418" s="305" t="str">
        <f t="shared" si="321"/>
        <v/>
      </c>
      <c r="CC418" s="305" t="str">
        <f t="shared" si="322"/>
        <v/>
      </c>
      <c r="CD418" s="305" t="str">
        <f t="shared" si="323"/>
        <v/>
      </c>
    </row>
    <row r="419" spans="1:82" x14ac:dyDescent="0.2">
      <c r="A419" s="235"/>
      <c r="B419" s="236" t="str">
        <f t="shared" si="288"/>
        <v/>
      </c>
      <c r="C419" s="237" t="str">
        <f t="shared" si="278"/>
        <v/>
      </c>
      <c r="D419" s="237" t="str">
        <f t="shared" si="289"/>
        <v/>
      </c>
      <c r="E419" s="237" t="str">
        <f>IF($C419="", "", COUNTIF($M$8:$M419,$D419))</f>
        <v/>
      </c>
      <c r="F419" s="238">
        <v>412</v>
      </c>
      <c r="G419" s="239"/>
      <c r="H419" s="240"/>
      <c r="I419" s="240"/>
      <c r="J419" s="241"/>
      <c r="K419" s="240"/>
      <c r="L419" s="240"/>
      <c r="M419" s="240"/>
      <c r="N419" s="242"/>
      <c r="O419" s="243"/>
      <c r="P419" s="243"/>
      <c r="Q419" s="243"/>
      <c r="R419" s="243"/>
      <c r="S419" s="243"/>
      <c r="T419" s="245"/>
      <c r="U419" s="246" t="str">
        <f>IF($T419="", "", VLOOKUP($T419, CONTRATOS!$B:$E, 2, FALSE))</f>
        <v/>
      </c>
      <c r="V419" s="247">
        <f>IF(OR($T419="",TB_DEFESA!$C$2="Criação Baseline"),0,
   IF(VLOOKUP($T419, CONTRATOS!B:E, 3, FALSE)&lt;&gt;"",1,IF(VLOOKUP($T419, CONTRATOS!B:E, 4, FALSE)&lt;&gt;"",2,0)))</f>
        <v>0</v>
      </c>
      <c r="W419" s="248"/>
      <c r="X419" s="248"/>
      <c r="Y419" s="249"/>
      <c r="Z419" s="250"/>
      <c r="AA419" s="251"/>
      <c r="AB419" s="252"/>
      <c r="AC419" s="253"/>
      <c r="AD419" s="251"/>
      <c r="AE419" s="254" t="str">
        <f t="shared" si="279"/>
        <v/>
      </c>
      <c r="AF419" s="256" t="str">
        <f t="shared" si="290"/>
        <v/>
      </c>
      <c r="AG419" s="293" t="s">
        <v>62</v>
      </c>
      <c r="AH419" s="294" t="str">
        <f t="shared" si="291"/>
        <v/>
      </c>
      <c r="AI419" s="294" t="str">
        <f t="shared" si="292"/>
        <v/>
      </c>
      <c r="AJ419" s="295" t="str">
        <f t="shared" si="293"/>
        <v/>
      </c>
      <c r="AK419" s="296" t="str">
        <f t="shared" si="294"/>
        <v/>
      </c>
      <c r="AL419" s="297" t="str">
        <f t="shared" si="295"/>
        <v/>
      </c>
      <c r="AM419" s="294" t="str">
        <f t="shared" si="296"/>
        <v/>
      </c>
      <c r="AN419" s="294" t="str">
        <f t="shared" si="297"/>
        <v/>
      </c>
      <c r="AO419" s="298" t="str">
        <f t="shared" si="298"/>
        <v/>
      </c>
      <c r="AP419" s="299" t="str">
        <f t="shared" si="299"/>
        <v/>
      </c>
      <c r="AQ419" s="299" t="str">
        <f t="shared" si="300"/>
        <v/>
      </c>
      <c r="AR419" s="300" t="str">
        <f t="shared" si="280"/>
        <v/>
      </c>
      <c r="AS419" s="300" t="str">
        <f t="shared" si="281"/>
        <v/>
      </c>
      <c r="AT419" s="294" t="str">
        <f t="shared" si="282"/>
        <v/>
      </c>
      <c r="AU419" s="301" t="str">
        <f>IF(OR($B419="", $AP419= ""),"",IF(VLOOKUP($AP419, CONTRATOS!B:K,3,FALSE)="","",VLOOKUP($AP419, CONTRATOS!B:K, 3,FALSE)))</f>
        <v/>
      </c>
      <c r="AV419" s="301" t="str">
        <f>IF(OR($B419="", $AP419 = ""), "", IF(VLOOKUP($AP419, CONTRATOS!B:K,4,FALSE)="","",VLOOKUP($AP419, CONTRATOS!B:K,4, FALSE)))</f>
        <v/>
      </c>
      <c r="AW419" s="302" t="str">
        <f t="shared" si="283"/>
        <v/>
      </c>
      <c r="AX419" s="301" t="str">
        <f t="shared" si="284"/>
        <v/>
      </c>
      <c r="AY419" s="301" t="str">
        <f t="shared" si="285"/>
        <v/>
      </c>
      <c r="AZ419" s="301" t="str">
        <f t="shared" si="286"/>
        <v/>
      </c>
      <c r="BA419" s="301" t="str">
        <f t="shared" si="287"/>
        <v/>
      </c>
      <c r="BB419" s="303">
        <f t="shared" si="301"/>
        <v>0</v>
      </c>
      <c r="BC419" s="303" t="str">
        <f t="shared" si="302"/>
        <v/>
      </c>
      <c r="BD419" s="303" t="str">
        <f t="shared" si="303"/>
        <v/>
      </c>
      <c r="BF419" s="304">
        <f t="shared" si="304"/>
        <v>0</v>
      </c>
      <c r="BG419" s="304">
        <f t="shared" si="305"/>
        <v>0</v>
      </c>
      <c r="BH419" s="304" t="str">
        <f>IF( $B419="", "", IF(ISNA(VLOOKUP($C419, Defesa!$C$8:$C$30,1,FALSE)),1,0))</f>
        <v/>
      </c>
      <c r="BI419" s="305" t="str">
        <f t="shared" si="306"/>
        <v/>
      </c>
      <c r="BJ419" s="305" t="str">
        <f t="shared" si="307"/>
        <v/>
      </c>
      <c r="BK419" s="304" t="str">
        <f t="shared" si="308"/>
        <v/>
      </c>
      <c r="BL419" s="304">
        <f t="shared" si="309"/>
        <v>0</v>
      </c>
      <c r="BM419" s="304" t="str">
        <f>IF($AC419="", "", IF(ISNA(VLOOKUP($AC419, TABELAS!$Q:$Q, 1, FALSE)), 1, 0))</f>
        <v/>
      </c>
      <c r="BN419" s="306" t="str">
        <f t="shared" si="310"/>
        <v/>
      </c>
      <c r="BO419" s="304" t="str">
        <f t="shared" si="311"/>
        <v/>
      </c>
      <c r="BP419" s="304" t="str">
        <f t="shared" si="312"/>
        <v/>
      </c>
      <c r="BQ419" s="305" t="str">
        <f t="shared" si="313"/>
        <v/>
      </c>
      <c r="BR419" s="304" t="str">
        <f t="shared" si="314"/>
        <v/>
      </c>
      <c r="BS419" s="304" t="str">
        <f t="shared" si="315"/>
        <v/>
      </c>
      <c r="BT419" s="304" t="str">
        <f>IF(OR($B419="", $AH419 = "SIM"), "", IF( ISNA(VLOOKUP($AP419,#REF!, 1, FALSE)), 1, 0))</f>
        <v/>
      </c>
      <c r="BU419" s="304" t="str">
        <f t="shared" si="316"/>
        <v/>
      </c>
      <c r="BV419" s="304" t="str">
        <f>IF( $B419="", "", IF( ISNA(VLOOKUP($AN419, TABELAS!$T$2:$T$9,1,FALSE)), 1, 0))</f>
        <v/>
      </c>
      <c r="BW419" s="304" t="str">
        <f t="shared" si="317"/>
        <v/>
      </c>
      <c r="BX419" s="304" t="str">
        <f>IF( OR($B419="", $AH419 = "SIM"), "", IF( ISNA( VLOOKUP( $AQ419, SISTEMA!$B:$B, 1, FALSE)), 1, 0))</f>
        <v/>
      </c>
      <c r="BY419" s="305" t="str">
        <f t="shared" si="318"/>
        <v/>
      </c>
      <c r="BZ419" s="305" t="str">
        <f t="shared" si="319"/>
        <v/>
      </c>
      <c r="CA419" s="304" t="str">
        <f t="shared" si="320"/>
        <v/>
      </c>
      <c r="CB419" s="305" t="str">
        <f t="shared" si="321"/>
        <v/>
      </c>
      <c r="CC419" s="305" t="str">
        <f t="shared" si="322"/>
        <v/>
      </c>
      <c r="CD419" s="305" t="str">
        <f t="shared" si="323"/>
        <v/>
      </c>
    </row>
    <row r="420" spans="1:82" x14ac:dyDescent="0.2">
      <c r="A420" s="235"/>
      <c r="B420" s="236" t="str">
        <f t="shared" si="288"/>
        <v/>
      </c>
      <c r="C420" s="237" t="str">
        <f t="shared" si="278"/>
        <v/>
      </c>
      <c r="D420" s="237" t="str">
        <f t="shared" si="289"/>
        <v/>
      </c>
      <c r="E420" s="237" t="str">
        <f>IF($C420="", "", COUNTIF($M$8:$M420,$D420))</f>
        <v/>
      </c>
      <c r="F420" s="238">
        <v>413</v>
      </c>
      <c r="G420" s="239"/>
      <c r="H420" s="240"/>
      <c r="I420" s="240"/>
      <c r="J420" s="241"/>
      <c r="K420" s="240"/>
      <c r="L420" s="240"/>
      <c r="M420" s="240"/>
      <c r="N420" s="242"/>
      <c r="O420" s="243"/>
      <c r="P420" s="243"/>
      <c r="Q420" s="243"/>
      <c r="R420" s="243"/>
      <c r="S420" s="243"/>
      <c r="T420" s="245"/>
      <c r="U420" s="246" t="str">
        <f>IF($T420="", "", VLOOKUP($T420, CONTRATOS!$B:$E, 2, FALSE))</f>
        <v/>
      </c>
      <c r="V420" s="247">
        <f>IF(OR($T420="",TB_DEFESA!$C$2="Criação Baseline"),0,
   IF(VLOOKUP($T420, CONTRATOS!B:E, 3, FALSE)&lt;&gt;"",1,IF(VLOOKUP($T420, CONTRATOS!B:E, 4, FALSE)&lt;&gt;"",2,0)))</f>
        <v>0</v>
      </c>
      <c r="W420" s="248"/>
      <c r="X420" s="248"/>
      <c r="Y420" s="249"/>
      <c r="Z420" s="250"/>
      <c r="AA420" s="251"/>
      <c r="AB420" s="252"/>
      <c r="AC420" s="253"/>
      <c r="AD420" s="251"/>
      <c r="AE420" s="254" t="str">
        <f t="shared" si="279"/>
        <v/>
      </c>
      <c r="AF420" s="256" t="str">
        <f t="shared" si="290"/>
        <v/>
      </c>
      <c r="AG420" s="293" t="s">
        <v>62</v>
      </c>
      <c r="AH420" s="294" t="str">
        <f t="shared" si="291"/>
        <v/>
      </c>
      <c r="AI420" s="294" t="str">
        <f t="shared" si="292"/>
        <v/>
      </c>
      <c r="AJ420" s="295" t="str">
        <f t="shared" si="293"/>
        <v/>
      </c>
      <c r="AK420" s="296" t="str">
        <f t="shared" si="294"/>
        <v/>
      </c>
      <c r="AL420" s="297" t="str">
        <f t="shared" si="295"/>
        <v/>
      </c>
      <c r="AM420" s="294" t="str">
        <f t="shared" si="296"/>
        <v/>
      </c>
      <c r="AN420" s="294" t="str">
        <f t="shared" si="297"/>
        <v/>
      </c>
      <c r="AO420" s="298" t="str">
        <f t="shared" si="298"/>
        <v/>
      </c>
      <c r="AP420" s="299" t="str">
        <f t="shared" si="299"/>
        <v/>
      </c>
      <c r="AQ420" s="299" t="str">
        <f t="shared" si="300"/>
        <v/>
      </c>
      <c r="AR420" s="300" t="str">
        <f t="shared" si="280"/>
        <v/>
      </c>
      <c r="AS420" s="300" t="str">
        <f t="shared" si="281"/>
        <v/>
      </c>
      <c r="AT420" s="294" t="str">
        <f t="shared" si="282"/>
        <v/>
      </c>
      <c r="AU420" s="301" t="str">
        <f>IF(OR($B420="", $AP420= ""),"",IF(VLOOKUP($AP420, CONTRATOS!B:K,3,FALSE)="","",VLOOKUP($AP420, CONTRATOS!B:K, 3,FALSE)))</f>
        <v/>
      </c>
      <c r="AV420" s="301" t="str">
        <f>IF(OR($B420="", $AP420 = ""), "", IF(VLOOKUP($AP420, CONTRATOS!B:K,4,FALSE)="","",VLOOKUP($AP420, CONTRATOS!B:K,4, FALSE)))</f>
        <v/>
      </c>
      <c r="AW420" s="302" t="str">
        <f t="shared" si="283"/>
        <v/>
      </c>
      <c r="AX420" s="301" t="str">
        <f t="shared" si="284"/>
        <v/>
      </c>
      <c r="AY420" s="301" t="str">
        <f t="shared" si="285"/>
        <v/>
      </c>
      <c r="AZ420" s="301" t="str">
        <f t="shared" si="286"/>
        <v/>
      </c>
      <c r="BA420" s="301" t="str">
        <f t="shared" si="287"/>
        <v/>
      </c>
      <c r="BB420" s="303">
        <f t="shared" si="301"/>
        <v>0</v>
      </c>
      <c r="BC420" s="303" t="str">
        <f t="shared" si="302"/>
        <v/>
      </c>
      <c r="BD420" s="303" t="str">
        <f t="shared" si="303"/>
        <v/>
      </c>
      <c r="BF420" s="304">
        <f t="shared" si="304"/>
        <v>0</v>
      </c>
      <c r="BG420" s="304">
        <f t="shared" si="305"/>
        <v>0</v>
      </c>
      <c r="BH420" s="304" t="str">
        <f>IF( $B420="", "", IF(ISNA(VLOOKUP($C420, Defesa!$C$8:$C$30,1,FALSE)),1,0))</f>
        <v/>
      </c>
      <c r="BI420" s="305" t="str">
        <f t="shared" si="306"/>
        <v/>
      </c>
      <c r="BJ420" s="305" t="str">
        <f t="shared" si="307"/>
        <v/>
      </c>
      <c r="BK420" s="304" t="str">
        <f t="shared" si="308"/>
        <v/>
      </c>
      <c r="BL420" s="304">
        <f t="shared" si="309"/>
        <v>0</v>
      </c>
      <c r="BM420" s="304" t="str">
        <f>IF($AC420="", "", IF(ISNA(VLOOKUP($AC420, TABELAS!$Q:$Q, 1, FALSE)), 1, 0))</f>
        <v/>
      </c>
      <c r="BN420" s="306" t="str">
        <f t="shared" si="310"/>
        <v/>
      </c>
      <c r="BO420" s="304" t="str">
        <f t="shared" si="311"/>
        <v/>
      </c>
      <c r="BP420" s="304" t="str">
        <f t="shared" si="312"/>
        <v/>
      </c>
      <c r="BQ420" s="305" t="str">
        <f t="shared" si="313"/>
        <v/>
      </c>
      <c r="BR420" s="304" t="str">
        <f t="shared" si="314"/>
        <v/>
      </c>
      <c r="BS420" s="304" t="str">
        <f t="shared" si="315"/>
        <v/>
      </c>
      <c r="BT420" s="304" t="str">
        <f>IF(OR($B420="", $AH420 = "SIM"), "", IF( ISNA(VLOOKUP($AP420,#REF!, 1, FALSE)), 1, 0))</f>
        <v/>
      </c>
      <c r="BU420" s="304" t="str">
        <f t="shared" si="316"/>
        <v/>
      </c>
      <c r="BV420" s="304" t="str">
        <f>IF( $B420="", "", IF( ISNA(VLOOKUP($AN420, TABELAS!$T$2:$T$9,1,FALSE)), 1, 0))</f>
        <v/>
      </c>
      <c r="BW420" s="304" t="str">
        <f t="shared" si="317"/>
        <v/>
      </c>
      <c r="BX420" s="304" t="str">
        <f>IF( OR($B420="", $AH420 = "SIM"), "", IF( ISNA( VLOOKUP( $AQ420, SISTEMA!$B:$B, 1, FALSE)), 1, 0))</f>
        <v/>
      </c>
      <c r="BY420" s="305" t="str">
        <f t="shared" si="318"/>
        <v/>
      </c>
      <c r="BZ420" s="305" t="str">
        <f t="shared" si="319"/>
        <v/>
      </c>
      <c r="CA420" s="304" t="str">
        <f t="shared" si="320"/>
        <v/>
      </c>
      <c r="CB420" s="305" t="str">
        <f t="shared" si="321"/>
        <v/>
      </c>
      <c r="CC420" s="305" t="str">
        <f t="shared" si="322"/>
        <v/>
      </c>
      <c r="CD420" s="305" t="str">
        <f t="shared" si="323"/>
        <v/>
      </c>
    </row>
    <row r="421" spans="1:82" x14ac:dyDescent="0.2">
      <c r="A421" s="235"/>
      <c r="B421" s="236" t="str">
        <f t="shared" si="288"/>
        <v/>
      </c>
      <c r="C421" s="237" t="str">
        <f t="shared" si="278"/>
        <v/>
      </c>
      <c r="D421" s="237" t="str">
        <f t="shared" si="289"/>
        <v/>
      </c>
      <c r="E421" s="237" t="str">
        <f>IF($C421="", "", COUNTIF($M$8:$M421,$D421))</f>
        <v/>
      </c>
      <c r="F421" s="238">
        <v>414</v>
      </c>
      <c r="G421" s="239"/>
      <c r="H421" s="240"/>
      <c r="I421" s="240"/>
      <c r="J421" s="241"/>
      <c r="K421" s="240"/>
      <c r="L421" s="240"/>
      <c r="M421" s="240"/>
      <c r="N421" s="242"/>
      <c r="O421" s="243"/>
      <c r="P421" s="243"/>
      <c r="Q421" s="243"/>
      <c r="R421" s="243"/>
      <c r="S421" s="243"/>
      <c r="T421" s="245"/>
      <c r="U421" s="246" t="str">
        <f>IF($T421="", "", VLOOKUP($T421, CONTRATOS!$B:$E, 2, FALSE))</f>
        <v/>
      </c>
      <c r="V421" s="247">
        <f>IF(OR($T421="",TB_DEFESA!$C$2="Criação Baseline"),0,
   IF(VLOOKUP($T421, CONTRATOS!B:E, 3, FALSE)&lt;&gt;"",1,IF(VLOOKUP($T421, CONTRATOS!B:E, 4, FALSE)&lt;&gt;"",2,0)))</f>
        <v>0</v>
      </c>
      <c r="W421" s="248"/>
      <c r="X421" s="248"/>
      <c r="Y421" s="249"/>
      <c r="Z421" s="250"/>
      <c r="AA421" s="251"/>
      <c r="AB421" s="252"/>
      <c r="AC421" s="253"/>
      <c r="AD421" s="251"/>
      <c r="AE421" s="254" t="str">
        <f t="shared" si="279"/>
        <v/>
      </c>
      <c r="AF421" s="256" t="str">
        <f t="shared" si="290"/>
        <v/>
      </c>
      <c r="AG421" s="293" t="s">
        <v>62</v>
      </c>
      <c r="AH421" s="294" t="str">
        <f t="shared" si="291"/>
        <v/>
      </c>
      <c r="AI421" s="294" t="str">
        <f t="shared" si="292"/>
        <v/>
      </c>
      <c r="AJ421" s="295" t="str">
        <f t="shared" si="293"/>
        <v/>
      </c>
      <c r="AK421" s="296" t="str">
        <f t="shared" si="294"/>
        <v/>
      </c>
      <c r="AL421" s="297" t="str">
        <f t="shared" si="295"/>
        <v/>
      </c>
      <c r="AM421" s="294" t="str">
        <f t="shared" si="296"/>
        <v/>
      </c>
      <c r="AN421" s="294" t="str">
        <f t="shared" si="297"/>
        <v/>
      </c>
      <c r="AO421" s="298" t="str">
        <f t="shared" si="298"/>
        <v/>
      </c>
      <c r="AP421" s="299" t="str">
        <f t="shared" si="299"/>
        <v/>
      </c>
      <c r="AQ421" s="299" t="str">
        <f t="shared" si="300"/>
        <v/>
      </c>
      <c r="AR421" s="300" t="str">
        <f t="shared" si="280"/>
        <v/>
      </c>
      <c r="AS421" s="300" t="str">
        <f t="shared" si="281"/>
        <v/>
      </c>
      <c r="AT421" s="294" t="str">
        <f t="shared" si="282"/>
        <v/>
      </c>
      <c r="AU421" s="301" t="str">
        <f>IF(OR($B421="", $AP421= ""),"",IF(VLOOKUP($AP421, CONTRATOS!B:K,3,FALSE)="","",VLOOKUP($AP421, CONTRATOS!B:K, 3,FALSE)))</f>
        <v/>
      </c>
      <c r="AV421" s="301" t="str">
        <f>IF(OR($B421="", $AP421 = ""), "", IF(VLOOKUP($AP421, CONTRATOS!B:K,4,FALSE)="","",VLOOKUP($AP421, CONTRATOS!B:K,4, FALSE)))</f>
        <v/>
      </c>
      <c r="AW421" s="302" t="str">
        <f t="shared" si="283"/>
        <v/>
      </c>
      <c r="AX421" s="301" t="str">
        <f t="shared" si="284"/>
        <v/>
      </c>
      <c r="AY421" s="301" t="str">
        <f t="shared" si="285"/>
        <v/>
      </c>
      <c r="AZ421" s="301" t="str">
        <f t="shared" si="286"/>
        <v/>
      </c>
      <c r="BA421" s="301" t="str">
        <f t="shared" si="287"/>
        <v/>
      </c>
      <c r="BB421" s="303">
        <f t="shared" si="301"/>
        <v>0</v>
      </c>
      <c r="BC421" s="303" t="str">
        <f t="shared" si="302"/>
        <v/>
      </c>
      <c r="BD421" s="303" t="str">
        <f t="shared" si="303"/>
        <v/>
      </c>
      <c r="BF421" s="304">
        <f t="shared" si="304"/>
        <v>0</v>
      </c>
      <c r="BG421" s="304">
        <f t="shared" si="305"/>
        <v>0</v>
      </c>
      <c r="BH421" s="304" t="str">
        <f>IF( $B421="", "", IF(ISNA(VLOOKUP($C421, Defesa!$C$8:$C$30,1,FALSE)),1,0))</f>
        <v/>
      </c>
      <c r="BI421" s="305" t="str">
        <f t="shared" si="306"/>
        <v/>
      </c>
      <c r="BJ421" s="305" t="str">
        <f t="shared" si="307"/>
        <v/>
      </c>
      <c r="BK421" s="304" t="str">
        <f t="shared" si="308"/>
        <v/>
      </c>
      <c r="BL421" s="304">
        <f t="shared" si="309"/>
        <v>0</v>
      </c>
      <c r="BM421" s="304" t="str">
        <f>IF($AC421="", "", IF(ISNA(VLOOKUP($AC421, TABELAS!$Q:$Q, 1, FALSE)), 1, 0))</f>
        <v/>
      </c>
      <c r="BN421" s="306" t="str">
        <f t="shared" si="310"/>
        <v/>
      </c>
      <c r="BO421" s="304" t="str">
        <f t="shared" si="311"/>
        <v/>
      </c>
      <c r="BP421" s="304" t="str">
        <f t="shared" si="312"/>
        <v/>
      </c>
      <c r="BQ421" s="305" t="str">
        <f t="shared" si="313"/>
        <v/>
      </c>
      <c r="BR421" s="304" t="str">
        <f t="shared" si="314"/>
        <v/>
      </c>
      <c r="BS421" s="304" t="str">
        <f t="shared" si="315"/>
        <v/>
      </c>
      <c r="BT421" s="304" t="str">
        <f>IF(OR($B421="", $AH421 = "SIM"), "", IF( ISNA(VLOOKUP($AP421,#REF!, 1, FALSE)), 1, 0))</f>
        <v/>
      </c>
      <c r="BU421" s="304" t="str">
        <f t="shared" si="316"/>
        <v/>
      </c>
      <c r="BV421" s="304" t="str">
        <f>IF( $B421="", "", IF( ISNA(VLOOKUP($AN421, TABELAS!$T$2:$T$9,1,FALSE)), 1, 0))</f>
        <v/>
      </c>
      <c r="BW421" s="304" t="str">
        <f t="shared" si="317"/>
        <v/>
      </c>
      <c r="BX421" s="304" t="str">
        <f>IF( OR($B421="", $AH421 = "SIM"), "", IF( ISNA( VLOOKUP( $AQ421, SISTEMA!$B:$B, 1, FALSE)), 1, 0))</f>
        <v/>
      </c>
      <c r="BY421" s="305" t="str">
        <f t="shared" si="318"/>
        <v/>
      </c>
      <c r="BZ421" s="305" t="str">
        <f t="shared" si="319"/>
        <v/>
      </c>
      <c r="CA421" s="304" t="str">
        <f t="shared" si="320"/>
        <v/>
      </c>
      <c r="CB421" s="305" t="str">
        <f t="shared" si="321"/>
        <v/>
      </c>
      <c r="CC421" s="305" t="str">
        <f t="shared" si="322"/>
        <v/>
      </c>
      <c r="CD421" s="305" t="str">
        <f t="shared" si="323"/>
        <v/>
      </c>
    </row>
    <row r="422" spans="1:82" x14ac:dyDescent="0.2">
      <c r="A422" s="235"/>
      <c r="B422" s="236" t="str">
        <f t="shared" si="288"/>
        <v/>
      </c>
      <c r="C422" s="237" t="str">
        <f t="shared" si="278"/>
        <v/>
      </c>
      <c r="D422" s="237" t="str">
        <f t="shared" si="289"/>
        <v/>
      </c>
      <c r="E422" s="237" t="str">
        <f>IF($C422="", "", COUNTIF($M$8:$M422,$D422))</f>
        <v/>
      </c>
      <c r="F422" s="238">
        <v>415</v>
      </c>
      <c r="G422" s="239"/>
      <c r="H422" s="240"/>
      <c r="I422" s="240"/>
      <c r="J422" s="241"/>
      <c r="K422" s="240"/>
      <c r="L422" s="240"/>
      <c r="M422" s="240"/>
      <c r="N422" s="242"/>
      <c r="O422" s="243"/>
      <c r="P422" s="243"/>
      <c r="Q422" s="243"/>
      <c r="R422" s="243"/>
      <c r="S422" s="243"/>
      <c r="T422" s="245"/>
      <c r="U422" s="246" t="str">
        <f>IF($T422="", "", VLOOKUP($T422, CONTRATOS!$B:$E, 2, FALSE))</f>
        <v/>
      </c>
      <c r="V422" s="247">
        <f>IF(OR($T422="",TB_DEFESA!$C$2="Criação Baseline"),0,
   IF(VLOOKUP($T422, CONTRATOS!B:E, 3, FALSE)&lt;&gt;"",1,IF(VLOOKUP($T422, CONTRATOS!B:E, 4, FALSE)&lt;&gt;"",2,0)))</f>
        <v>0</v>
      </c>
      <c r="W422" s="248"/>
      <c r="X422" s="248"/>
      <c r="Y422" s="249"/>
      <c r="Z422" s="250"/>
      <c r="AA422" s="251"/>
      <c r="AB422" s="252"/>
      <c r="AC422" s="253"/>
      <c r="AD422" s="251"/>
      <c r="AE422" s="254" t="str">
        <f t="shared" si="279"/>
        <v/>
      </c>
      <c r="AF422" s="256" t="str">
        <f t="shared" si="290"/>
        <v/>
      </c>
      <c r="AG422" s="293" t="s">
        <v>62</v>
      </c>
      <c r="AH422" s="294" t="str">
        <f t="shared" si="291"/>
        <v/>
      </c>
      <c r="AI422" s="294" t="str">
        <f t="shared" si="292"/>
        <v/>
      </c>
      <c r="AJ422" s="295" t="str">
        <f t="shared" si="293"/>
        <v/>
      </c>
      <c r="AK422" s="296" t="str">
        <f t="shared" si="294"/>
        <v/>
      </c>
      <c r="AL422" s="297" t="str">
        <f t="shared" si="295"/>
        <v/>
      </c>
      <c r="AM422" s="294" t="str">
        <f t="shared" si="296"/>
        <v/>
      </c>
      <c r="AN422" s="294" t="str">
        <f t="shared" si="297"/>
        <v/>
      </c>
      <c r="AO422" s="298" t="str">
        <f t="shared" si="298"/>
        <v/>
      </c>
      <c r="AP422" s="299" t="str">
        <f t="shared" si="299"/>
        <v/>
      </c>
      <c r="AQ422" s="299" t="str">
        <f t="shared" si="300"/>
        <v/>
      </c>
      <c r="AR422" s="300" t="str">
        <f t="shared" si="280"/>
        <v/>
      </c>
      <c r="AS422" s="300" t="str">
        <f t="shared" si="281"/>
        <v/>
      </c>
      <c r="AT422" s="294" t="str">
        <f t="shared" si="282"/>
        <v/>
      </c>
      <c r="AU422" s="301" t="str">
        <f>IF(OR($B422="", $AP422= ""),"",IF(VLOOKUP($AP422, CONTRATOS!B:K,3,FALSE)="","",VLOOKUP($AP422, CONTRATOS!B:K, 3,FALSE)))</f>
        <v/>
      </c>
      <c r="AV422" s="301" t="str">
        <f>IF(OR($B422="", $AP422 = ""), "", IF(VLOOKUP($AP422, CONTRATOS!B:K,4,FALSE)="","",VLOOKUP($AP422, CONTRATOS!B:K,4, FALSE)))</f>
        <v/>
      </c>
      <c r="AW422" s="302" t="str">
        <f t="shared" si="283"/>
        <v/>
      </c>
      <c r="AX422" s="301" t="str">
        <f t="shared" si="284"/>
        <v/>
      </c>
      <c r="AY422" s="301" t="str">
        <f t="shared" si="285"/>
        <v/>
      </c>
      <c r="AZ422" s="301" t="str">
        <f t="shared" si="286"/>
        <v/>
      </c>
      <c r="BA422" s="301" t="str">
        <f t="shared" si="287"/>
        <v/>
      </c>
      <c r="BB422" s="303">
        <f t="shared" si="301"/>
        <v>0</v>
      </c>
      <c r="BC422" s="303" t="str">
        <f t="shared" si="302"/>
        <v/>
      </c>
      <c r="BD422" s="303" t="str">
        <f t="shared" si="303"/>
        <v/>
      </c>
      <c r="BF422" s="304">
        <f t="shared" si="304"/>
        <v>0</v>
      </c>
      <c r="BG422" s="304">
        <f t="shared" si="305"/>
        <v>0</v>
      </c>
      <c r="BH422" s="304" t="str">
        <f>IF( $B422="", "", IF(ISNA(VLOOKUP($C422, Defesa!$C$8:$C$30,1,FALSE)),1,0))</f>
        <v/>
      </c>
      <c r="BI422" s="305" t="str">
        <f t="shared" si="306"/>
        <v/>
      </c>
      <c r="BJ422" s="305" t="str">
        <f t="shared" si="307"/>
        <v/>
      </c>
      <c r="BK422" s="304" t="str">
        <f t="shared" si="308"/>
        <v/>
      </c>
      <c r="BL422" s="304">
        <f t="shared" si="309"/>
        <v>0</v>
      </c>
      <c r="BM422" s="304" t="str">
        <f>IF($AC422="", "", IF(ISNA(VLOOKUP($AC422, TABELAS!$Q:$Q, 1, FALSE)), 1, 0))</f>
        <v/>
      </c>
      <c r="BN422" s="306" t="str">
        <f t="shared" si="310"/>
        <v/>
      </c>
      <c r="BO422" s="304" t="str">
        <f t="shared" si="311"/>
        <v/>
      </c>
      <c r="BP422" s="304" t="str">
        <f t="shared" si="312"/>
        <v/>
      </c>
      <c r="BQ422" s="305" t="str">
        <f t="shared" si="313"/>
        <v/>
      </c>
      <c r="BR422" s="304" t="str">
        <f t="shared" si="314"/>
        <v/>
      </c>
      <c r="BS422" s="304" t="str">
        <f t="shared" si="315"/>
        <v/>
      </c>
      <c r="BT422" s="304" t="str">
        <f>IF(OR($B422="", $AH422 = "SIM"), "", IF( ISNA(VLOOKUP($AP422,#REF!, 1, FALSE)), 1, 0))</f>
        <v/>
      </c>
      <c r="BU422" s="304" t="str">
        <f t="shared" si="316"/>
        <v/>
      </c>
      <c r="BV422" s="304" t="str">
        <f>IF( $B422="", "", IF( ISNA(VLOOKUP($AN422, TABELAS!$T$2:$T$9,1,FALSE)), 1, 0))</f>
        <v/>
      </c>
      <c r="BW422" s="304" t="str">
        <f t="shared" si="317"/>
        <v/>
      </c>
      <c r="BX422" s="304" t="str">
        <f>IF( OR($B422="", $AH422 = "SIM"), "", IF( ISNA( VLOOKUP( $AQ422, SISTEMA!$B:$B, 1, FALSE)), 1, 0))</f>
        <v/>
      </c>
      <c r="BY422" s="305" t="str">
        <f t="shared" si="318"/>
        <v/>
      </c>
      <c r="BZ422" s="305" t="str">
        <f t="shared" si="319"/>
        <v/>
      </c>
      <c r="CA422" s="304" t="str">
        <f t="shared" si="320"/>
        <v/>
      </c>
      <c r="CB422" s="305" t="str">
        <f t="shared" si="321"/>
        <v/>
      </c>
      <c r="CC422" s="305" t="str">
        <f t="shared" si="322"/>
        <v/>
      </c>
      <c r="CD422" s="305" t="str">
        <f t="shared" si="323"/>
        <v/>
      </c>
    </row>
    <row r="423" spans="1:82" x14ac:dyDescent="0.2">
      <c r="A423" s="235"/>
      <c r="B423" s="236" t="str">
        <f t="shared" si="288"/>
        <v/>
      </c>
      <c r="C423" s="237" t="str">
        <f t="shared" si="278"/>
        <v/>
      </c>
      <c r="D423" s="237" t="str">
        <f t="shared" si="289"/>
        <v/>
      </c>
      <c r="E423" s="237" t="str">
        <f>IF($C423="", "", COUNTIF($M$8:$M423,$D423))</f>
        <v/>
      </c>
      <c r="F423" s="238">
        <v>416</v>
      </c>
      <c r="G423" s="239"/>
      <c r="H423" s="240"/>
      <c r="I423" s="240"/>
      <c r="J423" s="241"/>
      <c r="K423" s="240"/>
      <c r="L423" s="240"/>
      <c r="M423" s="240"/>
      <c r="N423" s="242"/>
      <c r="O423" s="243"/>
      <c r="P423" s="243"/>
      <c r="Q423" s="243"/>
      <c r="R423" s="243"/>
      <c r="S423" s="243"/>
      <c r="T423" s="245"/>
      <c r="U423" s="246" t="str">
        <f>IF($T423="", "", VLOOKUP($T423, CONTRATOS!$B:$E, 2, FALSE))</f>
        <v/>
      </c>
      <c r="V423" s="247">
        <f>IF(OR($T423="",TB_DEFESA!$C$2="Criação Baseline"),0,
   IF(VLOOKUP($T423, CONTRATOS!B:E, 3, FALSE)&lt;&gt;"",1,IF(VLOOKUP($T423, CONTRATOS!B:E, 4, FALSE)&lt;&gt;"",2,0)))</f>
        <v>0</v>
      </c>
      <c r="W423" s="248"/>
      <c r="X423" s="248"/>
      <c r="Y423" s="249"/>
      <c r="Z423" s="250"/>
      <c r="AA423" s="251"/>
      <c r="AB423" s="252"/>
      <c r="AC423" s="253"/>
      <c r="AD423" s="251"/>
      <c r="AE423" s="254" t="str">
        <f t="shared" si="279"/>
        <v/>
      </c>
      <c r="AF423" s="256" t="str">
        <f t="shared" si="290"/>
        <v/>
      </c>
      <c r="AG423" s="293" t="s">
        <v>62</v>
      </c>
      <c r="AH423" s="294" t="str">
        <f t="shared" si="291"/>
        <v/>
      </c>
      <c r="AI423" s="294" t="str">
        <f t="shared" si="292"/>
        <v/>
      </c>
      <c r="AJ423" s="295" t="str">
        <f t="shared" si="293"/>
        <v/>
      </c>
      <c r="AK423" s="296" t="str">
        <f t="shared" si="294"/>
        <v/>
      </c>
      <c r="AL423" s="297" t="str">
        <f t="shared" si="295"/>
        <v/>
      </c>
      <c r="AM423" s="294" t="str">
        <f t="shared" si="296"/>
        <v/>
      </c>
      <c r="AN423" s="294" t="str">
        <f t="shared" si="297"/>
        <v/>
      </c>
      <c r="AO423" s="298" t="str">
        <f t="shared" si="298"/>
        <v/>
      </c>
      <c r="AP423" s="299" t="str">
        <f t="shared" si="299"/>
        <v/>
      </c>
      <c r="AQ423" s="299" t="str">
        <f t="shared" si="300"/>
        <v/>
      </c>
      <c r="AR423" s="300" t="str">
        <f t="shared" si="280"/>
        <v/>
      </c>
      <c r="AS423" s="300" t="str">
        <f t="shared" si="281"/>
        <v/>
      </c>
      <c r="AT423" s="294" t="str">
        <f t="shared" si="282"/>
        <v/>
      </c>
      <c r="AU423" s="301" t="str">
        <f>IF(OR($B423="", $AP423= ""),"",IF(VLOOKUP($AP423, CONTRATOS!B:K,3,FALSE)="","",VLOOKUP($AP423, CONTRATOS!B:K, 3,FALSE)))</f>
        <v/>
      </c>
      <c r="AV423" s="301" t="str">
        <f>IF(OR($B423="", $AP423 = ""), "", IF(VLOOKUP($AP423, CONTRATOS!B:K,4,FALSE)="","",VLOOKUP($AP423, CONTRATOS!B:K,4, FALSE)))</f>
        <v/>
      </c>
      <c r="AW423" s="302" t="str">
        <f t="shared" si="283"/>
        <v/>
      </c>
      <c r="AX423" s="301" t="str">
        <f t="shared" si="284"/>
        <v/>
      </c>
      <c r="AY423" s="301" t="str">
        <f t="shared" si="285"/>
        <v/>
      </c>
      <c r="AZ423" s="301" t="str">
        <f t="shared" si="286"/>
        <v/>
      </c>
      <c r="BA423" s="301" t="str">
        <f t="shared" si="287"/>
        <v/>
      </c>
      <c r="BB423" s="303">
        <f t="shared" si="301"/>
        <v>0</v>
      </c>
      <c r="BC423" s="303" t="str">
        <f t="shared" si="302"/>
        <v/>
      </c>
      <c r="BD423" s="303" t="str">
        <f t="shared" si="303"/>
        <v/>
      </c>
      <c r="BF423" s="304">
        <f t="shared" si="304"/>
        <v>0</v>
      </c>
      <c r="BG423" s="304">
        <f t="shared" si="305"/>
        <v>0</v>
      </c>
      <c r="BH423" s="304" t="str">
        <f>IF( $B423="", "", IF(ISNA(VLOOKUP($C423, Defesa!$C$8:$C$30,1,FALSE)),1,0))</f>
        <v/>
      </c>
      <c r="BI423" s="305" t="str">
        <f t="shared" si="306"/>
        <v/>
      </c>
      <c r="BJ423" s="305" t="str">
        <f t="shared" si="307"/>
        <v/>
      </c>
      <c r="BK423" s="304" t="str">
        <f t="shared" si="308"/>
        <v/>
      </c>
      <c r="BL423" s="304">
        <f t="shared" si="309"/>
        <v>0</v>
      </c>
      <c r="BM423" s="304" t="str">
        <f>IF($AC423="", "", IF(ISNA(VLOOKUP($AC423, TABELAS!$Q:$Q, 1, FALSE)), 1, 0))</f>
        <v/>
      </c>
      <c r="BN423" s="306" t="str">
        <f t="shared" si="310"/>
        <v/>
      </c>
      <c r="BO423" s="304" t="str">
        <f t="shared" si="311"/>
        <v/>
      </c>
      <c r="BP423" s="304" t="str">
        <f t="shared" si="312"/>
        <v/>
      </c>
      <c r="BQ423" s="305" t="str">
        <f t="shared" si="313"/>
        <v/>
      </c>
      <c r="BR423" s="304" t="str">
        <f t="shared" si="314"/>
        <v/>
      </c>
      <c r="BS423" s="304" t="str">
        <f t="shared" si="315"/>
        <v/>
      </c>
      <c r="BT423" s="304" t="str">
        <f>IF(OR($B423="", $AH423 = "SIM"), "", IF( ISNA(VLOOKUP($AP423,#REF!, 1, FALSE)), 1, 0))</f>
        <v/>
      </c>
      <c r="BU423" s="304" t="str">
        <f t="shared" si="316"/>
        <v/>
      </c>
      <c r="BV423" s="304" t="str">
        <f>IF( $B423="", "", IF( ISNA(VLOOKUP($AN423, TABELAS!$T$2:$T$9,1,FALSE)), 1, 0))</f>
        <v/>
      </c>
      <c r="BW423" s="304" t="str">
        <f t="shared" si="317"/>
        <v/>
      </c>
      <c r="BX423" s="304" t="str">
        <f>IF( OR($B423="", $AH423 = "SIM"), "", IF( ISNA( VLOOKUP( $AQ423, SISTEMA!$B:$B, 1, FALSE)), 1, 0))</f>
        <v/>
      </c>
      <c r="BY423" s="305" t="str">
        <f t="shared" si="318"/>
        <v/>
      </c>
      <c r="BZ423" s="305" t="str">
        <f t="shared" si="319"/>
        <v/>
      </c>
      <c r="CA423" s="304" t="str">
        <f t="shared" si="320"/>
        <v/>
      </c>
      <c r="CB423" s="305" t="str">
        <f t="shared" si="321"/>
        <v/>
      </c>
      <c r="CC423" s="305" t="str">
        <f t="shared" si="322"/>
        <v/>
      </c>
      <c r="CD423" s="305" t="str">
        <f t="shared" si="323"/>
        <v/>
      </c>
    </row>
    <row r="424" spans="1:82" x14ac:dyDescent="0.2">
      <c r="A424" s="235"/>
      <c r="B424" s="236" t="str">
        <f t="shared" si="288"/>
        <v/>
      </c>
      <c r="C424" s="237" t="str">
        <f t="shared" si="278"/>
        <v/>
      </c>
      <c r="D424" s="237" t="str">
        <f t="shared" si="289"/>
        <v/>
      </c>
      <c r="E424" s="237" t="str">
        <f>IF($C424="", "", COUNTIF($M$8:$M424,$D424))</f>
        <v/>
      </c>
      <c r="F424" s="238">
        <v>417</v>
      </c>
      <c r="G424" s="239"/>
      <c r="H424" s="240"/>
      <c r="I424" s="240"/>
      <c r="J424" s="241"/>
      <c r="K424" s="240"/>
      <c r="L424" s="240"/>
      <c r="M424" s="240"/>
      <c r="N424" s="242"/>
      <c r="O424" s="243"/>
      <c r="P424" s="243"/>
      <c r="Q424" s="243"/>
      <c r="R424" s="243"/>
      <c r="S424" s="243"/>
      <c r="T424" s="245"/>
      <c r="U424" s="246" t="str">
        <f>IF($T424="", "", VLOOKUP($T424, CONTRATOS!$B:$E, 2, FALSE))</f>
        <v/>
      </c>
      <c r="V424" s="247">
        <f>IF(OR($T424="",TB_DEFESA!$C$2="Criação Baseline"),0,
   IF(VLOOKUP($T424, CONTRATOS!B:E, 3, FALSE)&lt;&gt;"",1,IF(VLOOKUP($T424, CONTRATOS!B:E, 4, FALSE)&lt;&gt;"",2,0)))</f>
        <v>0</v>
      </c>
      <c r="W424" s="248"/>
      <c r="X424" s="248"/>
      <c r="Y424" s="249"/>
      <c r="Z424" s="250"/>
      <c r="AA424" s="251"/>
      <c r="AB424" s="252"/>
      <c r="AC424" s="253"/>
      <c r="AD424" s="251"/>
      <c r="AE424" s="254" t="str">
        <f t="shared" si="279"/>
        <v/>
      </c>
      <c r="AF424" s="256" t="str">
        <f t="shared" si="290"/>
        <v/>
      </c>
      <c r="AG424" s="293" t="s">
        <v>62</v>
      </c>
      <c r="AH424" s="294" t="str">
        <f t="shared" si="291"/>
        <v/>
      </c>
      <c r="AI424" s="294" t="str">
        <f t="shared" si="292"/>
        <v/>
      </c>
      <c r="AJ424" s="295" t="str">
        <f t="shared" si="293"/>
        <v/>
      </c>
      <c r="AK424" s="296" t="str">
        <f t="shared" si="294"/>
        <v/>
      </c>
      <c r="AL424" s="297" t="str">
        <f t="shared" si="295"/>
        <v/>
      </c>
      <c r="AM424" s="294" t="str">
        <f t="shared" si="296"/>
        <v/>
      </c>
      <c r="AN424" s="294" t="str">
        <f t="shared" si="297"/>
        <v/>
      </c>
      <c r="AO424" s="298" t="str">
        <f t="shared" si="298"/>
        <v/>
      </c>
      <c r="AP424" s="299" t="str">
        <f t="shared" si="299"/>
        <v/>
      </c>
      <c r="AQ424" s="299" t="str">
        <f t="shared" si="300"/>
        <v/>
      </c>
      <c r="AR424" s="300" t="str">
        <f t="shared" si="280"/>
        <v/>
      </c>
      <c r="AS424" s="300" t="str">
        <f t="shared" si="281"/>
        <v/>
      </c>
      <c r="AT424" s="294" t="str">
        <f t="shared" si="282"/>
        <v/>
      </c>
      <c r="AU424" s="301" t="str">
        <f>IF(OR($B424="", $AP424= ""),"",IF(VLOOKUP($AP424, CONTRATOS!B:K,3,FALSE)="","",VLOOKUP($AP424, CONTRATOS!B:K, 3,FALSE)))</f>
        <v/>
      </c>
      <c r="AV424" s="301" t="str">
        <f>IF(OR($B424="", $AP424 = ""), "", IF(VLOOKUP($AP424, CONTRATOS!B:K,4,FALSE)="","",VLOOKUP($AP424, CONTRATOS!B:K,4, FALSE)))</f>
        <v/>
      </c>
      <c r="AW424" s="302" t="str">
        <f t="shared" si="283"/>
        <v/>
      </c>
      <c r="AX424" s="301" t="str">
        <f t="shared" si="284"/>
        <v/>
      </c>
      <c r="AY424" s="301" t="str">
        <f t="shared" si="285"/>
        <v/>
      </c>
      <c r="AZ424" s="301" t="str">
        <f t="shared" si="286"/>
        <v/>
      </c>
      <c r="BA424" s="301" t="str">
        <f t="shared" si="287"/>
        <v/>
      </c>
      <c r="BB424" s="303">
        <f t="shared" si="301"/>
        <v>0</v>
      </c>
      <c r="BC424" s="303" t="str">
        <f t="shared" si="302"/>
        <v/>
      </c>
      <c r="BD424" s="303" t="str">
        <f t="shared" si="303"/>
        <v/>
      </c>
      <c r="BF424" s="304">
        <f t="shared" si="304"/>
        <v>0</v>
      </c>
      <c r="BG424" s="304">
        <f t="shared" si="305"/>
        <v>0</v>
      </c>
      <c r="BH424" s="304" t="str">
        <f>IF( $B424="", "", IF(ISNA(VLOOKUP($C424, Defesa!$C$8:$C$30,1,FALSE)),1,0))</f>
        <v/>
      </c>
      <c r="BI424" s="305" t="str">
        <f t="shared" si="306"/>
        <v/>
      </c>
      <c r="BJ424" s="305" t="str">
        <f t="shared" si="307"/>
        <v/>
      </c>
      <c r="BK424" s="304" t="str">
        <f t="shared" si="308"/>
        <v/>
      </c>
      <c r="BL424" s="304">
        <f t="shared" si="309"/>
        <v>0</v>
      </c>
      <c r="BM424" s="304" t="str">
        <f>IF($AC424="", "", IF(ISNA(VLOOKUP($AC424, TABELAS!$Q:$Q, 1, FALSE)), 1, 0))</f>
        <v/>
      </c>
      <c r="BN424" s="306" t="str">
        <f t="shared" si="310"/>
        <v/>
      </c>
      <c r="BO424" s="304" t="str">
        <f t="shared" si="311"/>
        <v/>
      </c>
      <c r="BP424" s="304" t="str">
        <f t="shared" si="312"/>
        <v/>
      </c>
      <c r="BQ424" s="305" t="str">
        <f t="shared" si="313"/>
        <v/>
      </c>
      <c r="BR424" s="304" t="str">
        <f t="shared" si="314"/>
        <v/>
      </c>
      <c r="BS424" s="304" t="str">
        <f t="shared" si="315"/>
        <v/>
      </c>
      <c r="BT424" s="304" t="str">
        <f>IF(OR($B424="", $AH424 = "SIM"), "", IF( ISNA(VLOOKUP($AP424,#REF!, 1, FALSE)), 1, 0))</f>
        <v/>
      </c>
      <c r="BU424" s="304" t="str">
        <f t="shared" si="316"/>
        <v/>
      </c>
      <c r="BV424" s="304" t="str">
        <f>IF( $B424="", "", IF( ISNA(VLOOKUP($AN424, TABELAS!$T$2:$T$9,1,FALSE)), 1, 0))</f>
        <v/>
      </c>
      <c r="BW424" s="304" t="str">
        <f t="shared" si="317"/>
        <v/>
      </c>
      <c r="BX424" s="304" t="str">
        <f>IF( OR($B424="", $AH424 = "SIM"), "", IF( ISNA( VLOOKUP( $AQ424, SISTEMA!$B:$B, 1, FALSE)), 1, 0))</f>
        <v/>
      </c>
      <c r="BY424" s="305" t="str">
        <f t="shared" si="318"/>
        <v/>
      </c>
      <c r="BZ424" s="305" t="str">
        <f t="shared" si="319"/>
        <v/>
      </c>
      <c r="CA424" s="304" t="str">
        <f t="shared" si="320"/>
        <v/>
      </c>
      <c r="CB424" s="305" t="str">
        <f t="shared" si="321"/>
        <v/>
      </c>
      <c r="CC424" s="305" t="str">
        <f t="shared" si="322"/>
        <v/>
      </c>
      <c r="CD424" s="305" t="str">
        <f t="shared" si="323"/>
        <v/>
      </c>
    </row>
    <row r="425" spans="1:82" x14ac:dyDescent="0.2">
      <c r="A425" s="235"/>
      <c r="B425" s="236" t="str">
        <f t="shared" si="288"/>
        <v/>
      </c>
      <c r="C425" s="237" t="str">
        <f t="shared" si="278"/>
        <v/>
      </c>
      <c r="D425" s="237" t="str">
        <f t="shared" si="289"/>
        <v/>
      </c>
      <c r="E425" s="237" t="str">
        <f>IF($C425="", "", COUNTIF($M$8:$M425,$D425))</f>
        <v/>
      </c>
      <c r="F425" s="238">
        <v>418</v>
      </c>
      <c r="G425" s="239"/>
      <c r="H425" s="240"/>
      <c r="I425" s="240"/>
      <c r="J425" s="241"/>
      <c r="K425" s="240"/>
      <c r="L425" s="240"/>
      <c r="M425" s="240"/>
      <c r="N425" s="242"/>
      <c r="O425" s="243"/>
      <c r="P425" s="243"/>
      <c r="Q425" s="243"/>
      <c r="R425" s="243"/>
      <c r="S425" s="243"/>
      <c r="T425" s="245"/>
      <c r="U425" s="246" t="str">
        <f>IF($T425="", "", VLOOKUP($T425, CONTRATOS!$B:$E, 2, FALSE))</f>
        <v/>
      </c>
      <c r="V425" s="247">
        <f>IF(OR($T425="",TB_DEFESA!$C$2="Criação Baseline"),0,
   IF(VLOOKUP($T425, CONTRATOS!B:E, 3, FALSE)&lt;&gt;"",1,IF(VLOOKUP($T425, CONTRATOS!B:E, 4, FALSE)&lt;&gt;"",2,0)))</f>
        <v>0</v>
      </c>
      <c r="W425" s="248"/>
      <c r="X425" s="248"/>
      <c r="Y425" s="249"/>
      <c r="Z425" s="250"/>
      <c r="AA425" s="251"/>
      <c r="AB425" s="252"/>
      <c r="AC425" s="253"/>
      <c r="AD425" s="251"/>
      <c r="AE425" s="254" t="str">
        <f t="shared" si="279"/>
        <v/>
      </c>
      <c r="AF425" s="256" t="str">
        <f t="shared" si="290"/>
        <v/>
      </c>
      <c r="AG425" s="293" t="s">
        <v>62</v>
      </c>
      <c r="AH425" s="294" t="str">
        <f t="shared" si="291"/>
        <v/>
      </c>
      <c r="AI425" s="294" t="str">
        <f t="shared" si="292"/>
        <v/>
      </c>
      <c r="AJ425" s="295" t="str">
        <f t="shared" si="293"/>
        <v/>
      </c>
      <c r="AK425" s="296" t="str">
        <f t="shared" si="294"/>
        <v/>
      </c>
      <c r="AL425" s="297" t="str">
        <f t="shared" si="295"/>
        <v/>
      </c>
      <c r="AM425" s="294" t="str">
        <f t="shared" si="296"/>
        <v/>
      </c>
      <c r="AN425" s="294" t="str">
        <f t="shared" si="297"/>
        <v/>
      </c>
      <c r="AO425" s="298" t="str">
        <f t="shared" si="298"/>
        <v/>
      </c>
      <c r="AP425" s="299" t="str">
        <f t="shared" si="299"/>
        <v/>
      </c>
      <c r="AQ425" s="299" t="str">
        <f t="shared" si="300"/>
        <v/>
      </c>
      <c r="AR425" s="300" t="str">
        <f t="shared" si="280"/>
        <v/>
      </c>
      <c r="AS425" s="300" t="str">
        <f t="shared" si="281"/>
        <v/>
      </c>
      <c r="AT425" s="294" t="str">
        <f t="shared" si="282"/>
        <v/>
      </c>
      <c r="AU425" s="301" t="str">
        <f>IF(OR($B425="", $AP425= ""),"",IF(VLOOKUP($AP425, CONTRATOS!B:K,3,FALSE)="","",VLOOKUP($AP425, CONTRATOS!B:K, 3,FALSE)))</f>
        <v/>
      </c>
      <c r="AV425" s="301" t="str">
        <f>IF(OR($B425="", $AP425 = ""), "", IF(VLOOKUP($AP425, CONTRATOS!B:K,4,FALSE)="","",VLOOKUP($AP425, CONTRATOS!B:K,4, FALSE)))</f>
        <v/>
      </c>
      <c r="AW425" s="302" t="str">
        <f t="shared" si="283"/>
        <v/>
      </c>
      <c r="AX425" s="301" t="str">
        <f t="shared" si="284"/>
        <v/>
      </c>
      <c r="AY425" s="301" t="str">
        <f t="shared" si="285"/>
        <v/>
      </c>
      <c r="AZ425" s="301" t="str">
        <f t="shared" si="286"/>
        <v/>
      </c>
      <c r="BA425" s="301" t="str">
        <f t="shared" si="287"/>
        <v/>
      </c>
      <c r="BB425" s="303">
        <f t="shared" si="301"/>
        <v>0</v>
      </c>
      <c r="BC425" s="303" t="str">
        <f t="shared" si="302"/>
        <v/>
      </c>
      <c r="BD425" s="303" t="str">
        <f t="shared" si="303"/>
        <v/>
      </c>
      <c r="BF425" s="304">
        <f t="shared" si="304"/>
        <v>0</v>
      </c>
      <c r="BG425" s="304">
        <f t="shared" si="305"/>
        <v>0</v>
      </c>
      <c r="BH425" s="304" t="str">
        <f>IF( $B425="", "", IF(ISNA(VLOOKUP($C425, Defesa!$C$8:$C$30,1,FALSE)),1,0))</f>
        <v/>
      </c>
      <c r="BI425" s="305" t="str">
        <f t="shared" si="306"/>
        <v/>
      </c>
      <c r="BJ425" s="305" t="str">
        <f t="shared" si="307"/>
        <v/>
      </c>
      <c r="BK425" s="304" t="str">
        <f t="shared" si="308"/>
        <v/>
      </c>
      <c r="BL425" s="304">
        <f t="shared" si="309"/>
        <v>0</v>
      </c>
      <c r="BM425" s="304" t="str">
        <f>IF($AC425="", "", IF(ISNA(VLOOKUP($AC425, TABELAS!$Q:$Q, 1, FALSE)), 1, 0))</f>
        <v/>
      </c>
      <c r="BN425" s="306" t="str">
        <f t="shared" si="310"/>
        <v/>
      </c>
      <c r="BO425" s="304" t="str">
        <f t="shared" si="311"/>
        <v/>
      </c>
      <c r="BP425" s="304" t="str">
        <f t="shared" si="312"/>
        <v/>
      </c>
      <c r="BQ425" s="305" t="str">
        <f t="shared" si="313"/>
        <v/>
      </c>
      <c r="BR425" s="304" t="str">
        <f t="shared" si="314"/>
        <v/>
      </c>
      <c r="BS425" s="304" t="str">
        <f t="shared" si="315"/>
        <v/>
      </c>
      <c r="BT425" s="304" t="str">
        <f>IF(OR($B425="", $AH425 = "SIM"), "", IF( ISNA(VLOOKUP($AP425,#REF!, 1, FALSE)), 1, 0))</f>
        <v/>
      </c>
      <c r="BU425" s="304" t="str">
        <f t="shared" si="316"/>
        <v/>
      </c>
      <c r="BV425" s="304" t="str">
        <f>IF( $B425="", "", IF( ISNA(VLOOKUP($AN425, TABELAS!$T$2:$T$9,1,FALSE)), 1, 0))</f>
        <v/>
      </c>
      <c r="BW425" s="304" t="str">
        <f t="shared" si="317"/>
        <v/>
      </c>
      <c r="BX425" s="304" t="str">
        <f>IF( OR($B425="", $AH425 = "SIM"), "", IF( ISNA( VLOOKUP( $AQ425, SISTEMA!$B:$B, 1, FALSE)), 1, 0))</f>
        <v/>
      </c>
      <c r="BY425" s="305" t="str">
        <f t="shared" si="318"/>
        <v/>
      </c>
      <c r="BZ425" s="305" t="str">
        <f t="shared" si="319"/>
        <v/>
      </c>
      <c r="CA425" s="304" t="str">
        <f t="shared" si="320"/>
        <v/>
      </c>
      <c r="CB425" s="305" t="str">
        <f t="shared" si="321"/>
        <v/>
      </c>
      <c r="CC425" s="305" t="str">
        <f t="shared" si="322"/>
        <v/>
      </c>
      <c r="CD425" s="305" t="str">
        <f t="shared" si="323"/>
        <v/>
      </c>
    </row>
    <row r="426" spans="1:82" x14ac:dyDescent="0.2">
      <c r="A426" s="235"/>
      <c r="B426" s="236" t="str">
        <f t="shared" si="288"/>
        <v/>
      </c>
      <c r="C426" s="237" t="str">
        <f t="shared" si="278"/>
        <v/>
      </c>
      <c r="D426" s="237" t="str">
        <f t="shared" si="289"/>
        <v/>
      </c>
      <c r="E426" s="237" t="str">
        <f>IF($C426="", "", COUNTIF($M$8:$M426,$D426))</f>
        <v/>
      </c>
      <c r="F426" s="238">
        <v>419</v>
      </c>
      <c r="G426" s="239"/>
      <c r="H426" s="240"/>
      <c r="I426" s="240"/>
      <c r="J426" s="241"/>
      <c r="K426" s="240"/>
      <c r="L426" s="240"/>
      <c r="M426" s="240"/>
      <c r="N426" s="242"/>
      <c r="O426" s="243"/>
      <c r="P426" s="243"/>
      <c r="Q426" s="243"/>
      <c r="R426" s="243"/>
      <c r="S426" s="243"/>
      <c r="T426" s="245"/>
      <c r="U426" s="246" t="str">
        <f>IF($T426="", "", VLOOKUP($T426, CONTRATOS!$B:$E, 2, FALSE))</f>
        <v/>
      </c>
      <c r="V426" s="247">
        <f>IF(OR($T426="",TB_DEFESA!$C$2="Criação Baseline"),0,
   IF(VLOOKUP($T426, CONTRATOS!B:E, 3, FALSE)&lt;&gt;"",1,IF(VLOOKUP($T426, CONTRATOS!B:E, 4, FALSE)&lt;&gt;"",2,0)))</f>
        <v>0</v>
      </c>
      <c r="W426" s="248"/>
      <c r="X426" s="248"/>
      <c r="Y426" s="249"/>
      <c r="Z426" s="250"/>
      <c r="AA426" s="251"/>
      <c r="AB426" s="252"/>
      <c r="AC426" s="253"/>
      <c r="AD426" s="251"/>
      <c r="AE426" s="254" t="str">
        <f t="shared" si="279"/>
        <v/>
      </c>
      <c r="AF426" s="256" t="str">
        <f t="shared" si="290"/>
        <v/>
      </c>
      <c r="AG426" s="293" t="s">
        <v>62</v>
      </c>
      <c r="AH426" s="294" t="str">
        <f t="shared" si="291"/>
        <v/>
      </c>
      <c r="AI426" s="294" t="str">
        <f t="shared" si="292"/>
        <v/>
      </c>
      <c r="AJ426" s="295" t="str">
        <f t="shared" si="293"/>
        <v/>
      </c>
      <c r="AK426" s="296" t="str">
        <f t="shared" si="294"/>
        <v/>
      </c>
      <c r="AL426" s="297" t="str">
        <f t="shared" si="295"/>
        <v/>
      </c>
      <c r="AM426" s="294" t="str">
        <f t="shared" si="296"/>
        <v/>
      </c>
      <c r="AN426" s="294" t="str">
        <f t="shared" si="297"/>
        <v/>
      </c>
      <c r="AO426" s="298" t="str">
        <f t="shared" si="298"/>
        <v/>
      </c>
      <c r="AP426" s="299" t="str">
        <f t="shared" si="299"/>
        <v/>
      </c>
      <c r="AQ426" s="299" t="str">
        <f t="shared" si="300"/>
        <v/>
      </c>
      <c r="AR426" s="300" t="str">
        <f t="shared" si="280"/>
        <v/>
      </c>
      <c r="AS426" s="300" t="str">
        <f t="shared" si="281"/>
        <v/>
      </c>
      <c r="AT426" s="294" t="str">
        <f t="shared" si="282"/>
        <v/>
      </c>
      <c r="AU426" s="301" t="str">
        <f>IF(OR($B426="", $AP426= ""),"",IF(VLOOKUP($AP426, CONTRATOS!B:K,3,FALSE)="","",VLOOKUP($AP426, CONTRATOS!B:K, 3,FALSE)))</f>
        <v/>
      </c>
      <c r="AV426" s="301" t="str">
        <f>IF(OR($B426="", $AP426 = ""), "", IF(VLOOKUP($AP426, CONTRATOS!B:K,4,FALSE)="","",VLOOKUP($AP426, CONTRATOS!B:K,4, FALSE)))</f>
        <v/>
      </c>
      <c r="AW426" s="302" t="str">
        <f t="shared" si="283"/>
        <v/>
      </c>
      <c r="AX426" s="301" t="str">
        <f t="shared" si="284"/>
        <v/>
      </c>
      <c r="AY426" s="301" t="str">
        <f t="shared" si="285"/>
        <v/>
      </c>
      <c r="AZ426" s="301" t="str">
        <f t="shared" si="286"/>
        <v/>
      </c>
      <c r="BA426" s="301" t="str">
        <f t="shared" si="287"/>
        <v/>
      </c>
      <c r="BB426" s="303">
        <f t="shared" si="301"/>
        <v>0</v>
      </c>
      <c r="BC426" s="303" t="str">
        <f t="shared" si="302"/>
        <v/>
      </c>
      <c r="BD426" s="303" t="str">
        <f t="shared" si="303"/>
        <v/>
      </c>
      <c r="BF426" s="304">
        <f t="shared" si="304"/>
        <v>0</v>
      </c>
      <c r="BG426" s="304">
        <f t="shared" si="305"/>
        <v>0</v>
      </c>
      <c r="BH426" s="304" t="str">
        <f>IF( $B426="", "", IF(ISNA(VLOOKUP($C426, Defesa!$C$8:$C$30,1,FALSE)),1,0))</f>
        <v/>
      </c>
      <c r="BI426" s="305" t="str">
        <f t="shared" si="306"/>
        <v/>
      </c>
      <c r="BJ426" s="305" t="str">
        <f t="shared" si="307"/>
        <v/>
      </c>
      <c r="BK426" s="304" t="str">
        <f t="shared" si="308"/>
        <v/>
      </c>
      <c r="BL426" s="304">
        <f t="shared" si="309"/>
        <v>0</v>
      </c>
      <c r="BM426" s="304" t="str">
        <f>IF($AC426="", "", IF(ISNA(VLOOKUP($AC426, TABELAS!$Q:$Q, 1, FALSE)), 1, 0))</f>
        <v/>
      </c>
      <c r="BN426" s="306" t="str">
        <f t="shared" si="310"/>
        <v/>
      </c>
      <c r="BO426" s="304" t="str">
        <f t="shared" si="311"/>
        <v/>
      </c>
      <c r="BP426" s="304" t="str">
        <f t="shared" si="312"/>
        <v/>
      </c>
      <c r="BQ426" s="305" t="str">
        <f t="shared" si="313"/>
        <v/>
      </c>
      <c r="BR426" s="304" t="str">
        <f t="shared" si="314"/>
        <v/>
      </c>
      <c r="BS426" s="304" t="str">
        <f t="shared" si="315"/>
        <v/>
      </c>
      <c r="BT426" s="304" t="str">
        <f>IF(OR($B426="", $AH426 = "SIM"), "", IF( ISNA(VLOOKUP($AP426,#REF!, 1, FALSE)), 1, 0))</f>
        <v/>
      </c>
      <c r="BU426" s="304" t="str">
        <f t="shared" si="316"/>
        <v/>
      </c>
      <c r="BV426" s="304" t="str">
        <f>IF( $B426="", "", IF( ISNA(VLOOKUP($AN426, TABELAS!$T$2:$T$9,1,FALSE)), 1, 0))</f>
        <v/>
      </c>
      <c r="BW426" s="304" t="str">
        <f t="shared" si="317"/>
        <v/>
      </c>
      <c r="BX426" s="304" t="str">
        <f>IF( OR($B426="", $AH426 = "SIM"), "", IF( ISNA( VLOOKUP( $AQ426, SISTEMA!$B:$B, 1, FALSE)), 1, 0))</f>
        <v/>
      </c>
      <c r="BY426" s="305" t="str">
        <f t="shared" si="318"/>
        <v/>
      </c>
      <c r="BZ426" s="305" t="str">
        <f t="shared" si="319"/>
        <v/>
      </c>
      <c r="CA426" s="304" t="str">
        <f t="shared" si="320"/>
        <v/>
      </c>
      <c r="CB426" s="305" t="str">
        <f t="shared" si="321"/>
        <v/>
      </c>
      <c r="CC426" s="305" t="str">
        <f t="shared" si="322"/>
        <v/>
      </c>
      <c r="CD426" s="305" t="str">
        <f t="shared" si="323"/>
        <v/>
      </c>
    </row>
    <row r="427" spans="1:82" x14ac:dyDescent="0.2">
      <c r="A427" s="235"/>
      <c r="B427" s="236" t="str">
        <f t="shared" si="288"/>
        <v/>
      </c>
      <c r="C427" s="237" t="str">
        <f t="shared" si="278"/>
        <v/>
      </c>
      <c r="D427" s="237" t="str">
        <f t="shared" si="289"/>
        <v/>
      </c>
      <c r="E427" s="237" t="str">
        <f>IF($C427="", "", COUNTIF($M$8:$M427,$D427))</f>
        <v/>
      </c>
      <c r="F427" s="238">
        <v>420</v>
      </c>
      <c r="G427" s="239"/>
      <c r="H427" s="240"/>
      <c r="I427" s="240"/>
      <c r="J427" s="241"/>
      <c r="K427" s="240"/>
      <c r="L427" s="240"/>
      <c r="M427" s="240"/>
      <c r="N427" s="242"/>
      <c r="O427" s="243"/>
      <c r="P427" s="243"/>
      <c r="Q427" s="243"/>
      <c r="R427" s="243"/>
      <c r="S427" s="243"/>
      <c r="T427" s="245"/>
      <c r="U427" s="246" t="str">
        <f>IF($T427="", "", VLOOKUP($T427, CONTRATOS!$B:$E, 2, FALSE))</f>
        <v/>
      </c>
      <c r="V427" s="247">
        <f>IF(OR($T427="",TB_DEFESA!$C$2="Criação Baseline"),0,
   IF(VLOOKUP($T427, CONTRATOS!B:E, 3, FALSE)&lt;&gt;"",1,IF(VLOOKUP($T427, CONTRATOS!B:E, 4, FALSE)&lt;&gt;"",2,0)))</f>
        <v>0</v>
      </c>
      <c r="W427" s="248"/>
      <c r="X427" s="248"/>
      <c r="Y427" s="249"/>
      <c r="Z427" s="250"/>
      <c r="AA427" s="251"/>
      <c r="AB427" s="252"/>
      <c r="AC427" s="253"/>
      <c r="AD427" s="251"/>
      <c r="AE427" s="254" t="str">
        <f t="shared" si="279"/>
        <v/>
      </c>
      <c r="AF427" s="256" t="str">
        <f t="shared" si="290"/>
        <v/>
      </c>
      <c r="AG427" s="293" t="s">
        <v>62</v>
      </c>
      <c r="AH427" s="294" t="str">
        <f t="shared" si="291"/>
        <v/>
      </c>
      <c r="AI427" s="294" t="str">
        <f t="shared" si="292"/>
        <v/>
      </c>
      <c r="AJ427" s="295" t="str">
        <f t="shared" si="293"/>
        <v/>
      </c>
      <c r="AK427" s="296" t="str">
        <f t="shared" si="294"/>
        <v/>
      </c>
      <c r="AL427" s="297" t="str">
        <f t="shared" si="295"/>
        <v/>
      </c>
      <c r="AM427" s="294" t="str">
        <f t="shared" si="296"/>
        <v/>
      </c>
      <c r="AN427" s="294" t="str">
        <f t="shared" si="297"/>
        <v/>
      </c>
      <c r="AO427" s="298" t="str">
        <f t="shared" si="298"/>
        <v/>
      </c>
      <c r="AP427" s="299" t="str">
        <f t="shared" si="299"/>
        <v/>
      </c>
      <c r="AQ427" s="299" t="str">
        <f t="shared" si="300"/>
        <v/>
      </c>
      <c r="AR427" s="300" t="str">
        <f t="shared" si="280"/>
        <v/>
      </c>
      <c r="AS427" s="300" t="str">
        <f t="shared" si="281"/>
        <v/>
      </c>
      <c r="AT427" s="294" t="str">
        <f t="shared" si="282"/>
        <v/>
      </c>
      <c r="AU427" s="301" t="str">
        <f>IF(OR($B427="", $AP427= ""),"",IF(VLOOKUP($AP427, CONTRATOS!B:K,3,FALSE)="","",VLOOKUP($AP427, CONTRATOS!B:K, 3,FALSE)))</f>
        <v/>
      </c>
      <c r="AV427" s="301" t="str">
        <f>IF(OR($B427="", $AP427 = ""), "", IF(VLOOKUP($AP427, CONTRATOS!B:K,4,FALSE)="","",VLOOKUP($AP427, CONTRATOS!B:K,4, FALSE)))</f>
        <v/>
      </c>
      <c r="AW427" s="302" t="str">
        <f t="shared" si="283"/>
        <v/>
      </c>
      <c r="AX427" s="301" t="str">
        <f t="shared" si="284"/>
        <v/>
      </c>
      <c r="AY427" s="301" t="str">
        <f t="shared" si="285"/>
        <v/>
      </c>
      <c r="AZ427" s="301" t="str">
        <f t="shared" si="286"/>
        <v/>
      </c>
      <c r="BA427" s="301" t="str">
        <f t="shared" si="287"/>
        <v/>
      </c>
      <c r="BB427" s="303">
        <f t="shared" si="301"/>
        <v>0</v>
      </c>
      <c r="BC427" s="303" t="str">
        <f t="shared" si="302"/>
        <v/>
      </c>
      <c r="BD427" s="303" t="str">
        <f t="shared" si="303"/>
        <v/>
      </c>
      <c r="BF427" s="304">
        <f t="shared" si="304"/>
        <v>0</v>
      </c>
      <c r="BG427" s="304">
        <f t="shared" si="305"/>
        <v>0</v>
      </c>
      <c r="BH427" s="304" t="str">
        <f>IF( $B427="", "", IF(ISNA(VLOOKUP($C427, Defesa!$C$8:$C$30,1,FALSE)),1,0))</f>
        <v/>
      </c>
      <c r="BI427" s="305" t="str">
        <f t="shared" si="306"/>
        <v/>
      </c>
      <c r="BJ427" s="305" t="str">
        <f t="shared" si="307"/>
        <v/>
      </c>
      <c r="BK427" s="304" t="str">
        <f t="shared" si="308"/>
        <v/>
      </c>
      <c r="BL427" s="304">
        <f t="shared" si="309"/>
        <v>0</v>
      </c>
      <c r="BM427" s="304" t="str">
        <f>IF($AC427="", "", IF(ISNA(VLOOKUP($AC427, TABELAS!$Q:$Q, 1, FALSE)), 1, 0))</f>
        <v/>
      </c>
      <c r="BN427" s="306" t="str">
        <f t="shared" si="310"/>
        <v/>
      </c>
      <c r="BO427" s="304" t="str">
        <f t="shared" si="311"/>
        <v/>
      </c>
      <c r="BP427" s="304" t="str">
        <f t="shared" si="312"/>
        <v/>
      </c>
      <c r="BQ427" s="305" t="str">
        <f t="shared" si="313"/>
        <v/>
      </c>
      <c r="BR427" s="304" t="str">
        <f t="shared" si="314"/>
        <v/>
      </c>
      <c r="BS427" s="304" t="str">
        <f t="shared" si="315"/>
        <v/>
      </c>
      <c r="BT427" s="304" t="str">
        <f>IF(OR($B427="", $AH427 = "SIM"), "", IF( ISNA(VLOOKUP($AP427,#REF!, 1, FALSE)), 1, 0))</f>
        <v/>
      </c>
      <c r="BU427" s="304" t="str">
        <f t="shared" si="316"/>
        <v/>
      </c>
      <c r="BV427" s="304" t="str">
        <f>IF( $B427="", "", IF( ISNA(VLOOKUP($AN427, TABELAS!$T$2:$T$9,1,FALSE)), 1, 0))</f>
        <v/>
      </c>
      <c r="BW427" s="304" t="str">
        <f t="shared" si="317"/>
        <v/>
      </c>
      <c r="BX427" s="304" t="str">
        <f>IF( OR($B427="", $AH427 = "SIM"), "", IF( ISNA( VLOOKUP( $AQ427, SISTEMA!$B:$B, 1, FALSE)), 1, 0))</f>
        <v/>
      </c>
      <c r="BY427" s="305" t="str">
        <f t="shared" si="318"/>
        <v/>
      </c>
      <c r="BZ427" s="305" t="str">
        <f t="shared" si="319"/>
        <v/>
      </c>
      <c r="CA427" s="304" t="str">
        <f t="shared" si="320"/>
        <v/>
      </c>
      <c r="CB427" s="305" t="str">
        <f t="shared" si="321"/>
        <v/>
      </c>
      <c r="CC427" s="305" t="str">
        <f t="shared" si="322"/>
        <v/>
      </c>
      <c r="CD427" s="305" t="str">
        <f t="shared" si="323"/>
        <v/>
      </c>
    </row>
    <row r="428" spans="1:82" x14ac:dyDescent="0.2">
      <c r="A428" s="235"/>
      <c r="B428" s="236" t="str">
        <f t="shared" si="288"/>
        <v/>
      </c>
      <c r="C428" s="237" t="str">
        <f t="shared" si="278"/>
        <v/>
      </c>
      <c r="D428" s="237" t="str">
        <f t="shared" si="289"/>
        <v/>
      </c>
      <c r="E428" s="237" t="str">
        <f>IF($C428="", "", COUNTIF($M$8:$M428,$D428))</f>
        <v/>
      </c>
      <c r="F428" s="238">
        <v>421</v>
      </c>
      <c r="G428" s="239"/>
      <c r="H428" s="240"/>
      <c r="I428" s="240"/>
      <c r="J428" s="241"/>
      <c r="K428" s="240"/>
      <c r="L428" s="240"/>
      <c r="M428" s="240"/>
      <c r="N428" s="242"/>
      <c r="O428" s="243"/>
      <c r="P428" s="243"/>
      <c r="Q428" s="243"/>
      <c r="R428" s="243"/>
      <c r="S428" s="243"/>
      <c r="T428" s="245"/>
      <c r="U428" s="246" t="str">
        <f>IF($T428="", "", VLOOKUP($T428, CONTRATOS!$B:$E, 2, FALSE))</f>
        <v/>
      </c>
      <c r="V428" s="247">
        <f>IF(OR($T428="",TB_DEFESA!$C$2="Criação Baseline"),0,
   IF(VLOOKUP($T428, CONTRATOS!B:E, 3, FALSE)&lt;&gt;"",1,IF(VLOOKUP($T428, CONTRATOS!B:E, 4, FALSE)&lt;&gt;"",2,0)))</f>
        <v>0</v>
      </c>
      <c r="W428" s="248"/>
      <c r="X428" s="248"/>
      <c r="Y428" s="249"/>
      <c r="Z428" s="250"/>
      <c r="AA428" s="251"/>
      <c r="AB428" s="252"/>
      <c r="AC428" s="253"/>
      <c r="AD428" s="251"/>
      <c r="AE428" s="254" t="str">
        <f t="shared" si="279"/>
        <v/>
      </c>
      <c r="AF428" s="256" t="str">
        <f t="shared" si="290"/>
        <v/>
      </c>
      <c r="AG428" s="293" t="s">
        <v>62</v>
      </c>
      <c r="AH428" s="294" t="str">
        <f t="shared" si="291"/>
        <v/>
      </c>
      <c r="AI428" s="294" t="str">
        <f t="shared" si="292"/>
        <v/>
      </c>
      <c r="AJ428" s="295" t="str">
        <f t="shared" si="293"/>
        <v/>
      </c>
      <c r="AK428" s="296" t="str">
        <f t="shared" si="294"/>
        <v/>
      </c>
      <c r="AL428" s="297" t="str">
        <f t="shared" si="295"/>
        <v/>
      </c>
      <c r="AM428" s="294" t="str">
        <f t="shared" si="296"/>
        <v/>
      </c>
      <c r="AN428" s="294" t="str">
        <f t="shared" si="297"/>
        <v/>
      </c>
      <c r="AO428" s="298" t="str">
        <f t="shared" si="298"/>
        <v/>
      </c>
      <c r="AP428" s="299" t="str">
        <f t="shared" si="299"/>
        <v/>
      </c>
      <c r="AQ428" s="299" t="str">
        <f t="shared" si="300"/>
        <v/>
      </c>
      <c r="AR428" s="300" t="str">
        <f t="shared" si="280"/>
        <v/>
      </c>
      <c r="AS428" s="300" t="str">
        <f t="shared" si="281"/>
        <v/>
      </c>
      <c r="AT428" s="294" t="str">
        <f t="shared" si="282"/>
        <v/>
      </c>
      <c r="AU428" s="301" t="str">
        <f>IF(OR($B428="", $AP428= ""),"",IF(VLOOKUP($AP428, CONTRATOS!B:K,3,FALSE)="","",VLOOKUP($AP428, CONTRATOS!B:K, 3,FALSE)))</f>
        <v/>
      </c>
      <c r="AV428" s="301" t="str">
        <f>IF(OR($B428="", $AP428 = ""), "", IF(VLOOKUP($AP428, CONTRATOS!B:K,4,FALSE)="","",VLOOKUP($AP428, CONTRATOS!B:K,4, FALSE)))</f>
        <v/>
      </c>
      <c r="AW428" s="302" t="str">
        <f t="shared" si="283"/>
        <v/>
      </c>
      <c r="AX428" s="301" t="str">
        <f t="shared" si="284"/>
        <v/>
      </c>
      <c r="AY428" s="301" t="str">
        <f t="shared" si="285"/>
        <v/>
      </c>
      <c r="AZ428" s="301" t="str">
        <f t="shared" si="286"/>
        <v/>
      </c>
      <c r="BA428" s="301" t="str">
        <f t="shared" si="287"/>
        <v/>
      </c>
      <c r="BB428" s="303">
        <f t="shared" si="301"/>
        <v>0</v>
      </c>
      <c r="BC428" s="303" t="str">
        <f t="shared" si="302"/>
        <v/>
      </c>
      <c r="BD428" s="303" t="str">
        <f t="shared" si="303"/>
        <v/>
      </c>
      <c r="BF428" s="304">
        <f t="shared" si="304"/>
        <v>0</v>
      </c>
      <c r="BG428" s="304">
        <f t="shared" si="305"/>
        <v>0</v>
      </c>
      <c r="BH428" s="304" t="str">
        <f>IF( $B428="", "", IF(ISNA(VLOOKUP($C428, Defesa!$C$8:$C$30,1,FALSE)),1,0))</f>
        <v/>
      </c>
      <c r="BI428" s="305" t="str">
        <f t="shared" si="306"/>
        <v/>
      </c>
      <c r="BJ428" s="305" t="str">
        <f t="shared" si="307"/>
        <v/>
      </c>
      <c r="BK428" s="304" t="str">
        <f t="shared" si="308"/>
        <v/>
      </c>
      <c r="BL428" s="304">
        <f t="shared" si="309"/>
        <v>0</v>
      </c>
      <c r="BM428" s="304" t="str">
        <f>IF($AC428="", "", IF(ISNA(VLOOKUP($AC428, TABELAS!$Q:$Q, 1, FALSE)), 1, 0))</f>
        <v/>
      </c>
      <c r="BN428" s="306" t="str">
        <f t="shared" si="310"/>
        <v/>
      </c>
      <c r="BO428" s="304" t="str">
        <f t="shared" si="311"/>
        <v/>
      </c>
      <c r="BP428" s="304" t="str">
        <f t="shared" si="312"/>
        <v/>
      </c>
      <c r="BQ428" s="305" t="str">
        <f t="shared" si="313"/>
        <v/>
      </c>
      <c r="BR428" s="304" t="str">
        <f t="shared" si="314"/>
        <v/>
      </c>
      <c r="BS428" s="304" t="str">
        <f t="shared" si="315"/>
        <v/>
      </c>
      <c r="BT428" s="304" t="str">
        <f>IF(OR($B428="", $AH428 = "SIM"), "", IF( ISNA(VLOOKUP($AP428,#REF!, 1, FALSE)), 1, 0))</f>
        <v/>
      </c>
      <c r="BU428" s="304" t="str">
        <f t="shared" si="316"/>
        <v/>
      </c>
      <c r="BV428" s="304" t="str">
        <f>IF( $B428="", "", IF( ISNA(VLOOKUP($AN428, TABELAS!$T$2:$T$9,1,FALSE)), 1, 0))</f>
        <v/>
      </c>
      <c r="BW428" s="304" t="str">
        <f t="shared" si="317"/>
        <v/>
      </c>
      <c r="BX428" s="304" t="str">
        <f>IF( OR($B428="", $AH428 = "SIM"), "", IF( ISNA( VLOOKUP( $AQ428, SISTEMA!$B:$B, 1, FALSE)), 1, 0))</f>
        <v/>
      </c>
      <c r="BY428" s="305" t="str">
        <f t="shared" si="318"/>
        <v/>
      </c>
      <c r="BZ428" s="305" t="str">
        <f t="shared" si="319"/>
        <v/>
      </c>
      <c r="CA428" s="304" t="str">
        <f t="shared" si="320"/>
        <v/>
      </c>
      <c r="CB428" s="305" t="str">
        <f t="shared" si="321"/>
        <v/>
      </c>
      <c r="CC428" s="305" t="str">
        <f t="shared" si="322"/>
        <v/>
      </c>
      <c r="CD428" s="305" t="str">
        <f t="shared" si="323"/>
        <v/>
      </c>
    </row>
    <row r="429" spans="1:82" x14ac:dyDescent="0.2">
      <c r="A429" s="235"/>
      <c r="B429" s="236" t="str">
        <f t="shared" si="288"/>
        <v/>
      </c>
      <c r="C429" s="237" t="str">
        <f t="shared" si="278"/>
        <v/>
      </c>
      <c r="D429" s="237" t="str">
        <f t="shared" si="289"/>
        <v/>
      </c>
      <c r="E429" s="237" t="str">
        <f>IF($C429="", "", COUNTIF($M$8:$M429,$D429))</f>
        <v/>
      </c>
      <c r="F429" s="238">
        <v>422</v>
      </c>
      <c r="G429" s="239"/>
      <c r="H429" s="240"/>
      <c r="I429" s="240"/>
      <c r="J429" s="241"/>
      <c r="K429" s="240"/>
      <c r="L429" s="240"/>
      <c r="M429" s="240"/>
      <c r="N429" s="242"/>
      <c r="O429" s="243"/>
      <c r="P429" s="243"/>
      <c r="Q429" s="243"/>
      <c r="R429" s="243"/>
      <c r="S429" s="243"/>
      <c r="T429" s="245"/>
      <c r="U429" s="246" t="str">
        <f>IF($T429="", "", VLOOKUP($T429, CONTRATOS!$B:$E, 2, FALSE))</f>
        <v/>
      </c>
      <c r="V429" s="247">
        <f>IF(OR($T429="",TB_DEFESA!$C$2="Criação Baseline"),0,
   IF(VLOOKUP($T429, CONTRATOS!B:E, 3, FALSE)&lt;&gt;"",1,IF(VLOOKUP($T429, CONTRATOS!B:E, 4, FALSE)&lt;&gt;"",2,0)))</f>
        <v>0</v>
      </c>
      <c r="W429" s="248"/>
      <c r="X429" s="248"/>
      <c r="Y429" s="249"/>
      <c r="Z429" s="250"/>
      <c r="AA429" s="251"/>
      <c r="AB429" s="252"/>
      <c r="AC429" s="253"/>
      <c r="AD429" s="251"/>
      <c r="AE429" s="254" t="str">
        <f t="shared" si="279"/>
        <v/>
      </c>
      <c r="AF429" s="256" t="str">
        <f t="shared" si="290"/>
        <v/>
      </c>
      <c r="AG429" s="293" t="s">
        <v>62</v>
      </c>
      <c r="AH429" s="294" t="str">
        <f t="shared" si="291"/>
        <v/>
      </c>
      <c r="AI429" s="294" t="str">
        <f t="shared" si="292"/>
        <v/>
      </c>
      <c r="AJ429" s="295" t="str">
        <f t="shared" si="293"/>
        <v/>
      </c>
      <c r="AK429" s="296" t="str">
        <f t="shared" si="294"/>
        <v/>
      </c>
      <c r="AL429" s="297" t="str">
        <f t="shared" si="295"/>
        <v/>
      </c>
      <c r="AM429" s="294" t="str">
        <f t="shared" si="296"/>
        <v/>
      </c>
      <c r="AN429" s="294" t="str">
        <f t="shared" si="297"/>
        <v/>
      </c>
      <c r="AO429" s="298" t="str">
        <f t="shared" si="298"/>
        <v/>
      </c>
      <c r="AP429" s="299" t="str">
        <f t="shared" si="299"/>
        <v/>
      </c>
      <c r="AQ429" s="299" t="str">
        <f t="shared" si="300"/>
        <v/>
      </c>
      <c r="AR429" s="300" t="str">
        <f t="shared" si="280"/>
        <v/>
      </c>
      <c r="AS429" s="300" t="str">
        <f t="shared" si="281"/>
        <v/>
      </c>
      <c r="AT429" s="294" t="str">
        <f t="shared" si="282"/>
        <v/>
      </c>
      <c r="AU429" s="301" t="str">
        <f>IF(OR($B429="", $AP429= ""),"",IF(VLOOKUP($AP429, CONTRATOS!B:K,3,FALSE)="","",VLOOKUP($AP429, CONTRATOS!B:K, 3,FALSE)))</f>
        <v/>
      </c>
      <c r="AV429" s="301" t="str">
        <f>IF(OR($B429="", $AP429 = ""), "", IF(VLOOKUP($AP429, CONTRATOS!B:K,4,FALSE)="","",VLOOKUP($AP429, CONTRATOS!B:K,4, FALSE)))</f>
        <v/>
      </c>
      <c r="AW429" s="302" t="str">
        <f t="shared" si="283"/>
        <v/>
      </c>
      <c r="AX429" s="301" t="str">
        <f t="shared" si="284"/>
        <v/>
      </c>
      <c r="AY429" s="301" t="str">
        <f t="shared" si="285"/>
        <v/>
      </c>
      <c r="AZ429" s="301" t="str">
        <f t="shared" si="286"/>
        <v/>
      </c>
      <c r="BA429" s="301" t="str">
        <f t="shared" si="287"/>
        <v/>
      </c>
      <c r="BB429" s="303">
        <f t="shared" si="301"/>
        <v>0</v>
      </c>
      <c r="BC429" s="303" t="str">
        <f t="shared" si="302"/>
        <v/>
      </c>
      <c r="BD429" s="303" t="str">
        <f t="shared" si="303"/>
        <v/>
      </c>
      <c r="BF429" s="304">
        <f t="shared" si="304"/>
        <v>0</v>
      </c>
      <c r="BG429" s="304">
        <f t="shared" si="305"/>
        <v>0</v>
      </c>
      <c r="BH429" s="304" t="str">
        <f>IF( $B429="", "", IF(ISNA(VLOOKUP($C429, Defesa!$C$8:$C$30,1,FALSE)),1,0))</f>
        <v/>
      </c>
      <c r="BI429" s="305" t="str">
        <f t="shared" si="306"/>
        <v/>
      </c>
      <c r="BJ429" s="305" t="str">
        <f t="shared" si="307"/>
        <v/>
      </c>
      <c r="BK429" s="304" t="str">
        <f t="shared" si="308"/>
        <v/>
      </c>
      <c r="BL429" s="304">
        <f t="shared" si="309"/>
        <v>0</v>
      </c>
      <c r="BM429" s="304" t="str">
        <f>IF($AC429="", "", IF(ISNA(VLOOKUP($AC429, TABELAS!$Q:$Q, 1, FALSE)), 1, 0))</f>
        <v/>
      </c>
      <c r="BN429" s="306" t="str">
        <f t="shared" si="310"/>
        <v/>
      </c>
      <c r="BO429" s="304" t="str">
        <f t="shared" si="311"/>
        <v/>
      </c>
      <c r="BP429" s="304" t="str">
        <f t="shared" si="312"/>
        <v/>
      </c>
      <c r="BQ429" s="305" t="str">
        <f t="shared" si="313"/>
        <v/>
      </c>
      <c r="BR429" s="304" t="str">
        <f t="shared" si="314"/>
        <v/>
      </c>
      <c r="BS429" s="304" t="str">
        <f t="shared" si="315"/>
        <v/>
      </c>
      <c r="BT429" s="304" t="str">
        <f>IF(OR($B429="", $AH429 = "SIM"), "", IF( ISNA(VLOOKUP($AP429,#REF!, 1, FALSE)), 1, 0))</f>
        <v/>
      </c>
      <c r="BU429" s="304" t="str">
        <f t="shared" si="316"/>
        <v/>
      </c>
      <c r="BV429" s="304" t="str">
        <f>IF( $B429="", "", IF( ISNA(VLOOKUP($AN429, TABELAS!$T$2:$T$9,1,FALSE)), 1, 0))</f>
        <v/>
      </c>
      <c r="BW429" s="304" t="str">
        <f t="shared" si="317"/>
        <v/>
      </c>
      <c r="BX429" s="304" t="str">
        <f>IF( OR($B429="", $AH429 = "SIM"), "", IF( ISNA( VLOOKUP( $AQ429, SISTEMA!$B:$B, 1, FALSE)), 1, 0))</f>
        <v/>
      </c>
      <c r="BY429" s="305" t="str">
        <f t="shared" si="318"/>
        <v/>
      </c>
      <c r="BZ429" s="305" t="str">
        <f t="shared" si="319"/>
        <v/>
      </c>
      <c r="CA429" s="304" t="str">
        <f t="shared" si="320"/>
        <v/>
      </c>
      <c r="CB429" s="305" t="str">
        <f t="shared" si="321"/>
        <v/>
      </c>
      <c r="CC429" s="305" t="str">
        <f t="shared" si="322"/>
        <v/>
      </c>
      <c r="CD429" s="305" t="str">
        <f t="shared" si="323"/>
        <v/>
      </c>
    </row>
    <row r="430" spans="1:82" x14ac:dyDescent="0.2">
      <c r="A430" s="235"/>
      <c r="B430" s="236" t="str">
        <f t="shared" si="288"/>
        <v/>
      </c>
      <c r="C430" s="237" t="str">
        <f t="shared" si="278"/>
        <v/>
      </c>
      <c r="D430" s="237" t="str">
        <f t="shared" si="289"/>
        <v/>
      </c>
      <c r="E430" s="237" t="str">
        <f>IF($C430="", "", COUNTIF($M$8:$M430,$D430))</f>
        <v/>
      </c>
      <c r="F430" s="238">
        <v>423</v>
      </c>
      <c r="G430" s="239"/>
      <c r="H430" s="240"/>
      <c r="I430" s="240"/>
      <c r="J430" s="241"/>
      <c r="K430" s="240"/>
      <c r="L430" s="240"/>
      <c r="M430" s="240"/>
      <c r="N430" s="242"/>
      <c r="O430" s="243"/>
      <c r="P430" s="243"/>
      <c r="Q430" s="243"/>
      <c r="R430" s="243"/>
      <c r="S430" s="243"/>
      <c r="T430" s="245"/>
      <c r="U430" s="246" t="str">
        <f>IF($T430="", "", VLOOKUP($T430, CONTRATOS!$B:$E, 2, FALSE))</f>
        <v/>
      </c>
      <c r="V430" s="247">
        <f>IF(OR($T430="",TB_DEFESA!$C$2="Criação Baseline"),0,
   IF(VLOOKUP($T430, CONTRATOS!B:E, 3, FALSE)&lt;&gt;"",1,IF(VLOOKUP($T430, CONTRATOS!B:E, 4, FALSE)&lt;&gt;"",2,0)))</f>
        <v>0</v>
      </c>
      <c r="W430" s="248"/>
      <c r="X430" s="248"/>
      <c r="Y430" s="249"/>
      <c r="Z430" s="250"/>
      <c r="AA430" s="251"/>
      <c r="AB430" s="252"/>
      <c r="AC430" s="253"/>
      <c r="AD430" s="251"/>
      <c r="AE430" s="254" t="str">
        <f t="shared" si="279"/>
        <v/>
      </c>
      <c r="AF430" s="256" t="str">
        <f t="shared" si="290"/>
        <v/>
      </c>
      <c r="AG430" s="293" t="s">
        <v>62</v>
      </c>
      <c r="AH430" s="294" t="str">
        <f t="shared" si="291"/>
        <v/>
      </c>
      <c r="AI430" s="294" t="str">
        <f t="shared" si="292"/>
        <v/>
      </c>
      <c r="AJ430" s="295" t="str">
        <f t="shared" si="293"/>
        <v/>
      </c>
      <c r="AK430" s="296" t="str">
        <f t="shared" si="294"/>
        <v/>
      </c>
      <c r="AL430" s="297" t="str">
        <f t="shared" si="295"/>
        <v/>
      </c>
      <c r="AM430" s="294" t="str">
        <f t="shared" si="296"/>
        <v/>
      </c>
      <c r="AN430" s="294" t="str">
        <f t="shared" si="297"/>
        <v/>
      </c>
      <c r="AO430" s="298" t="str">
        <f t="shared" si="298"/>
        <v/>
      </c>
      <c r="AP430" s="299" t="str">
        <f t="shared" si="299"/>
        <v/>
      </c>
      <c r="AQ430" s="299" t="str">
        <f t="shared" si="300"/>
        <v/>
      </c>
      <c r="AR430" s="300" t="str">
        <f t="shared" si="280"/>
        <v/>
      </c>
      <c r="AS430" s="300" t="str">
        <f t="shared" si="281"/>
        <v/>
      </c>
      <c r="AT430" s="294" t="str">
        <f t="shared" si="282"/>
        <v/>
      </c>
      <c r="AU430" s="301" t="str">
        <f>IF(OR($B430="", $AP430= ""),"",IF(VLOOKUP($AP430, CONTRATOS!B:K,3,FALSE)="","",VLOOKUP($AP430, CONTRATOS!B:K, 3,FALSE)))</f>
        <v/>
      </c>
      <c r="AV430" s="301" t="str">
        <f>IF(OR($B430="", $AP430 = ""), "", IF(VLOOKUP($AP430, CONTRATOS!B:K,4,FALSE)="","",VLOOKUP($AP430, CONTRATOS!B:K,4, FALSE)))</f>
        <v/>
      </c>
      <c r="AW430" s="302" t="str">
        <f t="shared" si="283"/>
        <v/>
      </c>
      <c r="AX430" s="301" t="str">
        <f t="shared" si="284"/>
        <v/>
      </c>
      <c r="AY430" s="301" t="str">
        <f t="shared" si="285"/>
        <v/>
      </c>
      <c r="AZ430" s="301" t="str">
        <f t="shared" si="286"/>
        <v/>
      </c>
      <c r="BA430" s="301" t="str">
        <f t="shared" si="287"/>
        <v/>
      </c>
      <c r="BB430" s="303">
        <f t="shared" si="301"/>
        <v>0</v>
      </c>
      <c r="BC430" s="303" t="str">
        <f t="shared" si="302"/>
        <v/>
      </c>
      <c r="BD430" s="303" t="str">
        <f t="shared" si="303"/>
        <v/>
      </c>
      <c r="BF430" s="304">
        <f t="shared" si="304"/>
        <v>0</v>
      </c>
      <c r="BG430" s="304">
        <f t="shared" si="305"/>
        <v>0</v>
      </c>
      <c r="BH430" s="304" t="str">
        <f>IF( $B430="", "", IF(ISNA(VLOOKUP($C430, Defesa!$C$8:$C$30,1,FALSE)),1,0))</f>
        <v/>
      </c>
      <c r="BI430" s="305" t="str">
        <f t="shared" si="306"/>
        <v/>
      </c>
      <c r="BJ430" s="305" t="str">
        <f t="shared" si="307"/>
        <v/>
      </c>
      <c r="BK430" s="304" t="str">
        <f t="shared" si="308"/>
        <v/>
      </c>
      <c r="BL430" s="304">
        <f t="shared" si="309"/>
        <v>0</v>
      </c>
      <c r="BM430" s="304" t="str">
        <f>IF($AC430="", "", IF(ISNA(VLOOKUP($AC430, TABELAS!$Q:$Q, 1, FALSE)), 1, 0))</f>
        <v/>
      </c>
      <c r="BN430" s="306" t="str">
        <f t="shared" si="310"/>
        <v/>
      </c>
      <c r="BO430" s="304" t="str">
        <f t="shared" si="311"/>
        <v/>
      </c>
      <c r="BP430" s="304" t="str">
        <f t="shared" si="312"/>
        <v/>
      </c>
      <c r="BQ430" s="305" t="str">
        <f t="shared" si="313"/>
        <v/>
      </c>
      <c r="BR430" s="304" t="str">
        <f t="shared" si="314"/>
        <v/>
      </c>
      <c r="BS430" s="304" t="str">
        <f t="shared" si="315"/>
        <v/>
      </c>
      <c r="BT430" s="304" t="str">
        <f>IF(OR($B430="", $AH430 = "SIM"), "", IF( ISNA(VLOOKUP($AP430,#REF!, 1, FALSE)), 1, 0))</f>
        <v/>
      </c>
      <c r="BU430" s="304" t="str">
        <f t="shared" si="316"/>
        <v/>
      </c>
      <c r="BV430" s="304" t="str">
        <f>IF( $B430="", "", IF( ISNA(VLOOKUP($AN430, TABELAS!$T$2:$T$9,1,FALSE)), 1, 0))</f>
        <v/>
      </c>
      <c r="BW430" s="304" t="str">
        <f t="shared" si="317"/>
        <v/>
      </c>
      <c r="BX430" s="304" t="str">
        <f>IF( OR($B430="", $AH430 = "SIM"), "", IF( ISNA( VLOOKUP( $AQ430, SISTEMA!$B:$B, 1, FALSE)), 1, 0))</f>
        <v/>
      </c>
      <c r="BY430" s="305" t="str">
        <f t="shared" si="318"/>
        <v/>
      </c>
      <c r="BZ430" s="305" t="str">
        <f t="shared" si="319"/>
        <v/>
      </c>
      <c r="CA430" s="304" t="str">
        <f t="shared" si="320"/>
        <v/>
      </c>
      <c r="CB430" s="305" t="str">
        <f t="shared" si="321"/>
        <v/>
      </c>
      <c r="CC430" s="305" t="str">
        <f t="shared" si="322"/>
        <v/>
      </c>
      <c r="CD430" s="305" t="str">
        <f t="shared" si="323"/>
        <v/>
      </c>
    </row>
    <row r="431" spans="1:82" x14ac:dyDescent="0.2">
      <c r="A431" s="235"/>
      <c r="B431" s="236" t="str">
        <f t="shared" si="288"/>
        <v/>
      </c>
      <c r="C431" s="237" t="str">
        <f t="shared" si="278"/>
        <v/>
      </c>
      <c r="D431" s="237" t="str">
        <f t="shared" si="289"/>
        <v/>
      </c>
      <c r="E431" s="237" t="str">
        <f>IF($C431="", "", COUNTIF($M$8:$M431,$D431))</f>
        <v/>
      </c>
      <c r="F431" s="238">
        <v>424</v>
      </c>
      <c r="G431" s="239"/>
      <c r="H431" s="240"/>
      <c r="I431" s="240"/>
      <c r="J431" s="241"/>
      <c r="K431" s="240"/>
      <c r="L431" s="240"/>
      <c r="M431" s="240"/>
      <c r="N431" s="242"/>
      <c r="O431" s="243"/>
      <c r="P431" s="243"/>
      <c r="Q431" s="243"/>
      <c r="R431" s="243"/>
      <c r="S431" s="243"/>
      <c r="T431" s="245"/>
      <c r="U431" s="246" t="str">
        <f>IF($T431="", "", VLOOKUP($T431, CONTRATOS!$B:$E, 2, FALSE))</f>
        <v/>
      </c>
      <c r="V431" s="247">
        <f>IF(OR($T431="",TB_DEFESA!$C$2="Criação Baseline"),0,
   IF(VLOOKUP($T431, CONTRATOS!B:E, 3, FALSE)&lt;&gt;"",1,IF(VLOOKUP($T431, CONTRATOS!B:E, 4, FALSE)&lt;&gt;"",2,0)))</f>
        <v>0</v>
      </c>
      <c r="W431" s="248"/>
      <c r="X431" s="248"/>
      <c r="Y431" s="249"/>
      <c r="Z431" s="250"/>
      <c r="AA431" s="251"/>
      <c r="AB431" s="252"/>
      <c r="AC431" s="253"/>
      <c r="AD431" s="251"/>
      <c r="AE431" s="254" t="str">
        <f t="shared" si="279"/>
        <v/>
      </c>
      <c r="AF431" s="256" t="str">
        <f t="shared" si="290"/>
        <v/>
      </c>
      <c r="AG431" s="293" t="s">
        <v>62</v>
      </c>
      <c r="AH431" s="294" t="str">
        <f t="shared" si="291"/>
        <v/>
      </c>
      <c r="AI431" s="294" t="str">
        <f t="shared" si="292"/>
        <v/>
      </c>
      <c r="AJ431" s="295" t="str">
        <f t="shared" si="293"/>
        <v/>
      </c>
      <c r="AK431" s="296" t="str">
        <f t="shared" si="294"/>
        <v/>
      </c>
      <c r="AL431" s="297" t="str">
        <f t="shared" si="295"/>
        <v/>
      </c>
      <c r="AM431" s="294" t="str">
        <f t="shared" si="296"/>
        <v/>
      </c>
      <c r="AN431" s="294" t="str">
        <f t="shared" si="297"/>
        <v/>
      </c>
      <c r="AO431" s="298" t="str">
        <f t="shared" si="298"/>
        <v/>
      </c>
      <c r="AP431" s="299" t="str">
        <f t="shared" si="299"/>
        <v/>
      </c>
      <c r="AQ431" s="299" t="str">
        <f t="shared" si="300"/>
        <v/>
      </c>
      <c r="AR431" s="300" t="str">
        <f t="shared" si="280"/>
        <v/>
      </c>
      <c r="AS431" s="300" t="str">
        <f t="shared" si="281"/>
        <v/>
      </c>
      <c r="AT431" s="294" t="str">
        <f t="shared" si="282"/>
        <v/>
      </c>
      <c r="AU431" s="301" t="str">
        <f>IF(OR($B431="", $AP431= ""),"",IF(VLOOKUP($AP431, CONTRATOS!B:K,3,FALSE)="","",VLOOKUP($AP431, CONTRATOS!B:K, 3,FALSE)))</f>
        <v/>
      </c>
      <c r="AV431" s="301" t="str">
        <f>IF(OR($B431="", $AP431 = ""), "", IF(VLOOKUP($AP431, CONTRATOS!B:K,4,FALSE)="","",VLOOKUP($AP431, CONTRATOS!B:K,4, FALSE)))</f>
        <v/>
      </c>
      <c r="AW431" s="302" t="str">
        <f t="shared" si="283"/>
        <v/>
      </c>
      <c r="AX431" s="301" t="str">
        <f t="shared" si="284"/>
        <v/>
      </c>
      <c r="AY431" s="301" t="str">
        <f t="shared" si="285"/>
        <v/>
      </c>
      <c r="AZ431" s="301" t="str">
        <f t="shared" si="286"/>
        <v/>
      </c>
      <c r="BA431" s="301" t="str">
        <f t="shared" si="287"/>
        <v/>
      </c>
      <c r="BB431" s="303">
        <f t="shared" si="301"/>
        <v>0</v>
      </c>
      <c r="BC431" s="303" t="str">
        <f t="shared" si="302"/>
        <v/>
      </c>
      <c r="BD431" s="303" t="str">
        <f t="shared" si="303"/>
        <v/>
      </c>
      <c r="BF431" s="304">
        <f t="shared" si="304"/>
        <v>0</v>
      </c>
      <c r="BG431" s="304">
        <f t="shared" si="305"/>
        <v>0</v>
      </c>
      <c r="BH431" s="304" t="str">
        <f>IF( $B431="", "", IF(ISNA(VLOOKUP($C431, Defesa!$C$8:$C$30,1,FALSE)),1,0))</f>
        <v/>
      </c>
      <c r="BI431" s="305" t="str">
        <f t="shared" si="306"/>
        <v/>
      </c>
      <c r="BJ431" s="305" t="str">
        <f t="shared" si="307"/>
        <v/>
      </c>
      <c r="BK431" s="304" t="str">
        <f t="shared" si="308"/>
        <v/>
      </c>
      <c r="BL431" s="304">
        <f t="shared" si="309"/>
        <v>0</v>
      </c>
      <c r="BM431" s="304" t="str">
        <f>IF($AC431="", "", IF(ISNA(VLOOKUP($AC431, TABELAS!$Q:$Q, 1, FALSE)), 1, 0))</f>
        <v/>
      </c>
      <c r="BN431" s="306" t="str">
        <f t="shared" si="310"/>
        <v/>
      </c>
      <c r="BO431" s="304" t="str">
        <f t="shared" si="311"/>
        <v/>
      </c>
      <c r="BP431" s="304" t="str">
        <f t="shared" si="312"/>
        <v/>
      </c>
      <c r="BQ431" s="305" t="str">
        <f t="shared" si="313"/>
        <v/>
      </c>
      <c r="BR431" s="304" t="str">
        <f t="shared" si="314"/>
        <v/>
      </c>
      <c r="BS431" s="304" t="str">
        <f t="shared" si="315"/>
        <v/>
      </c>
      <c r="BT431" s="304" t="str">
        <f>IF(OR($B431="", $AH431 = "SIM"), "", IF( ISNA(VLOOKUP($AP431,#REF!, 1, FALSE)), 1, 0))</f>
        <v/>
      </c>
      <c r="BU431" s="304" t="str">
        <f t="shared" si="316"/>
        <v/>
      </c>
      <c r="BV431" s="304" t="str">
        <f>IF( $B431="", "", IF( ISNA(VLOOKUP($AN431, TABELAS!$T$2:$T$9,1,FALSE)), 1, 0))</f>
        <v/>
      </c>
      <c r="BW431" s="304" t="str">
        <f t="shared" si="317"/>
        <v/>
      </c>
      <c r="BX431" s="304" t="str">
        <f>IF( OR($B431="", $AH431 = "SIM"), "", IF( ISNA( VLOOKUP( $AQ431, SISTEMA!$B:$B, 1, FALSE)), 1, 0))</f>
        <v/>
      </c>
      <c r="BY431" s="305" t="str">
        <f t="shared" si="318"/>
        <v/>
      </c>
      <c r="BZ431" s="305" t="str">
        <f t="shared" si="319"/>
        <v/>
      </c>
      <c r="CA431" s="304" t="str">
        <f t="shared" si="320"/>
        <v/>
      </c>
      <c r="CB431" s="305" t="str">
        <f t="shared" si="321"/>
        <v/>
      </c>
      <c r="CC431" s="305" t="str">
        <f t="shared" si="322"/>
        <v/>
      </c>
      <c r="CD431" s="305" t="str">
        <f t="shared" si="323"/>
        <v/>
      </c>
    </row>
    <row r="432" spans="1:82" x14ac:dyDescent="0.2">
      <c r="A432" s="235"/>
      <c r="B432" s="236" t="str">
        <f t="shared" si="288"/>
        <v/>
      </c>
      <c r="C432" s="237" t="str">
        <f t="shared" si="278"/>
        <v/>
      </c>
      <c r="D432" s="237" t="str">
        <f t="shared" si="289"/>
        <v/>
      </c>
      <c r="E432" s="237" t="str">
        <f>IF($C432="", "", COUNTIF($M$8:$M432,$D432))</f>
        <v/>
      </c>
      <c r="F432" s="238">
        <v>425</v>
      </c>
      <c r="G432" s="239"/>
      <c r="H432" s="240"/>
      <c r="I432" s="240"/>
      <c r="J432" s="241"/>
      <c r="K432" s="240"/>
      <c r="L432" s="240"/>
      <c r="M432" s="240"/>
      <c r="N432" s="242"/>
      <c r="O432" s="243"/>
      <c r="P432" s="243"/>
      <c r="Q432" s="243"/>
      <c r="R432" s="243"/>
      <c r="S432" s="243"/>
      <c r="T432" s="245"/>
      <c r="U432" s="246" t="str">
        <f>IF($T432="", "", VLOOKUP($T432, CONTRATOS!$B:$E, 2, FALSE))</f>
        <v/>
      </c>
      <c r="V432" s="247">
        <f>IF(OR($T432="",TB_DEFESA!$C$2="Criação Baseline"),0,
   IF(VLOOKUP($T432, CONTRATOS!B:E, 3, FALSE)&lt;&gt;"",1,IF(VLOOKUP($T432, CONTRATOS!B:E, 4, FALSE)&lt;&gt;"",2,0)))</f>
        <v>0</v>
      </c>
      <c r="W432" s="248"/>
      <c r="X432" s="248"/>
      <c r="Y432" s="249"/>
      <c r="Z432" s="250"/>
      <c r="AA432" s="251"/>
      <c r="AB432" s="252"/>
      <c r="AC432" s="253"/>
      <c r="AD432" s="251"/>
      <c r="AE432" s="254" t="str">
        <f t="shared" si="279"/>
        <v/>
      </c>
      <c r="AF432" s="256" t="str">
        <f t="shared" si="290"/>
        <v/>
      </c>
      <c r="AG432" s="293" t="s">
        <v>62</v>
      </c>
      <c r="AH432" s="294" t="str">
        <f t="shared" si="291"/>
        <v/>
      </c>
      <c r="AI432" s="294" t="str">
        <f t="shared" si="292"/>
        <v/>
      </c>
      <c r="AJ432" s="295" t="str">
        <f t="shared" si="293"/>
        <v/>
      </c>
      <c r="AK432" s="296" t="str">
        <f t="shared" si="294"/>
        <v/>
      </c>
      <c r="AL432" s="297" t="str">
        <f t="shared" si="295"/>
        <v/>
      </c>
      <c r="AM432" s="294" t="str">
        <f t="shared" si="296"/>
        <v/>
      </c>
      <c r="AN432" s="294" t="str">
        <f t="shared" si="297"/>
        <v/>
      </c>
      <c r="AO432" s="298" t="str">
        <f t="shared" si="298"/>
        <v/>
      </c>
      <c r="AP432" s="299" t="str">
        <f t="shared" si="299"/>
        <v/>
      </c>
      <c r="AQ432" s="299" t="str">
        <f t="shared" si="300"/>
        <v/>
      </c>
      <c r="AR432" s="300" t="str">
        <f t="shared" si="280"/>
        <v/>
      </c>
      <c r="AS432" s="300" t="str">
        <f t="shared" si="281"/>
        <v/>
      </c>
      <c r="AT432" s="294" t="str">
        <f t="shared" si="282"/>
        <v/>
      </c>
      <c r="AU432" s="301" t="str">
        <f>IF(OR($B432="", $AP432= ""),"",IF(VLOOKUP($AP432, CONTRATOS!B:K,3,FALSE)="","",VLOOKUP($AP432, CONTRATOS!B:K, 3,FALSE)))</f>
        <v/>
      </c>
      <c r="AV432" s="301" t="str">
        <f>IF(OR($B432="", $AP432 = ""), "", IF(VLOOKUP($AP432, CONTRATOS!B:K,4,FALSE)="","",VLOOKUP($AP432, CONTRATOS!B:K,4, FALSE)))</f>
        <v/>
      </c>
      <c r="AW432" s="302" t="str">
        <f t="shared" si="283"/>
        <v/>
      </c>
      <c r="AX432" s="301" t="str">
        <f t="shared" si="284"/>
        <v/>
      </c>
      <c r="AY432" s="301" t="str">
        <f t="shared" si="285"/>
        <v/>
      </c>
      <c r="AZ432" s="301" t="str">
        <f t="shared" si="286"/>
        <v/>
      </c>
      <c r="BA432" s="301" t="str">
        <f t="shared" si="287"/>
        <v/>
      </c>
      <c r="BB432" s="303">
        <f t="shared" si="301"/>
        <v>0</v>
      </c>
      <c r="BC432" s="303" t="str">
        <f t="shared" si="302"/>
        <v/>
      </c>
      <c r="BD432" s="303" t="str">
        <f t="shared" si="303"/>
        <v/>
      </c>
      <c r="BF432" s="304">
        <f t="shared" si="304"/>
        <v>0</v>
      </c>
      <c r="BG432" s="304">
        <f t="shared" si="305"/>
        <v>0</v>
      </c>
      <c r="BH432" s="304" t="str">
        <f>IF( $B432="", "", IF(ISNA(VLOOKUP($C432, Defesa!$C$8:$C$30,1,FALSE)),1,0))</f>
        <v/>
      </c>
      <c r="BI432" s="305" t="str">
        <f t="shared" si="306"/>
        <v/>
      </c>
      <c r="BJ432" s="305" t="str">
        <f t="shared" si="307"/>
        <v/>
      </c>
      <c r="BK432" s="304" t="str">
        <f t="shared" si="308"/>
        <v/>
      </c>
      <c r="BL432" s="304">
        <f t="shared" si="309"/>
        <v>0</v>
      </c>
      <c r="BM432" s="304" t="str">
        <f>IF($AC432="", "", IF(ISNA(VLOOKUP($AC432, TABELAS!$Q:$Q, 1, FALSE)), 1, 0))</f>
        <v/>
      </c>
      <c r="BN432" s="306" t="str">
        <f t="shared" si="310"/>
        <v/>
      </c>
      <c r="BO432" s="304" t="str">
        <f t="shared" si="311"/>
        <v/>
      </c>
      <c r="BP432" s="304" t="str">
        <f t="shared" si="312"/>
        <v/>
      </c>
      <c r="BQ432" s="305" t="str">
        <f t="shared" si="313"/>
        <v/>
      </c>
      <c r="BR432" s="304" t="str">
        <f t="shared" si="314"/>
        <v/>
      </c>
      <c r="BS432" s="304" t="str">
        <f t="shared" si="315"/>
        <v/>
      </c>
      <c r="BT432" s="304" t="str">
        <f>IF(OR($B432="", $AH432 = "SIM"), "", IF( ISNA(VLOOKUP($AP432,#REF!, 1, FALSE)), 1, 0))</f>
        <v/>
      </c>
      <c r="BU432" s="304" t="str">
        <f t="shared" si="316"/>
        <v/>
      </c>
      <c r="BV432" s="304" t="str">
        <f>IF( $B432="", "", IF( ISNA(VLOOKUP($AN432, TABELAS!$T$2:$T$9,1,FALSE)), 1, 0))</f>
        <v/>
      </c>
      <c r="BW432" s="304" t="str">
        <f t="shared" si="317"/>
        <v/>
      </c>
      <c r="BX432" s="304" t="str">
        <f>IF( OR($B432="", $AH432 = "SIM"), "", IF( ISNA( VLOOKUP( $AQ432, SISTEMA!$B:$B, 1, FALSE)), 1, 0))</f>
        <v/>
      </c>
      <c r="BY432" s="305" t="str">
        <f t="shared" si="318"/>
        <v/>
      </c>
      <c r="BZ432" s="305" t="str">
        <f t="shared" si="319"/>
        <v/>
      </c>
      <c r="CA432" s="304" t="str">
        <f t="shared" si="320"/>
        <v/>
      </c>
      <c r="CB432" s="305" t="str">
        <f t="shared" si="321"/>
        <v/>
      </c>
      <c r="CC432" s="305" t="str">
        <f t="shared" si="322"/>
        <v/>
      </c>
      <c r="CD432" s="305" t="str">
        <f t="shared" si="323"/>
        <v/>
      </c>
    </row>
    <row r="433" spans="1:82" x14ac:dyDescent="0.2">
      <c r="A433" s="235"/>
      <c r="B433" s="236" t="str">
        <f t="shared" si="288"/>
        <v/>
      </c>
      <c r="C433" s="237" t="str">
        <f t="shared" si="278"/>
        <v/>
      </c>
      <c r="D433" s="237" t="str">
        <f t="shared" si="289"/>
        <v/>
      </c>
      <c r="E433" s="237" t="str">
        <f>IF($C433="", "", COUNTIF($M$8:$M433,$D433))</f>
        <v/>
      </c>
      <c r="F433" s="238">
        <v>426</v>
      </c>
      <c r="G433" s="239"/>
      <c r="H433" s="240"/>
      <c r="I433" s="240"/>
      <c r="J433" s="241"/>
      <c r="K433" s="240"/>
      <c r="L433" s="240"/>
      <c r="M433" s="240"/>
      <c r="N433" s="242"/>
      <c r="O433" s="243"/>
      <c r="P433" s="243"/>
      <c r="Q433" s="243"/>
      <c r="R433" s="243"/>
      <c r="S433" s="243"/>
      <c r="T433" s="245"/>
      <c r="U433" s="246" t="str">
        <f>IF($T433="", "", VLOOKUP($T433, CONTRATOS!$B:$E, 2, FALSE))</f>
        <v/>
      </c>
      <c r="V433" s="247">
        <f>IF(OR($T433="",TB_DEFESA!$C$2="Criação Baseline"),0,
   IF(VLOOKUP($T433, CONTRATOS!B:E, 3, FALSE)&lt;&gt;"",1,IF(VLOOKUP($T433, CONTRATOS!B:E, 4, FALSE)&lt;&gt;"",2,0)))</f>
        <v>0</v>
      </c>
      <c r="W433" s="248"/>
      <c r="X433" s="248"/>
      <c r="Y433" s="249"/>
      <c r="Z433" s="250"/>
      <c r="AA433" s="251"/>
      <c r="AB433" s="252"/>
      <c r="AC433" s="253"/>
      <c r="AD433" s="251"/>
      <c r="AE433" s="254" t="str">
        <f t="shared" si="279"/>
        <v/>
      </c>
      <c r="AF433" s="256" t="str">
        <f t="shared" si="290"/>
        <v/>
      </c>
      <c r="AG433" s="293" t="s">
        <v>62</v>
      </c>
      <c r="AH433" s="294" t="str">
        <f t="shared" si="291"/>
        <v/>
      </c>
      <c r="AI433" s="294" t="str">
        <f t="shared" si="292"/>
        <v/>
      </c>
      <c r="AJ433" s="295" t="str">
        <f t="shared" si="293"/>
        <v/>
      </c>
      <c r="AK433" s="296" t="str">
        <f t="shared" si="294"/>
        <v/>
      </c>
      <c r="AL433" s="297" t="str">
        <f t="shared" si="295"/>
        <v/>
      </c>
      <c r="AM433" s="294" t="str">
        <f t="shared" si="296"/>
        <v/>
      </c>
      <c r="AN433" s="294" t="str">
        <f t="shared" si="297"/>
        <v/>
      </c>
      <c r="AO433" s="298" t="str">
        <f t="shared" si="298"/>
        <v/>
      </c>
      <c r="AP433" s="299" t="str">
        <f t="shared" si="299"/>
        <v/>
      </c>
      <c r="AQ433" s="299" t="str">
        <f t="shared" si="300"/>
        <v/>
      </c>
      <c r="AR433" s="300" t="str">
        <f t="shared" si="280"/>
        <v/>
      </c>
      <c r="AS433" s="300" t="str">
        <f t="shared" si="281"/>
        <v/>
      </c>
      <c r="AT433" s="294" t="str">
        <f t="shared" si="282"/>
        <v/>
      </c>
      <c r="AU433" s="301" t="str">
        <f>IF(OR($B433="", $AP433= ""),"",IF(VLOOKUP($AP433, CONTRATOS!B:K,3,FALSE)="","",VLOOKUP($AP433, CONTRATOS!B:K, 3,FALSE)))</f>
        <v/>
      </c>
      <c r="AV433" s="301" t="str">
        <f>IF(OR($B433="", $AP433 = ""), "", IF(VLOOKUP($AP433, CONTRATOS!B:K,4,FALSE)="","",VLOOKUP($AP433, CONTRATOS!B:K,4, FALSE)))</f>
        <v/>
      </c>
      <c r="AW433" s="302" t="str">
        <f t="shared" si="283"/>
        <v/>
      </c>
      <c r="AX433" s="301" t="str">
        <f t="shared" si="284"/>
        <v/>
      </c>
      <c r="AY433" s="301" t="str">
        <f t="shared" si="285"/>
        <v/>
      </c>
      <c r="AZ433" s="301" t="str">
        <f t="shared" si="286"/>
        <v/>
      </c>
      <c r="BA433" s="301" t="str">
        <f t="shared" si="287"/>
        <v/>
      </c>
      <c r="BB433" s="303">
        <f t="shared" si="301"/>
        <v>0</v>
      </c>
      <c r="BC433" s="303" t="str">
        <f t="shared" si="302"/>
        <v/>
      </c>
      <c r="BD433" s="303" t="str">
        <f t="shared" si="303"/>
        <v/>
      </c>
      <c r="BF433" s="304">
        <f t="shared" si="304"/>
        <v>0</v>
      </c>
      <c r="BG433" s="304">
        <f t="shared" si="305"/>
        <v>0</v>
      </c>
      <c r="BH433" s="304" t="str">
        <f>IF( $B433="", "", IF(ISNA(VLOOKUP($C433, Defesa!$C$8:$C$30,1,FALSE)),1,0))</f>
        <v/>
      </c>
      <c r="BI433" s="305" t="str">
        <f t="shared" si="306"/>
        <v/>
      </c>
      <c r="BJ433" s="305" t="str">
        <f t="shared" si="307"/>
        <v/>
      </c>
      <c r="BK433" s="304" t="str">
        <f t="shared" si="308"/>
        <v/>
      </c>
      <c r="BL433" s="304">
        <f t="shared" si="309"/>
        <v>0</v>
      </c>
      <c r="BM433" s="304" t="str">
        <f>IF($AC433="", "", IF(ISNA(VLOOKUP($AC433, TABELAS!$Q:$Q, 1, FALSE)), 1, 0))</f>
        <v/>
      </c>
      <c r="BN433" s="306" t="str">
        <f t="shared" si="310"/>
        <v/>
      </c>
      <c r="BO433" s="304" t="str">
        <f t="shared" si="311"/>
        <v/>
      </c>
      <c r="BP433" s="304" t="str">
        <f t="shared" si="312"/>
        <v/>
      </c>
      <c r="BQ433" s="305" t="str">
        <f t="shared" si="313"/>
        <v/>
      </c>
      <c r="BR433" s="304" t="str">
        <f t="shared" si="314"/>
        <v/>
      </c>
      <c r="BS433" s="304" t="str">
        <f t="shared" si="315"/>
        <v/>
      </c>
      <c r="BT433" s="304" t="str">
        <f>IF(OR($B433="", $AH433 = "SIM"), "", IF( ISNA(VLOOKUP($AP433,#REF!, 1, FALSE)), 1, 0))</f>
        <v/>
      </c>
      <c r="BU433" s="304" t="str">
        <f t="shared" si="316"/>
        <v/>
      </c>
      <c r="BV433" s="304" t="str">
        <f>IF( $B433="", "", IF( ISNA(VLOOKUP($AN433, TABELAS!$T$2:$T$9,1,FALSE)), 1, 0))</f>
        <v/>
      </c>
      <c r="BW433" s="304" t="str">
        <f t="shared" si="317"/>
        <v/>
      </c>
      <c r="BX433" s="304" t="str">
        <f>IF( OR($B433="", $AH433 = "SIM"), "", IF( ISNA( VLOOKUP( $AQ433, SISTEMA!$B:$B, 1, FALSE)), 1, 0))</f>
        <v/>
      </c>
      <c r="BY433" s="305" t="str">
        <f t="shared" si="318"/>
        <v/>
      </c>
      <c r="BZ433" s="305" t="str">
        <f t="shared" si="319"/>
        <v/>
      </c>
      <c r="CA433" s="304" t="str">
        <f t="shared" si="320"/>
        <v/>
      </c>
      <c r="CB433" s="305" t="str">
        <f t="shared" si="321"/>
        <v/>
      </c>
      <c r="CC433" s="305" t="str">
        <f t="shared" si="322"/>
        <v/>
      </c>
      <c r="CD433" s="305" t="str">
        <f t="shared" si="323"/>
        <v/>
      </c>
    </row>
    <row r="434" spans="1:82" x14ac:dyDescent="0.2">
      <c r="A434" s="235"/>
      <c r="B434" s="236" t="str">
        <f t="shared" si="288"/>
        <v/>
      </c>
      <c r="C434" s="237" t="str">
        <f t="shared" si="278"/>
        <v/>
      </c>
      <c r="D434" s="237" t="str">
        <f t="shared" si="289"/>
        <v/>
      </c>
      <c r="E434" s="237" t="str">
        <f>IF($C434="", "", COUNTIF($M$8:$M434,$D434))</f>
        <v/>
      </c>
      <c r="F434" s="238">
        <v>427</v>
      </c>
      <c r="G434" s="239"/>
      <c r="H434" s="240"/>
      <c r="I434" s="240"/>
      <c r="J434" s="241"/>
      <c r="K434" s="240"/>
      <c r="L434" s="240"/>
      <c r="M434" s="240"/>
      <c r="N434" s="242"/>
      <c r="O434" s="243"/>
      <c r="P434" s="243"/>
      <c r="Q434" s="243"/>
      <c r="R434" s="243"/>
      <c r="S434" s="243"/>
      <c r="T434" s="245"/>
      <c r="U434" s="246" t="str">
        <f>IF($T434="", "", VLOOKUP($T434, CONTRATOS!$B:$E, 2, FALSE))</f>
        <v/>
      </c>
      <c r="V434" s="247">
        <f>IF(OR($T434="",TB_DEFESA!$C$2="Criação Baseline"),0,
   IF(VLOOKUP($T434, CONTRATOS!B:E, 3, FALSE)&lt;&gt;"",1,IF(VLOOKUP($T434, CONTRATOS!B:E, 4, FALSE)&lt;&gt;"",2,0)))</f>
        <v>0</v>
      </c>
      <c r="W434" s="248"/>
      <c r="X434" s="248"/>
      <c r="Y434" s="249"/>
      <c r="Z434" s="250"/>
      <c r="AA434" s="251"/>
      <c r="AB434" s="252"/>
      <c r="AC434" s="253"/>
      <c r="AD434" s="251"/>
      <c r="AE434" s="254" t="str">
        <f t="shared" si="279"/>
        <v/>
      </c>
      <c r="AF434" s="256" t="str">
        <f t="shared" si="290"/>
        <v/>
      </c>
      <c r="AG434" s="293" t="s">
        <v>62</v>
      </c>
      <c r="AH434" s="294" t="str">
        <f t="shared" si="291"/>
        <v/>
      </c>
      <c r="AI434" s="294" t="str">
        <f t="shared" si="292"/>
        <v/>
      </c>
      <c r="AJ434" s="295" t="str">
        <f t="shared" si="293"/>
        <v/>
      </c>
      <c r="AK434" s="296" t="str">
        <f t="shared" si="294"/>
        <v/>
      </c>
      <c r="AL434" s="297" t="str">
        <f t="shared" si="295"/>
        <v/>
      </c>
      <c r="AM434" s="294" t="str">
        <f t="shared" si="296"/>
        <v/>
      </c>
      <c r="AN434" s="294" t="str">
        <f t="shared" si="297"/>
        <v/>
      </c>
      <c r="AO434" s="298" t="str">
        <f t="shared" si="298"/>
        <v/>
      </c>
      <c r="AP434" s="299" t="str">
        <f t="shared" si="299"/>
        <v/>
      </c>
      <c r="AQ434" s="299" t="str">
        <f t="shared" si="300"/>
        <v/>
      </c>
      <c r="AR434" s="300" t="str">
        <f t="shared" si="280"/>
        <v/>
      </c>
      <c r="AS434" s="300" t="str">
        <f t="shared" si="281"/>
        <v/>
      </c>
      <c r="AT434" s="294" t="str">
        <f t="shared" si="282"/>
        <v/>
      </c>
      <c r="AU434" s="301" t="str">
        <f>IF(OR($B434="", $AP434= ""),"",IF(VLOOKUP($AP434, CONTRATOS!B:K,3,FALSE)="","",VLOOKUP($AP434, CONTRATOS!B:K, 3,FALSE)))</f>
        <v/>
      </c>
      <c r="AV434" s="301" t="str">
        <f>IF(OR($B434="", $AP434 = ""), "", IF(VLOOKUP($AP434, CONTRATOS!B:K,4,FALSE)="","",VLOOKUP($AP434, CONTRATOS!B:K,4, FALSE)))</f>
        <v/>
      </c>
      <c r="AW434" s="302" t="str">
        <f t="shared" si="283"/>
        <v/>
      </c>
      <c r="AX434" s="301" t="str">
        <f t="shared" si="284"/>
        <v/>
      </c>
      <c r="AY434" s="301" t="str">
        <f t="shared" si="285"/>
        <v/>
      </c>
      <c r="AZ434" s="301" t="str">
        <f t="shared" si="286"/>
        <v/>
      </c>
      <c r="BA434" s="301" t="str">
        <f t="shared" si="287"/>
        <v/>
      </c>
      <c r="BB434" s="303">
        <f t="shared" si="301"/>
        <v>0</v>
      </c>
      <c r="BC434" s="303" t="str">
        <f t="shared" si="302"/>
        <v/>
      </c>
      <c r="BD434" s="303" t="str">
        <f t="shared" si="303"/>
        <v/>
      </c>
      <c r="BF434" s="304">
        <f t="shared" si="304"/>
        <v>0</v>
      </c>
      <c r="BG434" s="304">
        <f t="shared" si="305"/>
        <v>0</v>
      </c>
      <c r="BH434" s="304" t="str">
        <f>IF( $B434="", "", IF(ISNA(VLOOKUP($C434, Defesa!$C$8:$C$30,1,FALSE)),1,0))</f>
        <v/>
      </c>
      <c r="BI434" s="305" t="str">
        <f t="shared" si="306"/>
        <v/>
      </c>
      <c r="BJ434" s="305" t="str">
        <f t="shared" si="307"/>
        <v/>
      </c>
      <c r="BK434" s="304" t="str">
        <f t="shared" si="308"/>
        <v/>
      </c>
      <c r="BL434" s="304">
        <f t="shared" si="309"/>
        <v>0</v>
      </c>
      <c r="BM434" s="304" t="str">
        <f>IF($AC434="", "", IF(ISNA(VLOOKUP($AC434, TABELAS!$Q:$Q, 1, FALSE)), 1, 0))</f>
        <v/>
      </c>
      <c r="BN434" s="306" t="str">
        <f t="shared" si="310"/>
        <v/>
      </c>
      <c r="BO434" s="304" t="str">
        <f t="shared" si="311"/>
        <v/>
      </c>
      <c r="BP434" s="304" t="str">
        <f t="shared" si="312"/>
        <v/>
      </c>
      <c r="BQ434" s="305" t="str">
        <f t="shared" si="313"/>
        <v/>
      </c>
      <c r="BR434" s="304" t="str">
        <f t="shared" si="314"/>
        <v/>
      </c>
      <c r="BS434" s="304" t="str">
        <f t="shared" si="315"/>
        <v/>
      </c>
      <c r="BT434" s="304" t="str">
        <f>IF(OR($B434="", $AH434 = "SIM"), "", IF( ISNA(VLOOKUP($AP434,#REF!, 1, FALSE)), 1, 0))</f>
        <v/>
      </c>
      <c r="BU434" s="304" t="str">
        <f t="shared" si="316"/>
        <v/>
      </c>
      <c r="BV434" s="304" t="str">
        <f>IF( $B434="", "", IF( ISNA(VLOOKUP($AN434, TABELAS!$T$2:$T$9,1,FALSE)), 1, 0))</f>
        <v/>
      </c>
      <c r="BW434" s="304" t="str">
        <f t="shared" si="317"/>
        <v/>
      </c>
      <c r="BX434" s="304" t="str">
        <f>IF( OR($B434="", $AH434 = "SIM"), "", IF( ISNA( VLOOKUP( $AQ434, SISTEMA!$B:$B, 1, FALSE)), 1, 0))</f>
        <v/>
      </c>
      <c r="BY434" s="305" t="str">
        <f t="shared" si="318"/>
        <v/>
      </c>
      <c r="BZ434" s="305" t="str">
        <f t="shared" si="319"/>
        <v/>
      </c>
      <c r="CA434" s="304" t="str">
        <f t="shared" si="320"/>
        <v/>
      </c>
      <c r="CB434" s="305" t="str">
        <f t="shared" si="321"/>
        <v/>
      </c>
      <c r="CC434" s="305" t="str">
        <f t="shared" si="322"/>
        <v/>
      </c>
      <c r="CD434" s="305" t="str">
        <f t="shared" si="323"/>
        <v/>
      </c>
    </row>
    <row r="435" spans="1:82" x14ac:dyDescent="0.2">
      <c r="A435" s="235"/>
      <c r="B435" s="236" t="str">
        <f t="shared" si="288"/>
        <v/>
      </c>
      <c r="C435" s="237" t="str">
        <f t="shared" si="278"/>
        <v/>
      </c>
      <c r="D435" s="237" t="str">
        <f t="shared" si="289"/>
        <v/>
      </c>
      <c r="E435" s="237" t="str">
        <f>IF($C435="", "", COUNTIF($M$8:$M435,$D435))</f>
        <v/>
      </c>
      <c r="F435" s="238">
        <v>428</v>
      </c>
      <c r="G435" s="239"/>
      <c r="H435" s="240"/>
      <c r="I435" s="240"/>
      <c r="J435" s="241"/>
      <c r="K435" s="240"/>
      <c r="L435" s="240"/>
      <c r="M435" s="240"/>
      <c r="N435" s="242"/>
      <c r="O435" s="243"/>
      <c r="P435" s="243"/>
      <c r="Q435" s="243"/>
      <c r="R435" s="243"/>
      <c r="S435" s="243"/>
      <c r="T435" s="245"/>
      <c r="U435" s="246" t="str">
        <f>IF($T435="", "", VLOOKUP($T435, CONTRATOS!$B:$E, 2, FALSE))</f>
        <v/>
      </c>
      <c r="V435" s="247">
        <f>IF(OR($T435="",TB_DEFESA!$C$2="Criação Baseline"),0,
   IF(VLOOKUP($T435, CONTRATOS!B:E, 3, FALSE)&lt;&gt;"",1,IF(VLOOKUP($T435, CONTRATOS!B:E, 4, FALSE)&lt;&gt;"",2,0)))</f>
        <v>0</v>
      </c>
      <c r="W435" s="248"/>
      <c r="X435" s="248"/>
      <c r="Y435" s="249"/>
      <c r="Z435" s="250"/>
      <c r="AA435" s="251"/>
      <c r="AB435" s="252"/>
      <c r="AC435" s="253"/>
      <c r="AD435" s="251"/>
      <c r="AE435" s="254" t="str">
        <f t="shared" si="279"/>
        <v/>
      </c>
      <c r="AF435" s="256" t="str">
        <f t="shared" si="290"/>
        <v/>
      </c>
      <c r="AG435" s="293" t="s">
        <v>62</v>
      </c>
      <c r="AH435" s="294" t="str">
        <f t="shared" si="291"/>
        <v/>
      </c>
      <c r="AI435" s="294" t="str">
        <f t="shared" si="292"/>
        <v/>
      </c>
      <c r="AJ435" s="295" t="str">
        <f t="shared" si="293"/>
        <v/>
      </c>
      <c r="AK435" s="296" t="str">
        <f t="shared" si="294"/>
        <v/>
      </c>
      <c r="AL435" s="297" t="str">
        <f t="shared" si="295"/>
        <v/>
      </c>
      <c r="AM435" s="294" t="str">
        <f t="shared" si="296"/>
        <v/>
      </c>
      <c r="AN435" s="294" t="str">
        <f t="shared" si="297"/>
        <v/>
      </c>
      <c r="AO435" s="298" t="str">
        <f t="shared" si="298"/>
        <v/>
      </c>
      <c r="AP435" s="299" t="str">
        <f t="shared" si="299"/>
        <v/>
      </c>
      <c r="AQ435" s="299" t="str">
        <f t="shared" si="300"/>
        <v/>
      </c>
      <c r="AR435" s="300" t="str">
        <f t="shared" si="280"/>
        <v/>
      </c>
      <c r="AS435" s="300" t="str">
        <f t="shared" si="281"/>
        <v/>
      </c>
      <c r="AT435" s="294" t="str">
        <f t="shared" si="282"/>
        <v/>
      </c>
      <c r="AU435" s="301" t="str">
        <f>IF(OR($B435="", $AP435= ""),"",IF(VLOOKUP($AP435, CONTRATOS!B:K,3,FALSE)="","",VLOOKUP($AP435, CONTRATOS!B:K, 3,FALSE)))</f>
        <v/>
      </c>
      <c r="AV435" s="301" t="str">
        <f>IF(OR($B435="", $AP435 = ""), "", IF(VLOOKUP($AP435, CONTRATOS!B:K,4,FALSE)="","",VLOOKUP($AP435, CONTRATOS!B:K,4, FALSE)))</f>
        <v/>
      </c>
      <c r="AW435" s="302" t="str">
        <f t="shared" si="283"/>
        <v/>
      </c>
      <c r="AX435" s="301" t="str">
        <f t="shared" si="284"/>
        <v/>
      </c>
      <c r="AY435" s="301" t="str">
        <f t="shared" si="285"/>
        <v/>
      </c>
      <c r="AZ435" s="301" t="str">
        <f t="shared" si="286"/>
        <v/>
      </c>
      <c r="BA435" s="301" t="str">
        <f t="shared" si="287"/>
        <v/>
      </c>
      <c r="BB435" s="303">
        <f t="shared" si="301"/>
        <v>0</v>
      </c>
      <c r="BC435" s="303" t="str">
        <f t="shared" si="302"/>
        <v/>
      </c>
      <c r="BD435" s="303" t="str">
        <f t="shared" si="303"/>
        <v/>
      </c>
      <c r="BF435" s="304">
        <f t="shared" si="304"/>
        <v>0</v>
      </c>
      <c r="BG435" s="304">
        <f t="shared" si="305"/>
        <v>0</v>
      </c>
      <c r="BH435" s="304" t="str">
        <f>IF( $B435="", "", IF(ISNA(VLOOKUP($C435, Defesa!$C$8:$C$30,1,FALSE)),1,0))</f>
        <v/>
      </c>
      <c r="BI435" s="305" t="str">
        <f t="shared" si="306"/>
        <v/>
      </c>
      <c r="BJ435" s="305" t="str">
        <f t="shared" si="307"/>
        <v/>
      </c>
      <c r="BK435" s="304" t="str">
        <f t="shared" si="308"/>
        <v/>
      </c>
      <c r="BL435" s="304">
        <f t="shared" si="309"/>
        <v>0</v>
      </c>
      <c r="BM435" s="304" t="str">
        <f>IF($AC435="", "", IF(ISNA(VLOOKUP($AC435, TABELAS!$Q:$Q, 1, FALSE)), 1, 0))</f>
        <v/>
      </c>
      <c r="BN435" s="306" t="str">
        <f t="shared" si="310"/>
        <v/>
      </c>
      <c r="BO435" s="304" t="str">
        <f t="shared" si="311"/>
        <v/>
      </c>
      <c r="BP435" s="304" t="str">
        <f t="shared" si="312"/>
        <v/>
      </c>
      <c r="BQ435" s="305" t="str">
        <f t="shared" si="313"/>
        <v/>
      </c>
      <c r="BR435" s="304" t="str">
        <f t="shared" si="314"/>
        <v/>
      </c>
      <c r="BS435" s="304" t="str">
        <f t="shared" si="315"/>
        <v/>
      </c>
      <c r="BT435" s="304" t="str">
        <f>IF(OR($B435="", $AH435 = "SIM"), "", IF( ISNA(VLOOKUP($AP435,#REF!, 1, FALSE)), 1, 0))</f>
        <v/>
      </c>
      <c r="BU435" s="304" t="str">
        <f t="shared" si="316"/>
        <v/>
      </c>
      <c r="BV435" s="304" t="str">
        <f>IF( $B435="", "", IF( ISNA(VLOOKUP($AN435, TABELAS!$T$2:$T$9,1,FALSE)), 1, 0))</f>
        <v/>
      </c>
      <c r="BW435" s="304" t="str">
        <f t="shared" si="317"/>
        <v/>
      </c>
      <c r="BX435" s="304" t="str">
        <f>IF( OR($B435="", $AH435 = "SIM"), "", IF( ISNA( VLOOKUP( $AQ435, SISTEMA!$B:$B, 1, FALSE)), 1, 0))</f>
        <v/>
      </c>
      <c r="BY435" s="305" t="str">
        <f t="shared" si="318"/>
        <v/>
      </c>
      <c r="BZ435" s="305" t="str">
        <f t="shared" si="319"/>
        <v/>
      </c>
      <c r="CA435" s="304" t="str">
        <f t="shared" si="320"/>
        <v/>
      </c>
      <c r="CB435" s="305" t="str">
        <f t="shared" si="321"/>
        <v/>
      </c>
      <c r="CC435" s="305" t="str">
        <f t="shared" si="322"/>
        <v/>
      </c>
      <c r="CD435" s="305" t="str">
        <f t="shared" si="323"/>
        <v/>
      </c>
    </row>
    <row r="436" spans="1:82" x14ac:dyDescent="0.2">
      <c r="A436" s="235"/>
      <c r="B436" s="236" t="str">
        <f t="shared" si="288"/>
        <v/>
      </c>
      <c r="C436" s="237" t="str">
        <f t="shared" si="278"/>
        <v/>
      </c>
      <c r="D436" s="237" t="str">
        <f t="shared" si="289"/>
        <v/>
      </c>
      <c r="E436" s="237" t="str">
        <f>IF($C436="", "", COUNTIF($M$8:$M436,$D436))</f>
        <v/>
      </c>
      <c r="F436" s="238">
        <v>429</v>
      </c>
      <c r="G436" s="239"/>
      <c r="H436" s="240"/>
      <c r="I436" s="240"/>
      <c r="J436" s="241"/>
      <c r="K436" s="240"/>
      <c r="L436" s="240"/>
      <c r="M436" s="240"/>
      <c r="N436" s="242"/>
      <c r="O436" s="243"/>
      <c r="P436" s="243"/>
      <c r="Q436" s="243"/>
      <c r="R436" s="243"/>
      <c r="S436" s="243"/>
      <c r="T436" s="245"/>
      <c r="U436" s="246" t="str">
        <f>IF($T436="", "", VLOOKUP($T436, CONTRATOS!$B:$E, 2, FALSE))</f>
        <v/>
      </c>
      <c r="V436" s="247">
        <f>IF(OR($T436="",TB_DEFESA!$C$2="Criação Baseline"),0,
   IF(VLOOKUP($T436, CONTRATOS!B:E, 3, FALSE)&lt;&gt;"",1,IF(VLOOKUP($T436, CONTRATOS!B:E, 4, FALSE)&lt;&gt;"",2,0)))</f>
        <v>0</v>
      </c>
      <c r="W436" s="248"/>
      <c r="X436" s="248"/>
      <c r="Y436" s="249"/>
      <c r="Z436" s="250"/>
      <c r="AA436" s="251"/>
      <c r="AB436" s="252"/>
      <c r="AC436" s="253"/>
      <c r="AD436" s="251"/>
      <c r="AE436" s="254" t="str">
        <f t="shared" si="279"/>
        <v/>
      </c>
      <c r="AF436" s="256" t="str">
        <f t="shared" si="290"/>
        <v/>
      </c>
      <c r="AG436" s="293" t="s">
        <v>62</v>
      </c>
      <c r="AH436" s="294" t="str">
        <f t="shared" si="291"/>
        <v/>
      </c>
      <c r="AI436" s="294" t="str">
        <f t="shared" si="292"/>
        <v/>
      </c>
      <c r="AJ436" s="295" t="str">
        <f t="shared" si="293"/>
        <v/>
      </c>
      <c r="AK436" s="296" t="str">
        <f t="shared" si="294"/>
        <v/>
      </c>
      <c r="AL436" s="297" t="str">
        <f t="shared" si="295"/>
        <v/>
      </c>
      <c r="AM436" s="294" t="str">
        <f t="shared" si="296"/>
        <v/>
      </c>
      <c r="AN436" s="294" t="str">
        <f t="shared" si="297"/>
        <v/>
      </c>
      <c r="AO436" s="298" t="str">
        <f t="shared" si="298"/>
        <v/>
      </c>
      <c r="AP436" s="299" t="str">
        <f t="shared" si="299"/>
        <v/>
      </c>
      <c r="AQ436" s="299" t="str">
        <f t="shared" si="300"/>
        <v/>
      </c>
      <c r="AR436" s="300" t="str">
        <f t="shared" si="280"/>
        <v/>
      </c>
      <c r="AS436" s="300" t="str">
        <f t="shared" si="281"/>
        <v/>
      </c>
      <c r="AT436" s="294" t="str">
        <f t="shared" si="282"/>
        <v/>
      </c>
      <c r="AU436" s="301" t="str">
        <f>IF(OR($B436="", $AP436= ""),"",IF(VLOOKUP($AP436, CONTRATOS!B:K,3,FALSE)="","",VLOOKUP($AP436, CONTRATOS!B:K, 3,FALSE)))</f>
        <v/>
      </c>
      <c r="AV436" s="301" t="str">
        <f>IF(OR($B436="", $AP436 = ""), "", IF(VLOOKUP($AP436, CONTRATOS!B:K,4,FALSE)="","",VLOOKUP($AP436, CONTRATOS!B:K,4, FALSE)))</f>
        <v/>
      </c>
      <c r="AW436" s="302" t="str">
        <f t="shared" si="283"/>
        <v/>
      </c>
      <c r="AX436" s="301" t="str">
        <f t="shared" si="284"/>
        <v/>
      </c>
      <c r="AY436" s="301" t="str">
        <f t="shared" si="285"/>
        <v/>
      </c>
      <c r="AZ436" s="301" t="str">
        <f t="shared" si="286"/>
        <v/>
      </c>
      <c r="BA436" s="301" t="str">
        <f t="shared" si="287"/>
        <v/>
      </c>
      <c r="BB436" s="303">
        <f t="shared" si="301"/>
        <v>0</v>
      </c>
      <c r="BC436" s="303" t="str">
        <f t="shared" si="302"/>
        <v/>
      </c>
      <c r="BD436" s="303" t="str">
        <f t="shared" si="303"/>
        <v/>
      </c>
      <c r="BF436" s="304">
        <f t="shared" si="304"/>
        <v>0</v>
      </c>
      <c r="BG436" s="304">
        <f t="shared" si="305"/>
        <v>0</v>
      </c>
      <c r="BH436" s="304" t="str">
        <f>IF( $B436="", "", IF(ISNA(VLOOKUP($C436, Defesa!$C$8:$C$30,1,FALSE)),1,0))</f>
        <v/>
      </c>
      <c r="BI436" s="305" t="str">
        <f t="shared" si="306"/>
        <v/>
      </c>
      <c r="BJ436" s="305" t="str">
        <f t="shared" si="307"/>
        <v/>
      </c>
      <c r="BK436" s="304" t="str">
        <f t="shared" si="308"/>
        <v/>
      </c>
      <c r="BL436" s="304">
        <f t="shared" si="309"/>
        <v>0</v>
      </c>
      <c r="BM436" s="304" t="str">
        <f>IF($AC436="", "", IF(ISNA(VLOOKUP($AC436, TABELAS!$Q:$Q, 1, FALSE)), 1, 0))</f>
        <v/>
      </c>
      <c r="BN436" s="306" t="str">
        <f t="shared" si="310"/>
        <v/>
      </c>
      <c r="BO436" s="304" t="str">
        <f t="shared" si="311"/>
        <v/>
      </c>
      <c r="BP436" s="304" t="str">
        <f t="shared" si="312"/>
        <v/>
      </c>
      <c r="BQ436" s="305" t="str">
        <f t="shared" si="313"/>
        <v/>
      </c>
      <c r="BR436" s="304" t="str">
        <f t="shared" si="314"/>
        <v/>
      </c>
      <c r="BS436" s="304" t="str">
        <f t="shared" si="315"/>
        <v/>
      </c>
      <c r="BT436" s="304" t="str">
        <f>IF(OR($B436="", $AH436 = "SIM"), "", IF( ISNA(VLOOKUP($AP436,#REF!, 1, FALSE)), 1, 0))</f>
        <v/>
      </c>
      <c r="BU436" s="304" t="str">
        <f t="shared" si="316"/>
        <v/>
      </c>
      <c r="BV436" s="304" t="str">
        <f>IF( $B436="", "", IF( ISNA(VLOOKUP($AN436, TABELAS!$T$2:$T$9,1,FALSE)), 1, 0))</f>
        <v/>
      </c>
      <c r="BW436" s="304" t="str">
        <f t="shared" si="317"/>
        <v/>
      </c>
      <c r="BX436" s="304" t="str">
        <f>IF( OR($B436="", $AH436 = "SIM"), "", IF( ISNA( VLOOKUP( $AQ436, SISTEMA!$B:$B, 1, FALSE)), 1, 0))</f>
        <v/>
      </c>
      <c r="BY436" s="305" t="str">
        <f t="shared" si="318"/>
        <v/>
      </c>
      <c r="BZ436" s="305" t="str">
        <f t="shared" si="319"/>
        <v/>
      </c>
      <c r="CA436" s="304" t="str">
        <f t="shared" si="320"/>
        <v/>
      </c>
      <c r="CB436" s="305" t="str">
        <f t="shared" si="321"/>
        <v/>
      </c>
      <c r="CC436" s="305" t="str">
        <f t="shared" si="322"/>
        <v/>
      </c>
      <c r="CD436" s="305" t="str">
        <f t="shared" si="323"/>
        <v/>
      </c>
    </row>
    <row r="437" spans="1:82" x14ac:dyDescent="0.2">
      <c r="A437" s="235"/>
      <c r="B437" s="236" t="str">
        <f t="shared" si="288"/>
        <v/>
      </c>
      <c r="C437" s="237" t="str">
        <f t="shared" si="278"/>
        <v/>
      </c>
      <c r="D437" s="237" t="str">
        <f t="shared" si="289"/>
        <v/>
      </c>
      <c r="E437" s="237" t="str">
        <f>IF($C437="", "", COUNTIF($M$8:$M437,$D437))</f>
        <v/>
      </c>
      <c r="F437" s="238">
        <v>430</v>
      </c>
      <c r="G437" s="239"/>
      <c r="H437" s="240"/>
      <c r="I437" s="240"/>
      <c r="J437" s="241"/>
      <c r="K437" s="240"/>
      <c r="L437" s="240"/>
      <c r="M437" s="240"/>
      <c r="N437" s="242"/>
      <c r="O437" s="243"/>
      <c r="P437" s="243"/>
      <c r="Q437" s="243"/>
      <c r="R437" s="243"/>
      <c r="S437" s="243"/>
      <c r="T437" s="245"/>
      <c r="U437" s="246" t="str">
        <f>IF($T437="", "", VLOOKUP($T437, CONTRATOS!$B:$E, 2, FALSE))</f>
        <v/>
      </c>
      <c r="V437" s="247">
        <f>IF(OR($T437="",TB_DEFESA!$C$2="Criação Baseline"),0,
   IF(VLOOKUP($T437, CONTRATOS!B:E, 3, FALSE)&lt;&gt;"",1,IF(VLOOKUP($T437, CONTRATOS!B:E, 4, FALSE)&lt;&gt;"",2,0)))</f>
        <v>0</v>
      </c>
      <c r="W437" s="248"/>
      <c r="X437" s="248"/>
      <c r="Y437" s="249"/>
      <c r="Z437" s="250"/>
      <c r="AA437" s="251"/>
      <c r="AB437" s="252"/>
      <c r="AC437" s="253"/>
      <c r="AD437" s="251"/>
      <c r="AE437" s="254" t="str">
        <f t="shared" si="279"/>
        <v/>
      </c>
      <c r="AF437" s="256" t="str">
        <f t="shared" si="290"/>
        <v/>
      </c>
      <c r="AG437" s="293" t="s">
        <v>62</v>
      </c>
      <c r="AH437" s="294" t="str">
        <f t="shared" si="291"/>
        <v/>
      </c>
      <c r="AI437" s="294" t="str">
        <f t="shared" si="292"/>
        <v/>
      </c>
      <c r="AJ437" s="295" t="str">
        <f t="shared" si="293"/>
        <v/>
      </c>
      <c r="AK437" s="296" t="str">
        <f t="shared" si="294"/>
        <v/>
      </c>
      <c r="AL437" s="297" t="str">
        <f t="shared" si="295"/>
        <v/>
      </c>
      <c r="AM437" s="294" t="str">
        <f t="shared" si="296"/>
        <v/>
      </c>
      <c r="AN437" s="294" t="str">
        <f t="shared" si="297"/>
        <v/>
      </c>
      <c r="AO437" s="298" t="str">
        <f t="shared" si="298"/>
        <v/>
      </c>
      <c r="AP437" s="299" t="str">
        <f t="shared" si="299"/>
        <v/>
      </c>
      <c r="AQ437" s="299" t="str">
        <f t="shared" si="300"/>
        <v/>
      </c>
      <c r="AR437" s="300" t="str">
        <f t="shared" si="280"/>
        <v/>
      </c>
      <c r="AS437" s="300" t="str">
        <f t="shared" si="281"/>
        <v/>
      </c>
      <c r="AT437" s="294" t="str">
        <f t="shared" si="282"/>
        <v/>
      </c>
      <c r="AU437" s="301" t="str">
        <f>IF(OR($B437="", $AP437= ""),"",IF(VLOOKUP($AP437, CONTRATOS!B:K,3,FALSE)="","",VLOOKUP($AP437, CONTRATOS!B:K, 3,FALSE)))</f>
        <v/>
      </c>
      <c r="AV437" s="301" t="str">
        <f>IF(OR($B437="", $AP437 = ""), "", IF(VLOOKUP($AP437, CONTRATOS!B:K,4,FALSE)="","",VLOOKUP($AP437, CONTRATOS!B:K,4, FALSE)))</f>
        <v/>
      </c>
      <c r="AW437" s="302" t="str">
        <f t="shared" si="283"/>
        <v/>
      </c>
      <c r="AX437" s="301" t="str">
        <f t="shared" si="284"/>
        <v/>
      </c>
      <c r="AY437" s="301" t="str">
        <f t="shared" si="285"/>
        <v/>
      </c>
      <c r="AZ437" s="301" t="str">
        <f t="shared" si="286"/>
        <v/>
      </c>
      <c r="BA437" s="301" t="str">
        <f t="shared" si="287"/>
        <v/>
      </c>
      <c r="BB437" s="303">
        <f t="shared" si="301"/>
        <v>0</v>
      </c>
      <c r="BC437" s="303" t="str">
        <f t="shared" si="302"/>
        <v/>
      </c>
      <c r="BD437" s="303" t="str">
        <f t="shared" si="303"/>
        <v/>
      </c>
      <c r="BF437" s="304">
        <f t="shared" si="304"/>
        <v>0</v>
      </c>
      <c r="BG437" s="304">
        <f t="shared" si="305"/>
        <v>0</v>
      </c>
      <c r="BH437" s="304" t="str">
        <f>IF( $B437="", "", IF(ISNA(VLOOKUP($C437, Defesa!$C$8:$C$30,1,FALSE)),1,0))</f>
        <v/>
      </c>
      <c r="BI437" s="305" t="str">
        <f t="shared" si="306"/>
        <v/>
      </c>
      <c r="BJ437" s="305" t="str">
        <f t="shared" si="307"/>
        <v/>
      </c>
      <c r="BK437" s="304" t="str">
        <f t="shared" si="308"/>
        <v/>
      </c>
      <c r="BL437" s="304">
        <f t="shared" si="309"/>
        <v>0</v>
      </c>
      <c r="BM437" s="304" t="str">
        <f>IF($AC437="", "", IF(ISNA(VLOOKUP($AC437, TABELAS!$Q:$Q, 1, FALSE)), 1, 0))</f>
        <v/>
      </c>
      <c r="BN437" s="306" t="str">
        <f t="shared" si="310"/>
        <v/>
      </c>
      <c r="BO437" s="304" t="str">
        <f t="shared" si="311"/>
        <v/>
      </c>
      <c r="BP437" s="304" t="str">
        <f t="shared" si="312"/>
        <v/>
      </c>
      <c r="BQ437" s="305" t="str">
        <f t="shared" si="313"/>
        <v/>
      </c>
      <c r="BR437" s="304" t="str">
        <f t="shared" si="314"/>
        <v/>
      </c>
      <c r="BS437" s="304" t="str">
        <f t="shared" si="315"/>
        <v/>
      </c>
      <c r="BT437" s="304" t="str">
        <f>IF(OR($B437="", $AH437 = "SIM"), "", IF( ISNA(VLOOKUP($AP437,#REF!, 1, FALSE)), 1, 0))</f>
        <v/>
      </c>
      <c r="BU437" s="304" t="str">
        <f t="shared" si="316"/>
        <v/>
      </c>
      <c r="BV437" s="304" t="str">
        <f>IF( $B437="", "", IF( ISNA(VLOOKUP($AN437, TABELAS!$T$2:$T$9,1,FALSE)), 1, 0))</f>
        <v/>
      </c>
      <c r="BW437" s="304" t="str">
        <f t="shared" si="317"/>
        <v/>
      </c>
      <c r="BX437" s="304" t="str">
        <f>IF( OR($B437="", $AH437 = "SIM"), "", IF( ISNA( VLOOKUP( $AQ437, SISTEMA!$B:$B, 1, FALSE)), 1, 0))</f>
        <v/>
      </c>
      <c r="BY437" s="305" t="str">
        <f t="shared" si="318"/>
        <v/>
      </c>
      <c r="BZ437" s="305" t="str">
        <f t="shared" si="319"/>
        <v/>
      </c>
      <c r="CA437" s="304" t="str">
        <f t="shared" si="320"/>
        <v/>
      </c>
      <c r="CB437" s="305" t="str">
        <f t="shared" si="321"/>
        <v/>
      </c>
      <c r="CC437" s="305" t="str">
        <f t="shared" si="322"/>
        <v/>
      </c>
      <c r="CD437" s="305" t="str">
        <f t="shared" si="323"/>
        <v/>
      </c>
    </row>
    <row r="438" spans="1:82" x14ac:dyDescent="0.2">
      <c r="A438" s="235"/>
      <c r="B438" s="236" t="str">
        <f t="shared" si="288"/>
        <v/>
      </c>
      <c r="C438" s="237" t="str">
        <f t="shared" si="278"/>
        <v/>
      </c>
      <c r="D438" s="237" t="str">
        <f t="shared" si="289"/>
        <v/>
      </c>
      <c r="E438" s="237" t="str">
        <f>IF($C438="", "", COUNTIF($M$8:$M438,$D438))</f>
        <v/>
      </c>
      <c r="F438" s="238">
        <v>431</v>
      </c>
      <c r="G438" s="239"/>
      <c r="H438" s="240"/>
      <c r="I438" s="240"/>
      <c r="J438" s="241"/>
      <c r="K438" s="240"/>
      <c r="L438" s="240"/>
      <c r="M438" s="240"/>
      <c r="N438" s="242"/>
      <c r="O438" s="243"/>
      <c r="P438" s="243"/>
      <c r="Q438" s="243"/>
      <c r="R438" s="243"/>
      <c r="S438" s="243"/>
      <c r="T438" s="245"/>
      <c r="U438" s="246" t="str">
        <f>IF($T438="", "", VLOOKUP($T438, CONTRATOS!$B:$E, 2, FALSE))</f>
        <v/>
      </c>
      <c r="V438" s="247">
        <f>IF(OR($T438="",TB_DEFESA!$C$2="Criação Baseline"),0,
   IF(VLOOKUP($T438, CONTRATOS!B:E, 3, FALSE)&lt;&gt;"",1,IF(VLOOKUP($T438, CONTRATOS!B:E, 4, FALSE)&lt;&gt;"",2,0)))</f>
        <v>0</v>
      </c>
      <c r="W438" s="248"/>
      <c r="X438" s="248"/>
      <c r="Y438" s="249"/>
      <c r="Z438" s="250"/>
      <c r="AA438" s="251"/>
      <c r="AB438" s="252"/>
      <c r="AC438" s="253"/>
      <c r="AD438" s="251"/>
      <c r="AE438" s="254" t="str">
        <f t="shared" si="279"/>
        <v/>
      </c>
      <c r="AF438" s="256" t="str">
        <f t="shared" si="290"/>
        <v/>
      </c>
      <c r="AG438" s="293" t="s">
        <v>62</v>
      </c>
      <c r="AH438" s="294" t="str">
        <f t="shared" si="291"/>
        <v/>
      </c>
      <c r="AI438" s="294" t="str">
        <f t="shared" si="292"/>
        <v/>
      </c>
      <c r="AJ438" s="295" t="str">
        <f t="shared" si="293"/>
        <v/>
      </c>
      <c r="AK438" s="296" t="str">
        <f t="shared" si="294"/>
        <v/>
      </c>
      <c r="AL438" s="297" t="str">
        <f t="shared" si="295"/>
        <v/>
      </c>
      <c r="AM438" s="294" t="str">
        <f t="shared" si="296"/>
        <v/>
      </c>
      <c r="AN438" s="294" t="str">
        <f t="shared" si="297"/>
        <v/>
      </c>
      <c r="AO438" s="298" t="str">
        <f t="shared" si="298"/>
        <v/>
      </c>
      <c r="AP438" s="299" t="str">
        <f t="shared" si="299"/>
        <v/>
      </c>
      <c r="AQ438" s="299" t="str">
        <f t="shared" si="300"/>
        <v/>
      </c>
      <c r="AR438" s="300" t="str">
        <f t="shared" si="280"/>
        <v/>
      </c>
      <c r="AS438" s="300" t="str">
        <f t="shared" si="281"/>
        <v/>
      </c>
      <c r="AT438" s="294" t="str">
        <f t="shared" si="282"/>
        <v/>
      </c>
      <c r="AU438" s="301" t="str">
        <f>IF(OR($B438="", $AP438= ""),"",IF(VLOOKUP($AP438, CONTRATOS!B:K,3,FALSE)="","",VLOOKUP($AP438, CONTRATOS!B:K, 3,FALSE)))</f>
        <v/>
      </c>
      <c r="AV438" s="301" t="str">
        <f>IF(OR($B438="", $AP438 = ""), "", IF(VLOOKUP($AP438, CONTRATOS!B:K,4,FALSE)="","",VLOOKUP($AP438, CONTRATOS!B:K,4, FALSE)))</f>
        <v/>
      </c>
      <c r="AW438" s="302" t="str">
        <f t="shared" si="283"/>
        <v/>
      </c>
      <c r="AX438" s="301" t="str">
        <f t="shared" si="284"/>
        <v/>
      </c>
      <c r="AY438" s="301" t="str">
        <f t="shared" si="285"/>
        <v/>
      </c>
      <c r="AZ438" s="301" t="str">
        <f t="shared" si="286"/>
        <v/>
      </c>
      <c r="BA438" s="301" t="str">
        <f t="shared" si="287"/>
        <v/>
      </c>
      <c r="BB438" s="303">
        <f t="shared" si="301"/>
        <v>0</v>
      </c>
      <c r="BC438" s="303" t="str">
        <f t="shared" si="302"/>
        <v/>
      </c>
      <c r="BD438" s="303" t="str">
        <f t="shared" si="303"/>
        <v/>
      </c>
      <c r="BF438" s="304">
        <f t="shared" si="304"/>
        <v>0</v>
      </c>
      <c r="BG438" s="304">
        <f t="shared" si="305"/>
        <v>0</v>
      </c>
      <c r="BH438" s="304" t="str">
        <f>IF( $B438="", "", IF(ISNA(VLOOKUP($C438, Defesa!$C$8:$C$30,1,FALSE)),1,0))</f>
        <v/>
      </c>
      <c r="BI438" s="305" t="str">
        <f t="shared" si="306"/>
        <v/>
      </c>
      <c r="BJ438" s="305" t="str">
        <f t="shared" si="307"/>
        <v/>
      </c>
      <c r="BK438" s="304" t="str">
        <f t="shared" si="308"/>
        <v/>
      </c>
      <c r="BL438" s="304">
        <f t="shared" si="309"/>
        <v>0</v>
      </c>
      <c r="BM438" s="304" t="str">
        <f>IF($AC438="", "", IF(ISNA(VLOOKUP($AC438, TABELAS!$Q:$Q, 1, FALSE)), 1, 0))</f>
        <v/>
      </c>
      <c r="BN438" s="306" t="str">
        <f t="shared" si="310"/>
        <v/>
      </c>
      <c r="BO438" s="304" t="str">
        <f t="shared" si="311"/>
        <v/>
      </c>
      <c r="BP438" s="304" t="str">
        <f t="shared" si="312"/>
        <v/>
      </c>
      <c r="BQ438" s="305" t="str">
        <f t="shared" si="313"/>
        <v/>
      </c>
      <c r="BR438" s="304" t="str">
        <f t="shared" si="314"/>
        <v/>
      </c>
      <c r="BS438" s="304" t="str">
        <f t="shared" si="315"/>
        <v/>
      </c>
      <c r="BT438" s="304" t="str">
        <f>IF(OR($B438="", $AH438 = "SIM"), "", IF( ISNA(VLOOKUP($AP438,#REF!, 1, FALSE)), 1, 0))</f>
        <v/>
      </c>
      <c r="BU438" s="304" t="str">
        <f t="shared" si="316"/>
        <v/>
      </c>
      <c r="BV438" s="304" t="str">
        <f>IF( $B438="", "", IF( ISNA(VLOOKUP($AN438, TABELAS!$T$2:$T$9,1,FALSE)), 1, 0))</f>
        <v/>
      </c>
      <c r="BW438" s="304" t="str">
        <f t="shared" si="317"/>
        <v/>
      </c>
      <c r="BX438" s="304" t="str">
        <f>IF( OR($B438="", $AH438 = "SIM"), "", IF( ISNA( VLOOKUP( $AQ438, SISTEMA!$B:$B, 1, FALSE)), 1, 0))</f>
        <v/>
      </c>
      <c r="BY438" s="305" t="str">
        <f t="shared" si="318"/>
        <v/>
      </c>
      <c r="BZ438" s="305" t="str">
        <f t="shared" si="319"/>
        <v/>
      </c>
      <c r="CA438" s="304" t="str">
        <f t="shared" si="320"/>
        <v/>
      </c>
      <c r="CB438" s="305" t="str">
        <f t="shared" si="321"/>
        <v/>
      </c>
      <c r="CC438" s="305" t="str">
        <f t="shared" si="322"/>
        <v/>
      </c>
      <c r="CD438" s="305" t="str">
        <f t="shared" si="323"/>
        <v/>
      </c>
    </row>
    <row r="439" spans="1:82" x14ac:dyDescent="0.2">
      <c r="A439" s="235"/>
      <c r="B439" s="236" t="str">
        <f t="shared" si="288"/>
        <v/>
      </c>
      <c r="C439" s="237" t="str">
        <f t="shared" si="278"/>
        <v/>
      </c>
      <c r="D439" s="237" t="str">
        <f t="shared" si="289"/>
        <v/>
      </c>
      <c r="E439" s="237" t="str">
        <f>IF($C439="", "", COUNTIF($M$8:$M439,$D439))</f>
        <v/>
      </c>
      <c r="F439" s="238">
        <v>432</v>
      </c>
      <c r="G439" s="239"/>
      <c r="H439" s="240"/>
      <c r="I439" s="240"/>
      <c r="J439" s="241"/>
      <c r="K439" s="240"/>
      <c r="L439" s="240"/>
      <c r="M439" s="240"/>
      <c r="N439" s="242"/>
      <c r="O439" s="243"/>
      <c r="P439" s="243"/>
      <c r="Q439" s="243"/>
      <c r="R439" s="243"/>
      <c r="S439" s="243"/>
      <c r="T439" s="245"/>
      <c r="U439" s="246" t="str">
        <f>IF($T439="", "", VLOOKUP($T439, CONTRATOS!$B:$E, 2, FALSE))</f>
        <v/>
      </c>
      <c r="V439" s="247">
        <f>IF(OR($T439="",TB_DEFESA!$C$2="Criação Baseline"),0,
   IF(VLOOKUP($T439, CONTRATOS!B:E, 3, FALSE)&lt;&gt;"",1,IF(VLOOKUP($T439, CONTRATOS!B:E, 4, FALSE)&lt;&gt;"",2,0)))</f>
        <v>0</v>
      </c>
      <c r="W439" s="248"/>
      <c r="X439" s="248"/>
      <c r="Y439" s="249"/>
      <c r="Z439" s="250"/>
      <c r="AA439" s="251"/>
      <c r="AB439" s="252"/>
      <c r="AC439" s="253"/>
      <c r="AD439" s="251"/>
      <c r="AE439" s="254" t="str">
        <f t="shared" si="279"/>
        <v/>
      </c>
      <c r="AF439" s="256" t="str">
        <f t="shared" si="290"/>
        <v/>
      </c>
      <c r="AG439" s="293" t="s">
        <v>62</v>
      </c>
      <c r="AH439" s="294" t="str">
        <f t="shared" si="291"/>
        <v/>
      </c>
      <c r="AI439" s="294" t="str">
        <f t="shared" si="292"/>
        <v/>
      </c>
      <c r="AJ439" s="295" t="str">
        <f t="shared" si="293"/>
        <v/>
      </c>
      <c r="AK439" s="296" t="str">
        <f t="shared" si="294"/>
        <v/>
      </c>
      <c r="AL439" s="297" t="str">
        <f t="shared" si="295"/>
        <v/>
      </c>
      <c r="AM439" s="294" t="str">
        <f t="shared" si="296"/>
        <v/>
      </c>
      <c r="AN439" s="294" t="str">
        <f t="shared" si="297"/>
        <v/>
      </c>
      <c r="AO439" s="298" t="str">
        <f t="shared" si="298"/>
        <v/>
      </c>
      <c r="AP439" s="299" t="str">
        <f t="shared" si="299"/>
        <v/>
      </c>
      <c r="AQ439" s="299" t="str">
        <f t="shared" si="300"/>
        <v/>
      </c>
      <c r="AR439" s="300" t="str">
        <f t="shared" si="280"/>
        <v/>
      </c>
      <c r="AS439" s="300" t="str">
        <f t="shared" si="281"/>
        <v/>
      </c>
      <c r="AT439" s="294" t="str">
        <f t="shared" si="282"/>
        <v/>
      </c>
      <c r="AU439" s="301" t="str">
        <f>IF(OR($B439="", $AP439= ""),"",IF(VLOOKUP($AP439, CONTRATOS!B:K,3,FALSE)="","",VLOOKUP($AP439, CONTRATOS!B:K, 3,FALSE)))</f>
        <v/>
      </c>
      <c r="AV439" s="301" t="str">
        <f>IF(OR($B439="", $AP439 = ""), "", IF(VLOOKUP($AP439, CONTRATOS!B:K,4,FALSE)="","",VLOOKUP($AP439, CONTRATOS!B:K,4, FALSE)))</f>
        <v/>
      </c>
      <c r="AW439" s="302" t="str">
        <f t="shared" si="283"/>
        <v/>
      </c>
      <c r="AX439" s="301" t="str">
        <f t="shared" si="284"/>
        <v/>
      </c>
      <c r="AY439" s="301" t="str">
        <f t="shared" si="285"/>
        <v/>
      </c>
      <c r="AZ439" s="301" t="str">
        <f t="shared" si="286"/>
        <v/>
      </c>
      <c r="BA439" s="301" t="str">
        <f t="shared" si="287"/>
        <v/>
      </c>
      <c r="BB439" s="303">
        <f t="shared" si="301"/>
        <v>0</v>
      </c>
      <c r="BC439" s="303" t="str">
        <f t="shared" si="302"/>
        <v/>
      </c>
      <c r="BD439" s="303" t="str">
        <f t="shared" si="303"/>
        <v/>
      </c>
      <c r="BF439" s="304">
        <f t="shared" si="304"/>
        <v>0</v>
      </c>
      <c r="BG439" s="304">
        <f t="shared" si="305"/>
        <v>0</v>
      </c>
      <c r="BH439" s="304" t="str">
        <f>IF( $B439="", "", IF(ISNA(VLOOKUP($C439, Defesa!$C$8:$C$30,1,FALSE)),1,0))</f>
        <v/>
      </c>
      <c r="BI439" s="305" t="str">
        <f t="shared" si="306"/>
        <v/>
      </c>
      <c r="BJ439" s="305" t="str">
        <f t="shared" si="307"/>
        <v/>
      </c>
      <c r="BK439" s="304" t="str">
        <f t="shared" si="308"/>
        <v/>
      </c>
      <c r="BL439" s="304">
        <f t="shared" si="309"/>
        <v>0</v>
      </c>
      <c r="BM439" s="304" t="str">
        <f>IF($AC439="", "", IF(ISNA(VLOOKUP($AC439, TABELAS!$Q:$Q, 1, FALSE)), 1, 0))</f>
        <v/>
      </c>
      <c r="BN439" s="306" t="str">
        <f t="shared" si="310"/>
        <v/>
      </c>
      <c r="BO439" s="304" t="str">
        <f t="shared" si="311"/>
        <v/>
      </c>
      <c r="BP439" s="304" t="str">
        <f t="shared" si="312"/>
        <v/>
      </c>
      <c r="BQ439" s="305" t="str">
        <f t="shared" si="313"/>
        <v/>
      </c>
      <c r="BR439" s="304" t="str">
        <f t="shared" si="314"/>
        <v/>
      </c>
      <c r="BS439" s="304" t="str">
        <f t="shared" si="315"/>
        <v/>
      </c>
      <c r="BT439" s="304" t="str">
        <f>IF(OR($B439="", $AH439 = "SIM"), "", IF( ISNA(VLOOKUP($AP439,#REF!, 1, FALSE)), 1, 0))</f>
        <v/>
      </c>
      <c r="BU439" s="304" t="str">
        <f t="shared" si="316"/>
        <v/>
      </c>
      <c r="BV439" s="304" t="str">
        <f>IF( $B439="", "", IF( ISNA(VLOOKUP($AN439, TABELAS!$T$2:$T$9,1,FALSE)), 1, 0))</f>
        <v/>
      </c>
      <c r="BW439" s="304" t="str">
        <f t="shared" si="317"/>
        <v/>
      </c>
      <c r="BX439" s="304" t="str">
        <f>IF( OR($B439="", $AH439 = "SIM"), "", IF( ISNA( VLOOKUP( $AQ439, SISTEMA!$B:$B, 1, FALSE)), 1, 0))</f>
        <v/>
      </c>
      <c r="BY439" s="305" t="str">
        <f t="shared" si="318"/>
        <v/>
      </c>
      <c r="BZ439" s="305" t="str">
        <f t="shared" si="319"/>
        <v/>
      </c>
      <c r="CA439" s="304" t="str">
        <f t="shared" si="320"/>
        <v/>
      </c>
      <c r="CB439" s="305" t="str">
        <f t="shared" si="321"/>
        <v/>
      </c>
      <c r="CC439" s="305" t="str">
        <f t="shared" si="322"/>
        <v/>
      </c>
      <c r="CD439" s="305" t="str">
        <f t="shared" si="323"/>
        <v/>
      </c>
    </row>
    <row r="440" spans="1:82" x14ac:dyDescent="0.2">
      <c r="A440" s="235"/>
      <c r="B440" s="236" t="str">
        <f t="shared" si="288"/>
        <v/>
      </c>
      <c r="C440" s="237" t="str">
        <f t="shared" si="278"/>
        <v/>
      </c>
      <c r="D440" s="237" t="str">
        <f t="shared" si="289"/>
        <v/>
      </c>
      <c r="E440" s="237" t="str">
        <f>IF($C440="", "", COUNTIF($M$8:$M440,$D440))</f>
        <v/>
      </c>
      <c r="F440" s="238">
        <v>433</v>
      </c>
      <c r="G440" s="239"/>
      <c r="H440" s="240"/>
      <c r="I440" s="240"/>
      <c r="J440" s="241"/>
      <c r="K440" s="240"/>
      <c r="L440" s="240"/>
      <c r="M440" s="240"/>
      <c r="N440" s="242"/>
      <c r="O440" s="243"/>
      <c r="P440" s="243"/>
      <c r="Q440" s="243"/>
      <c r="R440" s="243"/>
      <c r="S440" s="243"/>
      <c r="T440" s="245"/>
      <c r="U440" s="246" t="str">
        <f>IF($T440="", "", VLOOKUP($T440, CONTRATOS!$B:$E, 2, FALSE))</f>
        <v/>
      </c>
      <c r="V440" s="247">
        <f>IF(OR($T440="",TB_DEFESA!$C$2="Criação Baseline"),0,
   IF(VLOOKUP($T440, CONTRATOS!B:E, 3, FALSE)&lt;&gt;"",1,IF(VLOOKUP($T440, CONTRATOS!B:E, 4, FALSE)&lt;&gt;"",2,0)))</f>
        <v>0</v>
      </c>
      <c r="W440" s="248"/>
      <c r="X440" s="248"/>
      <c r="Y440" s="249"/>
      <c r="Z440" s="250"/>
      <c r="AA440" s="251"/>
      <c r="AB440" s="252"/>
      <c r="AC440" s="253"/>
      <c r="AD440" s="251"/>
      <c r="AE440" s="254" t="str">
        <f t="shared" si="279"/>
        <v/>
      </c>
      <c r="AF440" s="256" t="str">
        <f t="shared" si="290"/>
        <v/>
      </c>
      <c r="AG440" s="293" t="s">
        <v>62</v>
      </c>
      <c r="AH440" s="294" t="str">
        <f t="shared" si="291"/>
        <v/>
      </c>
      <c r="AI440" s="294" t="str">
        <f t="shared" si="292"/>
        <v/>
      </c>
      <c r="AJ440" s="295" t="str">
        <f t="shared" si="293"/>
        <v/>
      </c>
      <c r="AK440" s="296" t="str">
        <f t="shared" si="294"/>
        <v/>
      </c>
      <c r="AL440" s="297" t="str">
        <f t="shared" si="295"/>
        <v/>
      </c>
      <c r="AM440" s="294" t="str">
        <f t="shared" si="296"/>
        <v/>
      </c>
      <c r="AN440" s="294" t="str">
        <f t="shared" si="297"/>
        <v/>
      </c>
      <c r="AO440" s="298" t="str">
        <f t="shared" si="298"/>
        <v/>
      </c>
      <c r="AP440" s="299" t="str">
        <f t="shared" si="299"/>
        <v/>
      </c>
      <c r="AQ440" s="299" t="str">
        <f t="shared" si="300"/>
        <v/>
      </c>
      <c r="AR440" s="300" t="str">
        <f t="shared" si="280"/>
        <v/>
      </c>
      <c r="AS440" s="300" t="str">
        <f t="shared" si="281"/>
        <v/>
      </c>
      <c r="AT440" s="294" t="str">
        <f t="shared" si="282"/>
        <v/>
      </c>
      <c r="AU440" s="301" t="str">
        <f>IF(OR($B440="", $AP440= ""),"",IF(VLOOKUP($AP440, CONTRATOS!B:K,3,FALSE)="","",VLOOKUP($AP440, CONTRATOS!B:K, 3,FALSE)))</f>
        <v/>
      </c>
      <c r="AV440" s="301" t="str">
        <f>IF(OR($B440="", $AP440 = ""), "", IF(VLOOKUP($AP440, CONTRATOS!B:K,4,FALSE)="","",VLOOKUP($AP440, CONTRATOS!B:K,4, FALSE)))</f>
        <v/>
      </c>
      <c r="AW440" s="302" t="str">
        <f t="shared" si="283"/>
        <v/>
      </c>
      <c r="AX440" s="301" t="str">
        <f t="shared" si="284"/>
        <v/>
      </c>
      <c r="AY440" s="301" t="str">
        <f t="shared" si="285"/>
        <v/>
      </c>
      <c r="AZ440" s="301" t="str">
        <f t="shared" si="286"/>
        <v/>
      </c>
      <c r="BA440" s="301" t="str">
        <f t="shared" si="287"/>
        <v/>
      </c>
      <c r="BB440" s="303">
        <f t="shared" si="301"/>
        <v>0</v>
      </c>
      <c r="BC440" s="303" t="str">
        <f t="shared" si="302"/>
        <v/>
      </c>
      <c r="BD440" s="303" t="str">
        <f t="shared" si="303"/>
        <v/>
      </c>
      <c r="BF440" s="304">
        <f t="shared" si="304"/>
        <v>0</v>
      </c>
      <c r="BG440" s="304">
        <f t="shared" si="305"/>
        <v>0</v>
      </c>
      <c r="BH440" s="304" t="str">
        <f>IF( $B440="", "", IF(ISNA(VLOOKUP($C440, Defesa!$C$8:$C$30,1,FALSE)),1,0))</f>
        <v/>
      </c>
      <c r="BI440" s="305" t="str">
        <f t="shared" si="306"/>
        <v/>
      </c>
      <c r="BJ440" s="305" t="str">
        <f t="shared" si="307"/>
        <v/>
      </c>
      <c r="BK440" s="304" t="str">
        <f t="shared" si="308"/>
        <v/>
      </c>
      <c r="BL440" s="304">
        <f t="shared" si="309"/>
        <v>0</v>
      </c>
      <c r="BM440" s="304" t="str">
        <f>IF($AC440="", "", IF(ISNA(VLOOKUP($AC440, TABELAS!$Q:$Q, 1, FALSE)), 1, 0))</f>
        <v/>
      </c>
      <c r="BN440" s="306" t="str">
        <f t="shared" si="310"/>
        <v/>
      </c>
      <c r="BO440" s="304" t="str">
        <f t="shared" si="311"/>
        <v/>
      </c>
      <c r="BP440" s="304" t="str">
        <f t="shared" si="312"/>
        <v/>
      </c>
      <c r="BQ440" s="305" t="str">
        <f t="shared" si="313"/>
        <v/>
      </c>
      <c r="BR440" s="304" t="str">
        <f t="shared" si="314"/>
        <v/>
      </c>
      <c r="BS440" s="304" t="str">
        <f t="shared" si="315"/>
        <v/>
      </c>
      <c r="BT440" s="304" t="str">
        <f>IF(OR($B440="", $AH440 = "SIM"), "", IF( ISNA(VLOOKUP($AP440,#REF!, 1, FALSE)), 1, 0))</f>
        <v/>
      </c>
      <c r="BU440" s="304" t="str">
        <f t="shared" si="316"/>
        <v/>
      </c>
      <c r="BV440" s="304" t="str">
        <f>IF( $B440="", "", IF( ISNA(VLOOKUP($AN440, TABELAS!$T$2:$T$9,1,FALSE)), 1, 0))</f>
        <v/>
      </c>
      <c r="BW440" s="304" t="str">
        <f t="shared" si="317"/>
        <v/>
      </c>
      <c r="BX440" s="304" t="str">
        <f>IF( OR($B440="", $AH440 = "SIM"), "", IF( ISNA( VLOOKUP( $AQ440, SISTEMA!$B:$B, 1, FALSE)), 1, 0))</f>
        <v/>
      </c>
      <c r="BY440" s="305" t="str">
        <f t="shared" si="318"/>
        <v/>
      </c>
      <c r="BZ440" s="305" t="str">
        <f t="shared" si="319"/>
        <v/>
      </c>
      <c r="CA440" s="304" t="str">
        <f t="shared" si="320"/>
        <v/>
      </c>
      <c r="CB440" s="305" t="str">
        <f t="shared" si="321"/>
        <v/>
      </c>
      <c r="CC440" s="305" t="str">
        <f t="shared" si="322"/>
        <v/>
      </c>
      <c r="CD440" s="305" t="str">
        <f t="shared" si="323"/>
        <v/>
      </c>
    </row>
    <row r="441" spans="1:82" x14ac:dyDescent="0.2">
      <c r="A441" s="235"/>
      <c r="B441" s="236" t="str">
        <f t="shared" si="288"/>
        <v/>
      </c>
      <c r="C441" s="237" t="str">
        <f t="shared" si="278"/>
        <v/>
      </c>
      <c r="D441" s="237" t="str">
        <f t="shared" si="289"/>
        <v/>
      </c>
      <c r="E441" s="237" t="str">
        <f>IF($C441="", "", COUNTIF($M$8:$M441,$D441))</f>
        <v/>
      </c>
      <c r="F441" s="238">
        <v>434</v>
      </c>
      <c r="G441" s="239"/>
      <c r="H441" s="240"/>
      <c r="I441" s="240"/>
      <c r="J441" s="241"/>
      <c r="K441" s="240"/>
      <c r="L441" s="240"/>
      <c r="M441" s="240"/>
      <c r="N441" s="242"/>
      <c r="O441" s="243"/>
      <c r="P441" s="243"/>
      <c r="Q441" s="243"/>
      <c r="R441" s="243"/>
      <c r="S441" s="243"/>
      <c r="T441" s="245"/>
      <c r="U441" s="246" t="str">
        <f>IF($T441="", "", VLOOKUP($T441, CONTRATOS!$B:$E, 2, FALSE))</f>
        <v/>
      </c>
      <c r="V441" s="247">
        <f>IF(OR($T441="",TB_DEFESA!$C$2="Criação Baseline"),0,
   IF(VLOOKUP($T441, CONTRATOS!B:E, 3, FALSE)&lt;&gt;"",1,IF(VLOOKUP($T441, CONTRATOS!B:E, 4, FALSE)&lt;&gt;"",2,0)))</f>
        <v>0</v>
      </c>
      <c r="W441" s="248"/>
      <c r="X441" s="248"/>
      <c r="Y441" s="249"/>
      <c r="Z441" s="250"/>
      <c r="AA441" s="251"/>
      <c r="AB441" s="252"/>
      <c r="AC441" s="253"/>
      <c r="AD441" s="251"/>
      <c r="AE441" s="254" t="str">
        <f t="shared" si="279"/>
        <v/>
      </c>
      <c r="AF441" s="256" t="str">
        <f t="shared" si="290"/>
        <v/>
      </c>
      <c r="AG441" s="293" t="s">
        <v>62</v>
      </c>
      <c r="AH441" s="294" t="str">
        <f t="shared" si="291"/>
        <v/>
      </c>
      <c r="AI441" s="294" t="str">
        <f t="shared" si="292"/>
        <v/>
      </c>
      <c r="AJ441" s="295" t="str">
        <f t="shared" si="293"/>
        <v/>
      </c>
      <c r="AK441" s="296" t="str">
        <f t="shared" si="294"/>
        <v/>
      </c>
      <c r="AL441" s="297" t="str">
        <f t="shared" si="295"/>
        <v/>
      </c>
      <c r="AM441" s="294" t="str">
        <f t="shared" si="296"/>
        <v/>
      </c>
      <c r="AN441" s="294" t="str">
        <f t="shared" si="297"/>
        <v/>
      </c>
      <c r="AO441" s="298" t="str">
        <f t="shared" si="298"/>
        <v/>
      </c>
      <c r="AP441" s="299" t="str">
        <f t="shared" si="299"/>
        <v/>
      </c>
      <c r="AQ441" s="299" t="str">
        <f t="shared" si="300"/>
        <v/>
      </c>
      <c r="AR441" s="300" t="str">
        <f t="shared" si="280"/>
        <v/>
      </c>
      <c r="AS441" s="300" t="str">
        <f t="shared" si="281"/>
        <v/>
      </c>
      <c r="AT441" s="294" t="str">
        <f t="shared" si="282"/>
        <v/>
      </c>
      <c r="AU441" s="301" t="str">
        <f>IF(OR($B441="", $AP441= ""),"",IF(VLOOKUP($AP441, CONTRATOS!B:K,3,FALSE)="","",VLOOKUP($AP441, CONTRATOS!B:K, 3,FALSE)))</f>
        <v/>
      </c>
      <c r="AV441" s="301" t="str">
        <f>IF(OR($B441="", $AP441 = ""), "", IF(VLOOKUP($AP441, CONTRATOS!B:K,4,FALSE)="","",VLOOKUP($AP441, CONTRATOS!B:K,4, FALSE)))</f>
        <v/>
      </c>
      <c r="AW441" s="302" t="str">
        <f t="shared" si="283"/>
        <v/>
      </c>
      <c r="AX441" s="301" t="str">
        <f t="shared" si="284"/>
        <v/>
      </c>
      <c r="AY441" s="301" t="str">
        <f t="shared" si="285"/>
        <v/>
      </c>
      <c r="AZ441" s="301" t="str">
        <f t="shared" si="286"/>
        <v/>
      </c>
      <c r="BA441" s="301" t="str">
        <f t="shared" si="287"/>
        <v/>
      </c>
      <c r="BB441" s="303">
        <f t="shared" si="301"/>
        <v>0</v>
      </c>
      <c r="BC441" s="303" t="str">
        <f t="shared" si="302"/>
        <v/>
      </c>
      <c r="BD441" s="303" t="str">
        <f t="shared" si="303"/>
        <v/>
      </c>
      <c r="BF441" s="304">
        <f t="shared" si="304"/>
        <v>0</v>
      </c>
      <c r="BG441" s="304">
        <f t="shared" si="305"/>
        <v>0</v>
      </c>
      <c r="BH441" s="304" t="str">
        <f>IF( $B441="", "", IF(ISNA(VLOOKUP($C441, Defesa!$C$8:$C$30,1,FALSE)),1,0))</f>
        <v/>
      </c>
      <c r="BI441" s="305" t="str">
        <f t="shared" si="306"/>
        <v/>
      </c>
      <c r="BJ441" s="305" t="str">
        <f t="shared" si="307"/>
        <v/>
      </c>
      <c r="BK441" s="304" t="str">
        <f t="shared" si="308"/>
        <v/>
      </c>
      <c r="BL441" s="304">
        <f t="shared" si="309"/>
        <v>0</v>
      </c>
      <c r="BM441" s="304" t="str">
        <f>IF($AC441="", "", IF(ISNA(VLOOKUP($AC441, TABELAS!$Q:$Q, 1, FALSE)), 1, 0))</f>
        <v/>
      </c>
      <c r="BN441" s="306" t="str">
        <f t="shared" si="310"/>
        <v/>
      </c>
      <c r="BO441" s="304" t="str">
        <f t="shared" si="311"/>
        <v/>
      </c>
      <c r="BP441" s="304" t="str">
        <f t="shared" si="312"/>
        <v/>
      </c>
      <c r="BQ441" s="305" t="str">
        <f t="shared" si="313"/>
        <v/>
      </c>
      <c r="BR441" s="304" t="str">
        <f t="shared" si="314"/>
        <v/>
      </c>
      <c r="BS441" s="304" t="str">
        <f t="shared" si="315"/>
        <v/>
      </c>
      <c r="BT441" s="304" t="str">
        <f>IF(OR($B441="", $AH441 = "SIM"), "", IF( ISNA(VLOOKUP($AP441,#REF!, 1, FALSE)), 1, 0))</f>
        <v/>
      </c>
      <c r="BU441" s="304" t="str">
        <f t="shared" si="316"/>
        <v/>
      </c>
      <c r="BV441" s="304" t="str">
        <f>IF( $B441="", "", IF( ISNA(VLOOKUP($AN441, TABELAS!$T$2:$T$9,1,FALSE)), 1, 0))</f>
        <v/>
      </c>
      <c r="BW441" s="304" t="str">
        <f t="shared" si="317"/>
        <v/>
      </c>
      <c r="BX441" s="304" t="str">
        <f>IF( OR($B441="", $AH441 = "SIM"), "", IF( ISNA( VLOOKUP( $AQ441, SISTEMA!$B:$B, 1, FALSE)), 1, 0))</f>
        <v/>
      </c>
      <c r="BY441" s="305" t="str">
        <f t="shared" si="318"/>
        <v/>
      </c>
      <c r="BZ441" s="305" t="str">
        <f t="shared" si="319"/>
        <v/>
      </c>
      <c r="CA441" s="304" t="str">
        <f t="shared" si="320"/>
        <v/>
      </c>
      <c r="CB441" s="305" t="str">
        <f t="shared" si="321"/>
        <v/>
      </c>
      <c r="CC441" s="305" t="str">
        <f t="shared" si="322"/>
        <v/>
      </c>
      <c r="CD441" s="305" t="str">
        <f t="shared" si="323"/>
        <v/>
      </c>
    </row>
    <row r="442" spans="1:82" x14ac:dyDescent="0.2">
      <c r="A442" s="235"/>
      <c r="B442" s="236" t="str">
        <f t="shared" si="288"/>
        <v/>
      </c>
      <c r="C442" s="237" t="str">
        <f t="shared" si="278"/>
        <v/>
      </c>
      <c r="D442" s="237" t="str">
        <f t="shared" si="289"/>
        <v/>
      </c>
      <c r="E442" s="237" t="str">
        <f>IF($C442="", "", COUNTIF($M$8:$M442,$D442))</f>
        <v/>
      </c>
      <c r="F442" s="238">
        <v>435</v>
      </c>
      <c r="G442" s="239"/>
      <c r="H442" s="240"/>
      <c r="I442" s="240"/>
      <c r="J442" s="241"/>
      <c r="K442" s="240"/>
      <c r="L442" s="240"/>
      <c r="M442" s="240"/>
      <c r="N442" s="242"/>
      <c r="O442" s="243"/>
      <c r="P442" s="243"/>
      <c r="Q442" s="243"/>
      <c r="R442" s="243"/>
      <c r="S442" s="243"/>
      <c r="T442" s="245"/>
      <c r="U442" s="246" t="str">
        <f>IF($T442="", "", VLOOKUP($T442, CONTRATOS!$B:$E, 2, FALSE))</f>
        <v/>
      </c>
      <c r="V442" s="247">
        <f>IF(OR($T442="",TB_DEFESA!$C$2="Criação Baseline"),0,
   IF(VLOOKUP($T442, CONTRATOS!B:E, 3, FALSE)&lt;&gt;"",1,IF(VLOOKUP($T442, CONTRATOS!B:E, 4, FALSE)&lt;&gt;"",2,0)))</f>
        <v>0</v>
      </c>
      <c r="W442" s="248"/>
      <c r="X442" s="248"/>
      <c r="Y442" s="249"/>
      <c r="Z442" s="250"/>
      <c r="AA442" s="251"/>
      <c r="AB442" s="252"/>
      <c r="AC442" s="253"/>
      <c r="AD442" s="251"/>
      <c r="AE442" s="254" t="str">
        <f t="shared" si="279"/>
        <v/>
      </c>
      <c r="AF442" s="256" t="str">
        <f t="shared" si="290"/>
        <v/>
      </c>
      <c r="AG442" s="293" t="s">
        <v>62</v>
      </c>
      <c r="AH442" s="294" t="str">
        <f t="shared" si="291"/>
        <v/>
      </c>
      <c r="AI442" s="294" t="str">
        <f t="shared" si="292"/>
        <v/>
      </c>
      <c r="AJ442" s="295" t="str">
        <f t="shared" si="293"/>
        <v/>
      </c>
      <c r="AK442" s="296" t="str">
        <f t="shared" si="294"/>
        <v/>
      </c>
      <c r="AL442" s="297" t="str">
        <f t="shared" si="295"/>
        <v/>
      </c>
      <c r="AM442" s="294" t="str">
        <f t="shared" si="296"/>
        <v/>
      </c>
      <c r="AN442" s="294" t="str">
        <f t="shared" si="297"/>
        <v/>
      </c>
      <c r="AO442" s="298" t="str">
        <f t="shared" si="298"/>
        <v/>
      </c>
      <c r="AP442" s="299" t="str">
        <f t="shared" si="299"/>
        <v/>
      </c>
      <c r="AQ442" s="299" t="str">
        <f t="shared" si="300"/>
        <v/>
      </c>
      <c r="AR442" s="300" t="str">
        <f t="shared" si="280"/>
        <v/>
      </c>
      <c r="AS442" s="300" t="str">
        <f t="shared" si="281"/>
        <v/>
      </c>
      <c r="AT442" s="294" t="str">
        <f t="shared" si="282"/>
        <v/>
      </c>
      <c r="AU442" s="301" t="str">
        <f>IF(OR($B442="", $AP442= ""),"",IF(VLOOKUP($AP442, CONTRATOS!B:K,3,FALSE)="","",VLOOKUP($AP442, CONTRATOS!B:K, 3,FALSE)))</f>
        <v/>
      </c>
      <c r="AV442" s="301" t="str">
        <f>IF(OR($B442="", $AP442 = ""), "", IF(VLOOKUP($AP442, CONTRATOS!B:K,4,FALSE)="","",VLOOKUP($AP442, CONTRATOS!B:K,4, FALSE)))</f>
        <v/>
      </c>
      <c r="AW442" s="302" t="str">
        <f t="shared" si="283"/>
        <v/>
      </c>
      <c r="AX442" s="301" t="str">
        <f t="shared" si="284"/>
        <v/>
      </c>
      <c r="AY442" s="301" t="str">
        <f t="shared" si="285"/>
        <v/>
      </c>
      <c r="AZ442" s="301" t="str">
        <f t="shared" si="286"/>
        <v/>
      </c>
      <c r="BA442" s="301" t="str">
        <f t="shared" si="287"/>
        <v/>
      </c>
      <c r="BB442" s="303">
        <f t="shared" si="301"/>
        <v>0</v>
      </c>
      <c r="BC442" s="303" t="str">
        <f t="shared" si="302"/>
        <v/>
      </c>
      <c r="BD442" s="303" t="str">
        <f t="shared" si="303"/>
        <v/>
      </c>
      <c r="BF442" s="304">
        <f t="shared" si="304"/>
        <v>0</v>
      </c>
      <c r="BG442" s="304">
        <f t="shared" si="305"/>
        <v>0</v>
      </c>
      <c r="BH442" s="304" t="str">
        <f>IF( $B442="", "", IF(ISNA(VLOOKUP($C442, Defesa!$C$8:$C$30,1,FALSE)),1,0))</f>
        <v/>
      </c>
      <c r="BI442" s="305" t="str">
        <f t="shared" si="306"/>
        <v/>
      </c>
      <c r="BJ442" s="305" t="str">
        <f t="shared" si="307"/>
        <v/>
      </c>
      <c r="BK442" s="304" t="str">
        <f t="shared" si="308"/>
        <v/>
      </c>
      <c r="BL442" s="304">
        <f t="shared" si="309"/>
        <v>0</v>
      </c>
      <c r="BM442" s="304" t="str">
        <f>IF($AC442="", "", IF(ISNA(VLOOKUP($AC442, TABELAS!$Q:$Q, 1, FALSE)), 1, 0))</f>
        <v/>
      </c>
      <c r="BN442" s="306" t="str">
        <f t="shared" si="310"/>
        <v/>
      </c>
      <c r="BO442" s="304" t="str">
        <f t="shared" si="311"/>
        <v/>
      </c>
      <c r="BP442" s="304" t="str">
        <f t="shared" si="312"/>
        <v/>
      </c>
      <c r="BQ442" s="305" t="str">
        <f t="shared" si="313"/>
        <v/>
      </c>
      <c r="BR442" s="304" t="str">
        <f t="shared" si="314"/>
        <v/>
      </c>
      <c r="BS442" s="304" t="str">
        <f t="shared" si="315"/>
        <v/>
      </c>
      <c r="BT442" s="304" t="str">
        <f>IF(OR($B442="", $AH442 = "SIM"), "", IF( ISNA(VLOOKUP($AP442,#REF!, 1, FALSE)), 1, 0))</f>
        <v/>
      </c>
      <c r="BU442" s="304" t="str">
        <f t="shared" si="316"/>
        <v/>
      </c>
      <c r="BV442" s="304" t="str">
        <f>IF( $B442="", "", IF( ISNA(VLOOKUP($AN442, TABELAS!$T$2:$T$9,1,FALSE)), 1, 0))</f>
        <v/>
      </c>
      <c r="BW442" s="304" t="str">
        <f t="shared" si="317"/>
        <v/>
      </c>
      <c r="BX442" s="304" t="str">
        <f>IF( OR($B442="", $AH442 = "SIM"), "", IF( ISNA( VLOOKUP( $AQ442, SISTEMA!$B:$B, 1, FALSE)), 1, 0))</f>
        <v/>
      </c>
      <c r="BY442" s="305" t="str">
        <f t="shared" si="318"/>
        <v/>
      </c>
      <c r="BZ442" s="305" t="str">
        <f t="shared" si="319"/>
        <v/>
      </c>
      <c r="CA442" s="304" t="str">
        <f t="shared" si="320"/>
        <v/>
      </c>
      <c r="CB442" s="305" t="str">
        <f t="shared" si="321"/>
        <v/>
      </c>
      <c r="CC442" s="305" t="str">
        <f t="shared" si="322"/>
        <v/>
      </c>
      <c r="CD442" s="305" t="str">
        <f t="shared" si="323"/>
        <v/>
      </c>
    </row>
    <row r="443" spans="1:82" x14ac:dyDescent="0.2">
      <c r="A443" s="235"/>
      <c r="B443" s="236" t="str">
        <f t="shared" si="288"/>
        <v/>
      </c>
      <c r="C443" s="237" t="str">
        <f t="shared" si="278"/>
        <v/>
      </c>
      <c r="D443" s="237" t="str">
        <f t="shared" si="289"/>
        <v/>
      </c>
      <c r="E443" s="237" t="str">
        <f>IF($C443="", "", COUNTIF($M$8:$M443,$D443))</f>
        <v/>
      </c>
      <c r="F443" s="238">
        <v>436</v>
      </c>
      <c r="G443" s="239"/>
      <c r="H443" s="240"/>
      <c r="I443" s="240"/>
      <c r="J443" s="241"/>
      <c r="K443" s="240"/>
      <c r="L443" s="240"/>
      <c r="M443" s="240"/>
      <c r="N443" s="242"/>
      <c r="O443" s="243"/>
      <c r="P443" s="243"/>
      <c r="Q443" s="243"/>
      <c r="R443" s="243"/>
      <c r="S443" s="243"/>
      <c r="T443" s="245"/>
      <c r="U443" s="246" t="str">
        <f>IF($T443="", "", VLOOKUP($T443, CONTRATOS!$B:$E, 2, FALSE))</f>
        <v/>
      </c>
      <c r="V443" s="247">
        <f>IF(OR($T443="",TB_DEFESA!$C$2="Criação Baseline"),0,
   IF(VLOOKUP($T443, CONTRATOS!B:E, 3, FALSE)&lt;&gt;"",1,IF(VLOOKUP($T443, CONTRATOS!B:E, 4, FALSE)&lt;&gt;"",2,0)))</f>
        <v>0</v>
      </c>
      <c r="W443" s="248"/>
      <c r="X443" s="248"/>
      <c r="Y443" s="249"/>
      <c r="Z443" s="250"/>
      <c r="AA443" s="251"/>
      <c r="AB443" s="252"/>
      <c r="AC443" s="253"/>
      <c r="AD443" s="251"/>
      <c r="AE443" s="254" t="str">
        <f t="shared" si="279"/>
        <v/>
      </c>
      <c r="AF443" s="256" t="str">
        <f t="shared" si="290"/>
        <v/>
      </c>
      <c r="AG443" s="293" t="s">
        <v>62</v>
      </c>
      <c r="AH443" s="294" t="str">
        <f t="shared" si="291"/>
        <v/>
      </c>
      <c r="AI443" s="294" t="str">
        <f t="shared" si="292"/>
        <v/>
      </c>
      <c r="AJ443" s="295" t="str">
        <f t="shared" si="293"/>
        <v/>
      </c>
      <c r="AK443" s="296" t="str">
        <f t="shared" si="294"/>
        <v/>
      </c>
      <c r="AL443" s="297" t="str">
        <f t="shared" si="295"/>
        <v/>
      </c>
      <c r="AM443" s="294" t="str">
        <f t="shared" si="296"/>
        <v/>
      </c>
      <c r="AN443" s="294" t="str">
        <f t="shared" si="297"/>
        <v/>
      </c>
      <c r="AO443" s="298" t="str">
        <f t="shared" si="298"/>
        <v/>
      </c>
      <c r="AP443" s="299" t="str">
        <f t="shared" si="299"/>
        <v/>
      </c>
      <c r="AQ443" s="299" t="str">
        <f t="shared" si="300"/>
        <v/>
      </c>
      <c r="AR443" s="300" t="str">
        <f t="shared" si="280"/>
        <v/>
      </c>
      <c r="AS443" s="300" t="str">
        <f t="shared" si="281"/>
        <v/>
      </c>
      <c r="AT443" s="294" t="str">
        <f t="shared" si="282"/>
        <v/>
      </c>
      <c r="AU443" s="301" t="str">
        <f>IF(OR($B443="", $AP443= ""),"",IF(VLOOKUP($AP443, CONTRATOS!B:K,3,FALSE)="","",VLOOKUP($AP443, CONTRATOS!B:K, 3,FALSE)))</f>
        <v/>
      </c>
      <c r="AV443" s="301" t="str">
        <f>IF(OR($B443="", $AP443 = ""), "", IF(VLOOKUP($AP443, CONTRATOS!B:K,4,FALSE)="","",VLOOKUP($AP443, CONTRATOS!B:K,4, FALSE)))</f>
        <v/>
      </c>
      <c r="AW443" s="302" t="str">
        <f t="shared" si="283"/>
        <v/>
      </c>
      <c r="AX443" s="301" t="str">
        <f t="shared" si="284"/>
        <v/>
      </c>
      <c r="AY443" s="301" t="str">
        <f t="shared" si="285"/>
        <v/>
      </c>
      <c r="AZ443" s="301" t="str">
        <f t="shared" si="286"/>
        <v/>
      </c>
      <c r="BA443" s="301" t="str">
        <f t="shared" si="287"/>
        <v/>
      </c>
      <c r="BB443" s="303">
        <f t="shared" si="301"/>
        <v>0</v>
      </c>
      <c r="BC443" s="303" t="str">
        <f t="shared" si="302"/>
        <v/>
      </c>
      <c r="BD443" s="303" t="str">
        <f t="shared" si="303"/>
        <v/>
      </c>
      <c r="BF443" s="304">
        <f t="shared" si="304"/>
        <v>0</v>
      </c>
      <c r="BG443" s="304">
        <f t="shared" si="305"/>
        <v>0</v>
      </c>
      <c r="BH443" s="304" t="str">
        <f>IF( $B443="", "", IF(ISNA(VLOOKUP($C443, Defesa!$C$8:$C$30,1,FALSE)),1,0))</f>
        <v/>
      </c>
      <c r="BI443" s="305" t="str">
        <f t="shared" si="306"/>
        <v/>
      </c>
      <c r="BJ443" s="305" t="str">
        <f t="shared" si="307"/>
        <v/>
      </c>
      <c r="BK443" s="304" t="str">
        <f t="shared" si="308"/>
        <v/>
      </c>
      <c r="BL443" s="304">
        <f t="shared" si="309"/>
        <v>0</v>
      </c>
      <c r="BM443" s="304" t="str">
        <f>IF($AC443="", "", IF(ISNA(VLOOKUP($AC443, TABELAS!$Q:$Q, 1, FALSE)), 1, 0))</f>
        <v/>
      </c>
      <c r="BN443" s="306" t="str">
        <f t="shared" si="310"/>
        <v/>
      </c>
      <c r="BO443" s="304" t="str">
        <f t="shared" si="311"/>
        <v/>
      </c>
      <c r="BP443" s="304" t="str">
        <f t="shared" si="312"/>
        <v/>
      </c>
      <c r="BQ443" s="305" t="str">
        <f t="shared" si="313"/>
        <v/>
      </c>
      <c r="BR443" s="304" t="str">
        <f t="shared" si="314"/>
        <v/>
      </c>
      <c r="BS443" s="304" t="str">
        <f t="shared" si="315"/>
        <v/>
      </c>
      <c r="BT443" s="304" t="str">
        <f>IF(OR($B443="", $AH443 = "SIM"), "", IF( ISNA(VLOOKUP($AP443,#REF!, 1, FALSE)), 1, 0))</f>
        <v/>
      </c>
      <c r="BU443" s="304" t="str">
        <f t="shared" si="316"/>
        <v/>
      </c>
      <c r="BV443" s="304" t="str">
        <f>IF( $B443="", "", IF( ISNA(VLOOKUP($AN443, TABELAS!$T$2:$T$9,1,FALSE)), 1, 0))</f>
        <v/>
      </c>
      <c r="BW443" s="304" t="str">
        <f t="shared" si="317"/>
        <v/>
      </c>
      <c r="BX443" s="304" t="str">
        <f>IF( OR($B443="", $AH443 = "SIM"), "", IF( ISNA( VLOOKUP( $AQ443, SISTEMA!$B:$B, 1, FALSE)), 1, 0))</f>
        <v/>
      </c>
      <c r="BY443" s="305" t="str">
        <f t="shared" si="318"/>
        <v/>
      </c>
      <c r="BZ443" s="305" t="str">
        <f t="shared" si="319"/>
        <v/>
      </c>
      <c r="CA443" s="304" t="str">
        <f t="shared" si="320"/>
        <v/>
      </c>
      <c r="CB443" s="305" t="str">
        <f t="shared" si="321"/>
        <v/>
      </c>
      <c r="CC443" s="305" t="str">
        <f t="shared" si="322"/>
        <v/>
      </c>
      <c r="CD443" s="305" t="str">
        <f t="shared" si="323"/>
        <v/>
      </c>
    </row>
    <row r="444" spans="1:82" x14ac:dyDescent="0.2">
      <c r="A444" s="235"/>
      <c r="B444" s="236" t="str">
        <f t="shared" si="288"/>
        <v/>
      </c>
      <c r="C444" s="237" t="str">
        <f t="shared" si="278"/>
        <v/>
      </c>
      <c r="D444" s="237" t="str">
        <f t="shared" si="289"/>
        <v/>
      </c>
      <c r="E444" s="237" t="str">
        <f>IF($C444="", "", COUNTIF($M$8:$M444,$D444))</f>
        <v/>
      </c>
      <c r="F444" s="238">
        <v>437</v>
      </c>
      <c r="G444" s="239"/>
      <c r="H444" s="240"/>
      <c r="I444" s="240"/>
      <c r="J444" s="241"/>
      <c r="K444" s="240"/>
      <c r="L444" s="240"/>
      <c r="M444" s="240"/>
      <c r="N444" s="242"/>
      <c r="O444" s="243"/>
      <c r="P444" s="243"/>
      <c r="Q444" s="243"/>
      <c r="R444" s="243"/>
      <c r="S444" s="243"/>
      <c r="T444" s="245"/>
      <c r="U444" s="246" t="str">
        <f>IF($T444="", "", VLOOKUP($T444, CONTRATOS!$B:$E, 2, FALSE))</f>
        <v/>
      </c>
      <c r="V444" s="247">
        <f>IF(OR($T444="",TB_DEFESA!$C$2="Criação Baseline"),0,
   IF(VLOOKUP($T444, CONTRATOS!B:E, 3, FALSE)&lt;&gt;"",1,IF(VLOOKUP($T444, CONTRATOS!B:E, 4, FALSE)&lt;&gt;"",2,0)))</f>
        <v>0</v>
      </c>
      <c r="W444" s="248"/>
      <c r="X444" s="248"/>
      <c r="Y444" s="249"/>
      <c r="Z444" s="250"/>
      <c r="AA444" s="251"/>
      <c r="AB444" s="252"/>
      <c r="AC444" s="253"/>
      <c r="AD444" s="251"/>
      <c r="AE444" s="254" t="str">
        <f t="shared" si="279"/>
        <v/>
      </c>
      <c r="AF444" s="256" t="str">
        <f t="shared" si="290"/>
        <v/>
      </c>
      <c r="AG444" s="293" t="s">
        <v>62</v>
      </c>
      <c r="AH444" s="294" t="str">
        <f t="shared" si="291"/>
        <v/>
      </c>
      <c r="AI444" s="294" t="str">
        <f t="shared" si="292"/>
        <v/>
      </c>
      <c r="AJ444" s="295" t="str">
        <f t="shared" si="293"/>
        <v/>
      </c>
      <c r="AK444" s="296" t="str">
        <f t="shared" si="294"/>
        <v/>
      </c>
      <c r="AL444" s="297" t="str">
        <f t="shared" si="295"/>
        <v/>
      </c>
      <c r="AM444" s="294" t="str">
        <f t="shared" si="296"/>
        <v/>
      </c>
      <c r="AN444" s="294" t="str">
        <f t="shared" si="297"/>
        <v/>
      </c>
      <c r="AO444" s="298" t="str">
        <f t="shared" si="298"/>
        <v/>
      </c>
      <c r="AP444" s="299" t="str">
        <f t="shared" si="299"/>
        <v/>
      </c>
      <c r="AQ444" s="299" t="str">
        <f t="shared" si="300"/>
        <v/>
      </c>
      <c r="AR444" s="300" t="str">
        <f t="shared" si="280"/>
        <v/>
      </c>
      <c r="AS444" s="300" t="str">
        <f t="shared" si="281"/>
        <v/>
      </c>
      <c r="AT444" s="294" t="str">
        <f t="shared" si="282"/>
        <v/>
      </c>
      <c r="AU444" s="301" t="str">
        <f>IF(OR($B444="", $AP444= ""),"",IF(VLOOKUP($AP444, CONTRATOS!B:K,3,FALSE)="","",VLOOKUP($AP444, CONTRATOS!B:K, 3,FALSE)))</f>
        <v/>
      </c>
      <c r="AV444" s="301" t="str">
        <f>IF(OR($B444="", $AP444 = ""), "", IF(VLOOKUP($AP444, CONTRATOS!B:K,4,FALSE)="","",VLOOKUP($AP444, CONTRATOS!B:K,4, FALSE)))</f>
        <v/>
      </c>
      <c r="AW444" s="302" t="str">
        <f t="shared" si="283"/>
        <v/>
      </c>
      <c r="AX444" s="301" t="str">
        <f t="shared" si="284"/>
        <v/>
      </c>
      <c r="AY444" s="301" t="str">
        <f t="shared" si="285"/>
        <v/>
      </c>
      <c r="AZ444" s="301" t="str">
        <f t="shared" si="286"/>
        <v/>
      </c>
      <c r="BA444" s="301" t="str">
        <f t="shared" si="287"/>
        <v/>
      </c>
      <c r="BB444" s="303">
        <f t="shared" si="301"/>
        <v>0</v>
      </c>
      <c r="BC444" s="303" t="str">
        <f t="shared" si="302"/>
        <v/>
      </c>
      <c r="BD444" s="303" t="str">
        <f t="shared" si="303"/>
        <v/>
      </c>
      <c r="BF444" s="304">
        <f t="shared" si="304"/>
        <v>0</v>
      </c>
      <c r="BG444" s="304">
        <f t="shared" si="305"/>
        <v>0</v>
      </c>
      <c r="BH444" s="304" t="str">
        <f>IF( $B444="", "", IF(ISNA(VLOOKUP($C444, Defesa!$C$8:$C$30,1,FALSE)),1,0))</f>
        <v/>
      </c>
      <c r="BI444" s="305" t="str">
        <f t="shared" si="306"/>
        <v/>
      </c>
      <c r="BJ444" s="305" t="str">
        <f t="shared" si="307"/>
        <v/>
      </c>
      <c r="BK444" s="304" t="str">
        <f t="shared" si="308"/>
        <v/>
      </c>
      <c r="BL444" s="304">
        <f t="shared" si="309"/>
        <v>0</v>
      </c>
      <c r="BM444" s="304" t="str">
        <f>IF($AC444="", "", IF(ISNA(VLOOKUP($AC444, TABELAS!$Q:$Q, 1, FALSE)), 1, 0))</f>
        <v/>
      </c>
      <c r="BN444" s="306" t="str">
        <f t="shared" si="310"/>
        <v/>
      </c>
      <c r="BO444" s="304" t="str">
        <f t="shared" si="311"/>
        <v/>
      </c>
      <c r="BP444" s="304" t="str">
        <f t="shared" si="312"/>
        <v/>
      </c>
      <c r="BQ444" s="305" t="str">
        <f t="shared" si="313"/>
        <v/>
      </c>
      <c r="BR444" s="304" t="str">
        <f t="shared" si="314"/>
        <v/>
      </c>
      <c r="BS444" s="304" t="str">
        <f t="shared" si="315"/>
        <v/>
      </c>
      <c r="BT444" s="304" t="str">
        <f>IF(OR($B444="", $AH444 = "SIM"), "", IF( ISNA(VLOOKUP($AP444,#REF!, 1, FALSE)), 1, 0))</f>
        <v/>
      </c>
      <c r="BU444" s="304" t="str">
        <f t="shared" si="316"/>
        <v/>
      </c>
      <c r="BV444" s="304" t="str">
        <f>IF( $B444="", "", IF( ISNA(VLOOKUP($AN444, TABELAS!$T$2:$T$9,1,FALSE)), 1, 0))</f>
        <v/>
      </c>
      <c r="BW444" s="304" t="str">
        <f t="shared" si="317"/>
        <v/>
      </c>
      <c r="BX444" s="304" t="str">
        <f>IF( OR($B444="", $AH444 = "SIM"), "", IF( ISNA( VLOOKUP( $AQ444, SISTEMA!$B:$B, 1, FALSE)), 1, 0))</f>
        <v/>
      </c>
      <c r="BY444" s="305" t="str">
        <f t="shared" si="318"/>
        <v/>
      </c>
      <c r="BZ444" s="305" t="str">
        <f t="shared" si="319"/>
        <v/>
      </c>
      <c r="CA444" s="304" t="str">
        <f t="shared" si="320"/>
        <v/>
      </c>
      <c r="CB444" s="305" t="str">
        <f t="shared" si="321"/>
        <v/>
      </c>
      <c r="CC444" s="305" t="str">
        <f t="shared" si="322"/>
        <v/>
      </c>
      <c r="CD444" s="305" t="str">
        <f t="shared" si="323"/>
        <v/>
      </c>
    </row>
    <row r="445" spans="1:82" x14ac:dyDescent="0.2">
      <c r="A445" s="235"/>
      <c r="B445" s="236" t="str">
        <f t="shared" si="288"/>
        <v/>
      </c>
      <c r="C445" s="237" t="str">
        <f t="shared" si="278"/>
        <v/>
      </c>
      <c r="D445" s="237" t="str">
        <f t="shared" si="289"/>
        <v/>
      </c>
      <c r="E445" s="237" t="str">
        <f>IF($C445="", "", COUNTIF($M$8:$M445,$D445))</f>
        <v/>
      </c>
      <c r="F445" s="238">
        <v>438</v>
      </c>
      <c r="G445" s="239"/>
      <c r="H445" s="240"/>
      <c r="I445" s="240"/>
      <c r="J445" s="241"/>
      <c r="K445" s="240"/>
      <c r="L445" s="240"/>
      <c r="M445" s="240"/>
      <c r="N445" s="242"/>
      <c r="O445" s="243"/>
      <c r="P445" s="243"/>
      <c r="Q445" s="243"/>
      <c r="R445" s="243"/>
      <c r="S445" s="243"/>
      <c r="T445" s="245"/>
      <c r="U445" s="246" t="str">
        <f>IF($T445="", "", VLOOKUP($T445, CONTRATOS!$B:$E, 2, FALSE))</f>
        <v/>
      </c>
      <c r="V445" s="247">
        <f>IF(OR($T445="",TB_DEFESA!$C$2="Criação Baseline"),0,
   IF(VLOOKUP($T445, CONTRATOS!B:E, 3, FALSE)&lt;&gt;"",1,IF(VLOOKUP($T445, CONTRATOS!B:E, 4, FALSE)&lt;&gt;"",2,0)))</f>
        <v>0</v>
      </c>
      <c r="W445" s="248"/>
      <c r="X445" s="248"/>
      <c r="Y445" s="249"/>
      <c r="Z445" s="250"/>
      <c r="AA445" s="251"/>
      <c r="AB445" s="252"/>
      <c r="AC445" s="253"/>
      <c r="AD445" s="251"/>
      <c r="AE445" s="254" t="str">
        <f t="shared" si="279"/>
        <v/>
      </c>
      <c r="AF445" s="256" t="str">
        <f t="shared" si="290"/>
        <v/>
      </c>
      <c r="AG445" s="293" t="s">
        <v>62</v>
      </c>
      <c r="AH445" s="294" t="str">
        <f t="shared" si="291"/>
        <v/>
      </c>
      <c r="AI445" s="294" t="str">
        <f t="shared" si="292"/>
        <v/>
      </c>
      <c r="AJ445" s="295" t="str">
        <f t="shared" si="293"/>
        <v/>
      </c>
      <c r="AK445" s="296" t="str">
        <f t="shared" si="294"/>
        <v/>
      </c>
      <c r="AL445" s="297" t="str">
        <f t="shared" si="295"/>
        <v/>
      </c>
      <c r="AM445" s="294" t="str">
        <f t="shared" si="296"/>
        <v/>
      </c>
      <c r="AN445" s="294" t="str">
        <f t="shared" si="297"/>
        <v/>
      </c>
      <c r="AO445" s="298" t="str">
        <f t="shared" si="298"/>
        <v/>
      </c>
      <c r="AP445" s="299" t="str">
        <f t="shared" si="299"/>
        <v/>
      </c>
      <c r="AQ445" s="299" t="str">
        <f t="shared" si="300"/>
        <v/>
      </c>
      <c r="AR445" s="300" t="str">
        <f t="shared" si="280"/>
        <v/>
      </c>
      <c r="AS445" s="300" t="str">
        <f t="shared" si="281"/>
        <v/>
      </c>
      <c r="AT445" s="294" t="str">
        <f t="shared" si="282"/>
        <v/>
      </c>
      <c r="AU445" s="301" t="str">
        <f>IF(OR($B445="", $AP445= ""),"",IF(VLOOKUP($AP445, CONTRATOS!B:K,3,FALSE)="","",VLOOKUP($AP445, CONTRATOS!B:K, 3,FALSE)))</f>
        <v/>
      </c>
      <c r="AV445" s="301" t="str">
        <f>IF(OR($B445="", $AP445 = ""), "", IF(VLOOKUP($AP445, CONTRATOS!B:K,4,FALSE)="","",VLOOKUP($AP445, CONTRATOS!B:K,4, FALSE)))</f>
        <v/>
      </c>
      <c r="AW445" s="302" t="str">
        <f t="shared" si="283"/>
        <v/>
      </c>
      <c r="AX445" s="301" t="str">
        <f t="shared" si="284"/>
        <v/>
      </c>
      <c r="AY445" s="301" t="str">
        <f t="shared" si="285"/>
        <v/>
      </c>
      <c r="AZ445" s="301" t="str">
        <f t="shared" si="286"/>
        <v/>
      </c>
      <c r="BA445" s="301" t="str">
        <f t="shared" si="287"/>
        <v/>
      </c>
      <c r="BB445" s="303">
        <f t="shared" si="301"/>
        <v>0</v>
      </c>
      <c r="BC445" s="303" t="str">
        <f t="shared" si="302"/>
        <v/>
      </c>
      <c r="BD445" s="303" t="str">
        <f t="shared" si="303"/>
        <v/>
      </c>
      <c r="BF445" s="304">
        <f t="shared" si="304"/>
        <v>0</v>
      </c>
      <c r="BG445" s="304">
        <f t="shared" si="305"/>
        <v>0</v>
      </c>
      <c r="BH445" s="304" t="str">
        <f>IF( $B445="", "", IF(ISNA(VLOOKUP($C445, Defesa!$C$8:$C$30,1,FALSE)),1,0))</f>
        <v/>
      </c>
      <c r="BI445" s="305" t="str">
        <f t="shared" si="306"/>
        <v/>
      </c>
      <c r="BJ445" s="305" t="str">
        <f t="shared" si="307"/>
        <v/>
      </c>
      <c r="BK445" s="304" t="str">
        <f t="shared" si="308"/>
        <v/>
      </c>
      <c r="BL445" s="304">
        <f t="shared" si="309"/>
        <v>0</v>
      </c>
      <c r="BM445" s="304" t="str">
        <f>IF($AC445="", "", IF(ISNA(VLOOKUP($AC445, TABELAS!$Q:$Q, 1, FALSE)), 1, 0))</f>
        <v/>
      </c>
      <c r="BN445" s="306" t="str">
        <f t="shared" si="310"/>
        <v/>
      </c>
      <c r="BO445" s="304" t="str">
        <f t="shared" si="311"/>
        <v/>
      </c>
      <c r="BP445" s="304" t="str">
        <f t="shared" si="312"/>
        <v/>
      </c>
      <c r="BQ445" s="305" t="str">
        <f t="shared" si="313"/>
        <v/>
      </c>
      <c r="BR445" s="304" t="str">
        <f t="shared" si="314"/>
        <v/>
      </c>
      <c r="BS445" s="304" t="str">
        <f t="shared" si="315"/>
        <v/>
      </c>
      <c r="BT445" s="304" t="str">
        <f>IF(OR($B445="", $AH445 = "SIM"), "", IF( ISNA(VLOOKUP($AP445,#REF!, 1, FALSE)), 1, 0))</f>
        <v/>
      </c>
      <c r="BU445" s="304" t="str">
        <f t="shared" si="316"/>
        <v/>
      </c>
      <c r="BV445" s="304" t="str">
        <f>IF( $B445="", "", IF( ISNA(VLOOKUP($AN445, TABELAS!$T$2:$T$9,1,FALSE)), 1, 0))</f>
        <v/>
      </c>
      <c r="BW445" s="304" t="str">
        <f t="shared" si="317"/>
        <v/>
      </c>
      <c r="BX445" s="304" t="str">
        <f>IF( OR($B445="", $AH445 = "SIM"), "", IF( ISNA( VLOOKUP( $AQ445, SISTEMA!$B:$B, 1, FALSE)), 1, 0))</f>
        <v/>
      </c>
      <c r="BY445" s="305" t="str">
        <f t="shared" si="318"/>
        <v/>
      </c>
      <c r="BZ445" s="305" t="str">
        <f t="shared" si="319"/>
        <v/>
      </c>
      <c r="CA445" s="304" t="str">
        <f t="shared" si="320"/>
        <v/>
      </c>
      <c r="CB445" s="305" t="str">
        <f t="shared" si="321"/>
        <v/>
      </c>
      <c r="CC445" s="305" t="str">
        <f t="shared" si="322"/>
        <v/>
      </c>
      <c r="CD445" s="305" t="str">
        <f t="shared" si="323"/>
        <v/>
      </c>
    </row>
    <row r="446" spans="1:82" x14ac:dyDescent="0.2">
      <c r="A446" s="235"/>
      <c r="B446" s="236" t="str">
        <f t="shared" si="288"/>
        <v/>
      </c>
      <c r="C446" s="237" t="str">
        <f t="shared" si="278"/>
        <v/>
      </c>
      <c r="D446" s="237" t="str">
        <f t="shared" si="289"/>
        <v/>
      </c>
      <c r="E446" s="237" t="str">
        <f>IF($C446="", "", COUNTIF($M$8:$M446,$D446))</f>
        <v/>
      </c>
      <c r="F446" s="238">
        <v>439</v>
      </c>
      <c r="G446" s="239"/>
      <c r="H446" s="240"/>
      <c r="I446" s="240"/>
      <c r="J446" s="241"/>
      <c r="K446" s="240"/>
      <c r="L446" s="240"/>
      <c r="M446" s="240"/>
      <c r="N446" s="242"/>
      <c r="O446" s="243"/>
      <c r="P446" s="243"/>
      <c r="Q446" s="243"/>
      <c r="R446" s="243"/>
      <c r="S446" s="243"/>
      <c r="T446" s="245"/>
      <c r="U446" s="246" t="str">
        <f>IF($T446="", "", VLOOKUP($T446, CONTRATOS!$B:$E, 2, FALSE))</f>
        <v/>
      </c>
      <c r="V446" s="247">
        <f>IF(OR($T446="",TB_DEFESA!$C$2="Criação Baseline"),0,
   IF(VLOOKUP($T446, CONTRATOS!B:E, 3, FALSE)&lt;&gt;"",1,IF(VLOOKUP($T446, CONTRATOS!B:E, 4, FALSE)&lt;&gt;"",2,0)))</f>
        <v>0</v>
      </c>
      <c r="W446" s="248"/>
      <c r="X446" s="248"/>
      <c r="Y446" s="249"/>
      <c r="Z446" s="250"/>
      <c r="AA446" s="251"/>
      <c r="AB446" s="252"/>
      <c r="AC446" s="253"/>
      <c r="AD446" s="251"/>
      <c r="AE446" s="254" t="str">
        <f t="shared" si="279"/>
        <v/>
      </c>
      <c r="AF446" s="256" t="str">
        <f t="shared" si="290"/>
        <v/>
      </c>
      <c r="AG446" s="293" t="s">
        <v>62</v>
      </c>
      <c r="AH446" s="294" t="str">
        <f t="shared" si="291"/>
        <v/>
      </c>
      <c r="AI446" s="294" t="str">
        <f t="shared" si="292"/>
        <v/>
      </c>
      <c r="AJ446" s="295" t="str">
        <f t="shared" si="293"/>
        <v/>
      </c>
      <c r="AK446" s="296" t="str">
        <f t="shared" si="294"/>
        <v/>
      </c>
      <c r="AL446" s="297" t="str">
        <f t="shared" si="295"/>
        <v/>
      </c>
      <c r="AM446" s="294" t="str">
        <f t="shared" si="296"/>
        <v/>
      </c>
      <c r="AN446" s="294" t="str">
        <f t="shared" si="297"/>
        <v/>
      </c>
      <c r="AO446" s="298" t="str">
        <f t="shared" si="298"/>
        <v/>
      </c>
      <c r="AP446" s="299" t="str">
        <f t="shared" si="299"/>
        <v/>
      </c>
      <c r="AQ446" s="299" t="str">
        <f t="shared" si="300"/>
        <v/>
      </c>
      <c r="AR446" s="300" t="str">
        <f t="shared" si="280"/>
        <v/>
      </c>
      <c r="AS446" s="300" t="str">
        <f t="shared" si="281"/>
        <v/>
      </c>
      <c r="AT446" s="294" t="str">
        <f t="shared" si="282"/>
        <v/>
      </c>
      <c r="AU446" s="301" t="str">
        <f>IF(OR($B446="", $AP446= ""),"",IF(VLOOKUP($AP446, CONTRATOS!B:K,3,FALSE)="","",VLOOKUP($AP446, CONTRATOS!B:K, 3,FALSE)))</f>
        <v/>
      </c>
      <c r="AV446" s="301" t="str">
        <f>IF(OR($B446="", $AP446 = ""), "", IF(VLOOKUP($AP446, CONTRATOS!B:K,4,FALSE)="","",VLOOKUP($AP446, CONTRATOS!B:K,4, FALSE)))</f>
        <v/>
      </c>
      <c r="AW446" s="302" t="str">
        <f t="shared" si="283"/>
        <v/>
      </c>
      <c r="AX446" s="301" t="str">
        <f t="shared" si="284"/>
        <v/>
      </c>
      <c r="AY446" s="301" t="str">
        <f t="shared" si="285"/>
        <v/>
      </c>
      <c r="AZ446" s="301" t="str">
        <f t="shared" si="286"/>
        <v/>
      </c>
      <c r="BA446" s="301" t="str">
        <f t="shared" si="287"/>
        <v/>
      </c>
      <c r="BB446" s="303">
        <f t="shared" si="301"/>
        <v>0</v>
      </c>
      <c r="BC446" s="303" t="str">
        <f t="shared" si="302"/>
        <v/>
      </c>
      <c r="BD446" s="303" t="str">
        <f t="shared" si="303"/>
        <v/>
      </c>
      <c r="BF446" s="304">
        <f t="shared" si="304"/>
        <v>0</v>
      </c>
      <c r="BG446" s="304">
        <f t="shared" si="305"/>
        <v>0</v>
      </c>
      <c r="BH446" s="304" t="str">
        <f>IF( $B446="", "", IF(ISNA(VLOOKUP($C446, Defesa!$C$8:$C$30,1,FALSE)),1,0))</f>
        <v/>
      </c>
      <c r="BI446" s="305" t="str">
        <f t="shared" si="306"/>
        <v/>
      </c>
      <c r="BJ446" s="305" t="str">
        <f t="shared" si="307"/>
        <v/>
      </c>
      <c r="BK446" s="304" t="str">
        <f t="shared" si="308"/>
        <v/>
      </c>
      <c r="BL446" s="304">
        <f t="shared" si="309"/>
        <v>0</v>
      </c>
      <c r="BM446" s="304" t="str">
        <f>IF($AC446="", "", IF(ISNA(VLOOKUP($AC446, TABELAS!$Q:$Q, 1, FALSE)), 1, 0))</f>
        <v/>
      </c>
      <c r="BN446" s="306" t="str">
        <f t="shared" si="310"/>
        <v/>
      </c>
      <c r="BO446" s="304" t="str">
        <f t="shared" si="311"/>
        <v/>
      </c>
      <c r="BP446" s="304" t="str">
        <f t="shared" si="312"/>
        <v/>
      </c>
      <c r="BQ446" s="305" t="str">
        <f t="shared" si="313"/>
        <v/>
      </c>
      <c r="BR446" s="304" t="str">
        <f t="shared" si="314"/>
        <v/>
      </c>
      <c r="BS446" s="304" t="str">
        <f t="shared" si="315"/>
        <v/>
      </c>
      <c r="BT446" s="304" t="str">
        <f>IF(OR($B446="", $AH446 = "SIM"), "", IF( ISNA(VLOOKUP($AP446,#REF!, 1, FALSE)), 1, 0))</f>
        <v/>
      </c>
      <c r="BU446" s="304" t="str">
        <f t="shared" si="316"/>
        <v/>
      </c>
      <c r="BV446" s="304" t="str">
        <f>IF( $B446="", "", IF( ISNA(VLOOKUP($AN446, TABELAS!$T$2:$T$9,1,FALSE)), 1, 0))</f>
        <v/>
      </c>
      <c r="BW446" s="304" t="str">
        <f t="shared" si="317"/>
        <v/>
      </c>
      <c r="BX446" s="304" t="str">
        <f>IF( OR($B446="", $AH446 = "SIM"), "", IF( ISNA( VLOOKUP( $AQ446, SISTEMA!$B:$B, 1, FALSE)), 1, 0))</f>
        <v/>
      </c>
      <c r="BY446" s="305" t="str">
        <f t="shared" si="318"/>
        <v/>
      </c>
      <c r="BZ446" s="305" t="str">
        <f t="shared" si="319"/>
        <v/>
      </c>
      <c r="CA446" s="304" t="str">
        <f t="shared" si="320"/>
        <v/>
      </c>
      <c r="CB446" s="305" t="str">
        <f t="shared" si="321"/>
        <v/>
      </c>
      <c r="CC446" s="305" t="str">
        <f t="shared" si="322"/>
        <v/>
      </c>
      <c r="CD446" s="305" t="str">
        <f t="shared" si="323"/>
        <v/>
      </c>
    </row>
    <row r="447" spans="1:82" x14ac:dyDescent="0.2">
      <c r="A447" s="235"/>
      <c r="B447" s="236" t="str">
        <f t="shared" si="288"/>
        <v/>
      </c>
      <c r="C447" s="237" t="str">
        <f t="shared" si="278"/>
        <v/>
      </c>
      <c r="D447" s="237" t="str">
        <f t="shared" si="289"/>
        <v/>
      </c>
      <c r="E447" s="237" t="str">
        <f>IF($C447="", "", COUNTIF($M$8:$M447,$D447))</f>
        <v/>
      </c>
      <c r="F447" s="238">
        <v>440</v>
      </c>
      <c r="G447" s="239"/>
      <c r="H447" s="240"/>
      <c r="I447" s="240"/>
      <c r="J447" s="241"/>
      <c r="K447" s="240"/>
      <c r="L447" s="240"/>
      <c r="M447" s="240"/>
      <c r="N447" s="242"/>
      <c r="O447" s="243"/>
      <c r="P447" s="243"/>
      <c r="Q447" s="243"/>
      <c r="R447" s="243"/>
      <c r="S447" s="243"/>
      <c r="T447" s="245"/>
      <c r="U447" s="246" t="str">
        <f>IF($T447="", "", VLOOKUP($T447, CONTRATOS!$B:$E, 2, FALSE))</f>
        <v/>
      </c>
      <c r="V447" s="247">
        <f>IF(OR($T447="",TB_DEFESA!$C$2="Criação Baseline"),0,
   IF(VLOOKUP($T447, CONTRATOS!B:E, 3, FALSE)&lt;&gt;"",1,IF(VLOOKUP($T447, CONTRATOS!B:E, 4, FALSE)&lt;&gt;"",2,0)))</f>
        <v>0</v>
      </c>
      <c r="W447" s="248"/>
      <c r="X447" s="248"/>
      <c r="Y447" s="249"/>
      <c r="Z447" s="250"/>
      <c r="AA447" s="251"/>
      <c r="AB447" s="252"/>
      <c r="AC447" s="253"/>
      <c r="AD447" s="251"/>
      <c r="AE447" s="254" t="str">
        <f t="shared" si="279"/>
        <v/>
      </c>
      <c r="AF447" s="256" t="str">
        <f t="shared" si="290"/>
        <v/>
      </c>
      <c r="AG447" s="293" t="s">
        <v>62</v>
      </c>
      <c r="AH447" s="294" t="str">
        <f t="shared" si="291"/>
        <v/>
      </c>
      <c r="AI447" s="294" t="str">
        <f t="shared" si="292"/>
        <v/>
      </c>
      <c r="AJ447" s="295" t="str">
        <f t="shared" si="293"/>
        <v/>
      </c>
      <c r="AK447" s="296" t="str">
        <f t="shared" si="294"/>
        <v/>
      </c>
      <c r="AL447" s="297" t="str">
        <f t="shared" si="295"/>
        <v/>
      </c>
      <c r="AM447" s="294" t="str">
        <f t="shared" si="296"/>
        <v/>
      </c>
      <c r="AN447" s="294" t="str">
        <f t="shared" si="297"/>
        <v/>
      </c>
      <c r="AO447" s="298" t="str">
        <f t="shared" si="298"/>
        <v/>
      </c>
      <c r="AP447" s="299" t="str">
        <f t="shared" si="299"/>
        <v/>
      </c>
      <c r="AQ447" s="299" t="str">
        <f t="shared" si="300"/>
        <v/>
      </c>
      <c r="AR447" s="300" t="str">
        <f t="shared" si="280"/>
        <v/>
      </c>
      <c r="AS447" s="300" t="str">
        <f t="shared" si="281"/>
        <v/>
      </c>
      <c r="AT447" s="294" t="str">
        <f t="shared" si="282"/>
        <v/>
      </c>
      <c r="AU447" s="301" t="str">
        <f>IF(OR($B447="", $AP447= ""),"",IF(VLOOKUP($AP447, CONTRATOS!B:K,3,FALSE)="","",VLOOKUP($AP447, CONTRATOS!B:K, 3,FALSE)))</f>
        <v/>
      </c>
      <c r="AV447" s="301" t="str">
        <f>IF(OR($B447="", $AP447 = ""), "", IF(VLOOKUP($AP447, CONTRATOS!B:K,4,FALSE)="","",VLOOKUP($AP447, CONTRATOS!B:K,4, FALSE)))</f>
        <v/>
      </c>
      <c r="AW447" s="302" t="str">
        <f t="shared" si="283"/>
        <v/>
      </c>
      <c r="AX447" s="301" t="str">
        <f t="shared" si="284"/>
        <v/>
      </c>
      <c r="AY447" s="301" t="str">
        <f t="shared" si="285"/>
        <v/>
      </c>
      <c r="AZ447" s="301" t="str">
        <f t="shared" si="286"/>
        <v/>
      </c>
      <c r="BA447" s="301" t="str">
        <f t="shared" si="287"/>
        <v/>
      </c>
      <c r="BB447" s="303">
        <f t="shared" si="301"/>
        <v>0</v>
      </c>
      <c r="BC447" s="303" t="str">
        <f t="shared" si="302"/>
        <v/>
      </c>
      <c r="BD447" s="303" t="str">
        <f t="shared" si="303"/>
        <v/>
      </c>
      <c r="BF447" s="304">
        <f t="shared" si="304"/>
        <v>0</v>
      </c>
      <c r="BG447" s="304">
        <f t="shared" si="305"/>
        <v>0</v>
      </c>
      <c r="BH447" s="304" t="str">
        <f>IF( $B447="", "", IF(ISNA(VLOOKUP($C447, Defesa!$C$8:$C$30,1,FALSE)),1,0))</f>
        <v/>
      </c>
      <c r="BI447" s="305" t="str">
        <f t="shared" si="306"/>
        <v/>
      </c>
      <c r="BJ447" s="305" t="str">
        <f t="shared" si="307"/>
        <v/>
      </c>
      <c r="BK447" s="304" t="str">
        <f t="shared" si="308"/>
        <v/>
      </c>
      <c r="BL447" s="304">
        <f t="shared" si="309"/>
        <v>0</v>
      </c>
      <c r="BM447" s="304" t="str">
        <f>IF($AC447="", "", IF(ISNA(VLOOKUP($AC447, TABELAS!$Q:$Q, 1, FALSE)), 1, 0))</f>
        <v/>
      </c>
      <c r="BN447" s="306" t="str">
        <f t="shared" si="310"/>
        <v/>
      </c>
      <c r="BO447" s="304" t="str">
        <f t="shared" si="311"/>
        <v/>
      </c>
      <c r="BP447" s="304" t="str">
        <f t="shared" si="312"/>
        <v/>
      </c>
      <c r="BQ447" s="305" t="str">
        <f t="shared" si="313"/>
        <v/>
      </c>
      <c r="BR447" s="304" t="str">
        <f t="shared" si="314"/>
        <v/>
      </c>
      <c r="BS447" s="304" t="str">
        <f t="shared" si="315"/>
        <v/>
      </c>
      <c r="BT447" s="304" t="str">
        <f>IF(OR($B447="", $AH447 = "SIM"), "", IF( ISNA(VLOOKUP($AP447,#REF!, 1, FALSE)), 1, 0))</f>
        <v/>
      </c>
      <c r="BU447" s="304" t="str">
        <f t="shared" si="316"/>
        <v/>
      </c>
      <c r="BV447" s="304" t="str">
        <f>IF( $B447="", "", IF( ISNA(VLOOKUP($AN447, TABELAS!$T$2:$T$9,1,FALSE)), 1, 0))</f>
        <v/>
      </c>
      <c r="BW447" s="304" t="str">
        <f t="shared" si="317"/>
        <v/>
      </c>
      <c r="BX447" s="304" t="str">
        <f>IF( OR($B447="", $AH447 = "SIM"), "", IF( ISNA( VLOOKUP( $AQ447, SISTEMA!$B:$B, 1, FALSE)), 1, 0))</f>
        <v/>
      </c>
      <c r="BY447" s="305" t="str">
        <f t="shared" si="318"/>
        <v/>
      </c>
      <c r="BZ447" s="305" t="str">
        <f t="shared" si="319"/>
        <v/>
      </c>
      <c r="CA447" s="304" t="str">
        <f t="shared" si="320"/>
        <v/>
      </c>
      <c r="CB447" s="305" t="str">
        <f t="shared" si="321"/>
        <v/>
      </c>
      <c r="CC447" s="305" t="str">
        <f t="shared" si="322"/>
        <v/>
      </c>
      <c r="CD447" s="305" t="str">
        <f t="shared" si="323"/>
        <v/>
      </c>
    </row>
    <row r="448" spans="1:82" x14ac:dyDescent="0.2">
      <c r="A448" s="235"/>
      <c r="B448" s="236" t="str">
        <f t="shared" si="288"/>
        <v/>
      </c>
      <c r="C448" s="237" t="str">
        <f t="shared" si="278"/>
        <v/>
      </c>
      <c r="D448" s="237" t="str">
        <f t="shared" si="289"/>
        <v/>
      </c>
      <c r="E448" s="237" t="str">
        <f>IF($C448="", "", COUNTIF($M$8:$M448,$D448))</f>
        <v/>
      </c>
      <c r="F448" s="238">
        <v>441</v>
      </c>
      <c r="G448" s="239"/>
      <c r="H448" s="240"/>
      <c r="I448" s="240"/>
      <c r="J448" s="241"/>
      <c r="K448" s="240"/>
      <c r="L448" s="240"/>
      <c r="M448" s="240"/>
      <c r="N448" s="242"/>
      <c r="O448" s="243"/>
      <c r="P448" s="243"/>
      <c r="Q448" s="243"/>
      <c r="R448" s="243"/>
      <c r="S448" s="243"/>
      <c r="T448" s="245"/>
      <c r="U448" s="246" t="str">
        <f>IF($T448="", "", VLOOKUP($T448, CONTRATOS!$B:$E, 2, FALSE))</f>
        <v/>
      </c>
      <c r="V448" s="247">
        <f>IF(OR($T448="",TB_DEFESA!$C$2="Criação Baseline"),0,
   IF(VLOOKUP($T448, CONTRATOS!B:E, 3, FALSE)&lt;&gt;"",1,IF(VLOOKUP($T448, CONTRATOS!B:E, 4, FALSE)&lt;&gt;"",2,0)))</f>
        <v>0</v>
      </c>
      <c r="W448" s="248"/>
      <c r="X448" s="248"/>
      <c r="Y448" s="249"/>
      <c r="Z448" s="250"/>
      <c r="AA448" s="251"/>
      <c r="AB448" s="252"/>
      <c r="AC448" s="253"/>
      <c r="AD448" s="251"/>
      <c r="AE448" s="254" t="str">
        <f t="shared" si="279"/>
        <v/>
      </c>
      <c r="AF448" s="256" t="str">
        <f t="shared" si="290"/>
        <v/>
      </c>
      <c r="AG448" s="293" t="s">
        <v>62</v>
      </c>
      <c r="AH448" s="294" t="str">
        <f t="shared" si="291"/>
        <v/>
      </c>
      <c r="AI448" s="294" t="str">
        <f t="shared" si="292"/>
        <v/>
      </c>
      <c r="AJ448" s="295" t="str">
        <f t="shared" si="293"/>
        <v/>
      </c>
      <c r="AK448" s="296" t="str">
        <f t="shared" si="294"/>
        <v/>
      </c>
      <c r="AL448" s="297" t="str">
        <f t="shared" si="295"/>
        <v/>
      </c>
      <c r="AM448" s="294" t="str">
        <f t="shared" si="296"/>
        <v/>
      </c>
      <c r="AN448" s="294" t="str">
        <f t="shared" si="297"/>
        <v/>
      </c>
      <c r="AO448" s="298" t="str">
        <f t="shared" si="298"/>
        <v/>
      </c>
      <c r="AP448" s="299" t="str">
        <f t="shared" si="299"/>
        <v/>
      </c>
      <c r="AQ448" s="299" t="str">
        <f t="shared" si="300"/>
        <v/>
      </c>
      <c r="AR448" s="300" t="str">
        <f t="shared" si="280"/>
        <v/>
      </c>
      <c r="AS448" s="300" t="str">
        <f t="shared" si="281"/>
        <v/>
      </c>
      <c r="AT448" s="294" t="str">
        <f t="shared" si="282"/>
        <v/>
      </c>
      <c r="AU448" s="301" t="str">
        <f>IF(OR($B448="", $AP448= ""),"",IF(VLOOKUP($AP448, CONTRATOS!B:K,3,FALSE)="","",VLOOKUP($AP448, CONTRATOS!B:K, 3,FALSE)))</f>
        <v/>
      </c>
      <c r="AV448" s="301" t="str">
        <f>IF(OR($B448="", $AP448 = ""), "", IF(VLOOKUP($AP448, CONTRATOS!B:K,4,FALSE)="","",VLOOKUP($AP448, CONTRATOS!B:K,4, FALSE)))</f>
        <v/>
      </c>
      <c r="AW448" s="302" t="str">
        <f t="shared" si="283"/>
        <v/>
      </c>
      <c r="AX448" s="301" t="str">
        <f t="shared" si="284"/>
        <v/>
      </c>
      <c r="AY448" s="301" t="str">
        <f t="shared" si="285"/>
        <v/>
      </c>
      <c r="AZ448" s="301" t="str">
        <f t="shared" si="286"/>
        <v/>
      </c>
      <c r="BA448" s="301" t="str">
        <f t="shared" si="287"/>
        <v/>
      </c>
      <c r="BB448" s="303">
        <f t="shared" si="301"/>
        <v>0</v>
      </c>
      <c r="BC448" s="303" t="str">
        <f t="shared" si="302"/>
        <v/>
      </c>
      <c r="BD448" s="303" t="str">
        <f t="shared" si="303"/>
        <v/>
      </c>
      <c r="BF448" s="304">
        <f t="shared" si="304"/>
        <v>0</v>
      </c>
      <c r="BG448" s="304">
        <f t="shared" si="305"/>
        <v>0</v>
      </c>
      <c r="BH448" s="304" t="str">
        <f>IF( $B448="", "", IF(ISNA(VLOOKUP($C448, Defesa!$C$8:$C$30,1,FALSE)),1,0))</f>
        <v/>
      </c>
      <c r="BI448" s="305" t="str">
        <f t="shared" si="306"/>
        <v/>
      </c>
      <c r="BJ448" s="305" t="str">
        <f t="shared" si="307"/>
        <v/>
      </c>
      <c r="BK448" s="304" t="str">
        <f t="shared" si="308"/>
        <v/>
      </c>
      <c r="BL448" s="304">
        <f t="shared" si="309"/>
        <v>0</v>
      </c>
      <c r="BM448" s="304" t="str">
        <f>IF($AC448="", "", IF(ISNA(VLOOKUP($AC448, TABELAS!$Q:$Q, 1, FALSE)), 1, 0))</f>
        <v/>
      </c>
      <c r="BN448" s="306" t="str">
        <f t="shared" si="310"/>
        <v/>
      </c>
      <c r="BO448" s="304" t="str">
        <f t="shared" si="311"/>
        <v/>
      </c>
      <c r="BP448" s="304" t="str">
        <f t="shared" si="312"/>
        <v/>
      </c>
      <c r="BQ448" s="305" t="str">
        <f t="shared" si="313"/>
        <v/>
      </c>
      <c r="BR448" s="304" t="str">
        <f t="shared" si="314"/>
        <v/>
      </c>
      <c r="BS448" s="304" t="str">
        <f t="shared" si="315"/>
        <v/>
      </c>
      <c r="BT448" s="304" t="str">
        <f>IF(OR($B448="", $AH448 = "SIM"), "", IF( ISNA(VLOOKUP($AP448,#REF!, 1, FALSE)), 1, 0))</f>
        <v/>
      </c>
      <c r="BU448" s="304" t="str">
        <f t="shared" si="316"/>
        <v/>
      </c>
      <c r="BV448" s="304" t="str">
        <f>IF( $B448="", "", IF( ISNA(VLOOKUP($AN448, TABELAS!$T$2:$T$9,1,FALSE)), 1, 0))</f>
        <v/>
      </c>
      <c r="BW448" s="304" t="str">
        <f t="shared" si="317"/>
        <v/>
      </c>
      <c r="BX448" s="304" t="str">
        <f>IF( OR($B448="", $AH448 = "SIM"), "", IF( ISNA( VLOOKUP( $AQ448, SISTEMA!$B:$B, 1, FALSE)), 1, 0))</f>
        <v/>
      </c>
      <c r="BY448" s="305" t="str">
        <f t="shared" si="318"/>
        <v/>
      </c>
      <c r="BZ448" s="305" t="str">
        <f t="shared" si="319"/>
        <v/>
      </c>
      <c r="CA448" s="304" t="str">
        <f t="shared" si="320"/>
        <v/>
      </c>
      <c r="CB448" s="305" t="str">
        <f t="shared" si="321"/>
        <v/>
      </c>
      <c r="CC448" s="305" t="str">
        <f t="shared" si="322"/>
        <v/>
      </c>
      <c r="CD448" s="305" t="str">
        <f t="shared" si="323"/>
        <v/>
      </c>
    </row>
    <row r="449" spans="1:82" x14ac:dyDescent="0.2">
      <c r="A449" s="235"/>
      <c r="B449" s="236" t="str">
        <f t="shared" si="288"/>
        <v/>
      </c>
      <c r="C449" s="237" t="str">
        <f t="shared" si="278"/>
        <v/>
      </c>
      <c r="D449" s="237" t="str">
        <f t="shared" si="289"/>
        <v/>
      </c>
      <c r="E449" s="237" t="str">
        <f>IF($C449="", "", COUNTIF($M$8:$M449,$D449))</f>
        <v/>
      </c>
      <c r="F449" s="238">
        <v>442</v>
      </c>
      <c r="G449" s="239"/>
      <c r="H449" s="240"/>
      <c r="I449" s="240"/>
      <c r="J449" s="241"/>
      <c r="K449" s="240"/>
      <c r="L449" s="240"/>
      <c r="M449" s="240"/>
      <c r="N449" s="242"/>
      <c r="O449" s="243"/>
      <c r="P449" s="243"/>
      <c r="Q449" s="243"/>
      <c r="R449" s="243"/>
      <c r="S449" s="243"/>
      <c r="T449" s="245"/>
      <c r="U449" s="246" t="str">
        <f>IF($T449="", "", VLOOKUP($T449, CONTRATOS!$B:$E, 2, FALSE))</f>
        <v/>
      </c>
      <c r="V449" s="247">
        <f>IF(OR($T449="",TB_DEFESA!$C$2="Criação Baseline"),0,
   IF(VLOOKUP($T449, CONTRATOS!B:E, 3, FALSE)&lt;&gt;"",1,IF(VLOOKUP($T449, CONTRATOS!B:E, 4, FALSE)&lt;&gt;"",2,0)))</f>
        <v>0</v>
      </c>
      <c r="W449" s="248"/>
      <c r="X449" s="248"/>
      <c r="Y449" s="249"/>
      <c r="Z449" s="250"/>
      <c r="AA449" s="251"/>
      <c r="AB449" s="252"/>
      <c r="AC449" s="253"/>
      <c r="AD449" s="251"/>
      <c r="AE449" s="254" t="str">
        <f t="shared" si="279"/>
        <v/>
      </c>
      <c r="AF449" s="256" t="str">
        <f t="shared" si="290"/>
        <v/>
      </c>
      <c r="AG449" s="293" t="s">
        <v>62</v>
      </c>
      <c r="AH449" s="294" t="str">
        <f t="shared" si="291"/>
        <v/>
      </c>
      <c r="AI449" s="294" t="str">
        <f t="shared" si="292"/>
        <v/>
      </c>
      <c r="AJ449" s="295" t="str">
        <f t="shared" si="293"/>
        <v/>
      </c>
      <c r="AK449" s="296" t="str">
        <f t="shared" si="294"/>
        <v/>
      </c>
      <c r="AL449" s="297" t="str">
        <f t="shared" si="295"/>
        <v/>
      </c>
      <c r="AM449" s="294" t="str">
        <f t="shared" si="296"/>
        <v/>
      </c>
      <c r="AN449" s="294" t="str">
        <f t="shared" si="297"/>
        <v/>
      </c>
      <c r="AO449" s="298" t="str">
        <f t="shared" si="298"/>
        <v/>
      </c>
      <c r="AP449" s="299" t="str">
        <f t="shared" si="299"/>
        <v/>
      </c>
      <c r="AQ449" s="299" t="str">
        <f t="shared" si="300"/>
        <v/>
      </c>
      <c r="AR449" s="300" t="str">
        <f t="shared" si="280"/>
        <v/>
      </c>
      <c r="AS449" s="300" t="str">
        <f t="shared" si="281"/>
        <v/>
      </c>
      <c r="AT449" s="294" t="str">
        <f t="shared" si="282"/>
        <v/>
      </c>
      <c r="AU449" s="301" t="str">
        <f>IF(OR($B449="", $AP449= ""),"",IF(VLOOKUP($AP449, CONTRATOS!B:K,3,FALSE)="","",VLOOKUP($AP449, CONTRATOS!B:K, 3,FALSE)))</f>
        <v/>
      </c>
      <c r="AV449" s="301" t="str">
        <f>IF(OR($B449="", $AP449 = ""), "", IF(VLOOKUP($AP449, CONTRATOS!B:K,4,FALSE)="","",VLOOKUP($AP449, CONTRATOS!B:K,4, FALSE)))</f>
        <v/>
      </c>
      <c r="AW449" s="302" t="str">
        <f t="shared" si="283"/>
        <v/>
      </c>
      <c r="AX449" s="301" t="str">
        <f t="shared" si="284"/>
        <v/>
      </c>
      <c r="AY449" s="301" t="str">
        <f t="shared" si="285"/>
        <v/>
      </c>
      <c r="AZ449" s="301" t="str">
        <f t="shared" si="286"/>
        <v/>
      </c>
      <c r="BA449" s="301" t="str">
        <f t="shared" si="287"/>
        <v/>
      </c>
      <c r="BB449" s="303">
        <f t="shared" si="301"/>
        <v>0</v>
      </c>
      <c r="BC449" s="303" t="str">
        <f t="shared" si="302"/>
        <v/>
      </c>
      <c r="BD449" s="303" t="str">
        <f t="shared" si="303"/>
        <v/>
      </c>
      <c r="BF449" s="304">
        <f t="shared" si="304"/>
        <v>0</v>
      </c>
      <c r="BG449" s="304">
        <f t="shared" si="305"/>
        <v>0</v>
      </c>
      <c r="BH449" s="304" t="str">
        <f>IF( $B449="", "", IF(ISNA(VLOOKUP($C449, Defesa!$C$8:$C$30,1,FALSE)),1,0))</f>
        <v/>
      </c>
      <c r="BI449" s="305" t="str">
        <f t="shared" si="306"/>
        <v/>
      </c>
      <c r="BJ449" s="305" t="str">
        <f t="shared" si="307"/>
        <v/>
      </c>
      <c r="BK449" s="304" t="str">
        <f t="shared" si="308"/>
        <v/>
      </c>
      <c r="BL449" s="304">
        <f t="shared" si="309"/>
        <v>0</v>
      </c>
      <c r="BM449" s="304" t="str">
        <f>IF($AC449="", "", IF(ISNA(VLOOKUP($AC449, TABELAS!$Q:$Q, 1, FALSE)), 1, 0))</f>
        <v/>
      </c>
      <c r="BN449" s="306" t="str">
        <f t="shared" si="310"/>
        <v/>
      </c>
      <c r="BO449" s="304" t="str">
        <f t="shared" si="311"/>
        <v/>
      </c>
      <c r="BP449" s="304" t="str">
        <f t="shared" si="312"/>
        <v/>
      </c>
      <c r="BQ449" s="305" t="str">
        <f t="shared" si="313"/>
        <v/>
      </c>
      <c r="BR449" s="304" t="str">
        <f t="shared" si="314"/>
        <v/>
      </c>
      <c r="BS449" s="304" t="str">
        <f t="shared" si="315"/>
        <v/>
      </c>
      <c r="BT449" s="304" t="str">
        <f>IF(OR($B449="", $AH449 = "SIM"), "", IF( ISNA(VLOOKUP($AP449,#REF!, 1, FALSE)), 1, 0))</f>
        <v/>
      </c>
      <c r="BU449" s="304" t="str">
        <f t="shared" si="316"/>
        <v/>
      </c>
      <c r="BV449" s="304" t="str">
        <f>IF( $B449="", "", IF( ISNA(VLOOKUP($AN449, TABELAS!$T$2:$T$9,1,FALSE)), 1, 0))</f>
        <v/>
      </c>
      <c r="BW449" s="304" t="str">
        <f t="shared" si="317"/>
        <v/>
      </c>
      <c r="BX449" s="304" t="str">
        <f>IF( OR($B449="", $AH449 = "SIM"), "", IF( ISNA( VLOOKUP( $AQ449, SISTEMA!$B:$B, 1, FALSE)), 1, 0))</f>
        <v/>
      </c>
      <c r="BY449" s="305" t="str">
        <f t="shared" si="318"/>
        <v/>
      </c>
      <c r="BZ449" s="305" t="str">
        <f t="shared" si="319"/>
        <v/>
      </c>
      <c r="CA449" s="304" t="str">
        <f t="shared" si="320"/>
        <v/>
      </c>
      <c r="CB449" s="305" t="str">
        <f t="shared" si="321"/>
        <v/>
      </c>
      <c r="CC449" s="305" t="str">
        <f t="shared" si="322"/>
        <v/>
      </c>
      <c r="CD449" s="305" t="str">
        <f t="shared" si="323"/>
        <v/>
      </c>
    </row>
    <row r="450" spans="1:82" x14ac:dyDescent="0.2">
      <c r="A450" s="235"/>
      <c r="B450" s="236" t="str">
        <f t="shared" si="288"/>
        <v/>
      </c>
      <c r="C450" s="237" t="str">
        <f t="shared" si="278"/>
        <v/>
      </c>
      <c r="D450" s="237" t="str">
        <f t="shared" si="289"/>
        <v/>
      </c>
      <c r="E450" s="237" t="str">
        <f>IF($C450="", "", COUNTIF($M$8:$M450,$D450))</f>
        <v/>
      </c>
      <c r="F450" s="238">
        <v>443</v>
      </c>
      <c r="G450" s="239"/>
      <c r="H450" s="240"/>
      <c r="I450" s="240"/>
      <c r="J450" s="241"/>
      <c r="K450" s="240"/>
      <c r="L450" s="240"/>
      <c r="M450" s="240"/>
      <c r="N450" s="242"/>
      <c r="O450" s="243"/>
      <c r="P450" s="243"/>
      <c r="Q450" s="243"/>
      <c r="R450" s="243"/>
      <c r="S450" s="243"/>
      <c r="T450" s="245"/>
      <c r="U450" s="246" t="str">
        <f>IF($T450="", "", VLOOKUP($T450, CONTRATOS!$B:$E, 2, FALSE))</f>
        <v/>
      </c>
      <c r="V450" s="247">
        <f>IF(OR($T450="",TB_DEFESA!$C$2="Criação Baseline"),0,
   IF(VLOOKUP($T450, CONTRATOS!B:E, 3, FALSE)&lt;&gt;"",1,IF(VLOOKUP($T450, CONTRATOS!B:E, 4, FALSE)&lt;&gt;"",2,0)))</f>
        <v>0</v>
      </c>
      <c r="W450" s="248"/>
      <c r="X450" s="248"/>
      <c r="Y450" s="249"/>
      <c r="Z450" s="250"/>
      <c r="AA450" s="251"/>
      <c r="AB450" s="252"/>
      <c r="AC450" s="253"/>
      <c r="AD450" s="251"/>
      <c r="AE450" s="254" t="str">
        <f t="shared" si="279"/>
        <v/>
      </c>
      <c r="AF450" s="256" t="str">
        <f t="shared" si="290"/>
        <v/>
      </c>
      <c r="AG450" s="293" t="s">
        <v>62</v>
      </c>
      <c r="AH450" s="294" t="str">
        <f t="shared" si="291"/>
        <v/>
      </c>
      <c r="AI450" s="294" t="str">
        <f t="shared" si="292"/>
        <v/>
      </c>
      <c r="AJ450" s="295" t="str">
        <f t="shared" si="293"/>
        <v/>
      </c>
      <c r="AK450" s="296" t="str">
        <f t="shared" si="294"/>
        <v/>
      </c>
      <c r="AL450" s="297" t="str">
        <f t="shared" si="295"/>
        <v/>
      </c>
      <c r="AM450" s="294" t="str">
        <f t="shared" si="296"/>
        <v/>
      </c>
      <c r="AN450" s="294" t="str">
        <f t="shared" si="297"/>
        <v/>
      </c>
      <c r="AO450" s="298" t="str">
        <f t="shared" si="298"/>
        <v/>
      </c>
      <c r="AP450" s="299" t="str">
        <f t="shared" si="299"/>
        <v/>
      </c>
      <c r="AQ450" s="299" t="str">
        <f t="shared" si="300"/>
        <v/>
      </c>
      <c r="AR450" s="300" t="str">
        <f t="shared" si="280"/>
        <v/>
      </c>
      <c r="AS450" s="300" t="str">
        <f t="shared" si="281"/>
        <v/>
      </c>
      <c r="AT450" s="294" t="str">
        <f t="shared" si="282"/>
        <v/>
      </c>
      <c r="AU450" s="301" t="str">
        <f>IF(OR($B450="", $AP450= ""),"",IF(VLOOKUP($AP450, CONTRATOS!B:K,3,FALSE)="","",VLOOKUP($AP450, CONTRATOS!B:K, 3,FALSE)))</f>
        <v/>
      </c>
      <c r="AV450" s="301" t="str">
        <f>IF(OR($B450="", $AP450 = ""), "", IF(VLOOKUP($AP450, CONTRATOS!B:K,4,FALSE)="","",VLOOKUP($AP450, CONTRATOS!B:K,4, FALSE)))</f>
        <v/>
      </c>
      <c r="AW450" s="302" t="str">
        <f t="shared" si="283"/>
        <v/>
      </c>
      <c r="AX450" s="301" t="str">
        <f t="shared" si="284"/>
        <v/>
      </c>
      <c r="AY450" s="301" t="str">
        <f t="shared" si="285"/>
        <v/>
      </c>
      <c r="AZ450" s="301" t="str">
        <f t="shared" si="286"/>
        <v/>
      </c>
      <c r="BA450" s="301" t="str">
        <f t="shared" si="287"/>
        <v/>
      </c>
      <c r="BB450" s="303">
        <f t="shared" si="301"/>
        <v>0</v>
      </c>
      <c r="BC450" s="303" t="str">
        <f t="shared" si="302"/>
        <v/>
      </c>
      <c r="BD450" s="303" t="str">
        <f t="shared" si="303"/>
        <v/>
      </c>
      <c r="BF450" s="304">
        <f t="shared" si="304"/>
        <v>0</v>
      </c>
      <c r="BG450" s="304">
        <f t="shared" si="305"/>
        <v>0</v>
      </c>
      <c r="BH450" s="304" t="str">
        <f>IF( $B450="", "", IF(ISNA(VLOOKUP($C450, Defesa!$C$8:$C$30,1,FALSE)),1,0))</f>
        <v/>
      </c>
      <c r="BI450" s="305" t="str">
        <f t="shared" si="306"/>
        <v/>
      </c>
      <c r="BJ450" s="305" t="str">
        <f t="shared" si="307"/>
        <v/>
      </c>
      <c r="BK450" s="304" t="str">
        <f t="shared" si="308"/>
        <v/>
      </c>
      <c r="BL450" s="304">
        <f t="shared" si="309"/>
        <v>0</v>
      </c>
      <c r="BM450" s="304" t="str">
        <f>IF($AC450="", "", IF(ISNA(VLOOKUP($AC450, TABELAS!$Q:$Q, 1, FALSE)), 1, 0))</f>
        <v/>
      </c>
      <c r="BN450" s="306" t="str">
        <f t="shared" si="310"/>
        <v/>
      </c>
      <c r="BO450" s="304" t="str">
        <f t="shared" si="311"/>
        <v/>
      </c>
      <c r="BP450" s="304" t="str">
        <f t="shared" si="312"/>
        <v/>
      </c>
      <c r="BQ450" s="305" t="str">
        <f t="shared" si="313"/>
        <v/>
      </c>
      <c r="BR450" s="304" t="str">
        <f t="shared" si="314"/>
        <v/>
      </c>
      <c r="BS450" s="304" t="str">
        <f t="shared" si="315"/>
        <v/>
      </c>
      <c r="BT450" s="304" t="str">
        <f>IF(OR($B450="", $AH450 = "SIM"), "", IF( ISNA(VLOOKUP($AP450,#REF!, 1, FALSE)), 1, 0))</f>
        <v/>
      </c>
      <c r="BU450" s="304" t="str">
        <f t="shared" si="316"/>
        <v/>
      </c>
      <c r="BV450" s="304" t="str">
        <f>IF( $B450="", "", IF( ISNA(VLOOKUP($AN450, TABELAS!$T$2:$T$9,1,FALSE)), 1, 0))</f>
        <v/>
      </c>
      <c r="BW450" s="304" t="str">
        <f t="shared" si="317"/>
        <v/>
      </c>
      <c r="BX450" s="304" t="str">
        <f>IF( OR($B450="", $AH450 = "SIM"), "", IF( ISNA( VLOOKUP( $AQ450, SISTEMA!$B:$B, 1, FALSE)), 1, 0))</f>
        <v/>
      </c>
      <c r="BY450" s="305" t="str">
        <f t="shared" si="318"/>
        <v/>
      </c>
      <c r="BZ450" s="305" t="str">
        <f t="shared" si="319"/>
        <v/>
      </c>
      <c r="CA450" s="304" t="str">
        <f t="shared" si="320"/>
        <v/>
      </c>
      <c r="CB450" s="305" t="str">
        <f t="shared" si="321"/>
        <v/>
      </c>
      <c r="CC450" s="305" t="str">
        <f t="shared" si="322"/>
        <v/>
      </c>
      <c r="CD450" s="305" t="str">
        <f t="shared" si="323"/>
        <v/>
      </c>
    </row>
    <row r="451" spans="1:82" x14ac:dyDescent="0.2">
      <c r="A451" s="235"/>
      <c r="B451" s="236" t="str">
        <f t="shared" si="288"/>
        <v/>
      </c>
      <c r="C451" s="237" t="str">
        <f t="shared" si="278"/>
        <v/>
      </c>
      <c r="D451" s="237" t="str">
        <f t="shared" si="289"/>
        <v/>
      </c>
      <c r="E451" s="237" t="str">
        <f>IF($C451="", "", COUNTIF($M$8:$M451,$D451))</f>
        <v/>
      </c>
      <c r="F451" s="238">
        <v>444</v>
      </c>
      <c r="G451" s="239"/>
      <c r="H451" s="240"/>
      <c r="I451" s="240"/>
      <c r="J451" s="241"/>
      <c r="K451" s="240"/>
      <c r="L451" s="240"/>
      <c r="M451" s="240"/>
      <c r="N451" s="242"/>
      <c r="O451" s="243"/>
      <c r="P451" s="243"/>
      <c r="Q451" s="243"/>
      <c r="R451" s="243"/>
      <c r="S451" s="243"/>
      <c r="T451" s="245"/>
      <c r="U451" s="246" t="str">
        <f>IF($T451="", "", VLOOKUP($T451, CONTRATOS!$B:$E, 2, FALSE))</f>
        <v/>
      </c>
      <c r="V451" s="247">
        <f>IF(OR($T451="",TB_DEFESA!$C$2="Criação Baseline"),0,
   IF(VLOOKUP($T451, CONTRATOS!B:E, 3, FALSE)&lt;&gt;"",1,IF(VLOOKUP($T451, CONTRATOS!B:E, 4, FALSE)&lt;&gt;"",2,0)))</f>
        <v>0</v>
      </c>
      <c r="W451" s="248"/>
      <c r="X451" s="248"/>
      <c r="Y451" s="249"/>
      <c r="Z451" s="250"/>
      <c r="AA451" s="251"/>
      <c r="AB451" s="252"/>
      <c r="AC451" s="253"/>
      <c r="AD451" s="251"/>
      <c r="AE451" s="254" t="str">
        <f t="shared" si="279"/>
        <v/>
      </c>
      <c r="AF451" s="256" t="str">
        <f t="shared" si="290"/>
        <v/>
      </c>
      <c r="AG451" s="293" t="s">
        <v>62</v>
      </c>
      <c r="AH451" s="294" t="str">
        <f t="shared" si="291"/>
        <v/>
      </c>
      <c r="AI451" s="294" t="str">
        <f t="shared" si="292"/>
        <v/>
      </c>
      <c r="AJ451" s="295" t="str">
        <f t="shared" si="293"/>
        <v/>
      </c>
      <c r="AK451" s="296" t="str">
        <f t="shared" si="294"/>
        <v/>
      </c>
      <c r="AL451" s="297" t="str">
        <f t="shared" si="295"/>
        <v/>
      </c>
      <c r="AM451" s="294" t="str">
        <f t="shared" si="296"/>
        <v/>
      </c>
      <c r="AN451" s="294" t="str">
        <f t="shared" si="297"/>
        <v/>
      </c>
      <c r="AO451" s="298" t="str">
        <f t="shared" si="298"/>
        <v/>
      </c>
      <c r="AP451" s="299" t="str">
        <f t="shared" si="299"/>
        <v/>
      </c>
      <c r="AQ451" s="299" t="str">
        <f t="shared" si="300"/>
        <v/>
      </c>
      <c r="AR451" s="300" t="str">
        <f t="shared" si="280"/>
        <v/>
      </c>
      <c r="AS451" s="300" t="str">
        <f t="shared" si="281"/>
        <v/>
      </c>
      <c r="AT451" s="294" t="str">
        <f t="shared" si="282"/>
        <v/>
      </c>
      <c r="AU451" s="301" t="str">
        <f>IF(OR($B451="", $AP451= ""),"",IF(VLOOKUP($AP451, CONTRATOS!B:K,3,FALSE)="","",VLOOKUP($AP451, CONTRATOS!B:K, 3,FALSE)))</f>
        <v/>
      </c>
      <c r="AV451" s="301" t="str">
        <f>IF(OR($B451="", $AP451 = ""), "", IF(VLOOKUP($AP451, CONTRATOS!B:K,4,FALSE)="","",VLOOKUP($AP451, CONTRATOS!B:K,4, FALSE)))</f>
        <v/>
      </c>
      <c r="AW451" s="302" t="str">
        <f t="shared" si="283"/>
        <v/>
      </c>
      <c r="AX451" s="301" t="str">
        <f t="shared" si="284"/>
        <v/>
      </c>
      <c r="AY451" s="301" t="str">
        <f t="shared" si="285"/>
        <v/>
      </c>
      <c r="AZ451" s="301" t="str">
        <f t="shared" si="286"/>
        <v/>
      </c>
      <c r="BA451" s="301" t="str">
        <f t="shared" si="287"/>
        <v/>
      </c>
      <c r="BB451" s="303">
        <f t="shared" si="301"/>
        <v>0</v>
      </c>
      <c r="BC451" s="303" t="str">
        <f t="shared" si="302"/>
        <v/>
      </c>
      <c r="BD451" s="303" t="str">
        <f t="shared" si="303"/>
        <v/>
      </c>
      <c r="BF451" s="304">
        <f t="shared" si="304"/>
        <v>0</v>
      </c>
      <c r="BG451" s="304">
        <f t="shared" si="305"/>
        <v>0</v>
      </c>
      <c r="BH451" s="304" t="str">
        <f>IF( $B451="", "", IF(ISNA(VLOOKUP($C451, Defesa!$C$8:$C$30,1,FALSE)),1,0))</f>
        <v/>
      </c>
      <c r="BI451" s="305" t="str">
        <f t="shared" si="306"/>
        <v/>
      </c>
      <c r="BJ451" s="305" t="str">
        <f t="shared" si="307"/>
        <v/>
      </c>
      <c r="BK451" s="304" t="str">
        <f t="shared" si="308"/>
        <v/>
      </c>
      <c r="BL451" s="304">
        <f t="shared" si="309"/>
        <v>0</v>
      </c>
      <c r="BM451" s="304" t="str">
        <f>IF($AC451="", "", IF(ISNA(VLOOKUP($AC451, TABELAS!$Q:$Q, 1, FALSE)), 1, 0))</f>
        <v/>
      </c>
      <c r="BN451" s="306" t="str">
        <f t="shared" si="310"/>
        <v/>
      </c>
      <c r="BO451" s="304" t="str">
        <f t="shared" si="311"/>
        <v/>
      </c>
      <c r="BP451" s="304" t="str">
        <f t="shared" si="312"/>
        <v/>
      </c>
      <c r="BQ451" s="305" t="str">
        <f t="shared" si="313"/>
        <v/>
      </c>
      <c r="BR451" s="304" t="str">
        <f t="shared" si="314"/>
        <v/>
      </c>
      <c r="BS451" s="304" t="str">
        <f t="shared" si="315"/>
        <v/>
      </c>
      <c r="BT451" s="304" t="str">
        <f>IF(OR($B451="", $AH451 = "SIM"), "", IF( ISNA(VLOOKUP($AP451,#REF!, 1, FALSE)), 1, 0))</f>
        <v/>
      </c>
      <c r="BU451" s="304" t="str">
        <f t="shared" si="316"/>
        <v/>
      </c>
      <c r="BV451" s="304" t="str">
        <f>IF( $B451="", "", IF( ISNA(VLOOKUP($AN451, TABELAS!$T$2:$T$9,1,FALSE)), 1, 0))</f>
        <v/>
      </c>
      <c r="BW451" s="304" t="str">
        <f t="shared" si="317"/>
        <v/>
      </c>
      <c r="BX451" s="304" t="str">
        <f>IF( OR($B451="", $AH451 = "SIM"), "", IF( ISNA( VLOOKUP( $AQ451, SISTEMA!$B:$B, 1, FALSE)), 1, 0))</f>
        <v/>
      </c>
      <c r="BY451" s="305" t="str">
        <f t="shared" si="318"/>
        <v/>
      </c>
      <c r="BZ451" s="305" t="str">
        <f t="shared" si="319"/>
        <v/>
      </c>
      <c r="CA451" s="304" t="str">
        <f t="shared" si="320"/>
        <v/>
      </c>
      <c r="CB451" s="305" t="str">
        <f t="shared" si="321"/>
        <v/>
      </c>
      <c r="CC451" s="305" t="str">
        <f t="shared" si="322"/>
        <v/>
      </c>
      <c r="CD451" s="305" t="str">
        <f t="shared" si="323"/>
        <v/>
      </c>
    </row>
    <row r="452" spans="1:82" x14ac:dyDescent="0.2">
      <c r="A452" s="235"/>
      <c r="B452" s="236" t="str">
        <f t="shared" si="288"/>
        <v/>
      </c>
      <c r="C452" s="237" t="str">
        <f t="shared" si="278"/>
        <v/>
      </c>
      <c r="D452" s="237" t="str">
        <f t="shared" si="289"/>
        <v/>
      </c>
      <c r="E452" s="237" t="str">
        <f>IF($C452="", "", COUNTIF($M$8:$M452,$D452))</f>
        <v/>
      </c>
      <c r="F452" s="238">
        <v>445</v>
      </c>
      <c r="G452" s="239"/>
      <c r="H452" s="240"/>
      <c r="I452" s="240"/>
      <c r="J452" s="241"/>
      <c r="K452" s="240"/>
      <c r="L452" s="240"/>
      <c r="M452" s="240"/>
      <c r="N452" s="242"/>
      <c r="O452" s="243"/>
      <c r="P452" s="243"/>
      <c r="Q452" s="243"/>
      <c r="R452" s="243"/>
      <c r="S452" s="243"/>
      <c r="T452" s="245"/>
      <c r="U452" s="246" t="str">
        <f>IF($T452="", "", VLOOKUP($T452, CONTRATOS!$B:$E, 2, FALSE))</f>
        <v/>
      </c>
      <c r="V452" s="247">
        <f>IF(OR($T452="",TB_DEFESA!$C$2="Criação Baseline"),0,
   IF(VLOOKUP($T452, CONTRATOS!B:E, 3, FALSE)&lt;&gt;"",1,IF(VLOOKUP($T452, CONTRATOS!B:E, 4, FALSE)&lt;&gt;"",2,0)))</f>
        <v>0</v>
      </c>
      <c r="W452" s="248"/>
      <c r="X452" s="248"/>
      <c r="Y452" s="249"/>
      <c r="Z452" s="250"/>
      <c r="AA452" s="251"/>
      <c r="AB452" s="252"/>
      <c r="AC452" s="253"/>
      <c r="AD452" s="251"/>
      <c r="AE452" s="254" t="str">
        <f t="shared" si="279"/>
        <v/>
      </c>
      <c r="AF452" s="256" t="str">
        <f t="shared" si="290"/>
        <v/>
      </c>
      <c r="AG452" s="293" t="s">
        <v>62</v>
      </c>
      <c r="AH452" s="294" t="str">
        <f t="shared" si="291"/>
        <v/>
      </c>
      <c r="AI452" s="294" t="str">
        <f t="shared" si="292"/>
        <v/>
      </c>
      <c r="AJ452" s="295" t="str">
        <f t="shared" si="293"/>
        <v/>
      </c>
      <c r="AK452" s="296" t="str">
        <f t="shared" si="294"/>
        <v/>
      </c>
      <c r="AL452" s="297" t="str">
        <f t="shared" si="295"/>
        <v/>
      </c>
      <c r="AM452" s="294" t="str">
        <f t="shared" si="296"/>
        <v/>
      </c>
      <c r="AN452" s="294" t="str">
        <f t="shared" si="297"/>
        <v/>
      </c>
      <c r="AO452" s="298" t="str">
        <f t="shared" si="298"/>
        <v/>
      </c>
      <c r="AP452" s="299" t="str">
        <f t="shared" si="299"/>
        <v/>
      </c>
      <c r="AQ452" s="299" t="str">
        <f t="shared" si="300"/>
        <v/>
      </c>
      <c r="AR452" s="300" t="str">
        <f t="shared" si="280"/>
        <v/>
      </c>
      <c r="AS452" s="300" t="str">
        <f t="shared" si="281"/>
        <v/>
      </c>
      <c r="AT452" s="294" t="str">
        <f t="shared" si="282"/>
        <v/>
      </c>
      <c r="AU452" s="301" t="str">
        <f>IF(OR($B452="", $AP452= ""),"",IF(VLOOKUP($AP452, CONTRATOS!B:K,3,FALSE)="","",VLOOKUP($AP452, CONTRATOS!B:K, 3,FALSE)))</f>
        <v/>
      </c>
      <c r="AV452" s="301" t="str">
        <f>IF(OR($B452="", $AP452 = ""), "", IF(VLOOKUP($AP452, CONTRATOS!B:K,4,FALSE)="","",VLOOKUP($AP452, CONTRATOS!B:K,4, FALSE)))</f>
        <v/>
      </c>
      <c r="AW452" s="302" t="str">
        <f t="shared" si="283"/>
        <v/>
      </c>
      <c r="AX452" s="301" t="str">
        <f t="shared" si="284"/>
        <v/>
      </c>
      <c r="AY452" s="301" t="str">
        <f t="shared" si="285"/>
        <v/>
      </c>
      <c r="AZ452" s="301" t="str">
        <f t="shared" si="286"/>
        <v/>
      </c>
      <c r="BA452" s="301" t="str">
        <f t="shared" si="287"/>
        <v/>
      </c>
      <c r="BB452" s="303">
        <f t="shared" si="301"/>
        <v>0</v>
      </c>
      <c r="BC452" s="303" t="str">
        <f t="shared" si="302"/>
        <v/>
      </c>
      <c r="BD452" s="303" t="str">
        <f t="shared" si="303"/>
        <v/>
      </c>
      <c r="BF452" s="304">
        <f t="shared" si="304"/>
        <v>0</v>
      </c>
      <c r="BG452" s="304">
        <f t="shared" si="305"/>
        <v>0</v>
      </c>
      <c r="BH452" s="304" t="str">
        <f>IF( $B452="", "", IF(ISNA(VLOOKUP($C452, Defesa!$C$8:$C$30,1,FALSE)),1,0))</f>
        <v/>
      </c>
      <c r="BI452" s="305" t="str">
        <f t="shared" si="306"/>
        <v/>
      </c>
      <c r="BJ452" s="305" t="str">
        <f t="shared" si="307"/>
        <v/>
      </c>
      <c r="BK452" s="304" t="str">
        <f t="shared" si="308"/>
        <v/>
      </c>
      <c r="BL452" s="304">
        <f t="shared" si="309"/>
        <v>0</v>
      </c>
      <c r="BM452" s="304" t="str">
        <f>IF($AC452="", "", IF(ISNA(VLOOKUP($AC452, TABELAS!$Q:$Q, 1, FALSE)), 1, 0))</f>
        <v/>
      </c>
      <c r="BN452" s="306" t="str">
        <f t="shared" si="310"/>
        <v/>
      </c>
      <c r="BO452" s="304" t="str">
        <f t="shared" si="311"/>
        <v/>
      </c>
      <c r="BP452" s="304" t="str">
        <f t="shared" si="312"/>
        <v/>
      </c>
      <c r="BQ452" s="305" t="str">
        <f t="shared" si="313"/>
        <v/>
      </c>
      <c r="BR452" s="304" t="str">
        <f t="shared" si="314"/>
        <v/>
      </c>
      <c r="BS452" s="304" t="str">
        <f t="shared" si="315"/>
        <v/>
      </c>
      <c r="BT452" s="304" t="str">
        <f>IF(OR($B452="", $AH452 = "SIM"), "", IF( ISNA(VLOOKUP($AP452,#REF!, 1, FALSE)), 1, 0))</f>
        <v/>
      </c>
      <c r="BU452" s="304" t="str">
        <f t="shared" si="316"/>
        <v/>
      </c>
      <c r="BV452" s="304" t="str">
        <f>IF( $B452="", "", IF( ISNA(VLOOKUP($AN452, TABELAS!$T$2:$T$9,1,FALSE)), 1, 0))</f>
        <v/>
      </c>
      <c r="BW452" s="304" t="str">
        <f t="shared" si="317"/>
        <v/>
      </c>
      <c r="BX452" s="304" t="str">
        <f>IF( OR($B452="", $AH452 = "SIM"), "", IF( ISNA( VLOOKUP( $AQ452, SISTEMA!$B:$B, 1, FALSE)), 1, 0))</f>
        <v/>
      </c>
      <c r="BY452" s="305" t="str">
        <f t="shared" si="318"/>
        <v/>
      </c>
      <c r="BZ452" s="305" t="str">
        <f t="shared" si="319"/>
        <v/>
      </c>
      <c r="CA452" s="304" t="str">
        <f t="shared" si="320"/>
        <v/>
      </c>
      <c r="CB452" s="305" t="str">
        <f t="shared" si="321"/>
        <v/>
      </c>
      <c r="CC452" s="305" t="str">
        <f t="shared" si="322"/>
        <v/>
      </c>
      <c r="CD452" s="305" t="str">
        <f t="shared" si="323"/>
        <v/>
      </c>
    </row>
    <row r="453" spans="1:82" x14ac:dyDescent="0.2">
      <c r="A453" s="235"/>
      <c r="B453" s="236" t="str">
        <f t="shared" si="288"/>
        <v/>
      </c>
      <c r="C453" s="237" t="str">
        <f t="shared" si="278"/>
        <v/>
      </c>
      <c r="D453" s="237" t="str">
        <f t="shared" si="289"/>
        <v/>
      </c>
      <c r="E453" s="237" t="str">
        <f>IF($C453="", "", COUNTIF($M$8:$M453,$D453))</f>
        <v/>
      </c>
      <c r="F453" s="238">
        <v>446</v>
      </c>
      <c r="G453" s="239"/>
      <c r="H453" s="240"/>
      <c r="I453" s="240"/>
      <c r="J453" s="241"/>
      <c r="K453" s="240"/>
      <c r="L453" s="240"/>
      <c r="M453" s="240"/>
      <c r="N453" s="242"/>
      <c r="O453" s="243"/>
      <c r="P453" s="243"/>
      <c r="Q453" s="243"/>
      <c r="R453" s="243"/>
      <c r="S453" s="243"/>
      <c r="T453" s="245"/>
      <c r="U453" s="246" t="str">
        <f>IF($T453="", "", VLOOKUP($T453, CONTRATOS!$B:$E, 2, FALSE))</f>
        <v/>
      </c>
      <c r="V453" s="247">
        <f>IF(OR($T453="",TB_DEFESA!$C$2="Criação Baseline"),0,
   IF(VLOOKUP($T453, CONTRATOS!B:E, 3, FALSE)&lt;&gt;"",1,IF(VLOOKUP($T453, CONTRATOS!B:E, 4, FALSE)&lt;&gt;"",2,0)))</f>
        <v>0</v>
      </c>
      <c r="W453" s="248"/>
      <c r="X453" s="248"/>
      <c r="Y453" s="249"/>
      <c r="Z453" s="250"/>
      <c r="AA453" s="251"/>
      <c r="AB453" s="252"/>
      <c r="AC453" s="253"/>
      <c r="AD453" s="251"/>
      <c r="AE453" s="254" t="str">
        <f t="shared" si="279"/>
        <v/>
      </c>
      <c r="AF453" s="256" t="str">
        <f t="shared" si="290"/>
        <v/>
      </c>
      <c r="AG453" s="293" t="s">
        <v>62</v>
      </c>
      <c r="AH453" s="294" t="str">
        <f t="shared" si="291"/>
        <v/>
      </c>
      <c r="AI453" s="294" t="str">
        <f t="shared" si="292"/>
        <v/>
      </c>
      <c r="AJ453" s="295" t="str">
        <f t="shared" si="293"/>
        <v/>
      </c>
      <c r="AK453" s="296" t="str">
        <f t="shared" si="294"/>
        <v/>
      </c>
      <c r="AL453" s="297" t="str">
        <f t="shared" si="295"/>
        <v/>
      </c>
      <c r="AM453" s="294" t="str">
        <f t="shared" si="296"/>
        <v/>
      </c>
      <c r="AN453" s="294" t="str">
        <f t="shared" si="297"/>
        <v/>
      </c>
      <c r="AO453" s="298" t="str">
        <f t="shared" si="298"/>
        <v/>
      </c>
      <c r="AP453" s="299" t="str">
        <f t="shared" si="299"/>
        <v/>
      </c>
      <c r="AQ453" s="299" t="str">
        <f t="shared" si="300"/>
        <v/>
      </c>
      <c r="AR453" s="300" t="str">
        <f t="shared" si="280"/>
        <v/>
      </c>
      <c r="AS453" s="300" t="str">
        <f t="shared" si="281"/>
        <v/>
      </c>
      <c r="AT453" s="294" t="str">
        <f t="shared" si="282"/>
        <v/>
      </c>
      <c r="AU453" s="301" t="str">
        <f>IF(OR($B453="", $AP453= ""),"",IF(VLOOKUP($AP453, CONTRATOS!B:K,3,FALSE)="","",VLOOKUP($AP453, CONTRATOS!B:K, 3,FALSE)))</f>
        <v/>
      </c>
      <c r="AV453" s="301" t="str">
        <f>IF(OR($B453="", $AP453 = ""), "", IF(VLOOKUP($AP453, CONTRATOS!B:K,4,FALSE)="","",VLOOKUP($AP453, CONTRATOS!B:K,4, FALSE)))</f>
        <v/>
      </c>
      <c r="AW453" s="302" t="str">
        <f t="shared" si="283"/>
        <v/>
      </c>
      <c r="AX453" s="301" t="str">
        <f t="shared" si="284"/>
        <v/>
      </c>
      <c r="AY453" s="301" t="str">
        <f t="shared" si="285"/>
        <v/>
      </c>
      <c r="AZ453" s="301" t="str">
        <f t="shared" si="286"/>
        <v/>
      </c>
      <c r="BA453" s="301" t="str">
        <f t="shared" si="287"/>
        <v/>
      </c>
      <c r="BB453" s="303">
        <f t="shared" si="301"/>
        <v>0</v>
      </c>
      <c r="BC453" s="303" t="str">
        <f t="shared" si="302"/>
        <v/>
      </c>
      <c r="BD453" s="303" t="str">
        <f t="shared" si="303"/>
        <v/>
      </c>
      <c r="BF453" s="304">
        <f t="shared" si="304"/>
        <v>0</v>
      </c>
      <c r="BG453" s="304">
        <f t="shared" si="305"/>
        <v>0</v>
      </c>
      <c r="BH453" s="304" t="str">
        <f>IF( $B453="", "", IF(ISNA(VLOOKUP($C453, Defesa!$C$8:$C$30,1,FALSE)),1,0))</f>
        <v/>
      </c>
      <c r="BI453" s="305" t="str">
        <f t="shared" si="306"/>
        <v/>
      </c>
      <c r="BJ453" s="305" t="str">
        <f t="shared" si="307"/>
        <v/>
      </c>
      <c r="BK453" s="304" t="str">
        <f t="shared" si="308"/>
        <v/>
      </c>
      <c r="BL453" s="304">
        <f t="shared" si="309"/>
        <v>0</v>
      </c>
      <c r="BM453" s="304" t="str">
        <f>IF($AC453="", "", IF(ISNA(VLOOKUP($AC453, TABELAS!$Q:$Q, 1, FALSE)), 1, 0))</f>
        <v/>
      </c>
      <c r="BN453" s="306" t="str">
        <f t="shared" si="310"/>
        <v/>
      </c>
      <c r="BO453" s="304" t="str">
        <f t="shared" si="311"/>
        <v/>
      </c>
      <c r="BP453" s="304" t="str">
        <f t="shared" si="312"/>
        <v/>
      </c>
      <c r="BQ453" s="305" t="str">
        <f t="shared" si="313"/>
        <v/>
      </c>
      <c r="BR453" s="304" t="str">
        <f t="shared" si="314"/>
        <v/>
      </c>
      <c r="BS453" s="304" t="str">
        <f t="shared" si="315"/>
        <v/>
      </c>
      <c r="BT453" s="304" t="str">
        <f>IF(OR($B453="", $AH453 = "SIM"), "", IF( ISNA(VLOOKUP($AP453,#REF!, 1, FALSE)), 1, 0))</f>
        <v/>
      </c>
      <c r="BU453" s="304" t="str">
        <f t="shared" si="316"/>
        <v/>
      </c>
      <c r="BV453" s="304" t="str">
        <f>IF( $B453="", "", IF( ISNA(VLOOKUP($AN453, TABELAS!$T$2:$T$9,1,FALSE)), 1, 0))</f>
        <v/>
      </c>
      <c r="BW453" s="304" t="str">
        <f t="shared" si="317"/>
        <v/>
      </c>
      <c r="BX453" s="304" t="str">
        <f>IF( OR($B453="", $AH453 = "SIM"), "", IF( ISNA( VLOOKUP( $AQ453, SISTEMA!$B:$B, 1, FALSE)), 1, 0))</f>
        <v/>
      </c>
      <c r="BY453" s="305" t="str">
        <f t="shared" si="318"/>
        <v/>
      </c>
      <c r="BZ453" s="305" t="str">
        <f t="shared" si="319"/>
        <v/>
      </c>
      <c r="CA453" s="304" t="str">
        <f t="shared" si="320"/>
        <v/>
      </c>
      <c r="CB453" s="305" t="str">
        <f t="shared" si="321"/>
        <v/>
      </c>
      <c r="CC453" s="305" t="str">
        <f t="shared" si="322"/>
        <v/>
      </c>
      <c r="CD453" s="305" t="str">
        <f t="shared" si="323"/>
        <v/>
      </c>
    </row>
    <row r="454" spans="1:82" x14ac:dyDescent="0.2">
      <c r="A454" s="235"/>
      <c r="B454" s="236" t="str">
        <f t="shared" si="288"/>
        <v/>
      </c>
      <c r="C454" s="237" t="str">
        <f t="shared" si="278"/>
        <v/>
      </c>
      <c r="D454" s="237" t="str">
        <f t="shared" si="289"/>
        <v/>
      </c>
      <c r="E454" s="237" t="str">
        <f>IF($C454="", "", COUNTIF($M$8:$M454,$D454))</f>
        <v/>
      </c>
      <c r="F454" s="238">
        <v>447</v>
      </c>
      <c r="G454" s="239"/>
      <c r="H454" s="240"/>
      <c r="I454" s="240"/>
      <c r="J454" s="241"/>
      <c r="K454" s="240"/>
      <c r="L454" s="240"/>
      <c r="M454" s="240"/>
      <c r="N454" s="242"/>
      <c r="O454" s="243"/>
      <c r="P454" s="243"/>
      <c r="Q454" s="243"/>
      <c r="R454" s="243"/>
      <c r="S454" s="243"/>
      <c r="T454" s="245"/>
      <c r="U454" s="246" t="str">
        <f>IF($T454="", "", VLOOKUP($T454, CONTRATOS!$B:$E, 2, FALSE))</f>
        <v/>
      </c>
      <c r="V454" s="247">
        <f>IF(OR($T454="",TB_DEFESA!$C$2="Criação Baseline"),0,
   IF(VLOOKUP($T454, CONTRATOS!B:E, 3, FALSE)&lt;&gt;"",1,IF(VLOOKUP($T454, CONTRATOS!B:E, 4, FALSE)&lt;&gt;"",2,0)))</f>
        <v>0</v>
      </c>
      <c r="W454" s="248"/>
      <c r="X454" s="248"/>
      <c r="Y454" s="249"/>
      <c r="Z454" s="250"/>
      <c r="AA454" s="251"/>
      <c r="AB454" s="252"/>
      <c r="AC454" s="253"/>
      <c r="AD454" s="251"/>
      <c r="AE454" s="254" t="str">
        <f t="shared" si="279"/>
        <v/>
      </c>
      <c r="AF454" s="256" t="str">
        <f t="shared" si="290"/>
        <v/>
      </c>
      <c r="AG454" s="293" t="s">
        <v>62</v>
      </c>
      <c r="AH454" s="294" t="str">
        <f t="shared" si="291"/>
        <v/>
      </c>
      <c r="AI454" s="294" t="str">
        <f t="shared" si="292"/>
        <v/>
      </c>
      <c r="AJ454" s="295" t="str">
        <f t="shared" si="293"/>
        <v/>
      </c>
      <c r="AK454" s="296" t="str">
        <f t="shared" si="294"/>
        <v/>
      </c>
      <c r="AL454" s="297" t="str">
        <f t="shared" si="295"/>
        <v/>
      </c>
      <c r="AM454" s="294" t="str">
        <f t="shared" si="296"/>
        <v/>
      </c>
      <c r="AN454" s="294" t="str">
        <f t="shared" si="297"/>
        <v/>
      </c>
      <c r="AO454" s="298" t="str">
        <f t="shared" si="298"/>
        <v/>
      </c>
      <c r="AP454" s="299" t="str">
        <f t="shared" si="299"/>
        <v/>
      </c>
      <c r="AQ454" s="299" t="str">
        <f t="shared" si="300"/>
        <v/>
      </c>
      <c r="AR454" s="300" t="str">
        <f t="shared" si="280"/>
        <v/>
      </c>
      <c r="AS454" s="300" t="str">
        <f t="shared" si="281"/>
        <v/>
      </c>
      <c r="AT454" s="294" t="str">
        <f t="shared" si="282"/>
        <v/>
      </c>
      <c r="AU454" s="301" t="str">
        <f>IF(OR($B454="", $AP454= ""),"",IF(VLOOKUP($AP454, CONTRATOS!B:K,3,FALSE)="","",VLOOKUP($AP454, CONTRATOS!B:K, 3,FALSE)))</f>
        <v/>
      </c>
      <c r="AV454" s="301" t="str">
        <f>IF(OR($B454="", $AP454 = ""), "", IF(VLOOKUP($AP454, CONTRATOS!B:K,4,FALSE)="","",VLOOKUP($AP454, CONTRATOS!B:K,4, FALSE)))</f>
        <v/>
      </c>
      <c r="AW454" s="302" t="str">
        <f t="shared" si="283"/>
        <v/>
      </c>
      <c r="AX454" s="301" t="str">
        <f t="shared" si="284"/>
        <v/>
      </c>
      <c r="AY454" s="301" t="str">
        <f t="shared" si="285"/>
        <v/>
      </c>
      <c r="AZ454" s="301" t="str">
        <f t="shared" si="286"/>
        <v/>
      </c>
      <c r="BA454" s="301" t="str">
        <f t="shared" si="287"/>
        <v/>
      </c>
      <c r="BB454" s="303">
        <f t="shared" si="301"/>
        <v>0</v>
      </c>
      <c r="BC454" s="303" t="str">
        <f t="shared" si="302"/>
        <v/>
      </c>
      <c r="BD454" s="303" t="str">
        <f t="shared" si="303"/>
        <v/>
      </c>
      <c r="BF454" s="304">
        <f t="shared" si="304"/>
        <v>0</v>
      </c>
      <c r="BG454" s="304">
        <f t="shared" si="305"/>
        <v>0</v>
      </c>
      <c r="BH454" s="304" t="str">
        <f>IF( $B454="", "", IF(ISNA(VLOOKUP($C454, Defesa!$C$8:$C$30,1,FALSE)),1,0))</f>
        <v/>
      </c>
      <c r="BI454" s="305" t="str">
        <f t="shared" si="306"/>
        <v/>
      </c>
      <c r="BJ454" s="305" t="str">
        <f t="shared" si="307"/>
        <v/>
      </c>
      <c r="BK454" s="304" t="str">
        <f t="shared" si="308"/>
        <v/>
      </c>
      <c r="BL454" s="304">
        <f t="shared" si="309"/>
        <v>0</v>
      </c>
      <c r="BM454" s="304" t="str">
        <f>IF($AC454="", "", IF(ISNA(VLOOKUP($AC454, TABELAS!$Q:$Q, 1, FALSE)), 1, 0))</f>
        <v/>
      </c>
      <c r="BN454" s="306" t="str">
        <f t="shared" si="310"/>
        <v/>
      </c>
      <c r="BO454" s="304" t="str">
        <f t="shared" si="311"/>
        <v/>
      </c>
      <c r="BP454" s="304" t="str">
        <f t="shared" si="312"/>
        <v/>
      </c>
      <c r="BQ454" s="305" t="str">
        <f t="shared" si="313"/>
        <v/>
      </c>
      <c r="BR454" s="304" t="str">
        <f t="shared" si="314"/>
        <v/>
      </c>
      <c r="BS454" s="304" t="str">
        <f t="shared" si="315"/>
        <v/>
      </c>
      <c r="BT454" s="304" t="str">
        <f>IF(OR($B454="", $AH454 = "SIM"), "", IF( ISNA(VLOOKUP($AP454,#REF!, 1, FALSE)), 1, 0))</f>
        <v/>
      </c>
      <c r="BU454" s="304" t="str">
        <f t="shared" si="316"/>
        <v/>
      </c>
      <c r="BV454" s="304" t="str">
        <f>IF( $B454="", "", IF( ISNA(VLOOKUP($AN454, TABELAS!$T$2:$T$9,1,FALSE)), 1, 0))</f>
        <v/>
      </c>
      <c r="BW454" s="304" t="str">
        <f t="shared" si="317"/>
        <v/>
      </c>
      <c r="BX454" s="304" t="str">
        <f>IF( OR($B454="", $AH454 = "SIM"), "", IF( ISNA( VLOOKUP( $AQ454, SISTEMA!$B:$B, 1, FALSE)), 1, 0))</f>
        <v/>
      </c>
      <c r="BY454" s="305" t="str">
        <f t="shared" si="318"/>
        <v/>
      </c>
      <c r="BZ454" s="305" t="str">
        <f t="shared" si="319"/>
        <v/>
      </c>
      <c r="CA454" s="304" t="str">
        <f t="shared" si="320"/>
        <v/>
      </c>
      <c r="CB454" s="305" t="str">
        <f t="shared" si="321"/>
        <v/>
      </c>
      <c r="CC454" s="305" t="str">
        <f t="shared" si="322"/>
        <v/>
      </c>
      <c r="CD454" s="305" t="str">
        <f t="shared" si="323"/>
        <v/>
      </c>
    </row>
    <row r="455" spans="1:82" x14ac:dyDescent="0.2">
      <c r="A455" s="235"/>
      <c r="B455" s="236" t="str">
        <f t="shared" si="288"/>
        <v/>
      </c>
      <c r="C455" s="237" t="str">
        <f t="shared" si="278"/>
        <v/>
      </c>
      <c r="D455" s="237" t="str">
        <f t="shared" si="289"/>
        <v/>
      </c>
      <c r="E455" s="237" t="str">
        <f>IF($C455="", "", COUNTIF($M$8:$M455,$D455))</f>
        <v/>
      </c>
      <c r="F455" s="238">
        <v>448</v>
      </c>
      <c r="G455" s="239"/>
      <c r="H455" s="240"/>
      <c r="I455" s="240"/>
      <c r="J455" s="241"/>
      <c r="K455" s="240"/>
      <c r="L455" s="240"/>
      <c r="M455" s="240"/>
      <c r="N455" s="242"/>
      <c r="O455" s="243"/>
      <c r="P455" s="243"/>
      <c r="Q455" s="243"/>
      <c r="R455" s="243"/>
      <c r="S455" s="243"/>
      <c r="T455" s="245"/>
      <c r="U455" s="246" t="str">
        <f>IF($T455="", "", VLOOKUP($T455, CONTRATOS!$B:$E, 2, FALSE))</f>
        <v/>
      </c>
      <c r="V455" s="247">
        <f>IF(OR($T455="",TB_DEFESA!$C$2="Criação Baseline"),0,
   IF(VLOOKUP($T455, CONTRATOS!B:E, 3, FALSE)&lt;&gt;"",1,IF(VLOOKUP($T455, CONTRATOS!B:E, 4, FALSE)&lt;&gt;"",2,0)))</f>
        <v>0</v>
      </c>
      <c r="W455" s="248"/>
      <c r="X455" s="248"/>
      <c r="Y455" s="249"/>
      <c r="Z455" s="250"/>
      <c r="AA455" s="251"/>
      <c r="AB455" s="252"/>
      <c r="AC455" s="253"/>
      <c r="AD455" s="251"/>
      <c r="AE455" s="254" t="str">
        <f t="shared" si="279"/>
        <v/>
      </c>
      <c r="AF455" s="256" t="str">
        <f t="shared" si="290"/>
        <v/>
      </c>
      <c r="AG455" s="293" t="s">
        <v>62</v>
      </c>
      <c r="AH455" s="294" t="str">
        <f t="shared" si="291"/>
        <v/>
      </c>
      <c r="AI455" s="294" t="str">
        <f t="shared" si="292"/>
        <v/>
      </c>
      <c r="AJ455" s="295" t="str">
        <f t="shared" si="293"/>
        <v/>
      </c>
      <c r="AK455" s="296" t="str">
        <f t="shared" si="294"/>
        <v/>
      </c>
      <c r="AL455" s="297" t="str">
        <f t="shared" si="295"/>
        <v/>
      </c>
      <c r="AM455" s="294" t="str">
        <f t="shared" si="296"/>
        <v/>
      </c>
      <c r="AN455" s="294" t="str">
        <f t="shared" si="297"/>
        <v/>
      </c>
      <c r="AO455" s="298" t="str">
        <f t="shared" si="298"/>
        <v/>
      </c>
      <c r="AP455" s="299" t="str">
        <f t="shared" si="299"/>
        <v/>
      </c>
      <c r="AQ455" s="299" t="str">
        <f t="shared" si="300"/>
        <v/>
      </c>
      <c r="AR455" s="300" t="str">
        <f t="shared" si="280"/>
        <v/>
      </c>
      <c r="AS455" s="300" t="str">
        <f t="shared" si="281"/>
        <v/>
      </c>
      <c r="AT455" s="294" t="str">
        <f t="shared" si="282"/>
        <v/>
      </c>
      <c r="AU455" s="301" t="str">
        <f>IF(OR($B455="", $AP455= ""),"",IF(VLOOKUP($AP455, CONTRATOS!B:K,3,FALSE)="","",VLOOKUP($AP455, CONTRATOS!B:K, 3,FALSE)))</f>
        <v/>
      </c>
      <c r="AV455" s="301" t="str">
        <f>IF(OR($B455="", $AP455 = ""), "", IF(VLOOKUP($AP455, CONTRATOS!B:K,4,FALSE)="","",VLOOKUP($AP455, CONTRATOS!B:K,4, FALSE)))</f>
        <v/>
      </c>
      <c r="AW455" s="302" t="str">
        <f t="shared" si="283"/>
        <v/>
      </c>
      <c r="AX455" s="301" t="str">
        <f t="shared" si="284"/>
        <v/>
      </c>
      <c r="AY455" s="301" t="str">
        <f t="shared" si="285"/>
        <v/>
      </c>
      <c r="AZ455" s="301" t="str">
        <f t="shared" si="286"/>
        <v/>
      </c>
      <c r="BA455" s="301" t="str">
        <f t="shared" si="287"/>
        <v/>
      </c>
      <c r="BB455" s="303">
        <f t="shared" si="301"/>
        <v>0</v>
      </c>
      <c r="BC455" s="303" t="str">
        <f t="shared" si="302"/>
        <v/>
      </c>
      <c r="BD455" s="303" t="str">
        <f t="shared" si="303"/>
        <v/>
      </c>
      <c r="BF455" s="304">
        <f t="shared" si="304"/>
        <v>0</v>
      </c>
      <c r="BG455" s="304">
        <f t="shared" si="305"/>
        <v>0</v>
      </c>
      <c r="BH455" s="304" t="str">
        <f>IF( $B455="", "", IF(ISNA(VLOOKUP($C455, Defesa!$C$8:$C$30,1,FALSE)),1,0))</f>
        <v/>
      </c>
      <c r="BI455" s="305" t="str">
        <f t="shared" si="306"/>
        <v/>
      </c>
      <c r="BJ455" s="305" t="str">
        <f t="shared" si="307"/>
        <v/>
      </c>
      <c r="BK455" s="304" t="str">
        <f t="shared" si="308"/>
        <v/>
      </c>
      <c r="BL455" s="304">
        <f t="shared" si="309"/>
        <v>0</v>
      </c>
      <c r="BM455" s="304" t="str">
        <f>IF($AC455="", "", IF(ISNA(VLOOKUP($AC455, TABELAS!$Q:$Q, 1, FALSE)), 1, 0))</f>
        <v/>
      </c>
      <c r="BN455" s="306" t="str">
        <f t="shared" si="310"/>
        <v/>
      </c>
      <c r="BO455" s="304" t="str">
        <f t="shared" si="311"/>
        <v/>
      </c>
      <c r="BP455" s="304" t="str">
        <f t="shared" si="312"/>
        <v/>
      </c>
      <c r="BQ455" s="305" t="str">
        <f t="shared" si="313"/>
        <v/>
      </c>
      <c r="BR455" s="304" t="str">
        <f t="shared" si="314"/>
        <v/>
      </c>
      <c r="BS455" s="304" t="str">
        <f t="shared" si="315"/>
        <v/>
      </c>
      <c r="BT455" s="304" t="str">
        <f>IF(OR($B455="", $AH455 = "SIM"), "", IF( ISNA(VLOOKUP($AP455,#REF!, 1, FALSE)), 1, 0))</f>
        <v/>
      </c>
      <c r="BU455" s="304" t="str">
        <f t="shared" si="316"/>
        <v/>
      </c>
      <c r="BV455" s="304" t="str">
        <f>IF( $B455="", "", IF( ISNA(VLOOKUP($AN455, TABELAS!$T$2:$T$9,1,FALSE)), 1, 0))</f>
        <v/>
      </c>
      <c r="BW455" s="304" t="str">
        <f t="shared" si="317"/>
        <v/>
      </c>
      <c r="BX455" s="304" t="str">
        <f>IF( OR($B455="", $AH455 = "SIM"), "", IF( ISNA( VLOOKUP( $AQ455, SISTEMA!$B:$B, 1, FALSE)), 1, 0))</f>
        <v/>
      </c>
      <c r="BY455" s="305" t="str">
        <f t="shared" si="318"/>
        <v/>
      </c>
      <c r="BZ455" s="305" t="str">
        <f t="shared" si="319"/>
        <v/>
      </c>
      <c r="CA455" s="304" t="str">
        <f t="shared" si="320"/>
        <v/>
      </c>
      <c r="CB455" s="305" t="str">
        <f t="shared" si="321"/>
        <v/>
      </c>
      <c r="CC455" s="305" t="str">
        <f t="shared" si="322"/>
        <v/>
      </c>
      <c r="CD455" s="305" t="str">
        <f t="shared" si="323"/>
        <v/>
      </c>
    </row>
    <row r="456" spans="1:82" x14ac:dyDescent="0.2">
      <c r="A456" s="235"/>
      <c r="B456" s="236" t="str">
        <f t="shared" si="288"/>
        <v/>
      </c>
      <c r="C456" s="237" t="str">
        <f t="shared" ref="C456:C507" si="324">IF($K456&lt;&gt;"",$K456, IF($AB456 = "", "", $C455))</f>
        <v/>
      </c>
      <c r="D456" s="237" t="str">
        <f t="shared" si="289"/>
        <v/>
      </c>
      <c r="E456" s="237" t="str">
        <f>IF($C456="", "", COUNTIF($M$8:$M456,$D456))</f>
        <v/>
      </c>
      <c r="F456" s="238">
        <v>449</v>
      </c>
      <c r="G456" s="239"/>
      <c r="H456" s="240"/>
      <c r="I456" s="240"/>
      <c r="J456" s="241"/>
      <c r="K456" s="240"/>
      <c r="L456" s="240"/>
      <c r="M456" s="240"/>
      <c r="N456" s="242"/>
      <c r="O456" s="243"/>
      <c r="P456" s="243"/>
      <c r="Q456" s="243"/>
      <c r="R456" s="243"/>
      <c r="S456" s="243"/>
      <c r="T456" s="245"/>
      <c r="U456" s="246" t="str">
        <f>IF($T456="", "", VLOOKUP($T456, CONTRATOS!$B:$E, 2, FALSE))</f>
        <v/>
      </c>
      <c r="V456" s="247">
        <f>IF(OR($T456="",TB_DEFESA!$C$2="Criação Baseline"),0,
   IF(VLOOKUP($T456, CONTRATOS!B:E, 3, FALSE)&lt;&gt;"",1,IF(VLOOKUP($T456, CONTRATOS!B:E, 4, FALSE)&lt;&gt;"",2,0)))</f>
        <v>0</v>
      </c>
      <c r="W456" s="248"/>
      <c r="X456" s="248"/>
      <c r="Y456" s="249"/>
      <c r="Z456" s="250"/>
      <c r="AA456" s="251"/>
      <c r="AB456" s="252"/>
      <c r="AC456" s="253"/>
      <c r="AD456" s="251"/>
      <c r="AE456" s="254" t="str">
        <f t="shared" ref="AE456:AE507" si="325">IF(AT456="","",IF(V456=1,1,IF(AT456=0,0,AD456/AT456)))</f>
        <v/>
      </c>
      <c r="AF456" s="256" t="str">
        <f t="shared" si="290"/>
        <v/>
      </c>
      <c r="AG456" s="293" t="s">
        <v>62</v>
      </c>
      <c r="AH456" s="294" t="str">
        <f t="shared" si="291"/>
        <v/>
      </c>
      <c r="AI456" s="294" t="str">
        <f t="shared" si="292"/>
        <v/>
      </c>
      <c r="AJ456" s="295" t="str">
        <f t="shared" si="293"/>
        <v/>
      </c>
      <c r="AK456" s="296" t="str">
        <f t="shared" si="294"/>
        <v/>
      </c>
      <c r="AL456" s="297" t="str">
        <f t="shared" si="295"/>
        <v/>
      </c>
      <c r="AM456" s="294" t="str">
        <f t="shared" si="296"/>
        <v/>
      </c>
      <c r="AN456" s="294" t="str">
        <f t="shared" si="297"/>
        <v/>
      </c>
      <c r="AO456" s="298" t="str">
        <f t="shared" si="298"/>
        <v/>
      </c>
      <c r="AP456" s="299" t="str">
        <f t="shared" si="299"/>
        <v/>
      </c>
      <c r="AQ456" s="299" t="str">
        <f t="shared" si="300"/>
        <v/>
      </c>
      <c r="AR456" s="300" t="str">
        <f t="shared" ref="AR456:AR507" si="326">IF($B456 = "", "",  IF($Y456= "", IF(ISNUMBER($AR455), $AR455, 0), $Y456))</f>
        <v/>
      </c>
      <c r="AS456" s="300" t="str">
        <f t="shared" ref="AS456:AS507" si="327">IF($B456 = "", "",  IF($Z456= "", IF(ISNUMBER($AS455), $AS455, 0), $Z456))</f>
        <v/>
      </c>
      <c r="AT456" s="294" t="str">
        <f t="shared" ref="AT456:AT507" si="328">IF($B456="", "", IF($AA456=0, $AT455, $AA456))</f>
        <v/>
      </c>
      <c r="AU456" s="301" t="str">
        <f>IF(OR($B456="", $AP456= ""),"",IF(VLOOKUP($AP456, CONTRATOS!B:K,3,FALSE)="","",VLOOKUP($AP456, CONTRATOS!B:K, 3,FALSE)))</f>
        <v/>
      </c>
      <c r="AV456" s="301" t="str">
        <f>IF(OR($B456="", $AP456 = ""), "", IF(VLOOKUP($AP456, CONTRATOS!B:K,4,FALSE)="","",VLOOKUP($AP456, CONTRATOS!B:K,4, FALSE)))</f>
        <v/>
      </c>
      <c r="AW456" s="302" t="str">
        <f t="shared" ref="AW456:AW507" si="329">IF($B456="", "", IF($V456=1, 1, IF( OR($AT456 = "", $AT456=0), 0, $AD456/$AT456)))</f>
        <v/>
      </c>
      <c r="AX456" s="301" t="str">
        <f t="shared" ref="AX456:AX507" si="330">IF( $B456="", "", IF( $K456="",$AX455, IF($S456 = "", "", $S456)))</f>
        <v/>
      </c>
      <c r="AY456" s="301" t="str">
        <f t="shared" ref="AY456:AY507" si="331">IF( $B456="", "", IF( $K456="",$AY455, IF($P456 = "", "", $P456)))</f>
        <v/>
      </c>
      <c r="AZ456" s="301" t="str">
        <f t="shared" ref="AZ456:AZ507" si="332">IF( $B456="", "", IF( $K456="",$AZ455, IF($Q456 = "", "", $Q456)))</f>
        <v/>
      </c>
      <c r="BA456" s="301" t="str">
        <f t="shared" ref="BA456:BA507" si="333">IF( $B456="", "", IF( $K456="",$BA455, IF($R456 = "", "", $R456)))</f>
        <v/>
      </c>
      <c r="BB456" s="303">
        <f t="shared" si="301"/>
        <v>0</v>
      </c>
      <c r="BC456" s="303" t="str">
        <f t="shared" si="302"/>
        <v/>
      </c>
      <c r="BD456" s="303" t="str">
        <f t="shared" si="303"/>
        <v/>
      </c>
      <c r="BF456" s="304">
        <f t="shared" si="304"/>
        <v>0</v>
      </c>
      <c r="BG456" s="304">
        <f t="shared" si="305"/>
        <v>0</v>
      </c>
      <c r="BH456" s="304" t="str">
        <f>IF( $B456="", "", IF(ISNA(VLOOKUP($C456, Defesa!$C$8:$C$30,1,FALSE)),1,0))</f>
        <v/>
      </c>
      <c r="BI456" s="305" t="str">
        <f t="shared" si="306"/>
        <v/>
      </c>
      <c r="BJ456" s="305" t="str">
        <f t="shared" si="307"/>
        <v/>
      </c>
      <c r="BK456" s="304" t="str">
        <f t="shared" si="308"/>
        <v/>
      </c>
      <c r="BL456" s="304">
        <f t="shared" si="309"/>
        <v>0</v>
      </c>
      <c r="BM456" s="304" t="str">
        <f>IF($AC456="", "", IF(ISNA(VLOOKUP($AC456, TABELAS!$Q:$Q, 1, FALSE)), 1, 0))</f>
        <v/>
      </c>
      <c r="BN456" s="306" t="str">
        <f t="shared" si="310"/>
        <v/>
      </c>
      <c r="BO456" s="304" t="str">
        <f t="shared" si="311"/>
        <v/>
      </c>
      <c r="BP456" s="304" t="str">
        <f t="shared" si="312"/>
        <v/>
      </c>
      <c r="BQ456" s="305" t="str">
        <f t="shared" si="313"/>
        <v/>
      </c>
      <c r="BR456" s="304" t="str">
        <f t="shared" si="314"/>
        <v/>
      </c>
      <c r="BS456" s="304" t="str">
        <f t="shared" si="315"/>
        <v/>
      </c>
      <c r="BT456" s="304" t="str">
        <f>IF(OR($B456="", $AH456 = "SIM"), "", IF( ISNA(VLOOKUP($AP456,#REF!, 1, FALSE)), 1, 0))</f>
        <v/>
      </c>
      <c r="BU456" s="304" t="str">
        <f t="shared" si="316"/>
        <v/>
      </c>
      <c r="BV456" s="304" t="str">
        <f>IF( $B456="", "", IF( ISNA(VLOOKUP($AN456, TABELAS!$T$2:$T$9,1,FALSE)), 1, 0))</f>
        <v/>
      </c>
      <c r="BW456" s="304" t="str">
        <f t="shared" si="317"/>
        <v/>
      </c>
      <c r="BX456" s="304" t="str">
        <f>IF( OR($B456="", $AH456 = "SIM"), "", IF( ISNA( VLOOKUP( $AQ456, SISTEMA!$B:$B, 1, FALSE)), 1, 0))</f>
        <v/>
      </c>
      <c r="BY456" s="305" t="str">
        <f t="shared" si="318"/>
        <v/>
      </c>
      <c r="BZ456" s="305" t="str">
        <f t="shared" si="319"/>
        <v/>
      </c>
      <c r="CA456" s="304" t="str">
        <f t="shared" si="320"/>
        <v/>
      </c>
      <c r="CB456" s="305" t="str">
        <f t="shared" si="321"/>
        <v/>
      </c>
      <c r="CC456" s="305" t="str">
        <f t="shared" si="322"/>
        <v/>
      </c>
      <c r="CD456" s="305" t="str">
        <f t="shared" si="323"/>
        <v/>
      </c>
    </row>
    <row r="457" spans="1:82" x14ac:dyDescent="0.2">
      <c r="A457" s="235"/>
      <c r="B457" s="236" t="str">
        <f t="shared" ref="B457:B507" si="334" xml:space="preserve"> IF( C457 = "", "", C457 &amp; "." &amp; D457 &amp; "."  &amp; E457)</f>
        <v/>
      </c>
      <c r="C457" s="237" t="str">
        <f t="shared" si="324"/>
        <v/>
      </c>
      <c r="D457" s="237" t="str">
        <f t="shared" ref="D457:D507" si="335">IF( $C457 = "", "", IF( $M457="", IF(AND($C456=$C457,$G457 = ""), $D456, ""), TEXT($M457,"000")))</f>
        <v/>
      </c>
      <c r="E457" s="237" t="str">
        <f>IF($C457="", "", COUNTIF($M$8:$M457,$D457))</f>
        <v/>
      </c>
      <c r="F457" s="238">
        <v>450</v>
      </c>
      <c r="G457" s="239"/>
      <c r="H457" s="240"/>
      <c r="I457" s="240"/>
      <c r="J457" s="241"/>
      <c r="K457" s="240"/>
      <c r="L457" s="240"/>
      <c r="M457" s="240"/>
      <c r="N457" s="242"/>
      <c r="O457" s="243"/>
      <c r="P457" s="243"/>
      <c r="Q457" s="243"/>
      <c r="R457" s="243"/>
      <c r="S457" s="243"/>
      <c r="T457" s="245"/>
      <c r="U457" s="246" t="str">
        <f>IF($T457="", "", VLOOKUP($T457, CONTRATOS!$B:$E, 2, FALSE))</f>
        <v/>
      </c>
      <c r="V457" s="247">
        <f>IF(OR($T457="",TB_DEFESA!$C$2="Criação Baseline"),0,
   IF(VLOOKUP($T457, CONTRATOS!B:E, 3, FALSE)&lt;&gt;"",1,IF(VLOOKUP($T457, CONTRATOS!B:E, 4, FALSE)&lt;&gt;"",2,0)))</f>
        <v>0</v>
      </c>
      <c r="W457" s="248"/>
      <c r="X457" s="248"/>
      <c r="Y457" s="249"/>
      <c r="Z457" s="250"/>
      <c r="AA457" s="251"/>
      <c r="AB457" s="252"/>
      <c r="AC457" s="253"/>
      <c r="AD457" s="251"/>
      <c r="AE457" s="254" t="str">
        <f t="shared" si="325"/>
        <v/>
      </c>
      <c r="AF457" s="256" t="str">
        <f t="shared" ref="AF457:AF507" si="336">IF(B457= "", "", IF(SUM($BF457:$CD457) = 0, 0, 1))</f>
        <v/>
      </c>
      <c r="AG457" s="293" t="s">
        <v>62</v>
      </c>
      <c r="AH457" s="294" t="str">
        <f t="shared" ref="AH457:AH507" si="337">IF($B457="","", IF( AND($G457="", $B457 = $B456 ), $AH456, $G457))</f>
        <v/>
      </c>
      <c r="AI457" s="294" t="str">
        <f t="shared" ref="AI457:AI507" si="338">IF($B457 = "", "",  IF( AND($H457= "", $B457 = $B456 ), $AI456, $H457))</f>
        <v/>
      </c>
      <c r="AJ457" s="295" t="str">
        <f t="shared" ref="AJ457:AJ507" si="339">IF(AND($AB457="", $V457=""),"",IF(AND($I457="",$B457=$B456), $AJ456, IF($I457="","",$I457)))</f>
        <v/>
      </c>
      <c r="AK457" s="296" t="str">
        <f t="shared" ref="AK457:AK507" si="340">IF($B457="", "", IF( AND($J457 = "",$B457=$B456), $AK456, $J457))</f>
        <v/>
      </c>
      <c r="AL457" s="297" t="str">
        <f t="shared" ref="AL457:AL507" si="341">IF( $B457= "", "",  IF( AND($L457= "",$B457=$B456), $AL456, $L457))</f>
        <v/>
      </c>
      <c r="AM457" s="294" t="str">
        <f t="shared" ref="AM457:AM507" si="342">IF( $B457 = "", "",  IF(AND($N457= "",$B457=$B456), $AM456, $O457))</f>
        <v/>
      </c>
      <c r="AN457" s="294" t="str">
        <f t="shared" ref="AN457:AN507" si="343">IF( $B457 = "", "",  IF( AND($X457= "",$B457=$B456), $AN456, $X457))</f>
        <v/>
      </c>
      <c r="AO457" s="298" t="str">
        <f t="shared" ref="AO457:AO507" si="344">IF($B457="", "",  IF( AND($U457= "",$B457=$B456), $AO456, $U457))</f>
        <v/>
      </c>
      <c r="AP457" s="299" t="str">
        <f t="shared" ref="AP457:AP507" si="345">IF( $B457 = "", "",  IF( AND($U457= "",$B457=$B456), $AP456, IF($T457 = "", "", $T457)))</f>
        <v/>
      </c>
      <c r="AQ457" s="299" t="str">
        <f t="shared" ref="AQ457:AQ507" si="346">IF($B457="","",IF(AND($W457="",$B457=$B456),$AQ456,IF($W457="","",$W457)))</f>
        <v/>
      </c>
      <c r="AR457" s="300" t="str">
        <f t="shared" si="326"/>
        <v/>
      </c>
      <c r="AS457" s="300" t="str">
        <f t="shared" si="327"/>
        <v/>
      </c>
      <c r="AT457" s="294" t="str">
        <f t="shared" si="328"/>
        <v/>
      </c>
      <c r="AU457" s="301" t="str">
        <f>IF(OR($B457="", $AP457= ""),"",IF(VLOOKUP($AP457, CONTRATOS!B:K,3,FALSE)="","",VLOOKUP($AP457, CONTRATOS!B:K, 3,FALSE)))</f>
        <v/>
      </c>
      <c r="AV457" s="301" t="str">
        <f>IF(OR($B457="", $AP457 = ""), "", IF(VLOOKUP($AP457, CONTRATOS!B:K,4,FALSE)="","",VLOOKUP($AP457, CONTRATOS!B:K,4, FALSE)))</f>
        <v/>
      </c>
      <c r="AW457" s="302" t="str">
        <f t="shared" si="329"/>
        <v/>
      </c>
      <c r="AX457" s="301" t="str">
        <f t="shared" si="330"/>
        <v/>
      </c>
      <c r="AY457" s="301" t="str">
        <f t="shared" si="331"/>
        <v/>
      </c>
      <c r="AZ457" s="301" t="str">
        <f t="shared" si="332"/>
        <v/>
      </c>
      <c r="BA457" s="301" t="str">
        <f t="shared" si="333"/>
        <v/>
      </c>
      <c r="BB457" s="303">
        <f t="shared" ref="BB457:BB507" si="347">IF( $B457 = "", 0, ROW($B457))</f>
        <v>0</v>
      </c>
      <c r="BC457" s="303" t="str">
        <f t="shared" ref="BC457:BC507" si="348">IF($AC457="","",IF($AC457="Próximos Anos",$AC457,RIGHT($AC457,4)))</f>
        <v/>
      </c>
      <c r="BD457" s="303" t="str">
        <f t="shared" ref="BD457:BD507" si="349">IF($B457="", "", IF($B457=$B456, $BD456, $V457))</f>
        <v/>
      </c>
      <c r="BF457" s="304">
        <f t="shared" ref="BF457:BF507" si="350">IF( AND($G457="SIM", OR($H457="", $I457="", $J457="", $K457="", $L457="", $M457="", $O457="", $P457="", $Q457="", $R457="", $X457="",  $AA457="", $AB457="", $AC457="", $AD457="")), 1, 0)</f>
        <v>0</v>
      </c>
      <c r="BG457" s="304">
        <f t="shared" ref="BG457:BG507" si="351">IF(AND($G457="NÃO", OR($H457="", $I457="", $J457="", $K457="", $L457="", $M457="", $O457="", $T457="", $W457="", $X457="", $AA457="")), 1,
    IF( AND($AH457="NÃO",  $AU457 ="", OR( $AB457="", $AC457="", $AD457="")), 1,
    IF( AND($AH457="NÃO",  $AU457 &lt;&gt; "", OR($AB457&lt;&gt;"", $AC457&lt;&gt;"", $AD457&lt;&gt;"") ), 1, 0 ) ) )</f>
        <v>0</v>
      </c>
      <c r="BH457" s="304" t="str">
        <f>IF( $B457="", "", IF(ISNA(VLOOKUP($C457, Defesa!$C$8:$C$30,1,FALSE)),1,0))</f>
        <v/>
      </c>
      <c r="BI457" s="305" t="str">
        <f t="shared" ref="BI457:BI507" si="352">IF($B457= "", "",  IF(OR($D457 = "N/A", LEFT($D457, 2) = "ME", AND(LEN($D457) = 12, LEFT($D457, 4) = "PROP")), 0, 1))</f>
        <v/>
      </c>
      <c r="BJ457" s="305" t="str">
        <f t="shared" ref="BJ457:BJ507" si="353">IF($B457="","",IF(AND($AL457="N/A",LEFT($D457,4)&lt;&gt;"PROP"),0,IF(OR(AND(LEN($AL457)=10,LEFT($AL457,2)="AF",LEFT($AL457,4)&lt;&gt;"AFFT")),0,1)))</f>
        <v/>
      </c>
      <c r="BK457" s="304" t="str">
        <f t="shared" ref="BK457:BK507" si="354">IF($B457="", "", IF(COUNTIFS($AB:$AB, $AB457,$B:$B, $B457)&gt;1, 1, 0))</f>
        <v/>
      </c>
      <c r="BL457" s="304">
        <f t="shared" ref="BL457:BL507" si="355">IF( OR($B457= "",$V457 = 1), 0,  IF( OR($AC457 = "", $AD457="", $AB457=""), 1, 0))</f>
        <v>0</v>
      </c>
      <c r="BM457" s="304" t="str">
        <f>IF($AC457="", "", IF(ISNA(VLOOKUP($AC457, TABELAS!$Q:$Q, 1, FALSE)), 1, 0))</f>
        <v/>
      </c>
      <c r="BN457" s="306" t="str">
        <f t="shared" ref="BN457:BN507" si="356">IF($B457= "", "", IF( SUMIFS($AW:$AW,$C:$C, $C457,$D:$D, $D457,$E:$E, $E457) = 1, 0, 1))</f>
        <v/>
      </c>
      <c r="BO457" s="304" t="str">
        <f t="shared" ref="BO457:BO507" si="357">IF( $B457 ="", "", IF( AND($V457 = 1, OR( $AC457 &lt;&gt; "", $AB457 &lt;&gt; "", $AD457 &lt;&gt; "")), 1, 0))</f>
        <v/>
      </c>
      <c r="BP457" s="304" t="str">
        <f t="shared" ref="BP457:BP507" si="358" xml:space="preserve"> IF($B457 = "", "", IF(AND( $AI457 = "SIM", $AP457= "&lt; A DEFINIR &gt;"), 1, 0))</f>
        <v/>
      </c>
      <c r="BQ457" s="305" t="str">
        <f t="shared" ref="BQ457:BQ507" si="359">IF($B457="", "", IF( AND($AI457="SIM", OR(LEFT($D457,2)="ME", $D457 = "N/A")), 1, 0))</f>
        <v/>
      </c>
      <c r="BR457" s="304" t="str">
        <f t="shared" ref="BR457:BR507" si="360" xml:space="preserve"> IF($B457 = "", "", IF( AND( $AJ457 = "SIM", OR($AP457= "&lt; A DEFINIR &gt;", $V457 = 1, $AI457 = "ESTIMATIVA")), 1, 0))</f>
        <v/>
      </c>
      <c r="BS457" s="304" t="str">
        <f t="shared" ref="BS457:BS507" si="361" xml:space="preserve"> IF(B457 = "", "", IF(AND($X457 &lt;&gt; "N/A",  V457 = 1), 1, 0))</f>
        <v/>
      </c>
      <c r="BT457" s="304" t="str">
        <f>IF(OR($B457="", $AH457 = "SIM"), "", IF( ISNA(VLOOKUP($AP457,#REF!, 1, FALSE)), 1, 0))</f>
        <v/>
      </c>
      <c r="BU457" s="304" t="str">
        <f t="shared" ref="BU457:BU507" si="362">IF($AP457="", "", IF( AND(OR($AO457=4600046592, $U457 = 4600041840), $AN457&lt;&gt; "BTSA Fixa R2"), 1,0))</f>
        <v/>
      </c>
      <c r="BV457" s="304" t="str">
        <f>IF( $B457="", "", IF( ISNA(VLOOKUP($AN457, TABELAS!$T$2:$T$9,1,FALSE)), 1, 0))</f>
        <v/>
      </c>
      <c r="BW457" s="304" t="str">
        <f t="shared" ref="BW457:BW507" si="363" xml:space="preserve"> IF($B457 = "", "", IF( AND( $AN457 = "N/A", $V457 = 0), 1, 0) )</f>
        <v/>
      </c>
      <c r="BX457" s="304" t="str">
        <f>IF( OR($B457="", $AH457 = "SIM"), "", IF( ISNA( VLOOKUP( $AQ457, SISTEMA!$B:$B, 1, FALSE)), 1, 0))</f>
        <v/>
      </c>
      <c r="BY457" s="305" t="str">
        <f t="shared" ref="BY457:BY507" si="364">IF( $B457="", "", IF( AND($AI457="ESTIMATIVA", LEFT($D457, 4)="PROP"), 1, 0))</f>
        <v/>
      </c>
      <c r="BZ457" s="305" t="str">
        <f t="shared" ref="BZ457:BZ507" si="365">IF( $B457="", "", IF( AND($AX457&lt;&gt;"", $V457 = 1), 1, 0))</f>
        <v/>
      </c>
      <c r="CA457" s="304" t="str">
        <f t="shared" ref="CA457:CA507" si="366">IF($B457="", "", IF( AND($AM457 &lt;&gt; "SERVIÇOS", $AM457 &lt;&gt; "HARDWARE", $AM457 &lt;&gt; "SOFTWARE", $AM457 &lt;&gt; "FACILITIES", $AM457 &lt;&gt; "VIAGENS"  ), 1, 0))</f>
        <v/>
      </c>
      <c r="CB457" s="305" t="str">
        <f t="shared" ref="CB457:CB507" si="367">IF( $B457="", "", IF( AND( $AH457 = "NÃO", OR( $AM457 = "SOFTWARE", $AM457 = "HARDWARE", $AM457 = "FACILITIES")), 1, 0))</f>
        <v/>
      </c>
      <c r="CC457" s="305" t="str">
        <f t="shared" ref="CC457:CC507" si="368">IF( $B457="", "", IF( AND($AI457="COMPLEMENTO", LEFT($D457, 4)="PROP"), 1, 0))</f>
        <v/>
      </c>
      <c r="CD457" s="305" t="str">
        <f t="shared" ref="CD457:CD507" si="369">IF( $B457="", "", IF( AND($D457=$D456, $AP457 &lt;&gt; $AP456), 1, 0))</f>
        <v/>
      </c>
    </row>
    <row r="458" spans="1:82" x14ac:dyDescent="0.2">
      <c r="A458" s="235"/>
      <c r="B458" s="236" t="str">
        <f t="shared" si="334"/>
        <v/>
      </c>
      <c r="C458" s="237" t="str">
        <f t="shared" si="324"/>
        <v/>
      </c>
      <c r="D458" s="237" t="str">
        <f t="shared" si="335"/>
        <v/>
      </c>
      <c r="E458" s="237" t="str">
        <f>IF($C458="", "", COUNTIF($M$8:$M458,$D458))</f>
        <v/>
      </c>
      <c r="F458" s="238">
        <v>451</v>
      </c>
      <c r="G458" s="239"/>
      <c r="H458" s="240"/>
      <c r="I458" s="240"/>
      <c r="J458" s="241"/>
      <c r="K458" s="240"/>
      <c r="L458" s="240"/>
      <c r="M458" s="240"/>
      <c r="N458" s="242"/>
      <c r="O458" s="243"/>
      <c r="P458" s="243"/>
      <c r="Q458" s="243"/>
      <c r="R458" s="243"/>
      <c r="S458" s="243"/>
      <c r="T458" s="245"/>
      <c r="U458" s="246" t="str">
        <f>IF($T458="", "", VLOOKUP($T458, CONTRATOS!$B:$E, 2, FALSE))</f>
        <v/>
      </c>
      <c r="V458" s="247">
        <f>IF(OR($T458="",TB_DEFESA!$C$2="Criação Baseline"),0,
   IF(VLOOKUP($T458, CONTRATOS!B:E, 3, FALSE)&lt;&gt;"",1,IF(VLOOKUP($T458, CONTRATOS!B:E, 4, FALSE)&lt;&gt;"",2,0)))</f>
        <v>0</v>
      </c>
      <c r="W458" s="248"/>
      <c r="X458" s="248"/>
      <c r="Y458" s="249"/>
      <c r="Z458" s="250"/>
      <c r="AA458" s="251"/>
      <c r="AB458" s="252"/>
      <c r="AC458" s="253"/>
      <c r="AD458" s="251"/>
      <c r="AE458" s="254" t="str">
        <f t="shared" si="325"/>
        <v/>
      </c>
      <c r="AF458" s="256" t="str">
        <f t="shared" si="336"/>
        <v/>
      </c>
      <c r="AG458" s="293" t="s">
        <v>62</v>
      </c>
      <c r="AH458" s="294" t="str">
        <f t="shared" si="337"/>
        <v/>
      </c>
      <c r="AI458" s="294" t="str">
        <f t="shared" si="338"/>
        <v/>
      </c>
      <c r="AJ458" s="295" t="str">
        <f t="shared" si="339"/>
        <v/>
      </c>
      <c r="AK458" s="296" t="str">
        <f t="shared" si="340"/>
        <v/>
      </c>
      <c r="AL458" s="297" t="str">
        <f t="shared" si="341"/>
        <v/>
      </c>
      <c r="AM458" s="294" t="str">
        <f t="shared" si="342"/>
        <v/>
      </c>
      <c r="AN458" s="294" t="str">
        <f t="shared" si="343"/>
        <v/>
      </c>
      <c r="AO458" s="298" t="str">
        <f t="shared" si="344"/>
        <v/>
      </c>
      <c r="AP458" s="299" t="str">
        <f t="shared" si="345"/>
        <v/>
      </c>
      <c r="AQ458" s="299" t="str">
        <f t="shared" si="346"/>
        <v/>
      </c>
      <c r="AR458" s="300" t="str">
        <f t="shared" si="326"/>
        <v/>
      </c>
      <c r="AS458" s="300" t="str">
        <f t="shared" si="327"/>
        <v/>
      </c>
      <c r="AT458" s="294" t="str">
        <f t="shared" si="328"/>
        <v/>
      </c>
      <c r="AU458" s="301" t="str">
        <f>IF(OR($B458="", $AP458= ""),"",IF(VLOOKUP($AP458, CONTRATOS!B:K,3,FALSE)="","",VLOOKUP($AP458, CONTRATOS!B:K, 3,FALSE)))</f>
        <v/>
      </c>
      <c r="AV458" s="301" t="str">
        <f>IF(OR($B458="", $AP458 = ""), "", IF(VLOOKUP($AP458, CONTRATOS!B:K,4,FALSE)="","",VLOOKUP($AP458, CONTRATOS!B:K,4, FALSE)))</f>
        <v/>
      </c>
      <c r="AW458" s="302" t="str">
        <f t="shared" si="329"/>
        <v/>
      </c>
      <c r="AX458" s="301" t="str">
        <f t="shared" si="330"/>
        <v/>
      </c>
      <c r="AY458" s="301" t="str">
        <f t="shared" si="331"/>
        <v/>
      </c>
      <c r="AZ458" s="301" t="str">
        <f t="shared" si="332"/>
        <v/>
      </c>
      <c r="BA458" s="301" t="str">
        <f t="shared" si="333"/>
        <v/>
      </c>
      <c r="BB458" s="303">
        <f t="shared" si="347"/>
        <v>0</v>
      </c>
      <c r="BC458" s="303" t="str">
        <f t="shared" si="348"/>
        <v/>
      </c>
      <c r="BD458" s="303" t="str">
        <f t="shared" si="349"/>
        <v/>
      </c>
      <c r="BF458" s="304">
        <f t="shared" si="350"/>
        <v>0</v>
      </c>
      <c r="BG458" s="304">
        <f t="shared" si="351"/>
        <v>0</v>
      </c>
      <c r="BH458" s="304" t="str">
        <f>IF( $B458="", "", IF(ISNA(VLOOKUP($C458, Defesa!$C$8:$C$30,1,FALSE)),1,0))</f>
        <v/>
      </c>
      <c r="BI458" s="305" t="str">
        <f t="shared" si="352"/>
        <v/>
      </c>
      <c r="BJ458" s="305" t="str">
        <f t="shared" si="353"/>
        <v/>
      </c>
      <c r="BK458" s="304" t="str">
        <f t="shared" si="354"/>
        <v/>
      </c>
      <c r="BL458" s="304">
        <f t="shared" si="355"/>
        <v>0</v>
      </c>
      <c r="BM458" s="304" t="str">
        <f>IF($AC458="", "", IF(ISNA(VLOOKUP($AC458, TABELAS!$Q:$Q, 1, FALSE)), 1, 0))</f>
        <v/>
      </c>
      <c r="BN458" s="306" t="str">
        <f t="shared" si="356"/>
        <v/>
      </c>
      <c r="BO458" s="304" t="str">
        <f t="shared" si="357"/>
        <v/>
      </c>
      <c r="BP458" s="304" t="str">
        <f t="shared" si="358"/>
        <v/>
      </c>
      <c r="BQ458" s="305" t="str">
        <f t="shared" si="359"/>
        <v/>
      </c>
      <c r="BR458" s="304" t="str">
        <f t="shared" si="360"/>
        <v/>
      </c>
      <c r="BS458" s="304" t="str">
        <f t="shared" si="361"/>
        <v/>
      </c>
      <c r="BT458" s="304" t="str">
        <f>IF(OR($B458="", $AH458 = "SIM"), "", IF( ISNA(VLOOKUP($AP458,#REF!, 1, FALSE)), 1, 0))</f>
        <v/>
      </c>
      <c r="BU458" s="304" t="str">
        <f t="shared" si="362"/>
        <v/>
      </c>
      <c r="BV458" s="304" t="str">
        <f>IF( $B458="", "", IF( ISNA(VLOOKUP($AN458, TABELAS!$T$2:$T$9,1,FALSE)), 1, 0))</f>
        <v/>
      </c>
      <c r="BW458" s="304" t="str">
        <f t="shared" si="363"/>
        <v/>
      </c>
      <c r="BX458" s="304" t="str">
        <f>IF( OR($B458="", $AH458 = "SIM"), "", IF( ISNA( VLOOKUP( $AQ458, SISTEMA!$B:$B, 1, FALSE)), 1, 0))</f>
        <v/>
      </c>
      <c r="BY458" s="305" t="str">
        <f t="shared" si="364"/>
        <v/>
      </c>
      <c r="BZ458" s="305" t="str">
        <f t="shared" si="365"/>
        <v/>
      </c>
      <c r="CA458" s="304" t="str">
        <f t="shared" si="366"/>
        <v/>
      </c>
      <c r="CB458" s="305" t="str">
        <f t="shared" si="367"/>
        <v/>
      </c>
      <c r="CC458" s="305" t="str">
        <f t="shared" si="368"/>
        <v/>
      </c>
      <c r="CD458" s="305" t="str">
        <f t="shared" si="369"/>
        <v/>
      </c>
    </row>
    <row r="459" spans="1:82" x14ac:dyDescent="0.2">
      <c r="A459" s="235"/>
      <c r="B459" s="236" t="str">
        <f t="shared" si="334"/>
        <v/>
      </c>
      <c r="C459" s="237" t="str">
        <f t="shared" si="324"/>
        <v/>
      </c>
      <c r="D459" s="237" t="str">
        <f t="shared" si="335"/>
        <v/>
      </c>
      <c r="E459" s="237" t="str">
        <f>IF($C459="", "", COUNTIF($M$8:$M459,$D459))</f>
        <v/>
      </c>
      <c r="F459" s="238">
        <v>452</v>
      </c>
      <c r="G459" s="239"/>
      <c r="H459" s="240"/>
      <c r="I459" s="240"/>
      <c r="J459" s="241"/>
      <c r="K459" s="240"/>
      <c r="L459" s="240"/>
      <c r="M459" s="240"/>
      <c r="N459" s="242"/>
      <c r="O459" s="243"/>
      <c r="P459" s="243"/>
      <c r="Q459" s="243"/>
      <c r="R459" s="243"/>
      <c r="S459" s="243"/>
      <c r="T459" s="245"/>
      <c r="U459" s="246" t="str">
        <f>IF($T459="", "", VLOOKUP($T459, CONTRATOS!$B:$E, 2, FALSE))</f>
        <v/>
      </c>
      <c r="V459" s="247">
        <f>IF(OR($T459="",TB_DEFESA!$C$2="Criação Baseline"),0,
   IF(VLOOKUP($T459, CONTRATOS!B:E, 3, FALSE)&lt;&gt;"",1,IF(VLOOKUP($T459, CONTRATOS!B:E, 4, FALSE)&lt;&gt;"",2,0)))</f>
        <v>0</v>
      </c>
      <c r="W459" s="248"/>
      <c r="X459" s="248"/>
      <c r="Y459" s="249"/>
      <c r="Z459" s="250"/>
      <c r="AA459" s="251"/>
      <c r="AB459" s="252"/>
      <c r="AC459" s="253"/>
      <c r="AD459" s="251"/>
      <c r="AE459" s="254" t="str">
        <f t="shared" si="325"/>
        <v/>
      </c>
      <c r="AF459" s="256" t="str">
        <f t="shared" si="336"/>
        <v/>
      </c>
      <c r="AG459" s="293" t="s">
        <v>62</v>
      </c>
      <c r="AH459" s="294" t="str">
        <f t="shared" si="337"/>
        <v/>
      </c>
      <c r="AI459" s="294" t="str">
        <f t="shared" si="338"/>
        <v/>
      </c>
      <c r="AJ459" s="295" t="str">
        <f t="shared" si="339"/>
        <v/>
      </c>
      <c r="AK459" s="296" t="str">
        <f t="shared" si="340"/>
        <v/>
      </c>
      <c r="AL459" s="297" t="str">
        <f t="shared" si="341"/>
        <v/>
      </c>
      <c r="AM459" s="294" t="str">
        <f t="shared" si="342"/>
        <v/>
      </c>
      <c r="AN459" s="294" t="str">
        <f t="shared" si="343"/>
        <v/>
      </c>
      <c r="AO459" s="298" t="str">
        <f t="shared" si="344"/>
        <v/>
      </c>
      <c r="AP459" s="299" t="str">
        <f t="shared" si="345"/>
        <v/>
      </c>
      <c r="AQ459" s="299" t="str">
        <f t="shared" si="346"/>
        <v/>
      </c>
      <c r="AR459" s="300" t="str">
        <f t="shared" si="326"/>
        <v/>
      </c>
      <c r="AS459" s="300" t="str">
        <f t="shared" si="327"/>
        <v/>
      </c>
      <c r="AT459" s="294" t="str">
        <f t="shared" si="328"/>
        <v/>
      </c>
      <c r="AU459" s="301" t="str">
        <f>IF(OR($B459="", $AP459= ""),"",IF(VLOOKUP($AP459, CONTRATOS!B:K,3,FALSE)="","",VLOOKUP($AP459, CONTRATOS!B:K, 3,FALSE)))</f>
        <v/>
      </c>
      <c r="AV459" s="301" t="str">
        <f>IF(OR($B459="", $AP459 = ""), "", IF(VLOOKUP($AP459, CONTRATOS!B:K,4,FALSE)="","",VLOOKUP($AP459, CONTRATOS!B:K,4, FALSE)))</f>
        <v/>
      </c>
      <c r="AW459" s="302" t="str">
        <f t="shared" si="329"/>
        <v/>
      </c>
      <c r="AX459" s="301" t="str">
        <f t="shared" si="330"/>
        <v/>
      </c>
      <c r="AY459" s="301" t="str">
        <f t="shared" si="331"/>
        <v/>
      </c>
      <c r="AZ459" s="301" t="str">
        <f t="shared" si="332"/>
        <v/>
      </c>
      <c r="BA459" s="301" t="str">
        <f t="shared" si="333"/>
        <v/>
      </c>
      <c r="BB459" s="303">
        <f t="shared" si="347"/>
        <v>0</v>
      </c>
      <c r="BC459" s="303" t="str">
        <f t="shared" si="348"/>
        <v/>
      </c>
      <c r="BD459" s="303" t="str">
        <f t="shared" si="349"/>
        <v/>
      </c>
      <c r="BF459" s="304">
        <f t="shared" si="350"/>
        <v>0</v>
      </c>
      <c r="BG459" s="304">
        <f t="shared" si="351"/>
        <v>0</v>
      </c>
      <c r="BH459" s="304" t="str">
        <f>IF( $B459="", "", IF(ISNA(VLOOKUP($C459, Defesa!$C$8:$C$30,1,FALSE)),1,0))</f>
        <v/>
      </c>
      <c r="BI459" s="305" t="str">
        <f t="shared" si="352"/>
        <v/>
      </c>
      <c r="BJ459" s="305" t="str">
        <f t="shared" si="353"/>
        <v/>
      </c>
      <c r="BK459" s="304" t="str">
        <f t="shared" si="354"/>
        <v/>
      </c>
      <c r="BL459" s="304">
        <f t="shared" si="355"/>
        <v>0</v>
      </c>
      <c r="BM459" s="304" t="str">
        <f>IF($AC459="", "", IF(ISNA(VLOOKUP($AC459, TABELAS!$Q:$Q, 1, FALSE)), 1, 0))</f>
        <v/>
      </c>
      <c r="BN459" s="306" t="str">
        <f t="shared" si="356"/>
        <v/>
      </c>
      <c r="BO459" s="304" t="str">
        <f t="shared" si="357"/>
        <v/>
      </c>
      <c r="BP459" s="304" t="str">
        <f t="shared" si="358"/>
        <v/>
      </c>
      <c r="BQ459" s="305" t="str">
        <f t="shared" si="359"/>
        <v/>
      </c>
      <c r="BR459" s="304" t="str">
        <f t="shared" si="360"/>
        <v/>
      </c>
      <c r="BS459" s="304" t="str">
        <f t="shared" si="361"/>
        <v/>
      </c>
      <c r="BT459" s="304" t="str">
        <f>IF(OR($B459="", $AH459 = "SIM"), "", IF( ISNA(VLOOKUP($AP459,#REF!, 1, FALSE)), 1, 0))</f>
        <v/>
      </c>
      <c r="BU459" s="304" t="str">
        <f t="shared" si="362"/>
        <v/>
      </c>
      <c r="BV459" s="304" t="str">
        <f>IF( $B459="", "", IF( ISNA(VLOOKUP($AN459, TABELAS!$T$2:$T$9,1,FALSE)), 1, 0))</f>
        <v/>
      </c>
      <c r="BW459" s="304" t="str">
        <f t="shared" si="363"/>
        <v/>
      </c>
      <c r="BX459" s="304" t="str">
        <f>IF( OR($B459="", $AH459 = "SIM"), "", IF( ISNA( VLOOKUP( $AQ459, SISTEMA!$B:$B, 1, FALSE)), 1, 0))</f>
        <v/>
      </c>
      <c r="BY459" s="305" t="str">
        <f t="shared" si="364"/>
        <v/>
      </c>
      <c r="BZ459" s="305" t="str">
        <f t="shared" si="365"/>
        <v/>
      </c>
      <c r="CA459" s="304" t="str">
        <f t="shared" si="366"/>
        <v/>
      </c>
      <c r="CB459" s="305" t="str">
        <f t="shared" si="367"/>
        <v/>
      </c>
      <c r="CC459" s="305" t="str">
        <f t="shared" si="368"/>
        <v/>
      </c>
      <c r="CD459" s="305" t="str">
        <f t="shared" si="369"/>
        <v/>
      </c>
    </row>
    <row r="460" spans="1:82" x14ac:dyDescent="0.2">
      <c r="A460" s="235"/>
      <c r="B460" s="236" t="str">
        <f t="shared" si="334"/>
        <v/>
      </c>
      <c r="C460" s="237" t="str">
        <f t="shared" si="324"/>
        <v/>
      </c>
      <c r="D460" s="237" t="str">
        <f t="shared" si="335"/>
        <v/>
      </c>
      <c r="E460" s="237" t="str">
        <f>IF($C460="", "", COUNTIF($M$8:$M460,$D460))</f>
        <v/>
      </c>
      <c r="F460" s="238">
        <v>453</v>
      </c>
      <c r="G460" s="239"/>
      <c r="H460" s="240"/>
      <c r="I460" s="240"/>
      <c r="J460" s="241"/>
      <c r="K460" s="240"/>
      <c r="L460" s="240"/>
      <c r="M460" s="240"/>
      <c r="N460" s="242"/>
      <c r="O460" s="243"/>
      <c r="P460" s="243"/>
      <c r="Q460" s="243"/>
      <c r="R460" s="243"/>
      <c r="S460" s="243"/>
      <c r="T460" s="245"/>
      <c r="U460" s="246" t="str">
        <f>IF($T460="", "", VLOOKUP($T460, CONTRATOS!$B:$E, 2, FALSE))</f>
        <v/>
      </c>
      <c r="V460" s="247">
        <f>IF(OR($T460="",TB_DEFESA!$C$2="Criação Baseline"),0,
   IF(VLOOKUP($T460, CONTRATOS!B:E, 3, FALSE)&lt;&gt;"",1,IF(VLOOKUP($T460, CONTRATOS!B:E, 4, FALSE)&lt;&gt;"",2,0)))</f>
        <v>0</v>
      </c>
      <c r="W460" s="248"/>
      <c r="X460" s="248"/>
      <c r="Y460" s="249"/>
      <c r="Z460" s="250"/>
      <c r="AA460" s="251"/>
      <c r="AB460" s="252"/>
      <c r="AC460" s="253"/>
      <c r="AD460" s="251"/>
      <c r="AE460" s="254" t="str">
        <f t="shared" si="325"/>
        <v/>
      </c>
      <c r="AF460" s="256" t="str">
        <f t="shared" si="336"/>
        <v/>
      </c>
      <c r="AG460" s="293" t="s">
        <v>62</v>
      </c>
      <c r="AH460" s="294" t="str">
        <f t="shared" si="337"/>
        <v/>
      </c>
      <c r="AI460" s="294" t="str">
        <f t="shared" si="338"/>
        <v/>
      </c>
      <c r="AJ460" s="295" t="str">
        <f t="shared" si="339"/>
        <v/>
      </c>
      <c r="AK460" s="296" t="str">
        <f t="shared" si="340"/>
        <v/>
      </c>
      <c r="AL460" s="297" t="str">
        <f t="shared" si="341"/>
        <v/>
      </c>
      <c r="AM460" s="294" t="str">
        <f t="shared" si="342"/>
        <v/>
      </c>
      <c r="AN460" s="294" t="str">
        <f t="shared" si="343"/>
        <v/>
      </c>
      <c r="AO460" s="298" t="str">
        <f t="shared" si="344"/>
        <v/>
      </c>
      <c r="AP460" s="299" t="str">
        <f t="shared" si="345"/>
        <v/>
      </c>
      <c r="AQ460" s="299" t="str">
        <f t="shared" si="346"/>
        <v/>
      </c>
      <c r="AR460" s="300" t="str">
        <f t="shared" si="326"/>
        <v/>
      </c>
      <c r="AS460" s="300" t="str">
        <f t="shared" si="327"/>
        <v/>
      </c>
      <c r="AT460" s="294" t="str">
        <f t="shared" si="328"/>
        <v/>
      </c>
      <c r="AU460" s="301" t="str">
        <f>IF(OR($B460="", $AP460= ""),"",IF(VLOOKUP($AP460, CONTRATOS!B:K,3,FALSE)="","",VLOOKUP($AP460, CONTRATOS!B:K, 3,FALSE)))</f>
        <v/>
      </c>
      <c r="AV460" s="301" t="str">
        <f>IF(OR($B460="", $AP460 = ""), "", IF(VLOOKUP($AP460, CONTRATOS!B:K,4,FALSE)="","",VLOOKUP($AP460, CONTRATOS!B:K,4, FALSE)))</f>
        <v/>
      </c>
      <c r="AW460" s="302" t="str">
        <f t="shared" si="329"/>
        <v/>
      </c>
      <c r="AX460" s="301" t="str">
        <f t="shared" si="330"/>
        <v/>
      </c>
      <c r="AY460" s="301" t="str">
        <f t="shared" si="331"/>
        <v/>
      </c>
      <c r="AZ460" s="301" t="str">
        <f t="shared" si="332"/>
        <v/>
      </c>
      <c r="BA460" s="301" t="str">
        <f t="shared" si="333"/>
        <v/>
      </c>
      <c r="BB460" s="303">
        <f t="shared" si="347"/>
        <v>0</v>
      </c>
      <c r="BC460" s="303" t="str">
        <f t="shared" si="348"/>
        <v/>
      </c>
      <c r="BD460" s="303" t="str">
        <f t="shared" si="349"/>
        <v/>
      </c>
      <c r="BF460" s="304">
        <f t="shared" si="350"/>
        <v>0</v>
      </c>
      <c r="BG460" s="304">
        <f t="shared" si="351"/>
        <v>0</v>
      </c>
      <c r="BH460" s="304" t="str">
        <f>IF( $B460="", "", IF(ISNA(VLOOKUP($C460, Defesa!$C$8:$C$30,1,FALSE)),1,0))</f>
        <v/>
      </c>
      <c r="BI460" s="305" t="str">
        <f t="shared" si="352"/>
        <v/>
      </c>
      <c r="BJ460" s="305" t="str">
        <f t="shared" si="353"/>
        <v/>
      </c>
      <c r="BK460" s="304" t="str">
        <f t="shared" si="354"/>
        <v/>
      </c>
      <c r="BL460" s="304">
        <f t="shared" si="355"/>
        <v>0</v>
      </c>
      <c r="BM460" s="304" t="str">
        <f>IF($AC460="", "", IF(ISNA(VLOOKUP($AC460, TABELAS!$Q:$Q, 1, FALSE)), 1, 0))</f>
        <v/>
      </c>
      <c r="BN460" s="306" t="str">
        <f t="shared" si="356"/>
        <v/>
      </c>
      <c r="BO460" s="304" t="str">
        <f t="shared" si="357"/>
        <v/>
      </c>
      <c r="BP460" s="304" t="str">
        <f t="shared" si="358"/>
        <v/>
      </c>
      <c r="BQ460" s="305" t="str">
        <f t="shared" si="359"/>
        <v/>
      </c>
      <c r="BR460" s="304" t="str">
        <f t="shared" si="360"/>
        <v/>
      </c>
      <c r="BS460" s="304" t="str">
        <f t="shared" si="361"/>
        <v/>
      </c>
      <c r="BT460" s="304" t="str">
        <f>IF(OR($B460="", $AH460 = "SIM"), "", IF( ISNA(VLOOKUP($AP460,#REF!, 1, FALSE)), 1, 0))</f>
        <v/>
      </c>
      <c r="BU460" s="304" t="str">
        <f t="shared" si="362"/>
        <v/>
      </c>
      <c r="BV460" s="304" t="str">
        <f>IF( $B460="", "", IF( ISNA(VLOOKUP($AN460, TABELAS!$T$2:$T$9,1,FALSE)), 1, 0))</f>
        <v/>
      </c>
      <c r="BW460" s="304" t="str">
        <f t="shared" si="363"/>
        <v/>
      </c>
      <c r="BX460" s="304" t="str">
        <f>IF( OR($B460="", $AH460 = "SIM"), "", IF( ISNA( VLOOKUP( $AQ460, SISTEMA!$B:$B, 1, FALSE)), 1, 0))</f>
        <v/>
      </c>
      <c r="BY460" s="305" t="str">
        <f t="shared" si="364"/>
        <v/>
      </c>
      <c r="BZ460" s="305" t="str">
        <f t="shared" si="365"/>
        <v/>
      </c>
      <c r="CA460" s="304" t="str">
        <f t="shared" si="366"/>
        <v/>
      </c>
      <c r="CB460" s="305" t="str">
        <f t="shared" si="367"/>
        <v/>
      </c>
      <c r="CC460" s="305" t="str">
        <f t="shared" si="368"/>
        <v/>
      </c>
      <c r="CD460" s="305" t="str">
        <f t="shared" si="369"/>
        <v/>
      </c>
    </row>
    <row r="461" spans="1:82" x14ac:dyDescent="0.2">
      <c r="A461" s="235"/>
      <c r="B461" s="236" t="str">
        <f t="shared" si="334"/>
        <v/>
      </c>
      <c r="C461" s="237" t="str">
        <f t="shared" si="324"/>
        <v/>
      </c>
      <c r="D461" s="237" t="str">
        <f t="shared" si="335"/>
        <v/>
      </c>
      <c r="E461" s="237" t="str">
        <f>IF($C461="", "", COUNTIF($M$8:$M461,$D461))</f>
        <v/>
      </c>
      <c r="F461" s="238">
        <v>454</v>
      </c>
      <c r="G461" s="239"/>
      <c r="H461" s="240"/>
      <c r="I461" s="240"/>
      <c r="J461" s="241"/>
      <c r="K461" s="240"/>
      <c r="L461" s="240"/>
      <c r="M461" s="240"/>
      <c r="N461" s="242"/>
      <c r="O461" s="243"/>
      <c r="P461" s="243"/>
      <c r="Q461" s="243"/>
      <c r="R461" s="243"/>
      <c r="S461" s="243"/>
      <c r="T461" s="245"/>
      <c r="U461" s="246" t="str">
        <f>IF($T461="", "", VLOOKUP($T461, CONTRATOS!$B:$E, 2, FALSE))</f>
        <v/>
      </c>
      <c r="V461" s="247">
        <f>IF(OR($T461="",TB_DEFESA!$C$2="Criação Baseline"),0,
   IF(VLOOKUP($T461, CONTRATOS!B:E, 3, FALSE)&lt;&gt;"",1,IF(VLOOKUP($T461, CONTRATOS!B:E, 4, FALSE)&lt;&gt;"",2,0)))</f>
        <v>0</v>
      </c>
      <c r="W461" s="248"/>
      <c r="X461" s="248"/>
      <c r="Y461" s="249"/>
      <c r="Z461" s="250"/>
      <c r="AA461" s="251"/>
      <c r="AB461" s="252"/>
      <c r="AC461" s="253"/>
      <c r="AD461" s="251"/>
      <c r="AE461" s="254" t="str">
        <f t="shared" si="325"/>
        <v/>
      </c>
      <c r="AF461" s="256" t="str">
        <f t="shared" si="336"/>
        <v/>
      </c>
      <c r="AG461" s="293" t="s">
        <v>62</v>
      </c>
      <c r="AH461" s="294" t="str">
        <f t="shared" si="337"/>
        <v/>
      </c>
      <c r="AI461" s="294" t="str">
        <f t="shared" si="338"/>
        <v/>
      </c>
      <c r="AJ461" s="295" t="str">
        <f t="shared" si="339"/>
        <v/>
      </c>
      <c r="AK461" s="296" t="str">
        <f t="shared" si="340"/>
        <v/>
      </c>
      <c r="AL461" s="297" t="str">
        <f t="shared" si="341"/>
        <v/>
      </c>
      <c r="AM461" s="294" t="str">
        <f t="shared" si="342"/>
        <v/>
      </c>
      <c r="AN461" s="294" t="str">
        <f t="shared" si="343"/>
        <v/>
      </c>
      <c r="AO461" s="298" t="str">
        <f t="shared" si="344"/>
        <v/>
      </c>
      <c r="AP461" s="299" t="str">
        <f t="shared" si="345"/>
        <v/>
      </c>
      <c r="AQ461" s="299" t="str">
        <f t="shared" si="346"/>
        <v/>
      </c>
      <c r="AR461" s="300" t="str">
        <f t="shared" si="326"/>
        <v/>
      </c>
      <c r="AS461" s="300" t="str">
        <f t="shared" si="327"/>
        <v/>
      </c>
      <c r="AT461" s="294" t="str">
        <f t="shared" si="328"/>
        <v/>
      </c>
      <c r="AU461" s="301" t="str">
        <f>IF(OR($B461="", $AP461= ""),"",IF(VLOOKUP($AP461, CONTRATOS!B:K,3,FALSE)="","",VLOOKUP($AP461, CONTRATOS!B:K, 3,FALSE)))</f>
        <v/>
      </c>
      <c r="AV461" s="301" t="str">
        <f>IF(OR($B461="", $AP461 = ""), "", IF(VLOOKUP($AP461, CONTRATOS!B:K,4,FALSE)="","",VLOOKUP($AP461, CONTRATOS!B:K,4, FALSE)))</f>
        <v/>
      </c>
      <c r="AW461" s="302" t="str">
        <f t="shared" si="329"/>
        <v/>
      </c>
      <c r="AX461" s="301" t="str">
        <f t="shared" si="330"/>
        <v/>
      </c>
      <c r="AY461" s="301" t="str">
        <f t="shared" si="331"/>
        <v/>
      </c>
      <c r="AZ461" s="301" t="str">
        <f t="shared" si="332"/>
        <v/>
      </c>
      <c r="BA461" s="301" t="str">
        <f t="shared" si="333"/>
        <v/>
      </c>
      <c r="BB461" s="303">
        <f t="shared" si="347"/>
        <v>0</v>
      </c>
      <c r="BC461" s="303" t="str">
        <f t="shared" si="348"/>
        <v/>
      </c>
      <c r="BD461" s="303" t="str">
        <f t="shared" si="349"/>
        <v/>
      </c>
      <c r="BF461" s="304">
        <f t="shared" si="350"/>
        <v>0</v>
      </c>
      <c r="BG461" s="304">
        <f t="shared" si="351"/>
        <v>0</v>
      </c>
      <c r="BH461" s="304" t="str">
        <f>IF( $B461="", "", IF(ISNA(VLOOKUP($C461, Defesa!$C$8:$C$30,1,FALSE)),1,0))</f>
        <v/>
      </c>
      <c r="BI461" s="305" t="str">
        <f t="shared" si="352"/>
        <v/>
      </c>
      <c r="BJ461" s="305" t="str">
        <f t="shared" si="353"/>
        <v/>
      </c>
      <c r="BK461" s="304" t="str">
        <f t="shared" si="354"/>
        <v/>
      </c>
      <c r="BL461" s="304">
        <f t="shared" si="355"/>
        <v>0</v>
      </c>
      <c r="BM461" s="304" t="str">
        <f>IF($AC461="", "", IF(ISNA(VLOOKUP($AC461, TABELAS!$Q:$Q, 1, FALSE)), 1, 0))</f>
        <v/>
      </c>
      <c r="BN461" s="306" t="str">
        <f t="shared" si="356"/>
        <v/>
      </c>
      <c r="BO461" s="304" t="str">
        <f t="shared" si="357"/>
        <v/>
      </c>
      <c r="BP461" s="304" t="str">
        <f t="shared" si="358"/>
        <v/>
      </c>
      <c r="BQ461" s="305" t="str">
        <f t="shared" si="359"/>
        <v/>
      </c>
      <c r="BR461" s="304" t="str">
        <f t="shared" si="360"/>
        <v/>
      </c>
      <c r="BS461" s="304" t="str">
        <f t="shared" si="361"/>
        <v/>
      </c>
      <c r="BT461" s="304" t="str">
        <f>IF(OR($B461="", $AH461 = "SIM"), "", IF( ISNA(VLOOKUP($AP461,#REF!, 1, FALSE)), 1, 0))</f>
        <v/>
      </c>
      <c r="BU461" s="304" t="str">
        <f t="shared" si="362"/>
        <v/>
      </c>
      <c r="BV461" s="304" t="str">
        <f>IF( $B461="", "", IF( ISNA(VLOOKUP($AN461, TABELAS!$T$2:$T$9,1,FALSE)), 1, 0))</f>
        <v/>
      </c>
      <c r="BW461" s="304" t="str">
        <f t="shared" si="363"/>
        <v/>
      </c>
      <c r="BX461" s="304" t="str">
        <f>IF( OR($B461="", $AH461 = "SIM"), "", IF( ISNA( VLOOKUP( $AQ461, SISTEMA!$B:$B, 1, FALSE)), 1, 0))</f>
        <v/>
      </c>
      <c r="BY461" s="305" t="str">
        <f t="shared" si="364"/>
        <v/>
      </c>
      <c r="BZ461" s="305" t="str">
        <f t="shared" si="365"/>
        <v/>
      </c>
      <c r="CA461" s="304" t="str">
        <f t="shared" si="366"/>
        <v/>
      </c>
      <c r="CB461" s="305" t="str">
        <f t="shared" si="367"/>
        <v/>
      </c>
      <c r="CC461" s="305" t="str">
        <f t="shared" si="368"/>
        <v/>
      </c>
      <c r="CD461" s="305" t="str">
        <f t="shared" si="369"/>
        <v/>
      </c>
    </row>
    <row r="462" spans="1:82" x14ac:dyDescent="0.2">
      <c r="A462" s="235"/>
      <c r="B462" s="236" t="str">
        <f t="shared" si="334"/>
        <v/>
      </c>
      <c r="C462" s="237" t="str">
        <f t="shared" si="324"/>
        <v/>
      </c>
      <c r="D462" s="237" t="str">
        <f t="shared" si="335"/>
        <v/>
      </c>
      <c r="E462" s="237" t="str">
        <f>IF($C462="", "", COUNTIF($M$8:$M462,$D462))</f>
        <v/>
      </c>
      <c r="F462" s="238">
        <v>455</v>
      </c>
      <c r="G462" s="239"/>
      <c r="H462" s="240"/>
      <c r="I462" s="240"/>
      <c r="J462" s="241"/>
      <c r="K462" s="240"/>
      <c r="L462" s="240"/>
      <c r="M462" s="240"/>
      <c r="N462" s="242"/>
      <c r="O462" s="243"/>
      <c r="P462" s="243"/>
      <c r="Q462" s="243"/>
      <c r="R462" s="243"/>
      <c r="S462" s="243"/>
      <c r="T462" s="245"/>
      <c r="U462" s="246" t="str">
        <f>IF($T462="", "", VLOOKUP($T462, CONTRATOS!$B:$E, 2, FALSE))</f>
        <v/>
      </c>
      <c r="V462" s="247">
        <f>IF(OR($T462="",TB_DEFESA!$C$2="Criação Baseline"),0,
   IF(VLOOKUP($T462, CONTRATOS!B:E, 3, FALSE)&lt;&gt;"",1,IF(VLOOKUP($T462, CONTRATOS!B:E, 4, FALSE)&lt;&gt;"",2,0)))</f>
        <v>0</v>
      </c>
      <c r="W462" s="248"/>
      <c r="X462" s="248"/>
      <c r="Y462" s="249"/>
      <c r="Z462" s="250"/>
      <c r="AA462" s="251"/>
      <c r="AB462" s="252"/>
      <c r="AC462" s="253"/>
      <c r="AD462" s="251"/>
      <c r="AE462" s="254" t="str">
        <f t="shared" si="325"/>
        <v/>
      </c>
      <c r="AF462" s="256" t="str">
        <f t="shared" si="336"/>
        <v/>
      </c>
      <c r="AG462" s="293" t="s">
        <v>62</v>
      </c>
      <c r="AH462" s="294" t="str">
        <f t="shared" si="337"/>
        <v/>
      </c>
      <c r="AI462" s="294" t="str">
        <f t="shared" si="338"/>
        <v/>
      </c>
      <c r="AJ462" s="295" t="str">
        <f t="shared" si="339"/>
        <v/>
      </c>
      <c r="AK462" s="296" t="str">
        <f t="shared" si="340"/>
        <v/>
      </c>
      <c r="AL462" s="297" t="str">
        <f t="shared" si="341"/>
        <v/>
      </c>
      <c r="AM462" s="294" t="str">
        <f t="shared" si="342"/>
        <v/>
      </c>
      <c r="AN462" s="294" t="str">
        <f t="shared" si="343"/>
        <v/>
      </c>
      <c r="AO462" s="298" t="str">
        <f t="shared" si="344"/>
        <v/>
      </c>
      <c r="AP462" s="299" t="str">
        <f t="shared" si="345"/>
        <v/>
      </c>
      <c r="AQ462" s="299" t="str">
        <f t="shared" si="346"/>
        <v/>
      </c>
      <c r="AR462" s="300" t="str">
        <f t="shared" si="326"/>
        <v/>
      </c>
      <c r="AS462" s="300" t="str">
        <f t="shared" si="327"/>
        <v/>
      </c>
      <c r="AT462" s="294" t="str">
        <f t="shared" si="328"/>
        <v/>
      </c>
      <c r="AU462" s="301" t="str">
        <f>IF(OR($B462="", $AP462= ""),"",IF(VLOOKUP($AP462, CONTRATOS!B:K,3,FALSE)="","",VLOOKUP($AP462, CONTRATOS!B:K, 3,FALSE)))</f>
        <v/>
      </c>
      <c r="AV462" s="301" t="str">
        <f>IF(OR($B462="", $AP462 = ""), "", IF(VLOOKUP($AP462, CONTRATOS!B:K,4,FALSE)="","",VLOOKUP($AP462, CONTRATOS!B:K,4, FALSE)))</f>
        <v/>
      </c>
      <c r="AW462" s="302" t="str">
        <f t="shared" si="329"/>
        <v/>
      </c>
      <c r="AX462" s="301" t="str">
        <f t="shared" si="330"/>
        <v/>
      </c>
      <c r="AY462" s="301" t="str">
        <f t="shared" si="331"/>
        <v/>
      </c>
      <c r="AZ462" s="301" t="str">
        <f t="shared" si="332"/>
        <v/>
      </c>
      <c r="BA462" s="301" t="str">
        <f t="shared" si="333"/>
        <v/>
      </c>
      <c r="BB462" s="303">
        <f t="shared" si="347"/>
        <v>0</v>
      </c>
      <c r="BC462" s="303" t="str">
        <f t="shared" si="348"/>
        <v/>
      </c>
      <c r="BD462" s="303" t="str">
        <f t="shared" si="349"/>
        <v/>
      </c>
      <c r="BF462" s="304">
        <f t="shared" si="350"/>
        <v>0</v>
      </c>
      <c r="BG462" s="304">
        <f t="shared" si="351"/>
        <v>0</v>
      </c>
      <c r="BH462" s="304" t="str">
        <f>IF( $B462="", "", IF(ISNA(VLOOKUP($C462, Defesa!$C$8:$C$30,1,FALSE)),1,0))</f>
        <v/>
      </c>
      <c r="BI462" s="305" t="str">
        <f t="shared" si="352"/>
        <v/>
      </c>
      <c r="BJ462" s="305" t="str">
        <f t="shared" si="353"/>
        <v/>
      </c>
      <c r="BK462" s="304" t="str">
        <f t="shared" si="354"/>
        <v/>
      </c>
      <c r="BL462" s="304">
        <f t="shared" si="355"/>
        <v>0</v>
      </c>
      <c r="BM462" s="304" t="str">
        <f>IF($AC462="", "", IF(ISNA(VLOOKUP($AC462, TABELAS!$Q:$Q, 1, FALSE)), 1, 0))</f>
        <v/>
      </c>
      <c r="BN462" s="306" t="str">
        <f t="shared" si="356"/>
        <v/>
      </c>
      <c r="BO462" s="304" t="str">
        <f t="shared" si="357"/>
        <v/>
      </c>
      <c r="BP462" s="304" t="str">
        <f t="shared" si="358"/>
        <v/>
      </c>
      <c r="BQ462" s="305" t="str">
        <f t="shared" si="359"/>
        <v/>
      </c>
      <c r="BR462" s="304" t="str">
        <f t="shared" si="360"/>
        <v/>
      </c>
      <c r="BS462" s="304" t="str">
        <f t="shared" si="361"/>
        <v/>
      </c>
      <c r="BT462" s="304" t="str">
        <f>IF(OR($B462="", $AH462 = "SIM"), "", IF( ISNA(VLOOKUP($AP462,#REF!, 1, FALSE)), 1, 0))</f>
        <v/>
      </c>
      <c r="BU462" s="304" t="str">
        <f t="shared" si="362"/>
        <v/>
      </c>
      <c r="BV462" s="304" t="str">
        <f>IF( $B462="", "", IF( ISNA(VLOOKUP($AN462, TABELAS!$T$2:$T$9,1,FALSE)), 1, 0))</f>
        <v/>
      </c>
      <c r="BW462" s="304" t="str">
        <f t="shared" si="363"/>
        <v/>
      </c>
      <c r="BX462" s="304" t="str">
        <f>IF( OR($B462="", $AH462 = "SIM"), "", IF( ISNA( VLOOKUP( $AQ462, SISTEMA!$B:$B, 1, FALSE)), 1, 0))</f>
        <v/>
      </c>
      <c r="BY462" s="305" t="str">
        <f t="shared" si="364"/>
        <v/>
      </c>
      <c r="BZ462" s="305" t="str">
        <f t="shared" si="365"/>
        <v/>
      </c>
      <c r="CA462" s="304" t="str">
        <f t="shared" si="366"/>
        <v/>
      </c>
      <c r="CB462" s="305" t="str">
        <f t="shared" si="367"/>
        <v/>
      </c>
      <c r="CC462" s="305" t="str">
        <f t="shared" si="368"/>
        <v/>
      </c>
      <c r="CD462" s="305" t="str">
        <f t="shared" si="369"/>
        <v/>
      </c>
    </row>
    <row r="463" spans="1:82" x14ac:dyDescent="0.2">
      <c r="A463" s="235"/>
      <c r="B463" s="236" t="str">
        <f t="shared" si="334"/>
        <v/>
      </c>
      <c r="C463" s="237" t="str">
        <f t="shared" si="324"/>
        <v/>
      </c>
      <c r="D463" s="237" t="str">
        <f t="shared" si="335"/>
        <v/>
      </c>
      <c r="E463" s="237" t="str">
        <f>IF($C463="", "", COUNTIF($M$8:$M463,$D463))</f>
        <v/>
      </c>
      <c r="F463" s="238">
        <v>456</v>
      </c>
      <c r="G463" s="239"/>
      <c r="H463" s="240"/>
      <c r="I463" s="240"/>
      <c r="J463" s="241"/>
      <c r="K463" s="240"/>
      <c r="L463" s="240"/>
      <c r="M463" s="240"/>
      <c r="N463" s="242"/>
      <c r="O463" s="243"/>
      <c r="P463" s="243"/>
      <c r="Q463" s="243"/>
      <c r="R463" s="243"/>
      <c r="S463" s="243"/>
      <c r="T463" s="245"/>
      <c r="U463" s="246" t="str">
        <f>IF($T463="", "", VLOOKUP($T463, CONTRATOS!$B:$E, 2, FALSE))</f>
        <v/>
      </c>
      <c r="V463" s="247">
        <f>IF(OR($T463="",TB_DEFESA!$C$2="Criação Baseline"),0,
   IF(VLOOKUP($T463, CONTRATOS!B:E, 3, FALSE)&lt;&gt;"",1,IF(VLOOKUP($T463, CONTRATOS!B:E, 4, FALSE)&lt;&gt;"",2,0)))</f>
        <v>0</v>
      </c>
      <c r="W463" s="248"/>
      <c r="X463" s="248"/>
      <c r="Y463" s="249"/>
      <c r="Z463" s="250"/>
      <c r="AA463" s="251"/>
      <c r="AB463" s="252"/>
      <c r="AC463" s="253"/>
      <c r="AD463" s="251"/>
      <c r="AE463" s="254" t="str">
        <f t="shared" si="325"/>
        <v/>
      </c>
      <c r="AF463" s="256" t="str">
        <f t="shared" si="336"/>
        <v/>
      </c>
      <c r="AG463" s="293" t="s">
        <v>62</v>
      </c>
      <c r="AH463" s="294" t="str">
        <f t="shared" si="337"/>
        <v/>
      </c>
      <c r="AI463" s="294" t="str">
        <f t="shared" si="338"/>
        <v/>
      </c>
      <c r="AJ463" s="295" t="str">
        <f t="shared" si="339"/>
        <v/>
      </c>
      <c r="AK463" s="296" t="str">
        <f t="shared" si="340"/>
        <v/>
      </c>
      <c r="AL463" s="297" t="str">
        <f t="shared" si="341"/>
        <v/>
      </c>
      <c r="AM463" s="294" t="str">
        <f t="shared" si="342"/>
        <v/>
      </c>
      <c r="AN463" s="294" t="str">
        <f t="shared" si="343"/>
        <v/>
      </c>
      <c r="AO463" s="298" t="str">
        <f t="shared" si="344"/>
        <v/>
      </c>
      <c r="AP463" s="299" t="str">
        <f t="shared" si="345"/>
        <v/>
      </c>
      <c r="AQ463" s="299" t="str">
        <f t="shared" si="346"/>
        <v/>
      </c>
      <c r="AR463" s="300" t="str">
        <f t="shared" si="326"/>
        <v/>
      </c>
      <c r="AS463" s="300" t="str">
        <f t="shared" si="327"/>
        <v/>
      </c>
      <c r="AT463" s="294" t="str">
        <f t="shared" si="328"/>
        <v/>
      </c>
      <c r="AU463" s="301" t="str">
        <f>IF(OR($B463="", $AP463= ""),"",IF(VLOOKUP($AP463, CONTRATOS!B:K,3,FALSE)="","",VLOOKUP($AP463, CONTRATOS!B:K, 3,FALSE)))</f>
        <v/>
      </c>
      <c r="AV463" s="301" t="str">
        <f>IF(OR($B463="", $AP463 = ""), "", IF(VLOOKUP($AP463, CONTRATOS!B:K,4,FALSE)="","",VLOOKUP($AP463, CONTRATOS!B:K,4, FALSE)))</f>
        <v/>
      </c>
      <c r="AW463" s="302" t="str">
        <f t="shared" si="329"/>
        <v/>
      </c>
      <c r="AX463" s="301" t="str">
        <f t="shared" si="330"/>
        <v/>
      </c>
      <c r="AY463" s="301" t="str">
        <f t="shared" si="331"/>
        <v/>
      </c>
      <c r="AZ463" s="301" t="str">
        <f t="shared" si="332"/>
        <v/>
      </c>
      <c r="BA463" s="301" t="str">
        <f t="shared" si="333"/>
        <v/>
      </c>
      <c r="BB463" s="303">
        <f t="shared" si="347"/>
        <v>0</v>
      </c>
      <c r="BC463" s="303" t="str">
        <f t="shared" si="348"/>
        <v/>
      </c>
      <c r="BD463" s="303" t="str">
        <f t="shared" si="349"/>
        <v/>
      </c>
      <c r="BF463" s="304">
        <f t="shared" si="350"/>
        <v>0</v>
      </c>
      <c r="BG463" s="304">
        <f t="shared" si="351"/>
        <v>0</v>
      </c>
      <c r="BH463" s="304" t="str">
        <f>IF( $B463="", "", IF(ISNA(VLOOKUP($C463, Defesa!$C$8:$C$30,1,FALSE)),1,0))</f>
        <v/>
      </c>
      <c r="BI463" s="305" t="str">
        <f t="shared" si="352"/>
        <v/>
      </c>
      <c r="BJ463" s="305" t="str">
        <f t="shared" si="353"/>
        <v/>
      </c>
      <c r="BK463" s="304" t="str">
        <f t="shared" si="354"/>
        <v/>
      </c>
      <c r="BL463" s="304">
        <f t="shared" si="355"/>
        <v>0</v>
      </c>
      <c r="BM463" s="304" t="str">
        <f>IF($AC463="", "", IF(ISNA(VLOOKUP($AC463, TABELAS!$Q:$Q, 1, FALSE)), 1, 0))</f>
        <v/>
      </c>
      <c r="BN463" s="306" t="str">
        <f t="shared" si="356"/>
        <v/>
      </c>
      <c r="BO463" s="304" t="str">
        <f t="shared" si="357"/>
        <v/>
      </c>
      <c r="BP463" s="304" t="str">
        <f t="shared" si="358"/>
        <v/>
      </c>
      <c r="BQ463" s="305" t="str">
        <f t="shared" si="359"/>
        <v/>
      </c>
      <c r="BR463" s="304" t="str">
        <f t="shared" si="360"/>
        <v/>
      </c>
      <c r="BS463" s="304" t="str">
        <f t="shared" si="361"/>
        <v/>
      </c>
      <c r="BT463" s="304" t="str">
        <f>IF(OR($B463="", $AH463 = "SIM"), "", IF( ISNA(VLOOKUP($AP463,#REF!, 1, FALSE)), 1, 0))</f>
        <v/>
      </c>
      <c r="BU463" s="304" t="str">
        <f t="shared" si="362"/>
        <v/>
      </c>
      <c r="BV463" s="304" t="str">
        <f>IF( $B463="", "", IF( ISNA(VLOOKUP($AN463, TABELAS!$T$2:$T$9,1,FALSE)), 1, 0))</f>
        <v/>
      </c>
      <c r="BW463" s="304" t="str">
        <f t="shared" si="363"/>
        <v/>
      </c>
      <c r="BX463" s="304" t="str">
        <f>IF( OR($B463="", $AH463 = "SIM"), "", IF( ISNA( VLOOKUP( $AQ463, SISTEMA!$B:$B, 1, FALSE)), 1, 0))</f>
        <v/>
      </c>
      <c r="BY463" s="305" t="str">
        <f t="shared" si="364"/>
        <v/>
      </c>
      <c r="BZ463" s="305" t="str">
        <f t="shared" si="365"/>
        <v/>
      </c>
      <c r="CA463" s="304" t="str">
        <f t="shared" si="366"/>
        <v/>
      </c>
      <c r="CB463" s="305" t="str">
        <f t="shared" si="367"/>
        <v/>
      </c>
      <c r="CC463" s="305" t="str">
        <f t="shared" si="368"/>
        <v/>
      </c>
      <c r="CD463" s="305" t="str">
        <f t="shared" si="369"/>
        <v/>
      </c>
    </row>
    <row r="464" spans="1:82" x14ac:dyDescent="0.2">
      <c r="A464" s="235"/>
      <c r="B464" s="236" t="str">
        <f t="shared" si="334"/>
        <v/>
      </c>
      <c r="C464" s="237" t="str">
        <f t="shared" si="324"/>
        <v/>
      </c>
      <c r="D464" s="237" t="str">
        <f t="shared" si="335"/>
        <v/>
      </c>
      <c r="E464" s="237" t="str">
        <f>IF($C464="", "", COUNTIF($M$8:$M464,$D464))</f>
        <v/>
      </c>
      <c r="F464" s="238">
        <v>457</v>
      </c>
      <c r="G464" s="239"/>
      <c r="H464" s="240"/>
      <c r="I464" s="240"/>
      <c r="J464" s="241"/>
      <c r="K464" s="240"/>
      <c r="L464" s="240"/>
      <c r="M464" s="240"/>
      <c r="N464" s="242"/>
      <c r="O464" s="243"/>
      <c r="P464" s="243"/>
      <c r="Q464" s="243"/>
      <c r="R464" s="243"/>
      <c r="S464" s="243"/>
      <c r="T464" s="245"/>
      <c r="U464" s="246" t="str">
        <f>IF($T464="", "", VLOOKUP($T464, CONTRATOS!$B:$E, 2, FALSE))</f>
        <v/>
      </c>
      <c r="V464" s="247">
        <f>IF(OR($T464="",TB_DEFESA!$C$2="Criação Baseline"),0,
   IF(VLOOKUP($T464, CONTRATOS!B:E, 3, FALSE)&lt;&gt;"",1,IF(VLOOKUP($T464, CONTRATOS!B:E, 4, FALSE)&lt;&gt;"",2,0)))</f>
        <v>0</v>
      </c>
      <c r="W464" s="248"/>
      <c r="X464" s="248"/>
      <c r="Y464" s="249"/>
      <c r="Z464" s="250"/>
      <c r="AA464" s="251"/>
      <c r="AB464" s="252"/>
      <c r="AC464" s="253"/>
      <c r="AD464" s="251"/>
      <c r="AE464" s="254" t="str">
        <f t="shared" si="325"/>
        <v/>
      </c>
      <c r="AF464" s="256" t="str">
        <f t="shared" si="336"/>
        <v/>
      </c>
      <c r="AG464" s="293" t="s">
        <v>62</v>
      </c>
      <c r="AH464" s="294" t="str">
        <f t="shared" si="337"/>
        <v/>
      </c>
      <c r="AI464" s="294" t="str">
        <f t="shared" si="338"/>
        <v/>
      </c>
      <c r="AJ464" s="295" t="str">
        <f t="shared" si="339"/>
        <v/>
      </c>
      <c r="AK464" s="296" t="str">
        <f t="shared" si="340"/>
        <v/>
      </c>
      <c r="AL464" s="297" t="str">
        <f t="shared" si="341"/>
        <v/>
      </c>
      <c r="AM464" s="294" t="str">
        <f t="shared" si="342"/>
        <v/>
      </c>
      <c r="AN464" s="294" t="str">
        <f t="shared" si="343"/>
        <v/>
      </c>
      <c r="AO464" s="298" t="str">
        <f t="shared" si="344"/>
        <v/>
      </c>
      <c r="AP464" s="299" t="str">
        <f t="shared" si="345"/>
        <v/>
      </c>
      <c r="AQ464" s="299" t="str">
        <f t="shared" si="346"/>
        <v/>
      </c>
      <c r="AR464" s="300" t="str">
        <f t="shared" si="326"/>
        <v/>
      </c>
      <c r="AS464" s="300" t="str">
        <f t="shared" si="327"/>
        <v/>
      </c>
      <c r="AT464" s="294" t="str">
        <f t="shared" si="328"/>
        <v/>
      </c>
      <c r="AU464" s="301" t="str">
        <f>IF(OR($B464="", $AP464= ""),"",IF(VLOOKUP($AP464, CONTRATOS!B:K,3,FALSE)="","",VLOOKUP($AP464, CONTRATOS!B:K, 3,FALSE)))</f>
        <v/>
      </c>
      <c r="AV464" s="301" t="str">
        <f>IF(OR($B464="", $AP464 = ""), "", IF(VLOOKUP($AP464, CONTRATOS!B:K,4,FALSE)="","",VLOOKUP($AP464, CONTRATOS!B:K,4, FALSE)))</f>
        <v/>
      </c>
      <c r="AW464" s="302" t="str">
        <f t="shared" si="329"/>
        <v/>
      </c>
      <c r="AX464" s="301" t="str">
        <f t="shared" si="330"/>
        <v/>
      </c>
      <c r="AY464" s="301" t="str">
        <f t="shared" si="331"/>
        <v/>
      </c>
      <c r="AZ464" s="301" t="str">
        <f t="shared" si="332"/>
        <v/>
      </c>
      <c r="BA464" s="301" t="str">
        <f t="shared" si="333"/>
        <v/>
      </c>
      <c r="BB464" s="303">
        <f t="shared" si="347"/>
        <v>0</v>
      </c>
      <c r="BC464" s="303" t="str">
        <f t="shared" si="348"/>
        <v/>
      </c>
      <c r="BD464" s="303" t="str">
        <f t="shared" si="349"/>
        <v/>
      </c>
      <c r="BF464" s="304">
        <f t="shared" si="350"/>
        <v>0</v>
      </c>
      <c r="BG464" s="304">
        <f t="shared" si="351"/>
        <v>0</v>
      </c>
      <c r="BH464" s="304" t="str">
        <f>IF( $B464="", "", IF(ISNA(VLOOKUP($C464, Defesa!$C$8:$C$30,1,FALSE)),1,0))</f>
        <v/>
      </c>
      <c r="BI464" s="305" t="str">
        <f t="shared" si="352"/>
        <v/>
      </c>
      <c r="BJ464" s="305" t="str">
        <f t="shared" si="353"/>
        <v/>
      </c>
      <c r="BK464" s="304" t="str">
        <f t="shared" si="354"/>
        <v/>
      </c>
      <c r="BL464" s="304">
        <f t="shared" si="355"/>
        <v>0</v>
      </c>
      <c r="BM464" s="304" t="str">
        <f>IF($AC464="", "", IF(ISNA(VLOOKUP($AC464, TABELAS!$Q:$Q, 1, FALSE)), 1, 0))</f>
        <v/>
      </c>
      <c r="BN464" s="306" t="str">
        <f t="shared" si="356"/>
        <v/>
      </c>
      <c r="BO464" s="304" t="str">
        <f t="shared" si="357"/>
        <v/>
      </c>
      <c r="BP464" s="304" t="str">
        <f t="shared" si="358"/>
        <v/>
      </c>
      <c r="BQ464" s="305" t="str">
        <f t="shared" si="359"/>
        <v/>
      </c>
      <c r="BR464" s="304" t="str">
        <f t="shared" si="360"/>
        <v/>
      </c>
      <c r="BS464" s="304" t="str">
        <f t="shared" si="361"/>
        <v/>
      </c>
      <c r="BT464" s="304" t="str">
        <f>IF(OR($B464="", $AH464 = "SIM"), "", IF( ISNA(VLOOKUP($AP464,#REF!, 1, FALSE)), 1, 0))</f>
        <v/>
      </c>
      <c r="BU464" s="304" t="str">
        <f t="shared" si="362"/>
        <v/>
      </c>
      <c r="BV464" s="304" t="str">
        <f>IF( $B464="", "", IF( ISNA(VLOOKUP($AN464, TABELAS!$T$2:$T$9,1,FALSE)), 1, 0))</f>
        <v/>
      </c>
      <c r="BW464" s="304" t="str">
        <f t="shared" si="363"/>
        <v/>
      </c>
      <c r="BX464" s="304" t="str">
        <f>IF( OR($B464="", $AH464 = "SIM"), "", IF( ISNA( VLOOKUP( $AQ464, SISTEMA!$B:$B, 1, FALSE)), 1, 0))</f>
        <v/>
      </c>
      <c r="BY464" s="305" t="str">
        <f t="shared" si="364"/>
        <v/>
      </c>
      <c r="BZ464" s="305" t="str">
        <f t="shared" si="365"/>
        <v/>
      </c>
      <c r="CA464" s="304" t="str">
        <f t="shared" si="366"/>
        <v/>
      </c>
      <c r="CB464" s="305" t="str">
        <f t="shared" si="367"/>
        <v/>
      </c>
      <c r="CC464" s="305" t="str">
        <f t="shared" si="368"/>
        <v/>
      </c>
      <c r="CD464" s="305" t="str">
        <f t="shared" si="369"/>
        <v/>
      </c>
    </row>
    <row r="465" spans="1:82" x14ac:dyDescent="0.2">
      <c r="A465" s="235"/>
      <c r="B465" s="236" t="str">
        <f t="shared" si="334"/>
        <v/>
      </c>
      <c r="C465" s="237" t="str">
        <f t="shared" si="324"/>
        <v/>
      </c>
      <c r="D465" s="237" t="str">
        <f t="shared" si="335"/>
        <v/>
      </c>
      <c r="E465" s="237" t="str">
        <f>IF($C465="", "", COUNTIF($M$8:$M465,$D465))</f>
        <v/>
      </c>
      <c r="F465" s="238">
        <v>458</v>
      </c>
      <c r="G465" s="239"/>
      <c r="H465" s="240"/>
      <c r="I465" s="240"/>
      <c r="J465" s="241"/>
      <c r="K465" s="240"/>
      <c r="L465" s="240"/>
      <c r="M465" s="240"/>
      <c r="N465" s="242"/>
      <c r="O465" s="243"/>
      <c r="P465" s="243"/>
      <c r="Q465" s="243"/>
      <c r="R465" s="243"/>
      <c r="S465" s="243"/>
      <c r="T465" s="245"/>
      <c r="U465" s="246" t="str">
        <f>IF($T465="", "", VLOOKUP($T465, CONTRATOS!$B:$E, 2, FALSE))</f>
        <v/>
      </c>
      <c r="V465" s="247">
        <f>IF(OR($T465="",TB_DEFESA!$C$2="Criação Baseline"),0,
   IF(VLOOKUP($T465, CONTRATOS!B:E, 3, FALSE)&lt;&gt;"",1,IF(VLOOKUP($T465, CONTRATOS!B:E, 4, FALSE)&lt;&gt;"",2,0)))</f>
        <v>0</v>
      </c>
      <c r="W465" s="248"/>
      <c r="X465" s="248"/>
      <c r="Y465" s="249"/>
      <c r="Z465" s="250"/>
      <c r="AA465" s="251"/>
      <c r="AB465" s="252"/>
      <c r="AC465" s="253"/>
      <c r="AD465" s="251"/>
      <c r="AE465" s="254" t="str">
        <f t="shared" si="325"/>
        <v/>
      </c>
      <c r="AF465" s="256" t="str">
        <f t="shared" si="336"/>
        <v/>
      </c>
      <c r="AG465" s="293" t="s">
        <v>62</v>
      </c>
      <c r="AH465" s="294" t="str">
        <f t="shared" si="337"/>
        <v/>
      </c>
      <c r="AI465" s="294" t="str">
        <f t="shared" si="338"/>
        <v/>
      </c>
      <c r="AJ465" s="295" t="str">
        <f t="shared" si="339"/>
        <v/>
      </c>
      <c r="AK465" s="296" t="str">
        <f t="shared" si="340"/>
        <v/>
      </c>
      <c r="AL465" s="297" t="str">
        <f t="shared" si="341"/>
        <v/>
      </c>
      <c r="AM465" s="294" t="str">
        <f t="shared" si="342"/>
        <v/>
      </c>
      <c r="AN465" s="294" t="str">
        <f t="shared" si="343"/>
        <v/>
      </c>
      <c r="AO465" s="298" t="str">
        <f t="shared" si="344"/>
        <v/>
      </c>
      <c r="AP465" s="299" t="str">
        <f t="shared" si="345"/>
        <v/>
      </c>
      <c r="AQ465" s="299" t="str">
        <f t="shared" si="346"/>
        <v/>
      </c>
      <c r="AR465" s="300" t="str">
        <f t="shared" si="326"/>
        <v/>
      </c>
      <c r="AS465" s="300" t="str">
        <f t="shared" si="327"/>
        <v/>
      </c>
      <c r="AT465" s="294" t="str">
        <f t="shared" si="328"/>
        <v/>
      </c>
      <c r="AU465" s="301" t="str">
        <f>IF(OR($B465="", $AP465= ""),"",IF(VLOOKUP($AP465, CONTRATOS!B:K,3,FALSE)="","",VLOOKUP($AP465, CONTRATOS!B:K, 3,FALSE)))</f>
        <v/>
      </c>
      <c r="AV465" s="301" t="str">
        <f>IF(OR($B465="", $AP465 = ""), "", IF(VLOOKUP($AP465, CONTRATOS!B:K,4,FALSE)="","",VLOOKUP($AP465, CONTRATOS!B:K,4, FALSE)))</f>
        <v/>
      </c>
      <c r="AW465" s="302" t="str">
        <f t="shared" si="329"/>
        <v/>
      </c>
      <c r="AX465" s="301" t="str">
        <f t="shared" si="330"/>
        <v/>
      </c>
      <c r="AY465" s="301" t="str">
        <f t="shared" si="331"/>
        <v/>
      </c>
      <c r="AZ465" s="301" t="str">
        <f t="shared" si="332"/>
        <v/>
      </c>
      <c r="BA465" s="301" t="str">
        <f t="shared" si="333"/>
        <v/>
      </c>
      <c r="BB465" s="303">
        <f t="shared" si="347"/>
        <v>0</v>
      </c>
      <c r="BC465" s="303" t="str">
        <f t="shared" si="348"/>
        <v/>
      </c>
      <c r="BD465" s="303" t="str">
        <f t="shared" si="349"/>
        <v/>
      </c>
      <c r="BF465" s="304">
        <f t="shared" si="350"/>
        <v>0</v>
      </c>
      <c r="BG465" s="304">
        <f t="shared" si="351"/>
        <v>0</v>
      </c>
      <c r="BH465" s="304" t="str">
        <f>IF( $B465="", "", IF(ISNA(VLOOKUP($C465, Defesa!$C$8:$C$30,1,FALSE)),1,0))</f>
        <v/>
      </c>
      <c r="BI465" s="305" t="str">
        <f t="shared" si="352"/>
        <v/>
      </c>
      <c r="BJ465" s="305" t="str">
        <f t="shared" si="353"/>
        <v/>
      </c>
      <c r="BK465" s="304" t="str">
        <f t="shared" si="354"/>
        <v/>
      </c>
      <c r="BL465" s="304">
        <f t="shared" si="355"/>
        <v>0</v>
      </c>
      <c r="BM465" s="304" t="str">
        <f>IF($AC465="", "", IF(ISNA(VLOOKUP($AC465, TABELAS!$Q:$Q, 1, FALSE)), 1, 0))</f>
        <v/>
      </c>
      <c r="BN465" s="306" t="str">
        <f t="shared" si="356"/>
        <v/>
      </c>
      <c r="BO465" s="304" t="str">
        <f t="shared" si="357"/>
        <v/>
      </c>
      <c r="BP465" s="304" t="str">
        <f t="shared" si="358"/>
        <v/>
      </c>
      <c r="BQ465" s="305" t="str">
        <f t="shared" si="359"/>
        <v/>
      </c>
      <c r="BR465" s="304" t="str">
        <f t="shared" si="360"/>
        <v/>
      </c>
      <c r="BS465" s="304" t="str">
        <f t="shared" si="361"/>
        <v/>
      </c>
      <c r="BT465" s="304" t="str">
        <f>IF(OR($B465="", $AH465 = "SIM"), "", IF( ISNA(VLOOKUP($AP465,#REF!, 1, FALSE)), 1, 0))</f>
        <v/>
      </c>
      <c r="BU465" s="304" t="str">
        <f t="shared" si="362"/>
        <v/>
      </c>
      <c r="BV465" s="304" t="str">
        <f>IF( $B465="", "", IF( ISNA(VLOOKUP($AN465, TABELAS!$T$2:$T$9,1,FALSE)), 1, 0))</f>
        <v/>
      </c>
      <c r="BW465" s="304" t="str">
        <f t="shared" si="363"/>
        <v/>
      </c>
      <c r="BX465" s="304" t="str">
        <f>IF( OR($B465="", $AH465 = "SIM"), "", IF( ISNA( VLOOKUP( $AQ465, SISTEMA!$B:$B, 1, FALSE)), 1, 0))</f>
        <v/>
      </c>
      <c r="BY465" s="305" t="str">
        <f t="shared" si="364"/>
        <v/>
      </c>
      <c r="BZ465" s="305" t="str">
        <f t="shared" si="365"/>
        <v/>
      </c>
      <c r="CA465" s="304" t="str">
        <f t="shared" si="366"/>
        <v/>
      </c>
      <c r="CB465" s="305" t="str">
        <f t="shared" si="367"/>
        <v/>
      </c>
      <c r="CC465" s="305" t="str">
        <f t="shared" si="368"/>
        <v/>
      </c>
      <c r="CD465" s="305" t="str">
        <f t="shared" si="369"/>
        <v/>
      </c>
    </row>
    <row r="466" spans="1:82" x14ac:dyDescent="0.2">
      <c r="A466" s="235"/>
      <c r="B466" s="236" t="str">
        <f t="shared" si="334"/>
        <v/>
      </c>
      <c r="C466" s="237" t="str">
        <f t="shared" si="324"/>
        <v/>
      </c>
      <c r="D466" s="237" t="str">
        <f t="shared" si="335"/>
        <v/>
      </c>
      <c r="E466" s="237" t="str">
        <f>IF($C466="", "", COUNTIF($M$8:$M466,$D466))</f>
        <v/>
      </c>
      <c r="F466" s="238">
        <v>459</v>
      </c>
      <c r="G466" s="239"/>
      <c r="H466" s="240"/>
      <c r="I466" s="240"/>
      <c r="J466" s="241"/>
      <c r="K466" s="240"/>
      <c r="L466" s="240"/>
      <c r="M466" s="240"/>
      <c r="N466" s="242"/>
      <c r="O466" s="243"/>
      <c r="P466" s="243"/>
      <c r="Q466" s="243"/>
      <c r="R466" s="243"/>
      <c r="S466" s="243"/>
      <c r="T466" s="245"/>
      <c r="U466" s="246" t="str">
        <f>IF($T466="", "", VLOOKUP($T466, CONTRATOS!$B:$E, 2, FALSE))</f>
        <v/>
      </c>
      <c r="V466" s="247">
        <f>IF(OR($T466="",TB_DEFESA!$C$2="Criação Baseline"),0,
   IF(VLOOKUP($T466, CONTRATOS!B:E, 3, FALSE)&lt;&gt;"",1,IF(VLOOKUP($T466, CONTRATOS!B:E, 4, FALSE)&lt;&gt;"",2,0)))</f>
        <v>0</v>
      </c>
      <c r="W466" s="248"/>
      <c r="X466" s="248"/>
      <c r="Y466" s="249"/>
      <c r="Z466" s="250"/>
      <c r="AA466" s="251"/>
      <c r="AB466" s="252"/>
      <c r="AC466" s="253"/>
      <c r="AD466" s="251"/>
      <c r="AE466" s="254" t="str">
        <f t="shared" si="325"/>
        <v/>
      </c>
      <c r="AF466" s="256" t="str">
        <f t="shared" si="336"/>
        <v/>
      </c>
      <c r="AG466" s="293" t="s">
        <v>62</v>
      </c>
      <c r="AH466" s="294" t="str">
        <f t="shared" si="337"/>
        <v/>
      </c>
      <c r="AI466" s="294" t="str">
        <f t="shared" si="338"/>
        <v/>
      </c>
      <c r="AJ466" s="295" t="str">
        <f t="shared" si="339"/>
        <v/>
      </c>
      <c r="AK466" s="296" t="str">
        <f t="shared" si="340"/>
        <v/>
      </c>
      <c r="AL466" s="297" t="str">
        <f t="shared" si="341"/>
        <v/>
      </c>
      <c r="AM466" s="294" t="str">
        <f t="shared" si="342"/>
        <v/>
      </c>
      <c r="AN466" s="294" t="str">
        <f t="shared" si="343"/>
        <v/>
      </c>
      <c r="AO466" s="298" t="str">
        <f t="shared" si="344"/>
        <v/>
      </c>
      <c r="AP466" s="299" t="str">
        <f t="shared" si="345"/>
        <v/>
      </c>
      <c r="AQ466" s="299" t="str">
        <f t="shared" si="346"/>
        <v/>
      </c>
      <c r="AR466" s="300" t="str">
        <f t="shared" si="326"/>
        <v/>
      </c>
      <c r="AS466" s="300" t="str">
        <f t="shared" si="327"/>
        <v/>
      </c>
      <c r="AT466" s="294" t="str">
        <f t="shared" si="328"/>
        <v/>
      </c>
      <c r="AU466" s="301" t="str">
        <f>IF(OR($B466="", $AP466= ""),"",IF(VLOOKUP($AP466, CONTRATOS!B:K,3,FALSE)="","",VLOOKUP($AP466, CONTRATOS!B:K, 3,FALSE)))</f>
        <v/>
      </c>
      <c r="AV466" s="301" t="str">
        <f>IF(OR($B466="", $AP466 = ""), "", IF(VLOOKUP($AP466, CONTRATOS!B:K,4,FALSE)="","",VLOOKUP($AP466, CONTRATOS!B:K,4, FALSE)))</f>
        <v/>
      </c>
      <c r="AW466" s="302" t="str">
        <f t="shared" si="329"/>
        <v/>
      </c>
      <c r="AX466" s="301" t="str">
        <f t="shared" si="330"/>
        <v/>
      </c>
      <c r="AY466" s="301" t="str">
        <f t="shared" si="331"/>
        <v/>
      </c>
      <c r="AZ466" s="301" t="str">
        <f t="shared" si="332"/>
        <v/>
      </c>
      <c r="BA466" s="301" t="str">
        <f t="shared" si="333"/>
        <v/>
      </c>
      <c r="BB466" s="303">
        <f t="shared" si="347"/>
        <v>0</v>
      </c>
      <c r="BC466" s="303" t="str">
        <f t="shared" si="348"/>
        <v/>
      </c>
      <c r="BD466" s="303" t="str">
        <f t="shared" si="349"/>
        <v/>
      </c>
      <c r="BF466" s="304">
        <f t="shared" si="350"/>
        <v>0</v>
      </c>
      <c r="BG466" s="304">
        <f t="shared" si="351"/>
        <v>0</v>
      </c>
      <c r="BH466" s="304" t="str">
        <f>IF( $B466="", "", IF(ISNA(VLOOKUP($C466, Defesa!$C$8:$C$30,1,FALSE)),1,0))</f>
        <v/>
      </c>
      <c r="BI466" s="305" t="str">
        <f t="shared" si="352"/>
        <v/>
      </c>
      <c r="BJ466" s="305" t="str">
        <f t="shared" si="353"/>
        <v/>
      </c>
      <c r="BK466" s="304" t="str">
        <f t="shared" si="354"/>
        <v/>
      </c>
      <c r="BL466" s="304">
        <f t="shared" si="355"/>
        <v>0</v>
      </c>
      <c r="BM466" s="304" t="str">
        <f>IF($AC466="", "", IF(ISNA(VLOOKUP($AC466, TABELAS!$Q:$Q, 1, FALSE)), 1, 0))</f>
        <v/>
      </c>
      <c r="BN466" s="306" t="str">
        <f t="shared" si="356"/>
        <v/>
      </c>
      <c r="BO466" s="304" t="str">
        <f t="shared" si="357"/>
        <v/>
      </c>
      <c r="BP466" s="304" t="str">
        <f t="shared" si="358"/>
        <v/>
      </c>
      <c r="BQ466" s="305" t="str">
        <f t="shared" si="359"/>
        <v/>
      </c>
      <c r="BR466" s="304" t="str">
        <f t="shared" si="360"/>
        <v/>
      </c>
      <c r="BS466" s="304" t="str">
        <f t="shared" si="361"/>
        <v/>
      </c>
      <c r="BT466" s="304" t="str">
        <f>IF(OR($B466="", $AH466 = "SIM"), "", IF( ISNA(VLOOKUP($AP466,#REF!, 1, FALSE)), 1, 0))</f>
        <v/>
      </c>
      <c r="BU466" s="304" t="str">
        <f t="shared" si="362"/>
        <v/>
      </c>
      <c r="BV466" s="304" t="str">
        <f>IF( $B466="", "", IF( ISNA(VLOOKUP($AN466, TABELAS!$T$2:$T$9,1,FALSE)), 1, 0))</f>
        <v/>
      </c>
      <c r="BW466" s="304" t="str">
        <f t="shared" si="363"/>
        <v/>
      </c>
      <c r="BX466" s="304" t="str">
        <f>IF( OR($B466="", $AH466 = "SIM"), "", IF( ISNA( VLOOKUP( $AQ466, SISTEMA!$B:$B, 1, FALSE)), 1, 0))</f>
        <v/>
      </c>
      <c r="BY466" s="305" t="str">
        <f t="shared" si="364"/>
        <v/>
      </c>
      <c r="BZ466" s="305" t="str">
        <f t="shared" si="365"/>
        <v/>
      </c>
      <c r="CA466" s="304" t="str">
        <f t="shared" si="366"/>
        <v/>
      </c>
      <c r="CB466" s="305" t="str">
        <f t="shared" si="367"/>
        <v/>
      </c>
      <c r="CC466" s="305" t="str">
        <f t="shared" si="368"/>
        <v/>
      </c>
      <c r="CD466" s="305" t="str">
        <f t="shared" si="369"/>
        <v/>
      </c>
    </row>
    <row r="467" spans="1:82" x14ac:dyDescent="0.2">
      <c r="A467" s="235"/>
      <c r="B467" s="236" t="str">
        <f t="shared" si="334"/>
        <v/>
      </c>
      <c r="C467" s="237" t="str">
        <f t="shared" si="324"/>
        <v/>
      </c>
      <c r="D467" s="237" t="str">
        <f t="shared" si="335"/>
        <v/>
      </c>
      <c r="E467" s="237" t="str">
        <f>IF($C467="", "", COUNTIF($M$8:$M467,$D467))</f>
        <v/>
      </c>
      <c r="F467" s="238">
        <v>460</v>
      </c>
      <c r="G467" s="239"/>
      <c r="H467" s="240"/>
      <c r="I467" s="240"/>
      <c r="J467" s="241"/>
      <c r="K467" s="240"/>
      <c r="L467" s="240"/>
      <c r="M467" s="240"/>
      <c r="N467" s="242"/>
      <c r="O467" s="243"/>
      <c r="P467" s="243"/>
      <c r="Q467" s="243"/>
      <c r="R467" s="243"/>
      <c r="S467" s="243"/>
      <c r="T467" s="245"/>
      <c r="U467" s="246" t="str">
        <f>IF($T467="", "", VLOOKUP($T467, CONTRATOS!$B:$E, 2, FALSE))</f>
        <v/>
      </c>
      <c r="V467" s="247">
        <f>IF(OR($T467="",TB_DEFESA!$C$2="Criação Baseline"),0,
   IF(VLOOKUP($T467, CONTRATOS!B:E, 3, FALSE)&lt;&gt;"",1,IF(VLOOKUP($T467, CONTRATOS!B:E, 4, FALSE)&lt;&gt;"",2,0)))</f>
        <v>0</v>
      </c>
      <c r="W467" s="248"/>
      <c r="X467" s="248"/>
      <c r="Y467" s="249"/>
      <c r="Z467" s="250"/>
      <c r="AA467" s="251"/>
      <c r="AB467" s="252"/>
      <c r="AC467" s="253"/>
      <c r="AD467" s="251"/>
      <c r="AE467" s="254" t="str">
        <f t="shared" si="325"/>
        <v/>
      </c>
      <c r="AF467" s="256" t="str">
        <f t="shared" si="336"/>
        <v/>
      </c>
      <c r="AG467" s="293" t="s">
        <v>62</v>
      </c>
      <c r="AH467" s="294" t="str">
        <f t="shared" si="337"/>
        <v/>
      </c>
      <c r="AI467" s="294" t="str">
        <f t="shared" si="338"/>
        <v/>
      </c>
      <c r="AJ467" s="295" t="str">
        <f t="shared" si="339"/>
        <v/>
      </c>
      <c r="AK467" s="296" t="str">
        <f t="shared" si="340"/>
        <v/>
      </c>
      <c r="AL467" s="297" t="str">
        <f t="shared" si="341"/>
        <v/>
      </c>
      <c r="AM467" s="294" t="str">
        <f t="shared" si="342"/>
        <v/>
      </c>
      <c r="AN467" s="294" t="str">
        <f t="shared" si="343"/>
        <v/>
      </c>
      <c r="AO467" s="298" t="str">
        <f t="shared" si="344"/>
        <v/>
      </c>
      <c r="AP467" s="299" t="str">
        <f t="shared" si="345"/>
        <v/>
      </c>
      <c r="AQ467" s="299" t="str">
        <f t="shared" si="346"/>
        <v/>
      </c>
      <c r="AR467" s="300" t="str">
        <f t="shared" si="326"/>
        <v/>
      </c>
      <c r="AS467" s="300" t="str">
        <f t="shared" si="327"/>
        <v/>
      </c>
      <c r="AT467" s="294" t="str">
        <f t="shared" si="328"/>
        <v/>
      </c>
      <c r="AU467" s="301" t="str">
        <f>IF(OR($B467="", $AP467= ""),"",IF(VLOOKUP($AP467, CONTRATOS!B:K,3,FALSE)="","",VLOOKUP($AP467, CONTRATOS!B:K, 3,FALSE)))</f>
        <v/>
      </c>
      <c r="AV467" s="301" t="str">
        <f>IF(OR($B467="", $AP467 = ""), "", IF(VLOOKUP($AP467, CONTRATOS!B:K,4,FALSE)="","",VLOOKUP($AP467, CONTRATOS!B:K,4, FALSE)))</f>
        <v/>
      </c>
      <c r="AW467" s="302" t="str">
        <f t="shared" si="329"/>
        <v/>
      </c>
      <c r="AX467" s="301" t="str">
        <f t="shared" si="330"/>
        <v/>
      </c>
      <c r="AY467" s="301" t="str">
        <f t="shared" si="331"/>
        <v/>
      </c>
      <c r="AZ467" s="301" t="str">
        <f t="shared" si="332"/>
        <v/>
      </c>
      <c r="BA467" s="301" t="str">
        <f t="shared" si="333"/>
        <v/>
      </c>
      <c r="BB467" s="303">
        <f t="shared" si="347"/>
        <v>0</v>
      </c>
      <c r="BC467" s="303" t="str">
        <f t="shared" si="348"/>
        <v/>
      </c>
      <c r="BD467" s="303" t="str">
        <f t="shared" si="349"/>
        <v/>
      </c>
      <c r="BF467" s="304">
        <f t="shared" si="350"/>
        <v>0</v>
      </c>
      <c r="BG467" s="304">
        <f t="shared" si="351"/>
        <v>0</v>
      </c>
      <c r="BH467" s="304" t="str">
        <f>IF( $B467="", "", IF(ISNA(VLOOKUP($C467, Defesa!$C$8:$C$30,1,FALSE)),1,0))</f>
        <v/>
      </c>
      <c r="BI467" s="305" t="str">
        <f t="shared" si="352"/>
        <v/>
      </c>
      <c r="BJ467" s="305" t="str">
        <f t="shared" si="353"/>
        <v/>
      </c>
      <c r="BK467" s="304" t="str">
        <f t="shared" si="354"/>
        <v/>
      </c>
      <c r="BL467" s="304">
        <f t="shared" si="355"/>
        <v>0</v>
      </c>
      <c r="BM467" s="304" t="str">
        <f>IF($AC467="", "", IF(ISNA(VLOOKUP($AC467, TABELAS!$Q:$Q, 1, FALSE)), 1, 0))</f>
        <v/>
      </c>
      <c r="BN467" s="306" t="str">
        <f t="shared" si="356"/>
        <v/>
      </c>
      <c r="BO467" s="304" t="str">
        <f t="shared" si="357"/>
        <v/>
      </c>
      <c r="BP467" s="304" t="str">
        <f t="shared" si="358"/>
        <v/>
      </c>
      <c r="BQ467" s="305" t="str">
        <f t="shared" si="359"/>
        <v/>
      </c>
      <c r="BR467" s="304" t="str">
        <f t="shared" si="360"/>
        <v/>
      </c>
      <c r="BS467" s="304" t="str">
        <f t="shared" si="361"/>
        <v/>
      </c>
      <c r="BT467" s="304" t="str">
        <f>IF(OR($B467="", $AH467 = "SIM"), "", IF( ISNA(VLOOKUP($AP467,#REF!, 1, FALSE)), 1, 0))</f>
        <v/>
      </c>
      <c r="BU467" s="304" t="str">
        <f t="shared" si="362"/>
        <v/>
      </c>
      <c r="BV467" s="304" t="str">
        <f>IF( $B467="", "", IF( ISNA(VLOOKUP($AN467, TABELAS!$T$2:$T$9,1,FALSE)), 1, 0))</f>
        <v/>
      </c>
      <c r="BW467" s="304" t="str">
        <f t="shared" si="363"/>
        <v/>
      </c>
      <c r="BX467" s="304" t="str">
        <f>IF( OR($B467="", $AH467 = "SIM"), "", IF( ISNA( VLOOKUP( $AQ467, SISTEMA!$B:$B, 1, FALSE)), 1, 0))</f>
        <v/>
      </c>
      <c r="BY467" s="305" t="str">
        <f t="shared" si="364"/>
        <v/>
      </c>
      <c r="BZ467" s="305" t="str">
        <f t="shared" si="365"/>
        <v/>
      </c>
      <c r="CA467" s="304" t="str">
        <f t="shared" si="366"/>
        <v/>
      </c>
      <c r="CB467" s="305" t="str">
        <f t="shared" si="367"/>
        <v/>
      </c>
      <c r="CC467" s="305" t="str">
        <f t="shared" si="368"/>
        <v/>
      </c>
      <c r="CD467" s="305" t="str">
        <f t="shared" si="369"/>
        <v/>
      </c>
    </row>
    <row r="468" spans="1:82" x14ac:dyDescent="0.2">
      <c r="A468" s="235"/>
      <c r="B468" s="236" t="str">
        <f t="shared" si="334"/>
        <v/>
      </c>
      <c r="C468" s="237" t="str">
        <f t="shared" si="324"/>
        <v/>
      </c>
      <c r="D468" s="237" t="str">
        <f t="shared" si="335"/>
        <v/>
      </c>
      <c r="E468" s="237" t="str">
        <f>IF($C468="", "", COUNTIF($M$8:$M468,$D468))</f>
        <v/>
      </c>
      <c r="F468" s="238">
        <v>461</v>
      </c>
      <c r="G468" s="239"/>
      <c r="H468" s="240"/>
      <c r="I468" s="240"/>
      <c r="J468" s="241"/>
      <c r="K468" s="240"/>
      <c r="L468" s="240"/>
      <c r="M468" s="240"/>
      <c r="N468" s="242"/>
      <c r="O468" s="243"/>
      <c r="P468" s="243"/>
      <c r="Q468" s="243"/>
      <c r="R468" s="243"/>
      <c r="S468" s="243"/>
      <c r="T468" s="245"/>
      <c r="U468" s="246" t="str">
        <f>IF($T468="", "", VLOOKUP($T468, CONTRATOS!$B:$E, 2, FALSE))</f>
        <v/>
      </c>
      <c r="V468" s="247">
        <f>IF(OR($T468="",TB_DEFESA!$C$2="Criação Baseline"),0,
   IF(VLOOKUP($T468, CONTRATOS!B:E, 3, FALSE)&lt;&gt;"",1,IF(VLOOKUP($T468, CONTRATOS!B:E, 4, FALSE)&lt;&gt;"",2,0)))</f>
        <v>0</v>
      </c>
      <c r="W468" s="248"/>
      <c r="X468" s="248"/>
      <c r="Y468" s="249"/>
      <c r="Z468" s="250"/>
      <c r="AA468" s="251"/>
      <c r="AB468" s="252"/>
      <c r="AC468" s="253"/>
      <c r="AD468" s="251"/>
      <c r="AE468" s="254" t="str">
        <f t="shared" si="325"/>
        <v/>
      </c>
      <c r="AF468" s="256" t="str">
        <f t="shared" si="336"/>
        <v/>
      </c>
      <c r="AG468" s="293" t="s">
        <v>62</v>
      </c>
      <c r="AH468" s="294" t="str">
        <f t="shared" si="337"/>
        <v/>
      </c>
      <c r="AI468" s="294" t="str">
        <f t="shared" si="338"/>
        <v/>
      </c>
      <c r="AJ468" s="295" t="str">
        <f t="shared" si="339"/>
        <v/>
      </c>
      <c r="AK468" s="296" t="str">
        <f t="shared" si="340"/>
        <v/>
      </c>
      <c r="AL468" s="297" t="str">
        <f t="shared" si="341"/>
        <v/>
      </c>
      <c r="AM468" s="294" t="str">
        <f t="shared" si="342"/>
        <v/>
      </c>
      <c r="AN468" s="294" t="str">
        <f t="shared" si="343"/>
        <v/>
      </c>
      <c r="AO468" s="298" t="str">
        <f t="shared" si="344"/>
        <v/>
      </c>
      <c r="AP468" s="299" t="str">
        <f t="shared" si="345"/>
        <v/>
      </c>
      <c r="AQ468" s="299" t="str">
        <f t="shared" si="346"/>
        <v/>
      </c>
      <c r="AR468" s="300" t="str">
        <f t="shared" si="326"/>
        <v/>
      </c>
      <c r="AS468" s="300" t="str">
        <f t="shared" si="327"/>
        <v/>
      </c>
      <c r="AT468" s="294" t="str">
        <f t="shared" si="328"/>
        <v/>
      </c>
      <c r="AU468" s="301" t="str">
        <f>IF(OR($B468="", $AP468= ""),"",IF(VLOOKUP($AP468, CONTRATOS!B:K,3,FALSE)="","",VLOOKUP($AP468, CONTRATOS!B:K, 3,FALSE)))</f>
        <v/>
      </c>
      <c r="AV468" s="301" t="str">
        <f>IF(OR($B468="", $AP468 = ""), "", IF(VLOOKUP($AP468, CONTRATOS!B:K,4,FALSE)="","",VLOOKUP($AP468, CONTRATOS!B:K,4, FALSE)))</f>
        <v/>
      </c>
      <c r="AW468" s="302" t="str">
        <f t="shared" si="329"/>
        <v/>
      </c>
      <c r="AX468" s="301" t="str">
        <f t="shared" si="330"/>
        <v/>
      </c>
      <c r="AY468" s="301" t="str">
        <f t="shared" si="331"/>
        <v/>
      </c>
      <c r="AZ468" s="301" t="str">
        <f t="shared" si="332"/>
        <v/>
      </c>
      <c r="BA468" s="301" t="str">
        <f t="shared" si="333"/>
        <v/>
      </c>
      <c r="BB468" s="303">
        <f t="shared" si="347"/>
        <v>0</v>
      </c>
      <c r="BC468" s="303" t="str">
        <f t="shared" si="348"/>
        <v/>
      </c>
      <c r="BD468" s="303" t="str">
        <f t="shared" si="349"/>
        <v/>
      </c>
      <c r="BF468" s="304">
        <f t="shared" si="350"/>
        <v>0</v>
      </c>
      <c r="BG468" s="304">
        <f t="shared" si="351"/>
        <v>0</v>
      </c>
      <c r="BH468" s="304" t="str">
        <f>IF( $B468="", "", IF(ISNA(VLOOKUP($C468, Defesa!$C$8:$C$30,1,FALSE)),1,0))</f>
        <v/>
      </c>
      <c r="BI468" s="305" t="str">
        <f t="shared" si="352"/>
        <v/>
      </c>
      <c r="BJ468" s="305" t="str">
        <f t="shared" si="353"/>
        <v/>
      </c>
      <c r="BK468" s="304" t="str">
        <f t="shared" si="354"/>
        <v/>
      </c>
      <c r="BL468" s="304">
        <f t="shared" si="355"/>
        <v>0</v>
      </c>
      <c r="BM468" s="304" t="str">
        <f>IF($AC468="", "", IF(ISNA(VLOOKUP($AC468, TABELAS!$Q:$Q, 1, FALSE)), 1, 0))</f>
        <v/>
      </c>
      <c r="BN468" s="306" t="str">
        <f t="shared" si="356"/>
        <v/>
      </c>
      <c r="BO468" s="304" t="str">
        <f t="shared" si="357"/>
        <v/>
      </c>
      <c r="BP468" s="304" t="str">
        <f t="shared" si="358"/>
        <v/>
      </c>
      <c r="BQ468" s="305" t="str">
        <f t="shared" si="359"/>
        <v/>
      </c>
      <c r="BR468" s="304" t="str">
        <f t="shared" si="360"/>
        <v/>
      </c>
      <c r="BS468" s="304" t="str">
        <f t="shared" si="361"/>
        <v/>
      </c>
      <c r="BT468" s="304" t="str">
        <f>IF(OR($B468="", $AH468 = "SIM"), "", IF( ISNA(VLOOKUP($AP468,#REF!, 1, FALSE)), 1, 0))</f>
        <v/>
      </c>
      <c r="BU468" s="304" t="str">
        <f t="shared" si="362"/>
        <v/>
      </c>
      <c r="BV468" s="304" t="str">
        <f>IF( $B468="", "", IF( ISNA(VLOOKUP($AN468, TABELAS!$T$2:$T$9,1,FALSE)), 1, 0))</f>
        <v/>
      </c>
      <c r="BW468" s="304" t="str">
        <f t="shared" si="363"/>
        <v/>
      </c>
      <c r="BX468" s="304" t="str">
        <f>IF( OR($B468="", $AH468 = "SIM"), "", IF( ISNA( VLOOKUP( $AQ468, SISTEMA!$B:$B, 1, FALSE)), 1, 0))</f>
        <v/>
      </c>
      <c r="BY468" s="305" t="str">
        <f t="shared" si="364"/>
        <v/>
      </c>
      <c r="BZ468" s="305" t="str">
        <f t="shared" si="365"/>
        <v/>
      </c>
      <c r="CA468" s="304" t="str">
        <f t="shared" si="366"/>
        <v/>
      </c>
      <c r="CB468" s="305" t="str">
        <f t="shared" si="367"/>
        <v/>
      </c>
      <c r="CC468" s="305" t="str">
        <f t="shared" si="368"/>
        <v/>
      </c>
      <c r="CD468" s="305" t="str">
        <f t="shared" si="369"/>
        <v/>
      </c>
    </row>
    <row r="469" spans="1:82" x14ac:dyDescent="0.2">
      <c r="A469" s="235"/>
      <c r="B469" s="236" t="str">
        <f t="shared" si="334"/>
        <v/>
      </c>
      <c r="C469" s="237" t="str">
        <f t="shared" si="324"/>
        <v/>
      </c>
      <c r="D469" s="237" t="str">
        <f t="shared" si="335"/>
        <v/>
      </c>
      <c r="E469" s="237" t="str">
        <f>IF($C469="", "", COUNTIF($M$8:$M469,$D469))</f>
        <v/>
      </c>
      <c r="F469" s="238">
        <v>462</v>
      </c>
      <c r="G469" s="239"/>
      <c r="H469" s="240"/>
      <c r="I469" s="240"/>
      <c r="J469" s="241"/>
      <c r="K469" s="240"/>
      <c r="L469" s="240"/>
      <c r="M469" s="240"/>
      <c r="N469" s="242"/>
      <c r="O469" s="243"/>
      <c r="P469" s="243"/>
      <c r="Q469" s="243"/>
      <c r="R469" s="243"/>
      <c r="S469" s="243"/>
      <c r="T469" s="245"/>
      <c r="U469" s="246" t="str">
        <f>IF($T469="", "", VLOOKUP($T469, CONTRATOS!$B:$E, 2, FALSE))</f>
        <v/>
      </c>
      <c r="V469" s="247">
        <f>IF(OR($T469="",TB_DEFESA!$C$2="Criação Baseline"),0,
   IF(VLOOKUP($T469, CONTRATOS!B:E, 3, FALSE)&lt;&gt;"",1,IF(VLOOKUP($T469, CONTRATOS!B:E, 4, FALSE)&lt;&gt;"",2,0)))</f>
        <v>0</v>
      </c>
      <c r="W469" s="248"/>
      <c r="X469" s="248"/>
      <c r="Y469" s="249"/>
      <c r="Z469" s="250"/>
      <c r="AA469" s="251"/>
      <c r="AB469" s="252"/>
      <c r="AC469" s="253"/>
      <c r="AD469" s="251"/>
      <c r="AE469" s="254" t="str">
        <f t="shared" si="325"/>
        <v/>
      </c>
      <c r="AF469" s="256" t="str">
        <f t="shared" si="336"/>
        <v/>
      </c>
      <c r="AG469" s="293" t="s">
        <v>62</v>
      </c>
      <c r="AH469" s="294" t="str">
        <f t="shared" si="337"/>
        <v/>
      </c>
      <c r="AI469" s="294" t="str">
        <f t="shared" si="338"/>
        <v/>
      </c>
      <c r="AJ469" s="295" t="str">
        <f t="shared" si="339"/>
        <v/>
      </c>
      <c r="AK469" s="296" t="str">
        <f t="shared" si="340"/>
        <v/>
      </c>
      <c r="AL469" s="297" t="str">
        <f t="shared" si="341"/>
        <v/>
      </c>
      <c r="AM469" s="294" t="str">
        <f t="shared" si="342"/>
        <v/>
      </c>
      <c r="AN469" s="294" t="str">
        <f t="shared" si="343"/>
        <v/>
      </c>
      <c r="AO469" s="298" t="str">
        <f t="shared" si="344"/>
        <v/>
      </c>
      <c r="AP469" s="299" t="str">
        <f t="shared" si="345"/>
        <v/>
      </c>
      <c r="AQ469" s="299" t="str">
        <f t="shared" si="346"/>
        <v/>
      </c>
      <c r="AR469" s="300" t="str">
        <f t="shared" si="326"/>
        <v/>
      </c>
      <c r="AS469" s="300" t="str">
        <f t="shared" si="327"/>
        <v/>
      </c>
      <c r="AT469" s="294" t="str">
        <f t="shared" si="328"/>
        <v/>
      </c>
      <c r="AU469" s="301" t="str">
        <f>IF(OR($B469="", $AP469= ""),"",IF(VLOOKUP($AP469, CONTRATOS!B:K,3,FALSE)="","",VLOOKUP($AP469, CONTRATOS!B:K, 3,FALSE)))</f>
        <v/>
      </c>
      <c r="AV469" s="301" t="str">
        <f>IF(OR($B469="", $AP469 = ""), "", IF(VLOOKUP($AP469, CONTRATOS!B:K,4,FALSE)="","",VLOOKUP($AP469, CONTRATOS!B:K,4, FALSE)))</f>
        <v/>
      </c>
      <c r="AW469" s="302" t="str">
        <f t="shared" si="329"/>
        <v/>
      </c>
      <c r="AX469" s="301" t="str">
        <f t="shared" si="330"/>
        <v/>
      </c>
      <c r="AY469" s="301" t="str">
        <f t="shared" si="331"/>
        <v/>
      </c>
      <c r="AZ469" s="301" t="str">
        <f t="shared" si="332"/>
        <v/>
      </c>
      <c r="BA469" s="301" t="str">
        <f t="shared" si="333"/>
        <v/>
      </c>
      <c r="BB469" s="303">
        <f t="shared" si="347"/>
        <v>0</v>
      </c>
      <c r="BC469" s="303" t="str">
        <f t="shared" si="348"/>
        <v/>
      </c>
      <c r="BD469" s="303" t="str">
        <f t="shared" si="349"/>
        <v/>
      </c>
      <c r="BF469" s="304">
        <f t="shared" si="350"/>
        <v>0</v>
      </c>
      <c r="BG469" s="304">
        <f t="shared" si="351"/>
        <v>0</v>
      </c>
      <c r="BH469" s="304" t="str">
        <f>IF( $B469="", "", IF(ISNA(VLOOKUP($C469, Defesa!$C$8:$C$30,1,FALSE)),1,0))</f>
        <v/>
      </c>
      <c r="BI469" s="305" t="str">
        <f t="shared" si="352"/>
        <v/>
      </c>
      <c r="BJ469" s="305" t="str">
        <f t="shared" si="353"/>
        <v/>
      </c>
      <c r="BK469" s="304" t="str">
        <f t="shared" si="354"/>
        <v/>
      </c>
      <c r="BL469" s="304">
        <f t="shared" si="355"/>
        <v>0</v>
      </c>
      <c r="BM469" s="304" t="str">
        <f>IF($AC469="", "", IF(ISNA(VLOOKUP($AC469, TABELAS!$Q:$Q, 1, FALSE)), 1, 0))</f>
        <v/>
      </c>
      <c r="BN469" s="306" t="str">
        <f t="shared" si="356"/>
        <v/>
      </c>
      <c r="BO469" s="304" t="str">
        <f t="shared" si="357"/>
        <v/>
      </c>
      <c r="BP469" s="304" t="str">
        <f t="shared" si="358"/>
        <v/>
      </c>
      <c r="BQ469" s="305" t="str">
        <f t="shared" si="359"/>
        <v/>
      </c>
      <c r="BR469" s="304" t="str">
        <f t="shared" si="360"/>
        <v/>
      </c>
      <c r="BS469" s="304" t="str">
        <f t="shared" si="361"/>
        <v/>
      </c>
      <c r="BT469" s="304" t="str">
        <f>IF(OR($B469="", $AH469 = "SIM"), "", IF( ISNA(VLOOKUP($AP469,#REF!, 1, FALSE)), 1, 0))</f>
        <v/>
      </c>
      <c r="BU469" s="304" t="str">
        <f t="shared" si="362"/>
        <v/>
      </c>
      <c r="BV469" s="304" t="str">
        <f>IF( $B469="", "", IF( ISNA(VLOOKUP($AN469, TABELAS!$T$2:$T$9,1,FALSE)), 1, 0))</f>
        <v/>
      </c>
      <c r="BW469" s="304" t="str">
        <f t="shared" si="363"/>
        <v/>
      </c>
      <c r="BX469" s="304" t="str">
        <f>IF( OR($B469="", $AH469 = "SIM"), "", IF( ISNA( VLOOKUP( $AQ469, SISTEMA!$B:$B, 1, FALSE)), 1, 0))</f>
        <v/>
      </c>
      <c r="BY469" s="305" t="str">
        <f t="shared" si="364"/>
        <v/>
      </c>
      <c r="BZ469" s="305" t="str">
        <f t="shared" si="365"/>
        <v/>
      </c>
      <c r="CA469" s="304" t="str">
        <f t="shared" si="366"/>
        <v/>
      </c>
      <c r="CB469" s="305" t="str">
        <f t="shared" si="367"/>
        <v/>
      </c>
      <c r="CC469" s="305" t="str">
        <f t="shared" si="368"/>
        <v/>
      </c>
      <c r="CD469" s="305" t="str">
        <f t="shared" si="369"/>
        <v/>
      </c>
    </row>
    <row r="470" spans="1:82" x14ac:dyDescent="0.2">
      <c r="A470" s="235"/>
      <c r="B470" s="236" t="str">
        <f t="shared" si="334"/>
        <v/>
      </c>
      <c r="C470" s="237" t="str">
        <f t="shared" si="324"/>
        <v/>
      </c>
      <c r="D470" s="237" t="str">
        <f t="shared" si="335"/>
        <v/>
      </c>
      <c r="E470" s="237" t="str">
        <f>IF($C470="", "", COUNTIF($M$8:$M470,$D470))</f>
        <v/>
      </c>
      <c r="F470" s="238">
        <v>463</v>
      </c>
      <c r="G470" s="239"/>
      <c r="H470" s="240"/>
      <c r="I470" s="240"/>
      <c r="J470" s="241"/>
      <c r="K470" s="240"/>
      <c r="L470" s="240"/>
      <c r="M470" s="240"/>
      <c r="N470" s="242"/>
      <c r="O470" s="243"/>
      <c r="P470" s="243"/>
      <c r="Q470" s="243"/>
      <c r="R470" s="243"/>
      <c r="S470" s="243"/>
      <c r="T470" s="245"/>
      <c r="U470" s="246" t="str">
        <f>IF($T470="", "", VLOOKUP($T470, CONTRATOS!$B:$E, 2, FALSE))</f>
        <v/>
      </c>
      <c r="V470" s="247">
        <f>IF(OR($T470="",TB_DEFESA!$C$2="Criação Baseline"),0,
   IF(VLOOKUP($T470, CONTRATOS!B:E, 3, FALSE)&lt;&gt;"",1,IF(VLOOKUP($T470, CONTRATOS!B:E, 4, FALSE)&lt;&gt;"",2,0)))</f>
        <v>0</v>
      </c>
      <c r="W470" s="248"/>
      <c r="X470" s="248"/>
      <c r="Y470" s="249"/>
      <c r="Z470" s="250"/>
      <c r="AA470" s="251"/>
      <c r="AB470" s="252"/>
      <c r="AC470" s="253"/>
      <c r="AD470" s="251"/>
      <c r="AE470" s="254" t="str">
        <f t="shared" si="325"/>
        <v/>
      </c>
      <c r="AF470" s="256" t="str">
        <f t="shared" si="336"/>
        <v/>
      </c>
      <c r="AG470" s="293" t="s">
        <v>62</v>
      </c>
      <c r="AH470" s="294" t="str">
        <f t="shared" si="337"/>
        <v/>
      </c>
      <c r="AI470" s="294" t="str">
        <f t="shared" si="338"/>
        <v/>
      </c>
      <c r="AJ470" s="295" t="str">
        <f t="shared" si="339"/>
        <v/>
      </c>
      <c r="AK470" s="296" t="str">
        <f t="shared" si="340"/>
        <v/>
      </c>
      <c r="AL470" s="297" t="str">
        <f t="shared" si="341"/>
        <v/>
      </c>
      <c r="AM470" s="294" t="str">
        <f t="shared" si="342"/>
        <v/>
      </c>
      <c r="AN470" s="294" t="str">
        <f t="shared" si="343"/>
        <v/>
      </c>
      <c r="AO470" s="298" t="str">
        <f t="shared" si="344"/>
        <v/>
      </c>
      <c r="AP470" s="299" t="str">
        <f t="shared" si="345"/>
        <v/>
      </c>
      <c r="AQ470" s="299" t="str">
        <f t="shared" si="346"/>
        <v/>
      </c>
      <c r="AR470" s="300" t="str">
        <f t="shared" si="326"/>
        <v/>
      </c>
      <c r="AS470" s="300" t="str">
        <f t="shared" si="327"/>
        <v/>
      </c>
      <c r="AT470" s="294" t="str">
        <f t="shared" si="328"/>
        <v/>
      </c>
      <c r="AU470" s="301" t="str">
        <f>IF(OR($B470="", $AP470= ""),"",IF(VLOOKUP($AP470, CONTRATOS!B:K,3,FALSE)="","",VLOOKUP($AP470, CONTRATOS!B:K, 3,FALSE)))</f>
        <v/>
      </c>
      <c r="AV470" s="301" t="str">
        <f>IF(OR($B470="", $AP470 = ""), "", IF(VLOOKUP($AP470, CONTRATOS!B:K,4,FALSE)="","",VLOOKUP($AP470, CONTRATOS!B:K,4, FALSE)))</f>
        <v/>
      </c>
      <c r="AW470" s="302" t="str">
        <f t="shared" si="329"/>
        <v/>
      </c>
      <c r="AX470" s="301" t="str">
        <f t="shared" si="330"/>
        <v/>
      </c>
      <c r="AY470" s="301" t="str">
        <f t="shared" si="331"/>
        <v/>
      </c>
      <c r="AZ470" s="301" t="str">
        <f t="shared" si="332"/>
        <v/>
      </c>
      <c r="BA470" s="301" t="str">
        <f t="shared" si="333"/>
        <v/>
      </c>
      <c r="BB470" s="303">
        <f t="shared" si="347"/>
        <v>0</v>
      </c>
      <c r="BC470" s="303" t="str">
        <f t="shared" si="348"/>
        <v/>
      </c>
      <c r="BD470" s="303" t="str">
        <f t="shared" si="349"/>
        <v/>
      </c>
      <c r="BF470" s="304">
        <f t="shared" si="350"/>
        <v>0</v>
      </c>
      <c r="BG470" s="304">
        <f t="shared" si="351"/>
        <v>0</v>
      </c>
      <c r="BH470" s="304" t="str">
        <f>IF( $B470="", "", IF(ISNA(VLOOKUP($C470, Defesa!$C$8:$C$30,1,FALSE)),1,0))</f>
        <v/>
      </c>
      <c r="BI470" s="305" t="str">
        <f t="shared" si="352"/>
        <v/>
      </c>
      <c r="BJ470" s="305" t="str">
        <f t="shared" si="353"/>
        <v/>
      </c>
      <c r="BK470" s="304" t="str">
        <f t="shared" si="354"/>
        <v/>
      </c>
      <c r="BL470" s="304">
        <f t="shared" si="355"/>
        <v>0</v>
      </c>
      <c r="BM470" s="304" t="str">
        <f>IF($AC470="", "", IF(ISNA(VLOOKUP($AC470, TABELAS!$Q:$Q, 1, FALSE)), 1, 0))</f>
        <v/>
      </c>
      <c r="BN470" s="306" t="str">
        <f t="shared" si="356"/>
        <v/>
      </c>
      <c r="BO470" s="304" t="str">
        <f t="shared" si="357"/>
        <v/>
      </c>
      <c r="BP470" s="304" t="str">
        <f t="shared" si="358"/>
        <v/>
      </c>
      <c r="BQ470" s="305" t="str">
        <f t="shared" si="359"/>
        <v/>
      </c>
      <c r="BR470" s="304" t="str">
        <f t="shared" si="360"/>
        <v/>
      </c>
      <c r="BS470" s="304" t="str">
        <f t="shared" si="361"/>
        <v/>
      </c>
      <c r="BT470" s="304" t="str">
        <f>IF(OR($B470="", $AH470 = "SIM"), "", IF( ISNA(VLOOKUP($AP470,#REF!, 1, FALSE)), 1, 0))</f>
        <v/>
      </c>
      <c r="BU470" s="304" t="str">
        <f t="shared" si="362"/>
        <v/>
      </c>
      <c r="BV470" s="304" t="str">
        <f>IF( $B470="", "", IF( ISNA(VLOOKUP($AN470, TABELAS!$T$2:$T$9,1,FALSE)), 1, 0))</f>
        <v/>
      </c>
      <c r="BW470" s="304" t="str">
        <f t="shared" si="363"/>
        <v/>
      </c>
      <c r="BX470" s="304" t="str">
        <f>IF( OR($B470="", $AH470 = "SIM"), "", IF( ISNA( VLOOKUP( $AQ470, SISTEMA!$B:$B, 1, FALSE)), 1, 0))</f>
        <v/>
      </c>
      <c r="BY470" s="305" t="str">
        <f t="shared" si="364"/>
        <v/>
      </c>
      <c r="BZ470" s="305" t="str">
        <f t="shared" si="365"/>
        <v/>
      </c>
      <c r="CA470" s="304" t="str">
        <f t="shared" si="366"/>
        <v/>
      </c>
      <c r="CB470" s="305" t="str">
        <f t="shared" si="367"/>
        <v/>
      </c>
      <c r="CC470" s="305" t="str">
        <f t="shared" si="368"/>
        <v/>
      </c>
      <c r="CD470" s="305" t="str">
        <f t="shared" si="369"/>
        <v/>
      </c>
    </row>
    <row r="471" spans="1:82" x14ac:dyDescent="0.2">
      <c r="A471" s="235"/>
      <c r="B471" s="236" t="str">
        <f t="shared" si="334"/>
        <v/>
      </c>
      <c r="C471" s="237" t="str">
        <f t="shared" si="324"/>
        <v/>
      </c>
      <c r="D471" s="237" t="str">
        <f t="shared" si="335"/>
        <v/>
      </c>
      <c r="E471" s="237" t="str">
        <f>IF($C471="", "", COUNTIF($M$8:$M471,$D471))</f>
        <v/>
      </c>
      <c r="F471" s="238">
        <v>464</v>
      </c>
      <c r="G471" s="239"/>
      <c r="H471" s="240"/>
      <c r="I471" s="240"/>
      <c r="J471" s="241"/>
      <c r="K471" s="240"/>
      <c r="L471" s="240"/>
      <c r="M471" s="240"/>
      <c r="N471" s="242"/>
      <c r="O471" s="243"/>
      <c r="P471" s="243"/>
      <c r="Q471" s="243"/>
      <c r="R471" s="243"/>
      <c r="S471" s="243"/>
      <c r="T471" s="245"/>
      <c r="U471" s="246" t="str">
        <f>IF($T471="", "", VLOOKUP($T471, CONTRATOS!$B:$E, 2, FALSE))</f>
        <v/>
      </c>
      <c r="V471" s="247">
        <f>IF(OR($T471="",TB_DEFESA!$C$2="Criação Baseline"),0,
   IF(VLOOKUP($T471, CONTRATOS!B:E, 3, FALSE)&lt;&gt;"",1,IF(VLOOKUP($T471, CONTRATOS!B:E, 4, FALSE)&lt;&gt;"",2,0)))</f>
        <v>0</v>
      </c>
      <c r="W471" s="248"/>
      <c r="X471" s="248"/>
      <c r="Y471" s="249"/>
      <c r="Z471" s="250"/>
      <c r="AA471" s="251"/>
      <c r="AB471" s="252"/>
      <c r="AC471" s="253"/>
      <c r="AD471" s="251"/>
      <c r="AE471" s="254" t="str">
        <f t="shared" si="325"/>
        <v/>
      </c>
      <c r="AF471" s="256" t="str">
        <f t="shared" si="336"/>
        <v/>
      </c>
      <c r="AG471" s="293" t="s">
        <v>62</v>
      </c>
      <c r="AH471" s="294" t="str">
        <f t="shared" si="337"/>
        <v/>
      </c>
      <c r="AI471" s="294" t="str">
        <f t="shared" si="338"/>
        <v/>
      </c>
      <c r="AJ471" s="295" t="str">
        <f t="shared" si="339"/>
        <v/>
      </c>
      <c r="AK471" s="296" t="str">
        <f t="shared" si="340"/>
        <v/>
      </c>
      <c r="AL471" s="297" t="str">
        <f t="shared" si="341"/>
        <v/>
      </c>
      <c r="AM471" s="294" t="str">
        <f t="shared" si="342"/>
        <v/>
      </c>
      <c r="AN471" s="294" t="str">
        <f t="shared" si="343"/>
        <v/>
      </c>
      <c r="AO471" s="298" t="str">
        <f t="shared" si="344"/>
        <v/>
      </c>
      <c r="AP471" s="299" t="str">
        <f t="shared" si="345"/>
        <v/>
      </c>
      <c r="AQ471" s="299" t="str">
        <f t="shared" si="346"/>
        <v/>
      </c>
      <c r="AR471" s="300" t="str">
        <f t="shared" si="326"/>
        <v/>
      </c>
      <c r="AS471" s="300" t="str">
        <f t="shared" si="327"/>
        <v/>
      </c>
      <c r="AT471" s="294" t="str">
        <f t="shared" si="328"/>
        <v/>
      </c>
      <c r="AU471" s="301" t="str">
        <f>IF(OR($B471="", $AP471= ""),"",IF(VLOOKUP($AP471, CONTRATOS!B:K,3,FALSE)="","",VLOOKUP($AP471, CONTRATOS!B:K, 3,FALSE)))</f>
        <v/>
      </c>
      <c r="AV471" s="301" t="str">
        <f>IF(OR($B471="", $AP471 = ""), "", IF(VLOOKUP($AP471, CONTRATOS!B:K,4,FALSE)="","",VLOOKUP($AP471, CONTRATOS!B:K,4, FALSE)))</f>
        <v/>
      </c>
      <c r="AW471" s="302" t="str">
        <f t="shared" si="329"/>
        <v/>
      </c>
      <c r="AX471" s="301" t="str">
        <f t="shared" si="330"/>
        <v/>
      </c>
      <c r="AY471" s="301" t="str">
        <f t="shared" si="331"/>
        <v/>
      </c>
      <c r="AZ471" s="301" t="str">
        <f t="shared" si="332"/>
        <v/>
      </c>
      <c r="BA471" s="301" t="str">
        <f t="shared" si="333"/>
        <v/>
      </c>
      <c r="BB471" s="303">
        <f t="shared" si="347"/>
        <v>0</v>
      </c>
      <c r="BC471" s="303" t="str">
        <f t="shared" si="348"/>
        <v/>
      </c>
      <c r="BD471" s="303" t="str">
        <f t="shared" si="349"/>
        <v/>
      </c>
      <c r="BF471" s="304">
        <f t="shared" si="350"/>
        <v>0</v>
      </c>
      <c r="BG471" s="304">
        <f t="shared" si="351"/>
        <v>0</v>
      </c>
      <c r="BH471" s="304" t="str">
        <f>IF( $B471="", "", IF(ISNA(VLOOKUP($C471, Defesa!$C$8:$C$30,1,FALSE)),1,0))</f>
        <v/>
      </c>
      <c r="BI471" s="305" t="str">
        <f t="shared" si="352"/>
        <v/>
      </c>
      <c r="BJ471" s="305" t="str">
        <f t="shared" si="353"/>
        <v/>
      </c>
      <c r="BK471" s="304" t="str">
        <f t="shared" si="354"/>
        <v/>
      </c>
      <c r="BL471" s="304">
        <f t="shared" si="355"/>
        <v>0</v>
      </c>
      <c r="BM471" s="304" t="str">
        <f>IF($AC471="", "", IF(ISNA(VLOOKUP($AC471, TABELAS!$Q:$Q, 1, FALSE)), 1, 0))</f>
        <v/>
      </c>
      <c r="BN471" s="306" t="str">
        <f t="shared" si="356"/>
        <v/>
      </c>
      <c r="BO471" s="304" t="str">
        <f t="shared" si="357"/>
        <v/>
      </c>
      <c r="BP471" s="304" t="str">
        <f t="shared" si="358"/>
        <v/>
      </c>
      <c r="BQ471" s="305" t="str">
        <f t="shared" si="359"/>
        <v/>
      </c>
      <c r="BR471" s="304" t="str">
        <f t="shared" si="360"/>
        <v/>
      </c>
      <c r="BS471" s="304" t="str">
        <f t="shared" si="361"/>
        <v/>
      </c>
      <c r="BT471" s="304" t="str">
        <f>IF(OR($B471="", $AH471 = "SIM"), "", IF( ISNA(VLOOKUP($AP471,#REF!, 1, FALSE)), 1, 0))</f>
        <v/>
      </c>
      <c r="BU471" s="304" t="str">
        <f t="shared" si="362"/>
        <v/>
      </c>
      <c r="BV471" s="304" t="str">
        <f>IF( $B471="", "", IF( ISNA(VLOOKUP($AN471, TABELAS!$T$2:$T$9,1,FALSE)), 1, 0))</f>
        <v/>
      </c>
      <c r="BW471" s="304" t="str">
        <f t="shared" si="363"/>
        <v/>
      </c>
      <c r="BX471" s="304" t="str">
        <f>IF( OR($B471="", $AH471 = "SIM"), "", IF( ISNA( VLOOKUP( $AQ471, SISTEMA!$B:$B, 1, FALSE)), 1, 0))</f>
        <v/>
      </c>
      <c r="BY471" s="305" t="str">
        <f t="shared" si="364"/>
        <v/>
      </c>
      <c r="BZ471" s="305" t="str">
        <f t="shared" si="365"/>
        <v/>
      </c>
      <c r="CA471" s="304" t="str">
        <f t="shared" si="366"/>
        <v/>
      </c>
      <c r="CB471" s="305" t="str">
        <f t="shared" si="367"/>
        <v/>
      </c>
      <c r="CC471" s="305" t="str">
        <f t="shared" si="368"/>
        <v/>
      </c>
      <c r="CD471" s="305" t="str">
        <f t="shared" si="369"/>
        <v/>
      </c>
    </row>
    <row r="472" spans="1:82" x14ac:dyDescent="0.2">
      <c r="A472" s="235"/>
      <c r="B472" s="236" t="str">
        <f t="shared" si="334"/>
        <v/>
      </c>
      <c r="C472" s="237" t="str">
        <f t="shared" si="324"/>
        <v/>
      </c>
      <c r="D472" s="237" t="str">
        <f t="shared" si="335"/>
        <v/>
      </c>
      <c r="E472" s="237" t="str">
        <f>IF($C472="", "", COUNTIF($M$8:$M472,$D472))</f>
        <v/>
      </c>
      <c r="F472" s="238">
        <v>465</v>
      </c>
      <c r="G472" s="239"/>
      <c r="H472" s="240"/>
      <c r="I472" s="240"/>
      <c r="J472" s="241"/>
      <c r="K472" s="240"/>
      <c r="L472" s="240"/>
      <c r="M472" s="240"/>
      <c r="N472" s="242"/>
      <c r="O472" s="243"/>
      <c r="P472" s="243"/>
      <c r="Q472" s="243"/>
      <c r="R472" s="243"/>
      <c r="S472" s="243"/>
      <c r="T472" s="245"/>
      <c r="U472" s="246" t="str">
        <f>IF($T472="", "", VLOOKUP($T472, CONTRATOS!$B:$E, 2, FALSE))</f>
        <v/>
      </c>
      <c r="V472" s="247">
        <f>IF(OR($T472="",TB_DEFESA!$C$2="Criação Baseline"),0,
   IF(VLOOKUP($T472, CONTRATOS!B:E, 3, FALSE)&lt;&gt;"",1,IF(VLOOKUP($T472, CONTRATOS!B:E, 4, FALSE)&lt;&gt;"",2,0)))</f>
        <v>0</v>
      </c>
      <c r="W472" s="248"/>
      <c r="X472" s="248"/>
      <c r="Y472" s="249"/>
      <c r="Z472" s="250"/>
      <c r="AA472" s="251"/>
      <c r="AB472" s="252"/>
      <c r="AC472" s="253"/>
      <c r="AD472" s="251"/>
      <c r="AE472" s="254" t="str">
        <f t="shared" si="325"/>
        <v/>
      </c>
      <c r="AF472" s="256" t="str">
        <f t="shared" si="336"/>
        <v/>
      </c>
      <c r="AG472" s="293" t="s">
        <v>62</v>
      </c>
      <c r="AH472" s="294" t="str">
        <f t="shared" si="337"/>
        <v/>
      </c>
      <c r="AI472" s="294" t="str">
        <f t="shared" si="338"/>
        <v/>
      </c>
      <c r="AJ472" s="295" t="str">
        <f t="shared" si="339"/>
        <v/>
      </c>
      <c r="AK472" s="296" t="str">
        <f t="shared" si="340"/>
        <v/>
      </c>
      <c r="AL472" s="297" t="str">
        <f t="shared" si="341"/>
        <v/>
      </c>
      <c r="AM472" s="294" t="str">
        <f t="shared" si="342"/>
        <v/>
      </c>
      <c r="AN472" s="294" t="str">
        <f t="shared" si="343"/>
        <v/>
      </c>
      <c r="AO472" s="298" t="str">
        <f t="shared" si="344"/>
        <v/>
      </c>
      <c r="AP472" s="299" t="str">
        <f t="shared" si="345"/>
        <v/>
      </c>
      <c r="AQ472" s="299" t="str">
        <f t="shared" si="346"/>
        <v/>
      </c>
      <c r="AR472" s="300" t="str">
        <f t="shared" si="326"/>
        <v/>
      </c>
      <c r="AS472" s="300" t="str">
        <f t="shared" si="327"/>
        <v/>
      </c>
      <c r="AT472" s="294" t="str">
        <f t="shared" si="328"/>
        <v/>
      </c>
      <c r="AU472" s="301" t="str">
        <f>IF(OR($B472="", $AP472= ""),"",IF(VLOOKUP($AP472, CONTRATOS!B:K,3,FALSE)="","",VLOOKUP($AP472, CONTRATOS!B:K, 3,FALSE)))</f>
        <v/>
      </c>
      <c r="AV472" s="301" t="str">
        <f>IF(OR($B472="", $AP472 = ""), "", IF(VLOOKUP($AP472, CONTRATOS!B:K,4,FALSE)="","",VLOOKUP($AP472, CONTRATOS!B:K,4, FALSE)))</f>
        <v/>
      </c>
      <c r="AW472" s="302" t="str">
        <f t="shared" si="329"/>
        <v/>
      </c>
      <c r="AX472" s="301" t="str">
        <f t="shared" si="330"/>
        <v/>
      </c>
      <c r="AY472" s="301" t="str">
        <f t="shared" si="331"/>
        <v/>
      </c>
      <c r="AZ472" s="301" t="str">
        <f t="shared" si="332"/>
        <v/>
      </c>
      <c r="BA472" s="301" t="str">
        <f t="shared" si="333"/>
        <v/>
      </c>
      <c r="BB472" s="303">
        <f t="shared" si="347"/>
        <v>0</v>
      </c>
      <c r="BC472" s="303" t="str">
        <f t="shared" si="348"/>
        <v/>
      </c>
      <c r="BD472" s="303" t="str">
        <f t="shared" si="349"/>
        <v/>
      </c>
      <c r="BF472" s="304">
        <f t="shared" si="350"/>
        <v>0</v>
      </c>
      <c r="BG472" s="304">
        <f t="shared" si="351"/>
        <v>0</v>
      </c>
      <c r="BH472" s="304" t="str">
        <f>IF( $B472="", "", IF(ISNA(VLOOKUP($C472, Defesa!$C$8:$C$30,1,FALSE)),1,0))</f>
        <v/>
      </c>
      <c r="BI472" s="305" t="str">
        <f t="shared" si="352"/>
        <v/>
      </c>
      <c r="BJ472" s="305" t="str">
        <f t="shared" si="353"/>
        <v/>
      </c>
      <c r="BK472" s="304" t="str">
        <f t="shared" si="354"/>
        <v/>
      </c>
      <c r="BL472" s="304">
        <f t="shared" si="355"/>
        <v>0</v>
      </c>
      <c r="BM472" s="304" t="str">
        <f>IF($AC472="", "", IF(ISNA(VLOOKUP($AC472, TABELAS!$Q:$Q, 1, FALSE)), 1, 0))</f>
        <v/>
      </c>
      <c r="BN472" s="306" t="str">
        <f t="shared" si="356"/>
        <v/>
      </c>
      <c r="BO472" s="304" t="str">
        <f t="shared" si="357"/>
        <v/>
      </c>
      <c r="BP472" s="304" t="str">
        <f t="shared" si="358"/>
        <v/>
      </c>
      <c r="BQ472" s="305" t="str">
        <f t="shared" si="359"/>
        <v/>
      </c>
      <c r="BR472" s="304" t="str">
        <f t="shared" si="360"/>
        <v/>
      </c>
      <c r="BS472" s="304" t="str">
        <f t="shared" si="361"/>
        <v/>
      </c>
      <c r="BT472" s="304" t="str">
        <f>IF(OR($B472="", $AH472 = "SIM"), "", IF( ISNA(VLOOKUP($AP472,#REF!, 1, FALSE)), 1, 0))</f>
        <v/>
      </c>
      <c r="BU472" s="304" t="str">
        <f t="shared" si="362"/>
        <v/>
      </c>
      <c r="BV472" s="304" t="str">
        <f>IF( $B472="", "", IF( ISNA(VLOOKUP($AN472, TABELAS!$T$2:$T$9,1,FALSE)), 1, 0))</f>
        <v/>
      </c>
      <c r="BW472" s="304" t="str">
        <f t="shared" si="363"/>
        <v/>
      </c>
      <c r="BX472" s="304" t="str">
        <f>IF( OR($B472="", $AH472 = "SIM"), "", IF( ISNA( VLOOKUP( $AQ472, SISTEMA!$B:$B, 1, FALSE)), 1, 0))</f>
        <v/>
      </c>
      <c r="BY472" s="305" t="str">
        <f t="shared" si="364"/>
        <v/>
      </c>
      <c r="BZ472" s="305" t="str">
        <f t="shared" si="365"/>
        <v/>
      </c>
      <c r="CA472" s="304" t="str">
        <f t="shared" si="366"/>
        <v/>
      </c>
      <c r="CB472" s="305" t="str">
        <f t="shared" si="367"/>
        <v/>
      </c>
      <c r="CC472" s="305" t="str">
        <f t="shared" si="368"/>
        <v/>
      </c>
      <c r="CD472" s="305" t="str">
        <f t="shared" si="369"/>
        <v/>
      </c>
    </row>
    <row r="473" spans="1:82" x14ac:dyDescent="0.2">
      <c r="A473" s="235"/>
      <c r="B473" s="236" t="str">
        <f t="shared" si="334"/>
        <v/>
      </c>
      <c r="C473" s="237" t="str">
        <f t="shared" si="324"/>
        <v/>
      </c>
      <c r="D473" s="237" t="str">
        <f t="shared" si="335"/>
        <v/>
      </c>
      <c r="E473" s="237" t="str">
        <f>IF($C473="", "", COUNTIF($M$8:$M473,$D473))</f>
        <v/>
      </c>
      <c r="F473" s="238">
        <v>466</v>
      </c>
      <c r="G473" s="239"/>
      <c r="H473" s="240"/>
      <c r="I473" s="240"/>
      <c r="J473" s="241"/>
      <c r="K473" s="240"/>
      <c r="L473" s="240"/>
      <c r="M473" s="240"/>
      <c r="N473" s="242"/>
      <c r="O473" s="243"/>
      <c r="P473" s="243"/>
      <c r="Q473" s="243"/>
      <c r="R473" s="243"/>
      <c r="S473" s="243"/>
      <c r="T473" s="245"/>
      <c r="U473" s="246" t="str">
        <f>IF($T473="", "", VLOOKUP($T473, CONTRATOS!$B:$E, 2, FALSE))</f>
        <v/>
      </c>
      <c r="V473" s="247">
        <f>IF(OR($T473="",TB_DEFESA!$C$2="Criação Baseline"),0,
   IF(VLOOKUP($T473, CONTRATOS!B:E, 3, FALSE)&lt;&gt;"",1,IF(VLOOKUP($T473, CONTRATOS!B:E, 4, FALSE)&lt;&gt;"",2,0)))</f>
        <v>0</v>
      </c>
      <c r="W473" s="248"/>
      <c r="X473" s="248"/>
      <c r="Y473" s="249"/>
      <c r="Z473" s="250"/>
      <c r="AA473" s="251"/>
      <c r="AB473" s="252"/>
      <c r="AC473" s="253"/>
      <c r="AD473" s="251"/>
      <c r="AE473" s="254" t="str">
        <f t="shared" si="325"/>
        <v/>
      </c>
      <c r="AF473" s="256" t="str">
        <f t="shared" si="336"/>
        <v/>
      </c>
      <c r="AG473" s="293" t="s">
        <v>62</v>
      </c>
      <c r="AH473" s="294" t="str">
        <f t="shared" si="337"/>
        <v/>
      </c>
      <c r="AI473" s="294" t="str">
        <f t="shared" si="338"/>
        <v/>
      </c>
      <c r="AJ473" s="295" t="str">
        <f t="shared" si="339"/>
        <v/>
      </c>
      <c r="AK473" s="296" t="str">
        <f t="shared" si="340"/>
        <v/>
      </c>
      <c r="AL473" s="297" t="str">
        <f t="shared" si="341"/>
        <v/>
      </c>
      <c r="AM473" s="294" t="str">
        <f t="shared" si="342"/>
        <v/>
      </c>
      <c r="AN473" s="294" t="str">
        <f t="shared" si="343"/>
        <v/>
      </c>
      <c r="AO473" s="298" t="str">
        <f t="shared" si="344"/>
        <v/>
      </c>
      <c r="AP473" s="299" t="str">
        <f t="shared" si="345"/>
        <v/>
      </c>
      <c r="AQ473" s="299" t="str">
        <f t="shared" si="346"/>
        <v/>
      </c>
      <c r="AR473" s="300" t="str">
        <f t="shared" si="326"/>
        <v/>
      </c>
      <c r="AS473" s="300" t="str">
        <f t="shared" si="327"/>
        <v/>
      </c>
      <c r="AT473" s="294" t="str">
        <f t="shared" si="328"/>
        <v/>
      </c>
      <c r="AU473" s="301" t="str">
        <f>IF(OR($B473="", $AP473= ""),"",IF(VLOOKUP($AP473, CONTRATOS!B:K,3,FALSE)="","",VLOOKUP($AP473, CONTRATOS!B:K, 3,FALSE)))</f>
        <v/>
      </c>
      <c r="AV473" s="301" t="str">
        <f>IF(OR($B473="", $AP473 = ""), "", IF(VLOOKUP($AP473, CONTRATOS!B:K,4,FALSE)="","",VLOOKUP($AP473, CONTRATOS!B:K,4, FALSE)))</f>
        <v/>
      </c>
      <c r="AW473" s="302" t="str">
        <f t="shared" si="329"/>
        <v/>
      </c>
      <c r="AX473" s="301" t="str">
        <f t="shared" si="330"/>
        <v/>
      </c>
      <c r="AY473" s="301" t="str">
        <f t="shared" si="331"/>
        <v/>
      </c>
      <c r="AZ473" s="301" t="str">
        <f t="shared" si="332"/>
        <v/>
      </c>
      <c r="BA473" s="301" t="str">
        <f t="shared" si="333"/>
        <v/>
      </c>
      <c r="BB473" s="303">
        <f t="shared" si="347"/>
        <v>0</v>
      </c>
      <c r="BC473" s="303" t="str">
        <f t="shared" si="348"/>
        <v/>
      </c>
      <c r="BD473" s="303" t="str">
        <f t="shared" si="349"/>
        <v/>
      </c>
      <c r="BF473" s="304">
        <f t="shared" si="350"/>
        <v>0</v>
      </c>
      <c r="BG473" s="304">
        <f t="shared" si="351"/>
        <v>0</v>
      </c>
      <c r="BH473" s="304" t="str">
        <f>IF( $B473="", "", IF(ISNA(VLOOKUP($C473, Defesa!$C$8:$C$30,1,FALSE)),1,0))</f>
        <v/>
      </c>
      <c r="BI473" s="305" t="str">
        <f t="shared" si="352"/>
        <v/>
      </c>
      <c r="BJ473" s="305" t="str">
        <f t="shared" si="353"/>
        <v/>
      </c>
      <c r="BK473" s="304" t="str">
        <f t="shared" si="354"/>
        <v/>
      </c>
      <c r="BL473" s="304">
        <f t="shared" si="355"/>
        <v>0</v>
      </c>
      <c r="BM473" s="304" t="str">
        <f>IF($AC473="", "", IF(ISNA(VLOOKUP($AC473, TABELAS!$Q:$Q, 1, FALSE)), 1, 0))</f>
        <v/>
      </c>
      <c r="BN473" s="306" t="str">
        <f t="shared" si="356"/>
        <v/>
      </c>
      <c r="BO473" s="304" t="str">
        <f t="shared" si="357"/>
        <v/>
      </c>
      <c r="BP473" s="304" t="str">
        <f t="shared" si="358"/>
        <v/>
      </c>
      <c r="BQ473" s="305" t="str">
        <f t="shared" si="359"/>
        <v/>
      </c>
      <c r="BR473" s="304" t="str">
        <f t="shared" si="360"/>
        <v/>
      </c>
      <c r="BS473" s="304" t="str">
        <f t="shared" si="361"/>
        <v/>
      </c>
      <c r="BT473" s="304" t="str">
        <f>IF(OR($B473="", $AH473 = "SIM"), "", IF( ISNA(VLOOKUP($AP473,#REF!, 1, FALSE)), 1, 0))</f>
        <v/>
      </c>
      <c r="BU473" s="304" t="str">
        <f t="shared" si="362"/>
        <v/>
      </c>
      <c r="BV473" s="304" t="str">
        <f>IF( $B473="", "", IF( ISNA(VLOOKUP($AN473, TABELAS!$T$2:$T$9,1,FALSE)), 1, 0))</f>
        <v/>
      </c>
      <c r="BW473" s="304" t="str">
        <f t="shared" si="363"/>
        <v/>
      </c>
      <c r="BX473" s="304" t="str">
        <f>IF( OR($B473="", $AH473 = "SIM"), "", IF( ISNA( VLOOKUP( $AQ473, SISTEMA!$B:$B, 1, FALSE)), 1, 0))</f>
        <v/>
      </c>
      <c r="BY473" s="305" t="str">
        <f t="shared" si="364"/>
        <v/>
      </c>
      <c r="BZ473" s="305" t="str">
        <f t="shared" si="365"/>
        <v/>
      </c>
      <c r="CA473" s="304" t="str">
        <f t="shared" si="366"/>
        <v/>
      </c>
      <c r="CB473" s="305" t="str">
        <f t="shared" si="367"/>
        <v/>
      </c>
      <c r="CC473" s="305" t="str">
        <f t="shared" si="368"/>
        <v/>
      </c>
      <c r="CD473" s="305" t="str">
        <f t="shared" si="369"/>
        <v/>
      </c>
    </row>
    <row r="474" spans="1:82" x14ac:dyDescent="0.2">
      <c r="A474" s="235"/>
      <c r="B474" s="236" t="str">
        <f t="shared" si="334"/>
        <v/>
      </c>
      <c r="C474" s="237" t="str">
        <f t="shared" si="324"/>
        <v/>
      </c>
      <c r="D474" s="237" t="str">
        <f t="shared" si="335"/>
        <v/>
      </c>
      <c r="E474" s="237" t="str">
        <f>IF($C474="", "", COUNTIF($M$8:$M474,$D474))</f>
        <v/>
      </c>
      <c r="F474" s="238">
        <v>467</v>
      </c>
      <c r="G474" s="239"/>
      <c r="H474" s="240"/>
      <c r="I474" s="240"/>
      <c r="J474" s="241"/>
      <c r="K474" s="240"/>
      <c r="L474" s="240"/>
      <c r="M474" s="240"/>
      <c r="N474" s="242"/>
      <c r="O474" s="243"/>
      <c r="P474" s="243"/>
      <c r="Q474" s="243"/>
      <c r="R474" s="243"/>
      <c r="S474" s="243"/>
      <c r="T474" s="245"/>
      <c r="U474" s="246" t="str">
        <f>IF($T474="", "", VLOOKUP($T474, CONTRATOS!$B:$E, 2, FALSE))</f>
        <v/>
      </c>
      <c r="V474" s="247">
        <f>IF(OR($T474="",TB_DEFESA!$C$2="Criação Baseline"),0,
   IF(VLOOKUP($T474, CONTRATOS!B:E, 3, FALSE)&lt;&gt;"",1,IF(VLOOKUP($T474, CONTRATOS!B:E, 4, FALSE)&lt;&gt;"",2,0)))</f>
        <v>0</v>
      </c>
      <c r="W474" s="248"/>
      <c r="X474" s="248"/>
      <c r="Y474" s="249"/>
      <c r="Z474" s="250"/>
      <c r="AA474" s="251"/>
      <c r="AB474" s="252"/>
      <c r="AC474" s="253"/>
      <c r="AD474" s="251"/>
      <c r="AE474" s="254" t="str">
        <f t="shared" si="325"/>
        <v/>
      </c>
      <c r="AF474" s="256" t="str">
        <f t="shared" si="336"/>
        <v/>
      </c>
      <c r="AG474" s="293" t="s">
        <v>62</v>
      </c>
      <c r="AH474" s="294" t="str">
        <f t="shared" si="337"/>
        <v/>
      </c>
      <c r="AI474" s="294" t="str">
        <f t="shared" si="338"/>
        <v/>
      </c>
      <c r="AJ474" s="295" t="str">
        <f t="shared" si="339"/>
        <v/>
      </c>
      <c r="AK474" s="296" t="str">
        <f t="shared" si="340"/>
        <v/>
      </c>
      <c r="AL474" s="297" t="str">
        <f t="shared" si="341"/>
        <v/>
      </c>
      <c r="AM474" s="294" t="str">
        <f t="shared" si="342"/>
        <v/>
      </c>
      <c r="AN474" s="294" t="str">
        <f t="shared" si="343"/>
        <v/>
      </c>
      <c r="AO474" s="298" t="str">
        <f t="shared" si="344"/>
        <v/>
      </c>
      <c r="AP474" s="299" t="str">
        <f t="shared" si="345"/>
        <v/>
      </c>
      <c r="AQ474" s="299" t="str">
        <f t="shared" si="346"/>
        <v/>
      </c>
      <c r="AR474" s="300" t="str">
        <f t="shared" si="326"/>
        <v/>
      </c>
      <c r="AS474" s="300" t="str">
        <f t="shared" si="327"/>
        <v/>
      </c>
      <c r="AT474" s="294" t="str">
        <f t="shared" si="328"/>
        <v/>
      </c>
      <c r="AU474" s="301" t="str">
        <f>IF(OR($B474="", $AP474= ""),"",IF(VLOOKUP($AP474, CONTRATOS!B:K,3,FALSE)="","",VLOOKUP($AP474, CONTRATOS!B:K, 3,FALSE)))</f>
        <v/>
      </c>
      <c r="AV474" s="301" t="str">
        <f>IF(OR($B474="", $AP474 = ""), "", IF(VLOOKUP($AP474, CONTRATOS!B:K,4,FALSE)="","",VLOOKUP($AP474, CONTRATOS!B:K,4, FALSE)))</f>
        <v/>
      </c>
      <c r="AW474" s="302" t="str">
        <f t="shared" si="329"/>
        <v/>
      </c>
      <c r="AX474" s="301" t="str">
        <f t="shared" si="330"/>
        <v/>
      </c>
      <c r="AY474" s="301" t="str">
        <f t="shared" si="331"/>
        <v/>
      </c>
      <c r="AZ474" s="301" t="str">
        <f t="shared" si="332"/>
        <v/>
      </c>
      <c r="BA474" s="301" t="str">
        <f t="shared" si="333"/>
        <v/>
      </c>
      <c r="BB474" s="303">
        <f t="shared" si="347"/>
        <v>0</v>
      </c>
      <c r="BC474" s="303" t="str">
        <f t="shared" si="348"/>
        <v/>
      </c>
      <c r="BD474" s="303" t="str">
        <f t="shared" si="349"/>
        <v/>
      </c>
      <c r="BF474" s="304">
        <f t="shared" si="350"/>
        <v>0</v>
      </c>
      <c r="BG474" s="304">
        <f t="shared" si="351"/>
        <v>0</v>
      </c>
      <c r="BH474" s="304" t="str">
        <f>IF( $B474="", "", IF(ISNA(VLOOKUP($C474, Defesa!$C$8:$C$30,1,FALSE)),1,0))</f>
        <v/>
      </c>
      <c r="BI474" s="305" t="str">
        <f t="shared" si="352"/>
        <v/>
      </c>
      <c r="BJ474" s="305" t="str">
        <f t="shared" si="353"/>
        <v/>
      </c>
      <c r="BK474" s="304" t="str">
        <f t="shared" si="354"/>
        <v/>
      </c>
      <c r="BL474" s="304">
        <f t="shared" si="355"/>
        <v>0</v>
      </c>
      <c r="BM474" s="304" t="str">
        <f>IF($AC474="", "", IF(ISNA(VLOOKUP($AC474, TABELAS!$Q:$Q, 1, FALSE)), 1, 0))</f>
        <v/>
      </c>
      <c r="BN474" s="306" t="str">
        <f t="shared" si="356"/>
        <v/>
      </c>
      <c r="BO474" s="304" t="str">
        <f t="shared" si="357"/>
        <v/>
      </c>
      <c r="BP474" s="304" t="str">
        <f t="shared" si="358"/>
        <v/>
      </c>
      <c r="BQ474" s="305" t="str">
        <f t="shared" si="359"/>
        <v/>
      </c>
      <c r="BR474" s="304" t="str">
        <f t="shared" si="360"/>
        <v/>
      </c>
      <c r="BS474" s="304" t="str">
        <f t="shared" si="361"/>
        <v/>
      </c>
      <c r="BT474" s="304" t="str">
        <f>IF(OR($B474="", $AH474 = "SIM"), "", IF( ISNA(VLOOKUP($AP474,#REF!, 1, FALSE)), 1, 0))</f>
        <v/>
      </c>
      <c r="BU474" s="304" t="str">
        <f t="shared" si="362"/>
        <v/>
      </c>
      <c r="BV474" s="304" t="str">
        <f>IF( $B474="", "", IF( ISNA(VLOOKUP($AN474, TABELAS!$T$2:$T$9,1,FALSE)), 1, 0))</f>
        <v/>
      </c>
      <c r="BW474" s="304" t="str">
        <f t="shared" si="363"/>
        <v/>
      </c>
      <c r="BX474" s="304" t="str">
        <f>IF( OR($B474="", $AH474 = "SIM"), "", IF( ISNA( VLOOKUP( $AQ474, SISTEMA!$B:$B, 1, FALSE)), 1, 0))</f>
        <v/>
      </c>
      <c r="BY474" s="305" t="str">
        <f t="shared" si="364"/>
        <v/>
      </c>
      <c r="BZ474" s="305" t="str">
        <f t="shared" si="365"/>
        <v/>
      </c>
      <c r="CA474" s="304" t="str">
        <f t="shared" si="366"/>
        <v/>
      </c>
      <c r="CB474" s="305" t="str">
        <f t="shared" si="367"/>
        <v/>
      </c>
      <c r="CC474" s="305" t="str">
        <f t="shared" si="368"/>
        <v/>
      </c>
      <c r="CD474" s="305" t="str">
        <f t="shared" si="369"/>
        <v/>
      </c>
    </row>
    <row r="475" spans="1:82" x14ac:dyDescent="0.2">
      <c r="A475" s="235"/>
      <c r="B475" s="236" t="str">
        <f t="shared" si="334"/>
        <v/>
      </c>
      <c r="C475" s="237" t="str">
        <f t="shared" si="324"/>
        <v/>
      </c>
      <c r="D475" s="237" t="str">
        <f t="shared" si="335"/>
        <v/>
      </c>
      <c r="E475" s="237" t="str">
        <f>IF($C475="", "", COUNTIF($M$8:$M475,$D475))</f>
        <v/>
      </c>
      <c r="F475" s="238">
        <v>468</v>
      </c>
      <c r="G475" s="239"/>
      <c r="H475" s="240"/>
      <c r="I475" s="240"/>
      <c r="J475" s="241"/>
      <c r="K475" s="240"/>
      <c r="L475" s="240"/>
      <c r="M475" s="240"/>
      <c r="N475" s="242"/>
      <c r="O475" s="243"/>
      <c r="P475" s="243"/>
      <c r="Q475" s="243"/>
      <c r="R475" s="243"/>
      <c r="S475" s="243"/>
      <c r="T475" s="245"/>
      <c r="U475" s="246" t="str">
        <f>IF($T475="", "", VLOOKUP($T475, CONTRATOS!$B:$E, 2, FALSE))</f>
        <v/>
      </c>
      <c r="V475" s="247">
        <f>IF(OR($T475="",TB_DEFESA!$C$2="Criação Baseline"),0,
   IF(VLOOKUP($T475, CONTRATOS!B:E, 3, FALSE)&lt;&gt;"",1,IF(VLOOKUP($T475, CONTRATOS!B:E, 4, FALSE)&lt;&gt;"",2,0)))</f>
        <v>0</v>
      </c>
      <c r="W475" s="248"/>
      <c r="X475" s="248"/>
      <c r="Y475" s="249"/>
      <c r="Z475" s="250"/>
      <c r="AA475" s="251"/>
      <c r="AB475" s="252"/>
      <c r="AC475" s="253"/>
      <c r="AD475" s="251"/>
      <c r="AE475" s="254" t="str">
        <f t="shared" si="325"/>
        <v/>
      </c>
      <c r="AF475" s="256" t="str">
        <f t="shared" si="336"/>
        <v/>
      </c>
      <c r="AG475" s="293" t="s">
        <v>62</v>
      </c>
      <c r="AH475" s="294" t="str">
        <f t="shared" si="337"/>
        <v/>
      </c>
      <c r="AI475" s="294" t="str">
        <f t="shared" si="338"/>
        <v/>
      </c>
      <c r="AJ475" s="295" t="str">
        <f t="shared" si="339"/>
        <v/>
      </c>
      <c r="AK475" s="296" t="str">
        <f t="shared" si="340"/>
        <v/>
      </c>
      <c r="AL475" s="297" t="str">
        <f t="shared" si="341"/>
        <v/>
      </c>
      <c r="AM475" s="294" t="str">
        <f t="shared" si="342"/>
        <v/>
      </c>
      <c r="AN475" s="294" t="str">
        <f t="shared" si="343"/>
        <v/>
      </c>
      <c r="AO475" s="298" t="str">
        <f t="shared" si="344"/>
        <v/>
      </c>
      <c r="AP475" s="299" t="str">
        <f t="shared" si="345"/>
        <v/>
      </c>
      <c r="AQ475" s="299" t="str">
        <f t="shared" si="346"/>
        <v/>
      </c>
      <c r="AR475" s="300" t="str">
        <f t="shared" si="326"/>
        <v/>
      </c>
      <c r="AS475" s="300" t="str">
        <f t="shared" si="327"/>
        <v/>
      </c>
      <c r="AT475" s="294" t="str">
        <f t="shared" si="328"/>
        <v/>
      </c>
      <c r="AU475" s="301" t="str">
        <f>IF(OR($B475="", $AP475= ""),"",IF(VLOOKUP($AP475, CONTRATOS!B:K,3,FALSE)="","",VLOOKUP($AP475, CONTRATOS!B:K, 3,FALSE)))</f>
        <v/>
      </c>
      <c r="AV475" s="301" t="str">
        <f>IF(OR($B475="", $AP475 = ""), "", IF(VLOOKUP($AP475, CONTRATOS!B:K,4,FALSE)="","",VLOOKUP($AP475, CONTRATOS!B:K,4, FALSE)))</f>
        <v/>
      </c>
      <c r="AW475" s="302" t="str">
        <f t="shared" si="329"/>
        <v/>
      </c>
      <c r="AX475" s="301" t="str">
        <f t="shared" si="330"/>
        <v/>
      </c>
      <c r="AY475" s="301" t="str">
        <f t="shared" si="331"/>
        <v/>
      </c>
      <c r="AZ475" s="301" t="str">
        <f t="shared" si="332"/>
        <v/>
      </c>
      <c r="BA475" s="301" t="str">
        <f t="shared" si="333"/>
        <v/>
      </c>
      <c r="BB475" s="303">
        <f t="shared" si="347"/>
        <v>0</v>
      </c>
      <c r="BC475" s="303" t="str">
        <f t="shared" si="348"/>
        <v/>
      </c>
      <c r="BD475" s="303" t="str">
        <f t="shared" si="349"/>
        <v/>
      </c>
      <c r="BF475" s="304">
        <f t="shared" si="350"/>
        <v>0</v>
      </c>
      <c r="BG475" s="304">
        <f t="shared" si="351"/>
        <v>0</v>
      </c>
      <c r="BH475" s="304" t="str">
        <f>IF( $B475="", "", IF(ISNA(VLOOKUP($C475, Defesa!$C$8:$C$30,1,FALSE)),1,0))</f>
        <v/>
      </c>
      <c r="BI475" s="305" t="str">
        <f t="shared" si="352"/>
        <v/>
      </c>
      <c r="BJ475" s="305" t="str">
        <f t="shared" si="353"/>
        <v/>
      </c>
      <c r="BK475" s="304" t="str">
        <f t="shared" si="354"/>
        <v/>
      </c>
      <c r="BL475" s="304">
        <f t="shared" si="355"/>
        <v>0</v>
      </c>
      <c r="BM475" s="304" t="str">
        <f>IF($AC475="", "", IF(ISNA(VLOOKUP($AC475, TABELAS!$Q:$Q, 1, FALSE)), 1, 0))</f>
        <v/>
      </c>
      <c r="BN475" s="306" t="str">
        <f t="shared" si="356"/>
        <v/>
      </c>
      <c r="BO475" s="304" t="str">
        <f t="shared" si="357"/>
        <v/>
      </c>
      <c r="BP475" s="304" t="str">
        <f t="shared" si="358"/>
        <v/>
      </c>
      <c r="BQ475" s="305" t="str">
        <f t="shared" si="359"/>
        <v/>
      </c>
      <c r="BR475" s="304" t="str">
        <f t="shared" si="360"/>
        <v/>
      </c>
      <c r="BS475" s="304" t="str">
        <f t="shared" si="361"/>
        <v/>
      </c>
      <c r="BT475" s="304" t="str">
        <f>IF(OR($B475="", $AH475 = "SIM"), "", IF( ISNA(VLOOKUP($AP475,#REF!, 1, FALSE)), 1, 0))</f>
        <v/>
      </c>
      <c r="BU475" s="304" t="str">
        <f t="shared" si="362"/>
        <v/>
      </c>
      <c r="BV475" s="304" t="str">
        <f>IF( $B475="", "", IF( ISNA(VLOOKUP($AN475, TABELAS!$T$2:$T$9,1,FALSE)), 1, 0))</f>
        <v/>
      </c>
      <c r="BW475" s="304" t="str">
        <f t="shared" si="363"/>
        <v/>
      </c>
      <c r="BX475" s="304" t="str">
        <f>IF( OR($B475="", $AH475 = "SIM"), "", IF( ISNA( VLOOKUP( $AQ475, SISTEMA!$B:$B, 1, FALSE)), 1, 0))</f>
        <v/>
      </c>
      <c r="BY475" s="305" t="str">
        <f t="shared" si="364"/>
        <v/>
      </c>
      <c r="BZ475" s="305" t="str">
        <f t="shared" si="365"/>
        <v/>
      </c>
      <c r="CA475" s="304" t="str">
        <f t="shared" si="366"/>
        <v/>
      </c>
      <c r="CB475" s="305" t="str">
        <f t="shared" si="367"/>
        <v/>
      </c>
      <c r="CC475" s="305" t="str">
        <f t="shared" si="368"/>
        <v/>
      </c>
      <c r="CD475" s="305" t="str">
        <f t="shared" si="369"/>
        <v/>
      </c>
    </row>
    <row r="476" spans="1:82" x14ac:dyDescent="0.2">
      <c r="A476" s="235"/>
      <c r="B476" s="236" t="str">
        <f t="shared" si="334"/>
        <v/>
      </c>
      <c r="C476" s="237" t="str">
        <f t="shared" si="324"/>
        <v/>
      </c>
      <c r="D476" s="237" t="str">
        <f t="shared" si="335"/>
        <v/>
      </c>
      <c r="E476" s="237" t="str">
        <f>IF($C476="", "", COUNTIF($M$8:$M476,$D476))</f>
        <v/>
      </c>
      <c r="F476" s="238">
        <v>469</v>
      </c>
      <c r="G476" s="239"/>
      <c r="H476" s="240"/>
      <c r="I476" s="240"/>
      <c r="J476" s="241"/>
      <c r="K476" s="240"/>
      <c r="L476" s="240"/>
      <c r="M476" s="240"/>
      <c r="N476" s="242"/>
      <c r="O476" s="243"/>
      <c r="P476" s="243"/>
      <c r="Q476" s="243"/>
      <c r="R476" s="243"/>
      <c r="S476" s="243"/>
      <c r="T476" s="245"/>
      <c r="U476" s="246" t="str">
        <f>IF($T476="", "", VLOOKUP($T476, CONTRATOS!$B:$E, 2, FALSE))</f>
        <v/>
      </c>
      <c r="V476" s="247">
        <f>IF(OR($T476="",TB_DEFESA!$C$2="Criação Baseline"),0,
   IF(VLOOKUP($T476, CONTRATOS!B:E, 3, FALSE)&lt;&gt;"",1,IF(VLOOKUP($T476, CONTRATOS!B:E, 4, FALSE)&lt;&gt;"",2,0)))</f>
        <v>0</v>
      </c>
      <c r="W476" s="248"/>
      <c r="X476" s="248"/>
      <c r="Y476" s="249"/>
      <c r="Z476" s="250"/>
      <c r="AA476" s="251"/>
      <c r="AB476" s="252"/>
      <c r="AC476" s="253"/>
      <c r="AD476" s="251"/>
      <c r="AE476" s="254" t="str">
        <f t="shared" si="325"/>
        <v/>
      </c>
      <c r="AF476" s="256" t="str">
        <f t="shared" si="336"/>
        <v/>
      </c>
      <c r="AG476" s="293" t="s">
        <v>62</v>
      </c>
      <c r="AH476" s="294" t="str">
        <f t="shared" si="337"/>
        <v/>
      </c>
      <c r="AI476" s="294" t="str">
        <f t="shared" si="338"/>
        <v/>
      </c>
      <c r="AJ476" s="295" t="str">
        <f t="shared" si="339"/>
        <v/>
      </c>
      <c r="AK476" s="296" t="str">
        <f t="shared" si="340"/>
        <v/>
      </c>
      <c r="AL476" s="297" t="str">
        <f t="shared" si="341"/>
        <v/>
      </c>
      <c r="AM476" s="294" t="str">
        <f t="shared" si="342"/>
        <v/>
      </c>
      <c r="AN476" s="294" t="str">
        <f t="shared" si="343"/>
        <v/>
      </c>
      <c r="AO476" s="298" t="str">
        <f t="shared" si="344"/>
        <v/>
      </c>
      <c r="AP476" s="299" t="str">
        <f t="shared" si="345"/>
        <v/>
      </c>
      <c r="AQ476" s="299" t="str">
        <f t="shared" si="346"/>
        <v/>
      </c>
      <c r="AR476" s="300" t="str">
        <f t="shared" si="326"/>
        <v/>
      </c>
      <c r="AS476" s="300" t="str">
        <f t="shared" si="327"/>
        <v/>
      </c>
      <c r="AT476" s="294" t="str">
        <f t="shared" si="328"/>
        <v/>
      </c>
      <c r="AU476" s="301" t="str">
        <f>IF(OR($B476="", $AP476= ""),"",IF(VLOOKUP($AP476, CONTRATOS!B:K,3,FALSE)="","",VLOOKUP($AP476, CONTRATOS!B:K, 3,FALSE)))</f>
        <v/>
      </c>
      <c r="AV476" s="301" t="str">
        <f>IF(OR($B476="", $AP476 = ""), "", IF(VLOOKUP($AP476, CONTRATOS!B:K,4,FALSE)="","",VLOOKUP($AP476, CONTRATOS!B:K,4, FALSE)))</f>
        <v/>
      </c>
      <c r="AW476" s="302" t="str">
        <f t="shared" si="329"/>
        <v/>
      </c>
      <c r="AX476" s="301" t="str">
        <f t="shared" si="330"/>
        <v/>
      </c>
      <c r="AY476" s="301" t="str">
        <f t="shared" si="331"/>
        <v/>
      </c>
      <c r="AZ476" s="301" t="str">
        <f t="shared" si="332"/>
        <v/>
      </c>
      <c r="BA476" s="301" t="str">
        <f t="shared" si="333"/>
        <v/>
      </c>
      <c r="BB476" s="303">
        <f t="shared" si="347"/>
        <v>0</v>
      </c>
      <c r="BC476" s="303" t="str">
        <f t="shared" si="348"/>
        <v/>
      </c>
      <c r="BD476" s="303" t="str">
        <f t="shared" si="349"/>
        <v/>
      </c>
      <c r="BF476" s="304">
        <f t="shared" si="350"/>
        <v>0</v>
      </c>
      <c r="BG476" s="304">
        <f t="shared" si="351"/>
        <v>0</v>
      </c>
      <c r="BH476" s="304" t="str">
        <f>IF( $B476="", "", IF(ISNA(VLOOKUP($C476, Defesa!$C$8:$C$30,1,FALSE)),1,0))</f>
        <v/>
      </c>
      <c r="BI476" s="305" t="str">
        <f t="shared" si="352"/>
        <v/>
      </c>
      <c r="BJ476" s="305" t="str">
        <f t="shared" si="353"/>
        <v/>
      </c>
      <c r="BK476" s="304" t="str">
        <f t="shared" si="354"/>
        <v/>
      </c>
      <c r="BL476" s="304">
        <f t="shared" si="355"/>
        <v>0</v>
      </c>
      <c r="BM476" s="304" t="str">
        <f>IF($AC476="", "", IF(ISNA(VLOOKUP($AC476, TABELAS!$Q:$Q, 1, FALSE)), 1, 0))</f>
        <v/>
      </c>
      <c r="BN476" s="306" t="str">
        <f t="shared" si="356"/>
        <v/>
      </c>
      <c r="BO476" s="304" t="str">
        <f t="shared" si="357"/>
        <v/>
      </c>
      <c r="BP476" s="304" t="str">
        <f t="shared" si="358"/>
        <v/>
      </c>
      <c r="BQ476" s="305" t="str">
        <f t="shared" si="359"/>
        <v/>
      </c>
      <c r="BR476" s="304" t="str">
        <f t="shared" si="360"/>
        <v/>
      </c>
      <c r="BS476" s="304" t="str">
        <f t="shared" si="361"/>
        <v/>
      </c>
      <c r="BT476" s="304" t="str">
        <f>IF(OR($B476="", $AH476 = "SIM"), "", IF( ISNA(VLOOKUP($AP476,#REF!, 1, FALSE)), 1, 0))</f>
        <v/>
      </c>
      <c r="BU476" s="304" t="str">
        <f t="shared" si="362"/>
        <v/>
      </c>
      <c r="BV476" s="304" t="str">
        <f>IF( $B476="", "", IF( ISNA(VLOOKUP($AN476, TABELAS!$T$2:$T$9,1,FALSE)), 1, 0))</f>
        <v/>
      </c>
      <c r="BW476" s="304" t="str">
        <f t="shared" si="363"/>
        <v/>
      </c>
      <c r="BX476" s="304" t="str">
        <f>IF( OR($B476="", $AH476 = "SIM"), "", IF( ISNA( VLOOKUP( $AQ476, SISTEMA!$B:$B, 1, FALSE)), 1, 0))</f>
        <v/>
      </c>
      <c r="BY476" s="305" t="str">
        <f t="shared" si="364"/>
        <v/>
      </c>
      <c r="BZ476" s="305" t="str">
        <f t="shared" si="365"/>
        <v/>
      </c>
      <c r="CA476" s="304" t="str">
        <f t="shared" si="366"/>
        <v/>
      </c>
      <c r="CB476" s="305" t="str">
        <f t="shared" si="367"/>
        <v/>
      </c>
      <c r="CC476" s="305" t="str">
        <f t="shared" si="368"/>
        <v/>
      </c>
      <c r="CD476" s="305" t="str">
        <f t="shared" si="369"/>
        <v/>
      </c>
    </row>
    <row r="477" spans="1:82" x14ac:dyDescent="0.2">
      <c r="A477" s="235"/>
      <c r="B477" s="236" t="str">
        <f t="shared" si="334"/>
        <v/>
      </c>
      <c r="C477" s="237" t="str">
        <f t="shared" si="324"/>
        <v/>
      </c>
      <c r="D477" s="237" t="str">
        <f t="shared" si="335"/>
        <v/>
      </c>
      <c r="E477" s="237" t="str">
        <f>IF($C477="", "", COUNTIF($M$8:$M477,$D477))</f>
        <v/>
      </c>
      <c r="F477" s="238">
        <v>470</v>
      </c>
      <c r="G477" s="239"/>
      <c r="H477" s="240"/>
      <c r="I477" s="240"/>
      <c r="J477" s="241"/>
      <c r="K477" s="240"/>
      <c r="L477" s="240"/>
      <c r="M477" s="240"/>
      <c r="N477" s="242"/>
      <c r="O477" s="243"/>
      <c r="P477" s="243"/>
      <c r="Q477" s="243"/>
      <c r="R477" s="243"/>
      <c r="S477" s="243"/>
      <c r="T477" s="245"/>
      <c r="U477" s="246" t="str">
        <f>IF($T477="", "", VLOOKUP($T477, CONTRATOS!$B:$E, 2, FALSE))</f>
        <v/>
      </c>
      <c r="V477" s="247">
        <f>IF(OR($T477="",TB_DEFESA!$C$2="Criação Baseline"),0,
   IF(VLOOKUP($T477, CONTRATOS!B:E, 3, FALSE)&lt;&gt;"",1,IF(VLOOKUP($T477, CONTRATOS!B:E, 4, FALSE)&lt;&gt;"",2,0)))</f>
        <v>0</v>
      </c>
      <c r="W477" s="248"/>
      <c r="X477" s="248"/>
      <c r="Y477" s="249"/>
      <c r="Z477" s="250"/>
      <c r="AA477" s="251"/>
      <c r="AB477" s="252"/>
      <c r="AC477" s="253"/>
      <c r="AD477" s="251"/>
      <c r="AE477" s="254" t="str">
        <f t="shared" si="325"/>
        <v/>
      </c>
      <c r="AF477" s="256" t="str">
        <f t="shared" si="336"/>
        <v/>
      </c>
      <c r="AG477" s="293" t="s">
        <v>62</v>
      </c>
      <c r="AH477" s="294" t="str">
        <f t="shared" si="337"/>
        <v/>
      </c>
      <c r="AI477" s="294" t="str">
        <f t="shared" si="338"/>
        <v/>
      </c>
      <c r="AJ477" s="295" t="str">
        <f t="shared" si="339"/>
        <v/>
      </c>
      <c r="AK477" s="296" t="str">
        <f t="shared" si="340"/>
        <v/>
      </c>
      <c r="AL477" s="297" t="str">
        <f t="shared" si="341"/>
        <v/>
      </c>
      <c r="AM477" s="294" t="str">
        <f t="shared" si="342"/>
        <v/>
      </c>
      <c r="AN477" s="294" t="str">
        <f t="shared" si="343"/>
        <v/>
      </c>
      <c r="AO477" s="298" t="str">
        <f t="shared" si="344"/>
        <v/>
      </c>
      <c r="AP477" s="299" t="str">
        <f t="shared" si="345"/>
        <v/>
      </c>
      <c r="AQ477" s="299" t="str">
        <f t="shared" si="346"/>
        <v/>
      </c>
      <c r="AR477" s="300" t="str">
        <f t="shared" si="326"/>
        <v/>
      </c>
      <c r="AS477" s="300" t="str">
        <f t="shared" si="327"/>
        <v/>
      </c>
      <c r="AT477" s="294" t="str">
        <f t="shared" si="328"/>
        <v/>
      </c>
      <c r="AU477" s="301" t="str">
        <f>IF(OR($B477="", $AP477= ""),"",IF(VLOOKUP($AP477, CONTRATOS!B:K,3,FALSE)="","",VLOOKUP($AP477, CONTRATOS!B:K, 3,FALSE)))</f>
        <v/>
      </c>
      <c r="AV477" s="301" t="str">
        <f>IF(OR($B477="", $AP477 = ""), "", IF(VLOOKUP($AP477, CONTRATOS!B:K,4,FALSE)="","",VLOOKUP($AP477, CONTRATOS!B:K,4, FALSE)))</f>
        <v/>
      </c>
      <c r="AW477" s="302" t="str">
        <f t="shared" si="329"/>
        <v/>
      </c>
      <c r="AX477" s="301" t="str">
        <f t="shared" si="330"/>
        <v/>
      </c>
      <c r="AY477" s="301" t="str">
        <f t="shared" si="331"/>
        <v/>
      </c>
      <c r="AZ477" s="301" t="str">
        <f t="shared" si="332"/>
        <v/>
      </c>
      <c r="BA477" s="301" t="str">
        <f t="shared" si="333"/>
        <v/>
      </c>
      <c r="BB477" s="303">
        <f t="shared" si="347"/>
        <v>0</v>
      </c>
      <c r="BC477" s="303" t="str">
        <f t="shared" si="348"/>
        <v/>
      </c>
      <c r="BD477" s="303" t="str">
        <f t="shared" si="349"/>
        <v/>
      </c>
      <c r="BF477" s="304">
        <f t="shared" si="350"/>
        <v>0</v>
      </c>
      <c r="BG477" s="304">
        <f t="shared" si="351"/>
        <v>0</v>
      </c>
      <c r="BH477" s="304" t="str">
        <f>IF( $B477="", "", IF(ISNA(VLOOKUP($C477, Defesa!$C$8:$C$30,1,FALSE)),1,0))</f>
        <v/>
      </c>
      <c r="BI477" s="305" t="str">
        <f t="shared" si="352"/>
        <v/>
      </c>
      <c r="BJ477" s="305" t="str">
        <f t="shared" si="353"/>
        <v/>
      </c>
      <c r="BK477" s="304" t="str">
        <f t="shared" si="354"/>
        <v/>
      </c>
      <c r="BL477" s="304">
        <f t="shared" si="355"/>
        <v>0</v>
      </c>
      <c r="BM477" s="304" t="str">
        <f>IF($AC477="", "", IF(ISNA(VLOOKUP($AC477, TABELAS!$Q:$Q, 1, FALSE)), 1, 0))</f>
        <v/>
      </c>
      <c r="BN477" s="306" t="str">
        <f t="shared" si="356"/>
        <v/>
      </c>
      <c r="BO477" s="304" t="str">
        <f t="shared" si="357"/>
        <v/>
      </c>
      <c r="BP477" s="304" t="str">
        <f t="shared" si="358"/>
        <v/>
      </c>
      <c r="BQ477" s="305" t="str">
        <f t="shared" si="359"/>
        <v/>
      </c>
      <c r="BR477" s="304" t="str">
        <f t="shared" si="360"/>
        <v/>
      </c>
      <c r="BS477" s="304" t="str">
        <f t="shared" si="361"/>
        <v/>
      </c>
      <c r="BT477" s="304" t="str">
        <f>IF(OR($B477="", $AH477 = "SIM"), "", IF( ISNA(VLOOKUP($AP477,#REF!, 1, FALSE)), 1, 0))</f>
        <v/>
      </c>
      <c r="BU477" s="304" t="str">
        <f t="shared" si="362"/>
        <v/>
      </c>
      <c r="BV477" s="304" t="str">
        <f>IF( $B477="", "", IF( ISNA(VLOOKUP($AN477, TABELAS!$T$2:$T$9,1,FALSE)), 1, 0))</f>
        <v/>
      </c>
      <c r="BW477" s="304" t="str">
        <f t="shared" si="363"/>
        <v/>
      </c>
      <c r="BX477" s="304" t="str">
        <f>IF( OR($B477="", $AH477 = "SIM"), "", IF( ISNA( VLOOKUP( $AQ477, SISTEMA!$B:$B, 1, FALSE)), 1, 0))</f>
        <v/>
      </c>
      <c r="BY477" s="305" t="str">
        <f t="shared" si="364"/>
        <v/>
      </c>
      <c r="BZ477" s="305" t="str">
        <f t="shared" si="365"/>
        <v/>
      </c>
      <c r="CA477" s="304" t="str">
        <f t="shared" si="366"/>
        <v/>
      </c>
      <c r="CB477" s="305" t="str">
        <f t="shared" si="367"/>
        <v/>
      </c>
      <c r="CC477" s="305" t="str">
        <f t="shared" si="368"/>
        <v/>
      </c>
      <c r="CD477" s="305" t="str">
        <f t="shared" si="369"/>
        <v/>
      </c>
    </row>
    <row r="478" spans="1:82" x14ac:dyDescent="0.2">
      <c r="A478" s="235"/>
      <c r="B478" s="236" t="str">
        <f t="shared" si="334"/>
        <v/>
      </c>
      <c r="C478" s="237" t="str">
        <f t="shared" si="324"/>
        <v/>
      </c>
      <c r="D478" s="237" t="str">
        <f t="shared" si="335"/>
        <v/>
      </c>
      <c r="E478" s="237" t="str">
        <f>IF($C478="", "", COUNTIF($M$8:$M478,$D478))</f>
        <v/>
      </c>
      <c r="F478" s="238">
        <v>471</v>
      </c>
      <c r="G478" s="239"/>
      <c r="H478" s="240"/>
      <c r="I478" s="240"/>
      <c r="J478" s="241"/>
      <c r="K478" s="240"/>
      <c r="L478" s="240"/>
      <c r="M478" s="240"/>
      <c r="N478" s="242"/>
      <c r="O478" s="243"/>
      <c r="P478" s="243"/>
      <c r="Q478" s="243"/>
      <c r="R478" s="243"/>
      <c r="S478" s="243"/>
      <c r="T478" s="245"/>
      <c r="U478" s="246" t="str">
        <f>IF($T478="", "", VLOOKUP($T478, CONTRATOS!$B:$E, 2, FALSE))</f>
        <v/>
      </c>
      <c r="V478" s="247">
        <f>IF(OR($T478="",TB_DEFESA!$C$2="Criação Baseline"),0,
   IF(VLOOKUP($T478, CONTRATOS!B:E, 3, FALSE)&lt;&gt;"",1,IF(VLOOKUP($T478, CONTRATOS!B:E, 4, FALSE)&lt;&gt;"",2,0)))</f>
        <v>0</v>
      </c>
      <c r="W478" s="248"/>
      <c r="X478" s="248"/>
      <c r="Y478" s="249"/>
      <c r="Z478" s="250"/>
      <c r="AA478" s="251"/>
      <c r="AB478" s="252"/>
      <c r="AC478" s="253"/>
      <c r="AD478" s="251"/>
      <c r="AE478" s="254" t="str">
        <f t="shared" si="325"/>
        <v/>
      </c>
      <c r="AF478" s="256" t="str">
        <f t="shared" si="336"/>
        <v/>
      </c>
      <c r="AG478" s="293" t="s">
        <v>62</v>
      </c>
      <c r="AH478" s="294" t="str">
        <f t="shared" si="337"/>
        <v/>
      </c>
      <c r="AI478" s="294" t="str">
        <f t="shared" si="338"/>
        <v/>
      </c>
      <c r="AJ478" s="295" t="str">
        <f t="shared" si="339"/>
        <v/>
      </c>
      <c r="AK478" s="296" t="str">
        <f t="shared" si="340"/>
        <v/>
      </c>
      <c r="AL478" s="297" t="str">
        <f t="shared" si="341"/>
        <v/>
      </c>
      <c r="AM478" s="294" t="str">
        <f t="shared" si="342"/>
        <v/>
      </c>
      <c r="AN478" s="294" t="str">
        <f t="shared" si="343"/>
        <v/>
      </c>
      <c r="AO478" s="298" t="str">
        <f t="shared" si="344"/>
        <v/>
      </c>
      <c r="AP478" s="299" t="str">
        <f t="shared" si="345"/>
        <v/>
      </c>
      <c r="AQ478" s="299" t="str">
        <f t="shared" si="346"/>
        <v/>
      </c>
      <c r="AR478" s="300" t="str">
        <f t="shared" si="326"/>
        <v/>
      </c>
      <c r="AS478" s="300" t="str">
        <f t="shared" si="327"/>
        <v/>
      </c>
      <c r="AT478" s="294" t="str">
        <f t="shared" si="328"/>
        <v/>
      </c>
      <c r="AU478" s="301" t="str">
        <f>IF(OR($B478="", $AP478= ""),"",IF(VLOOKUP($AP478, CONTRATOS!B:K,3,FALSE)="","",VLOOKUP($AP478, CONTRATOS!B:K, 3,FALSE)))</f>
        <v/>
      </c>
      <c r="AV478" s="301" t="str">
        <f>IF(OR($B478="", $AP478 = ""), "", IF(VLOOKUP($AP478, CONTRATOS!B:K,4,FALSE)="","",VLOOKUP($AP478, CONTRATOS!B:K,4, FALSE)))</f>
        <v/>
      </c>
      <c r="AW478" s="302" t="str">
        <f t="shared" si="329"/>
        <v/>
      </c>
      <c r="AX478" s="301" t="str">
        <f t="shared" si="330"/>
        <v/>
      </c>
      <c r="AY478" s="301" t="str">
        <f t="shared" si="331"/>
        <v/>
      </c>
      <c r="AZ478" s="301" t="str">
        <f t="shared" si="332"/>
        <v/>
      </c>
      <c r="BA478" s="301" t="str">
        <f t="shared" si="333"/>
        <v/>
      </c>
      <c r="BB478" s="303">
        <f t="shared" si="347"/>
        <v>0</v>
      </c>
      <c r="BC478" s="303" t="str">
        <f t="shared" si="348"/>
        <v/>
      </c>
      <c r="BD478" s="303" t="str">
        <f t="shared" si="349"/>
        <v/>
      </c>
      <c r="BF478" s="304">
        <f t="shared" si="350"/>
        <v>0</v>
      </c>
      <c r="BG478" s="304">
        <f t="shared" si="351"/>
        <v>0</v>
      </c>
      <c r="BH478" s="304" t="str">
        <f>IF( $B478="", "", IF(ISNA(VLOOKUP($C478, Defesa!$C$8:$C$30,1,FALSE)),1,0))</f>
        <v/>
      </c>
      <c r="BI478" s="305" t="str">
        <f t="shared" si="352"/>
        <v/>
      </c>
      <c r="BJ478" s="305" t="str">
        <f t="shared" si="353"/>
        <v/>
      </c>
      <c r="BK478" s="304" t="str">
        <f t="shared" si="354"/>
        <v/>
      </c>
      <c r="BL478" s="304">
        <f t="shared" si="355"/>
        <v>0</v>
      </c>
      <c r="BM478" s="304" t="str">
        <f>IF($AC478="", "", IF(ISNA(VLOOKUP($AC478, TABELAS!$Q:$Q, 1, FALSE)), 1, 0))</f>
        <v/>
      </c>
      <c r="BN478" s="306" t="str">
        <f t="shared" si="356"/>
        <v/>
      </c>
      <c r="BO478" s="304" t="str">
        <f t="shared" si="357"/>
        <v/>
      </c>
      <c r="BP478" s="304" t="str">
        <f t="shared" si="358"/>
        <v/>
      </c>
      <c r="BQ478" s="305" t="str">
        <f t="shared" si="359"/>
        <v/>
      </c>
      <c r="BR478" s="304" t="str">
        <f t="shared" si="360"/>
        <v/>
      </c>
      <c r="BS478" s="304" t="str">
        <f t="shared" si="361"/>
        <v/>
      </c>
      <c r="BT478" s="304" t="str">
        <f>IF(OR($B478="", $AH478 = "SIM"), "", IF( ISNA(VLOOKUP($AP478,#REF!, 1, FALSE)), 1, 0))</f>
        <v/>
      </c>
      <c r="BU478" s="304" t="str">
        <f t="shared" si="362"/>
        <v/>
      </c>
      <c r="BV478" s="304" t="str">
        <f>IF( $B478="", "", IF( ISNA(VLOOKUP($AN478, TABELAS!$T$2:$T$9,1,FALSE)), 1, 0))</f>
        <v/>
      </c>
      <c r="BW478" s="304" t="str">
        <f t="shared" si="363"/>
        <v/>
      </c>
      <c r="BX478" s="304" t="str">
        <f>IF( OR($B478="", $AH478 = "SIM"), "", IF( ISNA( VLOOKUP( $AQ478, SISTEMA!$B:$B, 1, FALSE)), 1, 0))</f>
        <v/>
      </c>
      <c r="BY478" s="305" t="str">
        <f t="shared" si="364"/>
        <v/>
      </c>
      <c r="BZ478" s="305" t="str">
        <f t="shared" si="365"/>
        <v/>
      </c>
      <c r="CA478" s="304" t="str">
        <f t="shared" si="366"/>
        <v/>
      </c>
      <c r="CB478" s="305" t="str">
        <f t="shared" si="367"/>
        <v/>
      </c>
      <c r="CC478" s="305" t="str">
        <f t="shared" si="368"/>
        <v/>
      </c>
      <c r="CD478" s="305" t="str">
        <f t="shared" si="369"/>
        <v/>
      </c>
    </row>
    <row r="479" spans="1:82" x14ac:dyDescent="0.2">
      <c r="A479" s="235"/>
      <c r="B479" s="236" t="str">
        <f t="shared" si="334"/>
        <v/>
      </c>
      <c r="C479" s="237" t="str">
        <f t="shared" si="324"/>
        <v/>
      </c>
      <c r="D479" s="237" t="str">
        <f t="shared" si="335"/>
        <v/>
      </c>
      <c r="E479" s="237" t="str">
        <f>IF($C479="", "", COUNTIF($M$8:$M479,$D479))</f>
        <v/>
      </c>
      <c r="F479" s="238">
        <v>472</v>
      </c>
      <c r="G479" s="239"/>
      <c r="H479" s="240"/>
      <c r="I479" s="240"/>
      <c r="J479" s="241"/>
      <c r="K479" s="240"/>
      <c r="L479" s="240"/>
      <c r="M479" s="240"/>
      <c r="N479" s="242"/>
      <c r="O479" s="243"/>
      <c r="P479" s="243"/>
      <c r="Q479" s="243"/>
      <c r="R479" s="243"/>
      <c r="S479" s="243"/>
      <c r="T479" s="245"/>
      <c r="U479" s="246" t="str">
        <f>IF($T479="", "", VLOOKUP($T479, CONTRATOS!$B:$E, 2, FALSE))</f>
        <v/>
      </c>
      <c r="V479" s="247">
        <f>IF(OR($T479="",TB_DEFESA!$C$2="Criação Baseline"),0,
   IF(VLOOKUP($T479, CONTRATOS!B:E, 3, FALSE)&lt;&gt;"",1,IF(VLOOKUP($T479, CONTRATOS!B:E, 4, FALSE)&lt;&gt;"",2,0)))</f>
        <v>0</v>
      </c>
      <c r="W479" s="248"/>
      <c r="X479" s="248"/>
      <c r="Y479" s="249"/>
      <c r="Z479" s="250"/>
      <c r="AA479" s="251"/>
      <c r="AB479" s="252"/>
      <c r="AC479" s="253"/>
      <c r="AD479" s="251"/>
      <c r="AE479" s="254" t="str">
        <f t="shared" si="325"/>
        <v/>
      </c>
      <c r="AF479" s="256" t="str">
        <f t="shared" si="336"/>
        <v/>
      </c>
      <c r="AG479" s="293" t="s">
        <v>62</v>
      </c>
      <c r="AH479" s="294" t="str">
        <f t="shared" si="337"/>
        <v/>
      </c>
      <c r="AI479" s="294" t="str">
        <f t="shared" si="338"/>
        <v/>
      </c>
      <c r="AJ479" s="295" t="str">
        <f t="shared" si="339"/>
        <v/>
      </c>
      <c r="AK479" s="296" t="str">
        <f t="shared" si="340"/>
        <v/>
      </c>
      <c r="AL479" s="297" t="str">
        <f t="shared" si="341"/>
        <v/>
      </c>
      <c r="AM479" s="294" t="str">
        <f t="shared" si="342"/>
        <v/>
      </c>
      <c r="AN479" s="294" t="str">
        <f t="shared" si="343"/>
        <v/>
      </c>
      <c r="AO479" s="298" t="str">
        <f t="shared" si="344"/>
        <v/>
      </c>
      <c r="AP479" s="299" t="str">
        <f t="shared" si="345"/>
        <v/>
      </c>
      <c r="AQ479" s="299" t="str">
        <f t="shared" si="346"/>
        <v/>
      </c>
      <c r="AR479" s="300" t="str">
        <f t="shared" si="326"/>
        <v/>
      </c>
      <c r="AS479" s="300" t="str">
        <f t="shared" si="327"/>
        <v/>
      </c>
      <c r="AT479" s="294" t="str">
        <f t="shared" si="328"/>
        <v/>
      </c>
      <c r="AU479" s="301" t="str">
        <f>IF(OR($B479="", $AP479= ""),"",IF(VLOOKUP($AP479, CONTRATOS!B:K,3,FALSE)="","",VLOOKUP($AP479, CONTRATOS!B:K, 3,FALSE)))</f>
        <v/>
      </c>
      <c r="AV479" s="301" t="str">
        <f>IF(OR($B479="", $AP479 = ""), "", IF(VLOOKUP($AP479, CONTRATOS!B:K,4,FALSE)="","",VLOOKUP($AP479, CONTRATOS!B:K,4, FALSE)))</f>
        <v/>
      </c>
      <c r="AW479" s="302" t="str">
        <f t="shared" si="329"/>
        <v/>
      </c>
      <c r="AX479" s="301" t="str">
        <f t="shared" si="330"/>
        <v/>
      </c>
      <c r="AY479" s="301" t="str">
        <f t="shared" si="331"/>
        <v/>
      </c>
      <c r="AZ479" s="301" t="str">
        <f t="shared" si="332"/>
        <v/>
      </c>
      <c r="BA479" s="301" t="str">
        <f t="shared" si="333"/>
        <v/>
      </c>
      <c r="BB479" s="303">
        <f t="shared" si="347"/>
        <v>0</v>
      </c>
      <c r="BC479" s="303" t="str">
        <f t="shared" si="348"/>
        <v/>
      </c>
      <c r="BD479" s="303" t="str">
        <f t="shared" si="349"/>
        <v/>
      </c>
      <c r="BF479" s="304">
        <f t="shared" si="350"/>
        <v>0</v>
      </c>
      <c r="BG479" s="304">
        <f t="shared" si="351"/>
        <v>0</v>
      </c>
      <c r="BH479" s="304" t="str">
        <f>IF( $B479="", "", IF(ISNA(VLOOKUP($C479, Defesa!$C$8:$C$30,1,FALSE)),1,0))</f>
        <v/>
      </c>
      <c r="BI479" s="305" t="str">
        <f t="shared" si="352"/>
        <v/>
      </c>
      <c r="BJ479" s="305" t="str">
        <f t="shared" si="353"/>
        <v/>
      </c>
      <c r="BK479" s="304" t="str">
        <f t="shared" si="354"/>
        <v/>
      </c>
      <c r="BL479" s="304">
        <f t="shared" si="355"/>
        <v>0</v>
      </c>
      <c r="BM479" s="304" t="str">
        <f>IF($AC479="", "", IF(ISNA(VLOOKUP($AC479, TABELAS!$Q:$Q, 1, FALSE)), 1, 0))</f>
        <v/>
      </c>
      <c r="BN479" s="306" t="str">
        <f t="shared" si="356"/>
        <v/>
      </c>
      <c r="BO479" s="304" t="str">
        <f t="shared" si="357"/>
        <v/>
      </c>
      <c r="BP479" s="304" t="str">
        <f t="shared" si="358"/>
        <v/>
      </c>
      <c r="BQ479" s="305" t="str">
        <f t="shared" si="359"/>
        <v/>
      </c>
      <c r="BR479" s="304" t="str">
        <f t="shared" si="360"/>
        <v/>
      </c>
      <c r="BS479" s="304" t="str">
        <f t="shared" si="361"/>
        <v/>
      </c>
      <c r="BT479" s="304" t="str">
        <f>IF(OR($B479="", $AH479 = "SIM"), "", IF( ISNA(VLOOKUP($AP479,#REF!, 1, FALSE)), 1, 0))</f>
        <v/>
      </c>
      <c r="BU479" s="304" t="str">
        <f t="shared" si="362"/>
        <v/>
      </c>
      <c r="BV479" s="304" t="str">
        <f>IF( $B479="", "", IF( ISNA(VLOOKUP($AN479, TABELAS!$T$2:$T$9,1,FALSE)), 1, 0))</f>
        <v/>
      </c>
      <c r="BW479" s="304" t="str">
        <f t="shared" si="363"/>
        <v/>
      </c>
      <c r="BX479" s="304" t="str">
        <f>IF( OR($B479="", $AH479 = "SIM"), "", IF( ISNA( VLOOKUP( $AQ479, SISTEMA!$B:$B, 1, FALSE)), 1, 0))</f>
        <v/>
      </c>
      <c r="BY479" s="305" t="str">
        <f t="shared" si="364"/>
        <v/>
      </c>
      <c r="BZ479" s="305" t="str">
        <f t="shared" si="365"/>
        <v/>
      </c>
      <c r="CA479" s="304" t="str">
        <f t="shared" si="366"/>
        <v/>
      </c>
      <c r="CB479" s="305" t="str">
        <f t="shared" si="367"/>
        <v/>
      </c>
      <c r="CC479" s="305" t="str">
        <f t="shared" si="368"/>
        <v/>
      </c>
      <c r="CD479" s="305" t="str">
        <f t="shared" si="369"/>
        <v/>
      </c>
    </row>
    <row r="480" spans="1:82" x14ac:dyDescent="0.2">
      <c r="A480" s="235"/>
      <c r="B480" s="236" t="str">
        <f t="shared" si="334"/>
        <v/>
      </c>
      <c r="C480" s="237" t="str">
        <f t="shared" si="324"/>
        <v/>
      </c>
      <c r="D480" s="237" t="str">
        <f t="shared" si="335"/>
        <v/>
      </c>
      <c r="E480" s="237" t="str">
        <f>IF($C480="", "", COUNTIF($M$8:$M480,$D480))</f>
        <v/>
      </c>
      <c r="F480" s="238">
        <v>473</v>
      </c>
      <c r="G480" s="239"/>
      <c r="H480" s="240"/>
      <c r="I480" s="240"/>
      <c r="J480" s="241"/>
      <c r="K480" s="240"/>
      <c r="L480" s="240"/>
      <c r="M480" s="240"/>
      <c r="N480" s="242"/>
      <c r="O480" s="243"/>
      <c r="P480" s="243"/>
      <c r="Q480" s="243"/>
      <c r="R480" s="243"/>
      <c r="S480" s="243"/>
      <c r="T480" s="245"/>
      <c r="U480" s="246" t="str">
        <f>IF($T480="", "", VLOOKUP($T480, CONTRATOS!$B:$E, 2, FALSE))</f>
        <v/>
      </c>
      <c r="V480" s="247">
        <f>IF(OR($T480="",TB_DEFESA!$C$2="Criação Baseline"),0,
   IF(VLOOKUP($T480, CONTRATOS!B:E, 3, FALSE)&lt;&gt;"",1,IF(VLOOKUP($T480, CONTRATOS!B:E, 4, FALSE)&lt;&gt;"",2,0)))</f>
        <v>0</v>
      </c>
      <c r="W480" s="248"/>
      <c r="X480" s="248"/>
      <c r="Y480" s="249"/>
      <c r="Z480" s="250"/>
      <c r="AA480" s="251"/>
      <c r="AB480" s="252"/>
      <c r="AC480" s="253"/>
      <c r="AD480" s="251"/>
      <c r="AE480" s="254" t="str">
        <f t="shared" si="325"/>
        <v/>
      </c>
      <c r="AF480" s="256" t="str">
        <f t="shared" si="336"/>
        <v/>
      </c>
      <c r="AG480" s="293" t="s">
        <v>62</v>
      </c>
      <c r="AH480" s="294" t="str">
        <f t="shared" si="337"/>
        <v/>
      </c>
      <c r="AI480" s="294" t="str">
        <f t="shared" si="338"/>
        <v/>
      </c>
      <c r="AJ480" s="295" t="str">
        <f t="shared" si="339"/>
        <v/>
      </c>
      <c r="AK480" s="296" t="str">
        <f t="shared" si="340"/>
        <v/>
      </c>
      <c r="AL480" s="297" t="str">
        <f t="shared" si="341"/>
        <v/>
      </c>
      <c r="AM480" s="294" t="str">
        <f t="shared" si="342"/>
        <v/>
      </c>
      <c r="AN480" s="294" t="str">
        <f t="shared" si="343"/>
        <v/>
      </c>
      <c r="AO480" s="298" t="str">
        <f t="shared" si="344"/>
        <v/>
      </c>
      <c r="AP480" s="299" t="str">
        <f t="shared" si="345"/>
        <v/>
      </c>
      <c r="AQ480" s="299" t="str">
        <f t="shared" si="346"/>
        <v/>
      </c>
      <c r="AR480" s="300" t="str">
        <f t="shared" si="326"/>
        <v/>
      </c>
      <c r="AS480" s="300" t="str">
        <f t="shared" si="327"/>
        <v/>
      </c>
      <c r="AT480" s="294" t="str">
        <f t="shared" si="328"/>
        <v/>
      </c>
      <c r="AU480" s="301" t="str">
        <f>IF(OR($B480="", $AP480= ""),"",IF(VLOOKUP($AP480, CONTRATOS!B:K,3,FALSE)="","",VLOOKUP($AP480, CONTRATOS!B:K, 3,FALSE)))</f>
        <v/>
      </c>
      <c r="AV480" s="301" t="str">
        <f>IF(OR($B480="", $AP480 = ""), "", IF(VLOOKUP($AP480, CONTRATOS!B:K,4,FALSE)="","",VLOOKUP($AP480, CONTRATOS!B:K,4, FALSE)))</f>
        <v/>
      </c>
      <c r="AW480" s="302" t="str">
        <f t="shared" si="329"/>
        <v/>
      </c>
      <c r="AX480" s="301" t="str">
        <f t="shared" si="330"/>
        <v/>
      </c>
      <c r="AY480" s="301" t="str">
        <f t="shared" si="331"/>
        <v/>
      </c>
      <c r="AZ480" s="301" t="str">
        <f t="shared" si="332"/>
        <v/>
      </c>
      <c r="BA480" s="301" t="str">
        <f t="shared" si="333"/>
        <v/>
      </c>
      <c r="BB480" s="303">
        <f t="shared" si="347"/>
        <v>0</v>
      </c>
      <c r="BC480" s="303" t="str">
        <f t="shared" si="348"/>
        <v/>
      </c>
      <c r="BD480" s="303" t="str">
        <f t="shared" si="349"/>
        <v/>
      </c>
      <c r="BF480" s="304">
        <f t="shared" si="350"/>
        <v>0</v>
      </c>
      <c r="BG480" s="304">
        <f t="shared" si="351"/>
        <v>0</v>
      </c>
      <c r="BH480" s="304" t="str">
        <f>IF( $B480="", "", IF(ISNA(VLOOKUP($C480, Defesa!$C$8:$C$30,1,FALSE)),1,0))</f>
        <v/>
      </c>
      <c r="BI480" s="305" t="str">
        <f t="shared" si="352"/>
        <v/>
      </c>
      <c r="BJ480" s="305" t="str">
        <f t="shared" si="353"/>
        <v/>
      </c>
      <c r="BK480" s="304" t="str">
        <f t="shared" si="354"/>
        <v/>
      </c>
      <c r="BL480" s="304">
        <f t="shared" si="355"/>
        <v>0</v>
      </c>
      <c r="BM480" s="304" t="str">
        <f>IF($AC480="", "", IF(ISNA(VLOOKUP($AC480, TABELAS!$Q:$Q, 1, FALSE)), 1, 0))</f>
        <v/>
      </c>
      <c r="BN480" s="306" t="str">
        <f t="shared" si="356"/>
        <v/>
      </c>
      <c r="BO480" s="304" t="str">
        <f t="shared" si="357"/>
        <v/>
      </c>
      <c r="BP480" s="304" t="str">
        <f t="shared" si="358"/>
        <v/>
      </c>
      <c r="BQ480" s="305" t="str">
        <f t="shared" si="359"/>
        <v/>
      </c>
      <c r="BR480" s="304" t="str">
        <f t="shared" si="360"/>
        <v/>
      </c>
      <c r="BS480" s="304" t="str">
        <f t="shared" si="361"/>
        <v/>
      </c>
      <c r="BT480" s="304" t="str">
        <f>IF(OR($B480="", $AH480 = "SIM"), "", IF( ISNA(VLOOKUP($AP480,#REF!, 1, FALSE)), 1, 0))</f>
        <v/>
      </c>
      <c r="BU480" s="304" t="str">
        <f t="shared" si="362"/>
        <v/>
      </c>
      <c r="BV480" s="304" t="str">
        <f>IF( $B480="", "", IF( ISNA(VLOOKUP($AN480, TABELAS!$T$2:$T$9,1,FALSE)), 1, 0))</f>
        <v/>
      </c>
      <c r="BW480" s="304" t="str">
        <f t="shared" si="363"/>
        <v/>
      </c>
      <c r="BX480" s="304" t="str">
        <f>IF( OR($B480="", $AH480 = "SIM"), "", IF( ISNA( VLOOKUP( $AQ480, SISTEMA!$B:$B, 1, FALSE)), 1, 0))</f>
        <v/>
      </c>
      <c r="BY480" s="305" t="str">
        <f t="shared" si="364"/>
        <v/>
      </c>
      <c r="BZ480" s="305" t="str">
        <f t="shared" si="365"/>
        <v/>
      </c>
      <c r="CA480" s="304" t="str">
        <f t="shared" si="366"/>
        <v/>
      </c>
      <c r="CB480" s="305" t="str">
        <f t="shared" si="367"/>
        <v/>
      </c>
      <c r="CC480" s="305" t="str">
        <f t="shared" si="368"/>
        <v/>
      </c>
      <c r="CD480" s="305" t="str">
        <f t="shared" si="369"/>
        <v/>
      </c>
    </row>
    <row r="481" spans="1:82" x14ac:dyDescent="0.2">
      <c r="A481" s="235"/>
      <c r="B481" s="236" t="str">
        <f t="shared" si="334"/>
        <v/>
      </c>
      <c r="C481" s="237" t="str">
        <f t="shared" si="324"/>
        <v/>
      </c>
      <c r="D481" s="237" t="str">
        <f t="shared" si="335"/>
        <v/>
      </c>
      <c r="E481" s="237" t="str">
        <f>IF($C481="", "", COUNTIF($M$8:$M481,$D481))</f>
        <v/>
      </c>
      <c r="F481" s="238">
        <v>474</v>
      </c>
      <c r="G481" s="239"/>
      <c r="H481" s="240"/>
      <c r="I481" s="240"/>
      <c r="J481" s="241"/>
      <c r="K481" s="240"/>
      <c r="L481" s="240"/>
      <c r="M481" s="240"/>
      <c r="N481" s="242"/>
      <c r="O481" s="243"/>
      <c r="P481" s="243"/>
      <c r="Q481" s="243"/>
      <c r="R481" s="243"/>
      <c r="S481" s="243"/>
      <c r="T481" s="245"/>
      <c r="U481" s="246" t="str">
        <f>IF($T481="", "", VLOOKUP($T481, CONTRATOS!$B:$E, 2, FALSE))</f>
        <v/>
      </c>
      <c r="V481" s="247">
        <f>IF(OR($T481="",TB_DEFESA!$C$2="Criação Baseline"),0,
   IF(VLOOKUP($T481, CONTRATOS!B:E, 3, FALSE)&lt;&gt;"",1,IF(VLOOKUP($T481, CONTRATOS!B:E, 4, FALSE)&lt;&gt;"",2,0)))</f>
        <v>0</v>
      </c>
      <c r="W481" s="248"/>
      <c r="X481" s="248"/>
      <c r="Y481" s="249"/>
      <c r="Z481" s="250"/>
      <c r="AA481" s="251"/>
      <c r="AB481" s="252"/>
      <c r="AC481" s="253"/>
      <c r="AD481" s="251"/>
      <c r="AE481" s="254" t="str">
        <f t="shared" si="325"/>
        <v/>
      </c>
      <c r="AF481" s="256" t="str">
        <f t="shared" si="336"/>
        <v/>
      </c>
      <c r="AG481" s="293" t="s">
        <v>62</v>
      </c>
      <c r="AH481" s="294" t="str">
        <f t="shared" si="337"/>
        <v/>
      </c>
      <c r="AI481" s="294" t="str">
        <f t="shared" si="338"/>
        <v/>
      </c>
      <c r="AJ481" s="295" t="str">
        <f t="shared" si="339"/>
        <v/>
      </c>
      <c r="AK481" s="296" t="str">
        <f t="shared" si="340"/>
        <v/>
      </c>
      <c r="AL481" s="297" t="str">
        <f t="shared" si="341"/>
        <v/>
      </c>
      <c r="AM481" s="294" t="str">
        <f t="shared" si="342"/>
        <v/>
      </c>
      <c r="AN481" s="294" t="str">
        <f t="shared" si="343"/>
        <v/>
      </c>
      <c r="AO481" s="298" t="str">
        <f t="shared" si="344"/>
        <v/>
      </c>
      <c r="AP481" s="299" t="str">
        <f t="shared" si="345"/>
        <v/>
      </c>
      <c r="AQ481" s="299" t="str">
        <f t="shared" si="346"/>
        <v/>
      </c>
      <c r="AR481" s="300" t="str">
        <f t="shared" si="326"/>
        <v/>
      </c>
      <c r="AS481" s="300" t="str">
        <f t="shared" si="327"/>
        <v/>
      </c>
      <c r="AT481" s="294" t="str">
        <f t="shared" si="328"/>
        <v/>
      </c>
      <c r="AU481" s="301" t="str">
        <f>IF(OR($B481="", $AP481= ""),"",IF(VLOOKUP($AP481, CONTRATOS!B:K,3,FALSE)="","",VLOOKUP($AP481, CONTRATOS!B:K, 3,FALSE)))</f>
        <v/>
      </c>
      <c r="AV481" s="301" t="str">
        <f>IF(OR($B481="", $AP481 = ""), "", IF(VLOOKUP($AP481, CONTRATOS!B:K,4,FALSE)="","",VLOOKUP($AP481, CONTRATOS!B:K,4, FALSE)))</f>
        <v/>
      </c>
      <c r="AW481" s="302" t="str">
        <f t="shared" si="329"/>
        <v/>
      </c>
      <c r="AX481" s="301" t="str">
        <f t="shared" si="330"/>
        <v/>
      </c>
      <c r="AY481" s="301" t="str">
        <f t="shared" si="331"/>
        <v/>
      </c>
      <c r="AZ481" s="301" t="str">
        <f t="shared" si="332"/>
        <v/>
      </c>
      <c r="BA481" s="301" t="str">
        <f t="shared" si="333"/>
        <v/>
      </c>
      <c r="BB481" s="303">
        <f t="shared" si="347"/>
        <v>0</v>
      </c>
      <c r="BC481" s="303" t="str">
        <f t="shared" si="348"/>
        <v/>
      </c>
      <c r="BD481" s="303" t="str">
        <f t="shared" si="349"/>
        <v/>
      </c>
      <c r="BF481" s="304">
        <f t="shared" si="350"/>
        <v>0</v>
      </c>
      <c r="BG481" s="304">
        <f t="shared" si="351"/>
        <v>0</v>
      </c>
      <c r="BH481" s="304" t="str">
        <f>IF( $B481="", "", IF(ISNA(VLOOKUP($C481, Defesa!$C$8:$C$30,1,FALSE)),1,0))</f>
        <v/>
      </c>
      <c r="BI481" s="305" t="str">
        <f t="shared" si="352"/>
        <v/>
      </c>
      <c r="BJ481" s="305" t="str">
        <f t="shared" si="353"/>
        <v/>
      </c>
      <c r="BK481" s="304" t="str">
        <f t="shared" si="354"/>
        <v/>
      </c>
      <c r="BL481" s="304">
        <f t="shared" si="355"/>
        <v>0</v>
      </c>
      <c r="BM481" s="304" t="str">
        <f>IF($AC481="", "", IF(ISNA(VLOOKUP($AC481, TABELAS!$Q:$Q, 1, FALSE)), 1, 0))</f>
        <v/>
      </c>
      <c r="BN481" s="306" t="str">
        <f t="shared" si="356"/>
        <v/>
      </c>
      <c r="BO481" s="304" t="str">
        <f t="shared" si="357"/>
        <v/>
      </c>
      <c r="BP481" s="304" t="str">
        <f t="shared" si="358"/>
        <v/>
      </c>
      <c r="BQ481" s="305" t="str">
        <f t="shared" si="359"/>
        <v/>
      </c>
      <c r="BR481" s="304" t="str">
        <f t="shared" si="360"/>
        <v/>
      </c>
      <c r="BS481" s="304" t="str">
        <f t="shared" si="361"/>
        <v/>
      </c>
      <c r="BT481" s="304" t="str">
        <f>IF(OR($B481="", $AH481 = "SIM"), "", IF( ISNA(VLOOKUP($AP481,#REF!, 1, FALSE)), 1, 0))</f>
        <v/>
      </c>
      <c r="BU481" s="304" t="str">
        <f t="shared" si="362"/>
        <v/>
      </c>
      <c r="BV481" s="304" t="str">
        <f>IF( $B481="", "", IF( ISNA(VLOOKUP($AN481, TABELAS!$T$2:$T$9,1,FALSE)), 1, 0))</f>
        <v/>
      </c>
      <c r="BW481" s="304" t="str">
        <f t="shared" si="363"/>
        <v/>
      </c>
      <c r="BX481" s="304" t="str">
        <f>IF( OR($B481="", $AH481 = "SIM"), "", IF( ISNA( VLOOKUP( $AQ481, SISTEMA!$B:$B, 1, FALSE)), 1, 0))</f>
        <v/>
      </c>
      <c r="BY481" s="305" t="str">
        <f t="shared" si="364"/>
        <v/>
      </c>
      <c r="BZ481" s="305" t="str">
        <f t="shared" si="365"/>
        <v/>
      </c>
      <c r="CA481" s="304" t="str">
        <f t="shared" si="366"/>
        <v/>
      </c>
      <c r="CB481" s="305" t="str">
        <f t="shared" si="367"/>
        <v/>
      </c>
      <c r="CC481" s="305" t="str">
        <f t="shared" si="368"/>
        <v/>
      </c>
      <c r="CD481" s="305" t="str">
        <f t="shared" si="369"/>
        <v/>
      </c>
    </row>
    <row r="482" spans="1:82" x14ac:dyDescent="0.2">
      <c r="A482" s="235"/>
      <c r="B482" s="236" t="str">
        <f t="shared" si="334"/>
        <v/>
      </c>
      <c r="C482" s="237" t="str">
        <f t="shared" si="324"/>
        <v/>
      </c>
      <c r="D482" s="237" t="str">
        <f t="shared" si="335"/>
        <v/>
      </c>
      <c r="E482" s="237" t="str">
        <f>IF($C482="", "", COUNTIF($M$8:$M482,$D482))</f>
        <v/>
      </c>
      <c r="F482" s="238">
        <v>475</v>
      </c>
      <c r="G482" s="239"/>
      <c r="H482" s="240"/>
      <c r="I482" s="240"/>
      <c r="J482" s="241"/>
      <c r="K482" s="240"/>
      <c r="L482" s="240"/>
      <c r="M482" s="240"/>
      <c r="N482" s="242"/>
      <c r="O482" s="243"/>
      <c r="P482" s="243"/>
      <c r="Q482" s="243"/>
      <c r="R482" s="243"/>
      <c r="S482" s="243"/>
      <c r="T482" s="245"/>
      <c r="U482" s="246" t="str">
        <f>IF($T482="", "", VLOOKUP($T482, CONTRATOS!$B:$E, 2, FALSE))</f>
        <v/>
      </c>
      <c r="V482" s="247">
        <f>IF(OR($T482="",TB_DEFESA!$C$2="Criação Baseline"),0,
   IF(VLOOKUP($T482, CONTRATOS!B:E, 3, FALSE)&lt;&gt;"",1,IF(VLOOKUP($T482, CONTRATOS!B:E, 4, FALSE)&lt;&gt;"",2,0)))</f>
        <v>0</v>
      </c>
      <c r="W482" s="248"/>
      <c r="X482" s="248"/>
      <c r="Y482" s="249"/>
      <c r="Z482" s="250"/>
      <c r="AA482" s="251"/>
      <c r="AB482" s="252"/>
      <c r="AC482" s="253"/>
      <c r="AD482" s="251"/>
      <c r="AE482" s="254" t="str">
        <f t="shared" si="325"/>
        <v/>
      </c>
      <c r="AF482" s="256" t="str">
        <f t="shared" si="336"/>
        <v/>
      </c>
      <c r="AG482" s="293" t="s">
        <v>62</v>
      </c>
      <c r="AH482" s="294" t="str">
        <f t="shared" si="337"/>
        <v/>
      </c>
      <c r="AI482" s="294" t="str">
        <f t="shared" si="338"/>
        <v/>
      </c>
      <c r="AJ482" s="295" t="str">
        <f t="shared" si="339"/>
        <v/>
      </c>
      <c r="AK482" s="296" t="str">
        <f t="shared" si="340"/>
        <v/>
      </c>
      <c r="AL482" s="297" t="str">
        <f t="shared" si="341"/>
        <v/>
      </c>
      <c r="AM482" s="294" t="str">
        <f t="shared" si="342"/>
        <v/>
      </c>
      <c r="AN482" s="294" t="str">
        <f t="shared" si="343"/>
        <v/>
      </c>
      <c r="AO482" s="298" t="str">
        <f t="shared" si="344"/>
        <v/>
      </c>
      <c r="AP482" s="299" t="str">
        <f t="shared" si="345"/>
        <v/>
      </c>
      <c r="AQ482" s="299" t="str">
        <f t="shared" si="346"/>
        <v/>
      </c>
      <c r="AR482" s="300" t="str">
        <f t="shared" si="326"/>
        <v/>
      </c>
      <c r="AS482" s="300" t="str">
        <f t="shared" si="327"/>
        <v/>
      </c>
      <c r="AT482" s="294" t="str">
        <f t="shared" si="328"/>
        <v/>
      </c>
      <c r="AU482" s="301" t="str">
        <f>IF(OR($B482="", $AP482= ""),"",IF(VLOOKUP($AP482, CONTRATOS!B:K,3,FALSE)="","",VLOOKUP($AP482, CONTRATOS!B:K, 3,FALSE)))</f>
        <v/>
      </c>
      <c r="AV482" s="301" t="str">
        <f>IF(OR($B482="", $AP482 = ""), "", IF(VLOOKUP($AP482, CONTRATOS!B:K,4,FALSE)="","",VLOOKUP($AP482, CONTRATOS!B:K,4, FALSE)))</f>
        <v/>
      </c>
      <c r="AW482" s="302" t="str">
        <f t="shared" si="329"/>
        <v/>
      </c>
      <c r="AX482" s="301" t="str">
        <f t="shared" si="330"/>
        <v/>
      </c>
      <c r="AY482" s="301" t="str">
        <f t="shared" si="331"/>
        <v/>
      </c>
      <c r="AZ482" s="301" t="str">
        <f t="shared" si="332"/>
        <v/>
      </c>
      <c r="BA482" s="301" t="str">
        <f t="shared" si="333"/>
        <v/>
      </c>
      <c r="BB482" s="303">
        <f t="shared" si="347"/>
        <v>0</v>
      </c>
      <c r="BC482" s="303" t="str">
        <f t="shared" si="348"/>
        <v/>
      </c>
      <c r="BD482" s="303" t="str">
        <f t="shared" si="349"/>
        <v/>
      </c>
      <c r="BF482" s="304">
        <f t="shared" si="350"/>
        <v>0</v>
      </c>
      <c r="BG482" s="304">
        <f t="shared" si="351"/>
        <v>0</v>
      </c>
      <c r="BH482" s="304" t="str">
        <f>IF( $B482="", "", IF(ISNA(VLOOKUP($C482, Defesa!$C$8:$C$30,1,FALSE)),1,0))</f>
        <v/>
      </c>
      <c r="BI482" s="305" t="str">
        <f t="shared" si="352"/>
        <v/>
      </c>
      <c r="BJ482" s="305" t="str">
        <f t="shared" si="353"/>
        <v/>
      </c>
      <c r="BK482" s="304" t="str">
        <f t="shared" si="354"/>
        <v/>
      </c>
      <c r="BL482" s="304">
        <f t="shared" si="355"/>
        <v>0</v>
      </c>
      <c r="BM482" s="304" t="str">
        <f>IF($AC482="", "", IF(ISNA(VLOOKUP($AC482, TABELAS!$Q:$Q, 1, FALSE)), 1, 0))</f>
        <v/>
      </c>
      <c r="BN482" s="306" t="str">
        <f t="shared" si="356"/>
        <v/>
      </c>
      <c r="BO482" s="304" t="str">
        <f t="shared" si="357"/>
        <v/>
      </c>
      <c r="BP482" s="304" t="str">
        <f t="shared" si="358"/>
        <v/>
      </c>
      <c r="BQ482" s="305" t="str">
        <f t="shared" si="359"/>
        <v/>
      </c>
      <c r="BR482" s="304" t="str">
        <f t="shared" si="360"/>
        <v/>
      </c>
      <c r="BS482" s="304" t="str">
        <f t="shared" si="361"/>
        <v/>
      </c>
      <c r="BT482" s="304" t="str">
        <f>IF(OR($B482="", $AH482 = "SIM"), "", IF( ISNA(VLOOKUP($AP482,#REF!, 1, FALSE)), 1, 0))</f>
        <v/>
      </c>
      <c r="BU482" s="304" t="str">
        <f t="shared" si="362"/>
        <v/>
      </c>
      <c r="BV482" s="304" t="str">
        <f>IF( $B482="", "", IF( ISNA(VLOOKUP($AN482, TABELAS!$T$2:$T$9,1,FALSE)), 1, 0))</f>
        <v/>
      </c>
      <c r="BW482" s="304" t="str">
        <f t="shared" si="363"/>
        <v/>
      </c>
      <c r="BX482" s="304" t="str">
        <f>IF( OR($B482="", $AH482 = "SIM"), "", IF( ISNA( VLOOKUP( $AQ482, SISTEMA!$B:$B, 1, FALSE)), 1, 0))</f>
        <v/>
      </c>
      <c r="BY482" s="305" t="str">
        <f t="shared" si="364"/>
        <v/>
      </c>
      <c r="BZ482" s="305" t="str">
        <f t="shared" si="365"/>
        <v/>
      </c>
      <c r="CA482" s="304" t="str">
        <f t="shared" si="366"/>
        <v/>
      </c>
      <c r="CB482" s="305" t="str">
        <f t="shared" si="367"/>
        <v/>
      </c>
      <c r="CC482" s="305" t="str">
        <f t="shared" si="368"/>
        <v/>
      </c>
      <c r="CD482" s="305" t="str">
        <f t="shared" si="369"/>
        <v/>
      </c>
    </row>
    <row r="483" spans="1:82" x14ac:dyDescent="0.2">
      <c r="A483" s="235"/>
      <c r="B483" s="236" t="str">
        <f t="shared" si="334"/>
        <v/>
      </c>
      <c r="C483" s="237" t="str">
        <f t="shared" si="324"/>
        <v/>
      </c>
      <c r="D483" s="237" t="str">
        <f t="shared" si="335"/>
        <v/>
      </c>
      <c r="E483" s="237" t="str">
        <f>IF($C483="", "", COUNTIF($M$8:$M483,$D483))</f>
        <v/>
      </c>
      <c r="F483" s="238">
        <v>476</v>
      </c>
      <c r="G483" s="239"/>
      <c r="H483" s="240"/>
      <c r="I483" s="240"/>
      <c r="J483" s="241"/>
      <c r="K483" s="240"/>
      <c r="L483" s="240"/>
      <c r="M483" s="240"/>
      <c r="N483" s="242"/>
      <c r="O483" s="243"/>
      <c r="P483" s="243"/>
      <c r="Q483" s="243"/>
      <c r="R483" s="243"/>
      <c r="S483" s="243"/>
      <c r="T483" s="245"/>
      <c r="U483" s="246" t="str">
        <f>IF($T483="", "", VLOOKUP($T483, CONTRATOS!$B:$E, 2, FALSE))</f>
        <v/>
      </c>
      <c r="V483" s="247">
        <f>IF(OR($T483="",TB_DEFESA!$C$2="Criação Baseline"),0,
   IF(VLOOKUP($T483, CONTRATOS!B:E, 3, FALSE)&lt;&gt;"",1,IF(VLOOKUP($T483, CONTRATOS!B:E, 4, FALSE)&lt;&gt;"",2,0)))</f>
        <v>0</v>
      </c>
      <c r="W483" s="248"/>
      <c r="X483" s="248"/>
      <c r="Y483" s="249"/>
      <c r="Z483" s="250"/>
      <c r="AA483" s="251"/>
      <c r="AB483" s="252"/>
      <c r="AC483" s="253"/>
      <c r="AD483" s="251"/>
      <c r="AE483" s="254" t="str">
        <f t="shared" si="325"/>
        <v/>
      </c>
      <c r="AF483" s="256" t="str">
        <f t="shared" si="336"/>
        <v/>
      </c>
      <c r="AG483" s="293" t="s">
        <v>62</v>
      </c>
      <c r="AH483" s="294" t="str">
        <f t="shared" si="337"/>
        <v/>
      </c>
      <c r="AI483" s="294" t="str">
        <f t="shared" si="338"/>
        <v/>
      </c>
      <c r="AJ483" s="295" t="str">
        <f t="shared" si="339"/>
        <v/>
      </c>
      <c r="AK483" s="296" t="str">
        <f t="shared" si="340"/>
        <v/>
      </c>
      <c r="AL483" s="297" t="str">
        <f t="shared" si="341"/>
        <v/>
      </c>
      <c r="AM483" s="294" t="str">
        <f t="shared" si="342"/>
        <v/>
      </c>
      <c r="AN483" s="294" t="str">
        <f t="shared" si="343"/>
        <v/>
      </c>
      <c r="AO483" s="298" t="str">
        <f t="shared" si="344"/>
        <v/>
      </c>
      <c r="AP483" s="299" t="str">
        <f t="shared" si="345"/>
        <v/>
      </c>
      <c r="AQ483" s="299" t="str">
        <f t="shared" si="346"/>
        <v/>
      </c>
      <c r="AR483" s="300" t="str">
        <f t="shared" si="326"/>
        <v/>
      </c>
      <c r="AS483" s="300" t="str">
        <f t="shared" si="327"/>
        <v/>
      </c>
      <c r="AT483" s="294" t="str">
        <f t="shared" si="328"/>
        <v/>
      </c>
      <c r="AU483" s="301" t="str">
        <f>IF(OR($B483="", $AP483= ""),"",IF(VLOOKUP($AP483, CONTRATOS!B:K,3,FALSE)="","",VLOOKUP($AP483, CONTRATOS!B:K, 3,FALSE)))</f>
        <v/>
      </c>
      <c r="AV483" s="301" t="str">
        <f>IF(OR($B483="", $AP483 = ""), "", IF(VLOOKUP($AP483, CONTRATOS!B:K,4,FALSE)="","",VLOOKUP($AP483, CONTRATOS!B:K,4, FALSE)))</f>
        <v/>
      </c>
      <c r="AW483" s="302" t="str">
        <f t="shared" si="329"/>
        <v/>
      </c>
      <c r="AX483" s="301" t="str">
        <f t="shared" si="330"/>
        <v/>
      </c>
      <c r="AY483" s="301" t="str">
        <f t="shared" si="331"/>
        <v/>
      </c>
      <c r="AZ483" s="301" t="str">
        <f t="shared" si="332"/>
        <v/>
      </c>
      <c r="BA483" s="301" t="str">
        <f t="shared" si="333"/>
        <v/>
      </c>
      <c r="BB483" s="303">
        <f t="shared" si="347"/>
        <v>0</v>
      </c>
      <c r="BC483" s="303" t="str">
        <f t="shared" si="348"/>
        <v/>
      </c>
      <c r="BD483" s="303" t="str">
        <f t="shared" si="349"/>
        <v/>
      </c>
      <c r="BF483" s="304">
        <f t="shared" si="350"/>
        <v>0</v>
      </c>
      <c r="BG483" s="304">
        <f t="shared" si="351"/>
        <v>0</v>
      </c>
      <c r="BH483" s="304" t="str">
        <f>IF( $B483="", "", IF(ISNA(VLOOKUP($C483, Defesa!$C$8:$C$30,1,FALSE)),1,0))</f>
        <v/>
      </c>
      <c r="BI483" s="305" t="str">
        <f t="shared" si="352"/>
        <v/>
      </c>
      <c r="BJ483" s="305" t="str">
        <f t="shared" si="353"/>
        <v/>
      </c>
      <c r="BK483" s="304" t="str">
        <f t="shared" si="354"/>
        <v/>
      </c>
      <c r="BL483" s="304">
        <f t="shared" si="355"/>
        <v>0</v>
      </c>
      <c r="BM483" s="304" t="str">
        <f>IF($AC483="", "", IF(ISNA(VLOOKUP($AC483, TABELAS!$Q:$Q, 1, FALSE)), 1, 0))</f>
        <v/>
      </c>
      <c r="BN483" s="306" t="str">
        <f t="shared" si="356"/>
        <v/>
      </c>
      <c r="BO483" s="304" t="str">
        <f t="shared" si="357"/>
        <v/>
      </c>
      <c r="BP483" s="304" t="str">
        <f t="shared" si="358"/>
        <v/>
      </c>
      <c r="BQ483" s="305" t="str">
        <f t="shared" si="359"/>
        <v/>
      </c>
      <c r="BR483" s="304" t="str">
        <f t="shared" si="360"/>
        <v/>
      </c>
      <c r="BS483" s="304" t="str">
        <f t="shared" si="361"/>
        <v/>
      </c>
      <c r="BT483" s="304" t="str">
        <f>IF(OR($B483="", $AH483 = "SIM"), "", IF( ISNA(VLOOKUP($AP483,#REF!, 1, FALSE)), 1, 0))</f>
        <v/>
      </c>
      <c r="BU483" s="304" t="str">
        <f t="shared" si="362"/>
        <v/>
      </c>
      <c r="BV483" s="304" t="str">
        <f>IF( $B483="", "", IF( ISNA(VLOOKUP($AN483, TABELAS!$T$2:$T$9,1,FALSE)), 1, 0))</f>
        <v/>
      </c>
      <c r="BW483" s="304" t="str">
        <f t="shared" si="363"/>
        <v/>
      </c>
      <c r="BX483" s="304" t="str">
        <f>IF( OR($B483="", $AH483 = "SIM"), "", IF( ISNA( VLOOKUP( $AQ483, SISTEMA!$B:$B, 1, FALSE)), 1, 0))</f>
        <v/>
      </c>
      <c r="BY483" s="305" t="str">
        <f t="shared" si="364"/>
        <v/>
      </c>
      <c r="BZ483" s="305" t="str">
        <f t="shared" si="365"/>
        <v/>
      </c>
      <c r="CA483" s="304" t="str">
        <f t="shared" si="366"/>
        <v/>
      </c>
      <c r="CB483" s="305" t="str">
        <f t="shared" si="367"/>
        <v/>
      </c>
      <c r="CC483" s="305" t="str">
        <f t="shared" si="368"/>
        <v/>
      </c>
      <c r="CD483" s="305" t="str">
        <f t="shared" si="369"/>
        <v/>
      </c>
    </row>
    <row r="484" spans="1:82" x14ac:dyDescent="0.2">
      <c r="A484" s="235"/>
      <c r="B484" s="236" t="str">
        <f t="shared" si="334"/>
        <v/>
      </c>
      <c r="C484" s="237" t="str">
        <f t="shared" si="324"/>
        <v/>
      </c>
      <c r="D484" s="237" t="str">
        <f t="shared" si="335"/>
        <v/>
      </c>
      <c r="E484" s="237" t="str">
        <f>IF($C484="", "", COUNTIF($M$8:$M484,$D484))</f>
        <v/>
      </c>
      <c r="F484" s="238">
        <v>477</v>
      </c>
      <c r="G484" s="239"/>
      <c r="H484" s="240"/>
      <c r="I484" s="240"/>
      <c r="J484" s="241"/>
      <c r="K484" s="240"/>
      <c r="L484" s="240"/>
      <c r="M484" s="240"/>
      <c r="N484" s="242"/>
      <c r="O484" s="243"/>
      <c r="P484" s="243"/>
      <c r="Q484" s="243"/>
      <c r="R484" s="243"/>
      <c r="S484" s="243"/>
      <c r="T484" s="245"/>
      <c r="U484" s="246" t="str">
        <f>IF($T484="", "", VLOOKUP($T484, CONTRATOS!$B:$E, 2, FALSE))</f>
        <v/>
      </c>
      <c r="V484" s="247">
        <f>IF(OR($T484="",TB_DEFESA!$C$2="Criação Baseline"),0,
   IF(VLOOKUP($T484, CONTRATOS!B:E, 3, FALSE)&lt;&gt;"",1,IF(VLOOKUP($T484, CONTRATOS!B:E, 4, FALSE)&lt;&gt;"",2,0)))</f>
        <v>0</v>
      </c>
      <c r="W484" s="248"/>
      <c r="X484" s="248"/>
      <c r="Y484" s="249"/>
      <c r="Z484" s="250"/>
      <c r="AA484" s="251"/>
      <c r="AB484" s="252"/>
      <c r="AC484" s="253"/>
      <c r="AD484" s="251"/>
      <c r="AE484" s="254" t="str">
        <f t="shared" si="325"/>
        <v/>
      </c>
      <c r="AF484" s="256" t="str">
        <f t="shared" si="336"/>
        <v/>
      </c>
      <c r="AG484" s="293" t="s">
        <v>62</v>
      </c>
      <c r="AH484" s="294" t="str">
        <f t="shared" si="337"/>
        <v/>
      </c>
      <c r="AI484" s="294" t="str">
        <f t="shared" si="338"/>
        <v/>
      </c>
      <c r="AJ484" s="295" t="str">
        <f t="shared" si="339"/>
        <v/>
      </c>
      <c r="AK484" s="296" t="str">
        <f t="shared" si="340"/>
        <v/>
      </c>
      <c r="AL484" s="297" t="str">
        <f t="shared" si="341"/>
        <v/>
      </c>
      <c r="AM484" s="294" t="str">
        <f t="shared" si="342"/>
        <v/>
      </c>
      <c r="AN484" s="294" t="str">
        <f t="shared" si="343"/>
        <v/>
      </c>
      <c r="AO484" s="298" t="str">
        <f t="shared" si="344"/>
        <v/>
      </c>
      <c r="AP484" s="299" t="str">
        <f t="shared" si="345"/>
        <v/>
      </c>
      <c r="AQ484" s="299" t="str">
        <f t="shared" si="346"/>
        <v/>
      </c>
      <c r="AR484" s="300" t="str">
        <f t="shared" si="326"/>
        <v/>
      </c>
      <c r="AS484" s="300" t="str">
        <f t="shared" si="327"/>
        <v/>
      </c>
      <c r="AT484" s="294" t="str">
        <f t="shared" si="328"/>
        <v/>
      </c>
      <c r="AU484" s="301" t="str">
        <f>IF(OR($B484="", $AP484= ""),"",IF(VLOOKUP($AP484, CONTRATOS!B:K,3,FALSE)="","",VLOOKUP($AP484, CONTRATOS!B:K, 3,FALSE)))</f>
        <v/>
      </c>
      <c r="AV484" s="301" t="str">
        <f>IF(OR($B484="", $AP484 = ""), "", IF(VLOOKUP($AP484, CONTRATOS!B:K,4,FALSE)="","",VLOOKUP($AP484, CONTRATOS!B:K,4, FALSE)))</f>
        <v/>
      </c>
      <c r="AW484" s="302" t="str">
        <f t="shared" si="329"/>
        <v/>
      </c>
      <c r="AX484" s="301" t="str">
        <f t="shared" si="330"/>
        <v/>
      </c>
      <c r="AY484" s="301" t="str">
        <f t="shared" si="331"/>
        <v/>
      </c>
      <c r="AZ484" s="301" t="str">
        <f t="shared" si="332"/>
        <v/>
      </c>
      <c r="BA484" s="301" t="str">
        <f t="shared" si="333"/>
        <v/>
      </c>
      <c r="BB484" s="303">
        <f t="shared" si="347"/>
        <v>0</v>
      </c>
      <c r="BC484" s="303" t="str">
        <f t="shared" si="348"/>
        <v/>
      </c>
      <c r="BD484" s="303" t="str">
        <f t="shared" si="349"/>
        <v/>
      </c>
      <c r="BF484" s="304">
        <f t="shared" si="350"/>
        <v>0</v>
      </c>
      <c r="BG484" s="304">
        <f t="shared" si="351"/>
        <v>0</v>
      </c>
      <c r="BH484" s="304" t="str">
        <f>IF( $B484="", "", IF(ISNA(VLOOKUP($C484, Defesa!$C$8:$C$30,1,FALSE)),1,0))</f>
        <v/>
      </c>
      <c r="BI484" s="305" t="str">
        <f t="shared" si="352"/>
        <v/>
      </c>
      <c r="BJ484" s="305" t="str">
        <f t="shared" si="353"/>
        <v/>
      </c>
      <c r="BK484" s="304" t="str">
        <f t="shared" si="354"/>
        <v/>
      </c>
      <c r="BL484" s="304">
        <f t="shared" si="355"/>
        <v>0</v>
      </c>
      <c r="BM484" s="304" t="str">
        <f>IF($AC484="", "", IF(ISNA(VLOOKUP($AC484, TABELAS!$Q:$Q, 1, FALSE)), 1, 0))</f>
        <v/>
      </c>
      <c r="BN484" s="306" t="str">
        <f t="shared" si="356"/>
        <v/>
      </c>
      <c r="BO484" s="304" t="str">
        <f t="shared" si="357"/>
        <v/>
      </c>
      <c r="BP484" s="304" t="str">
        <f t="shared" si="358"/>
        <v/>
      </c>
      <c r="BQ484" s="305" t="str">
        <f t="shared" si="359"/>
        <v/>
      </c>
      <c r="BR484" s="304" t="str">
        <f t="shared" si="360"/>
        <v/>
      </c>
      <c r="BS484" s="304" t="str">
        <f t="shared" si="361"/>
        <v/>
      </c>
      <c r="BT484" s="304" t="str">
        <f>IF(OR($B484="", $AH484 = "SIM"), "", IF( ISNA(VLOOKUP($AP484,#REF!, 1, FALSE)), 1, 0))</f>
        <v/>
      </c>
      <c r="BU484" s="304" t="str">
        <f t="shared" si="362"/>
        <v/>
      </c>
      <c r="BV484" s="304" t="str">
        <f>IF( $B484="", "", IF( ISNA(VLOOKUP($AN484, TABELAS!$T$2:$T$9,1,FALSE)), 1, 0))</f>
        <v/>
      </c>
      <c r="BW484" s="304" t="str">
        <f t="shared" si="363"/>
        <v/>
      </c>
      <c r="BX484" s="304" t="str">
        <f>IF( OR($B484="", $AH484 = "SIM"), "", IF( ISNA( VLOOKUP( $AQ484, SISTEMA!$B:$B, 1, FALSE)), 1, 0))</f>
        <v/>
      </c>
      <c r="BY484" s="305" t="str">
        <f t="shared" si="364"/>
        <v/>
      </c>
      <c r="BZ484" s="305" t="str">
        <f t="shared" si="365"/>
        <v/>
      </c>
      <c r="CA484" s="304" t="str">
        <f t="shared" si="366"/>
        <v/>
      </c>
      <c r="CB484" s="305" t="str">
        <f t="shared" si="367"/>
        <v/>
      </c>
      <c r="CC484" s="305" t="str">
        <f t="shared" si="368"/>
        <v/>
      </c>
      <c r="CD484" s="305" t="str">
        <f t="shared" si="369"/>
        <v/>
      </c>
    </row>
    <row r="485" spans="1:82" x14ac:dyDescent="0.2">
      <c r="A485" s="235"/>
      <c r="B485" s="236" t="str">
        <f t="shared" si="334"/>
        <v/>
      </c>
      <c r="C485" s="237" t="str">
        <f t="shared" si="324"/>
        <v/>
      </c>
      <c r="D485" s="237" t="str">
        <f t="shared" si="335"/>
        <v/>
      </c>
      <c r="E485" s="237" t="str">
        <f>IF($C485="", "", COUNTIF($M$8:$M485,$D485))</f>
        <v/>
      </c>
      <c r="F485" s="238">
        <v>478</v>
      </c>
      <c r="G485" s="239"/>
      <c r="H485" s="240"/>
      <c r="I485" s="240"/>
      <c r="J485" s="241"/>
      <c r="K485" s="240"/>
      <c r="L485" s="240"/>
      <c r="M485" s="240"/>
      <c r="N485" s="242"/>
      <c r="O485" s="243"/>
      <c r="P485" s="243"/>
      <c r="Q485" s="243"/>
      <c r="R485" s="243"/>
      <c r="S485" s="243"/>
      <c r="T485" s="245"/>
      <c r="U485" s="246" t="str">
        <f>IF($T485="", "", VLOOKUP($T485, CONTRATOS!$B:$E, 2, FALSE))</f>
        <v/>
      </c>
      <c r="V485" s="247">
        <f>IF(OR($T485="",TB_DEFESA!$C$2="Criação Baseline"),0,
   IF(VLOOKUP($T485, CONTRATOS!B:E, 3, FALSE)&lt;&gt;"",1,IF(VLOOKUP($T485, CONTRATOS!B:E, 4, FALSE)&lt;&gt;"",2,0)))</f>
        <v>0</v>
      </c>
      <c r="W485" s="248"/>
      <c r="X485" s="248"/>
      <c r="Y485" s="249"/>
      <c r="Z485" s="250"/>
      <c r="AA485" s="251"/>
      <c r="AB485" s="252"/>
      <c r="AC485" s="253"/>
      <c r="AD485" s="251"/>
      <c r="AE485" s="254" t="str">
        <f t="shared" si="325"/>
        <v/>
      </c>
      <c r="AF485" s="256" t="str">
        <f t="shared" si="336"/>
        <v/>
      </c>
      <c r="AG485" s="293" t="s">
        <v>62</v>
      </c>
      <c r="AH485" s="294" t="str">
        <f t="shared" si="337"/>
        <v/>
      </c>
      <c r="AI485" s="294" t="str">
        <f t="shared" si="338"/>
        <v/>
      </c>
      <c r="AJ485" s="295" t="str">
        <f t="shared" si="339"/>
        <v/>
      </c>
      <c r="AK485" s="296" t="str">
        <f t="shared" si="340"/>
        <v/>
      </c>
      <c r="AL485" s="297" t="str">
        <f t="shared" si="341"/>
        <v/>
      </c>
      <c r="AM485" s="294" t="str">
        <f t="shared" si="342"/>
        <v/>
      </c>
      <c r="AN485" s="294" t="str">
        <f t="shared" si="343"/>
        <v/>
      </c>
      <c r="AO485" s="298" t="str">
        <f t="shared" si="344"/>
        <v/>
      </c>
      <c r="AP485" s="299" t="str">
        <f t="shared" si="345"/>
        <v/>
      </c>
      <c r="AQ485" s="299" t="str">
        <f t="shared" si="346"/>
        <v/>
      </c>
      <c r="AR485" s="300" t="str">
        <f t="shared" si="326"/>
        <v/>
      </c>
      <c r="AS485" s="300" t="str">
        <f t="shared" si="327"/>
        <v/>
      </c>
      <c r="AT485" s="294" t="str">
        <f t="shared" si="328"/>
        <v/>
      </c>
      <c r="AU485" s="301" t="str">
        <f>IF(OR($B485="", $AP485= ""),"",IF(VLOOKUP($AP485, CONTRATOS!B:K,3,FALSE)="","",VLOOKUP($AP485, CONTRATOS!B:K, 3,FALSE)))</f>
        <v/>
      </c>
      <c r="AV485" s="301" t="str">
        <f>IF(OR($B485="", $AP485 = ""), "", IF(VLOOKUP($AP485, CONTRATOS!B:K,4,FALSE)="","",VLOOKUP($AP485, CONTRATOS!B:K,4, FALSE)))</f>
        <v/>
      </c>
      <c r="AW485" s="302" t="str">
        <f t="shared" si="329"/>
        <v/>
      </c>
      <c r="AX485" s="301" t="str">
        <f t="shared" si="330"/>
        <v/>
      </c>
      <c r="AY485" s="301" t="str">
        <f t="shared" si="331"/>
        <v/>
      </c>
      <c r="AZ485" s="301" t="str">
        <f t="shared" si="332"/>
        <v/>
      </c>
      <c r="BA485" s="301" t="str">
        <f t="shared" si="333"/>
        <v/>
      </c>
      <c r="BB485" s="303">
        <f t="shared" si="347"/>
        <v>0</v>
      </c>
      <c r="BC485" s="303" t="str">
        <f t="shared" si="348"/>
        <v/>
      </c>
      <c r="BD485" s="303" t="str">
        <f t="shared" si="349"/>
        <v/>
      </c>
      <c r="BF485" s="304">
        <f t="shared" si="350"/>
        <v>0</v>
      </c>
      <c r="BG485" s="304">
        <f t="shared" si="351"/>
        <v>0</v>
      </c>
      <c r="BH485" s="304" t="str">
        <f>IF( $B485="", "", IF(ISNA(VLOOKUP($C485, Defesa!$C$8:$C$30,1,FALSE)),1,0))</f>
        <v/>
      </c>
      <c r="BI485" s="305" t="str">
        <f t="shared" si="352"/>
        <v/>
      </c>
      <c r="BJ485" s="305" t="str">
        <f t="shared" si="353"/>
        <v/>
      </c>
      <c r="BK485" s="304" t="str">
        <f t="shared" si="354"/>
        <v/>
      </c>
      <c r="BL485" s="304">
        <f t="shared" si="355"/>
        <v>0</v>
      </c>
      <c r="BM485" s="304" t="str">
        <f>IF($AC485="", "", IF(ISNA(VLOOKUP($AC485, TABELAS!$Q:$Q, 1, FALSE)), 1, 0))</f>
        <v/>
      </c>
      <c r="BN485" s="306" t="str">
        <f t="shared" si="356"/>
        <v/>
      </c>
      <c r="BO485" s="304" t="str">
        <f t="shared" si="357"/>
        <v/>
      </c>
      <c r="BP485" s="304" t="str">
        <f t="shared" si="358"/>
        <v/>
      </c>
      <c r="BQ485" s="305" t="str">
        <f t="shared" si="359"/>
        <v/>
      </c>
      <c r="BR485" s="304" t="str">
        <f t="shared" si="360"/>
        <v/>
      </c>
      <c r="BS485" s="304" t="str">
        <f t="shared" si="361"/>
        <v/>
      </c>
      <c r="BT485" s="304" t="str">
        <f>IF(OR($B485="", $AH485 = "SIM"), "", IF( ISNA(VLOOKUP($AP485,#REF!, 1, FALSE)), 1, 0))</f>
        <v/>
      </c>
      <c r="BU485" s="304" t="str">
        <f t="shared" si="362"/>
        <v/>
      </c>
      <c r="BV485" s="304" t="str">
        <f>IF( $B485="", "", IF( ISNA(VLOOKUP($AN485, TABELAS!$T$2:$T$9,1,FALSE)), 1, 0))</f>
        <v/>
      </c>
      <c r="BW485" s="304" t="str">
        <f t="shared" si="363"/>
        <v/>
      </c>
      <c r="BX485" s="304" t="str">
        <f>IF( OR($B485="", $AH485 = "SIM"), "", IF( ISNA( VLOOKUP( $AQ485, SISTEMA!$B:$B, 1, FALSE)), 1, 0))</f>
        <v/>
      </c>
      <c r="BY485" s="305" t="str">
        <f t="shared" si="364"/>
        <v/>
      </c>
      <c r="BZ485" s="305" t="str">
        <f t="shared" si="365"/>
        <v/>
      </c>
      <c r="CA485" s="304" t="str">
        <f t="shared" si="366"/>
        <v/>
      </c>
      <c r="CB485" s="305" t="str">
        <f t="shared" si="367"/>
        <v/>
      </c>
      <c r="CC485" s="305" t="str">
        <f t="shared" si="368"/>
        <v/>
      </c>
      <c r="CD485" s="305" t="str">
        <f t="shared" si="369"/>
        <v/>
      </c>
    </row>
    <row r="486" spans="1:82" x14ac:dyDescent="0.2">
      <c r="A486" s="235"/>
      <c r="B486" s="236" t="str">
        <f t="shared" si="334"/>
        <v/>
      </c>
      <c r="C486" s="237" t="str">
        <f t="shared" si="324"/>
        <v/>
      </c>
      <c r="D486" s="237" t="str">
        <f t="shared" si="335"/>
        <v/>
      </c>
      <c r="E486" s="237" t="str">
        <f>IF($C486="", "", COUNTIF($M$8:$M486,$D486))</f>
        <v/>
      </c>
      <c r="F486" s="238">
        <v>479</v>
      </c>
      <c r="G486" s="239"/>
      <c r="H486" s="240"/>
      <c r="I486" s="240"/>
      <c r="J486" s="241"/>
      <c r="K486" s="240"/>
      <c r="L486" s="240"/>
      <c r="M486" s="240"/>
      <c r="N486" s="242"/>
      <c r="O486" s="243"/>
      <c r="P486" s="243"/>
      <c r="Q486" s="243"/>
      <c r="R486" s="243"/>
      <c r="S486" s="243"/>
      <c r="T486" s="245"/>
      <c r="U486" s="246" t="str">
        <f>IF($T486="", "", VLOOKUP($T486, CONTRATOS!$B:$E, 2, FALSE))</f>
        <v/>
      </c>
      <c r="V486" s="247">
        <f>IF(OR($T486="",TB_DEFESA!$C$2="Criação Baseline"),0,
   IF(VLOOKUP($T486, CONTRATOS!B:E, 3, FALSE)&lt;&gt;"",1,IF(VLOOKUP($T486, CONTRATOS!B:E, 4, FALSE)&lt;&gt;"",2,0)))</f>
        <v>0</v>
      </c>
      <c r="W486" s="248"/>
      <c r="X486" s="248"/>
      <c r="Y486" s="249"/>
      <c r="Z486" s="250"/>
      <c r="AA486" s="251"/>
      <c r="AB486" s="252"/>
      <c r="AC486" s="253"/>
      <c r="AD486" s="251"/>
      <c r="AE486" s="254" t="str">
        <f t="shared" si="325"/>
        <v/>
      </c>
      <c r="AF486" s="256" t="str">
        <f t="shared" si="336"/>
        <v/>
      </c>
      <c r="AG486" s="293" t="s">
        <v>62</v>
      </c>
      <c r="AH486" s="294" t="str">
        <f t="shared" si="337"/>
        <v/>
      </c>
      <c r="AI486" s="294" t="str">
        <f t="shared" si="338"/>
        <v/>
      </c>
      <c r="AJ486" s="295" t="str">
        <f t="shared" si="339"/>
        <v/>
      </c>
      <c r="AK486" s="296" t="str">
        <f t="shared" si="340"/>
        <v/>
      </c>
      <c r="AL486" s="297" t="str">
        <f t="shared" si="341"/>
        <v/>
      </c>
      <c r="AM486" s="294" t="str">
        <f t="shared" si="342"/>
        <v/>
      </c>
      <c r="AN486" s="294" t="str">
        <f t="shared" si="343"/>
        <v/>
      </c>
      <c r="AO486" s="298" t="str">
        <f t="shared" si="344"/>
        <v/>
      </c>
      <c r="AP486" s="299" t="str">
        <f t="shared" si="345"/>
        <v/>
      </c>
      <c r="AQ486" s="299" t="str">
        <f t="shared" si="346"/>
        <v/>
      </c>
      <c r="AR486" s="300" t="str">
        <f t="shared" si="326"/>
        <v/>
      </c>
      <c r="AS486" s="300" t="str">
        <f t="shared" si="327"/>
        <v/>
      </c>
      <c r="AT486" s="294" t="str">
        <f t="shared" si="328"/>
        <v/>
      </c>
      <c r="AU486" s="301" t="str">
        <f>IF(OR($B486="", $AP486= ""),"",IF(VLOOKUP($AP486, CONTRATOS!B:K,3,FALSE)="","",VLOOKUP($AP486, CONTRATOS!B:K, 3,FALSE)))</f>
        <v/>
      </c>
      <c r="AV486" s="301" t="str">
        <f>IF(OR($B486="", $AP486 = ""), "", IF(VLOOKUP($AP486, CONTRATOS!B:K,4,FALSE)="","",VLOOKUP($AP486, CONTRATOS!B:K,4, FALSE)))</f>
        <v/>
      </c>
      <c r="AW486" s="302" t="str">
        <f t="shared" si="329"/>
        <v/>
      </c>
      <c r="AX486" s="301" t="str">
        <f t="shared" si="330"/>
        <v/>
      </c>
      <c r="AY486" s="301" t="str">
        <f t="shared" si="331"/>
        <v/>
      </c>
      <c r="AZ486" s="301" t="str">
        <f t="shared" si="332"/>
        <v/>
      </c>
      <c r="BA486" s="301" t="str">
        <f t="shared" si="333"/>
        <v/>
      </c>
      <c r="BB486" s="303">
        <f t="shared" si="347"/>
        <v>0</v>
      </c>
      <c r="BC486" s="303" t="str">
        <f t="shared" si="348"/>
        <v/>
      </c>
      <c r="BD486" s="303" t="str">
        <f t="shared" si="349"/>
        <v/>
      </c>
      <c r="BF486" s="304">
        <f t="shared" si="350"/>
        <v>0</v>
      </c>
      <c r="BG486" s="304">
        <f t="shared" si="351"/>
        <v>0</v>
      </c>
      <c r="BH486" s="304" t="str">
        <f>IF( $B486="", "", IF(ISNA(VLOOKUP($C486, Defesa!$C$8:$C$30,1,FALSE)),1,0))</f>
        <v/>
      </c>
      <c r="BI486" s="305" t="str">
        <f t="shared" si="352"/>
        <v/>
      </c>
      <c r="BJ486" s="305" t="str">
        <f t="shared" si="353"/>
        <v/>
      </c>
      <c r="BK486" s="304" t="str">
        <f t="shared" si="354"/>
        <v/>
      </c>
      <c r="BL486" s="304">
        <f t="shared" si="355"/>
        <v>0</v>
      </c>
      <c r="BM486" s="304" t="str">
        <f>IF($AC486="", "", IF(ISNA(VLOOKUP($AC486, TABELAS!$Q:$Q, 1, FALSE)), 1, 0))</f>
        <v/>
      </c>
      <c r="BN486" s="306" t="str">
        <f t="shared" si="356"/>
        <v/>
      </c>
      <c r="BO486" s="304" t="str">
        <f t="shared" si="357"/>
        <v/>
      </c>
      <c r="BP486" s="304" t="str">
        <f t="shared" si="358"/>
        <v/>
      </c>
      <c r="BQ486" s="305" t="str">
        <f t="shared" si="359"/>
        <v/>
      </c>
      <c r="BR486" s="304" t="str">
        <f t="shared" si="360"/>
        <v/>
      </c>
      <c r="BS486" s="304" t="str">
        <f t="shared" si="361"/>
        <v/>
      </c>
      <c r="BT486" s="304" t="str">
        <f>IF(OR($B486="", $AH486 = "SIM"), "", IF( ISNA(VLOOKUP($AP486,#REF!, 1, FALSE)), 1, 0))</f>
        <v/>
      </c>
      <c r="BU486" s="304" t="str">
        <f t="shared" si="362"/>
        <v/>
      </c>
      <c r="BV486" s="304" t="str">
        <f>IF( $B486="", "", IF( ISNA(VLOOKUP($AN486, TABELAS!$T$2:$T$9,1,FALSE)), 1, 0))</f>
        <v/>
      </c>
      <c r="BW486" s="304" t="str">
        <f t="shared" si="363"/>
        <v/>
      </c>
      <c r="BX486" s="304" t="str">
        <f>IF( OR($B486="", $AH486 = "SIM"), "", IF( ISNA( VLOOKUP( $AQ486, SISTEMA!$B:$B, 1, FALSE)), 1, 0))</f>
        <v/>
      </c>
      <c r="BY486" s="305" t="str">
        <f t="shared" si="364"/>
        <v/>
      </c>
      <c r="BZ486" s="305" t="str">
        <f t="shared" si="365"/>
        <v/>
      </c>
      <c r="CA486" s="304" t="str">
        <f t="shared" si="366"/>
        <v/>
      </c>
      <c r="CB486" s="305" t="str">
        <f t="shared" si="367"/>
        <v/>
      </c>
      <c r="CC486" s="305" t="str">
        <f t="shared" si="368"/>
        <v/>
      </c>
      <c r="CD486" s="305" t="str">
        <f t="shared" si="369"/>
        <v/>
      </c>
    </row>
    <row r="487" spans="1:82" x14ac:dyDescent="0.2">
      <c r="A487" s="235"/>
      <c r="B487" s="236" t="str">
        <f t="shared" si="334"/>
        <v/>
      </c>
      <c r="C487" s="237" t="str">
        <f t="shared" si="324"/>
        <v/>
      </c>
      <c r="D487" s="237" t="str">
        <f t="shared" si="335"/>
        <v/>
      </c>
      <c r="E487" s="237" t="str">
        <f>IF($C487="", "", COUNTIF($M$8:$M487,$D487))</f>
        <v/>
      </c>
      <c r="F487" s="238">
        <v>480</v>
      </c>
      <c r="G487" s="239"/>
      <c r="H487" s="240"/>
      <c r="I487" s="240"/>
      <c r="J487" s="241"/>
      <c r="K487" s="240"/>
      <c r="L487" s="240"/>
      <c r="M487" s="240"/>
      <c r="N487" s="242"/>
      <c r="O487" s="243"/>
      <c r="P487" s="243"/>
      <c r="Q487" s="243"/>
      <c r="R487" s="243"/>
      <c r="S487" s="243"/>
      <c r="T487" s="245"/>
      <c r="U487" s="246" t="str">
        <f>IF($T487="", "", VLOOKUP($T487, CONTRATOS!$B:$E, 2, FALSE))</f>
        <v/>
      </c>
      <c r="V487" s="247">
        <f>IF(OR($T487="",TB_DEFESA!$C$2="Criação Baseline"),0,
   IF(VLOOKUP($T487, CONTRATOS!B:E, 3, FALSE)&lt;&gt;"",1,IF(VLOOKUP($T487, CONTRATOS!B:E, 4, FALSE)&lt;&gt;"",2,0)))</f>
        <v>0</v>
      </c>
      <c r="W487" s="248"/>
      <c r="X487" s="248"/>
      <c r="Y487" s="249"/>
      <c r="Z487" s="250"/>
      <c r="AA487" s="251"/>
      <c r="AB487" s="252"/>
      <c r="AC487" s="253"/>
      <c r="AD487" s="251"/>
      <c r="AE487" s="254" t="str">
        <f t="shared" si="325"/>
        <v/>
      </c>
      <c r="AF487" s="256" t="str">
        <f t="shared" si="336"/>
        <v/>
      </c>
      <c r="AG487" s="293" t="s">
        <v>62</v>
      </c>
      <c r="AH487" s="294" t="str">
        <f t="shared" si="337"/>
        <v/>
      </c>
      <c r="AI487" s="294" t="str">
        <f t="shared" si="338"/>
        <v/>
      </c>
      <c r="AJ487" s="295" t="str">
        <f t="shared" si="339"/>
        <v/>
      </c>
      <c r="AK487" s="296" t="str">
        <f t="shared" si="340"/>
        <v/>
      </c>
      <c r="AL487" s="297" t="str">
        <f t="shared" si="341"/>
        <v/>
      </c>
      <c r="AM487" s="294" t="str">
        <f t="shared" si="342"/>
        <v/>
      </c>
      <c r="AN487" s="294" t="str">
        <f t="shared" si="343"/>
        <v/>
      </c>
      <c r="AO487" s="298" t="str">
        <f t="shared" si="344"/>
        <v/>
      </c>
      <c r="AP487" s="299" t="str">
        <f t="shared" si="345"/>
        <v/>
      </c>
      <c r="AQ487" s="299" t="str">
        <f t="shared" si="346"/>
        <v/>
      </c>
      <c r="AR487" s="300" t="str">
        <f t="shared" si="326"/>
        <v/>
      </c>
      <c r="AS487" s="300" t="str">
        <f t="shared" si="327"/>
        <v/>
      </c>
      <c r="AT487" s="294" t="str">
        <f t="shared" si="328"/>
        <v/>
      </c>
      <c r="AU487" s="301" t="str">
        <f>IF(OR($B487="", $AP487= ""),"",IF(VLOOKUP($AP487, CONTRATOS!B:K,3,FALSE)="","",VLOOKUP($AP487, CONTRATOS!B:K, 3,FALSE)))</f>
        <v/>
      </c>
      <c r="AV487" s="301" t="str">
        <f>IF(OR($B487="", $AP487 = ""), "", IF(VLOOKUP($AP487, CONTRATOS!B:K,4,FALSE)="","",VLOOKUP($AP487, CONTRATOS!B:K,4, FALSE)))</f>
        <v/>
      </c>
      <c r="AW487" s="302" t="str">
        <f t="shared" si="329"/>
        <v/>
      </c>
      <c r="AX487" s="301" t="str">
        <f t="shared" si="330"/>
        <v/>
      </c>
      <c r="AY487" s="301" t="str">
        <f t="shared" si="331"/>
        <v/>
      </c>
      <c r="AZ487" s="301" t="str">
        <f t="shared" si="332"/>
        <v/>
      </c>
      <c r="BA487" s="301" t="str">
        <f t="shared" si="333"/>
        <v/>
      </c>
      <c r="BB487" s="303">
        <f t="shared" si="347"/>
        <v>0</v>
      </c>
      <c r="BC487" s="303" t="str">
        <f t="shared" si="348"/>
        <v/>
      </c>
      <c r="BD487" s="303" t="str">
        <f t="shared" si="349"/>
        <v/>
      </c>
      <c r="BF487" s="304">
        <f t="shared" si="350"/>
        <v>0</v>
      </c>
      <c r="BG487" s="304">
        <f t="shared" si="351"/>
        <v>0</v>
      </c>
      <c r="BH487" s="304" t="str">
        <f>IF( $B487="", "", IF(ISNA(VLOOKUP($C487, Defesa!$C$8:$C$30,1,FALSE)),1,0))</f>
        <v/>
      </c>
      <c r="BI487" s="305" t="str">
        <f t="shared" si="352"/>
        <v/>
      </c>
      <c r="BJ487" s="305" t="str">
        <f t="shared" si="353"/>
        <v/>
      </c>
      <c r="BK487" s="304" t="str">
        <f t="shared" si="354"/>
        <v/>
      </c>
      <c r="BL487" s="304">
        <f t="shared" si="355"/>
        <v>0</v>
      </c>
      <c r="BM487" s="304" t="str">
        <f>IF($AC487="", "", IF(ISNA(VLOOKUP($AC487, TABELAS!$Q:$Q, 1, FALSE)), 1, 0))</f>
        <v/>
      </c>
      <c r="BN487" s="306" t="str">
        <f t="shared" si="356"/>
        <v/>
      </c>
      <c r="BO487" s="304" t="str">
        <f t="shared" si="357"/>
        <v/>
      </c>
      <c r="BP487" s="304" t="str">
        <f t="shared" si="358"/>
        <v/>
      </c>
      <c r="BQ487" s="305" t="str">
        <f t="shared" si="359"/>
        <v/>
      </c>
      <c r="BR487" s="304" t="str">
        <f t="shared" si="360"/>
        <v/>
      </c>
      <c r="BS487" s="304" t="str">
        <f t="shared" si="361"/>
        <v/>
      </c>
      <c r="BT487" s="304" t="str">
        <f>IF(OR($B487="", $AH487 = "SIM"), "", IF( ISNA(VLOOKUP($AP487,#REF!, 1, FALSE)), 1, 0))</f>
        <v/>
      </c>
      <c r="BU487" s="304" t="str">
        <f t="shared" si="362"/>
        <v/>
      </c>
      <c r="BV487" s="304" t="str">
        <f>IF( $B487="", "", IF( ISNA(VLOOKUP($AN487, TABELAS!$T$2:$T$9,1,FALSE)), 1, 0))</f>
        <v/>
      </c>
      <c r="BW487" s="304" t="str">
        <f t="shared" si="363"/>
        <v/>
      </c>
      <c r="BX487" s="304" t="str">
        <f>IF( OR($B487="", $AH487 = "SIM"), "", IF( ISNA( VLOOKUP( $AQ487, SISTEMA!$B:$B, 1, FALSE)), 1, 0))</f>
        <v/>
      </c>
      <c r="BY487" s="305" t="str">
        <f t="shared" si="364"/>
        <v/>
      </c>
      <c r="BZ487" s="305" t="str">
        <f t="shared" si="365"/>
        <v/>
      </c>
      <c r="CA487" s="304" t="str">
        <f t="shared" si="366"/>
        <v/>
      </c>
      <c r="CB487" s="305" t="str">
        <f t="shared" si="367"/>
        <v/>
      </c>
      <c r="CC487" s="305" t="str">
        <f t="shared" si="368"/>
        <v/>
      </c>
      <c r="CD487" s="305" t="str">
        <f t="shared" si="369"/>
        <v/>
      </c>
    </row>
    <row r="488" spans="1:82" x14ac:dyDescent="0.2">
      <c r="A488" s="235"/>
      <c r="B488" s="236" t="str">
        <f t="shared" si="334"/>
        <v/>
      </c>
      <c r="C488" s="237" t="str">
        <f t="shared" si="324"/>
        <v/>
      </c>
      <c r="D488" s="237" t="str">
        <f t="shared" si="335"/>
        <v/>
      </c>
      <c r="E488" s="237" t="str">
        <f>IF($C488="", "", COUNTIF($M$8:$M488,$D488))</f>
        <v/>
      </c>
      <c r="F488" s="238">
        <v>481</v>
      </c>
      <c r="G488" s="239"/>
      <c r="H488" s="240"/>
      <c r="I488" s="240"/>
      <c r="J488" s="241"/>
      <c r="K488" s="240"/>
      <c r="L488" s="240"/>
      <c r="M488" s="240"/>
      <c r="N488" s="242"/>
      <c r="O488" s="243"/>
      <c r="P488" s="243"/>
      <c r="Q488" s="243"/>
      <c r="R488" s="243"/>
      <c r="S488" s="243"/>
      <c r="T488" s="245"/>
      <c r="U488" s="246" t="str">
        <f>IF($T488="", "", VLOOKUP($T488, CONTRATOS!$B:$E, 2, FALSE))</f>
        <v/>
      </c>
      <c r="V488" s="247">
        <f>IF(OR($T488="",TB_DEFESA!$C$2="Criação Baseline"),0,
   IF(VLOOKUP($T488, CONTRATOS!B:E, 3, FALSE)&lt;&gt;"",1,IF(VLOOKUP($T488, CONTRATOS!B:E, 4, FALSE)&lt;&gt;"",2,0)))</f>
        <v>0</v>
      </c>
      <c r="W488" s="248"/>
      <c r="X488" s="248"/>
      <c r="Y488" s="249"/>
      <c r="Z488" s="250"/>
      <c r="AA488" s="251"/>
      <c r="AB488" s="252"/>
      <c r="AC488" s="253"/>
      <c r="AD488" s="251"/>
      <c r="AE488" s="254" t="str">
        <f t="shared" si="325"/>
        <v/>
      </c>
      <c r="AF488" s="256" t="str">
        <f t="shared" si="336"/>
        <v/>
      </c>
      <c r="AG488" s="293" t="s">
        <v>62</v>
      </c>
      <c r="AH488" s="294" t="str">
        <f t="shared" si="337"/>
        <v/>
      </c>
      <c r="AI488" s="294" t="str">
        <f t="shared" si="338"/>
        <v/>
      </c>
      <c r="AJ488" s="295" t="str">
        <f t="shared" si="339"/>
        <v/>
      </c>
      <c r="AK488" s="296" t="str">
        <f t="shared" si="340"/>
        <v/>
      </c>
      <c r="AL488" s="297" t="str">
        <f t="shared" si="341"/>
        <v/>
      </c>
      <c r="AM488" s="294" t="str">
        <f t="shared" si="342"/>
        <v/>
      </c>
      <c r="AN488" s="294" t="str">
        <f t="shared" si="343"/>
        <v/>
      </c>
      <c r="AO488" s="298" t="str">
        <f t="shared" si="344"/>
        <v/>
      </c>
      <c r="AP488" s="299" t="str">
        <f t="shared" si="345"/>
        <v/>
      </c>
      <c r="AQ488" s="299" t="str">
        <f t="shared" si="346"/>
        <v/>
      </c>
      <c r="AR488" s="300" t="str">
        <f t="shared" si="326"/>
        <v/>
      </c>
      <c r="AS488" s="300" t="str">
        <f t="shared" si="327"/>
        <v/>
      </c>
      <c r="AT488" s="294" t="str">
        <f t="shared" si="328"/>
        <v/>
      </c>
      <c r="AU488" s="301" t="str">
        <f>IF(OR($B488="", $AP488= ""),"",IF(VLOOKUP($AP488, CONTRATOS!B:K,3,FALSE)="","",VLOOKUP($AP488, CONTRATOS!B:K, 3,FALSE)))</f>
        <v/>
      </c>
      <c r="AV488" s="301" t="str">
        <f>IF(OR($B488="", $AP488 = ""), "", IF(VLOOKUP($AP488, CONTRATOS!B:K,4,FALSE)="","",VLOOKUP($AP488, CONTRATOS!B:K,4, FALSE)))</f>
        <v/>
      </c>
      <c r="AW488" s="302" t="str">
        <f t="shared" si="329"/>
        <v/>
      </c>
      <c r="AX488" s="301" t="str">
        <f t="shared" si="330"/>
        <v/>
      </c>
      <c r="AY488" s="301" t="str">
        <f t="shared" si="331"/>
        <v/>
      </c>
      <c r="AZ488" s="301" t="str">
        <f t="shared" si="332"/>
        <v/>
      </c>
      <c r="BA488" s="301" t="str">
        <f t="shared" si="333"/>
        <v/>
      </c>
      <c r="BB488" s="303">
        <f t="shared" si="347"/>
        <v>0</v>
      </c>
      <c r="BC488" s="303" t="str">
        <f t="shared" si="348"/>
        <v/>
      </c>
      <c r="BD488" s="303" t="str">
        <f t="shared" si="349"/>
        <v/>
      </c>
      <c r="BF488" s="304">
        <f t="shared" si="350"/>
        <v>0</v>
      </c>
      <c r="BG488" s="304">
        <f t="shared" si="351"/>
        <v>0</v>
      </c>
      <c r="BH488" s="304" t="str">
        <f>IF( $B488="", "", IF(ISNA(VLOOKUP($C488, Defesa!$C$8:$C$30,1,FALSE)),1,0))</f>
        <v/>
      </c>
      <c r="BI488" s="305" t="str">
        <f t="shared" si="352"/>
        <v/>
      </c>
      <c r="BJ488" s="305" t="str">
        <f t="shared" si="353"/>
        <v/>
      </c>
      <c r="BK488" s="304" t="str">
        <f t="shared" si="354"/>
        <v/>
      </c>
      <c r="BL488" s="304">
        <f t="shared" si="355"/>
        <v>0</v>
      </c>
      <c r="BM488" s="304" t="str">
        <f>IF($AC488="", "", IF(ISNA(VLOOKUP($AC488, TABELAS!$Q:$Q, 1, FALSE)), 1, 0))</f>
        <v/>
      </c>
      <c r="BN488" s="306" t="str">
        <f t="shared" si="356"/>
        <v/>
      </c>
      <c r="BO488" s="304" t="str">
        <f t="shared" si="357"/>
        <v/>
      </c>
      <c r="BP488" s="304" t="str">
        <f t="shared" si="358"/>
        <v/>
      </c>
      <c r="BQ488" s="305" t="str">
        <f t="shared" si="359"/>
        <v/>
      </c>
      <c r="BR488" s="304" t="str">
        <f t="shared" si="360"/>
        <v/>
      </c>
      <c r="BS488" s="304" t="str">
        <f t="shared" si="361"/>
        <v/>
      </c>
      <c r="BT488" s="304" t="str">
        <f>IF(OR($B488="", $AH488 = "SIM"), "", IF( ISNA(VLOOKUP($AP488,#REF!, 1, FALSE)), 1, 0))</f>
        <v/>
      </c>
      <c r="BU488" s="304" t="str">
        <f t="shared" si="362"/>
        <v/>
      </c>
      <c r="BV488" s="304" t="str">
        <f>IF( $B488="", "", IF( ISNA(VLOOKUP($AN488, TABELAS!$T$2:$T$9,1,FALSE)), 1, 0))</f>
        <v/>
      </c>
      <c r="BW488" s="304" t="str">
        <f t="shared" si="363"/>
        <v/>
      </c>
      <c r="BX488" s="304" t="str">
        <f>IF( OR($B488="", $AH488 = "SIM"), "", IF( ISNA( VLOOKUP( $AQ488, SISTEMA!$B:$B, 1, FALSE)), 1, 0))</f>
        <v/>
      </c>
      <c r="BY488" s="305" t="str">
        <f t="shared" si="364"/>
        <v/>
      </c>
      <c r="BZ488" s="305" t="str">
        <f t="shared" si="365"/>
        <v/>
      </c>
      <c r="CA488" s="304" t="str">
        <f t="shared" si="366"/>
        <v/>
      </c>
      <c r="CB488" s="305" t="str">
        <f t="shared" si="367"/>
        <v/>
      </c>
      <c r="CC488" s="305" t="str">
        <f t="shared" si="368"/>
        <v/>
      </c>
      <c r="CD488" s="305" t="str">
        <f t="shared" si="369"/>
        <v/>
      </c>
    </row>
    <row r="489" spans="1:82" x14ac:dyDescent="0.2">
      <c r="A489" s="235"/>
      <c r="B489" s="236" t="str">
        <f t="shared" si="334"/>
        <v/>
      </c>
      <c r="C489" s="237" t="str">
        <f t="shared" si="324"/>
        <v/>
      </c>
      <c r="D489" s="237" t="str">
        <f t="shared" si="335"/>
        <v/>
      </c>
      <c r="E489" s="237" t="str">
        <f>IF($C489="", "", COUNTIF($M$8:$M489,$D489))</f>
        <v/>
      </c>
      <c r="F489" s="238">
        <v>482</v>
      </c>
      <c r="G489" s="239"/>
      <c r="H489" s="240"/>
      <c r="I489" s="240"/>
      <c r="J489" s="241"/>
      <c r="K489" s="240"/>
      <c r="L489" s="240"/>
      <c r="M489" s="240"/>
      <c r="N489" s="242"/>
      <c r="O489" s="243"/>
      <c r="P489" s="243"/>
      <c r="Q489" s="243"/>
      <c r="R489" s="243"/>
      <c r="S489" s="243"/>
      <c r="T489" s="245"/>
      <c r="U489" s="246" t="str">
        <f>IF($T489="", "", VLOOKUP($T489, CONTRATOS!$B:$E, 2, FALSE))</f>
        <v/>
      </c>
      <c r="V489" s="247">
        <f>IF(OR($T489="",TB_DEFESA!$C$2="Criação Baseline"),0,
   IF(VLOOKUP($T489, CONTRATOS!B:E, 3, FALSE)&lt;&gt;"",1,IF(VLOOKUP($T489, CONTRATOS!B:E, 4, FALSE)&lt;&gt;"",2,0)))</f>
        <v>0</v>
      </c>
      <c r="W489" s="248"/>
      <c r="X489" s="248"/>
      <c r="Y489" s="249"/>
      <c r="Z489" s="250"/>
      <c r="AA489" s="251"/>
      <c r="AB489" s="252"/>
      <c r="AC489" s="253"/>
      <c r="AD489" s="251"/>
      <c r="AE489" s="254" t="str">
        <f t="shared" si="325"/>
        <v/>
      </c>
      <c r="AF489" s="256" t="str">
        <f t="shared" si="336"/>
        <v/>
      </c>
      <c r="AG489" s="293" t="s">
        <v>62</v>
      </c>
      <c r="AH489" s="294" t="str">
        <f t="shared" si="337"/>
        <v/>
      </c>
      <c r="AI489" s="294" t="str">
        <f t="shared" si="338"/>
        <v/>
      </c>
      <c r="AJ489" s="295" t="str">
        <f t="shared" si="339"/>
        <v/>
      </c>
      <c r="AK489" s="296" t="str">
        <f t="shared" si="340"/>
        <v/>
      </c>
      <c r="AL489" s="297" t="str">
        <f t="shared" si="341"/>
        <v/>
      </c>
      <c r="AM489" s="294" t="str">
        <f t="shared" si="342"/>
        <v/>
      </c>
      <c r="AN489" s="294" t="str">
        <f t="shared" si="343"/>
        <v/>
      </c>
      <c r="AO489" s="298" t="str">
        <f t="shared" si="344"/>
        <v/>
      </c>
      <c r="AP489" s="299" t="str">
        <f t="shared" si="345"/>
        <v/>
      </c>
      <c r="AQ489" s="299" t="str">
        <f t="shared" si="346"/>
        <v/>
      </c>
      <c r="AR489" s="300" t="str">
        <f t="shared" si="326"/>
        <v/>
      </c>
      <c r="AS489" s="300" t="str">
        <f t="shared" si="327"/>
        <v/>
      </c>
      <c r="AT489" s="294" t="str">
        <f t="shared" si="328"/>
        <v/>
      </c>
      <c r="AU489" s="301" t="str">
        <f>IF(OR($B489="", $AP489= ""),"",IF(VLOOKUP($AP489, CONTRATOS!B:K,3,FALSE)="","",VLOOKUP($AP489, CONTRATOS!B:K, 3,FALSE)))</f>
        <v/>
      </c>
      <c r="AV489" s="301" t="str">
        <f>IF(OR($B489="", $AP489 = ""), "", IF(VLOOKUP($AP489, CONTRATOS!B:K,4,FALSE)="","",VLOOKUP($AP489, CONTRATOS!B:K,4, FALSE)))</f>
        <v/>
      </c>
      <c r="AW489" s="302" t="str">
        <f t="shared" si="329"/>
        <v/>
      </c>
      <c r="AX489" s="301" t="str">
        <f t="shared" si="330"/>
        <v/>
      </c>
      <c r="AY489" s="301" t="str">
        <f t="shared" si="331"/>
        <v/>
      </c>
      <c r="AZ489" s="301" t="str">
        <f t="shared" si="332"/>
        <v/>
      </c>
      <c r="BA489" s="301" t="str">
        <f t="shared" si="333"/>
        <v/>
      </c>
      <c r="BB489" s="303">
        <f t="shared" si="347"/>
        <v>0</v>
      </c>
      <c r="BC489" s="303" t="str">
        <f t="shared" si="348"/>
        <v/>
      </c>
      <c r="BD489" s="303" t="str">
        <f t="shared" si="349"/>
        <v/>
      </c>
      <c r="BF489" s="304">
        <f t="shared" si="350"/>
        <v>0</v>
      </c>
      <c r="BG489" s="304">
        <f t="shared" si="351"/>
        <v>0</v>
      </c>
      <c r="BH489" s="304" t="str">
        <f>IF( $B489="", "", IF(ISNA(VLOOKUP($C489, Defesa!$C$8:$C$30,1,FALSE)),1,0))</f>
        <v/>
      </c>
      <c r="BI489" s="305" t="str">
        <f t="shared" si="352"/>
        <v/>
      </c>
      <c r="BJ489" s="305" t="str">
        <f t="shared" si="353"/>
        <v/>
      </c>
      <c r="BK489" s="304" t="str">
        <f t="shared" si="354"/>
        <v/>
      </c>
      <c r="BL489" s="304">
        <f t="shared" si="355"/>
        <v>0</v>
      </c>
      <c r="BM489" s="304" t="str">
        <f>IF($AC489="", "", IF(ISNA(VLOOKUP($AC489, TABELAS!$Q:$Q, 1, FALSE)), 1, 0))</f>
        <v/>
      </c>
      <c r="BN489" s="306" t="str">
        <f t="shared" si="356"/>
        <v/>
      </c>
      <c r="BO489" s="304" t="str">
        <f t="shared" si="357"/>
        <v/>
      </c>
      <c r="BP489" s="304" t="str">
        <f t="shared" si="358"/>
        <v/>
      </c>
      <c r="BQ489" s="305" t="str">
        <f t="shared" si="359"/>
        <v/>
      </c>
      <c r="BR489" s="304" t="str">
        <f t="shared" si="360"/>
        <v/>
      </c>
      <c r="BS489" s="304" t="str">
        <f t="shared" si="361"/>
        <v/>
      </c>
      <c r="BT489" s="304" t="str">
        <f>IF(OR($B489="", $AH489 = "SIM"), "", IF( ISNA(VLOOKUP($AP489,#REF!, 1, FALSE)), 1, 0))</f>
        <v/>
      </c>
      <c r="BU489" s="304" t="str">
        <f t="shared" si="362"/>
        <v/>
      </c>
      <c r="BV489" s="304" t="str">
        <f>IF( $B489="", "", IF( ISNA(VLOOKUP($AN489, TABELAS!$T$2:$T$9,1,FALSE)), 1, 0))</f>
        <v/>
      </c>
      <c r="BW489" s="304" t="str">
        <f t="shared" si="363"/>
        <v/>
      </c>
      <c r="BX489" s="304" t="str">
        <f>IF( OR($B489="", $AH489 = "SIM"), "", IF( ISNA( VLOOKUP( $AQ489, SISTEMA!$B:$B, 1, FALSE)), 1, 0))</f>
        <v/>
      </c>
      <c r="BY489" s="305" t="str">
        <f t="shared" si="364"/>
        <v/>
      </c>
      <c r="BZ489" s="305" t="str">
        <f t="shared" si="365"/>
        <v/>
      </c>
      <c r="CA489" s="304" t="str">
        <f t="shared" si="366"/>
        <v/>
      </c>
      <c r="CB489" s="305" t="str">
        <f t="shared" si="367"/>
        <v/>
      </c>
      <c r="CC489" s="305" t="str">
        <f t="shared" si="368"/>
        <v/>
      </c>
      <c r="CD489" s="305" t="str">
        <f t="shared" si="369"/>
        <v/>
      </c>
    </row>
    <row r="490" spans="1:82" x14ac:dyDescent="0.2">
      <c r="A490" s="235"/>
      <c r="B490" s="236" t="str">
        <f t="shared" si="334"/>
        <v/>
      </c>
      <c r="C490" s="237" t="str">
        <f t="shared" si="324"/>
        <v/>
      </c>
      <c r="D490" s="237" t="str">
        <f t="shared" si="335"/>
        <v/>
      </c>
      <c r="E490" s="237" t="str">
        <f>IF($C490="", "", COUNTIF($M$8:$M490,$D490))</f>
        <v/>
      </c>
      <c r="F490" s="238">
        <v>483</v>
      </c>
      <c r="G490" s="239"/>
      <c r="H490" s="240"/>
      <c r="I490" s="240"/>
      <c r="J490" s="241"/>
      <c r="K490" s="240"/>
      <c r="L490" s="240"/>
      <c r="M490" s="240"/>
      <c r="N490" s="242"/>
      <c r="O490" s="243"/>
      <c r="P490" s="243"/>
      <c r="Q490" s="243"/>
      <c r="R490" s="243"/>
      <c r="S490" s="243"/>
      <c r="T490" s="245"/>
      <c r="U490" s="246" t="str">
        <f>IF($T490="", "", VLOOKUP($T490, CONTRATOS!$B:$E, 2, FALSE))</f>
        <v/>
      </c>
      <c r="V490" s="247">
        <f>IF(OR($T490="",TB_DEFESA!$C$2="Criação Baseline"),0,
   IF(VLOOKUP($T490, CONTRATOS!B:E, 3, FALSE)&lt;&gt;"",1,IF(VLOOKUP($T490, CONTRATOS!B:E, 4, FALSE)&lt;&gt;"",2,0)))</f>
        <v>0</v>
      </c>
      <c r="W490" s="248"/>
      <c r="X490" s="248"/>
      <c r="Y490" s="249"/>
      <c r="Z490" s="250"/>
      <c r="AA490" s="251"/>
      <c r="AB490" s="252"/>
      <c r="AC490" s="253"/>
      <c r="AD490" s="251"/>
      <c r="AE490" s="254" t="str">
        <f t="shared" si="325"/>
        <v/>
      </c>
      <c r="AF490" s="256" t="str">
        <f t="shared" si="336"/>
        <v/>
      </c>
      <c r="AG490" s="293" t="s">
        <v>62</v>
      </c>
      <c r="AH490" s="294" t="str">
        <f t="shared" si="337"/>
        <v/>
      </c>
      <c r="AI490" s="294" t="str">
        <f t="shared" si="338"/>
        <v/>
      </c>
      <c r="AJ490" s="295" t="str">
        <f t="shared" si="339"/>
        <v/>
      </c>
      <c r="AK490" s="296" t="str">
        <f t="shared" si="340"/>
        <v/>
      </c>
      <c r="AL490" s="297" t="str">
        <f t="shared" si="341"/>
        <v/>
      </c>
      <c r="AM490" s="294" t="str">
        <f t="shared" si="342"/>
        <v/>
      </c>
      <c r="AN490" s="294" t="str">
        <f t="shared" si="343"/>
        <v/>
      </c>
      <c r="AO490" s="298" t="str">
        <f t="shared" si="344"/>
        <v/>
      </c>
      <c r="AP490" s="299" t="str">
        <f t="shared" si="345"/>
        <v/>
      </c>
      <c r="AQ490" s="299" t="str">
        <f t="shared" si="346"/>
        <v/>
      </c>
      <c r="AR490" s="300" t="str">
        <f t="shared" si="326"/>
        <v/>
      </c>
      <c r="AS490" s="300" t="str">
        <f t="shared" si="327"/>
        <v/>
      </c>
      <c r="AT490" s="294" t="str">
        <f t="shared" si="328"/>
        <v/>
      </c>
      <c r="AU490" s="301" t="str">
        <f>IF(OR($B490="", $AP490= ""),"",IF(VLOOKUP($AP490, CONTRATOS!B:K,3,FALSE)="","",VLOOKUP($AP490, CONTRATOS!B:K, 3,FALSE)))</f>
        <v/>
      </c>
      <c r="AV490" s="301" t="str">
        <f>IF(OR($B490="", $AP490 = ""), "", IF(VLOOKUP($AP490, CONTRATOS!B:K,4,FALSE)="","",VLOOKUP($AP490, CONTRATOS!B:K,4, FALSE)))</f>
        <v/>
      </c>
      <c r="AW490" s="302" t="str">
        <f t="shared" si="329"/>
        <v/>
      </c>
      <c r="AX490" s="301" t="str">
        <f t="shared" si="330"/>
        <v/>
      </c>
      <c r="AY490" s="301" t="str">
        <f t="shared" si="331"/>
        <v/>
      </c>
      <c r="AZ490" s="301" t="str">
        <f t="shared" si="332"/>
        <v/>
      </c>
      <c r="BA490" s="301" t="str">
        <f t="shared" si="333"/>
        <v/>
      </c>
      <c r="BB490" s="303">
        <f t="shared" si="347"/>
        <v>0</v>
      </c>
      <c r="BC490" s="303" t="str">
        <f t="shared" si="348"/>
        <v/>
      </c>
      <c r="BD490" s="303" t="str">
        <f t="shared" si="349"/>
        <v/>
      </c>
      <c r="BF490" s="304">
        <f t="shared" si="350"/>
        <v>0</v>
      </c>
      <c r="BG490" s="304">
        <f t="shared" si="351"/>
        <v>0</v>
      </c>
      <c r="BH490" s="304" t="str">
        <f>IF( $B490="", "", IF(ISNA(VLOOKUP($C490, Defesa!$C$8:$C$30,1,FALSE)),1,0))</f>
        <v/>
      </c>
      <c r="BI490" s="305" t="str">
        <f t="shared" si="352"/>
        <v/>
      </c>
      <c r="BJ490" s="305" t="str">
        <f t="shared" si="353"/>
        <v/>
      </c>
      <c r="BK490" s="304" t="str">
        <f t="shared" si="354"/>
        <v/>
      </c>
      <c r="BL490" s="304">
        <f t="shared" si="355"/>
        <v>0</v>
      </c>
      <c r="BM490" s="304" t="str">
        <f>IF($AC490="", "", IF(ISNA(VLOOKUP($AC490, TABELAS!$Q:$Q, 1, FALSE)), 1, 0))</f>
        <v/>
      </c>
      <c r="BN490" s="306" t="str">
        <f t="shared" si="356"/>
        <v/>
      </c>
      <c r="BO490" s="304" t="str">
        <f t="shared" si="357"/>
        <v/>
      </c>
      <c r="BP490" s="304" t="str">
        <f t="shared" si="358"/>
        <v/>
      </c>
      <c r="BQ490" s="305" t="str">
        <f t="shared" si="359"/>
        <v/>
      </c>
      <c r="BR490" s="304" t="str">
        <f t="shared" si="360"/>
        <v/>
      </c>
      <c r="BS490" s="304" t="str">
        <f t="shared" si="361"/>
        <v/>
      </c>
      <c r="BT490" s="304" t="str">
        <f>IF(OR($B490="", $AH490 = "SIM"), "", IF( ISNA(VLOOKUP($AP490,#REF!, 1, FALSE)), 1, 0))</f>
        <v/>
      </c>
      <c r="BU490" s="304" t="str">
        <f t="shared" si="362"/>
        <v/>
      </c>
      <c r="BV490" s="304" t="str">
        <f>IF( $B490="", "", IF( ISNA(VLOOKUP($AN490, TABELAS!$T$2:$T$9,1,FALSE)), 1, 0))</f>
        <v/>
      </c>
      <c r="BW490" s="304" t="str">
        <f t="shared" si="363"/>
        <v/>
      </c>
      <c r="BX490" s="304" t="str">
        <f>IF( OR($B490="", $AH490 = "SIM"), "", IF( ISNA( VLOOKUP( $AQ490, SISTEMA!$B:$B, 1, FALSE)), 1, 0))</f>
        <v/>
      </c>
      <c r="BY490" s="305" t="str">
        <f t="shared" si="364"/>
        <v/>
      </c>
      <c r="BZ490" s="305" t="str">
        <f t="shared" si="365"/>
        <v/>
      </c>
      <c r="CA490" s="304" t="str">
        <f t="shared" si="366"/>
        <v/>
      </c>
      <c r="CB490" s="305" t="str">
        <f t="shared" si="367"/>
        <v/>
      </c>
      <c r="CC490" s="305" t="str">
        <f t="shared" si="368"/>
        <v/>
      </c>
      <c r="CD490" s="305" t="str">
        <f t="shared" si="369"/>
        <v/>
      </c>
    </row>
    <row r="491" spans="1:82" x14ac:dyDescent="0.2">
      <c r="A491" s="235"/>
      <c r="B491" s="236" t="str">
        <f t="shared" si="334"/>
        <v/>
      </c>
      <c r="C491" s="237" t="str">
        <f t="shared" si="324"/>
        <v/>
      </c>
      <c r="D491" s="237" t="str">
        <f t="shared" si="335"/>
        <v/>
      </c>
      <c r="E491" s="237" t="str">
        <f>IF($C491="", "", COUNTIF($M$8:$M491,$D491))</f>
        <v/>
      </c>
      <c r="F491" s="238">
        <v>484</v>
      </c>
      <c r="G491" s="239"/>
      <c r="H491" s="240"/>
      <c r="I491" s="240"/>
      <c r="J491" s="241"/>
      <c r="K491" s="240"/>
      <c r="L491" s="240"/>
      <c r="M491" s="240"/>
      <c r="N491" s="242"/>
      <c r="O491" s="243"/>
      <c r="P491" s="243"/>
      <c r="Q491" s="243"/>
      <c r="R491" s="243"/>
      <c r="S491" s="243"/>
      <c r="T491" s="245"/>
      <c r="U491" s="246" t="str">
        <f>IF($T491="", "", VLOOKUP($T491, CONTRATOS!$B:$E, 2, FALSE))</f>
        <v/>
      </c>
      <c r="V491" s="247">
        <f>IF(OR($T491="",TB_DEFESA!$C$2="Criação Baseline"),0,
   IF(VLOOKUP($T491, CONTRATOS!B:E, 3, FALSE)&lt;&gt;"",1,IF(VLOOKUP($T491, CONTRATOS!B:E, 4, FALSE)&lt;&gt;"",2,0)))</f>
        <v>0</v>
      </c>
      <c r="W491" s="248"/>
      <c r="X491" s="248"/>
      <c r="Y491" s="249"/>
      <c r="Z491" s="250"/>
      <c r="AA491" s="251"/>
      <c r="AB491" s="252"/>
      <c r="AC491" s="253"/>
      <c r="AD491" s="251"/>
      <c r="AE491" s="254" t="str">
        <f t="shared" si="325"/>
        <v/>
      </c>
      <c r="AF491" s="256" t="str">
        <f t="shared" si="336"/>
        <v/>
      </c>
      <c r="AG491" s="293" t="s">
        <v>62</v>
      </c>
      <c r="AH491" s="294" t="str">
        <f t="shared" si="337"/>
        <v/>
      </c>
      <c r="AI491" s="294" t="str">
        <f t="shared" si="338"/>
        <v/>
      </c>
      <c r="AJ491" s="295" t="str">
        <f t="shared" si="339"/>
        <v/>
      </c>
      <c r="AK491" s="296" t="str">
        <f t="shared" si="340"/>
        <v/>
      </c>
      <c r="AL491" s="297" t="str">
        <f t="shared" si="341"/>
        <v/>
      </c>
      <c r="AM491" s="294" t="str">
        <f t="shared" si="342"/>
        <v/>
      </c>
      <c r="AN491" s="294" t="str">
        <f t="shared" si="343"/>
        <v/>
      </c>
      <c r="AO491" s="298" t="str">
        <f t="shared" si="344"/>
        <v/>
      </c>
      <c r="AP491" s="299" t="str">
        <f t="shared" si="345"/>
        <v/>
      </c>
      <c r="AQ491" s="299" t="str">
        <f t="shared" si="346"/>
        <v/>
      </c>
      <c r="AR491" s="300" t="str">
        <f t="shared" si="326"/>
        <v/>
      </c>
      <c r="AS491" s="300" t="str">
        <f t="shared" si="327"/>
        <v/>
      </c>
      <c r="AT491" s="294" t="str">
        <f t="shared" si="328"/>
        <v/>
      </c>
      <c r="AU491" s="301" t="str">
        <f>IF(OR($B491="", $AP491= ""),"",IF(VLOOKUP($AP491, CONTRATOS!B:K,3,FALSE)="","",VLOOKUP($AP491, CONTRATOS!B:K, 3,FALSE)))</f>
        <v/>
      </c>
      <c r="AV491" s="301" t="str">
        <f>IF(OR($B491="", $AP491 = ""), "", IF(VLOOKUP($AP491, CONTRATOS!B:K,4,FALSE)="","",VLOOKUP($AP491, CONTRATOS!B:K,4, FALSE)))</f>
        <v/>
      </c>
      <c r="AW491" s="302" t="str">
        <f t="shared" si="329"/>
        <v/>
      </c>
      <c r="AX491" s="301" t="str">
        <f t="shared" si="330"/>
        <v/>
      </c>
      <c r="AY491" s="301" t="str">
        <f t="shared" si="331"/>
        <v/>
      </c>
      <c r="AZ491" s="301" t="str">
        <f t="shared" si="332"/>
        <v/>
      </c>
      <c r="BA491" s="301" t="str">
        <f t="shared" si="333"/>
        <v/>
      </c>
      <c r="BB491" s="303">
        <f t="shared" si="347"/>
        <v>0</v>
      </c>
      <c r="BC491" s="303" t="str">
        <f t="shared" si="348"/>
        <v/>
      </c>
      <c r="BD491" s="303" t="str">
        <f t="shared" si="349"/>
        <v/>
      </c>
      <c r="BF491" s="304">
        <f t="shared" si="350"/>
        <v>0</v>
      </c>
      <c r="BG491" s="304">
        <f t="shared" si="351"/>
        <v>0</v>
      </c>
      <c r="BH491" s="304" t="str">
        <f>IF( $B491="", "", IF(ISNA(VLOOKUP($C491, Defesa!$C$8:$C$30,1,FALSE)),1,0))</f>
        <v/>
      </c>
      <c r="BI491" s="305" t="str">
        <f t="shared" si="352"/>
        <v/>
      </c>
      <c r="BJ491" s="305" t="str">
        <f t="shared" si="353"/>
        <v/>
      </c>
      <c r="BK491" s="304" t="str">
        <f t="shared" si="354"/>
        <v/>
      </c>
      <c r="BL491" s="304">
        <f t="shared" si="355"/>
        <v>0</v>
      </c>
      <c r="BM491" s="304" t="str">
        <f>IF($AC491="", "", IF(ISNA(VLOOKUP($AC491, TABELAS!$Q:$Q, 1, FALSE)), 1, 0))</f>
        <v/>
      </c>
      <c r="BN491" s="306" t="str">
        <f t="shared" si="356"/>
        <v/>
      </c>
      <c r="BO491" s="304" t="str">
        <f t="shared" si="357"/>
        <v/>
      </c>
      <c r="BP491" s="304" t="str">
        <f t="shared" si="358"/>
        <v/>
      </c>
      <c r="BQ491" s="305" t="str">
        <f t="shared" si="359"/>
        <v/>
      </c>
      <c r="BR491" s="304" t="str">
        <f t="shared" si="360"/>
        <v/>
      </c>
      <c r="BS491" s="304" t="str">
        <f t="shared" si="361"/>
        <v/>
      </c>
      <c r="BT491" s="304" t="str">
        <f>IF(OR($B491="", $AH491 = "SIM"), "", IF( ISNA(VLOOKUP($AP491,#REF!, 1, FALSE)), 1, 0))</f>
        <v/>
      </c>
      <c r="BU491" s="304" t="str">
        <f t="shared" si="362"/>
        <v/>
      </c>
      <c r="BV491" s="304" t="str">
        <f>IF( $B491="", "", IF( ISNA(VLOOKUP($AN491, TABELAS!$T$2:$T$9,1,FALSE)), 1, 0))</f>
        <v/>
      </c>
      <c r="BW491" s="304" t="str">
        <f t="shared" si="363"/>
        <v/>
      </c>
      <c r="BX491" s="304" t="str">
        <f>IF( OR($B491="", $AH491 = "SIM"), "", IF( ISNA( VLOOKUP( $AQ491, SISTEMA!$B:$B, 1, FALSE)), 1, 0))</f>
        <v/>
      </c>
      <c r="BY491" s="305" t="str">
        <f t="shared" si="364"/>
        <v/>
      </c>
      <c r="BZ491" s="305" t="str">
        <f t="shared" si="365"/>
        <v/>
      </c>
      <c r="CA491" s="304" t="str">
        <f t="shared" si="366"/>
        <v/>
      </c>
      <c r="CB491" s="305" t="str">
        <f t="shared" si="367"/>
        <v/>
      </c>
      <c r="CC491" s="305" t="str">
        <f t="shared" si="368"/>
        <v/>
      </c>
      <c r="CD491" s="305" t="str">
        <f t="shared" si="369"/>
        <v/>
      </c>
    </row>
    <row r="492" spans="1:82" x14ac:dyDescent="0.2">
      <c r="A492" s="235"/>
      <c r="B492" s="236" t="str">
        <f t="shared" si="334"/>
        <v/>
      </c>
      <c r="C492" s="237" t="str">
        <f t="shared" si="324"/>
        <v/>
      </c>
      <c r="D492" s="237" t="str">
        <f t="shared" si="335"/>
        <v/>
      </c>
      <c r="E492" s="237" t="str">
        <f>IF($C492="", "", COUNTIF($M$8:$M492,$D492))</f>
        <v/>
      </c>
      <c r="F492" s="238">
        <v>485</v>
      </c>
      <c r="G492" s="239"/>
      <c r="H492" s="240"/>
      <c r="I492" s="240"/>
      <c r="J492" s="241"/>
      <c r="K492" s="240"/>
      <c r="L492" s="240"/>
      <c r="M492" s="240"/>
      <c r="N492" s="242"/>
      <c r="O492" s="243"/>
      <c r="P492" s="243"/>
      <c r="Q492" s="243"/>
      <c r="R492" s="243"/>
      <c r="S492" s="243"/>
      <c r="T492" s="245"/>
      <c r="U492" s="246" t="str">
        <f>IF($T492="", "", VLOOKUP($T492, CONTRATOS!$B:$E, 2, FALSE))</f>
        <v/>
      </c>
      <c r="V492" s="247">
        <f>IF(OR($T492="",TB_DEFESA!$C$2="Criação Baseline"),0,
   IF(VLOOKUP($T492, CONTRATOS!B:E, 3, FALSE)&lt;&gt;"",1,IF(VLOOKUP($T492, CONTRATOS!B:E, 4, FALSE)&lt;&gt;"",2,0)))</f>
        <v>0</v>
      </c>
      <c r="W492" s="248"/>
      <c r="X492" s="248"/>
      <c r="Y492" s="249"/>
      <c r="Z492" s="250"/>
      <c r="AA492" s="251"/>
      <c r="AB492" s="252"/>
      <c r="AC492" s="253"/>
      <c r="AD492" s="251"/>
      <c r="AE492" s="254" t="str">
        <f t="shared" si="325"/>
        <v/>
      </c>
      <c r="AF492" s="256" t="str">
        <f t="shared" si="336"/>
        <v/>
      </c>
      <c r="AG492" s="293" t="s">
        <v>62</v>
      </c>
      <c r="AH492" s="294" t="str">
        <f t="shared" si="337"/>
        <v/>
      </c>
      <c r="AI492" s="294" t="str">
        <f t="shared" si="338"/>
        <v/>
      </c>
      <c r="AJ492" s="295" t="str">
        <f t="shared" si="339"/>
        <v/>
      </c>
      <c r="AK492" s="296" t="str">
        <f t="shared" si="340"/>
        <v/>
      </c>
      <c r="AL492" s="297" t="str">
        <f t="shared" si="341"/>
        <v/>
      </c>
      <c r="AM492" s="294" t="str">
        <f t="shared" si="342"/>
        <v/>
      </c>
      <c r="AN492" s="294" t="str">
        <f t="shared" si="343"/>
        <v/>
      </c>
      <c r="AO492" s="298" t="str">
        <f t="shared" si="344"/>
        <v/>
      </c>
      <c r="AP492" s="299" t="str">
        <f t="shared" si="345"/>
        <v/>
      </c>
      <c r="AQ492" s="299" t="str">
        <f t="shared" si="346"/>
        <v/>
      </c>
      <c r="AR492" s="300" t="str">
        <f t="shared" si="326"/>
        <v/>
      </c>
      <c r="AS492" s="300" t="str">
        <f t="shared" si="327"/>
        <v/>
      </c>
      <c r="AT492" s="294" t="str">
        <f t="shared" si="328"/>
        <v/>
      </c>
      <c r="AU492" s="301" t="str">
        <f>IF(OR($B492="", $AP492= ""),"",IF(VLOOKUP($AP492, CONTRATOS!B:K,3,FALSE)="","",VLOOKUP($AP492, CONTRATOS!B:K, 3,FALSE)))</f>
        <v/>
      </c>
      <c r="AV492" s="301" t="str">
        <f>IF(OR($B492="", $AP492 = ""), "", IF(VLOOKUP($AP492, CONTRATOS!B:K,4,FALSE)="","",VLOOKUP($AP492, CONTRATOS!B:K,4, FALSE)))</f>
        <v/>
      </c>
      <c r="AW492" s="302" t="str">
        <f t="shared" si="329"/>
        <v/>
      </c>
      <c r="AX492" s="301" t="str">
        <f t="shared" si="330"/>
        <v/>
      </c>
      <c r="AY492" s="301" t="str">
        <f t="shared" si="331"/>
        <v/>
      </c>
      <c r="AZ492" s="301" t="str">
        <f t="shared" si="332"/>
        <v/>
      </c>
      <c r="BA492" s="301" t="str">
        <f t="shared" si="333"/>
        <v/>
      </c>
      <c r="BB492" s="303">
        <f t="shared" si="347"/>
        <v>0</v>
      </c>
      <c r="BC492" s="303" t="str">
        <f t="shared" si="348"/>
        <v/>
      </c>
      <c r="BD492" s="303" t="str">
        <f t="shared" si="349"/>
        <v/>
      </c>
      <c r="BF492" s="304">
        <f t="shared" si="350"/>
        <v>0</v>
      </c>
      <c r="BG492" s="304">
        <f t="shared" si="351"/>
        <v>0</v>
      </c>
      <c r="BH492" s="304" t="str">
        <f>IF( $B492="", "", IF(ISNA(VLOOKUP($C492, Defesa!$C$8:$C$30,1,FALSE)),1,0))</f>
        <v/>
      </c>
      <c r="BI492" s="305" t="str">
        <f t="shared" si="352"/>
        <v/>
      </c>
      <c r="BJ492" s="305" t="str">
        <f t="shared" si="353"/>
        <v/>
      </c>
      <c r="BK492" s="304" t="str">
        <f t="shared" si="354"/>
        <v/>
      </c>
      <c r="BL492" s="304">
        <f t="shared" si="355"/>
        <v>0</v>
      </c>
      <c r="BM492" s="304" t="str">
        <f>IF($AC492="", "", IF(ISNA(VLOOKUP($AC492, TABELAS!$Q:$Q, 1, FALSE)), 1, 0))</f>
        <v/>
      </c>
      <c r="BN492" s="306" t="str">
        <f t="shared" si="356"/>
        <v/>
      </c>
      <c r="BO492" s="304" t="str">
        <f t="shared" si="357"/>
        <v/>
      </c>
      <c r="BP492" s="304" t="str">
        <f t="shared" si="358"/>
        <v/>
      </c>
      <c r="BQ492" s="305" t="str">
        <f t="shared" si="359"/>
        <v/>
      </c>
      <c r="BR492" s="304" t="str">
        <f t="shared" si="360"/>
        <v/>
      </c>
      <c r="BS492" s="304" t="str">
        <f t="shared" si="361"/>
        <v/>
      </c>
      <c r="BT492" s="304" t="str">
        <f>IF(OR($B492="", $AH492 = "SIM"), "", IF( ISNA(VLOOKUP($AP492,#REF!, 1, FALSE)), 1, 0))</f>
        <v/>
      </c>
      <c r="BU492" s="304" t="str">
        <f t="shared" si="362"/>
        <v/>
      </c>
      <c r="BV492" s="304" t="str">
        <f>IF( $B492="", "", IF( ISNA(VLOOKUP($AN492, TABELAS!$T$2:$T$9,1,FALSE)), 1, 0))</f>
        <v/>
      </c>
      <c r="BW492" s="304" t="str">
        <f t="shared" si="363"/>
        <v/>
      </c>
      <c r="BX492" s="304" t="str">
        <f>IF( OR($B492="", $AH492 = "SIM"), "", IF( ISNA( VLOOKUP( $AQ492, SISTEMA!$B:$B, 1, FALSE)), 1, 0))</f>
        <v/>
      </c>
      <c r="BY492" s="305" t="str">
        <f t="shared" si="364"/>
        <v/>
      </c>
      <c r="BZ492" s="305" t="str">
        <f t="shared" si="365"/>
        <v/>
      </c>
      <c r="CA492" s="304" t="str">
        <f t="shared" si="366"/>
        <v/>
      </c>
      <c r="CB492" s="305" t="str">
        <f t="shared" si="367"/>
        <v/>
      </c>
      <c r="CC492" s="305" t="str">
        <f t="shared" si="368"/>
        <v/>
      </c>
      <c r="CD492" s="305" t="str">
        <f t="shared" si="369"/>
        <v/>
      </c>
    </row>
    <row r="493" spans="1:82" x14ac:dyDescent="0.2">
      <c r="A493" s="235"/>
      <c r="B493" s="236" t="str">
        <f t="shared" si="334"/>
        <v/>
      </c>
      <c r="C493" s="237" t="str">
        <f t="shared" si="324"/>
        <v/>
      </c>
      <c r="D493" s="237" t="str">
        <f t="shared" si="335"/>
        <v/>
      </c>
      <c r="E493" s="237" t="str">
        <f>IF($C493="", "", COUNTIF($M$8:$M493,$D493))</f>
        <v/>
      </c>
      <c r="F493" s="238">
        <v>486</v>
      </c>
      <c r="G493" s="239"/>
      <c r="H493" s="240"/>
      <c r="I493" s="240"/>
      <c r="J493" s="241"/>
      <c r="K493" s="240"/>
      <c r="L493" s="240"/>
      <c r="M493" s="240"/>
      <c r="N493" s="242"/>
      <c r="O493" s="243"/>
      <c r="P493" s="243"/>
      <c r="Q493" s="243"/>
      <c r="R493" s="243"/>
      <c r="S493" s="243"/>
      <c r="T493" s="245"/>
      <c r="U493" s="246" t="str">
        <f>IF($T493="", "", VLOOKUP($T493, CONTRATOS!$B:$E, 2, FALSE))</f>
        <v/>
      </c>
      <c r="V493" s="247">
        <f>IF(OR($T493="",TB_DEFESA!$C$2="Criação Baseline"),0,
   IF(VLOOKUP($T493, CONTRATOS!B:E, 3, FALSE)&lt;&gt;"",1,IF(VLOOKUP($T493, CONTRATOS!B:E, 4, FALSE)&lt;&gt;"",2,0)))</f>
        <v>0</v>
      </c>
      <c r="W493" s="248"/>
      <c r="X493" s="248"/>
      <c r="Y493" s="249"/>
      <c r="Z493" s="250"/>
      <c r="AA493" s="251"/>
      <c r="AB493" s="252"/>
      <c r="AC493" s="253"/>
      <c r="AD493" s="251"/>
      <c r="AE493" s="254" t="str">
        <f t="shared" si="325"/>
        <v/>
      </c>
      <c r="AF493" s="256" t="str">
        <f t="shared" si="336"/>
        <v/>
      </c>
      <c r="AG493" s="293" t="s">
        <v>62</v>
      </c>
      <c r="AH493" s="294" t="str">
        <f t="shared" si="337"/>
        <v/>
      </c>
      <c r="AI493" s="294" t="str">
        <f t="shared" si="338"/>
        <v/>
      </c>
      <c r="AJ493" s="295" t="str">
        <f t="shared" si="339"/>
        <v/>
      </c>
      <c r="AK493" s="296" t="str">
        <f t="shared" si="340"/>
        <v/>
      </c>
      <c r="AL493" s="297" t="str">
        <f t="shared" si="341"/>
        <v/>
      </c>
      <c r="AM493" s="294" t="str">
        <f t="shared" si="342"/>
        <v/>
      </c>
      <c r="AN493" s="294" t="str">
        <f t="shared" si="343"/>
        <v/>
      </c>
      <c r="AO493" s="298" t="str">
        <f t="shared" si="344"/>
        <v/>
      </c>
      <c r="AP493" s="299" t="str">
        <f t="shared" si="345"/>
        <v/>
      </c>
      <c r="AQ493" s="299" t="str">
        <f t="shared" si="346"/>
        <v/>
      </c>
      <c r="AR493" s="300" t="str">
        <f t="shared" si="326"/>
        <v/>
      </c>
      <c r="AS493" s="300" t="str">
        <f t="shared" si="327"/>
        <v/>
      </c>
      <c r="AT493" s="294" t="str">
        <f t="shared" si="328"/>
        <v/>
      </c>
      <c r="AU493" s="301" t="str">
        <f>IF(OR($B493="", $AP493= ""),"",IF(VLOOKUP($AP493, CONTRATOS!B:K,3,FALSE)="","",VLOOKUP($AP493, CONTRATOS!B:K, 3,FALSE)))</f>
        <v/>
      </c>
      <c r="AV493" s="301" t="str">
        <f>IF(OR($B493="", $AP493 = ""), "", IF(VLOOKUP($AP493, CONTRATOS!B:K,4,FALSE)="","",VLOOKUP($AP493, CONTRATOS!B:K,4, FALSE)))</f>
        <v/>
      </c>
      <c r="AW493" s="302" t="str">
        <f t="shared" si="329"/>
        <v/>
      </c>
      <c r="AX493" s="301" t="str">
        <f t="shared" si="330"/>
        <v/>
      </c>
      <c r="AY493" s="301" t="str">
        <f t="shared" si="331"/>
        <v/>
      </c>
      <c r="AZ493" s="301" t="str">
        <f t="shared" si="332"/>
        <v/>
      </c>
      <c r="BA493" s="301" t="str">
        <f t="shared" si="333"/>
        <v/>
      </c>
      <c r="BB493" s="303">
        <f t="shared" si="347"/>
        <v>0</v>
      </c>
      <c r="BC493" s="303" t="str">
        <f t="shared" si="348"/>
        <v/>
      </c>
      <c r="BD493" s="303" t="str">
        <f t="shared" si="349"/>
        <v/>
      </c>
      <c r="BF493" s="304">
        <f t="shared" si="350"/>
        <v>0</v>
      </c>
      <c r="BG493" s="304">
        <f t="shared" si="351"/>
        <v>0</v>
      </c>
      <c r="BH493" s="304" t="str">
        <f>IF( $B493="", "", IF(ISNA(VLOOKUP($C493, Defesa!$C$8:$C$30,1,FALSE)),1,0))</f>
        <v/>
      </c>
      <c r="BI493" s="305" t="str">
        <f t="shared" si="352"/>
        <v/>
      </c>
      <c r="BJ493" s="305" t="str">
        <f t="shared" si="353"/>
        <v/>
      </c>
      <c r="BK493" s="304" t="str">
        <f t="shared" si="354"/>
        <v/>
      </c>
      <c r="BL493" s="304">
        <f t="shared" si="355"/>
        <v>0</v>
      </c>
      <c r="BM493" s="304" t="str">
        <f>IF($AC493="", "", IF(ISNA(VLOOKUP($AC493, TABELAS!$Q:$Q, 1, FALSE)), 1, 0))</f>
        <v/>
      </c>
      <c r="BN493" s="306" t="str">
        <f t="shared" si="356"/>
        <v/>
      </c>
      <c r="BO493" s="304" t="str">
        <f t="shared" si="357"/>
        <v/>
      </c>
      <c r="BP493" s="304" t="str">
        <f t="shared" si="358"/>
        <v/>
      </c>
      <c r="BQ493" s="305" t="str">
        <f t="shared" si="359"/>
        <v/>
      </c>
      <c r="BR493" s="304" t="str">
        <f t="shared" si="360"/>
        <v/>
      </c>
      <c r="BS493" s="304" t="str">
        <f t="shared" si="361"/>
        <v/>
      </c>
      <c r="BT493" s="304" t="str">
        <f>IF(OR($B493="", $AH493 = "SIM"), "", IF( ISNA(VLOOKUP($AP493,#REF!, 1, FALSE)), 1, 0))</f>
        <v/>
      </c>
      <c r="BU493" s="304" t="str">
        <f t="shared" si="362"/>
        <v/>
      </c>
      <c r="BV493" s="304" t="str">
        <f>IF( $B493="", "", IF( ISNA(VLOOKUP($AN493, TABELAS!$T$2:$T$9,1,FALSE)), 1, 0))</f>
        <v/>
      </c>
      <c r="BW493" s="304" t="str">
        <f t="shared" si="363"/>
        <v/>
      </c>
      <c r="BX493" s="304" t="str">
        <f>IF( OR($B493="", $AH493 = "SIM"), "", IF( ISNA( VLOOKUP( $AQ493, SISTEMA!$B:$B, 1, FALSE)), 1, 0))</f>
        <v/>
      </c>
      <c r="BY493" s="305" t="str">
        <f t="shared" si="364"/>
        <v/>
      </c>
      <c r="BZ493" s="305" t="str">
        <f t="shared" si="365"/>
        <v/>
      </c>
      <c r="CA493" s="304" t="str">
        <f t="shared" si="366"/>
        <v/>
      </c>
      <c r="CB493" s="305" t="str">
        <f t="shared" si="367"/>
        <v/>
      </c>
      <c r="CC493" s="305" t="str">
        <f t="shared" si="368"/>
        <v/>
      </c>
      <c r="CD493" s="305" t="str">
        <f t="shared" si="369"/>
        <v/>
      </c>
    </row>
    <row r="494" spans="1:82" x14ac:dyDescent="0.2">
      <c r="A494" s="235"/>
      <c r="B494" s="236" t="str">
        <f t="shared" si="334"/>
        <v/>
      </c>
      <c r="C494" s="237" t="str">
        <f t="shared" si="324"/>
        <v/>
      </c>
      <c r="D494" s="237" t="str">
        <f t="shared" si="335"/>
        <v/>
      </c>
      <c r="E494" s="237" t="str">
        <f>IF($C494="", "", COUNTIF($M$8:$M494,$D494))</f>
        <v/>
      </c>
      <c r="F494" s="238">
        <v>487</v>
      </c>
      <c r="G494" s="239"/>
      <c r="H494" s="240"/>
      <c r="I494" s="240"/>
      <c r="J494" s="241"/>
      <c r="K494" s="240"/>
      <c r="L494" s="240"/>
      <c r="M494" s="240"/>
      <c r="N494" s="242"/>
      <c r="O494" s="243"/>
      <c r="P494" s="243"/>
      <c r="Q494" s="243"/>
      <c r="R494" s="243"/>
      <c r="S494" s="243"/>
      <c r="T494" s="245"/>
      <c r="U494" s="246" t="str">
        <f>IF($T494="", "", VLOOKUP($T494, CONTRATOS!$B:$E, 2, FALSE))</f>
        <v/>
      </c>
      <c r="V494" s="247">
        <f>IF(OR($T494="",TB_DEFESA!$C$2="Criação Baseline"),0,
   IF(VLOOKUP($T494, CONTRATOS!B:E, 3, FALSE)&lt;&gt;"",1,IF(VLOOKUP($T494, CONTRATOS!B:E, 4, FALSE)&lt;&gt;"",2,0)))</f>
        <v>0</v>
      </c>
      <c r="W494" s="248"/>
      <c r="X494" s="248"/>
      <c r="Y494" s="249"/>
      <c r="Z494" s="250"/>
      <c r="AA494" s="251"/>
      <c r="AB494" s="252"/>
      <c r="AC494" s="253"/>
      <c r="AD494" s="251"/>
      <c r="AE494" s="254" t="str">
        <f t="shared" si="325"/>
        <v/>
      </c>
      <c r="AF494" s="256" t="str">
        <f t="shared" si="336"/>
        <v/>
      </c>
      <c r="AG494" s="293" t="s">
        <v>62</v>
      </c>
      <c r="AH494" s="294" t="str">
        <f t="shared" si="337"/>
        <v/>
      </c>
      <c r="AI494" s="294" t="str">
        <f t="shared" si="338"/>
        <v/>
      </c>
      <c r="AJ494" s="295" t="str">
        <f t="shared" si="339"/>
        <v/>
      </c>
      <c r="AK494" s="296" t="str">
        <f t="shared" si="340"/>
        <v/>
      </c>
      <c r="AL494" s="297" t="str">
        <f t="shared" si="341"/>
        <v/>
      </c>
      <c r="AM494" s="294" t="str">
        <f t="shared" si="342"/>
        <v/>
      </c>
      <c r="AN494" s="294" t="str">
        <f t="shared" si="343"/>
        <v/>
      </c>
      <c r="AO494" s="298" t="str">
        <f t="shared" si="344"/>
        <v/>
      </c>
      <c r="AP494" s="299" t="str">
        <f t="shared" si="345"/>
        <v/>
      </c>
      <c r="AQ494" s="299" t="str">
        <f t="shared" si="346"/>
        <v/>
      </c>
      <c r="AR494" s="300" t="str">
        <f t="shared" si="326"/>
        <v/>
      </c>
      <c r="AS494" s="300" t="str">
        <f t="shared" si="327"/>
        <v/>
      </c>
      <c r="AT494" s="294" t="str">
        <f t="shared" si="328"/>
        <v/>
      </c>
      <c r="AU494" s="301" t="str">
        <f>IF(OR($B494="", $AP494= ""),"",IF(VLOOKUP($AP494, CONTRATOS!B:K,3,FALSE)="","",VLOOKUP($AP494, CONTRATOS!B:K, 3,FALSE)))</f>
        <v/>
      </c>
      <c r="AV494" s="301" t="str">
        <f>IF(OR($B494="", $AP494 = ""), "", IF(VLOOKUP($AP494, CONTRATOS!B:K,4,FALSE)="","",VLOOKUP($AP494, CONTRATOS!B:K,4, FALSE)))</f>
        <v/>
      </c>
      <c r="AW494" s="302" t="str">
        <f t="shared" si="329"/>
        <v/>
      </c>
      <c r="AX494" s="301" t="str">
        <f t="shared" si="330"/>
        <v/>
      </c>
      <c r="AY494" s="301" t="str">
        <f t="shared" si="331"/>
        <v/>
      </c>
      <c r="AZ494" s="301" t="str">
        <f t="shared" si="332"/>
        <v/>
      </c>
      <c r="BA494" s="301" t="str">
        <f t="shared" si="333"/>
        <v/>
      </c>
      <c r="BB494" s="303">
        <f t="shared" si="347"/>
        <v>0</v>
      </c>
      <c r="BC494" s="303" t="str">
        <f t="shared" si="348"/>
        <v/>
      </c>
      <c r="BD494" s="303" t="str">
        <f t="shared" si="349"/>
        <v/>
      </c>
      <c r="BF494" s="304">
        <f t="shared" si="350"/>
        <v>0</v>
      </c>
      <c r="BG494" s="304">
        <f t="shared" si="351"/>
        <v>0</v>
      </c>
      <c r="BH494" s="304" t="str">
        <f>IF( $B494="", "", IF(ISNA(VLOOKUP($C494, Defesa!$C$8:$C$30,1,FALSE)),1,0))</f>
        <v/>
      </c>
      <c r="BI494" s="305" t="str">
        <f t="shared" si="352"/>
        <v/>
      </c>
      <c r="BJ494" s="305" t="str">
        <f t="shared" si="353"/>
        <v/>
      </c>
      <c r="BK494" s="304" t="str">
        <f t="shared" si="354"/>
        <v/>
      </c>
      <c r="BL494" s="304">
        <f t="shared" si="355"/>
        <v>0</v>
      </c>
      <c r="BM494" s="304" t="str">
        <f>IF($AC494="", "", IF(ISNA(VLOOKUP($AC494, TABELAS!$Q:$Q, 1, FALSE)), 1, 0))</f>
        <v/>
      </c>
      <c r="BN494" s="306" t="str">
        <f t="shared" si="356"/>
        <v/>
      </c>
      <c r="BO494" s="304" t="str">
        <f t="shared" si="357"/>
        <v/>
      </c>
      <c r="BP494" s="304" t="str">
        <f t="shared" si="358"/>
        <v/>
      </c>
      <c r="BQ494" s="305" t="str">
        <f t="shared" si="359"/>
        <v/>
      </c>
      <c r="BR494" s="304" t="str">
        <f t="shared" si="360"/>
        <v/>
      </c>
      <c r="BS494" s="304" t="str">
        <f t="shared" si="361"/>
        <v/>
      </c>
      <c r="BT494" s="304" t="str">
        <f>IF(OR($B494="", $AH494 = "SIM"), "", IF( ISNA(VLOOKUP($AP494,#REF!, 1, FALSE)), 1, 0))</f>
        <v/>
      </c>
      <c r="BU494" s="304" t="str">
        <f t="shared" si="362"/>
        <v/>
      </c>
      <c r="BV494" s="304" t="str">
        <f>IF( $B494="", "", IF( ISNA(VLOOKUP($AN494, TABELAS!$T$2:$T$9,1,FALSE)), 1, 0))</f>
        <v/>
      </c>
      <c r="BW494" s="304" t="str">
        <f t="shared" si="363"/>
        <v/>
      </c>
      <c r="BX494" s="304" t="str">
        <f>IF( OR($B494="", $AH494 = "SIM"), "", IF( ISNA( VLOOKUP( $AQ494, SISTEMA!$B:$B, 1, FALSE)), 1, 0))</f>
        <v/>
      </c>
      <c r="BY494" s="305" t="str">
        <f t="shared" si="364"/>
        <v/>
      </c>
      <c r="BZ494" s="305" t="str">
        <f t="shared" si="365"/>
        <v/>
      </c>
      <c r="CA494" s="304" t="str">
        <f t="shared" si="366"/>
        <v/>
      </c>
      <c r="CB494" s="305" t="str">
        <f t="shared" si="367"/>
        <v/>
      </c>
      <c r="CC494" s="305" t="str">
        <f t="shared" si="368"/>
        <v/>
      </c>
      <c r="CD494" s="305" t="str">
        <f t="shared" si="369"/>
        <v/>
      </c>
    </row>
    <row r="495" spans="1:82" x14ac:dyDescent="0.2">
      <c r="A495" s="235"/>
      <c r="B495" s="236" t="str">
        <f t="shared" si="334"/>
        <v/>
      </c>
      <c r="C495" s="237" t="str">
        <f t="shared" si="324"/>
        <v/>
      </c>
      <c r="D495" s="237" t="str">
        <f t="shared" si="335"/>
        <v/>
      </c>
      <c r="E495" s="237" t="str">
        <f>IF($C495="", "", COUNTIF($M$8:$M495,$D495))</f>
        <v/>
      </c>
      <c r="F495" s="238">
        <v>488</v>
      </c>
      <c r="G495" s="239"/>
      <c r="H495" s="240"/>
      <c r="I495" s="240"/>
      <c r="J495" s="241"/>
      <c r="K495" s="240"/>
      <c r="L495" s="240"/>
      <c r="M495" s="240"/>
      <c r="N495" s="242"/>
      <c r="O495" s="243"/>
      <c r="P495" s="243"/>
      <c r="Q495" s="243"/>
      <c r="R495" s="243"/>
      <c r="S495" s="243"/>
      <c r="T495" s="245"/>
      <c r="U495" s="246" t="str">
        <f>IF($T495="", "", VLOOKUP($T495, CONTRATOS!$B:$E, 2, FALSE))</f>
        <v/>
      </c>
      <c r="V495" s="247">
        <f>IF(OR($T495="",TB_DEFESA!$C$2="Criação Baseline"),0,
   IF(VLOOKUP($T495, CONTRATOS!B:E, 3, FALSE)&lt;&gt;"",1,IF(VLOOKUP($T495, CONTRATOS!B:E, 4, FALSE)&lt;&gt;"",2,0)))</f>
        <v>0</v>
      </c>
      <c r="W495" s="248"/>
      <c r="X495" s="248"/>
      <c r="Y495" s="249"/>
      <c r="Z495" s="250"/>
      <c r="AA495" s="251"/>
      <c r="AB495" s="252"/>
      <c r="AC495" s="253"/>
      <c r="AD495" s="251"/>
      <c r="AE495" s="254" t="str">
        <f t="shared" si="325"/>
        <v/>
      </c>
      <c r="AF495" s="256" t="str">
        <f t="shared" si="336"/>
        <v/>
      </c>
      <c r="AG495" s="293" t="s">
        <v>62</v>
      </c>
      <c r="AH495" s="294" t="str">
        <f t="shared" si="337"/>
        <v/>
      </c>
      <c r="AI495" s="294" t="str">
        <f t="shared" si="338"/>
        <v/>
      </c>
      <c r="AJ495" s="295" t="str">
        <f t="shared" si="339"/>
        <v/>
      </c>
      <c r="AK495" s="296" t="str">
        <f t="shared" si="340"/>
        <v/>
      </c>
      <c r="AL495" s="297" t="str">
        <f t="shared" si="341"/>
        <v/>
      </c>
      <c r="AM495" s="294" t="str">
        <f t="shared" si="342"/>
        <v/>
      </c>
      <c r="AN495" s="294" t="str">
        <f t="shared" si="343"/>
        <v/>
      </c>
      <c r="AO495" s="298" t="str">
        <f t="shared" si="344"/>
        <v/>
      </c>
      <c r="AP495" s="299" t="str">
        <f t="shared" si="345"/>
        <v/>
      </c>
      <c r="AQ495" s="299" t="str">
        <f t="shared" si="346"/>
        <v/>
      </c>
      <c r="AR495" s="300" t="str">
        <f t="shared" si="326"/>
        <v/>
      </c>
      <c r="AS495" s="300" t="str">
        <f t="shared" si="327"/>
        <v/>
      </c>
      <c r="AT495" s="294" t="str">
        <f t="shared" si="328"/>
        <v/>
      </c>
      <c r="AU495" s="301" t="str">
        <f>IF(OR($B495="", $AP495= ""),"",IF(VLOOKUP($AP495, CONTRATOS!B:K,3,FALSE)="","",VLOOKUP($AP495, CONTRATOS!B:K, 3,FALSE)))</f>
        <v/>
      </c>
      <c r="AV495" s="301" t="str">
        <f>IF(OR($B495="", $AP495 = ""), "", IF(VLOOKUP($AP495, CONTRATOS!B:K,4,FALSE)="","",VLOOKUP($AP495, CONTRATOS!B:K,4, FALSE)))</f>
        <v/>
      </c>
      <c r="AW495" s="302" t="str">
        <f t="shared" si="329"/>
        <v/>
      </c>
      <c r="AX495" s="301" t="str">
        <f t="shared" si="330"/>
        <v/>
      </c>
      <c r="AY495" s="301" t="str">
        <f t="shared" si="331"/>
        <v/>
      </c>
      <c r="AZ495" s="301" t="str">
        <f t="shared" si="332"/>
        <v/>
      </c>
      <c r="BA495" s="301" t="str">
        <f t="shared" si="333"/>
        <v/>
      </c>
      <c r="BB495" s="303">
        <f t="shared" si="347"/>
        <v>0</v>
      </c>
      <c r="BC495" s="303" t="str">
        <f t="shared" si="348"/>
        <v/>
      </c>
      <c r="BD495" s="303" t="str">
        <f t="shared" si="349"/>
        <v/>
      </c>
      <c r="BF495" s="304">
        <f t="shared" si="350"/>
        <v>0</v>
      </c>
      <c r="BG495" s="304">
        <f t="shared" si="351"/>
        <v>0</v>
      </c>
      <c r="BH495" s="304" t="str">
        <f>IF( $B495="", "", IF(ISNA(VLOOKUP($C495, Defesa!$C$8:$C$30,1,FALSE)),1,0))</f>
        <v/>
      </c>
      <c r="BI495" s="305" t="str">
        <f t="shared" si="352"/>
        <v/>
      </c>
      <c r="BJ495" s="305" t="str">
        <f t="shared" si="353"/>
        <v/>
      </c>
      <c r="BK495" s="304" t="str">
        <f t="shared" si="354"/>
        <v/>
      </c>
      <c r="BL495" s="304">
        <f t="shared" si="355"/>
        <v>0</v>
      </c>
      <c r="BM495" s="304" t="str">
        <f>IF($AC495="", "", IF(ISNA(VLOOKUP($AC495, TABELAS!$Q:$Q, 1, FALSE)), 1, 0))</f>
        <v/>
      </c>
      <c r="BN495" s="306" t="str">
        <f t="shared" si="356"/>
        <v/>
      </c>
      <c r="BO495" s="304" t="str">
        <f t="shared" si="357"/>
        <v/>
      </c>
      <c r="BP495" s="304" t="str">
        <f t="shared" si="358"/>
        <v/>
      </c>
      <c r="BQ495" s="305" t="str">
        <f t="shared" si="359"/>
        <v/>
      </c>
      <c r="BR495" s="304" t="str">
        <f t="shared" si="360"/>
        <v/>
      </c>
      <c r="BS495" s="304" t="str">
        <f t="shared" si="361"/>
        <v/>
      </c>
      <c r="BT495" s="304" t="str">
        <f>IF(OR($B495="", $AH495 = "SIM"), "", IF( ISNA(VLOOKUP($AP495,#REF!, 1, FALSE)), 1, 0))</f>
        <v/>
      </c>
      <c r="BU495" s="304" t="str">
        <f t="shared" si="362"/>
        <v/>
      </c>
      <c r="BV495" s="304" t="str">
        <f>IF( $B495="", "", IF( ISNA(VLOOKUP($AN495, TABELAS!$T$2:$T$9,1,FALSE)), 1, 0))</f>
        <v/>
      </c>
      <c r="BW495" s="304" t="str">
        <f t="shared" si="363"/>
        <v/>
      </c>
      <c r="BX495" s="304" t="str">
        <f>IF( OR($B495="", $AH495 = "SIM"), "", IF( ISNA( VLOOKUP( $AQ495, SISTEMA!$B:$B, 1, FALSE)), 1, 0))</f>
        <v/>
      </c>
      <c r="BY495" s="305" t="str">
        <f t="shared" si="364"/>
        <v/>
      </c>
      <c r="BZ495" s="305" t="str">
        <f t="shared" si="365"/>
        <v/>
      </c>
      <c r="CA495" s="304" t="str">
        <f t="shared" si="366"/>
        <v/>
      </c>
      <c r="CB495" s="305" t="str">
        <f t="shared" si="367"/>
        <v/>
      </c>
      <c r="CC495" s="305" t="str">
        <f t="shared" si="368"/>
        <v/>
      </c>
      <c r="CD495" s="305" t="str">
        <f t="shared" si="369"/>
        <v/>
      </c>
    </row>
    <row r="496" spans="1:82" x14ac:dyDescent="0.2">
      <c r="A496" s="235"/>
      <c r="B496" s="236" t="str">
        <f t="shared" si="334"/>
        <v/>
      </c>
      <c r="C496" s="237" t="str">
        <f t="shared" si="324"/>
        <v/>
      </c>
      <c r="D496" s="237" t="str">
        <f t="shared" si="335"/>
        <v/>
      </c>
      <c r="E496" s="237" t="str">
        <f>IF($C496="", "", COUNTIF($M$8:$M496,$D496))</f>
        <v/>
      </c>
      <c r="F496" s="238">
        <v>489</v>
      </c>
      <c r="G496" s="239"/>
      <c r="H496" s="240"/>
      <c r="I496" s="240"/>
      <c r="J496" s="241"/>
      <c r="K496" s="240"/>
      <c r="L496" s="240"/>
      <c r="M496" s="240"/>
      <c r="N496" s="242"/>
      <c r="O496" s="243"/>
      <c r="P496" s="243"/>
      <c r="Q496" s="243"/>
      <c r="R496" s="243"/>
      <c r="S496" s="243"/>
      <c r="T496" s="245"/>
      <c r="U496" s="246" t="str">
        <f>IF($T496="", "", VLOOKUP($T496, CONTRATOS!$B:$E, 2, FALSE))</f>
        <v/>
      </c>
      <c r="V496" s="247">
        <f>IF(OR($T496="",TB_DEFESA!$C$2="Criação Baseline"),0,
   IF(VLOOKUP($T496, CONTRATOS!B:E, 3, FALSE)&lt;&gt;"",1,IF(VLOOKUP($T496, CONTRATOS!B:E, 4, FALSE)&lt;&gt;"",2,0)))</f>
        <v>0</v>
      </c>
      <c r="W496" s="248"/>
      <c r="X496" s="248"/>
      <c r="Y496" s="249"/>
      <c r="Z496" s="250"/>
      <c r="AA496" s="251"/>
      <c r="AB496" s="252"/>
      <c r="AC496" s="253"/>
      <c r="AD496" s="251"/>
      <c r="AE496" s="254" t="str">
        <f t="shared" si="325"/>
        <v/>
      </c>
      <c r="AF496" s="256" t="str">
        <f t="shared" si="336"/>
        <v/>
      </c>
      <c r="AG496" s="293" t="s">
        <v>62</v>
      </c>
      <c r="AH496" s="294" t="str">
        <f t="shared" si="337"/>
        <v/>
      </c>
      <c r="AI496" s="294" t="str">
        <f t="shared" si="338"/>
        <v/>
      </c>
      <c r="AJ496" s="295" t="str">
        <f t="shared" si="339"/>
        <v/>
      </c>
      <c r="AK496" s="296" t="str">
        <f t="shared" si="340"/>
        <v/>
      </c>
      <c r="AL496" s="297" t="str">
        <f t="shared" si="341"/>
        <v/>
      </c>
      <c r="AM496" s="294" t="str">
        <f t="shared" si="342"/>
        <v/>
      </c>
      <c r="AN496" s="294" t="str">
        <f t="shared" si="343"/>
        <v/>
      </c>
      <c r="AO496" s="298" t="str">
        <f t="shared" si="344"/>
        <v/>
      </c>
      <c r="AP496" s="299" t="str">
        <f t="shared" si="345"/>
        <v/>
      </c>
      <c r="AQ496" s="299" t="str">
        <f t="shared" si="346"/>
        <v/>
      </c>
      <c r="AR496" s="300" t="str">
        <f t="shared" si="326"/>
        <v/>
      </c>
      <c r="AS496" s="300" t="str">
        <f t="shared" si="327"/>
        <v/>
      </c>
      <c r="AT496" s="294" t="str">
        <f t="shared" si="328"/>
        <v/>
      </c>
      <c r="AU496" s="301" t="str">
        <f>IF(OR($B496="", $AP496= ""),"",IF(VLOOKUP($AP496, CONTRATOS!B:K,3,FALSE)="","",VLOOKUP($AP496, CONTRATOS!B:K, 3,FALSE)))</f>
        <v/>
      </c>
      <c r="AV496" s="301" t="str">
        <f>IF(OR($B496="", $AP496 = ""), "", IF(VLOOKUP($AP496, CONTRATOS!B:K,4,FALSE)="","",VLOOKUP($AP496, CONTRATOS!B:K,4, FALSE)))</f>
        <v/>
      </c>
      <c r="AW496" s="302" t="str">
        <f t="shared" si="329"/>
        <v/>
      </c>
      <c r="AX496" s="301" t="str">
        <f t="shared" si="330"/>
        <v/>
      </c>
      <c r="AY496" s="301" t="str">
        <f t="shared" si="331"/>
        <v/>
      </c>
      <c r="AZ496" s="301" t="str">
        <f t="shared" si="332"/>
        <v/>
      </c>
      <c r="BA496" s="301" t="str">
        <f t="shared" si="333"/>
        <v/>
      </c>
      <c r="BB496" s="303">
        <f t="shared" si="347"/>
        <v>0</v>
      </c>
      <c r="BC496" s="303" t="str">
        <f t="shared" si="348"/>
        <v/>
      </c>
      <c r="BD496" s="303" t="str">
        <f t="shared" si="349"/>
        <v/>
      </c>
      <c r="BF496" s="304">
        <f t="shared" si="350"/>
        <v>0</v>
      </c>
      <c r="BG496" s="304">
        <f t="shared" si="351"/>
        <v>0</v>
      </c>
      <c r="BH496" s="304" t="str">
        <f>IF( $B496="", "", IF(ISNA(VLOOKUP($C496, Defesa!$C$8:$C$30,1,FALSE)),1,0))</f>
        <v/>
      </c>
      <c r="BI496" s="305" t="str">
        <f t="shared" si="352"/>
        <v/>
      </c>
      <c r="BJ496" s="305" t="str">
        <f t="shared" si="353"/>
        <v/>
      </c>
      <c r="BK496" s="304" t="str">
        <f t="shared" si="354"/>
        <v/>
      </c>
      <c r="BL496" s="304">
        <f t="shared" si="355"/>
        <v>0</v>
      </c>
      <c r="BM496" s="304" t="str">
        <f>IF($AC496="", "", IF(ISNA(VLOOKUP($AC496, TABELAS!$Q:$Q, 1, FALSE)), 1, 0))</f>
        <v/>
      </c>
      <c r="BN496" s="306" t="str">
        <f t="shared" si="356"/>
        <v/>
      </c>
      <c r="BO496" s="304" t="str">
        <f t="shared" si="357"/>
        <v/>
      </c>
      <c r="BP496" s="304" t="str">
        <f t="shared" si="358"/>
        <v/>
      </c>
      <c r="BQ496" s="305" t="str">
        <f t="shared" si="359"/>
        <v/>
      </c>
      <c r="BR496" s="304" t="str">
        <f t="shared" si="360"/>
        <v/>
      </c>
      <c r="BS496" s="304" t="str">
        <f t="shared" si="361"/>
        <v/>
      </c>
      <c r="BT496" s="304" t="str">
        <f>IF(OR($B496="", $AH496 = "SIM"), "", IF( ISNA(VLOOKUP($AP496,#REF!, 1, FALSE)), 1, 0))</f>
        <v/>
      </c>
      <c r="BU496" s="304" t="str">
        <f t="shared" si="362"/>
        <v/>
      </c>
      <c r="BV496" s="304" t="str">
        <f>IF( $B496="", "", IF( ISNA(VLOOKUP($AN496, TABELAS!$T$2:$T$9,1,FALSE)), 1, 0))</f>
        <v/>
      </c>
      <c r="BW496" s="304" t="str">
        <f t="shared" si="363"/>
        <v/>
      </c>
      <c r="BX496" s="304" t="str">
        <f>IF( OR($B496="", $AH496 = "SIM"), "", IF( ISNA( VLOOKUP( $AQ496, SISTEMA!$B:$B, 1, FALSE)), 1, 0))</f>
        <v/>
      </c>
      <c r="BY496" s="305" t="str">
        <f t="shared" si="364"/>
        <v/>
      </c>
      <c r="BZ496" s="305" t="str">
        <f t="shared" si="365"/>
        <v/>
      </c>
      <c r="CA496" s="304" t="str">
        <f t="shared" si="366"/>
        <v/>
      </c>
      <c r="CB496" s="305" t="str">
        <f t="shared" si="367"/>
        <v/>
      </c>
      <c r="CC496" s="305" t="str">
        <f t="shared" si="368"/>
        <v/>
      </c>
      <c r="CD496" s="305" t="str">
        <f t="shared" si="369"/>
        <v/>
      </c>
    </row>
    <row r="497" spans="1:82" x14ac:dyDescent="0.2">
      <c r="A497" s="235"/>
      <c r="B497" s="236" t="str">
        <f t="shared" si="334"/>
        <v/>
      </c>
      <c r="C497" s="237" t="str">
        <f t="shared" si="324"/>
        <v/>
      </c>
      <c r="D497" s="237" t="str">
        <f t="shared" si="335"/>
        <v/>
      </c>
      <c r="E497" s="237" t="str">
        <f>IF($C497="", "", COUNTIF($M$8:$M497,$D497))</f>
        <v/>
      </c>
      <c r="F497" s="238">
        <v>490</v>
      </c>
      <c r="G497" s="239"/>
      <c r="H497" s="240"/>
      <c r="I497" s="240"/>
      <c r="J497" s="241"/>
      <c r="K497" s="240"/>
      <c r="L497" s="240"/>
      <c r="M497" s="240"/>
      <c r="N497" s="242"/>
      <c r="O497" s="243"/>
      <c r="P497" s="243"/>
      <c r="Q497" s="243"/>
      <c r="R497" s="243"/>
      <c r="S497" s="243"/>
      <c r="T497" s="245"/>
      <c r="U497" s="246" t="str">
        <f>IF($T497="", "", VLOOKUP($T497, CONTRATOS!$B:$E, 2, FALSE))</f>
        <v/>
      </c>
      <c r="V497" s="247">
        <f>IF(OR($T497="",TB_DEFESA!$C$2="Criação Baseline"),0,
   IF(VLOOKUP($T497, CONTRATOS!B:E, 3, FALSE)&lt;&gt;"",1,IF(VLOOKUP($T497, CONTRATOS!B:E, 4, FALSE)&lt;&gt;"",2,0)))</f>
        <v>0</v>
      </c>
      <c r="W497" s="248"/>
      <c r="X497" s="248"/>
      <c r="Y497" s="249"/>
      <c r="Z497" s="250"/>
      <c r="AA497" s="251"/>
      <c r="AB497" s="252"/>
      <c r="AC497" s="253"/>
      <c r="AD497" s="251"/>
      <c r="AE497" s="254" t="str">
        <f t="shared" si="325"/>
        <v/>
      </c>
      <c r="AF497" s="256" t="str">
        <f t="shared" si="336"/>
        <v/>
      </c>
      <c r="AG497" s="293" t="s">
        <v>62</v>
      </c>
      <c r="AH497" s="294" t="str">
        <f t="shared" si="337"/>
        <v/>
      </c>
      <c r="AI497" s="294" t="str">
        <f t="shared" si="338"/>
        <v/>
      </c>
      <c r="AJ497" s="295" t="str">
        <f t="shared" si="339"/>
        <v/>
      </c>
      <c r="AK497" s="296" t="str">
        <f t="shared" si="340"/>
        <v/>
      </c>
      <c r="AL497" s="297" t="str">
        <f t="shared" si="341"/>
        <v/>
      </c>
      <c r="AM497" s="294" t="str">
        <f t="shared" si="342"/>
        <v/>
      </c>
      <c r="AN497" s="294" t="str">
        <f t="shared" si="343"/>
        <v/>
      </c>
      <c r="AO497" s="298" t="str">
        <f t="shared" si="344"/>
        <v/>
      </c>
      <c r="AP497" s="299" t="str">
        <f t="shared" si="345"/>
        <v/>
      </c>
      <c r="AQ497" s="299" t="str">
        <f t="shared" si="346"/>
        <v/>
      </c>
      <c r="AR497" s="300" t="str">
        <f t="shared" si="326"/>
        <v/>
      </c>
      <c r="AS497" s="300" t="str">
        <f t="shared" si="327"/>
        <v/>
      </c>
      <c r="AT497" s="294" t="str">
        <f t="shared" si="328"/>
        <v/>
      </c>
      <c r="AU497" s="301" t="str">
        <f>IF(OR($B497="", $AP497= ""),"",IF(VLOOKUP($AP497, CONTRATOS!B:K,3,FALSE)="","",VLOOKUP($AP497, CONTRATOS!B:K, 3,FALSE)))</f>
        <v/>
      </c>
      <c r="AV497" s="301" t="str">
        <f>IF(OR($B497="", $AP497 = ""), "", IF(VLOOKUP($AP497, CONTRATOS!B:K,4,FALSE)="","",VLOOKUP($AP497, CONTRATOS!B:K,4, FALSE)))</f>
        <v/>
      </c>
      <c r="AW497" s="302" t="str">
        <f t="shared" si="329"/>
        <v/>
      </c>
      <c r="AX497" s="301" t="str">
        <f t="shared" si="330"/>
        <v/>
      </c>
      <c r="AY497" s="301" t="str">
        <f t="shared" si="331"/>
        <v/>
      </c>
      <c r="AZ497" s="301" t="str">
        <f t="shared" si="332"/>
        <v/>
      </c>
      <c r="BA497" s="301" t="str">
        <f t="shared" si="333"/>
        <v/>
      </c>
      <c r="BB497" s="303">
        <f t="shared" si="347"/>
        <v>0</v>
      </c>
      <c r="BC497" s="303" t="str">
        <f t="shared" si="348"/>
        <v/>
      </c>
      <c r="BD497" s="303" t="str">
        <f t="shared" si="349"/>
        <v/>
      </c>
      <c r="BF497" s="304">
        <f t="shared" si="350"/>
        <v>0</v>
      </c>
      <c r="BG497" s="304">
        <f t="shared" si="351"/>
        <v>0</v>
      </c>
      <c r="BH497" s="304" t="str">
        <f>IF( $B497="", "", IF(ISNA(VLOOKUP($C497, Defesa!$C$8:$C$30,1,FALSE)),1,0))</f>
        <v/>
      </c>
      <c r="BI497" s="305" t="str">
        <f t="shared" si="352"/>
        <v/>
      </c>
      <c r="BJ497" s="305" t="str">
        <f t="shared" si="353"/>
        <v/>
      </c>
      <c r="BK497" s="304" t="str">
        <f t="shared" si="354"/>
        <v/>
      </c>
      <c r="BL497" s="304">
        <f t="shared" si="355"/>
        <v>0</v>
      </c>
      <c r="BM497" s="304" t="str">
        <f>IF($AC497="", "", IF(ISNA(VLOOKUP($AC497, TABELAS!$Q:$Q, 1, FALSE)), 1, 0))</f>
        <v/>
      </c>
      <c r="BN497" s="306" t="str">
        <f t="shared" si="356"/>
        <v/>
      </c>
      <c r="BO497" s="304" t="str">
        <f t="shared" si="357"/>
        <v/>
      </c>
      <c r="BP497" s="304" t="str">
        <f t="shared" si="358"/>
        <v/>
      </c>
      <c r="BQ497" s="305" t="str">
        <f t="shared" si="359"/>
        <v/>
      </c>
      <c r="BR497" s="304" t="str">
        <f t="shared" si="360"/>
        <v/>
      </c>
      <c r="BS497" s="304" t="str">
        <f t="shared" si="361"/>
        <v/>
      </c>
      <c r="BT497" s="304" t="str">
        <f>IF(OR($B497="", $AH497 = "SIM"), "", IF( ISNA(VLOOKUP($AP497,#REF!, 1, FALSE)), 1, 0))</f>
        <v/>
      </c>
      <c r="BU497" s="304" t="str">
        <f t="shared" si="362"/>
        <v/>
      </c>
      <c r="BV497" s="304" t="str">
        <f>IF( $B497="", "", IF( ISNA(VLOOKUP($AN497, TABELAS!$T$2:$T$9,1,FALSE)), 1, 0))</f>
        <v/>
      </c>
      <c r="BW497" s="304" t="str">
        <f t="shared" si="363"/>
        <v/>
      </c>
      <c r="BX497" s="304" t="str">
        <f>IF( OR($B497="", $AH497 = "SIM"), "", IF( ISNA( VLOOKUP( $AQ497, SISTEMA!$B:$B, 1, FALSE)), 1, 0))</f>
        <v/>
      </c>
      <c r="BY497" s="305" t="str">
        <f t="shared" si="364"/>
        <v/>
      </c>
      <c r="BZ497" s="305" t="str">
        <f t="shared" si="365"/>
        <v/>
      </c>
      <c r="CA497" s="304" t="str">
        <f t="shared" si="366"/>
        <v/>
      </c>
      <c r="CB497" s="305" t="str">
        <f t="shared" si="367"/>
        <v/>
      </c>
      <c r="CC497" s="305" t="str">
        <f t="shared" si="368"/>
        <v/>
      </c>
      <c r="CD497" s="305" t="str">
        <f t="shared" si="369"/>
        <v/>
      </c>
    </row>
    <row r="498" spans="1:82" x14ac:dyDescent="0.2">
      <c r="A498" s="235"/>
      <c r="B498" s="236" t="str">
        <f t="shared" si="334"/>
        <v/>
      </c>
      <c r="C498" s="237" t="str">
        <f t="shared" si="324"/>
        <v/>
      </c>
      <c r="D498" s="237" t="str">
        <f t="shared" si="335"/>
        <v/>
      </c>
      <c r="E498" s="237" t="str">
        <f>IF($C498="", "", COUNTIF($M$8:$M498,$D498))</f>
        <v/>
      </c>
      <c r="F498" s="238">
        <v>491</v>
      </c>
      <c r="G498" s="239"/>
      <c r="H498" s="240"/>
      <c r="I498" s="240"/>
      <c r="J498" s="241"/>
      <c r="K498" s="240"/>
      <c r="L498" s="240"/>
      <c r="M498" s="240"/>
      <c r="N498" s="242"/>
      <c r="O498" s="243"/>
      <c r="P498" s="243"/>
      <c r="Q498" s="243"/>
      <c r="R498" s="243"/>
      <c r="S498" s="243"/>
      <c r="T498" s="245"/>
      <c r="U498" s="246" t="str">
        <f>IF($T498="", "", VLOOKUP($T498, CONTRATOS!$B:$E, 2, FALSE))</f>
        <v/>
      </c>
      <c r="V498" s="247">
        <f>IF(OR($T498="",TB_DEFESA!$C$2="Criação Baseline"),0,
   IF(VLOOKUP($T498, CONTRATOS!B:E, 3, FALSE)&lt;&gt;"",1,IF(VLOOKUP($T498, CONTRATOS!B:E, 4, FALSE)&lt;&gt;"",2,0)))</f>
        <v>0</v>
      </c>
      <c r="W498" s="248"/>
      <c r="X498" s="248"/>
      <c r="Y498" s="249"/>
      <c r="Z498" s="250"/>
      <c r="AA498" s="251"/>
      <c r="AB498" s="252"/>
      <c r="AC498" s="253"/>
      <c r="AD498" s="251"/>
      <c r="AE498" s="254" t="str">
        <f t="shared" si="325"/>
        <v/>
      </c>
      <c r="AF498" s="256" t="str">
        <f t="shared" si="336"/>
        <v/>
      </c>
      <c r="AG498" s="293" t="s">
        <v>62</v>
      </c>
      <c r="AH498" s="294" t="str">
        <f t="shared" si="337"/>
        <v/>
      </c>
      <c r="AI498" s="294" t="str">
        <f t="shared" si="338"/>
        <v/>
      </c>
      <c r="AJ498" s="295" t="str">
        <f t="shared" si="339"/>
        <v/>
      </c>
      <c r="AK498" s="296" t="str">
        <f t="shared" si="340"/>
        <v/>
      </c>
      <c r="AL498" s="297" t="str">
        <f t="shared" si="341"/>
        <v/>
      </c>
      <c r="AM498" s="294" t="str">
        <f t="shared" si="342"/>
        <v/>
      </c>
      <c r="AN498" s="294" t="str">
        <f t="shared" si="343"/>
        <v/>
      </c>
      <c r="AO498" s="298" t="str">
        <f t="shared" si="344"/>
        <v/>
      </c>
      <c r="AP498" s="299" t="str">
        <f t="shared" si="345"/>
        <v/>
      </c>
      <c r="AQ498" s="299" t="str">
        <f t="shared" si="346"/>
        <v/>
      </c>
      <c r="AR498" s="300" t="str">
        <f t="shared" si="326"/>
        <v/>
      </c>
      <c r="AS498" s="300" t="str">
        <f t="shared" si="327"/>
        <v/>
      </c>
      <c r="AT498" s="294" t="str">
        <f t="shared" si="328"/>
        <v/>
      </c>
      <c r="AU498" s="301" t="str">
        <f>IF(OR($B498="", $AP498= ""),"",IF(VLOOKUP($AP498, CONTRATOS!B:K,3,FALSE)="","",VLOOKUP($AP498, CONTRATOS!B:K, 3,FALSE)))</f>
        <v/>
      </c>
      <c r="AV498" s="301" t="str">
        <f>IF(OR($B498="", $AP498 = ""), "", IF(VLOOKUP($AP498, CONTRATOS!B:K,4,FALSE)="","",VLOOKUP($AP498, CONTRATOS!B:K,4, FALSE)))</f>
        <v/>
      </c>
      <c r="AW498" s="302" t="str">
        <f t="shared" si="329"/>
        <v/>
      </c>
      <c r="AX498" s="301" t="str">
        <f t="shared" si="330"/>
        <v/>
      </c>
      <c r="AY498" s="301" t="str">
        <f t="shared" si="331"/>
        <v/>
      </c>
      <c r="AZ498" s="301" t="str">
        <f t="shared" si="332"/>
        <v/>
      </c>
      <c r="BA498" s="301" t="str">
        <f t="shared" si="333"/>
        <v/>
      </c>
      <c r="BB498" s="303">
        <f t="shared" si="347"/>
        <v>0</v>
      </c>
      <c r="BC498" s="303" t="str">
        <f t="shared" si="348"/>
        <v/>
      </c>
      <c r="BD498" s="303" t="str">
        <f t="shared" si="349"/>
        <v/>
      </c>
      <c r="BF498" s="304">
        <f t="shared" si="350"/>
        <v>0</v>
      </c>
      <c r="BG498" s="304">
        <f t="shared" si="351"/>
        <v>0</v>
      </c>
      <c r="BH498" s="304" t="str">
        <f>IF( $B498="", "", IF(ISNA(VLOOKUP($C498, Defesa!$C$8:$C$30,1,FALSE)),1,0))</f>
        <v/>
      </c>
      <c r="BI498" s="305" t="str">
        <f t="shared" si="352"/>
        <v/>
      </c>
      <c r="BJ498" s="305" t="str">
        <f t="shared" si="353"/>
        <v/>
      </c>
      <c r="BK498" s="304" t="str">
        <f t="shared" si="354"/>
        <v/>
      </c>
      <c r="BL498" s="304">
        <f t="shared" si="355"/>
        <v>0</v>
      </c>
      <c r="BM498" s="304" t="str">
        <f>IF($AC498="", "", IF(ISNA(VLOOKUP($AC498, TABELAS!$Q:$Q, 1, FALSE)), 1, 0))</f>
        <v/>
      </c>
      <c r="BN498" s="306" t="str">
        <f t="shared" si="356"/>
        <v/>
      </c>
      <c r="BO498" s="304" t="str">
        <f t="shared" si="357"/>
        <v/>
      </c>
      <c r="BP498" s="304" t="str">
        <f t="shared" si="358"/>
        <v/>
      </c>
      <c r="BQ498" s="305" t="str">
        <f t="shared" si="359"/>
        <v/>
      </c>
      <c r="BR498" s="304" t="str">
        <f t="shared" si="360"/>
        <v/>
      </c>
      <c r="BS498" s="304" t="str">
        <f t="shared" si="361"/>
        <v/>
      </c>
      <c r="BT498" s="304" t="str">
        <f>IF(OR($B498="", $AH498 = "SIM"), "", IF( ISNA(VLOOKUP($AP498,#REF!, 1, FALSE)), 1, 0))</f>
        <v/>
      </c>
      <c r="BU498" s="304" t="str">
        <f t="shared" si="362"/>
        <v/>
      </c>
      <c r="BV498" s="304" t="str">
        <f>IF( $B498="", "", IF( ISNA(VLOOKUP($AN498, TABELAS!$T$2:$T$9,1,FALSE)), 1, 0))</f>
        <v/>
      </c>
      <c r="BW498" s="304" t="str">
        <f t="shared" si="363"/>
        <v/>
      </c>
      <c r="BX498" s="304" t="str">
        <f>IF( OR($B498="", $AH498 = "SIM"), "", IF( ISNA( VLOOKUP( $AQ498, SISTEMA!$B:$B, 1, FALSE)), 1, 0))</f>
        <v/>
      </c>
      <c r="BY498" s="305" t="str">
        <f t="shared" si="364"/>
        <v/>
      </c>
      <c r="BZ498" s="305" t="str">
        <f t="shared" si="365"/>
        <v/>
      </c>
      <c r="CA498" s="304" t="str">
        <f t="shared" si="366"/>
        <v/>
      </c>
      <c r="CB498" s="305" t="str">
        <f t="shared" si="367"/>
        <v/>
      </c>
      <c r="CC498" s="305" t="str">
        <f t="shared" si="368"/>
        <v/>
      </c>
      <c r="CD498" s="305" t="str">
        <f t="shared" si="369"/>
        <v/>
      </c>
    </row>
    <row r="499" spans="1:82" x14ac:dyDescent="0.2">
      <c r="A499" s="235"/>
      <c r="B499" s="236" t="str">
        <f t="shared" si="334"/>
        <v/>
      </c>
      <c r="C499" s="237" t="str">
        <f t="shared" si="324"/>
        <v/>
      </c>
      <c r="D499" s="237" t="str">
        <f t="shared" si="335"/>
        <v/>
      </c>
      <c r="E499" s="237" t="str">
        <f>IF($C499="", "", COUNTIF($M$8:$M499,$D499))</f>
        <v/>
      </c>
      <c r="F499" s="238">
        <v>492</v>
      </c>
      <c r="G499" s="239"/>
      <c r="H499" s="240"/>
      <c r="I499" s="240"/>
      <c r="J499" s="241"/>
      <c r="K499" s="240"/>
      <c r="L499" s="240"/>
      <c r="M499" s="240"/>
      <c r="N499" s="242"/>
      <c r="O499" s="243"/>
      <c r="P499" s="243"/>
      <c r="Q499" s="243"/>
      <c r="R499" s="243"/>
      <c r="S499" s="243"/>
      <c r="T499" s="245"/>
      <c r="U499" s="246" t="str">
        <f>IF($T499="", "", VLOOKUP($T499, CONTRATOS!$B:$E, 2, FALSE))</f>
        <v/>
      </c>
      <c r="V499" s="247">
        <f>IF(OR($T499="",TB_DEFESA!$C$2="Criação Baseline"),0,
   IF(VLOOKUP($T499, CONTRATOS!B:E, 3, FALSE)&lt;&gt;"",1,IF(VLOOKUP($T499, CONTRATOS!B:E, 4, FALSE)&lt;&gt;"",2,0)))</f>
        <v>0</v>
      </c>
      <c r="W499" s="248"/>
      <c r="X499" s="248"/>
      <c r="Y499" s="249"/>
      <c r="Z499" s="250"/>
      <c r="AA499" s="251"/>
      <c r="AB499" s="252"/>
      <c r="AC499" s="253"/>
      <c r="AD499" s="251"/>
      <c r="AE499" s="254" t="str">
        <f t="shared" si="325"/>
        <v/>
      </c>
      <c r="AF499" s="256" t="str">
        <f t="shared" si="336"/>
        <v/>
      </c>
      <c r="AG499" s="293" t="s">
        <v>62</v>
      </c>
      <c r="AH499" s="294" t="str">
        <f t="shared" si="337"/>
        <v/>
      </c>
      <c r="AI499" s="294" t="str">
        <f t="shared" si="338"/>
        <v/>
      </c>
      <c r="AJ499" s="295" t="str">
        <f t="shared" si="339"/>
        <v/>
      </c>
      <c r="AK499" s="296" t="str">
        <f t="shared" si="340"/>
        <v/>
      </c>
      <c r="AL499" s="297" t="str">
        <f t="shared" si="341"/>
        <v/>
      </c>
      <c r="AM499" s="294" t="str">
        <f t="shared" si="342"/>
        <v/>
      </c>
      <c r="AN499" s="294" t="str">
        <f t="shared" si="343"/>
        <v/>
      </c>
      <c r="AO499" s="298" t="str">
        <f t="shared" si="344"/>
        <v/>
      </c>
      <c r="AP499" s="299" t="str">
        <f t="shared" si="345"/>
        <v/>
      </c>
      <c r="AQ499" s="299" t="str">
        <f t="shared" si="346"/>
        <v/>
      </c>
      <c r="AR499" s="300" t="str">
        <f t="shared" si="326"/>
        <v/>
      </c>
      <c r="AS499" s="300" t="str">
        <f t="shared" si="327"/>
        <v/>
      </c>
      <c r="AT499" s="294" t="str">
        <f t="shared" si="328"/>
        <v/>
      </c>
      <c r="AU499" s="301" t="str">
        <f>IF(OR($B499="", $AP499= ""),"",IF(VLOOKUP($AP499, CONTRATOS!B:K,3,FALSE)="","",VLOOKUP($AP499, CONTRATOS!B:K, 3,FALSE)))</f>
        <v/>
      </c>
      <c r="AV499" s="301" t="str">
        <f>IF(OR($B499="", $AP499 = ""), "", IF(VLOOKUP($AP499, CONTRATOS!B:K,4,FALSE)="","",VLOOKUP($AP499, CONTRATOS!B:K,4, FALSE)))</f>
        <v/>
      </c>
      <c r="AW499" s="302" t="str">
        <f t="shared" si="329"/>
        <v/>
      </c>
      <c r="AX499" s="301" t="str">
        <f t="shared" si="330"/>
        <v/>
      </c>
      <c r="AY499" s="301" t="str">
        <f t="shared" si="331"/>
        <v/>
      </c>
      <c r="AZ499" s="301" t="str">
        <f t="shared" si="332"/>
        <v/>
      </c>
      <c r="BA499" s="301" t="str">
        <f t="shared" si="333"/>
        <v/>
      </c>
      <c r="BB499" s="303">
        <f t="shared" si="347"/>
        <v>0</v>
      </c>
      <c r="BC499" s="303" t="str">
        <f t="shared" si="348"/>
        <v/>
      </c>
      <c r="BD499" s="303" t="str">
        <f t="shared" si="349"/>
        <v/>
      </c>
      <c r="BF499" s="304">
        <f t="shared" si="350"/>
        <v>0</v>
      </c>
      <c r="BG499" s="304">
        <f t="shared" si="351"/>
        <v>0</v>
      </c>
      <c r="BH499" s="304" t="str">
        <f>IF( $B499="", "", IF(ISNA(VLOOKUP($C499, Defesa!$C$8:$C$30,1,FALSE)),1,0))</f>
        <v/>
      </c>
      <c r="BI499" s="305" t="str">
        <f t="shared" si="352"/>
        <v/>
      </c>
      <c r="BJ499" s="305" t="str">
        <f t="shared" si="353"/>
        <v/>
      </c>
      <c r="BK499" s="304" t="str">
        <f t="shared" si="354"/>
        <v/>
      </c>
      <c r="BL499" s="304">
        <f t="shared" si="355"/>
        <v>0</v>
      </c>
      <c r="BM499" s="304" t="str">
        <f>IF($AC499="", "", IF(ISNA(VLOOKUP($AC499, TABELAS!$Q:$Q, 1, FALSE)), 1, 0))</f>
        <v/>
      </c>
      <c r="BN499" s="306" t="str">
        <f t="shared" si="356"/>
        <v/>
      </c>
      <c r="BO499" s="304" t="str">
        <f t="shared" si="357"/>
        <v/>
      </c>
      <c r="BP499" s="304" t="str">
        <f t="shared" si="358"/>
        <v/>
      </c>
      <c r="BQ499" s="305" t="str">
        <f t="shared" si="359"/>
        <v/>
      </c>
      <c r="BR499" s="304" t="str">
        <f t="shared" si="360"/>
        <v/>
      </c>
      <c r="BS499" s="304" t="str">
        <f t="shared" si="361"/>
        <v/>
      </c>
      <c r="BT499" s="304" t="str">
        <f>IF(OR($B499="", $AH499 = "SIM"), "", IF( ISNA(VLOOKUP($AP499,#REF!, 1, FALSE)), 1, 0))</f>
        <v/>
      </c>
      <c r="BU499" s="304" t="str">
        <f t="shared" si="362"/>
        <v/>
      </c>
      <c r="BV499" s="304" t="str">
        <f>IF( $B499="", "", IF( ISNA(VLOOKUP($AN499, TABELAS!$T$2:$T$9,1,FALSE)), 1, 0))</f>
        <v/>
      </c>
      <c r="BW499" s="304" t="str">
        <f t="shared" si="363"/>
        <v/>
      </c>
      <c r="BX499" s="304" t="str">
        <f>IF( OR($B499="", $AH499 = "SIM"), "", IF( ISNA( VLOOKUP( $AQ499, SISTEMA!$B:$B, 1, FALSE)), 1, 0))</f>
        <v/>
      </c>
      <c r="BY499" s="305" t="str">
        <f t="shared" si="364"/>
        <v/>
      </c>
      <c r="BZ499" s="305" t="str">
        <f t="shared" si="365"/>
        <v/>
      </c>
      <c r="CA499" s="304" t="str">
        <f t="shared" si="366"/>
        <v/>
      </c>
      <c r="CB499" s="305" t="str">
        <f t="shared" si="367"/>
        <v/>
      </c>
      <c r="CC499" s="305" t="str">
        <f t="shared" si="368"/>
        <v/>
      </c>
      <c r="CD499" s="305" t="str">
        <f t="shared" si="369"/>
        <v/>
      </c>
    </row>
    <row r="500" spans="1:82" x14ac:dyDescent="0.2">
      <c r="A500" s="235"/>
      <c r="B500" s="236" t="str">
        <f t="shared" si="334"/>
        <v/>
      </c>
      <c r="C500" s="237" t="str">
        <f t="shared" si="324"/>
        <v/>
      </c>
      <c r="D500" s="237" t="str">
        <f t="shared" si="335"/>
        <v/>
      </c>
      <c r="E500" s="237" t="str">
        <f>IF($C500="", "", COUNTIF($M$8:$M500,$D500))</f>
        <v/>
      </c>
      <c r="F500" s="238">
        <v>493</v>
      </c>
      <c r="G500" s="239"/>
      <c r="H500" s="240"/>
      <c r="I500" s="240"/>
      <c r="J500" s="241"/>
      <c r="K500" s="240"/>
      <c r="L500" s="240"/>
      <c r="M500" s="240"/>
      <c r="N500" s="242"/>
      <c r="O500" s="243"/>
      <c r="P500" s="243"/>
      <c r="Q500" s="243"/>
      <c r="R500" s="243"/>
      <c r="S500" s="243"/>
      <c r="T500" s="245"/>
      <c r="U500" s="246" t="str">
        <f>IF($T500="", "", VLOOKUP($T500, CONTRATOS!$B:$E, 2, FALSE))</f>
        <v/>
      </c>
      <c r="V500" s="247">
        <f>IF(OR($T500="",TB_DEFESA!$C$2="Criação Baseline"),0,
   IF(VLOOKUP($T500, CONTRATOS!B:E, 3, FALSE)&lt;&gt;"",1,IF(VLOOKUP($T500, CONTRATOS!B:E, 4, FALSE)&lt;&gt;"",2,0)))</f>
        <v>0</v>
      </c>
      <c r="W500" s="248"/>
      <c r="X500" s="248"/>
      <c r="Y500" s="249"/>
      <c r="Z500" s="250"/>
      <c r="AA500" s="251"/>
      <c r="AB500" s="252"/>
      <c r="AC500" s="253"/>
      <c r="AD500" s="251"/>
      <c r="AE500" s="254" t="str">
        <f t="shared" si="325"/>
        <v/>
      </c>
      <c r="AF500" s="256" t="str">
        <f t="shared" si="336"/>
        <v/>
      </c>
      <c r="AG500" s="293" t="s">
        <v>62</v>
      </c>
      <c r="AH500" s="294" t="str">
        <f t="shared" si="337"/>
        <v/>
      </c>
      <c r="AI500" s="294" t="str">
        <f t="shared" si="338"/>
        <v/>
      </c>
      <c r="AJ500" s="295" t="str">
        <f t="shared" si="339"/>
        <v/>
      </c>
      <c r="AK500" s="296" t="str">
        <f t="shared" si="340"/>
        <v/>
      </c>
      <c r="AL500" s="297" t="str">
        <f t="shared" si="341"/>
        <v/>
      </c>
      <c r="AM500" s="294" t="str">
        <f t="shared" si="342"/>
        <v/>
      </c>
      <c r="AN500" s="294" t="str">
        <f t="shared" si="343"/>
        <v/>
      </c>
      <c r="AO500" s="298" t="str">
        <f t="shared" si="344"/>
        <v/>
      </c>
      <c r="AP500" s="299" t="str">
        <f t="shared" si="345"/>
        <v/>
      </c>
      <c r="AQ500" s="299" t="str">
        <f t="shared" si="346"/>
        <v/>
      </c>
      <c r="AR500" s="300" t="str">
        <f t="shared" si="326"/>
        <v/>
      </c>
      <c r="AS500" s="300" t="str">
        <f t="shared" si="327"/>
        <v/>
      </c>
      <c r="AT500" s="294" t="str">
        <f t="shared" si="328"/>
        <v/>
      </c>
      <c r="AU500" s="301" t="str">
        <f>IF(OR($B500="", $AP500= ""),"",IF(VLOOKUP($AP500, CONTRATOS!B:K,3,FALSE)="","",VLOOKUP($AP500, CONTRATOS!B:K, 3,FALSE)))</f>
        <v/>
      </c>
      <c r="AV500" s="301" t="str">
        <f>IF(OR($B500="", $AP500 = ""), "", IF(VLOOKUP($AP500, CONTRATOS!B:K,4,FALSE)="","",VLOOKUP($AP500, CONTRATOS!B:K,4, FALSE)))</f>
        <v/>
      </c>
      <c r="AW500" s="302" t="str">
        <f t="shared" si="329"/>
        <v/>
      </c>
      <c r="AX500" s="301" t="str">
        <f t="shared" si="330"/>
        <v/>
      </c>
      <c r="AY500" s="301" t="str">
        <f t="shared" si="331"/>
        <v/>
      </c>
      <c r="AZ500" s="301" t="str">
        <f t="shared" si="332"/>
        <v/>
      </c>
      <c r="BA500" s="301" t="str">
        <f t="shared" si="333"/>
        <v/>
      </c>
      <c r="BB500" s="303">
        <f t="shared" si="347"/>
        <v>0</v>
      </c>
      <c r="BC500" s="303" t="str">
        <f t="shared" si="348"/>
        <v/>
      </c>
      <c r="BD500" s="303" t="str">
        <f t="shared" si="349"/>
        <v/>
      </c>
      <c r="BF500" s="304">
        <f t="shared" si="350"/>
        <v>0</v>
      </c>
      <c r="BG500" s="304">
        <f t="shared" si="351"/>
        <v>0</v>
      </c>
      <c r="BH500" s="304" t="str">
        <f>IF( $B500="", "", IF(ISNA(VLOOKUP($C500, Defesa!$C$8:$C$30,1,FALSE)),1,0))</f>
        <v/>
      </c>
      <c r="BI500" s="305" t="str">
        <f t="shared" si="352"/>
        <v/>
      </c>
      <c r="BJ500" s="305" t="str">
        <f t="shared" si="353"/>
        <v/>
      </c>
      <c r="BK500" s="304" t="str">
        <f t="shared" si="354"/>
        <v/>
      </c>
      <c r="BL500" s="304">
        <f t="shared" si="355"/>
        <v>0</v>
      </c>
      <c r="BM500" s="304" t="str">
        <f>IF($AC500="", "", IF(ISNA(VLOOKUP($AC500, TABELAS!$Q:$Q, 1, FALSE)), 1, 0))</f>
        <v/>
      </c>
      <c r="BN500" s="306" t="str">
        <f t="shared" si="356"/>
        <v/>
      </c>
      <c r="BO500" s="304" t="str">
        <f t="shared" si="357"/>
        <v/>
      </c>
      <c r="BP500" s="304" t="str">
        <f t="shared" si="358"/>
        <v/>
      </c>
      <c r="BQ500" s="305" t="str">
        <f t="shared" si="359"/>
        <v/>
      </c>
      <c r="BR500" s="304" t="str">
        <f t="shared" si="360"/>
        <v/>
      </c>
      <c r="BS500" s="304" t="str">
        <f t="shared" si="361"/>
        <v/>
      </c>
      <c r="BT500" s="304" t="str">
        <f>IF(OR($B500="", $AH500 = "SIM"), "", IF( ISNA(VLOOKUP($AP500,#REF!, 1, FALSE)), 1, 0))</f>
        <v/>
      </c>
      <c r="BU500" s="304" t="str">
        <f t="shared" si="362"/>
        <v/>
      </c>
      <c r="BV500" s="304" t="str">
        <f>IF( $B500="", "", IF( ISNA(VLOOKUP($AN500, TABELAS!$T$2:$T$9,1,FALSE)), 1, 0))</f>
        <v/>
      </c>
      <c r="BW500" s="304" t="str">
        <f t="shared" si="363"/>
        <v/>
      </c>
      <c r="BX500" s="304" t="str">
        <f>IF( OR($B500="", $AH500 = "SIM"), "", IF( ISNA( VLOOKUP( $AQ500, SISTEMA!$B:$B, 1, FALSE)), 1, 0))</f>
        <v/>
      </c>
      <c r="BY500" s="305" t="str">
        <f t="shared" si="364"/>
        <v/>
      </c>
      <c r="BZ500" s="305" t="str">
        <f t="shared" si="365"/>
        <v/>
      </c>
      <c r="CA500" s="304" t="str">
        <f t="shared" si="366"/>
        <v/>
      </c>
      <c r="CB500" s="305" t="str">
        <f t="shared" si="367"/>
        <v/>
      </c>
      <c r="CC500" s="305" t="str">
        <f t="shared" si="368"/>
        <v/>
      </c>
      <c r="CD500" s="305" t="str">
        <f t="shared" si="369"/>
        <v/>
      </c>
    </row>
    <row r="501" spans="1:82" x14ac:dyDescent="0.2">
      <c r="A501" s="235"/>
      <c r="B501" s="236" t="str">
        <f t="shared" si="334"/>
        <v/>
      </c>
      <c r="C501" s="237" t="str">
        <f t="shared" si="324"/>
        <v/>
      </c>
      <c r="D501" s="237" t="str">
        <f t="shared" si="335"/>
        <v/>
      </c>
      <c r="E501" s="237" t="str">
        <f>IF($C501="", "", COUNTIF($M$8:$M501,$D501))</f>
        <v/>
      </c>
      <c r="F501" s="238">
        <v>494</v>
      </c>
      <c r="G501" s="239"/>
      <c r="H501" s="240"/>
      <c r="I501" s="240"/>
      <c r="J501" s="241"/>
      <c r="K501" s="240"/>
      <c r="L501" s="240"/>
      <c r="M501" s="240"/>
      <c r="N501" s="242"/>
      <c r="O501" s="243"/>
      <c r="P501" s="243"/>
      <c r="Q501" s="243"/>
      <c r="R501" s="243"/>
      <c r="S501" s="243"/>
      <c r="T501" s="245"/>
      <c r="U501" s="246" t="str">
        <f>IF($T501="", "", VLOOKUP($T501, CONTRATOS!$B:$E, 2, FALSE))</f>
        <v/>
      </c>
      <c r="V501" s="247">
        <f>IF(OR($T501="",TB_DEFESA!$C$2="Criação Baseline"),0,
   IF(VLOOKUP($T501, CONTRATOS!B:E, 3, FALSE)&lt;&gt;"",1,IF(VLOOKUP($T501, CONTRATOS!B:E, 4, FALSE)&lt;&gt;"",2,0)))</f>
        <v>0</v>
      </c>
      <c r="W501" s="248"/>
      <c r="X501" s="248"/>
      <c r="Y501" s="249"/>
      <c r="Z501" s="250"/>
      <c r="AA501" s="251"/>
      <c r="AB501" s="252"/>
      <c r="AC501" s="253"/>
      <c r="AD501" s="251"/>
      <c r="AE501" s="254" t="str">
        <f t="shared" si="325"/>
        <v/>
      </c>
      <c r="AF501" s="256" t="str">
        <f t="shared" si="336"/>
        <v/>
      </c>
      <c r="AG501" s="293" t="s">
        <v>62</v>
      </c>
      <c r="AH501" s="294" t="str">
        <f t="shared" si="337"/>
        <v/>
      </c>
      <c r="AI501" s="294" t="str">
        <f t="shared" si="338"/>
        <v/>
      </c>
      <c r="AJ501" s="295" t="str">
        <f t="shared" si="339"/>
        <v/>
      </c>
      <c r="AK501" s="296" t="str">
        <f t="shared" si="340"/>
        <v/>
      </c>
      <c r="AL501" s="297" t="str">
        <f t="shared" si="341"/>
        <v/>
      </c>
      <c r="AM501" s="294" t="str">
        <f t="shared" si="342"/>
        <v/>
      </c>
      <c r="AN501" s="294" t="str">
        <f t="shared" si="343"/>
        <v/>
      </c>
      <c r="AO501" s="298" t="str">
        <f t="shared" si="344"/>
        <v/>
      </c>
      <c r="AP501" s="299" t="str">
        <f t="shared" si="345"/>
        <v/>
      </c>
      <c r="AQ501" s="299" t="str">
        <f t="shared" si="346"/>
        <v/>
      </c>
      <c r="AR501" s="300" t="str">
        <f t="shared" si="326"/>
        <v/>
      </c>
      <c r="AS501" s="300" t="str">
        <f t="shared" si="327"/>
        <v/>
      </c>
      <c r="AT501" s="294" t="str">
        <f t="shared" si="328"/>
        <v/>
      </c>
      <c r="AU501" s="301" t="str">
        <f>IF(OR($B501="", $AP501= ""),"",IF(VLOOKUP($AP501, CONTRATOS!B:K,3,FALSE)="","",VLOOKUP($AP501, CONTRATOS!B:K, 3,FALSE)))</f>
        <v/>
      </c>
      <c r="AV501" s="301" t="str">
        <f>IF(OR($B501="", $AP501 = ""), "", IF(VLOOKUP($AP501, CONTRATOS!B:K,4,FALSE)="","",VLOOKUP($AP501, CONTRATOS!B:K,4, FALSE)))</f>
        <v/>
      </c>
      <c r="AW501" s="302" t="str">
        <f t="shared" si="329"/>
        <v/>
      </c>
      <c r="AX501" s="301" t="str">
        <f t="shared" si="330"/>
        <v/>
      </c>
      <c r="AY501" s="301" t="str">
        <f t="shared" si="331"/>
        <v/>
      </c>
      <c r="AZ501" s="301" t="str">
        <f t="shared" si="332"/>
        <v/>
      </c>
      <c r="BA501" s="301" t="str">
        <f t="shared" si="333"/>
        <v/>
      </c>
      <c r="BB501" s="303">
        <f t="shared" si="347"/>
        <v>0</v>
      </c>
      <c r="BC501" s="303" t="str">
        <f t="shared" si="348"/>
        <v/>
      </c>
      <c r="BD501" s="303" t="str">
        <f t="shared" si="349"/>
        <v/>
      </c>
      <c r="BF501" s="304">
        <f t="shared" si="350"/>
        <v>0</v>
      </c>
      <c r="BG501" s="304">
        <f t="shared" si="351"/>
        <v>0</v>
      </c>
      <c r="BH501" s="304" t="str">
        <f>IF( $B501="", "", IF(ISNA(VLOOKUP($C501, Defesa!$C$8:$C$30,1,FALSE)),1,0))</f>
        <v/>
      </c>
      <c r="BI501" s="305" t="str">
        <f t="shared" si="352"/>
        <v/>
      </c>
      <c r="BJ501" s="305" t="str">
        <f t="shared" si="353"/>
        <v/>
      </c>
      <c r="BK501" s="304" t="str">
        <f t="shared" si="354"/>
        <v/>
      </c>
      <c r="BL501" s="304">
        <f t="shared" si="355"/>
        <v>0</v>
      </c>
      <c r="BM501" s="304" t="str">
        <f>IF($AC501="", "", IF(ISNA(VLOOKUP($AC501, TABELAS!$Q:$Q, 1, FALSE)), 1, 0))</f>
        <v/>
      </c>
      <c r="BN501" s="306" t="str">
        <f t="shared" si="356"/>
        <v/>
      </c>
      <c r="BO501" s="304" t="str">
        <f t="shared" si="357"/>
        <v/>
      </c>
      <c r="BP501" s="304" t="str">
        <f t="shared" si="358"/>
        <v/>
      </c>
      <c r="BQ501" s="305" t="str">
        <f t="shared" si="359"/>
        <v/>
      </c>
      <c r="BR501" s="304" t="str">
        <f t="shared" si="360"/>
        <v/>
      </c>
      <c r="BS501" s="304" t="str">
        <f t="shared" si="361"/>
        <v/>
      </c>
      <c r="BT501" s="304" t="str">
        <f>IF(OR($B501="", $AH501 = "SIM"), "", IF( ISNA(VLOOKUP($AP501,#REF!, 1, FALSE)), 1, 0))</f>
        <v/>
      </c>
      <c r="BU501" s="304" t="str">
        <f t="shared" si="362"/>
        <v/>
      </c>
      <c r="BV501" s="304" t="str">
        <f>IF( $B501="", "", IF( ISNA(VLOOKUP($AN501, TABELAS!$T$2:$T$9,1,FALSE)), 1, 0))</f>
        <v/>
      </c>
      <c r="BW501" s="304" t="str">
        <f t="shared" si="363"/>
        <v/>
      </c>
      <c r="BX501" s="304" t="str">
        <f>IF( OR($B501="", $AH501 = "SIM"), "", IF( ISNA( VLOOKUP( $AQ501, SISTEMA!$B:$B, 1, FALSE)), 1, 0))</f>
        <v/>
      </c>
      <c r="BY501" s="305" t="str">
        <f t="shared" si="364"/>
        <v/>
      </c>
      <c r="BZ501" s="305" t="str">
        <f t="shared" si="365"/>
        <v/>
      </c>
      <c r="CA501" s="304" t="str">
        <f t="shared" si="366"/>
        <v/>
      </c>
      <c r="CB501" s="305" t="str">
        <f t="shared" si="367"/>
        <v/>
      </c>
      <c r="CC501" s="305" t="str">
        <f t="shared" si="368"/>
        <v/>
      </c>
      <c r="CD501" s="305" t="str">
        <f t="shared" si="369"/>
        <v/>
      </c>
    </row>
    <row r="502" spans="1:82" x14ac:dyDescent="0.2">
      <c r="A502" s="235"/>
      <c r="B502" s="236" t="str">
        <f t="shared" si="334"/>
        <v/>
      </c>
      <c r="C502" s="237" t="str">
        <f t="shared" si="324"/>
        <v/>
      </c>
      <c r="D502" s="237" t="str">
        <f t="shared" si="335"/>
        <v/>
      </c>
      <c r="E502" s="237" t="str">
        <f>IF($C502="", "", COUNTIF($M$8:$M502,$D502))</f>
        <v/>
      </c>
      <c r="F502" s="238">
        <v>495</v>
      </c>
      <c r="G502" s="239"/>
      <c r="H502" s="240"/>
      <c r="I502" s="240"/>
      <c r="J502" s="241"/>
      <c r="K502" s="240"/>
      <c r="L502" s="240"/>
      <c r="M502" s="240"/>
      <c r="N502" s="242"/>
      <c r="O502" s="243"/>
      <c r="P502" s="243"/>
      <c r="Q502" s="243"/>
      <c r="R502" s="243"/>
      <c r="S502" s="243"/>
      <c r="T502" s="245"/>
      <c r="U502" s="246" t="str">
        <f>IF($T502="", "", VLOOKUP($T502, CONTRATOS!$B:$E, 2, FALSE))</f>
        <v/>
      </c>
      <c r="V502" s="247">
        <f>IF(OR($T502="",TB_DEFESA!$C$2="Criação Baseline"),0,
   IF(VLOOKUP($T502, CONTRATOS!B:E, 3, FALSE)&lt;&gt;"",1,IF(VLOOKUP($T502, CONTRATOS!B:E, 4, FALSE)&lt;&gt;"",2,0)))</f>
        <v>0</v>
      </c>
      <c r="W502" s="248"/>
      <c r="X502" s="248"/>
      <c r="Y502" s="249"/>
      <c r="Z502" s="250"/>
      <c r="AA502" s="251"/>
      <c r="AB502" s="252"/>
      <c r="AC502" s="253"/>
      <c r="AD502" s="251"/>
      <c r="AE502" s="254" t="str">
        <f t="shared" si="325"/>
        <v/>
      </c>
      <c r="AF502" s="256" t="str">
        <f t="shared" si="336"/>
        <v/>
      </c>
      <c r="AG502" s="293" t="s">
        <v>62</v>
      </c>
      <c r="AH502" s="294" t="str">
        <f t="shared" si="337"/>
        <v/>
      </c>
      <c r="AI502" s="294" t="str">
        <f t="shared" si="338"/>
        <v/>
      </c>
      <c r="AJ502" s="295" t="str">
        <f t="shared" si="339"/>
        <v/>
      </c>
      <c r="AK502" s="296" t="str">
        <f t="shared" si="340"/>
        <v/>
      </c>
      <c r="AL502" s="297" t="str">
        <f t="shared" si="341"/>
        <v/>
      </c>
      <c r="AM502" s="294" t="str">
        <f t="shared" si="342"/>
        <v/>
      </c>
      <c r="AN502" s="294" t="str">
        <f t="shared" si="343"/>
        <v/>
      </c>
      <c r="AO502" s="298" t="str">
        <f t="shared" si="344"/>
        <v/>
      </c>
      <c r="AP502" s="299" t="str">
        <f t="shared" si="345"/>
        <v/>
      </c>
      <c r="AQ502" s="299" t="str">
        <f t="shared" si="346"/>
        <v/>
      </c>
      <c r="AR502" s="300" t="str">
        <f t="shared" si="326"/>
        <v/>
      </c>
      <c r="AS502" s="300" t="str">
        <f t="shared" si="327"/>
        <v/>
      </c>
      <c r="AT502" s="294" t="str">
        <f t="shared" si="328"/>
        <v/>
      </c>
      <c r="AU502" s="301" t="str">
        <f>IF(OR($B502="", $AP502= ""),"",IF(VLOOKUP($AP502, CONTRATOS!B:K,3,FALSE)="","",VLOOKUP($AP502, CONTRATOS!B:K, 3,FALSE)))</f>
        <v/>
      </c>
      <c r="AV502" s="301" t="str">
        <f>IF(OR($B502="", $AP502 = ""), "", IF(VLOOKUP($AP502, CONTRATOS!B:K,4,FALSE)="","",VLOOKUP($AP502, CONTRATOS!B:K,4, FALSE)))</f>
        <v/>
      </c>
      <c r="AW502" s="302" t="str">
        <f t="shared" si="329"/>
        <v/>
      </c>
      <c r="AX502" s="301" t="str">
        <f t="shared" si="330"/>
        <v/>
      </c>
      <c r="AY502" s="301" t="str">
        <f t="shared" si="331"/>
        <v/>
      </c>
      <c r="AZ502" s="301" t="str">
        <f t="shared" si="332"/>
        <v/>
      </c>
      <c r="BA502" s="301" t="str">
        <f t="shared" si="333"/>
        <v/>
      </c>
      <c r="BB502" s="303">
        <f t="shared" si="347"/>
        <v>0</v>
      </c>
      <c r="BC502" s="303" t="str">
        <f t="shared" si="348"/>
        <v/>
      </c>
      <c r="BD502" s="303" t="str">
        <f t="shared" si="349"/>
        <v/>
      </c>
      <c r="BF502" s="304">
        <f t="shared" si="350"/>
        <v>0</v>
      </c>
      <c r="BG502" s="304">
        <f t="shared" si="351"/>
        <v>0</v>
      </c>
      <c r="BH502" s="304" t="str">
        <f>IF( $B502="", "", IF(ISNA(VLOOKUP($C502, Defesa!$C$8:$C$30,1,FALSE)),1,0))</f>
        <v/>
      </c>
      <c r="BI502" s="305" t="str">
        <f t="shared" si="352"/>
        <v/>
      </c>
      <c r="BJ502" s="305" t="str">
        <f t="shared" si="353"/>
        <v/>
      </c>
      <c r="BK502" s="304" t="str">
        <f t="shared" si="354"/>
        <v/>
      </c>
      <c r="BL502" s="304">
        <f t="shared" si="355"/>
        <v>0</v>
      </c>
      <c r="BM502" s="304" t="str">
        <f>IF($AC502="", "", IF(ISNA(VLOOKUP($AC502, TABELAS!$Q:$Q, 1, FALSE)), 1, 0))</f>
        <v/>
      </c>
      <c r="BN502" s="306" t="str">
        <f t="shared" si="356"/>
        <v/>
      </c>
      <c r="BO502" s="304" t="str">
        <f t="shared" si="357"/>
        <v/>
      </c>
      <c r="BP502" s="304" t="str">
        <f t="shared" si="358"/>
        <v/>
      </c>
      <c r="BQ502" s="305" t="str">
        <f t="shared" si="359"/>
        <v/>
      </c>
      <c r="BR502" s="304" t="str">
        <f t="shared" si="360"/>
        <v/>
      </c>
      <c r="BS502" s="304" t="str">
        <f t="shared" si="361"/>
        <v/>
      </c>
      <c r="BT502" s="304" t="str">
        <f>IF(OR($B502="", $AH502 = "SIM"), "", IF( ISNA(VLOOKUP($AP502,#REF!, 1, FALSE)), 1, 0))</f>
        <v/>
      </c>
      <c r="BU502" s="304" t="str">
        <f t="shared" si="362"/>
        <v/>
      </c>
      <c r="BV502" s="304" t="str">
        <f>IF( $B502="", "", IF( ISNA(VLOOKUP($AN502, TABELAS!$T$2:$T$9,1,FALSE)), 1, 0))</f>
        <v/>
      </c>
      <c r="BW502" s="304" t="str">
        <f t="shared" si="363"/>
        <v/>
      </c>
      <c r="BX502" s="304" t="str">
        <f>IF( OR($B502="", $AH502 = "SIM"), "", IF( ISNA( VLOOKUP( $AQ502, SISTEMA!$B:$B, 1, FALSE)), 1, 0))</f>
        <v/>
      </c>
      <c r="BY502" s="305" t="str">
        <f t="shared" si="364"/>
        <v/>
      </c>
      <c r="BZ502" s="305" t="str">
        <f t="shared" si="365"/>
        <v/>
      </c>
      <c r="CA502" s="304" t="str">
        <f t="shared" si="366"/>
        <v/>
      </c>
      <c r="CB502" s="305" t="str">
        <f t="shared" si="367"/>
        <v/>
      </c>
      <c r="CC502" s="305" t="str">
        <f t="shared" si="368"/>
        <v/>
      </c>
      <c r="CD502" s="305" t="str">
        <f t="shared" si="369"/>
        <v/>
      </c>
    </row>
    <row r="503" spans="1:82" x14ac:dyDescent="0.2">
      <c r="A503" s="235"/>
      <c r="B503" s="236" t="str">
        <f t="shared" si="334"/>
        <v/>
      </c>
      <c r="C503" s="237" t="str">
        <f t="shared" si="324"/>
        <v/>
      </c>
      <c r="D503" s="237" t="str">
        <f t="shared" si="335"/>
        <v/>
      </c>
      <c r="E503" s="237" t="str">
        <f>IF($C503="", "", COUNTIF($M$8:$M503,$D503))</f>
        <v/>
      </c>
      <c r="F503" s="238">
        <v>496</v>
      </c>
      <c r="G503" s="239"/>
      <c r="H503" s="240"/>
      <c r="I503" s="240"/>
      <c r="J503" s="241"/>
      <c r="K503" s="240"/>
      <c r="L503" s="240"/>
      <c r="M503" s="240"/>
      <c r="N503" s="242"/>
      <c r="O503" s="243"/>
      <c r="P503" s="243"/>
      <c r="Q503" s="243"/>
      <c r="R503" s="243"/>
      <c r="S503" s="243"/>
      <c r="T503" s="245"/>
      <c r="U503" s="246" t="str">
        <f>IF($T503="", "", VLOOKUP($T503, CONTRATOS!$B:$E, 2, FALSE))</f>
        <v/>
      </c>
      <c r="V503" s="247">
        <f>IF(OR($T503="",TB_DEFESA!$C$2="Criação Baseline"),0,
   IF(VLOOKUP($T503, CONTRATOS!B:E, 3, FALSE)&lt;&gt;"",1,IF(VLOOKUP($T503, CONTRATOS!B:E, 4, FALSE)&lt;&gt;"",2,0)))</f>
        <v>0</v>
      </c>
      <c r="W503" s="248"/>
      <c r="X503" s="248"/>
      <c r="Y503" s="249"/>
      <c r="Z503" s="250"/>
      <c r="AA503" s="251"/>
      <c r="AB503" s="252"/>
      <c r="AC503" s="253"/>
      <c r="AD503" s="251"/>
      <c r="AE503" s="254" t="str">
        <f t="shared" si="325"/>
        <v/>
      </c>
      <c r="AF503" s="256" t="str">
        <f t="shared" si="336"/>
        <v/>
      </c>
      <c r="AG503" s="293" t="s">
        <v>62</v>
      </c>
      <c r="AH503" s="294" t="str">
        <f t="shared" si="337"/>
        <v/>
      </c>
      <c r="AI503" s="294" t="str">
        <f t="shared" si="338"/>
        <v/>
      </c>
      <c r="AJ503" s="295" t="str">
        <f t="shared" si="339"/>
        <v/>
      </c>
      <c r="AK503" s="296" t="str">
        <f t="shared" si="340"/>
        <v/>
      </c>
      <c r="AL503" s="297" t="str">
        <f t="shared" si="341"/>
        <v/>
      </c>
      <c r="AM503" s="294" t="str">
        <f t="shared" si="342"/>
        <v/>
      </c>
      <c r="AN503" s="294" t="str">
        <f t="shared" si="343"/>
        <v/>
      </c>
      <c r="AO503" s="298" t="str">
        <f t="shared" si="344"/>
        <v/>
      </c>
      <c r="AP503" s="299" t="str">
        <f t="shared" si="345"/>
        <v/>
      </c>
      <c r="AQ503" s="299" t="str">
        <f t="shared" si="346"/>
        <v/>
      </c>
      <c r="AR503" s="300" t="str">
        <f t="shared" si="326"/>
        <v/>
      </c>
      <c r="AS503" s="300" t="str">
        <f t="shared" si="327"/>
        <v/>
      </c>
      <c r="AT503" s="294" t="str">
        <f t="shared" si="328"/>
        <v/>
      </c>
      <c r="AU503" s="301" t="str">
        <f>IF(OR($B503="", $AP503= ""),"",IF(VLOOKUP($AP503, CONTRATOS!B:K,3,FALSE)="","",VLOOKUP($AP503, CONTRATOS!B:K, 3,FALSE)))</f>
        <v/>
      </c>
      <c r="AV503" s="301" t="str">
        <f>IF(OR($B503="", $AP503 = ""), "", IF(VLOOKUP($AP503, CONTRATOS!B:K,4,FALSE)="","",VLOOKUP($AP503, CONTRATOS!B:K,4, FALSE)))</f>
        <v/>
      </c>
      <c r="AW503" s="302" t="str">
        <f t="shared" si="329"/>
        <v/>
      </c>
      <c r="AX503" s="301" t="str">
        <f t="shared" si="330"/>
        <v/>
      </c>
      <c r="AY503" s="301" t="str">
        <f t="shared" si="331"/>
        <v/>
      </c>
      <c r="AZ503" s="301" t="str">
        <f t="shared" si="332"/>
        <v/>
      </c>
      <c r="BA503" s="301" t="str">
        <f t="shared" si="333"/>
        <v/>
      </c>
      <c r="BB503" s="303">
        <f t="shared" si="347"/>
        <v>0</v>
      </c>
      <c r="BC503" s="303" t="str">
        <f t="shared" si="348"/>
        <v/>
      </c>
      <c r="BD503" s="303" t="str">
        <f t="shared" si="349"/>
        <v/>
      </c>
      <c r="BF503" s="304">
        <f t="shared" si="350"/>
        <v>0</v>
      </c>
      <c r="BG503" s="304">
        <f t="shared" si="351"/>
        <v>0</v>
      </c>
      <c r="BH503" s="304" t="str">
        <f>IF( $B503="", "", IF(ISNA(VLOOKUP($C503, Defesa!$C$8:$C$30,1,FALSE)),1,0))</f>
        <v/>
      </c>
      <c r="BI503" s="305" t="str">
        <f t="shared" si="352"/>
        <v/>
      </c>
      <c r="BJ503" s="305" t="str">
        <f t="shared" si="353"/>
        <v/>
      </c>
      <c r="BK503" s="304" t="str">
        <f t="shared" si="354"/>
        <v/>
      </c>
      <c r="BL503" s="304">
        <f t="shared" si="355"/>
        <v>0</v>
      </c>
      <c r="BM503" s="304" t="str">
        <f>IF($AC503="", "", IF(ISNA(VLOOKUP($AC503, TABELAS!$Q:$Q, 1, FALSE)), 1, 0))</f>
        <v/>
      </c>
      <c r="BN503" s="306" t="str">
        <f t="shared" si="356"/>
        <v/>
      </c>
      <c r="BO503" s="304" t="str">
        <f t="shared" si="357"/>
        <v/>
      </c>
      <c r="BP503" s="304" t="str">
        <f t="shared" si="358"/>
        <v/>
      </c>
      <c r="BQ503" s="305" t="str">
        <f t="shared" si="359"/>
        <v/>
      </c>
      <c r="BR503" s="304" t="str">
        <f t="shared" si="360"/>
        <v/>
      </c>
      <c r="BS503" s="304" t="str">
        <f t="shared" si="361"/>
        <v/>
      </c>
      <c r="BT503" s="304" t="str">
        <f>IF(OR($B503="", $AH503 = "SIM"), "", IF( ISNA(VLOOKUP($AP503,#REF!, 1, FALSE)), 1, 0))</f>
        <v/>
      </c>
      <c r="BU503" s="304" t="str">
        <f t="shared" si="362"/>
        <v/>
      </c>
      <c r="BV503" s="304" t="str">
        <f>IF( $B503="", "", IF( ISNA(VLOOKUP($AN503, TABELAS!$T$2:$T$9,1,FALSE)), 1, 0))</f>
        <v/>
      </c>
      <c r="BW503" s="304" t="str">
        <f t="shared" si="363"/>
        <v/>
      </c>
      <c r="BX503" s="304" t="str">
        <f>IF( OR($B503="", $AH503 = "SIM"), "", IF( ISNA( VLOOKUP( $AQ503, SISTEMA!$B:$B, 1, FALSE)), 1, 0))</f>
        <v/>
      </c>
      <c r="BY503" s="305" t="str">
        <f t="shared" si="364"/>
        <v/>
      </c>
      <c r="BZ503" s="305" t="str">
        <f t="shared" si="365"/>
        <v/>
      </c>
      <c r="CA503" s="304" t="str">
        <f t="shared" si="366"/>
        <v/>
      </c>
      <c r="CB503" s="305" t="str">
        <f t="shared" si="367"/>
        <v/>
      </c>
      <c r="CC503" s="305" t="str">
        <f t="shared" si="368"/>
        <v/>
      </c>
      <c r="CD503" s="305" t="str">
        <f t="shared" si="369"/>
        <v/>
      </c>
    </row>
    <row r="504" spans="1:82" x14ac:dyDescent="0.2">
      <c r="A504" s="235"/>
      <c r="B504" s="236" t="str">
        <f t="shared" si="334"/>
        <v/>
      </c>
      <c r="C504" s="237" t="str">
        <f t="shared" si="324"/>
        <v/>
      </c>
      <c r="D504" s="237" t="str">
        <f t="shared" si="335"/>
        <v/>
      </c>
      <c r="E504" s="237" t="str">
        <f>IF($C504="", "", COUNTIF($M$8:$M504,$D504))</f>
        <v/>
      </c>
      <c r="F504" s="238">
        <v>497</v>
      </c>
      <c r="G504" s="239"/>
      <c r="H504" s="240"/>
      <c r="I504" s="240"/>
      <c r="J504" s="241"/>
      <c r="K504" s="240"/>
      <c r="L504" s="240"/>
      <c r="M504" s="240"/>
      <c r="N504" s="242"/>
      <c r="O504" s="243"/>
      <c r="P504" s="243"/>
      <c r="Q504" s="243"/>
      <c r="R504" s="243"/>
      <c r="S504" s="243"/>
      <c r="T504" s="245"/>
      <c r="U504" s="246" t="str">
        <f>IF($T504="", "", VLOOKUP($T504, CONTRATOS!$B:$E, 2, FALSE))</f>
        <v/>
      </c>
      <c r="V504" s="247">
        <f>IF(OR($T504="",TB_DEFESA!$C$2="Criação Baseline"),0,
   IF(VLOOKUP($T504, CONTRATOS!B:E, 3, FALSE)&lt;&gt;"",1,IF(VLOOKUP($T504, CONTRATOS!B:E, 4, FALSE)&lt;&gt;"",2,0)))</f>
        <v>0</v>
      </c>
      <c r="W504" s="248"/>
      <c r="X504" s="248"/>
      <c r="Y504" s="249"/>
      <c r="Z504" s="250"/>
      <c r="AA504" s="251"/>
      <c r="AB504" s="252"/>
      <c r="AC504" s="253"/>
      <c r="AD504" s="251"/>
      <c r="AE504" s="254" t="str">
        <f t="shared" si="325"/>
        <v/>
      </c>
      <c r="AF504" s="256" t="str">
        <f t="shared" si="336"/>
        <v/>
      </c>
      <c r="AG504" s="293" t="s">
        <v>62</v>
      </c>
      <c r="AH504" s="294" t="str">
        <f t="shared" si="337"/>
        <v/>
      </c>
      <c r="AI504" s="294" t="str">
        <f t="shared" si="338"/>
        <v/>
      </c>
      <c r="AJ504" s="295" t="str">
        <f t="shared" si="339"/>
        <v/>
      </c>
      <c r="AK504" s="296" t="str">
        <f t="shared" si="340"/>
        <v/>
      </c>
      <c r="AL504" s="297" t="str">
        <f t="shared" si="341"/>
        <v/>
      </c>
      <c r="AM504" s="294" t="str">
        <f t="shared" si="342"/>
        <v/>
      </c>
      <c r="AN504" s="294" t="str">
        <f t="shared" si="343"/>
        <v/>
      </c>
      <c r="AO504" s="298" t="str">
        <f t="shared" si="344"/>
        <v/>
      </c>
      <c r="AP504" s="299" t="str">
        <f t="shared" si="345"/>
        <v/>
      </c>
      <c r="AQ504" s="299" t="str">
        <f t="shared" si="346"/>
        <v/>
      </c>
      <c r="AR504" s="300" t="str">
        <f t="shared" si="326"/>
        <v/>
      </c>
      <c r="AS504" s="300" t="str">
        <f t="shared" si="327"/>
        <v/>
      </c>
      <c r="AT504" s="294" t="str">
        <f t="shared" si="328"/>
        <v/>
      </c>
      <c r="AU504" s="301" t="str">
        <f>IF(OR($B504="", $AP504= ""),"",IF(VLOOKUP($AP504, CONTRATOS!B:K,3,FALSE)="","",VLOOKUP($AP504, CONTRATOS!B:K, 3,FALSE)))</f>
        <v/>
      </c>
      <c r="AV504" s="301" t="str">
        <f>IF(OR($B504="", $AP504 = ""), "", IF(VLOOKUP($AP504, CONTRATOS!B:K,4,FALSE)="","",VLOOKUP($AP504, CONTRATOS!B:K,4, FALSE)))</f>
        <v/>
      </c>
      <c r="AW504" s="302" t="str">
        <f t="shared" si="329"/>
        <v/>
      </c>
      <c r="AX504" s="301" t="str">
        <f t="shared" si="330"/>
        <v/>
      </c>
      <c r="AY504" s="301" t="str">
        <f t="shared" si="331"/>
        <v/>
      </c>
      <c r="AZ504" s="301" t="str">
        <f t="shared" si="332"/>
        <v/>
      </c>
      <c r="BA504" s="301" t="str">
        <f t="shared" si="333"/>
        <v/>
      </c>
      <c r="BB504" s="303">
        <f t="shared" si="347"/>
        <v>0</v>
      </c>
      <c r="BC504" s="303" t="str">
        <f t="shared" si="348"/>
        <v/>
      </c>
      <c r="BD504" s="303" t="str">
        <f t="shared" si="349"/>
        <v/>
      </c>
      <c r="BF504" s="304">
        <f t="shared" si="350"/>
        <v>0</v>
      </c>
      <c r="BG504" s="304">
        <f t="shared" si="351"/>
        <v>0</v>
      </c>
      <c r="BH504" s="304" t="str">
        <f>IF( $B504="", "", IF(ISNA(VLOOKUP($C504, Defesa!$C$8:$C$30,1,FALSE)),1,0))</f>
        <v/>
      </c>
      <c r="BI504" s="305" t="str">
        <f t="shared" si="352"/>
        <v/>
      </c>
      <c r="BJ504" s="305" t="str">
        <f t="shared" si="353"/>
        <v/>
      </c>
      <c r="BK504" s="304" t="str">
        <f t="shared" si="354"/>
        <v/>
      </c>
      <c r="BL504" s="304">
        <f t="shared" si="355"/>
        <v>0</v>
      </c>
      <c r="BM504" s="304" t="str">
        <f>IF($AC504="", "", IF(ISNA(VLOOKUP($AC504, TABELAS!$Q:$Q, 1, FALSE)), 1, 0))</f>
        <v/>
      </c>
      <c r="BN504" s="306" t="str">
        <f t="shared" si="356"/>
        <v/>
      </c>
      <c r="BO504" s="304" t="str">
        <f t="shared" si="357"/>
        <v/>
      </c>
      <c r="BP504" s="304" t="str">
        <f t="shared" si="358"/>
        <v/>
      </c>
      <c r="BQ504" s="305" t="str">
        <f t="shared" si="359"/>
        <v/>
      </c>
      <c r="BR504" s="304" t="str">
        <f t="shared" si="360"/>
        <v/>
      </c>
      <c r="BS504" s="304" t="str">
        <f t="shared" si="361"/>
        <v/>
      </c>
      <c r="BT504" s="304" t="str">
        <f>IF(OR($B504="", $AH504 = "SIM"), "", IF( ISNA(VLOOKUP($AP504,#REF!, 1, FALSE)), 1, 0))</f>
        <v/>
      </c>
      <c r="BU504" s="304" t="str">
        <f t="shared" si="362"/>
        <v/>
      </c>
      <c r="BV504" s="304" t="str">
        <f>IF( $B504="", "", IF( ISNA(VLOOKUP($AN504, TABELAS!$T$2:$T$9,1,FALSE)), 1, 0))</f>
        <v/>
      </c>
      <c r="BW504" s="304" t="str">
        <f t="shared" si="363"/>
        <v/>
      </c>
      <c r="BX504" s="304" t="str">
        <f>IF( OR($B504="", $AH504 = "SIM"), "", IF( ISNA( VLOOKUP( $AQ504, SISTEMA!$B:$B, 1, FALSE)), 1, 0))</f>
        <v/>
      </c>
      <c r="BY504" s="305" t="str">
        <f t="shared" si="364"/>
        <v/>
      </c>
      <c r="BZ504" s="305" t="str">
        <f t="shared" si="365"/>
        <v/>
      </c>
      <c r="CA504" s="304" t="str">
        <f t="shared" si="366"/>
        <v/>
      </c>
      <c r="CB504" s="305" t="str">
        <f t="shared" si="367"/>
        <v/>
      </c>
      <c r="CC504" s="305" t="str">
        <f t="shared" si="368"/>
        <v/>
      </c>
      <c r="CD504" s="305" t="str">
        <f t="shared" si="369"/>
        <v/>
      </c>
    </row>
    <row r="505" spans="1:82" x14ac:dyDescent="0.2">
      <c r="A505" s="235"/>
      <c r="B505" s="236" t="str">
        <f t="shared" si="334"/>
        <v/>
      </c>
      <c r="C505" s="237" t="str">
        <f t="shared" si="324"/>
        <v/>
      </c>
      <c r="D505" s="237" t="str">
        <f t="shared" si="335"/>
        <v/>
      </c>
      <c r="E505" s="237" t="str">
        <f>IF($C505="", "", COUNTIF($M$8:$M505,$D505))</f>
        <v/>
      </c>
      <c r="F505" s="238">
        <v>498</v>
      </c>
      <c r="G505" s="239"/>
      <c r="H505" s="240"/>
      <c r="I505" s="240"/>
      <c r="J505" s="241"/>
      <c r="K505" s="240"/>
      <c r="L505" s="240"/>
      <c r="M505" s="240"/>
      <c r="N505" s="242"/>
      <c r="O505" s="243"/>
      <c r="P505" s="243"/>
      <c r="Q505" s="243"/>
      <c r="R505" s="243"/>
      <c r="S505" s="243"/>
      <c r="T505" s="245"/>
      <c r="U505" s="246" t="str">
        <f>IF($T505="", "", VLOOKUP($T505, CONTRATOS!$B:$E, 2, FALSE))</f>
        <v/>
      </c>
      <c r="V505" s="247">
        <f>IF(OR($T505="",TB_DEFESA!$C$2="Criação Baseline"),0,
   IF(VLOOKUP($T505, CONTRATOS!B:E, 3, FALSE)&lt;&gt;"",1,IF(VLOOKUP($T505, CONTRATOS!B:E, 4, FALSE)&lt;&gt;"",2,0)))</f>
        <v>0</v>
      </c>
      <c r="W505" s="248"/>
      <c r="X505" s="248"/>
      <c r="Y505" s="249"/>
      <c r="Z505" s="250"/>
      <c r="AA505" s="251"/>
      <c r="AB505" s="252"/>
      <c r="AC505" s="253"/>
      <c r="AD505" s="251"/>
      <c r="AE505" s="254" t="str">
        <f t="shared" si="325"/>
        <v/>
      </c>
      <c r="AF505" s="256" t="str">
        <f t="shared" si="336"/>
        <v/>
      </c>
      <c r="AG505" s="293" t="s">
        <v>62</v>
      </c>
      <c r="AH505" s="294" t="str">
        <f t="shared" si="337"/>
        <v/>
      </c>
      <c r="AI505" s="294" t="str">
        <f t="shared" si="338"/>
        <v/>
      </c>
      <c r="AJ505" s="295" t="str">
        <f t="shared" si="339"/>
        <v/>
      </c>
      <c r="AK505" s="296" t="str">
        <f t="shared" si="340"/>
        <v/>
      </c>
      <c r="AL505" s="297" t="str">
        <f t="shared" si="341"/>
        <v/>
      </c>
      <c r="AM505" s="294" t="str">
        <f t="shared" si="342"/>
        <v/>
      </c>
      <c r="AN505" s="294" t="str">
        <f t="shared" si="343"/>
        <v/>
      </c>
      <c r="AO505" s="298" t="str">
        <f t="shared" si="344"/>
        <v/>
      </c>
      <c r="AP505" s="299" t="str">
        <f t="shared" si="345"/>
        <v/>
      </c>
      <c r="AQ505" s="299" t="str">
        <f t="shared" si="346"/>
        <v/>
      </c>
      <c r="AR505" s="300" t="str">
        <f t="shared" si="326"/>
        <v/>
      </c>
      <c r="AS505" s="300" t="str">
        <f t="shared" si="327"/>
        <v/>
      </c>
      <c r="AT505" s="294" t="str">
        <f t="shared" si="328"/>
        <v/>
      </c>
      <c r="AU505" s="301" t="str">
        <f>IF(OR($B505="", $AP505= ""),"",IF(VLOOKUP($AP505, CONTRATOS!B:K,3,FALSE)="","",VLOOKUP($AP505, CONTRATOS!B:K, 3,FALSE)))</f>
        <v/>
      </c>
      <c r="AV505" s="301" t="str">
        <f>IF(OR($B505="", $AP505 = ""), "", IF(VLOOKUP($AP505, CONTRATOS!B:K,4,FALSE)="","",VLOOKUP($AP505, CONTRATOS!B:K,4, FALSE)))</f>
        <v/>
      </c>
      <c r="AW505" s="302" t="str">
        <f t="shared" si="329"/>
        <v/>
      </c>
      <c r="AX505" s="301" t="str">
        <f t="shared" si="330"/>
        <v/>
      </c>
      <c r="AY505" s="301" t="str">
        <f t="shared" si="331"/>
        <v/>
      </c>
      <c r="AZ505" s="301" t="str">
        <f t="shared" si="332"/>
        <v/>
      </c>
      <c r="BA505" s="301" t="str">
        <f t="shared" si="333"/>
        <v/>
      </c>
      <c r="BB505" s="303">
        <f t="shared" si="347"/>
        <v>0</v>
      </c>
      <c r="BC505" s="303" t="str">
        <f t="shared" si="348"/>
        <v/>
      </c>
      <c r="BD505" s="303" t="str">
        <f t="shared" si="349"/>
        <v/>
      </c>
      <c r="BF505" s="304">
        <f t="shared" si="350"/>
        <v>0</v>
      </c>
      <c r="BG505" s="304">
        <f t="shared" si="351"/>
        <v>0</v>
      </c>
      <c r="BH505" s="304" t="str">
        <f>IF( $B505="", "", IF(ISNA(VLOOKUP($C505, Defesa!$C$8:$C$30,1,FALSE)),1,0))</f>
        <v/>
      </c>
      <c r="BI505" s="305" t="str">
        <f t="shared" si="352"/>
        <v/>
      </c>
      <c r="BJ505" s="305" t="str">
        <f t="shared" si="353"/>
        <v/>
      </c>
      <c r="BK505" s="304" t="str">
        <f t="shared" si="354"/>
        <v/>
      </c>
      <c r="BL505" s="304">
        <f t="shared" si="355"/>
        <v>0</v>
      </c>
      <c r="BM505" s="304" t="str">
        <f>IF($AC505="", "", IF(ISNA(VLOOKUP($AC505, TABELAS!$Q:$Q, 1, FALSE)), 1, 0))</f>
        <v/>
      </c>
      <c r="BN505" s="306" t="str">
        <f t="shared" si="356"/>
        <v/>
      </c>
      <c r="BO505" s="304" t="str">
        <f t="shared" si="357"/>
        <v/>
      </c>
      <c r="BP505" s="304" t="str">
        <f t="shared" si="358"/>
        <v/>
      </c>
      <c r="BQ505" s="305" t="str">
        <f t="shared" si="359"/>
        <v/>
      </c>
      <c r="BR505" s="304" t="str">
        <f t="shared" si="360"/>
        <v/>
      </c>
      <c r="BS505" s="304" t="str">
        <f t="shared" si="361"/>
        <v/>
      </c>
      <c r="BT505" s="304" t="str">
        <f>IF(OR($B505="", $AH505 = "SIM"), "", IF( ISNA(VLOOKUP($AP505,#REF!, 1, FALSE)), 1, 0))</f>
        <v/>
      </c>
      <c r="BU505" s="304" t="str">
        <f t="shared" si="362"/>
        <v/>
      </c>
      <c r="BV505" s="304" t="str">
        <f>IF( $B505="", "", IF( ISNA(VLOOKUP($AN505, TABELAS!$T$2:$T$9,1,FALSE)), 1, 0))</f>
        <v/>
      </c>
      <c r="BW505" s="304" t="str">
        <f t="shared" si="363"/>
        <v/>
      </c>
      <c r="BX505" s="304" t="str">
        <f>IF( OR($B505="", $AH505 = "SIM"), "", IF( ISNA( VLOOKUP( $AQ505, SISTEMA!$B:$B, 1, FALSE)), 1, 0))</f>
        <v/>
      </c>
      <c r="BY505" s="305" t="str">
        <f t="shared" si="364"/>
        <v/>
      </c>
      <c r="BZ505" s="305" t="str">
        <f t="shared" si="365"/>
        <v/>
      </c>
      <c r="CA505" s="304" t="str">
        <f t="shared" si="366"/>
        <v/>
      </c>
      <c r="CB505" s="305" t="str">
        <f t="shared" si="367"/>
        <v/>
      </c>
      <c r="CC505" s="305" t="str">
        <f t="shared" si="368"/>
        <v/>
      </c>
      <c r="CD505" s="305" t="str">
        <f t="shared" si="369"/>
        <v/>
      </c>
    </row>
    <row r="506" spans="1:82" x14ac:dyDescent="0.2">
      <c r="A506" s="235"/>
      <c r="B506" s="236" t="str">
        <f t="shared" si="334"/>
        <v/>
      </c>
      <c r="C506" s="237" t="str">
        <f t="shared" si="324"/>
        <v/>
      </c>
      <c r="D506" s="237" t="str">
        <f t="shared" si="335"/>
        <v/>
      </c>
      <c r="E506" s="237" t="str">
        <f>IF($C506="", "", COUNTIF($M$8:$M506,$D506))</f>
        <v/>
      </c>
      <c r="F506" s="238">
        <v>499</v>
      </c>
      <c r="G506" s="239"/>
      <c r="H506" s="240"/>
      <c r="I506" s="240"/>
      <c r="J506" s="241"/>
      <c r="K506" s="240"/>
      <c r="L506" s="240"/>
      <c r="M506" s="240"/>
      <c r="N506" s="242"/>
      <c r="O506" s="243"/>
      <c r="P506" s="243"/>
      <c r="Q506" s="243"/>
      <c r="R506" s="243"/>
      <c r="S506" s="243"/>
      <c r="T506" s="245"/>
      <c r="U506" s="246" t="str">
        <f>IF($T506="", "", VLOOKUP($T506, CONTRATOS!$B:$E, 2, FALSE))</f>
        <v/>
      </c>
      <c r="V506" s="247">
        <f>IF(OR($T506="",TB_DEFESA!$C$2="Criação Baseline"),0,
   IF(VLOOKUP($T506, CONTRATOS!B:E, 3, FALSE)&lt;&gt;"",1,IF(VLOOKUP($T506, CONTRATOS!B:E, 4, FALSE)&lt;&gt;"",2,0)))</f>
        <v>0</v>
      </c>
      <c r="W506" s="248"/>
      <c r="X506" s="248"/>
      <c r="Y506" s="249"/>
      <c r="Z506" s="250"/>
      <c r="AA506" s="251"/>
      <c r="AB506" s="252"/>
      <c r="AC506" s="253"/>
      <c r="AD506" s="251"/>
      <c r="AE506" s="254" t="str">
        <f t="shared" si="325"/>
        <v/>
      </c>
      <c r="AF506" s="256" t="str">
        <f t="shared" si="336"/>
        <v/>
      </c>
      <c r="AG506" s="293" t="s">
        <v>62</v>
      </c>
      <c r="AH506" s="294" t="str">
        <f t="shared" si="337"/>
        <v/>
      </c>
      <c r="AI506" s="294" t="str">
        <f t="shared" si="338"/>
        <v/>
      </c>
      <c r="AJ506" s="295" t="str">
        <f t="shared" si="339"/>
        <v/>
      </c>
      <c r="AK506" s="296" t="str">
        <f t="shared" si="340"/>
        <v/>
      </c>
      <c r="AL506" s="297" t="str">
        <f t="shared" si="341"/>
        <v/>
      </c>
      <c r="AM506" s="294" t="str">
        <f t="shared" si="342"/>
        <v/>
      </c>
      <c r="AN506" s="294" t="str">
        <f t="shared" si="343"/>
        <v/>
      </c>
      <c r="AO506" s="298" t="str">
        <f t="shared" si="344"/>
        <v/>
      </c>
      <c r="AP506" s="299" t="str">
        <f t="shared" si="345"/>
        <v/>
      </c>
      <c r="AQ506" s="299" t="str">
        <f t="shared" si="346"/>
        <v/>
      </c>
      <c r="AR506" s="300" t="str">
        <f t="shared" si="326"/>
        <v/>
      </c>
      <c r="AS506" s="300" t="str">
        <f t="shared" si="327"/>
        <v/>
      </c>
      <c r="AT506" s="294" t="str">
        <f t="shared" si="328"/>
        <v/>
      </c>
      <c r="AU506" s="301" t="str">
        <f>IF(OR($B506="", $AP506= ""),"",IF(VLOOKUP($AP506, CONTRATOS!B:K,3,FALSE)="","",VLOOKUP($AP506, CONTRATOS!B:K, 3,FALSE)))</f>
        <v/>
      </c>
      <c r="AV506" s="301" t="str">
        <f>IF(OR($B506="", $AP506 = ""), "", IF(VLOOKUP($AP506, CONTRATOS!B:K,4,FALSE)="","",VLOOKUP($AP506, CONTRATOS!B:K,4, FALSE)))</f>
        <v/>
      </c>
      <c r="AW506" s="302" t="str">
        <f t="shared" si="329"/>
        <v/>
      </c>
      <c r="AX506" s="301" t="str">
        <f t="shared" si="330"/>
        <v/>
      </c>
      <c r="AY506" s="301" t="str">
        <f t="shared" si="331"/>
        <v/>
      </c>
      <c r="AZ506" s="301" t="str">
        <f t="shared" si="332"/>
        <v/>
      </c>
      <c r="BA506" s="301" t="str">
        <f t="shared" si="333"/>
        <v/>
      </c>
      <c r="BB506" s="303">
        <f t="shared" si="347"/>
        <v>0</v>
      </c>
      <c r="BC506" s="303" t="str">
        <f t="shared" si="348"/>
        <v/>
      </c>
      <c r="BD506" s="303" t="str">
        <f t="shared" si="349"/>
        <v/>
      </c>
      <c r="BF506" s="304">
        <f t="shared" si="350"/>
        <v>0</v>
      </c>
      <c r="BG506" s="304">
        <f t="shared" si="351"/>
        <v>0</v>
      </c>
      <c r="BH506" s="304" t="str">
        <f>IF( $B506="", "", IF(ISNA(VLOOKUP($C506, Defesa!$C$8:$C$30,1,FALSE)),1,0))</f>
        <v/>
      </c>
      <c r="BI506" s="305" t="str">
        <f t="shared" si="352"/>
        <v/>
      </c>
      <c r="BJ506" s="305" t="str">
        <f t="shared" si="353"/>
        <v/>
      </c>
      <c r="BK506" s="304" t="str">
        <f t="shared" si="354"/>
        <v/>
      </c>
      <c r="BL506" s="304">
        <f t="shared" si="355"/>
        <v>0</v>
      </c>
      <c r="BM506" s="304" t="str">
        <f>IF($AC506="", "", IF(ISNA(VLOOKUP($AC506, TABELAS!$Q:$Q, 1, FALSE)), 1, 0))</f>
        <v/>
      </c>
      <c r="BN506" s="306" t="str">
        <f t="shared" si="356"/>
        <v/>
      </c>
      <c r="BO506" s="304" t="str">
        <f t="shared" si="357"/>
        <v/>
      </c>
      <c r="BP506" s="304" t="str">
        <f t="shared" si="358"/>
        <v/>
      </c>
      <c r="BQ506" s="305" t="str">
        <f t="shared" si="359"/>
        <v/>
      </c>
      <c r="BR506" s="304" t="str">
        <f t="shared" si="360"/>
        <v/>
      </c>
      <c r="BS506" s="304" t="str">
        <f t="shared" si="361"/>
        <v/>
      </c>
      <c r="BT506" s="304" t="str">
        <f>IF(OR($B506="", $AH506 = "SIM"), "", IF( ISNA(VLOOKUP($AP506,#REF!, 1, FALSE)), 1, 0))</f>
        <v/>
      </c>
      <c r="BU506" s="304" t="str">
        <f t="shared" si="362"/>
        <v/>
      </c>
      <c r="BV506" s="304" t="str">
        <f>IF( $B506="", "", IF( ISNA(VLOOKUP($AN506, TABELAS!$T$2:$T$9,1,FALSE)), 1, 0))</f>
        <v/>
      </c>
      <c r="BW506" s="304" t="str">
        <f t="shared" si="363"/>
        <v/>
      </c>
      <c r="BX506" s="304" t="str">
        <f>IF( OR($B506="", $AH506 = "SIM"), "", IF( ISNA( VLOOKUP( $AQ506, SISTEMA!$B:$B, 1, FALSE)), 1, 0))</f>
        <v/>
      </c>
      <c r="BY506" s="305" t="str">
        <f t="shared" si="364"/>
        <v/>
      </c>
      <c r="BZ506" s="305" t="str">
        <f t="shared" si="365"/>
        <v/>
      </c>
      <c r="CA506" s="304" t="str">
        <f t="shared" si="366"/>
        <v/>
      </c>
      <c r="CB506" s="305" t="str">
        <f t="shared" si="367"/>
        <v/>
      </c>
      <c r="CC506" s="305" t="str">
        <f t="shared" si="368"/>
        <v/>
      </c>
      <c r="CD506" s="305" t="str">
        <f t="shared" si="369"/>
        <v/>
      </c>
    </row>
    <row r="507" spans="1:82" x14ac:dyDescent="0.2">
      <c r="A507" s="235"/>
      <c r="B507" s="236" t="str">
        <f t="shared" si="334"/>
        <v/>
      </c>
      <c r="C507" s="237" t="str">
        <f t="shared" si="324"/>
        <v/>
      </c>
      <c r="D507" s="237" t="str">
        <f t="shared" si="335"/>
        <v/>
      </c>
      <c r="E507" s="237" t="str">
        <f>IF($C507="", "", COUNTIF($M$8:$M507,$D507))</f>
        <v/>
      </c>
      <c r="F507" s="258">
        <v>500</v>
      </c>
      <c r="G507" s="259"/>
      <c r="H507" s="260"/>
      <c r="I507" s="260"/>
      <c r="J507" s="261"/>
      <c r="K507" s="260"/>
      <c r="L507" s="260"/>
      <c r="M507" s="260"/>
      <c r="N507" s="262"/>
      <c r="O507" s="263"/>
      <c r="P507" s="263"/>
      <c r="Q507" s="263"/>
      <c r="R507" s="263"/>
      <c r="S507" s="263"/>
      <c r="T507" s="264"/>
      <c r="U507" s="316" t="str">
        <f>IF($T507="", "", VLOOKUP($T507, CONTRATOS!$B:$E, 2, FALSE))</f>
        <v/>
      </c>
      <c r="V507" s="317">
        <f>IF(OR($T507="",TB_DEFESA!$C$2="Criação Baseline"),0,
   IF(VLOOKUP($T507, CONTRATOS!B:E, 3, FALSE)&lt;&gt;"",1,IF(VLOOKUP($T507, CONTRATOS!B:E, 4, FALSE)&lt;&gt;"",2,0)))</f>
        <v>0</v>
      </c>
      <c r="W507" s="265"/>
      <c r="X507" s="265"/>
      <c r="Y507" s="266"/>
      <c r="Z507" s="267"/>
      <c r="AA507" s="268"/>
      <c r="AB507" s="269"/>
      <c r="AC507" s="270"/>
      <c r="AD507" s="268"/>
      <c r="AE507" s="271" t="str">
        <f t="shared" si="325"/>
        <v/>
      </c>
      <c r="AF507" s="272" t="str">
        <f t="shared" si="336"/>
        <v/>
      </c>
      <c r="AG507" s="293" t="s">
        <v>62</v>
      </c>
      <c r="AH507" s="294" t="str">
        <f t="shared" si="337"/>
        <v/>
      </c>
      <c r="AI507" s="294" t="str">
        <f t="shared" si="338"/>
        <v/>
      </c>
      <c r="AJ507" s="295" t="str">
        <f t="shared" si="339"/>
        <v/>
      </c>
      <c r="AK507" s="296" t="str">
        <f t="shared" si="340"/>
        <v/>
      </c>
      <c r="AL507" s="297" t="str">
        <f t="shared" si="341"/>
        <v/>
      </c>
      <c r="AM507" s="294" t="str">
        <f t="shared" si="342"/>
        <v/>
      </c>
      <c r="AN507" s="294" t="str">
        <f t="shared" si="343"/>
        <v/>
      </c>
      <c r="AO507" s="298" t="str">
        <f t="shared" si="344"/>
        <v/>
      </c>
      <c r="AP507" s="299" t="str">
        <f t="shared" si="345"/>
        <v/>
      </c>
      <c r="AQ507" s="299" t="str">
        <f t="shared" si="346"/>
        <v/>
      </c>
      <c r="AR507" s="300" t="str">
        <f t="shared" si="326"/>
        <v/>
      </c>
      <c r="AS507" s="300" t="str">
        <f t="shared" si="327"/>
        <v/>
      </c>
      <c r="AT507" s="294" t="str">
        <f t="shared" si="328"/>
        <v/>
      </c>
      <c r="AU507" s="301" t="str">
        <f>IF(OR($B507="", $AP507= ""),"",IF(VLOOKUP($AP507, CONTRATOS!B:K,3,FALSE)="","",VLOOKUP($AP507, CONTRATOS!B:K, 3,FALSE)))</f>
        <v/>
      </c>
      <c r="AV507" s="301" t="str">
        <f>IF(OR($B507="", $AP507 = ""), "", IF(VLOOKUP($AP507, CONTRATOS!B:K,4,FALSE)="","",VLOOKUP($AP507, CONTRATOS!B:K,4, FALSE)))</f>
        <v/>
      </c>
      <c r="AW507" s="302" t="str">
        <f t="shared" si="329"/>
        <v/>
      </c>
      <c r="AX507" s="301" t="str">
        <f t="shared" si="330"/>
        <v/>
      </c>
      <c r="AY507" s="301" t="str">
        <f t="shared" si="331"/>
        <v/>
      </c>
      <c r="AZ507" s="301" t="str">
        <f t="shared" si="332"/>
        <v/>
      </c>
      <c r="BA507" s="301" t="str">
        <f t="shared" si="333"/>
        <v/>
      </c>
      <c r="BB507" s="303">
        <f t="shared" si="347"/>
        <v>0</v>
      </c>
      <c r="BC507" s="303" t="str">
        <f t="shared" si="348"/>
        <v/>
      </c>
      <c r="BD507" s="303" t="str">
        <f t="shared" si="349"/>
        <v/>
      </c>
      <c r="BF507" s="304">
        <f t="shared" si="350"/>
        <v>0</v>
      </c>
      <c r="BG507" s="304">
        <f t="shared" si="351"/>
        <v>0</v>
      </c>
      <c r="BH507" s="304" t="str">
        <f>IF( $B507="", "", IF(ISNA(VLOOKUP($C507, Defesa!$C$8:$C$30,1,FALSE)),1,0))</f>
        <v/>
      </c>
      <c r="BI507" s="305" t="str">
        <f t="shared" si="352"/>
        <v/>
      </c>
      <c r="BJ507" s="305" t="str">
        <f t="shared" si="353"/>
        <v/>
      </c>
      <c r="BK507" s="304" t="str">
        <f t="shared" si="354"/>
        <v/>
      </c>
      <c r="BL507" s="304">
        <f t="shared" si="355"/>
        <v>0</v>
      </c>
      <c r="BM507" s="304" t="str">
        <f>IF($AC507="", "", IF(ISNA(VLOOKUP($AC507, TABELAS!$Q:$Q, 1, FALSE)), 1, 0))</f>
        <v/>
      </c>
      <c r="BN507" s="306" t="str">
        <f t="shared" si="356"/>
        <v/>
      </c>
      <c r="BO507" s="304" t="str">
        <f t="shared" si="357"/>
        <v/>
      </c>
      <c r="BP507" s="304" t="str">
        <f t="shared" si="358"/>
        <v/>
      </c>
      <c r="BQ507" s="305" t="str">
        <f t="shared" si="359"/>
        <v/>
      </c>
      <c r="BR507" s="304" t="str">
        <f t="shared" si="360"/>
        <v/>
      </c>
      <c r="BS507" s="304" t="str">
        <f t="shared" si="361"/>
        <v/>
      </c>
      <c r="BT507" s="304" t="str">
        <f>IF(OR($B507="", $AH507 = "SIM"), "", IF( ISNA(VLOOKUP($AP507,#REF!, 1, FALSE)), 1, 0))</f>
        <v/>
      </c>
      <c r="BU507" s="304" t="str">
        <f t="shared" si="362"/>
        <v/>
      </c>
      <c r="BV507" s="304" t="str">
        <f>IF( $B507="", "", IF( ISNA(VLOOKUP($AN507, TABELAS!$T$2:$T$9,1,FALSE)), 1, 0))</f>
        <v/>
      </c>
      <c r="BW507" s="304" t="str">
        <f t="shared" si="363"/>
        <v/>
      </c>
      <c r="BX507" s="304" t="str">
        <f>IF( OR($B507="", $AH507 = "SIM"), "", IF( ISNA( VLOOKUP( $AQ507, SISTEMA!$B:$B, 1, FALSE)), 1, 0))</f>
        <v/>
      </c>
      <c r="BY507" s="305" t="str">
        <f t="shared" si="364"/>
        <v/>
      </c>
      <c r="BZ507" s="305" t="str">
        <f t="shared" si="365"/>
        <v/>
      </c>
      <c r="CA507" s="304" t="str">
        <f t="shared" si="366"/>
        <v/>
      </c>
      <c r="CB507" s="305" t="str">
        <f t="shared" si="367"/>
        <v/>
      </c>
      <c r="CC507" s="305" t="str">
        <f t="shared" si="368"/>
        <v/>
      </c>
      <c r="CD507" s="305" t="str">
        <f t="shared" si="369"/>
        <v/>
      </c>
    </row>
    <row r="508" spans="1:82" x14ac:dyDescent="0.2"/>
    <row r="509" spans="1:82" hidden="1" x14ac:dyDescent="0.2"/>
    <row r="510" spans="1:82" hidden="1" x14ac:dyDescent="0.2"/>
  </sheetData>
  <sheetProtection algorithmName="SHA-512" hashValue="WqNWGi435vluF7T0WaSJbr1WY893zCbuto6aC3xpESdSw2+ItUXIqO7Nfq+aoI0VkdXRruzdKVwknH+ljDOfEw==" saltValue="OnVVFgYOUxuWKLWxe3egRg==" spinCount="100000" sheet="1" objects="1" scenarios="1" autoFilter="0"/>
  <autoFilter ref="H7:AD7"/>
  <dataConsolidate/>
  <mergeCells count="7">
    <mergeCell ref="Y4:Z4"/>
    <mergeCell ref="AB6:AE6"/>
    <mergeCell ref="P6:R6"/>
    <mergeCell ref="Y3:Z3"/>
    <mergeCell ref="Y5:Z5"/>
    <mergeCell ref="T6:W6"/>
    <mergeCell ref="O4:R4"/>
  </mergeCells>
  <conditionalFormatting sqref="I8:I507">
    <cfRule type="expression" dxfId="85" priority="107">
      <formula>$BR8=1</formula>
    </cfRule>
  </conditionalFormatting>
  <conditionalFormatting sqref="G8:AA507">
    <cfRule type="expression" dxfId="84" priority="2938">
      <formula>AND( $BF8 = 1 )</formula>
    </cfRule>
  </conditionalFormatting>
  <conditionalFormatting sqref="G8:AD507">
    <cfRule type="expression" dxfId="83" priority="2948">
      <formula xml:space="preserve"> $B8&lt;&gt; $B7</formula>
    </cfRule>
  </conditionalFormatting>
  <conditionalFormatting sqref="S8:W507">
    <cfRule type="expression" dxfId="82" priority="12">
      <formula>$AH8="SIM"</formula>
    </cfRule>
  </conditionalFormatting>
  <conditionalFormatting sqref="P8:R507">
    <cfRule type="expression" dxfId="81" priority="11">
      <formula>$AH8 = "NÃO"</formula>
    </cfRule>
  </conditionalFormatting>
  <conditionalFormatting sqref="AB8:AD507">
    <cfRule type="expression" dxfId="80" priority="2982">
      <formula>AND($V8 = 1, OR( $AC8&lt;&gt;"", $AB8 &lt;&gt; "", $AD8))</formula>
    </cfRule>
    <cfRule type="expression" dxfId="79" priority="2983">
      <formula>AND( $C8 &lt;&gt; "", OR( $BL8 &lt;&gt; 0, $BK8 &lt;&gt; 0,  $BN8 &lt;&gt; 0 ) )</formula>
    </cfRule>
  </conditionalFormatting>
  <conditionalFormatting sqref="L8:L507">
    <cfRule type="expression" dxfId="78" priority="2993">
      <formula>$BJ8 = 1</formula>
    </cfRule>
  </conditionalFormatting>
  <conditionalFormatting sqref="H8:H507">
    <cfRule type="expression" dxfId="77" priority="3012">
      <formula>OR($BP8=1,$BQ8 = 1)</formula>
    </cfRule>
  </conditionalFormatting>
  <conditionalFormatting sqref="M8:M507">
    <cfRule type="expression" dxfId="76" priority="3013">
      <formula>$BY8 = 1</formula>
    </cfRule>
    <cfRule type="expression" dxfId="75" priority="3014">
      <formula>$BI8= 1</formula>
    </cfRule>
  </conditionalFormatting>
  <conditionalFormatting sqref="F8:F507">
    <cfRule type="expression" dxfId="74" priority="1">
      <formula xml:space="preserve"> AND($B8 &lt;&gt; "", $AF8&lt;&gt; 0)</formula>
    </cfRule>
  </conditionalFormatting>
  <dataValidations xWindow="91" yWindow="461" count="38">
    <dataValidation allowBlank="1" showInputMessage="1" showErrorMessage="1" prompt="Informação do Percentual do valor do Item em relação ao valor total da proposta." sqref="AE7 AW7"/>
    <dataValidation allowBlank="1" showInputMessage="1" showErrorMessage="1" prompt="Valor previsto para pagamento do milestone. _x000a__x000a_Caso você esteja solicitando a criação de RC, estes valores devem obedecer às regras de marcos de pagamento definidos nas Propostas e/ou Contrato." sqref="AD7"/>
    <dataValidation allowBlank="1" showInputMessage="1" showErrorMessage="1" prompt="Nome que identifica a parcela mensalizada. _x000a__x000a_Caso você esteja solicitando a criação de RC, você deve indicar o nome do Marco de Pagamento, conforme contrato e/ou proposta comercial do fornecedor." sqref="AB7"/>
    <dataValidation allowBlank="1" showInputMessage="1" showErrorMessage="1" prompt="Indica tipo de Contrato:_x000a__x000a_Bola: Baseline_x000a_Triângulo: Extrabaseline_x000a_" sqref="V7"/>
    <dataValidation allowBlank="1" showInputMessage="1" showErrorMessage="1" promptTitle="Envio de GO para Desenvolvimento" prompt="SIM - Enviar GO o mais breve possivel_x000a_NÃO - Não enviar até LD receber e-mail do PMO/GP_x000a_JÁ ENVIADO - Regularização / Reaprovação de Proposta_x000a_ESTIMATIVA - Aprovação sem proposta / Macroestimativa_x000a_COMPLEMENTO - Diferenças / GAP / complemento em valores" sqref="H7"/>
    <dataValidation allowBlank="1" showInputMessage="1" showErrorMessage="1" prompt="Indica se o Pedido deve ser criado logo após a carga do Orçamento no FOI, com base nas informações desta planilha._x000a__x000a_Caso preencha NÃO, o Orçamento permanecerá disponível e o responsável deverá solicitar a criação de pedido por e-mail." sqref="I7"/>
    <dataValidation allowBlank="1" showInputMessage="1" showErrorMessage="1" prompt="Código do Subprojeto no Sistema de Acompanhamento de Projetos (Clarity PPM)._x000a__x000a_Caso a solicitação não se relacione a um projeto cadastrado nos sistemas deve ser preenchido NA." sqref="K7"/>
    <dataValidation allowBlank="1" showInputMessage="1" showErrorMessage="1" prompt="Caso a proposta se relacione a uma Contratação de 3º, indique o nome do Terceiro. Nos marcos de pagamento indique as parcelas," sqref="S7"/>
    <dataValidation allowBlank="1" showInputMessage="1" showErrorMessage="1" prompt="Nome do Fornecedor conforme Lista oficial de Fábrica de Software._x000a__x000a_Caso a proposta se relacione com uma contratação por RFP, escolha o item &quot;&lt;A DEFINIR &gt;&quot;;" sqref="T7"/>
    <dataValidation allowBlank="1" showInputMessage="1" showErrorMessage="1" prompt="Informação do Número do contrato relacionado com o fornecedor. _x000a__x000a_Verifique se a proposta anexada na ferramenta de acompanhamento de projetos e demandas está indicando o número correto de contrato." sqref="U7"/>
    <dataValidation allowBlank="1" showInputMessage="1" showErrorMessage="1" prompt="Sistema / Frente de Trabalho em que será executado desenvolvimento, conforme nomenclatura na lista oficial de sistemas._x000a__x000a_Caso seja um sistema novo ou não se aplique, selecione os itens específicos que atenda esta situação." sqref="W7"/>
    <dataValidation allowBlank="1" showInputMessage="1" showErrorMessage="1" prompt="Empresa no Grupo OI onde o orçamento será alocado._x000a_Leva em conta o Local onde o serviço é realizado. Na proposta enviada pela Fábrica podemos visualizar esta informação._x000a__x000a_Caso seja Baseline, selecione &quot;Não se Aplica&quot;." sqref="X7"/>
    <dataValidation allowBlank="1" showInputMessage="1" showErrorMessage="1" prompt="Quantidade total de Horas consumida para execução de serviço o qual a proposta se refere._x000a__x000a_Caso não se aplique deixe o campo em branco._x000a__x000a_Se o valor de Homem-Hora estiver preenchido este campo é obrigatório." sqref="Y7"/>
    <dataValidation allowBlank="1" showInputMessage="1" showErrorMessage="1" prompt="Valor da taxa de remuneração da Hora trabalhada (Homem-Hora) aplicado a esta proposta. _x000a__x000a_Este valor deve ser obrigatoriamente um valor previsto em contrato._x000a__x000a_Caso a quantidade de horas esteja preenchida, o preenchimento deste campo torna-se obrigatório." sqref="Z7"/>
    <dataValidation allowBlank="1" showInputMessage="1" showErrorMessage="1" prompt="Valor total solicitado dentro de um determinado critério de métrica aplicado na proposta ou solicitação _x000a__x000a_Este valor pode ser um valor exato indicado em uma Proposta Comercial formalizada, ou uma estimativa (OG)." sqref="AA7"/>
    <dataValidation allowBlank="1" showInputMessage="1" showErrorMessage="1" prompt="Indique uma estimativa de quando esta despesa deve ser realizada._x000a__x000a_Esta estimatíva é necessária para disponibilização do Orçamento no SAP e pode ser ajustada durante as rodadas de Forecast." sqref="AC7"/>
    <dataValidation allowBlank="1" showInputMessage="1" showErrorMessage="1" prompt="Aqui você deve preencher informações de detalhamento da Solicitação:_x000a__x000a_- Propostas de Desenvolvimento e Infraestrutura_x000a_- Despesas estimadas para não projetos_x000a_- Serviços diversos e Viagens" sqref="F2"/>
    <dataValidation allowBlank="1" showInputMessage="1" showErrorMessage="1" prompt="Código da Solicitação de Aprovação Financeira na Ferramenta Acompanhamento de Projeto. (AF)_x000a__x000a_Caso não se relacione a um projeto cadastrado, deve ser preenchido N/A." sqref="L7"/>
    <dataValidation allowBlank="1" showInputMessage="1" showErrorMessage="1" prompt="Código da Proposta (PROP) no Clarity PPM.Preencha  o ID completo._x000a__x000a_Caso Seja uma aprovação de Macro estimativa, coloque ME-000 onde 000 é um numero sequencial no projeto_x000a__x000a_Caso não se relacione a um projeto cadastrado nos sistemas deve ser preenchido N/A." sqref="M7"/>
    <dataValidation allowBlank="1" showInputMessage="1" showErrorMessage="1" prompt="Nome do Fornecedor que disponibilizará a Infraestrutura solicitada, caso este fornecedor já esteja definido neste momento._x000a__x000a_Caso esta informação não esteja disponível, preencha com &quot;A Definir&quot;" sqref="R7 BB4 BA7"/>
    <dataValidation allowBlank="1" showInputMessage="1" showErrorMessage="1" prompt="Texto que descreve o item que está sendo adquirido._x000a__x000a_Esta informação pode ser encontrada na OG de aquisição de Infraestrutura, no sistema de acompanhamento de Demandas e Projetos." sqref="AZ7"/>
    <dataValidation allowBlank="1" showInputMessage="1" showErrorMessage="1" prompt="Nome do Arquivo PDF anexado no e-mail de notificação de Conclusão do atendimento do ARS do Custo Final (CF), encaminhado pela Integração. _x000a__x000a_EX.:_x000a_STI 83984 ARS 11722026 CF Instalação de subsistema tipo NAS.pdf" sqref="AY7"/>
    <dataValidation type="list" allowBlank="1" showInputMessage="1" showErrorMessage="1" sqref="I8:I507">
      <formula1>"SIM,NÃO"</formula1>
    </dataValidation>
    <dataValidation type="textLength" operator="lessThanOrEqual" allowBlank="1" showInputMessage="1" showErrorMessage="1" error="Texto Muito longo. Abrevie a descrição em até 20 Caracteres" sqref="AB8:AB507">
      <formula1>20</formula1>
    </dataValidation>
    <dataValidation type="textLength" allowBlank="1" showInputMessage="1" showErrorMessage="1" error="Digite o ID da Aprovação Financeira no Clarity (AF)._x000a__x000a_Se a Solicitação não for relacionada a um projeto coloque N/A" sqref="L8:L507">
      <formula1>3</formula1>
      <formula2>10</formula2>
    </dataValidation>
    <dataValidation type="list" allowBlank="1" showInputMessage="1" showErrorMessage="1" sqref="H8:H507">
      <formula1>"SIM,NÃO, ESTIMATIVA, COMPLEMENTO, JÁ SOLICITADO"</formula1>
    </dataValidation>
    <dataValidation type="list" allowBlank="1" showInputMessage="1" showErrorMessage="1" sqref="G8:G507">
      <formula1>"SIM, NÃO"</formula1>
    </dataValidation>
    <dataValidation allowBlank="1" showInputMessage="1" showErrorMessage="1" prompt="Indica se a proposta é referente uma aquisição de Infraestrutura." sqref="G7"/>
    <dataValidation type="textLength" operator="lessThan" allowBlank="1" showInputMessage="1" showErrorMessage="1" sqref="S8:S507">
      <formula1>80</formula1>
    </dataValidation>
    <dataValidation type="list" allowBlank="1" showInputMessage="1" showErrorMessage="1" sqref="O8:O507">
      <formula1>"SERVIÇOS,HARDWARE,SOFTWARE,FACILITIES,VIAGENS"</formula1>
    </dataValidation>
    <dataValidation allowBlank="1" showInputMessage="1" showErrorMessage="1" prompt="Registra o número da linha caso ele esteja preenchido_x000a_" sqref="BB7:BD7"/>
    <dataValidation type="decimal" operator="greaterThan" allowBlank="1" showInputMessage="1" showErrorMessage="1" sqref="Y8:Y507">
      <formula1>0</formula1>
    </dataValidation>
    <dataValidation type="decimal" operator="greaterThanOrEqual" allowBlank="1" showInputMessage="1" showErrorMessage="1" sqref="Z8:AA507">
      <formula1>0</formula1>
    </dataValidation>
    <dataValidation allowBlank="1" showInputMessage="1" showErrorMessage="1" prompt="Indica a natureza da necessidade da aprovação da Proposta." sqref="J7"/>
    <dataValidation allowBlank="1" showInputMessage="1" showErrorMessage="1" prompt="Classificação do tipo de utilização do orçamento aprovado._x000a__x000a_Classificação Hardware e Software são exclusivos para propostas de aqusição de Infraestrutura." sqref="O7"/>
    <dataValidation allowBlank="1" showInputMessage="1" showErrorMessage="1" prompt="Nome do Arquivo PDF anexado no e-mail de Conclusão do atendimento do ARS do Custo Final (CF), encaminhado pela Integração. _x000a__x000a_As CF devem ser cadastradas no Clarity como propostas, e tramitadas até status &quot;Aprovado&quot; antes da defesa desta Ficha" sqref="P7"/>
    <dataValidation allowBlank="1" showInputMessage="1" showErrorMessage="1" prompt="Texto que descreve o item que está sendo adquirido._x000a__x000a_Esta informação pode ser encontrada na CF de aquisição de Infraestrutura. " sqref="Q7"/>
    <dataValidation operator="greaterThan" allowBlank="1" showInputMessage="1" error="." sqref="N8:N507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624" id="{70A1F639-80B5-4D4A-B840-C740B53F6E7E}">
            <x14:iconSet iconSet="3Symbols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Icon iconSet="NoIcons" iconId="0"/>
              <x14:cfIcon iconSet="3TrafficLights1" iconId="2"/>
              <x14:cfIcon iconSet="3Signs" iconId="1"/>
            </x14:iconSet>
          </x14:cfRule>
          <xm:sqref>V8:V507</xm:sqref>
        </x14:conditionalFormatting>
        <x14:conditionalFormatting xmlns:xm="http://schemas.microsoft.com/office/excel/2006/main">
          <x14:cfRule type="iconSet" priority="1625" id="{E97CE4BB-853B-4C34-9372-DC7BCD4A496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2" iconId="1"/>
              <x14:cfIcon iconSet="3Symbols2" iconId="2"/>
              <x14:cfIcon iconSet="3Symbols2" iconId="0"/>
            </x14:iconSet>
          </x14:cfRule>
          <xm:sqref>AF8:AF507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91" yWindow="461" count="6">
        <x14:dataValidation type="list" allowBlank="1" showInputMessage="1" showErrorMessage="1">
          <x14:formula1>
            <xm:f>TABELAS!$T$2:$T$7</xm:f>
          </x14:formula1>
          <xm:sqref>X8:X507</xm:sqref>
        </x14:dataValidation>
        <x14:dataValidation type="list" allowBlank="1" showInputMessage="1" showErrorMessage="1">
          <x14:formula1>
            <xm:f>TABELAS!$Q$2:$Q$15</xm:f>
          </x14:formula1>
          <xm:sqref>AC8:AC507</xm:sqref>
        </x14:dataValidation>
        <x14:dataValidation type="list" allowBlank="1" showInputMessage="1" showErrorMessage="1">
          <x14:formula1>
            <xm:f>OFFSET( TABELAS!$E:$E, 1, 0, COUNTA( TABELAS!$E:$E)-1,1 )</xm:f>
          </x14:formula1>
          <xm:sqref>J8:J507</xm:sqref>
        </x14:dataValidation>
        <x14:dataValidation type="list" allowBlank="1" showInputMessage="1" showErrorMessage="1" error="Selecione um Subprojeto listado na tela de Defesa.">
          <x14:formula1>
            <xm:f>OFFSET( Defesa!$C$7, 1, 0, COUNTA( Defesa!$C$8:$C$30),1 )</xm:f>
          </x14:formula1>
          <xm:sqref>K8:K507</xm:sqref>
        </x14:dataValidation>
        <x14:dataValidation type="list" allowBlank="1" showInputMessage="1" showErrorMessage="1">
          <x14:formula1>
            <xm:f>OFFSET( SISTEMA!$B$1, 1, 0, SISTEMA!$A$1,1 )</xm:f>
          </x14:formula1>
          <xm:sqref>W8:W507</xm:sqref>
        </x14:dataValidation>
        <x14:dataValidation type="list" allowBlank="1" showInputMessage="1" showErrorMessage="1">
          <x14:formula1>
            <xm:f>OFFSET( CONTRATOS!$B$1, 1, 0, COUNTA( CONTRATOS!$B:$B),1 )</xm:f>
          </x14:formula1>
          <xm:sqref>T8:T507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_Ficha1">
    <tabColor rgb="FF00B050"/>
  </sheetPr>
  <dimension ref="A1:AH182"/>
  <sheetViews>
    <sheetView showGridLines="0" showRowColHeaders="0" tabSelected="1" zoomScale="85" zoomScaleNormal="85" workbookViewId="0">
      <selection activeCell="B4" sqref="B4:D4"/>
    </sheetView>
  </sheetViews>
  <sheetFormatPr defaultColWidth="0" defaultRowHeight="12.75" customHeight="1" zeroHeight="1" x14ac:dyDescent="0.25"/>
  <cols>
    <col min="1" max="1" width="1.7109375" style="60" customWidth="1"/>
    <col min="2" max="7" width="6.28515625" style="60" customWidth="1"/>
    <col min="8" max="8" width="6" style="60" customWidth="1"/>
    <col min="9" max="9" width="7.28515625" style="60" customWidth="1"/>
    <col min="10" max="30" width="6.28515625" style="60" customWidth="1"/>
    <col min="31" max="31" width="7" style="60" customWidth="1"/>
    <col min="32" max="32" width="1.7109375" style="60" customWidth="1"/>
    <col min="33" max="33" width="25.85546875" style="60" hidden="1" customWidth="1"/>
    <col min="34" max="34" width="10.28515625" style="60" hidden="1" customWidth="1"/>
    <col min="35" max="16384" width="0" style="60" hidden="1"/>
  </cols>
  <sheetData>
    <row r="1" spans="1:34" ht="20.25" x14ac:dyDescent="0.2">
      <c r="A1" s="96"/>
      <c r="C1" s="123" t="s">
        <v>968</v>
      </c>
      <c r="D1" s="61"/>
      <c r="E1" s="61"/>
      <c r="F1" s="61"/>
      <c r="G1" s="61"/>
      <c r="H1" s="61"/>
      <c r="I1" s="61"/>
      <c r="J1" s="62"/>
      <c r="K1" s="62"/>
      <c r="L1" s="62"/>
      <c r="M1" s="61"/>
      <c r="N1" s="61"/>
      <c r="O1" s="63"/>
      <c r="P1" s="63"/>
      <c r="Q1" s="63"/>
      <c r="R1" s="63"/>
      <c r="S1" s="63"/>
      <c r="T1" s="63"/>
      <c r="U1" s="63"/>
      <c r="V1" s="63"/>
      <c r="W1" s="63"/>
      <c r="X1" s="719" t="s">
        <v>449</v>
      </c>
      <c r="Y1" s="719"/>
      <c r="Z1" s="720">
        <v>20170802161729</v>
      </c>
      <c r="AA1" s="720"/>
      <c r="AB1" s="720"/>
      <c r="AC1" s="63"/>
    </row>
    <row r="2" spans="1:34" ht="22.5" customHeight="1" thickBot="1" x14ac:dyDescent="0.3">
      <c r="C2" s="64" t="s">
        <v>885</v>
      </c>
      <c r="D2" s="65" t="s">
        <v>1089</v>
      </c>
      <c r="E2" s="65"/>
      <c r="F2" s="65"/>
      <c r="G2" s="65"/>
      <c r="H2" s="65"/>
      <c r="I2" s="65"/>
      <c r="M2" s="65"/>
      <c r="N2" s="65"/>
      <c r="AH2" s="92"/>
    </row>
    <row r="3" spans="1:34" ht="15" customHeight="1" thickBot="1" x14ac:dyDescent="0.3">
      <c r="B3" s="721" t="s">
        <v>32</v>
      </c>
      <c r="C3" s="722"/>
      <c r="D3" s="723"/>
      <c r="E3" s="724" t="s">
        <v>1092</v>
      </c>
      <c r="F3" s="725"/>
      <c r="G3" s="725"/>
      <c r="H3" s="725"/>
      <c r="I3" s="725"/>
      <c r="J3" s="725"/>
      <c r="K3" s="726"/>
      <c r="N3" s="727" t="s">
        <v>846</v>
      </c>
      <c r="O3" s="728"/>
      <c r="P3" s="729"/>
      <c r="Q3" s="730" t="s">
        <v>1093</v>
      </c>
      <c r="R3" s="731"/>
      <c r="S3" s="731"/>
      <c r="T3" s="731"/>
      <c r="U3" s="731"/>
      <c r="V3" s="731"/>
      <c r="W3" s="732"/>
      <c r="Z3" s="733" t="s">
        <v>215</v>
      </c>
      <c r="AA3" s="734"/>
      <c r="AB3" s="734"/>
      <c r="AC3" s="735"/>
      <c r="AD3" s="711">
        <v>14787.465</v>
      </c>
      <c r="AE3" s="712"/>
    </row>
    <row r="4" spans="1:34" ht="15" customHeight="1" x14ac:dyDescent="0.25">
      <c r="B4" s="468" t="s">
        <v>847</v>
      </c>
      <c r="C4" s="469"/>
      <c r="D4" s="470"/>
      <c r="E4" s="713" t="s">
        <v>1090</v>
      </c>
      <c r="F4" s="714"/>
      <c r="G4" s="714"/>
      <c r="H4" s="714"/>
      <c r="I4" s="714"/>
      <c r="J4" s="714"/>
      <c r="K4" s="714"/>
      <c r="L4" s="714"/>
      <c r="M4" s="714"/>
      <c r="N4" s="714"/>
      <c r="O4" s="714"/>
      <c r="P4" s="714"/>
      <c r="Q4" s="714"/>
      <c r="R4" s="714"/>
      <c r="S4" s="714"/>
      <c r="T4" s="714"/>
      <c r="U4" s="714"/>
      <c r="V4" s="714"/>
      <c r="W4" s="715"/>
      <c r="Z4" s="706" t="s">
        <v>947</v>
      </c>
      <c r="AA4" s="707"/>
      <c r="AB4" s="707"/>
      <c r="AC4" s="708"/>
      <c r="AD4" s="709">
        <v>0</v>
      </c>
      <c r="AE4" s="710"/>
    </row>
    <row r="5" spans="1:34" ht="15" customHeight="1" x14ac:dyDescent="0.25">
      <c r="B5" s="468" t="s">
        <v>672</v>
      </c>
      <c r="C5" s="469"/>
      <c r="D5" s="470"/>
      <c r="E5" s="716" t="s">
        <v>1091</v>
      </c>
      <c r="F5" s="717"/>
      <c r="G5" s="717"/>
      <c r="H5" s="717"/>
      <c r="I5" s="717"/>
      <c r="J5" s="717"/>
      <c r="K5" s="717"/>
      <c r="L5" s="717"/>
      <c r="M5" s="717"/>
      <c r="N5" s="717"/>
      <c r="O5" s="717"/>
      <c r="P5" s="717"/>
      <c r="Q5" s="717"/>
      <c r="R5" s="717"/>
      <c r="S5" s="717"/>
      <c r="T5" s="717"/>
      <c r="U5" s="717"/>
      <c r="V5" s="717"/>
      <c r="W5" s="718"/>
      <c r="Z5" s="706" t="s">
        <v>948</v>
      </c>
      <c r="AA5" s="707"/>
      <c r="AB5" s="707"/>
      <c r="AC5" s="708"/>
      <c r="AD5" s="709">
        <v>0</v>
      </c>
      <c r="AE5" s="710"/>
    </row>
    <row r="6" spans="1:34" ht="15" customHeight="1" x14ac:dyDescent="0.25">
      <c r="B6" s="457" t="s">
        <v>404</v>
      </c>
      <c r="C6" s="458"/>
      <c r="D6" s="459"/>
      <c r="E6" s="703" t="s">
        <v>691</v>
      </c>
      <c r="F6" s="704"/>
      <c r="G6" s="705"/>
      <c r="N6" s="457" t="s">
        <v>12</v>
      </c>
      <c r="O6" s="458"/>
      <c r="P6" s="459"/>
      <c r="Q6" s="703" t="s">
        <v>16</v>
      </c>
      <c r="R6" s="704"/>
      <c r="S6" s="704"/>
      <c r="T6" s="704"/>
      <c r="U6" s="704"/>
      <c r="V6" s="704"/>
      <c r="W6" s="705"/>
      <c r="Z6" s="706" t="s">
        <v>844</v>
      </c>
      <c r="AA6" s="707"/>
      <c r="AB6" s="707"/>
      <c r="AC6" s="708"/>
      <c r="AD6" s="709">
        <v>14787.465</v>
      </c>
      <c r="AE6" s="710"/>
      <c r="AG6" s="92"/>
    </row>
    <row r="7" spans="1:34" ht="15" customHeight="1" x14ac:dyDescent="0.25">
      <c r="Z7" s="697" t="s">
        <v>434</v>
      </c>
      <c r="AA7" s="698"/>
      <c r="AB7" s="698"/>
      <c r="AC7" s="699"/>
      <c r="AD7" s="695">
        <v>0</v>
      </c>
      <c r="AE7" s="696"/>
    </row>
    <row r="8" spans="1:34" x14ac:dyDescent="0.25">
      <c r="B8" s="487" t="s">
        <v>232</v>
      </c>
      <c r="C8" s="488"/>
      <c r="D8" s="510"/>
      <c r="E8" s="700" t="s">
        <v>864</v>
      </c>
      <c r="F8" s="701"/>
      <c r="G8" s="701"/>
      <c r="H8" s="701"/>
      <c r="I8" s="701"/>
      <c r="J8" s="701"/>
      <c r="K8" s="701"/>
      <c r="L8" s="701"/>
      <c r="M8" s="701"/>
      <c r="N8" s="701"/>
      <c r="O8" s="701"/>
      <c r="P8" s="701"/>
      <c r="Q8" s="701"/>
      <c r="R8" s="701"/>
      <c r="S8" s="701"/>
      <c r="T8" s="701"/>
      <c r="U8" s="701"/>
      <c r="V8" s="701"/>
      <c r="W8" s="702"/>
      <c r="Z8" s="457" t="s">
        <v>678</v>
      </c>
      <c r="AA8" s="458"/>
      <c r="AB8" s="458"/>
      <c r="AC8" s="459"/>
      <c r="AD8" s="695">
        <v>0</v>
      </c>
      <c r="AE8" s="696"/>
    </row>
    <row r="9" spans="1:34" ht="15" customHeight="1" x14ac:dyDescent="0.25">
      <c r="B9" s="457" t="s">
        <v>937</v>
      </c>
      <c r="C9" s="458"/>
      <c r="D9" s="459"/>
      <c r="E9" s="692" t="s">
        <v>417</v>
      </c>
      <c r="F9" s="693"/>
      <c r="G9" s="693"/>
      <c r="H9" s="693"/>
      <c r="I9" s="693"/>
      <c r="J9" s="693"/>
      <c r="K9" s="693"/>
      <c r="L9" s="693"/>
      <c r="M9" s="693"/>
      <c r="N9" s="693"/>
      <c r="O9" s="693"/>
      <c r="P9" s="693"/>
      <c r="Q9" s="693"/>
      <c r="R9" s="693"/>
      <c r="S9" s="693"/>
      <c r="T9" s="693"/>
      <c r="U9" s="693"/>
      <c r="V9" s="693"/>
      <c r="W9" s="694"/>
      <c r="Z9" s="457" t="s">
        <v>848</v>
      </c>
      <c r="AA9" s="458"/>
      <c r="AB9" s="458"/>
      <c r="AC9" s="459"/>
      <c r="AD9" s="695">
        <v>14787</v>
      </c>
      <c r="AE9" s="696"/>
    </row>
    <row r="10" spans="1:34" ht="15" customHeight="1" x14ac:dyDescent="0.25">
      <c r="Z10" s="457" t="s">
        <v>856</v>
      </c>
      <c r="AA10" s="458"/>
      <c r="AB10" s="458"/>
      <c r="AC10" s="459"/>
      <c r="AD10" s="695">
        <v>14787</v>
      </c>
      <c r="AE10" s="696"/>
      <c r="AH10" s="92"/>
    </row>
    <row r="11" spans="1:34" ht="15" customHeight="1" x14ac:dyDescent="0.25">
      <c r="B11" s="410" t="s">
        <v>233</v>
      </c>
      <c r="C11" s="411"/>
      <c r="D11" s="411"/>
      <c r="E11" s="411"/>
      <c r="F11" s="411"/>
      <c r="G11" s="411"/>
      <c r="H11" s="411"/>
      <c r="I11" s="411"/>
      <c r="J11" s="411"/>
      <c r="K11" s="411"/>
      <c r="L11" s="412"/>
      <c r="N11" s="487" t="s">
        <v>234</v>
      </c>
      <c r="O11" s="488"/>
      <c r="P11" s="510"/>
      <c r="Q11" s="460" t="s">
        <v>1098</v>
      </c>
      <c r="R11" s="462"/>
      <c r="S11" s="460" t="s">
        <v>1091</v>
      </c>
      <c r="T11" s="461"/>
      <c r="U11" s="461"/>
      <c r="V11" s="461"/>
      <c r="W11" s="462"/>
      <c r="AB11" s="690" t="s">
        <v>35</v>
      </c>
      <c r="AC11" s="690"/>
      <c r="AD11" s="691" t="s">
        <v>845</v>
      </c>
      <c r="AE11" s="691"/>
      <c r="AH11" s="92"/>
    </row>
    <row r="12" spans="1:34" ht="15" customHeight="1" x14ac:dyDescent="0.25">
      <c r="B12" s="673" t="s">
        <v>1096</v>
      </c>
      <c r="C12" s="674"/>
      <c r="D12" s="674"/>
      <c r="E12" s="674"/>
      <c r="F12" s="674"/>
      <c r="G12" s="674"/>
      <c r="H12" s="674"/>
      <c r="I12" s="674"/>
      <c r="J12" s="674"/>
      <c r="K12" s="674"/>
      <c r="L12" s="675"/>
      <c r="N12" s="468" t="s">
        <v>439</v>
      </c>
      <c r="O12" s="469"/>
      <c r="P12" s="470"/>
      <c r="Q12" s="673" t="s">
        <v>282</v>
      </c>
      <c r="R12" s="674"/>
      <c r="S12" s="674"/>
      <c r="T12" s="674"/>
      <c r="U12" s="674"/>
      <c r="V12" s="674"/>
      <c r="W12" s="675"/>
      <c r="Y12" s="685" t="s">
        <v>38</v>
      </c>
      <c r="Z12" s="686"/>
      <c r="AA12" s="687"/>
      <c r="AB12" s="688">
        <v>0</v>
      </c>
      <c r="AC12" s="689"/>
      <c r="AD12" s="688">
        <v>0</v>
      </c>
      <c r="AE12" s="689"/>
      <c r="AH12" s="92"/>
    </row>
    <row r="13" spans="1:34" ht="15" customHeight="1" x14ac:dyDescent="0.25">
      <c r="B13" s="676"/>
      <c r="C13" s="677"/>
      <c r="D13" s="677"/>
      <c r="E13" s="677"/>
      <c r="F13" s="677"/>
      <c r="G13" s="677"/>
      <c r="H13" s="677"/>
      <c r="I13" s="677"/>
      <c r="J13" s="677"/>
      <c r="K13" s="677"/>
      <c r="L13" s="678"/>
      <c r="N13" s="468"/>
      <c r="O13" s="469"/>
      <c r="P13" s="470"/>
      <c r="Q13" s="676"/>
      <c r="R13" s="677"/>
      <c r="S13" s="677"/>
      <c r="T13" s="677"/>
      <c r="U13" s="677"/>
      <c r="V13" s="677"/>
      <c r="W13" s="678"/>
      <c r="Y13" s="670" t="s">
        <v>809</v>
      </c>
      <c r="Z13" s="671"/>
      <c r="AA13" s="672"/>
      <c r="AB13" s="669">
        <v>0</v>
      </c>
      <c r="AC13" s="669"/>
      <c r="AD13" s="669">
        <v>0</v>
      </c>
      <c r="AE13" s="669"/>
    </row>
    <row r="14" spans="1:34" ht="15" customHeight="1" x14ac:dyDescent="0.25">
      <c r="B14" s="676"/>
      <c r="C14" s="677"/>
      <c r="D14" s="677"/>
      <c r="E14" s="677"/>
      <c r="F14" s="677"/>
      <c r="G14" s="677"/>
      <c r="H14" s="677"/>
      <c r="I14" s="677"/>
      <c r="J14" s="677"/>
      <c r="K14" s="677"/>
      <c r="L14" s="678"/>
      <c r="N14" s="468"/>
      <c r="O14" s="469"/>
      <c r="P14" s="470"/>
      <c r="Q14" s="676"/>
      <c r="R14" s="677"/>
      <c r="S14" s="677"/>
      <c r="T14" s="677"/>
      <c r="U14" s="677"/>
      <c r="V14" s="677"/>
      <c r="W14" s="678"/>
      <c r="Y14" s="670" t="s">
        <v>1025</v>
      </c>
      <c r="Z14" s="671"/>
      <c r="AA14" s="672"/>
      <c r="AB14" s="669">
        <v>0</v>
      </c>
      <c r="AC14" s="669"/>
      <c r="AD14" s="669">
        <v>0</v>
      </c>
      <c r="AE14" s="669"/>
    </row>
    <row r="15" spans="1:34" ht="15" customHeight="1" x14ac:dyDescent="0.25">
      <c r="B15" s="676"/>
      <c r="C15" s="677"/>
      <c r="D15" s="677"/>
      <c r="E15" s="677"/>
      <c r="F15" s="677"/>
      <c r="G15" s="677"/>
      <c r="H15" s="677"/>
      <c r="I15" s="677"/>
      <c r="J15" s="677"/>
      <c r="K15" s="677"/>
      <c r="L15" s="678"/>
      <c r="N15" s="468"/>
      <c r="O15" s="469"/>
      <c r="P15" s="470"/>
      <c r="Q15" s="679"/>
      <c r="R15" s="680"/>
      <c r="S15" s="680"/>
      <c r="T15" s="680"/>
      <c r="U15" s="680"/>
      <c r="V15" s="680"/>
      <c r="W15" s="681"/>
      <c r="Y15" s="670" t="s">
        <v>675</v>
      </c>
      <c r="Z15" s="671"/>
      <c r="AA15" s="672"/>
      <c r="AB15" s="669">
        <v>0</v>
      </c>
      <c r="AC15" s="669"/>
      <c r="AD15" s="669">
        <v>0</v>
      </c>
      <c r="AE15" s="669"/>
      <c r="AH15" s="93"/>
    </row>
    <row r="16" spans="1:34" ht="15" customHeight="1" x14ac:dyDescent="0.25">
      <c r="B16" s="676"/>
      <c r="C16" s="677"/>
      <c r="D16" s="677"/>
      <c r="E16" s="677"/>
      <c r="F16" s="677"/>
      <c r="G16" s="677"/>
      <c r="H16" s="677"/>
      <c r="I16" s="677"/>
      <c r="J16" s="677"/>
      <c r="K16" s="677"/>
      <c r="L16" s="678"/>
      <c r="N16" s="457" t="s">
        <v>272</v>
      </c>
      <c r="O16" s="458"/>
      <c r="P16" s="459"/>
      <c r="Q16" s="460" t="s">
        <v>1099</v>
      </c>
      <c r="R16" s="461"/>
      <c r="S16" s="462"/>
      <c r="T16" s="70"/>
      <c r="U16" s="70"/>
      <c r="V16" s="70"/>
      <c r="W16" s="70"/>
      <c r="Y16" s="670" t="s">
        <v>688</v>
      </c>
      <c r="Z16" s="671"/>
      <c r="AA16" s="672"/>
      <c r="AB16" s="669">
        <v>0</v>
      </c>
      <c r="AC16" s="669"/>
      <c r="AD16" s="669">
        <v>0</v>
      </c>
      <c r="AE16" s="669"/>
    </row>
    <row r="17" spans="2:31" ht="15" customHeight="1" x14ac:dyDescent="0.25">
      <c r="B17" s="679"/>
      <c r="C17" s="680"/>
      <c r="D17" s="680"/>
      <c r="E17" s="680"/>
      <c r="F17" s="680"/>
      <c r="G17" s="680"/>
      <c r="H17" s="680"/>
      <c r="I17" s="680"/>
      <c r="J17" s="680"/>
      <c r="K17" s="680"/>
      <c r="L17" s="681"/>
      <c r="Y17" s="670" t="s">
        <v>182</v>
      </c>
      <c r="Z17" s="671"/>
      <c r="AA17" s="672"/>
      <c r="AB17" s="669">
        <v>0</v>
      </c>
      <c r="AC17" s="669"/>
      <c r="AD17" s="669">
        <v>0</v>
      </c>
      <c r="AE17" s="669"/>
    </row>
    <row r="18" spans="2:31" ht="15.75" customHeight="1" x14ac:dyDescent="0.25">
      <c r="B18" s="410" t="s">
        <v>43</v>
      </c>
      <c r="C18" s="411"/>
      <c r="D18" s="411"/>
      <c r="E18" s="411"/>
      <c r="F18" s="411"/>
      <c r="G18" s="411"/>
      <c r="H18" s="411"/>
      <c r="I18" s="411"/>
      <c r="J18" s="411"/>
      <c r="K18" s="411"/>
      <c r="L18" s="412"/>
      <c r="N18" s="487" t="s">
        <v>284</v>
      </c>
      <c r="O18" s="488"/>
      <c r="P18" s="510"/>
      <c r="Q18" s="471" t="s">
        <v>1058</v>
      </c>
      <c r="R18" s="472"/>
      <c r="S18" s="472"/>
      <c r="T18" s="472"/>
      <c r="U18" s="472"/>
      <c r="V18" s="472"/>
      <c r="W18" s="473"/>
      <c r="Y18" s="670" t="s">
        <v>189</v>
      </c>
      <c r="Z18" s="671"/>
      <c r="AA18" s="672"/>
      <c r="AB18" s="669">
        <v>0</v>
      </c>
      <c r="AC18" s="669"/>
      <c r="AD18" s="669">
        <v>14787.465</v>
      </c>
      <c r="AE18" s="669"/>
    </row>
    <row r="19" spans="2:31" ht="14.25" customHeight="1" x14ac:dyDescent="0.25">
      <c r="B19" s="673" t="s">
        <v>1094</v>
      </c>
      <c r="C19" s="674"/>
      <c r="D19" s="674"/>
      <c r="E19" s="674"/>
      <c r="F19" s="674"/>
      <c r="G19" s="674"/>
      <c r="H19" s="674"/>
      <c r="I19" s="674"/>
      <c r="J19" s="674"/>
      <c r="K19" s="674"/>
      <c r="L19" s="675"/>
      <c r="N19" s="468" t="s">
        <v>236</v>
      </c>
      <c r="O19" s="469"/>
      <c r="P19" s="470"/>
      <c r="Q19" s="471" t="s">
        <v>1097</v>
      </c>
      <c r="R19" s="472"/>
      <c r="S19" s="472"/>
      <c r="T19" s="472"/>
      <c r="U19" s="472"/>
      <c r="V19" s="472"/>
      <c r="W19" s="473"/>
      <c r="Y19" s="670" t="s">
        <v>447</v>
      </c>
      <c r="Z19" s="671"/>
      <c r="AA19" s="672"/>
      <c r="AB19" s="669">
        <v>0</v>
      </c>
      <c r="AC19" s="669"/>
      <c r="AD19" s="669">
        <v>0</v>
      </c>
      <c r="AE19" s="669"/>
    </row>
    <row r="20" spans="2:31" ht="15" customHeight="1" x14ac:dyDescent="0.25">
      <c r="B20" s="676"/>
      <c r="C20" s="677"/>
      <c r="D20" s="677"/>
      <c r="E20" s="677"/>
      <c r="F20" s="677"/>
      <c r="G20" s="677"/>
      <c r="H20" s="677"/>
      <c r="I20" s="677"/>
      <c r="J20" s="677"/>
      <c r="K20" s="677"/>
      <c r="L20" s="678"/>
      <c r="N20" s="457" t="s">
        <v>1068</v>
      </c>
      <c r="O20" s="458"/>
      <c r="P20" s="459"/>
      <c r="Q20" s="682" t="s">
        <v>982</v>
      </c>
      <c r="R20" s="683"/>
      <c r="S20" s="683"/>
      <c r="T20" s="683"/>
      <c r="U20" s="683"/>
      <c r="V20" s="684"/>
      <c r="W20" s="72" t="s">
        <v>831</v>
      </c>
      <c r="Y20" s="670" t="s">
        <v>1079</v>
      </c>
      <c r="Z20" s="671"/>
      <c r="AA20" s="672"/>
      <c r="AB20" s="669">
        <v>0</v>
      </c>
      <c r="AC20" s="669"/>
      <c r="AD20" s="669">
        <v>0</v>
      </c>
      <c r="AE20" s="669"/>
    </row>
    <row r="21" spans="2:31" ht="12.75" customHeight="1" x14ac:dyDescent="0.25">
      <c r="B21" s="676"/>
      <c r="C21" s="677"/>
      <c r="D21" s="677"/>
      <c r="E21" s="677"/>
      <c r="F21" s="677"/>
      <c r="G21" s="677"/>
      <c r="H21" s="677"/>
      <c r="I21" s="677"/>
      <c r="J21" s="677"/>
      <c r="K21" s="677"/>
      <c r="L21" s="678"/>
      <c r="M21" s="70"/>
      <c r="N21" s="70"/>
      <c r="O21" s="70"/>
      <c r="P21" s="70"/>
      <c r="Q21" s="70"/>
      <c r="R21" s="70"/>
      <c r="Y21" s="670" t="s">
        <v>206</v>
      </c>
      <c r="Z21" s="671"/>
      <c r="AA21" s="672"/>
      <c r="AB21" s="669">
        <v>0</v>
      </c>
      <c r="AC21" s="669"/>
      <c r="AD21" s="669">
        <v>0</v>
      </c>
      <c r="AE21" s="669"/>
    </row>
    <row r="22" spans="2:31" x14ac:dyDescent="0.25">
      <c r="B22" s="676"/>
      <c r="C22" s="677"/>
      <c r="D22" s="677"/>
      <c r="E22" s="677"/>
      <c r="F22" s="677"/>
      <c r="G22" s="677"/>
      <c r="H22" s="677"/>
      <c r="I22" s="677"/>
      <c r="J22" s="677"/>
      <c r="K22" s="677"/>
      <c r="L22" s="678"/>
      <c r="M22" s="70"/>
      <c r="N22" s="70"/>
      <c r="O22" s="70"/>
      <c r="P22" s="70"/>
      <c r="Q22" s="70"/>
      <c r="R22" s="70"/>
      <c r="Y22" s="670" t="s">
        <v>881</v>
      </c>
      <c r="Z22" s="671"/>
      <c r="AA22" s="672"/>
      <c r="AB22" s="669">
        <v>0</v>
      </c>
      <c r="AC22" s="669"/>
      <c r="AD22" s="669">
        <v>0</v>
      </c>
      <c r="AE22" s="669"/>
    </row>
    <row r="23" spans="2:31" x14ac:dyDescent="0.25">
      <c r="B23" s="676"/>
      <c r="C23" s="677"/>
      <c r="D23" s="677"/>
      <c r="E23" s="677"/>
      <c r="F23" s="677"/>
      <c r="G23" s="677"/>
      <c r="H23" s="677"/>
      <c r="I23" s="677"/>
      <c r="J23" s="677"/>
      <c r="K23" s="677"/>
      <c r="L23" s="678"/>
      <c r="M23" s="70"/>
      <c r="N23" s="70"/>
      <c r="O23" s="70"/>
      <c r="P23" s="70"/>
      <c r="Q23" s="70"/>
      <c r="R23" s="70"/>
      <c r="S23" s="70"/>
      <c r="T23" s="70"/>
      <c r="U23" s="70"/>
      <c r="V23" s="70"/>
      <c r="W23" s="70"/>
      <c r="Y23" s="647" t="s">
        <v>62</v>
      </c>
      <c r="Z23" s="648"/>
      <c r="AA23" s="649"/>
      <c r="AB23" s="650" t="s">
        <v>62</v>
      </c>
      <c r="AC23" s="650"/>
      <c r="AD23" s="650" t="s">
        <v>62</v>
      </c>
      <c r="AE23" s="650"/>
    </row>
    <row r="24" spans="2:31" x14ac:dyDescent="0.25">
      <c r="B24" s="676"/>
      <c r="C24" s="677"/>
      <c r="D24" s="677"/>
      <c r="E24" s="677"/>
      <c r="F24" s="677"/>
      <c r="G24" s="677"/>
      <c r="H24" s="677"/>
      <c r="I24" s="677"/>
      <c r="J24" s="677"/>
      <c r="K24" s="677"/>
      <c r="L24" s="678"/>
    </row>
    <row r="25" spans="2:31" ht="15" customHeight="1" x14ac:dyDescent="0.25">
      <c r="B25" s="676"/>
      <c r="C25" s="677"/>
      <c r="D25" s="677"/>
      <c r="E25" s="677"/>
      <c r="F25" s="677"/>
      <c r="G25" s="677"/>
      <c r="H25" s="677"/>
      <c r="I25" s="677"/>
      <c r="J25" s="677"/>
      <c r="K25" s="677"/>
      <c r="L25" s="678"/>
      <c r="N25" s="651" t="s">
        <v>851</v>
      </c>
      <c r="O25" s="652"/>
      <c r="P25" s="652"/>
      <c r="Q25" s="652"/>
      <c r="R25" s="652"/>
      <c r="S25" s="652"/>
      <c r="T25" s="652"/>
      <c r="U25" s="652"/>
      <c r="V25" s="653"/>
      <c r="W25" s="70"/>
      <c r="X25" s="70"/>
    </row>
    <row r="26" spans="2:31" x14ac:dyDescent="0.25">
      <c r="B26" s="676"/>
      <c r="C26" s="677"/>
      <c r="D26" s="677"/>
      <c r="E26" s="677"/>
      <c r="F26" s="677"/>
      <c r="G26" s="677"/>
      <c r="H26" s="677"/>
      <c r="I26" s="677"/>
      <c r="J26" s="677"/>
      <c r="K26" s="677"/>
      <c r="L26" s="678"/>
      <c r="N26" s="654" t="s">
        <v>849</v>
      </c>
      <c r="O26" s="655"/>
      <c r="P26" s="656" t="s">
        <v>1100</v>
      </c>
      <c r="Q26" s="657"/>
      <c r="R26" s="658"/>
      <c r="S26" s="659" t="s">
        <v>859</v>
      </c>
      <c r="T26" s="660"/>
      <c r="U26" s="663">
        <v>49</v>
      </c>
      <c r="V26" s="664"/>
    </row>
    <row r="27" spans="2:31" x14ac:dyDescent="0.25">
      <c r="B27" s="679"/>
      <c r="C27" s="680"/>
      <c r="D27" s="680"/>
      <c r="E27" s="680"/>
      <c r="F27" s="680"/>
      <c r="G27" s="680"/>
      <c r="H27" s="680"/>
      <c r="I27" s="680"/>
      <c r="J27" s="680"/>
      <c r="K27" s="680"/>
      <c r="L27" s="681"/>
      <c r="N27" s="667" t="s">
        <v>850</v>
      </c>
      <c r="O27" s="668"/>
      <c r="P27" s="656" t="s">
        <v>1101</v>
      </c>
      <c r="Q27" s="657"/>
      <c r="R27" s="658"/>
      <c r="S27" s="661"/>
      <c r="T27" s="662"/>
      <c r="U27" s="665"/>
      <c r="V27" s="666"/>
      <c r="W27" s="70"/>
      <c r="X27" s="70"/>
    </row>
    <row r="28" spans="2:31" x14ac:dyDescent="0.25"/>
    <row r="29" spans="2:31" ht="15" customHeight="1" x14ac:dyDescent="0.25">
      <c r="B29" s="507" t="s">
        <v>833</v>
      </c>
      <c r="C29" s="508"/>
      <c r="D29" s="508"/>
      <c r="E29" s="508"/>
      <c r="F29" s="508"/>
      <c r="G29" s="508"/>
      <c r="H29" s="508"/>
      <c r="I29" s="508"/>
      <c r="J29" s="508"/>
      <c r="K29" s="508"/>
      <c r="L29" s="508"/>
      <c r="M29" s="508"/>
      <c r="N29" s="508"/>
      <c r="O29" s="508"/>
      <c r="P29" s="508"/>
      <c r="Q29" s="508"/>
      <c r="R29" s="508"/>
      <c r="S29" s="508"/>
      <c r="T29" s="508"/>
      <c r="U29" s="508"/>
      <c r="V29" s="508"/>
      <c r="W29" s="508"/>
      <c r="X29" s="508"/>
      <c r="Y29" s="508"/>
      <c r="Z29" s="508"/>
      <c r="AA29" s="508"/>
      <c r="AB29" s="508"/>
      <c r="AC29" s="508"/>
      <c r="AD29" s="508"/>
      <c r="AE29" s="509"/>
    </row>
    <row r="30" spans="2:31" ht="13.5" thickBot="1" x14ac:dyDescent="0.3">
      <c r="B30" s="66"/>
      <c r="C30" s="70"/>
      <c r="D30" s="70"/>
      <c r="E30" s="70"/>
      <c r="F30" s="70"/>
      <c r="G30" s="70"/>
      <c r="H30" s="70"/>
      <c r="I30" s="70"/>
      <c r="J30" s="70"/>
      <c r="K30" s="70"/>
      <c r="L30" s="70"/>
      <c r="M30" s="70"/>
      <c r="N30" s="70"/>
      <c r="O30" s="70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0"/>
      <c r="AC30" s="70"/>
      <c r="AD30" s="70"/>
      <c r="AE30" s="67"/>
    </row>
    <row r="31" spans="2:31" ht="18.75" customHeight="1" thickBot="1" x14ac:dyDescent="0.3">
      <c r="B31" s="66"/>
      <c r="C31" s="70"/>
      <c r="D31" s="70"/>
      <c r="E31" s="70"/>
      <c r="F31" s="70"/>
      <c r="G31" s="70"/>
      <c r="H31" s="70"/>
      <c r="I31" s="70"/>
      <c r="J31" s="70"/>
      <c r="K31" s="70"/>
      <c r="L31" s="70"/>
      <c r="M31" s="70"/>
      <c r="N31" s="70"/>
      <c r="O31" s="70"/>
      <c r="P31" s="70"/>
      <c r="Q31" s="70"/>
      <c r="R31" s="639">
        <v>2017</v>
      </c>
      <c r="S31" s="640"/>
      <c r="T31" s="641">
        <v>2018</v>
      </c>
      <c r="U31" s="640"/>
      <c r="V31" s="641" t="s">
        <v>80</v>
      </c>
      <c r="W31" s="642"/>
      <c r="X31" s="639" t="s">
        <v>835</v>
      </c>
      <c r="Y31" s="642"/>
      <c r="Z31" s="70"/>
      <c r="AA31" s="70"/>
      <c r="AB31" s="70"/>
      <c r="AC31" s="70"/>
      <c r="AD31" s="70"/>
      <c r="AE31" s="67"/>
    </row>
    <row r="32" spans="2:31" ht="15" customHeight="1" x14ac:dyDescent="0.25">
      <c r="B32" s="66"/>
      <c r="C32" s="70"/>
      <c r="D32" s="70"/>
      <c r="E32" s="70"/>
      <c r="F32" s="70"/>
      <c r="G32" s="70"/>
      <c r="H32" s="70"/>
      <c r="I32" s="70"/>
      <c r="J32" s="70"/>
      <c r="K32" s="643" t="s">
        <v>60</v>
      </c>
      <c r="L32" s="644"/>
      <c r="M32" s="612" t="s">
        <v>950</v>
      </c>
      <c r="N32" s="612"/>
      <c r="O32" s="612"/>
      <c r="P32" s="612"/>
      <c r="Q32" s="613"/>
      <c r="R32" s="637">
        <v>0</v>
      </c>
      <c r="S32" s="645"/>
      <c r="T32" s="646">
        <v>0</v>
      </c>
      <c r="U32" s="645"/>
      <c r="V32" s="646">
        <v>0</v>
      </c>
      <c r="W32" s="638"/>
      <c r="X32" s="637">
        <v>0</v>
      </c>
      <c r="Y32" s="638"/>
      <c r="Z32" s="70"/>
      <c r="AA32" s="70"/>
      <c r="AB32" s="70"/>
      <c r="AC32" s="70"/>
      <c r="AD32" s="70"/>
      <c r="AE32" s="67"/>
    </row>
    <row r="33" spans="2:31" ht="12.75" customHeight="1" x14ac:dyDescent="0.25">
      <c r="B33" s="66"/>
      <c r="C33" s="70"/>
      <c r="D33" s="70"/>
      <c r="E33" s="70"/>
      <c r="F33" s="70"/>
      <c r="G33" s="70"/>
      <c r="H33" s="70"/>
      <c r="I33" s="70"/>
      <c r="J33" s="70"/>
      <c r="K33" s="125"/>
      <c r="L33" s="126"/>
      <c r="M33" s="469" t="s">
        <v>275</v>
      </c>
      <c r="N33" s="469"/>
      <c r="O33" s="469"/>
      <c r="P33" s="469"/>
      <c r="Q33" s="597"/>
      <c r="R33" s="598">
        <v>0</v>
      </c>
      <c r="S33" s="599"/>
      <c r="T33" s="600">
        <v>0</v>
      </c>
      <c r="U33" s="599"/>
      <c r="V33" s="600">
        <v>0</v>
      </c>
      <c r="W33" s="601"/>
      <c r="X33" s="598">
        <v>0</v>
      </c>
      <c r="Y33" s="601"/>
      <c r="Z33" s="70"/>
      <c r="AA33" s="70"/>
      <c r="AB33" s="70"/>
      <c r="AC33" s="70"/>
      <c r="AD33" s="70"/>
      <c r="AE33" s="67"/>
    </row>
    <row r="34" spans="2:31" ht="15" customHeight="1" x14ac:dyDescent="0.25">
      <c r="B34" s="66"/>
      <c r="C34" s="70"/>
      <c r="D34" s="70"/>
      <c r="E34" s="70"/>
      <c r="F34" s="70"/>
      <c r="G34" s="70"/>
      <c r="H34" s="70"/>
      <c r="I34" s="70"/>
      <c r="J34" s="70"/>
      <c r="K34" s="125"/>
      <c r="L34" s="126"/>
      <c r="M34" s="624" t="s">
        <v>834</v>
      </c>
      <c r="N34" s="624"/>
      <c r="O34" s="624"/>
      <c r="P34" s="624"/>
      <c r="Q34" s="625"/>
      <c r="R34" s="598">
        <v>14787.465000000004</v>
      </c>
      <c r="S34" s="599"/>
      <c r="T34" s="626">
        <v>0</v>
      </c>
      <c r="U34" s="627"/>
      <c r="V34" s="626">
        <v>0</v>
      </c>
      <c r="W34" s="628"/>
      <c r="X34" s="629">
        <v>14787.465000000004</v>
      </c>
      <c r="Y34" s="628"/>
      <c r="Z34" s="70"/>
      <c r="AA34" s="70"/>
      <c r="AB34" s="70"/>
      <c r="AC34" s="70"/>
      <c r="AD34" s="70"/>
      <c r="AE34" s="67"/>
    </row>
    <row r="35" spans="2:31" ht="12.75" customHeight="1" x14ac:dyDescent="0.25">
      <c r="B35" s="66"/>
      <c r="C35" s="70"/>
      <c r="D35" s="70"/>
      <c r="E35" s="70"/>
      <c r="F35" s="70"/>
      <c r="G35" s="70"/>
      <c r="H35" s="70"/>
      <c r="I35" s="70"/>
      <c r="J35" s="70"/>
      <c r="K35" s="125"/>
      <c r="L35" s="630" t="s">
        <v>35</v>
      </c>
      <c r="M35" s="631" t="s">
        <v>38</v>
      </c>
      <c r="N35" s="631"/>
      <c r="O35" s="631"/>
      <c r="P35" s="631"/>
      <c r="Q35" s="632"/>
      <c r="R35" s="633">
        <v>0</v>
      </c>
      <c r="S35" s="634"/>
      <c r="T35" s="635">
        <v>0</v>
      </c>
      <c r="U35" s="636"/>
      <c r="V35" s="635">
        <v>0</v>
      </c>
      <c r="W35" s="623"/>
      <c r="X35" s="622">
        <v>0</v>
      </c>
      <c r="Y35" s="623"/>
      <c r="Z35" s="70"/>
      <c r="AA35" s="70"/>
      <c r="AB35" s="70"/>
      <c r="AC35" s="70"/>
      <c r="AD35" s="70"/>
      <c r="AE35" s="67"/>
    </row>
    <row r="36" spans="2:31" x14ac:dyDescent="0.25">
      <c r="B36" s="66"/>
      <c r="C36" s="70"/>
      <c r="D36" s="70"/>
      <c r="E36" s="70"/>
      <c r="F36" s="70"/>
      <c r="G36" s="70"/>
      <c r="H36" s="70"/>
      <c r="I36" s="70"/>
      <c r="J36" s="70"/>
      <c r="K36" s="125"/>
      <c r="L36" s="630"/>
      <c r="M36" s="618" t="s">
        <v>809</v>
      </c>
      <c r="N36" s="618"/>
      <c r="O36" s="618"/>
      <c r="P36" s="618"/>
      <c r="Q36" s="619"/>
      <c r="R36" s="620">
        <v>0</v>
      </c>
      <c r="S36" s="621"/>
      <c r="T36" s="600">
        <v>0</v>
      </c>
      <c r="U36" s="599"/>
      <c r="V36" s="600">
        <v>0</v>
      </c>
      <c r="W36" s="601"/>
      <c r="X36" s="598">
        <v>0</v>
      </c>
      <c r="Y36" s="601"/>
      <c r="Z36" s="70"/>
      <c r="AA36" s="70"/>
      <c r="AB36" s="70"/>
      <c r="AC36" s="70"/>
      <c r="AD36" s="70"/>
      <c r="AE36" s="67"/>
    </row>
    <row r="37" spans="2:31" x14ac:dyDescent="0.25">
      <c r="B37" s="66"/>
      <c r="C37" s="70"/>
      <c r="D37" s="70"/>
      <c r="E37" s="70"/>
      <c r="F37" s="70"/>
      <c r="G37" s="70"/>
      <c r="H37" s="70"/>
      <c r="I37" s="70"/>
      <c r="J37" s="70"/>
      <c r="K37" s="125"/>
      <c r="L37" s="630"/>
      <c r="M37" s="618" t="s">
        <v>1025</v>
      </c>
      <c r="N37" s="618"/>
      <c r="O37" s="618"/>
      <c r="P37" s="618"/>
      <c r="Q37" s="619"/>
      <c r="R37" s="620">
        <v>0</v>
      </c>
      <c r="S37" s="621"/>
      <c r="T37" s="600">
        <v>0</v>
      </c>
      <c r="U37" s="599"/>
      <c r="V37" s="600">
        <v>0</v>
      </c>
      <c r="W37" s="601"/>
      <c r="X37" s="598">
        <v>0</v>
      </c>
      <c r="Y37" s="601"/>
      <c r="Z37" s="70"/>
      <c r="AA37" s="70"/>
      <c r="AB37" s="70"/>
      <c r="AC37" s="70"/>
      <c r="AD37" s="70"/>
      <c r="AE37" s="67"/>
    </row>
    <row r="38" spans="2:31" x14ac:dyDescent="0.25">
      <c r="B38" s="66"/>
      <c r="C38" s="70"/>
      <c r="D38" s="70"/>
      <c r="E38" s="70"/>
      <c r="F38" s="70"/>
      <c r="G38" s="70"/>
      <c r="H38" s="70"/>
      <c r="I38" s="70"/>
      <c r="J38" s="70"/>
      <c r="K38" s="125"/>
      <c r="L38" s="630"/>
      <c r="M38" s="618" t="s">
        <v>675</v>
      </c>
      <c r="N38" s="618"/>
      <c r="O38" s="618"/>
      <c r="P38" s="618"/>
      <c r="Q38" s="619"/>
      <c r="R38" s="620">
        <v>0</v>
      </c>
      <c r="S38" s="621"/>
      <c r="T38" s="600">
        <v>0</v>
      </c>
      <c r="U38" s="599"/>
      <c r="V38" s="600">
        <v>0</v>
      </c>
      <c r="W38" s="601"/>
      <c r="X38" s="598">
        <v>0</v>
      </c>
      <c r="Y38" s="601"/>
      <c r="Z38" s="70"/>
      <c r="AA38" s="70"/>
      <c r="AB38" s="70"/>
      <c r="AC38" s="70"/>
      <c r="AD38" s="70"/>
      <c r="AE38" s="67"/>
    </row>
    <row r="39" spans="2:31" x14ac:dyDescent="0.25">
      <c r="B39" s="66"/>
      <c r="C39" s="70"/>
      <c r="D39" s="70"/>
      <c r="E39" s="70"/>
      <c r="F39" s="70"/>
      <c r="G39" s="70"/>
      <c r="H39" s="70"/>
      <c r="I39" s="70"/>
      <c r="J39" s="70"/>
      <c r="K39" s="125"/>
      <c r="L39" s="630"/>
      <c r="M39" s="618" t="s">
        <v>688</v>
      </c>
      <c r="N39" s="618"/>
      <c r="O39" s="618"/>
      <c r="P39" s="618"/>
      <c r="Q39" s="619"/>
      <c r="R39" s="620">
        <v>0</v>
      </c>
      <c r="S39" s="621"/>
      <c r="T39" s="600">
        <v>0</v>
      </c>
      <c r="U39" s="599"/>
      <c r="V39" s="600">
        <v>0</v>
      </c>
      <c r="W39" s="601"/>
      <c r="X39" s="598">
        <v>0</v>
      </c>
      <c r="Y39" s="601"/>
      <c r="Z39" s="70"/>
      <c r="AA39" s="70"/>
      <c r="AB39" s="70"/>
      <c r="AC39" s="70"/>
      <c r="AD39" s="70"/>
      <c r="AE39" s="67"/>
    </row>
    <row r="40" spans="2:31" x14ac:dyDescent="0.25">
      <c r="B40" s="66"/>
      <c r="C40" s="70"/>
      <c r="D40" s="70"/>
      <c r="E40" s="70"/>
      <c r="F40" s="70"/>
      <c r="G40" s="70"/>
      <c r="H40" s="70"/>
      <c r="I40" s="70"/>
      <c r="J40" s="70"/>
      <c r="K40" s="125"/>
      <c r="L40" s="630"/>
      <c r="M40" s="618" t="s">
        <v>182</v>
      </c>
      <c r="N40" s="618"/>
      <c r="O40" s="618"/>
      <c r="P40" s="618"/>
      <c r="Q40" s="619"/>
      <c r="R40" s="620">
        <v>0</v>
      </c>
      <c r="S40" s="621"/>
      <c r="T40" s="600">
        <v>0</v>
      </c>
      <c r="U40" s="599"/>
      <c r="V40" s="600">
        <v>0</v>
      </c>
      <c r="W40" s="601"/>
      <c r="X40" s="598">
        <v>0</v>
      </c>
      <c r="Y40" s="601"/>
      <c r="Z40" s="70"/>
      <c r="AA40" s="70"/>
      <c r="AB40" s="70"/>
      <c r="AC40" s="70"/>
      <c r="AD40" s="70"/>
      <c r="AE40" s="67"/>
    </row>
    <row r="41" spans="2:31" x14ac:dyDescent="0.25">
      <c r="B41" s="66"/>
      <c r="C41" s="70"/>
      <c r="D41" s="70"/>
      <c r="E41" s="70"/>
      <c r="F41" s="70"/>
      <c r="G41" s="70"/>
      <c r="H41" s="70"/>
      <c r="I41" s="70"/>
      <c r="J41" s="70"/>
      <c r="K41" s="125"/>
      <c r="L41" s="630"/>
      <c r="M41" s="618" t="s">
        <v>189</v>
      </c>
      <c r="N41" s="618"/>
      <c r="O41" s="618"/>
      <c r="P41" s="618"/>
      <c r="Q41" s="619"/>
      <c r="R41" s="620">
        <v>0</v>
      </c>
      <c r="S41" s="621"/>
      <c r="T41" s="600">
        <v>0</v>
      </c>
      <c r="U41" s="599"/>
      <c r="V41" s="600">
        <v>0</v>
      </c>
      <c r="W41" s="601"/>
      <c r="X41" s="598">
        <v>0</v>
      </c>
      <c r="Y41" s="601"/>
      <c r="Z41" s="70"/>
      <c r="AA41" s="70"/>
      <c r="AB41" s="70"/>
      <c r="AC41" s="70"/>
      <c r="AD41" s="70"/>
      <c r="AE41" s="67"/>
    </row>
    <row r="42" spans="2:31" x14ac:dyDescent="0.25">
      <c r="B42" s="66"/>
      <c r="C42" s="70"/>
      <c r="D42" s="70"/>
      <c r="E42" s="70"/>
      <c r="F42" s="70"/>
      <c r="G42" s="70"/>
      <c r="H42" s="70"/>
      <c r="I42" s="70"/>
      <c r="J42" s="70"/>
      <c r="K42" s="125"/>
      <c r="L42" s="630"/>
      <c r="M42" s="618" t="s">
        <v>447</v>
      </c>
      <c r="N42" s="618"/>
      <c r="O42" s="618"/>
      <c r="P42" s="618"/>
      <c r="Q42" s="619"/>
      <c r="R42" s="620">
        <v>0</v>
      </c>
      <c r="S42" s="621"/>
      <c r="T42" s="600">
        <v>0</v>
      </c>
      <c r="U42" s="599"/>
      <c r="V42" s="600">
        <v>0</v>
      </c>
      <c r="W42" s="601"/>
      <c r="X42" s="598">
        <v>0</v>
      </c>
      <c r="Y42" s="601"/>
      <c r="Z42" s="70"/>
      <c r="AA42" s="70"/>
      <c r="AB42" s="70"/>
      <c r="AC42" s="70"/>
      <c r="AD42" s="70"/>
      <c r="AE42" s="67"/>
    </row>
    <row r="43" spans="2:31" x14ac:dyDescent="0.25">
      <c r="B43" s="66"/>
      <c r="C43" s="70"/>
      <c r="D43" s="70"/>
      <c r="E43" s="70"/>
      <c r="F43" s="70"/>
      <c r="G43" s="70"/>
      <c r="H43" s="70"/>
      <c r="I43" s="70"/>
      <c r="J43" s="70"/>
      <c r="K43" s="125"/>
      <c r="L43" s="630"/>
      <c r="M43" s="618" t="s">
        <v>1079</v>
      </c>
      <c r="N43" s="618"/>
      <c r="O43" s="618"/>
      <c r="P43" s="618"/>
      <c r="Q43" s="619"/>
      <c r="R43" s="620">
        <v>0</v>
      </c>
      <c r="S43" s="621"/>
      <c r="T43" s="600">
        <v>0</v>
      </c>
      <c r="U43" s="599"/>
      <c r="V43" s="600">
        <v>0</v>
      </c>
      <c r="W43" s="601"/>
      <c r="X43" s="598">
        <v>0</v>
      </c>
      <c r="Y43" s="601"/>
      <c r="Z43" s="70"/>
      <c r="AA43" s="70"/>
      <c r="AB43" s="70"/>
      <c r="AC43" s="70"/>
      <c r="AD43" s="70"/>
      <c r="AE43" s="67"/>
    </row>
    <row r="44" spans="2:31" x14ac:dyDescent="0.25">
      <c r="B44" s="66"/>
      <c r="C44" s="70"/>
      <c r="D44" s="70"/>
      <c r="E44" s="70"/>
      <c r="F44" s="70"/>
      <c r="G44" s="70"/>
      <c r="H44" s="70"/>
      <c r="I44" s="70"/>
      <c r="J44" s="70"/>
      <c r="K44" s="125"/>
      <c r="L44" s="630"/>
      <c r="M44" s="618" t="s">
        <v>206</v>
      </c>
      <c r="N44" s="618"/>
      <c r="O44" s="618"/>
      <c r="P44" s="618"/>
      <c r="Q44" s="619"/>
      <c r="R44" s="620">
        <v>0</v>
      </c>
      <c r="S44" s="621"/>
      <c r="T44" s="600">
        <v>0</v>
      </c>
      <c r="U44" s="599"/>
      <c r="V44" s="600">
        <v>0</v>
      </c>
      <c r="W44" s="601"/>
      <c r="X44" s="598">
        <v>0</v>
      </c>
      <c r="Y44" s="601"/>
      <c r="Z44" s="70"/>
      <c r="AA44" s="70"/>
      <c r="AB44" s="70"/>
      <c r="AC44" s="70"/>
      <c r="AD44" s="70"/>
      <c r="AE44" s="67"/>
    </row>
    <row r="45" spans="2:31" x14ac:dyDescent="0.25">
      <c r="B45" s="66"/>
      <c r="C45" s="70"/>
      <c r="D45" s="70"/>
      <c r="E45" s="70"/>
      <c r="F45" s="70"/>
      <c r="G45" s="70"/>
      <c r="H45" s="70"/>
      <c r="I45" s="70"/>
      <c r="J45" s="70"/>
      <c r="K45" s="125"/>
      <c r="L45" s="630"/>
      <c r="M45" s="618" t="s">
        <v>881</v>
      </c>
      <c r="N45" s="618"/>
      <c r="O45" s="618"/>
      <c r="P45" s="618"/>
      <c r="Q45" s="619"/>
      <c r="R45" s="620">
        <v>0</v>
      </c>
      <c r="S45" s="621"/>
      <c r="T45" s="600">
        <v>0</v>
      </c>
      <c r="U45" s="599"/>
      <c r="V45" s="600">
        <v>0</v>
      </c>
      <c r="W45" s="601"/>
      <c r="X45" s="598">
        <v>0</v>
      </c>
      <c r="Y45" s="601"/>
      <c r="Z45" s="70"/>
      <c r="AA45" s="70"/>
      <c r="AB45" s="70"/>
      <c r="AC45" s="70"/>
      <c r="AD45" s="70"/>
      <c r="AE45" s="67"/>
    </row>
    <row r="46" spans="2:31" ht="13.5" thickBot="1" x14ac:dyDescent="0.3">
      <c r="B46" s="66"/>
      <c r="C46" s="70"/>
      <c r="D46" s="70"/>
      <c r="E46" s="70"/>
      <c r="F46" s="70"/>
      <c r="G46" s="70"/>
      <c r="H46" s="70"/>
      <c r="I46" s="70"/>
      <c r="J46" s="70"/>
      <c r="K46" s="125"/>
      <c r="L46" s="630"/>
      <c r="M46" s="618" t="s">
        <v>62</v>
      </c>
      <c r="N46" s="618"/>
      <c r="O46" s="618"/>
      <c r="P46" s="618"/>
      <c r="Q46" s="619"/>
      <c r="R46" s="620">
        <v>0</v>
      </c>
      <c r="S46" s="621"/>
      <c r="T46" s="600">
        <v>0</v>
      </c>
      <c r="U46" s="599"/>
      <c r="V46" s="600">
        <v>0</v>
      </c>
      <c r="W46" s="601"/>
      <c r="X46" s="598">
        <v>0</v>
      </c>
      <c r="Y46" s="601"/>
      <c r="Z46" s="70"/>
      <c r="AA46" s="70"/>
      <c r="AB46" s="70"/>
      <c r="AC46" s="70"/>
      <c r="AD46" s="70"/>
      <c r="AE46" s="67"/>
    </row>
    <row r="47" spans="2:31" x14ac:dyDescent="0.25">
      <c r="B47" s="66"/>
      <c r="C47" s="70"/>
      <c r="D47" s="70"/>
      <c r="E47" s="70"/>
      <c r="F47" s="70"/>
      <c r="G47" s="70"/>
      <c r="H47" s="70"/>
      <c r="I47" s="70"/>
      <c r="J47" s="70"/>
      <c r="K47" s="609" t="s">
        <v>237</v>
      </c>
      <c r="L47" s="610"/>
      <c r="M47" s="611" t="s">
        <v>909</v>
      </c>
      <c r="N47" s="612"/>
      <c r="O47" s="612"/>
      <c r="P47" s="612"/>
      <c r="Q47" s="613"/>
      <c r="R47" s="614">
        <v>0</v>
      </c>
      <c r="S47" s="615"/>
      <c r="T47" s="616">
        <v>0</v>
      </c>
      <c r="U47" s="615"/>
      <c r="V47" s="616">
        <v>0</v>
      </c>
      <c r="W47" s="617"/>
      <c r="X47" s="614">
        <v>0</v>
      </c>
      <c r="Y47" s="617"/>
      <c r="Z47" s="70"/>
      <c r="AA47" s="70"/>
      <c r="AB47" s="70"/>
      <c r="AC47" s="70"/>
      <c r="AD47" s="70"/>
      <c r="AE47" s="67"/>
    </row>
    <row r="48" spans="2:31" x14ac:dyDescent="0.25">
      <c r="B48" s="66"/>
      <c r="C48" s="70"/>
      <c r="D48" s="70"/>
      <c r="E48" s="70"/>
      <c r="F48" s="70"/>
      <c r="G48" s="70"/>
      <c r="H48" s="70"/>
      <c r="I48" s="70"/>
      <c r="J48" s="70"/>
      <c r="K48" s="127"/>
      <c r="L48" s="128"/>
      <c r="M48" s="468" t="s">
        <v>876</v>
      </c>
      <c r="N48" s="469"/>
      <c r="O48" s="469"/>
      <c r="P48" s="469"/>
      <c r="Q48" s="597"/>
      <c r="R48" s="598">
        <v>0</v>
      </c>
      <c r="S48" s="599"/>
      <c r="T48" s="600">
        <v>0</v>
      </c>
      <c r="U48" s="599"/>
      <c r="V48" s="600">
        <v>0</v>
      </c>
      <c r="W48" s="601"/>
      <c r="X48" s="598">
        <v>0</v>
      </c>
      <c r="Y48" s="601"/>
      <c r="Z48" s="70"/>
      <c r="AA48" s="70"/>
      <c r="AB48" s="70"/>
      <c r="AC48" s="70"/>
      <c r="AD48" s="70"/>
      <c r="AE48" s="67"/>
    </row>
    <row r="49" spans="2:31" x14ac:dyDescent="0.25">
      <c r="B49" s="66"/>
      <c r="C49" s="70"/>
      <c r="D49" s="70"/>
      <c r="E49" s="70"/>
      <c r="F49" s="70"/>
      <c r="G49" s="70"/>
      <c r="H49" s="70"/>
      <c r="I49" s="70"/>
      <c r="J49" s="70"/>
      <c r="K49" s="127"/>
      <c r="L49" s="128"/>
      <c r="M49" s="468" t="s">
        <v>60</v>
      </c>
      <c r="N49" s="469"/>
      <c r="O49" s="469"/>
      <c r="P49" s="469"/>
      <c r="Q49" s="597"/>
      <c r="R49" s="598">
        <v>0</v>
      </c>
      <c r="S49" s="599"/>
      <c r="T49" s="600">
        <v>0</v>
      </c>
      <c r="U49" s="599"/>
      <c r="V49" s="600">
        <v>0</v>
      </c>
      <c r="W49" s="601"/>
      <c r="X49" s="598">
        <v>0</v>
      </c>
      <c r="Y49" s="601"/>
      <c r="Z49" s="70"/>
      <c r="AA49" s="70"/>
      <c r="AB49" s="70"/>
      <c r="AC49" s="70"/>
      <c r="AD49" s="70"/>
      <c r="AE49" s="67"/>
    </row>
    <row r="50" spans="2:31" x14ac:dyDescent="0.25">
      <c r="B50" s="66"/>
      <c r="C50" s="70"/>
      <c r="D50" s="70"/>
      <c r="E50" s="70"/>
      <c r="F50" s="70"/>
      <c r="G50" s="70"/>
      <c r="H50" s="70"/>
      <c r="I50" s="70"/>
      <c r="J50" s="70"/>
      <c r="K50" s="127"/>
      <c r="L50" s="128"/>
      <c r="M50" s="468" t="s">
        <v>951</v>
      </c>
      <c r="N50" s="469"/>
      <c r="O50" s="469"/>
      <c r="P50" s="469"/>
      <c r="Q50" s="597"/>
      <c r="R50" s="598">
        <v>0</v>
      </c>
      <c r="S50" s="599"/>
      <c r="T50" s="600">
        <v>0</v>
      </c>
      <c r="U50" s="599"/>
      <c r="V50" s="600">
        <v>0</v>
      </c>
      <c r="W50" s="601"/>
      <c r="X50" s="598">
        <v>0</v>
      </c>
      <c r="Y50" s="601"/>
      <c r="Z50" s="70"/>
      <c r="AA50" s="70"/>
      <c r="AB50" s="70"/>
      <c r="AC50" s="70"/>
      <c r="AD50" s="70"/>
      <c r="AE50" s="67"/>
    </row>
    <row r="51" spans="2:31" ht="15.75" customHeight="1" thickBot="1" x14ac:dyDescent="0.3">
      <c r="B51" s="66"/>
      <c r="C51" s="70"/>
      <c r="D51" s="70"/>
      <c r="E51" s="70"/>
      <c r="F51" s="70"/>
      <c r="G51" s="70"/>
      <c r="H51" s="70"/>
      <c r="I51" s="70"/>
      <c r="J51" s="70"/>
      <c r="K51" s="129"/>
      <c r="L51" s="130"/>
      <c r="M51" s="602" t="s">
        <v>950</v>
      </c>
      <c r="N51" s="603"/>
      <c r="O51" s="603"/>
      <c r="P51" s="603"/>
      <c r="Q51" s="604"/>
      <c r="R51" s="605">
        <v>0</v>
      </c>
      <c r="S51" s="606"/>
      <c r="T51" s="607">
        <v>0</v>
      </c>
      <c r="U51" s="606"/>
      <c r="V51" s="607">
        <v>0</v>
      </c>
      <c r="W51" s="608"/>
      <c r="X51" s="605">
        <v>0</v>
      </c>
      <c r="Y51" s="608"/>
      <c r="Z51" s="70"/>
      <c r="AA51" s="70"/>
      <c r="AB51" s="70"/>
      <c r="AC51" s="70"/>
      <c r="AD51" s="70"/>
      <c r="AE51" s="67"/>
    </row>
    <row r="52" spans="2:31" x14ac:dyDescent="0.25">
      <c r="B52" s="68"/>
      <c r="C52" s="63"/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69"/>
    </row>
    <row r="53" spans="2:31" x14ac:dyDescent="0.25"/>
    <row r="54" spans="2:31" ht="14.25" x14ac:dyDescent="0.25">
      <c r="B54" s="507" t="s">
        <v>852</v>
      </c>
      <c r="C54" s="508"/>
      <c r="D54" s="508"/>
      <c r="E54" s="508"/>
      <c r="F54" s="508"/>
      <c r="G54" s="508"/>
      <c r="H54" s="508"/>
      <c r="I54" s="508"/>
      <c r="J54" s="508"/>
      <c r="K54" s="508"/>
      <c r="L54" s="508"/>
      <c r="M54" s="508"/>
      <c r="N54" s="508"/>
      <c r="O54" s="508"/>
      <c r="P54" s="508"/>
      <c r="Q54" s="508"/>
      <c r="R54" s="508"/>
      <c r="S54" s="508"/>
      <c r="T54" s="508"/>
      <c r="U54" s="508"/>
      <c r="V54" s="508"/>
      <c r="W54" s="508"/>
      <c r="X54" s="508"/>
      <c r="Y54" s="508"/>
      <c r="Z54" s="508"/>
      <c r="AA54" s="508"/>
      <c r="AB54" s="508"/>
      <c r="AC54" s="508"/>
      <c r="AD54" s="508"/>
      <c r="AE54" s="509"/>
    </row>
    <row r="55" spans="2:31" x14ac:dyDescent="0.25">
      <c r="B55" s="76"/>
      <c r="C55" s="73"/>
      <c r="D55" s="592" t="s">
        <v>1117</v>
      </c>
      <c r="E55" s="593"/>
      <c r="F55" s="592" t="s">
        <v>1118</v>
      </c>
      <c r="G55" s="593"/>
      <c r="H55" s="592" t="s">
        <v>1119</v>
      </c>
      <c r="I55" s="593"/>
      <c r="J55" s="592" t="s">
        <v>1120</v>
      </c>
      <c r="K55" s="593"/>
      <c r="L55" s="592" t="s">
        <v>1121</v>
      </c>
      <c r="M55" s="593"/>
      <c r="N55" s="592" t="s">
        <v>1122</v>
      </c>
      <c r="O55" s="593"/>
      <c r="P55" s="592" t="s">
        <v>1123</v>
      </c>
      <c r="Q55" s="593"/>
      <c r="R55" s="592" t="s">
        <v>1100</v>
      </c>
      <c r="S55" s="593"/>
      <c r="T55" s="592" t="s">
        <v>1108</v>
      </c>
      <c r="U55" s="593"/>
      <c r="V55" s="592" t="s">
        <v>1124</v>
      </c>
      <c r="W55" s="593"/>
      <c r="X55" s="592" t="s">
        <v>1125</v>
      </c>
      <c r="Y55" s="593"/>
      <c r="Z55" s="592" t="s">
        <v>1126</v>
      </c>
      <c r="AA55" s="593"/>
      <c r="AB55" s="592">
        <v>2018</v>
      </c>
      <c r="AC55" s="593"/>
      <c r="AD55" s="592" t="s">
        <v>80</v>
      </c>
      <c r="AE55" s="594"/>
    </row>
    <row r="56" spans="2:31" x14ac:dyDescent="0.25">
      <c r="B56" s="595" t="s">
        <v>407</v>
      </c>
      <c r="C56" s="596"/>
      <c r="D56" s="587">
        <v>0</v>
      </c>
      <c r="E56" s="588"/>
      <c r="F56" s="587">
        <v>0</v>
      </c>
      <c r="G56" s="588"/>
      <c r="H56" s="587">
        <v>0</v>
      </c>
      <c r="I56" s="588"/>
      <c r="J56" s="587">
        <v>0</v>
      </c>
      <c r="K56" s="588"/>
      <c r="L56" s="587">
        <v>0</v>
      </c>
      <c r="M56" s="588"/>
      <c r="N56" s="587">
        <v>0</v>
      </c>
      <c r="O56" s="588"/>
      <c r="P56" s="587">
        <v>0</v>
      </c>
      <c r="Q56" s="588"/>
      <c r="R56" s="587">
        <v>0</v>
      </c>
      <c r="S56" s="588"/>
      <c r="T56" s="587">
        <v>14787.465000000004</v>
      </c>
      <c r="U56" s="588"/>
      <c r="V56" s="587">
        <v>0</v>
      </c>
      <c r="W56" s="588"/>
      <c r="X56" s="587">
        <v>0</v>
      </c>
      <c r="Y56" s="588"/>
      <c r="Z56" s="587">
        <v>0</v>
      </c>
      <c r="AA56" s="588"/>
      <c r="AB56" s="587">
        <v>0</v>
      </c>
      <c r="AC56" s="588"/>
      <c r="AD56" s="587">
        <v>0</v>
      </c>
      <c r="AE56" s="589"/>
    </row>
    <row r="57" spans="2:31" x14ac:dyDescent="0.25">
      <c r="B57" s="590" t="s">
        <v>953</v>
      </c>
      <c r="C57" s="591"/>
      <c r="D57" s="582">
        <v>0</v>
      </c>
      <c r="E57" s="583"/>
      <c r="F57" s="582">
        <v>0</v>
      </c>
      <c r="G57" s="583"/>
      <c r="H57" s="582">
        <v>0</v>
      </c>
      <c r="I57" s="583"/>
      <c r="J57" s="582">
        <v>0</v>
      </c>
      <c r="K57" s="583"/>
      <c r="L57" s="582">
        <v>0</v>
      </c>
      <c r="M57" s="583"/>
      <c r="N57" s="582">
        <v>0</v>
      </c>
      <c r="O57" s="583"/>
      <c r="P57" s="582">
        <v>0</v>
      </c>
      <c r="Q57" s="583"/>
      <c r="R57" s="582">
        <v>0</v>
      </c>
      <c r="S57" s="583"/>
      <c r="T57" s="582">
        <v>0</v>
      </c>
      <c r="U57" s="583"/>
      <c r="V57" s="582">
        <v>0</v>
      </c>
      <c r="W57" s="583"/>
      <c r="X57" s="582">
        <v>0</v>
      </c>
      <c r="Y57" s="583"/>
      <c r="Z57" s="582">
        <v>0</v>
      </c>
      <c r="AA57" s="583"/>
      <c r="AB57" s="582">
        <v>0</v>
      </c>
      <c r="AC57" s="583"/>
      <c r="AD57" s="582">
        <v>0</v>
      </c>
      <c r="AE57" s="584"/>
    </row>
    <row r="58" spans="2:31" x14ac:dyDescent="0.25">
      <c r="B58" s="585" t="s">
        <v>274</v>
      </c>
      <c r="C58" s="586"/>
      <c r="D58" s="577">
        <v>0</v>
      </c>
      <c r="E58" s="578"/>
      <c r="F58" s="577">
        <v>0</v>
      </c>
      <c r="G58" s="578"/>
      <c r="H58" s="577">
        <v>0</v>
      </c>
      <c r="I58" s="578"/>
      <c r="J58" s="577">
        <v>0</v>
      </c>
      <c r="K58" s="578"/>
      <c r="L58" s="577">
        <v>0</v>
      </c>
      <c r="M58" s="578"/>
      <c r="N58" s="577">
        <v>0</v>
      </c>
      <c r="O58" s="578"/>
      <c r="P58" s="577">
        <v>0</v>
      </c>
      <c r="Q58" s="578"/>
      <c r="R58" s="577">
        <v>0</v>
      </c>
      <c r="S58" s="578"/>
      <c r="T58" s="577">
        <v>14787.465000000004</v>
      </c>
      <c r="U58" s="578"/>
      <c r="V58" s="577">
        <v>0</v>
      </c>
      <c r="W58" s="578"/>
      <c r="X58" s="577">
        <v>0</v>
      </c>
      <c r="Y58" s="578"/>
      <c r="Z58" s="577">
        <v>0</v>
      </c>
      <c r="AA58" s="578"/>
      <c r="AB58" s="577">
        <v>0</v>
      </c>
      <c r="AC58" s="578"/>
      <c r="AD58" s="577">
        <v>0</v>
      </c>
      <c r="AE58" s="579"/>
    </row>
    <row r="59" spans="2:31" ht="15" customHeight="1" x14ac:dyDescent="0.25">
      <c r="B59" s="580" t="s">
        <v>1091</v>
      </c>
      <c r="C59" s="581"/>
      <c r="D59" s="574">
        <v>0</v>
      </c>
      <c r="E59" s="576"/>
      <c r="F59" s="574">
        <v>0</v>
      </c>
      <c r="G59" s="576"/>
      <c r="H59" s="574">
        <v>0</v>
      </c>
      <c r="I59" s="576"/>
      <c r="J59" s="574">
        <v>0</v>
      </c>
      <c r="K59" s="576"/>
      <c r="L59" s="574">
        <v>0</v>
      </c>
      <c r="M59" s="576"/>
      <c r="N59" s="574">
        <v>0</v>
      </c>
      <c r="O59" s="576"/>
      <c r="P59" s="574">
        <v>0</v>
      </c>
      <c r="Q59" s="576"/>
      <c r="R59" s="574">
        <v>0</v>
      </c>
      <c r="S59" s="576"/>
      <c r="T59" s="574">
        <v>14787.465000000004</v>
      </c>
      <c r="U59" s="576"/>
      <c r="V59" s="574">
        <v>0</v>
      </c>
      <c r="W59" s="576"/>
      <c r="X59" s="574">
        <v>0</v>
      </c>
      <c r="Y59" s="576"/>
      <c r="Z59" s="574">
        <v>0</v>
      </c>
      <c r="AA59" s="576"/>
      <c r="AB59" s="574">
        <v>0</v>
      </c>
      <c r="AC59" s="576"/>
      <c r="AD59" s="574">
        <v>0</v>
      </c>
      <c r="AE59" s="575"/>
    </row>
    <row r="60" spans="2:31" hidden="1" x14ac:dyDescent="0.25">
      <c r="B60" s="572" t="s">
        <v>62</v>
      </c>
      <c r="C60" s="573"/>
      <c r="D60" s="569">
        <v>0</v>
      </c>
      <c r="E60" s="570"/>
      <c r="F60" s="569">
        <v>0</v>
      </c>
      <c r="G60" s="570"/>
      <c r="H60" s="569">
        <v>0</v>
      </c>
      <c r="I60" s="570"/>
      <c r="J60" s="569">
        <v>0</v>
      </c>
      <c r="K60" s="570"/>
      <c r="L60" s="569">
        <v>0</v>
      </c>
      <c r="M60" s="570"/>
      <c r="N60" s="569">
        <v>0</v>
      </c>
      <c r="O60" s="570"/>
      <c r="P60" s="569">
        <v>0</v>
      </c>
      <c r="Q60" s="570"/>
      <c r="R60" s="569">
        <v>0</v>
      </c>
      <c r="S60" s="570"/>
      <c r="T60" s="569">
        <v>0</v>
      </c>
      <c r="U60" s="570"/>
      <c r="V60" s="569">
        <v>0</v>
      </c>
      <c r="W60" s="570"/>
      <c r="X60" s="569">
        <v>0</v>
      </c>
      <c r="Y60" s="570"/>
      <c r="Z60" s="569">
        <v>0</v>
      </c>
      <c r="AA60" s="570"/>
      <c r="AB60" s="569">
        <v>0</v>
      </c>
      <c r="AC60" s="570"/>
      <c r="AD60" s="569">
        <v>0</v>
      </c>
      <c r="AE60" s="571"/>
    </row>
    <row r="61" spans="2:31" hidden="1" x14ac:dyDescent="0.25">
      <c r="B61" s="572" t="s">
        <v>62</v>
      </c>
      <c r="C61" s="573"/>
      <c r="D61" s="569">
        <v>0</v>
      </c>
      <c r="E61" s="570"/>
      <c r="F61" s="569">
        <v>0</v>
      </c>
      <c r="G61" s="570"/>
      <c r="H61" s="569">
        <v>0</v>
      </c>
      <c r="I61" s="570"/>
      <c r="J61" s="569">
        <v>0</v>
      </c>
      <c r="K61" s="570"/>
      <c r="L61" s="569">
        <v>0</v>
      </c>
      <c r="M61" s="570"/>
      <c r="N61" s="569">
        <v>0</v>
      </c>
      <c r="O61" s="570"/>
      <c r="P61" s="569">
        <v>0</v>
      </c>
      <c r="Q61" s="570"/>
      <c r="R61" s="569">
        <v>0</v>
      </c>
      <c r="S61" s="570"/>
      <c r="T61" s="569">
        <v>0</v>
      </c>
      <c r="U61" s="570"/>
      <c r="V61" s="569">
        <v>0</v>
      </c>
      <c r="W61" s="570"/>
      <c r="X61" s="569">
        <v>0</v>
      </c>
      <c r="Y61" s="570"/>
      <c r="Z61" s="569">
        <v>0</v>
      </c>
      <c r="AA61" s="570"/>
      <c r="AB61" s="569">
        <v>0</v>
      </c>
      <c r="AC61" s="570"/>
      <c r="AD61" s="569">
        <v>0</v>
      </c>
      <c r="AE61" s="571"/>
    </row>
    <row r="62" spans="2:31" hidden="1" x14ac:dyDescent="0.25">
      <c r="B62" s="572" t="s">
        <v>62</v>
      </c>
      <c r="C62" s="573"/>
      <c r="D62" s="569">
        <v>0</v>
      </c>
      <c r="E62" s="570"/>
      <c r="F62" s="569">
        <v>0</v>
      </c>
      <c r="G62" s="570"/>
      <c r="H62" s="569">
        <v>0</v>
      </c>
      <c r="I62" s="570"/>
      <c r="J62" s="569">
        <v>0</v>
      </c>
      <c r="K62" s="570"/>
      <c r="L62" s="569">
        <v>0</v>
      </c>
      <c r="M62" s="570"/>
      <c r="N62" s="569">
        <v>0</v>
      </c>
      <c r="O62" s="570"/>
      <c r="P62" s="569">
        <v>0</v>
      </c>
      <c r="Q62" s="570"/>
      <c r="R62" s="569">
        <v>0</v>
      </c>
      <c r="S62" s="570"/>
      <c r="T62" s="569">
        <v>0</v>
      </c>
      <c r="U62" s="570"/>
      <c r="V62" s="569">
        <v>0</v>
      </c>
      <c r="W62" s="570"/>
      <c r="X62" s="569">
        <v>0</v>
      </c>
      <c r="Y62" s="570"/>
      <c r="Z62" s="569">
        <v>0</v>
      </c>
      <c r="AA62" s="570"/>
      <c r="AB62" s="569">
        <v>0</v>
      </c>
      <c r="AC62" s="570"/>
      <c r="AD62" s="569">
        <v>0</v>
      </c>
      <c r="AE62" s="571"/>
    </row>
    <row r="63" spans="2:31" hidden="1" x14ac:dyDescent="0.25">
      <c r="B63" s="572" t="s">
        <v>62</v>
      </c>
      <c r="C63" s="573"/>
      <c r="D63" s="569">
        <v>0</v>
      </c>
      <c r="E63" s="570"/>
      <c r="F63" s="569">
        <v>0</v>
      </c>
      <c r="G63" s="570"/>
      <c r="H63" s="569">
        <v>0</v>
      </c>
      <c r="I63" s="570"/>
      <c r="J63" s="569">
        <v>0</v>
      </c>
      <c r="K63" s="570"/>
      <c r="L63" s="569">
        <v>0</v>
      </c>
      <c r="M63" s="570"/>
      <c r="N63" s="569">
        <v>0</v>
      </c>
      <c r="O63" s="570"/>
      <c r="P63" s="569">
        <v>0</v>
      </c>
      <c r="Q63" s="570"/>
      <c r="R63" s="569">
        <v>0</v>
      </c>
      <c r="S63" s="570"/>
      <c r="T63" s="569">
        <v>0</v>
      </c>
      <c r="U63" s="570"/>
      <c r="V63" s="569">
        <v>0</v>
      </c>
      <c r="W63" s="570"/>
      <c r="X63" s="569">
        <v>0</v>
      </c>
      <c r="Y63" s="570"/>
      <c r="Z63" s="569">
        <v>0</v>
      </c>
      <c r="AA63" s="570"/>
      <c r="AB63" s="569">
        <v>0</v>
      </c>
      <c r="AC63" s="570"/>
      <c r="AD63" s="569">
        <v>0</v>
      </c>
      <c r="AE63" s="571"/>
    </row>
    <row r="64" spans="2:31" hidden="1" x14ac:dyDescent="0.25">
      <c r="B64" s="572" t="s">
        <v>62</v>
      </c>
      <c r="C64" s="573"/>
      <c r="D64" s="569">
        <v>0</v>
      </c>
      <c r="E64" s="570"/>
      <c r="F64" s="569">
        <v>0</v>
      </c>
      <c r="G64" s="570"/>
      <c r="H64" s="569">
        <v>0</v>
      </c>
      <c r="I64" s="570"/>
      <c r="J64" s="569">
        <v>0</v>
      </c>
      <c r="K64" s="570"/>
      <c r="L64" s="569">
        <v>0</v>
      </c>
      <c r="M64" s="570"/>
      <c r="N64" s="569">
        <v>0</v>
      </c>
      <c r="O64" s="570"/>
      <c r="P64" s="569">
        <v>0</v>
      </c>
      <c r="Q64" s="570"/>
      <c r="R64" s="569">
        <v>0</v>
      </c>
      <c r="S64" s="570"/>
      <c r="T64" s="569">
        <v>0</v>
      </c>
      <c r="U64" s="570"/>
      <c r="V64" s="569">
        <v>0</v>
      </c>
      <c r="W64" s="570"/>
      <c r="X64" s="569">
        <v>0</v>
      </c>
      <c r="Y64" s="570"/>
      <c r="Z64" s="569">
        <v>0</v>
      </c>
      <c r="AA64" s="570"/>
      <c r="AB64" s="569">
        <v>0</v>
      </c>
      <c r="AC64" s="570"/>
      <c r="AD64" s="569">
        <v>0</v>
      </c>
      <c r="AE64" s="571"/>
    </row>
    <row r="65" spans="2:31" hidden="1" x14ac:dyDescent="0.25">
      <c r="B65" s="572" t="s">
        <v>62</v>
      </c>
      <c r="C65" s="573"/>
      <c r="D65" s="569">
        <v>0</v>
      </c>
      <c r="E65" s="570"/>
      <c r="F65" s="569">
        <v>0</v>
      </c>
      <c r="G65" s="570"/>
      <c r="H65" s="569">
        <v>0</v>
      </c>
      <c r="I65" s="570"/>
      <c r="J65" s="569">
        <v>0</v>
      </c>
      <c r="K65" s="570"/>
      <c r="L65" s="569">
        <v>0</v>
      </c>
      <c r="M65" s="570"/>
      <c r="N65" s="569">
        <v>0</v>
      </c>
      <c r="O65" s="570"/>
      <c r="P65" s="569">
        <v>0</v>
      </c>
      <c r="Q65" s="570"/>
      <c r="R65" s="569">
        <v>0</v>
      </c>
      <c r="S65" s="570"/>
      <c r="T65" s="569">
        <v>0</v>
      </c>
      <c r="U65" s="570"/>
      <c r="V65" s="569">
        <v>0</v>
      </c>
      <c r="W65" s="570"/>
      <c r="X65" s="569">
        <v>0</v>
      </c>
      <c r="Y65" s="570"/>
      <c r="Z65" s="569">
        <v>0</v>
      </c>
      <c r="AA65" s="570"/>
      <c r="AB65" s="569">
        <v>0</v>
      </c>
      <c r="AC65" s="570"/>
      <c r="AD65" s="569">
        <v>0</v>
      </c>
      <c r="AE65" s="571"/>
    </row>
    <row r="66" spans="2:31" hidden="1" x14ac:dyDescent="0.25">
      <c r="B66" s="572" t="s">
        <v>62</v>
      </c>
      <c r="C66" s="573"/>
      <c r="D66" s="569">
        <v>0</v>
      </c>
      <c r="E66" s="570"/>
      <c r="F66" s="569">
        <v>0</v>
      </c>
      <c r="G66" s="570"/>
      <c r="H66" s="569">
        <v>0</v>
      </c>
      <c r="I66" s="570"/>
      <c r="J66" s="569">
        <v>0</v>
      </c>
      <c r="K66" s="570"/>
      <c r="L66" s="569">
        <v>0</v>
      </c>
      <c r="M66" s="570"/>
      <c r="N66" s="569">
        <v>0</v>
      </c>
      <c r="O66" s="570"/>
      <c r="P66" s="569">
        <v>0</v>
      </c>
      <c r="Q66" s="570"/>
      <c r="R66" s="569">
        <v>0</v>
      </c>
      <c r="S66" s="570"/>
      <c r="T66" s="569">
        <v>0</v>
      </c>
      <c r="U66" s="570"/>
      <c r="V66" s="569">
        <v>0</v>
      </c>
      <c r="W66" s="570"/>
      <c r="X66" s="569">
        <v>0</v>
      </c>
      <c r="Y66" s="570"/>
      <c r="Z66" s="569">
        <v>0</v>
      </c>
      <c r="AA66" s="570"/>
      <c r="AB66" s="569">
        <v>0</v>
      </c>
      <c r="AC66" s="570"/>
      <c r="AD66" s="569">
        <v>0</v>
      </c>
      <c r="AE66" s="571"/>
    </row>
    <row r="67" spans="2:31" hidden="1" x14ac:dyDescent="0.25">
      <c r="B67" s="572" t="s">
        <v>62</v>
      </c>
      <c r="C67" s="573"/>
      <c r="D67" s="569">
        <v>0</v>
      </c>
      <c r="E67" s="570"/>
      <c r="F67" s="569">
        <v>0</v>
      </c>
      <c r="G67" s="570"/>
      <c r="H67" s="569">
        <v>0</v>
      </c>
      <c r="I67" s="570"/>
      <c r="J67" s="569">
        <v>0</v>
      </c>
      <c r="K67" s="570"/>
      <c r="L67" s="569">
        <v>0</v>
      </c>
      <c r="M67" s="570"/>
      <c r="N67" s="569">
        <v>0</v>
      </c>
      <c r="O67" s="570"/>
      <c r="P67" s="569">
        <v>0</v>
      </c>
      <c r="Q67" s="570"/>
      <c r="R67" s="569">
        <v>0</v>
      </c>
      <c r="S67" s="570"/>
      <c r="T67" s="569">
        <v>0</v>
      </c>
      <c r="U67" s="570"/>
      <c r="V67" s="569">
        <v>0</v>
      </c>
      <c r="W67" s="570"/>
      <c r="X67" s="569">
        <v>0</v>
      </c>
      <c r="Y67" s="570"/>
      <c r="Z67" s="569">
        <v>0</v>
      </c>
      <c r="AA67" s="570"/>
      <c r="AB67" s="569">
        <v>0</v>
      </c>
      <c r="AC67" s="570"/>
      <c r="AD67" s="569">
        <v>0</v>
      </c>
      <c r="AE67" s="571"/>
    </row>
    <row r="68" spans="2:31" hidden="1" x14ac:dyDescent="0.25">
      <c r="B68" s="572" t="s">
        <v>62</v>
      </c>
      <c r="C68" s="573"/>
      <c r="D68" s="569">
        <v>0</v>
      </c>
      <c r="E68" s="570"/>
      <c r="F68" s="569">
        <v>0</v>
      </c>
      <c r="G68" s="570"/>
      <c r="H68" s="569">
        <v>0</v>
      </c>
      <c r="I68" s="570"/>
      <c r="J68" s="569">
        <v>0</v>
      </c>
      <c r="K68" s="570"/>
      <c r="L68" s="569">
        <v>0</v>
      </c>
      <c r="M68" s="570"/>
      <c r="N68" s="569">
        <v>0</v>
      </c>
      <c r="O68" s="570"/>
      <c r="P68" s="569">
        <v>0</v>
      </c>
      <c r="Q68" s="570"/>
      <c r="R68" s="569">
        <v>0</v>
      </c>
      <c r="S68" s="570"/>
      <c r="T68" s="569">
        <v>0</v>
      </c>
      <c r="U68" s="570"/>
      <c r="V68" s="569">
        <v>0</v>
      </c>
      <c r="W68" s="570"/>
      <c r="X68" s="569">
        <v>0</v>
      </c>
      <c r="Y68" s="570"/>
      <c r="Z68" s="569">
        <v>0</v>
      </c>
      <c r="AA68" s="570"/>
      <c r="AB68" s="569">
        <v>0</v>
      </c>
      <c r="AC68" s="570"/>
      <c r="AD68" s="569">
        <v>0</v>
      </c>
      <c r="AE68" s="571"/>
    </row>
    <row r="69" spans="2:31" hidden="1" x14ac:dyDescent="0.25">
      <c r="B69" s="572" t="s">
        <v>62</v>
      </c>
      <c r="C69" s="573"/>
      <c r="D69" s="569">
        <v>0</v>
      </c>
      <c r="E69" s="570"/>
      <c r="F69" s="569">
        <v>0</v>
      </c>
      <c r="G69" s="570"/>
      <c r="H69" s="569">
        <v>0</v>
      </c>
      <c r="I69" s="570"/>
      <c r="J69" s="569">
        <v>0</v>
      </c>
      <c r="K69" s="570"/>
      <c r="L69" s="569">
        <v>0</v>
      </c>
      <c r="M69" s="570"/>
      <c r="N69" s="569">
        <v>0</v>
      </c>
      <c r="O69" s="570"/>
      <c r="P69" s="569">
        <v>0</v>
      </c>
      <c r="Q69" s="570"/>
      <c r="R69" s="569">
        <v>0</v>
      </c>
      <c r="S69" s="570"/>
      <c r="T69" s="569">
        <v>0</v>
      </c>
      <c r="U69" s="570"/>
      <c r="V69" s="569">
        <v>0</v>
      </c>
      <c r="W69" s="570"/>
      <c r="X69" s="569">
        <v>0</v>
      </c>
      <c r="Y69" s="570"/>
      <c r="Z69" s="569">
        <v>0</v>
      </c>
      <c r="AA69" s="570"/>
      <c r="AB69" s="569">
        <v>0</v>
      </c>
      <c r="AC69" s="570"/>
      <c r="AD69" s="569">
        <v>0</v>
      </c>
      <c r="AE69" s="571"/>
    </row>
    <row r="70" spans="2:31" hidden="1" x14ac:dyDescent="0.25">
      <c r="B70" s="572" t="s">
        <v>62</v>
      </c>
      <c r="C70" s="573"/>
      <c r="D70" s="569">
        <v>0</v>
      </c>
      <c r="E70" s="570"/>
      <c r="F70" s="569">
        <v>0</v>
      </c>
      <c r="G70" s="570"/>
      <c r="H70" s="569">
        <v>0</v>
      </c>
      <c r="I70" s="570"/>
      <c r="J70" s="569">
        <v>0</v>
      </c>
      <c r="K70" s="570"/>
      <c r="L70" s="569">
        <v>0</v>
      </c>
      <c r="M70" s="570"/>
      <c r="N70" s="569">
        <v>0</v>
      </c>
      <c r="O70" s="570"/>
      <c r="P70" s="569">
        <v>0</v>
      </c>
      <c r="Q70" s="570"/>
      <c r="R70" s="569">
        <v>0</v>
      </c>
      <c r="S70" s="570"/>
      <c r="T70" s="569">
        <v>0</v>
      </c>
      <c r="U70" s="570"/>
      <c r="V70" s="569">
        <v>0</v>
      </c>
      <c r="W70" s="570"/>
      <c r="X70" s="569">
        <v>0</v>
      </c>
      <c r="Y70" s="570"/>
      <c r="Z70" s="569">
        <v>0</v>
      </c>
      <c r="AA70" s="570"/>
      <c r="AB70" s="569">
        <v>0</v>
      </c>
      <c r="AC70" s="570"/>
      <c r="AD70" s="569">
        <v>0</v>
      </c>
      <c r="AE70" s="571"/>
    </row>
    <row r="71" spans="2:31" hidden="1" x14ac:dyDescent="0.25">
      <c r="B71" s="572" t="s">
        <v>62</v>
      </c>
      <c r="C71" s="573"/>
      <c r="D71" s="569">
        <v>0</v>
      </c>
      <c r="E71" s="570"/>
      <c r="F71" s="569">
        <v>0</v>
      </c>
      <c r="G71" s="570"/>
      <c r="H71" s="569">
        <v>0</v>
      </c>
      <c r="I71" s="570"/>
      <c r="J71" s="569">
        <v>0</v>
      </c>
      <c r="K71" s="570"/>
      <c r="L71" s="569">
        <v>0</v>
      </c>
      <c r="M71" s="570"/>
      <c r="N71" s="569">
        <v>0</v>
      </c>
      <c r="O71" s="570"/>
      <c r="P71" s="569">
        <v>0</v>
      </c>
      <c r="Q71" s="570"/>
      <c r="R71" s="569">
        <v>0</v>
      </c>
      <c r="S71" s="570"/>
      <c r="T71" s="569">
        <v>0</v>
      </c>
      <c r="U71" s="570"/>
      <c r="V71" s="569">
        <v>0</v>
      </c>
      <c r="W71" s="570"/>
      <c r="X71" s="569">
        <v>0</v>
      </c>
      <c r="Y71" s="570"/>
      <c r="Z71" s="569">
        <v>0</v>
      </c>
      <c r="AA71" s="570"/>
      <c r="AB71" s="569">
        <v>0</v>
      </c>
      <c r="AC71" s="570"/>
      <c r="AD71" s="569">
        <v>0</v>
      </c>
      <c r="AE71" s="571"/>
    </row>
    <row r="72" spans="2:31" hidden="1" x14ac:dyDescent="0.25">
      <c r="B72" s="572" t="s">
        <v>62</v>
      </c>
      <c r="C72" s="573"/>
      <c r="D72" s="569">
        <v>0</v>
      </c>
      <c r="E72" s="570"/>
      <c r="F72" s="569">
        <v>0</v>
      </c>
      <c r="G72" s="570"/>
      <c r="H72" s="569">
        <v>0</v>
      </c>
      <c r="I72" s="570"/>
      <c r="J72" s="569">
        <v>0</v>
      </c>
      <c r="K72" s="570"/>
      <c r="L72" s="569">
        <v>0</v>
      </c>
      <c r="M72" s="570"/>
      <c r="N72" s="569">
        <v>0</v>
      </c>
      <c r="O72" s="570"/>
      <c r="P72" s="569">
        <v>0</v>
      </c>
      <c r="Q72" s="570"/>
      <c r="R72" s="569">
        <v>0</v>
      </c>
      <c r="S72" s="570"/>
      <c r="T72" s="569">
        <v>0</v>
      </c>
      <c r="U72" s="570"/>
      <c r="V72" s="569">
        <v>0</v>
      </c>
      <c r="W72" s="570"/>
      <c r="X72" s="569">
        <v>0</v>
      </c>
      <c r="Y72" s="570"/>
      <c r="Z72" s="569">
        <v>0</v>
      </c>
      <c r="AA72" s="570"/>
      <c r="AB72" s="569">
        <v>0</v>
      </c>
      <c r="AC72" s="570"/>
      <c r="AD72" s="569">
        <v>0</v>
      </c>
      <c r="AE72" s="571"/>
    </row>
    <row r="73" spans="2:31" hidden="1" x14ac:dyDescent="0.25">
      <c r="B73" s="572" t="s">
        <v>62</v>
      </c>
      <c r="C73" s="573"/>
      <c r="D73" s="569">
        <v>0</v>
      </c>
      <c r="E73" s="570"/>
      <c r="F73" s="569">
        <v>0</v>
      </c>
      <c r="G73" s="570"/>
      <c r="H73" s="569">
        <v>0</v>
      </c>
      <c r="I73" s="570"/>
      <c r="J73" s="569">
        <v>0</v>
      </c>
      <c r="K73" s="570"/>
      <c r="L73" s="569">
        <v>0</v>
      </c>
      <c r="M73" s="570"/>
      <c r="N73" s="569">
        <v>0</v>
      </c>
      <c r="O73" s="570"/>
      <c r="P73" s="569">
        <v>0</v>
      </c>
      <c r="Q73" s="570"/>
      <c r="R73" s="569">
        <v>0</v>
      </c>
      <c r="S73" s="570"/>
      <c r="T73" s="569">
        <v>0</v>
      </c>
      <c r="U73" s="570"/>
      <c r="V73" s="569">
        <v>0</v>
      </c>
      <c r="W73" s="570"/>
      <c r="X73" s="569">
        <v>0</v>
      </c>
      <c r="Y73" s="570"/>
      <c r="Z73" s="569">
        <v>0</v>
      </c>
      <c r="AA73" s="570"/>
      <c r="AB73" s="569">
        <v>0</v>
      </c>
      <c r="AC73" s="570"/>
      <c r="AD73" s="569">
        <v>0</v>
      </c>
      <c r="AE73" s="571"/>
    </row>
    <row r="74" spans="2:31" hidden="1" x14ac:dyDescent="0.25">
      <c r="B74" s="572" t="s">
        <v>62</v>
      </c>
      <c r="C74" s="573"/>
      <c r="D74" s="569">
        <v>0</v>
      </c>
      <c r="E74" s="570"/>
      <c r="F74" s="569">
        <v>0</v>
      </c>
      <c r="G74" s="570"/>
      <c r="H74" s="569">
        <v>0</v>
      </c>
      <c r="I74" s="570"/>
      <c r="J74" s="569">
        <v>0</v>
      </c>
      <c r="K74" s="570"/>
      <c r="L74" s="569">
        <v>0</v>
      </c>
      <c r="M74" s="570"/>
      <c r="N74" s="569">
        <v>0</v>
      </c>
      <c r="O74" s="570"/>
      <c r="P74" s="569">
        <v>0</v>
      </c>
      <c r="Q74" s="570"/>
      <c r="R74" s="569">
        <v>0</v>
      </c>
      <c r="S74" s="570"/>
      <c r="T74" s="569">
        <v>0</v>
      </c>
      <c r="U74" s="570"/>
      <c r="V74" s="569">
        <v>0</v>
      </c>
      <c r="W74" s="570"/>
      <c r="X74" s="569">
        <v>0</v>
      </c>
      <c r="Y74" s="570"/>
      <c r="Z74" s="569">
        <v>0</v>
      </c>
      <c r="AA74" s="570"/>
      <c r="AB74" s="569">
        <v>0</v>
      </c>
      <c r="AC74" s="570"/>
      <c r="AD74" s="569">
        <v>0</v>
      </c>
      <c r="AE74" s="571"/>
    </row>
    <row r="75" spans="2:31" hidden="1" x14ac:dyDescent="0.25">
      <c r="B75" s="572" t="s">
        <v>62</v>
      </c>
      <c r="C75" s="573"/>
      <c r="D75" s="569">
        <v>0</v>
      </c>
      <c r="E75" s="570"/>
      <c r="F75" s="569">
        <v>0</v>
      </c>
      <c r="G75" s="570"/>
      <c r="H75" s="569">
        <v>0</v>
      </c>
      <c r="I75" s="570"/>
      <c r="J75" s="569">
        <v>0</v>
      </c>
      <c r="K75" s="570"/>
      <c r="L75" s="569">
        <v>0</v>
      </c>
      <c r="M75" s="570"/>
      <c r="N75" s="569">
        <v>0</v>
      </c>
      <c r="O75" s="570"/>
      <c r="P75" s="569">
        <v>0</v>
      </c>
      <c r="Q75" s="570"/>
      <c r="R75" s="569">
        <v>0</v>
      </c>
      <c r="S75" s="570"/>
      <c r="T75" s="569">
        <v>0</v>
      </c>
      <c r="U75" s="570"/>
      <c r="V75" s="569">
        <v>0</v>
      </c>
      <c r="W75" s="570"/>
      <c r="X75" s="569">
        <v>0</v>
      </c>
      <c r="Y75" s="570"/>
      <c r="Z75" s="569">
        <v>0</v>
      </c>
      <c r="AA75" s="570"/>
      <c r="AB75" s="569">
        <v>0</v>
      </c>
      <c r="AC75" s="570"/>
      <c r="AD75" s="569">
        <v>0</v>
      </c>
      <c r="AE75" s="571"/>
    </row>
    <row r="76" spans="2:31" hidden="1" x14ac:dyDescent="0.25">
      <c r="B76" s="572" t="s">
        <v>62</v>
      </c>
      <c r="C76" s="573"/>
      <c r="D76" s="569">
        <v>0</v>
      </c>
      <c r="E76" s="570"/>
      <c r="F76" s="569">
        <v>0</v>
      </c>
      <c r="G76" s="570"/>
      <c r="H76" s="569">
        <v>0</v>
      </c>
      <c r="I76" s="570"/>
      <c r="J76" s="569">
        <v>0</v>
      </c>
      <c r="K76" s="570"/>
      <c r="L76" s="569">
        <v>0</v>
      </c>
      <c r="M76" s="570"/>
      <c r="N76" s="569">
        <v>0</v>
      </c>
      <c r="O76" s="570"/>
      <c r="P76" s="569">
        <v>0</v>
      </c>
      <c r="Q76" s="570"/>
      <c r="R76" s="569">
        <v>0</v>
      </c>
      <c r="S76" s="570"/>
      <c r="T76" s="569">
        <v>0</v>
      </c>
      <c r="U76" s="570"/>
      <c r="V76" s="569">
        <v>0</v>
      </c>
      <c r="W76" s="570"/>
      <c r="X76" s="569">
        <v>0</v>
      </c>
      <c r="Y76" s="570"/>
      <c r="Z76" s="569">
        <v>0</v>
      </c>
      <c r="AA76" s="570"/>
      <c r="AB76" s="569">
        <v>0</v>
      </c>
      <c r="AC76" s="570"/>
      <c r="AD76" s="569">
        <v>0</v>
      </c>
      <c r="AE76" s="571"/>
    </row>
    <row r="77" spans="2:31" hidden="1" x14ac:dyDescent="0.25">
      <c r="B77" s="572" t="s">
        <v>62</v>
      </c>
      <c r="C77" s="573"/>
      <c r="D77" s="569">
        <v>0</v>
      </c>
      <c r="E77" s="570"/>
      <c r="F77" s="569">
        <v>0</v>
      </c>
      <c r="G77" s="570"/>
      <c r="H77" s="569">
        <v>0</v>
      </c>
      <c r="I77" s="570"/>
      <c r="J77" s="569">
        <v>0</v>
      </c>
      <c r="K77" s="570"/>
      <c r="L77" s="569">
        <v>0</v>
      </c>
      <c r="M77" s="570"/>
      <c r="N77" s="569">
        <v>0</v>
      </c>
      <c r="O77" s="570"/>
      <c r="P77" s="569">
        <v>0</v>
      </c>
      <c r="Q77" s="570"/>
      <c r="R77" s="569">
        <v>0</v>
      </c>
      <c r="S77" s="570"/>
      <c r="T77" s="569">
        <v>0</v>
      </c>
      <c r="U77" s="570"/>
      <c r="V77" s="569">
        <v>0</v>
      </c>
      <c r="W77" s="570"/>
      <c r="X77" s="569">
        <v>0</v>
      </c>
      <c r="Y77" s="570"/>
      <c r="Z77" s="569">
        <v>0</v>
      </c>
      <c r="AA77" s="570"/>
      <c r="AB77" s="569">
        <v>0</v>
      </c>
      <c r="AC77" s="570"/>
      <c r="AD77" s="569">
        <v>0</v>
      </c>
      <c r="AE77" s="571"/>
    </row>
    <row r="78" spans="2:31" hidden="1" x14ac:dyDescent="0.25">
      <c r="B78" s="572" t="s">
        <v>62</v>
      </c>
      <c r="C78" s="573"/>
      <c r="D78" s="569">
        <v>0</v>
      </c>
      <c r="E78" s="570"/>
      <c r="F78" s="569">
        <v>0</v>
      </c>
      <c r="G78" s="570"/>
      <c r="H78" s="569">
        <v>0</v>
      </c>
      <c r="I78" s="570"/>
      <c r="J78" s="569">
        <v>0</v>
      </c>
      <c r="K78" s="570"/>
      <c r="L78" s="569">
        <v>0</v>
      </c>
      <c r="M78" s="570"/>
      <c r="N78" s="569">
        <v>0</v>
      </c>
      <c r="O78" s="570"/>
      <c r="P78" s="569">
        <v>0</v>
      </c>
      <c r="Q78" s="570"/>
      <c r="R78" s="569">
        <v>0</v>
      </c>
      <c r="S78" s="570"/>
      <c r="T78" s="569">
        <v>0</v>
      </c>
      <c r="U78" s="570"/>
      <c r="V78" s="569">
        <v>0</v>
      </c>
      <c r="W78" s="570"/>
      <c r="X78" s="569">
        <v>0</v>
      </c>
      <c r="Y78" s="570"/>
      <c r="Z78" s="569">
        <v>0</v>
      </c>
      <c r="AA78" s="570"/>
      <c r="AB78" s="569">
        <v>0</v>
      </c>
      <c r="AC78" s="570"/>
      <c r="AD78" s="569">
        <v>0</v>
      </c>
      <c r="AE78" s="571"/>
    </row>
    <row r="79" spans="2:31" hidden="1" x14ac:dyDescent="0.25">
      <c r="B79" s="572" t="s">
        <v>62</v>
      </c>
      <c r="C79" s="573"/>
      <c r="D79" s="569">
        <v>0</v>
      </c>
      <c r="E79" s="570"/>
      <c r="F79" s="569">
        <v>0</v>
      </c>
      <c r="G79" s="570"/>
      <c r="H79" s="569">
        <v>0</v>
      </c>
      <c r="I79" s="570"/>
      <c r="J79" s="569">
        <v>0</v>
      </c>
      <c r="K79" s="570"/>
      <c r="L79" s="569">
        <v>0</v>
      </c>
      <c r="M79" s="570"/>
      <c r="N79" s="569">
        <v>0</v>
      </c>
      <c r="O79" s="570"/>
      <c r="P79" s="569">
        <v>0</v>
      </c>
      <c r="Q79" s="570"/>
      <c r="R79" s="569">
        <v>0</v>
      </c>
      <c r="S79" s="570"/>
      <c r="T79" s="569">
        <v>0</v>
      </c>
      <c r="U79" s="570"/>
      <c r="V79" s="569">
        <v>0</v>
      </c>
      <c r="W79" s="570"/>
      <c r="X79" s="569">
        <v>0</v>
      </c>
      <c r="Y79" s="570"/>
      <c r="Z79" s="569">
        <v>0</v>
      </c>
      <c r="AA79" s="570"/>
      <c r="AB79" s="569">
        <v>0</v>
      </c>
      <c r="AC79" s="570"/>
      <c r="AD79" s="569">
        <v>0</v>
      </c>
      <c r="AE79" s="571"/>
    </row>
    <row r="80" spans="2:31" hidden="1" x14ac:dyDescent="0.25">
      <c r="B80" s="572" t="s">
        <v>62</v>
      </c>
      <c r="C80" s="573"/>
      <c r="D80" s="569">
        <v>0</v>
      </c>
      <c r="E80" s="570"/>
      <c r="F80" s="569">
        <v>0</v>
      </c>
      <c r="G80" s="570"/>
      <c r="H80" s="569">
        <v>0</v>
      </c>
      <c r="I80" s="570"/>
      <c r="J80" s="569">
        <v>0</v>
      </c>
      <c r="K80" s="570"/>
      <c r="L80" s="569">
        <v>0</v>
      </c>
      <c r="M80" s="570"/>
      <c r="N80" s="569">
        <v>0</v>
      </c>
      <c r="O80" s="570"/>
      <c r="P80" s="569">
        <v>0</v>
      </c>
      <c r="Q80" s="570"/>
      <c r="R80" s="569">
        <v>0</v>
      </c>
      <c r="S80" s="570"/>
      <c r="T80" s="569">
        <v>0</v>
      </c>
      <c r="U80" s="570"/>
      <c r="V80" s="569">
        <v>0</v>
      </c>
      <c r="W80" s="570"/>
      <c r="X80" s="569">
        <v>0</v>
      </c>
      <c r="Y80" s="570"/>
      <c r="Z80" s="569">
        <v>0</v>
      </c>
      <c r="AA80" s="570"/>
      <c r="AB80" s="569">
        <v>0</v>
      </c>
      <c r="AC80" s="570"/>
      <c r="AD80" s="569">
        <v>0</v>
      </c>
      <c r="AE80" s="571"/>
    </row>
    <row r="81" spans="2:33" hidden="1" x14ac:dyDescent="0.25">
      <c r="B81" s="567" t="s">
        <v>62</v>
      </c>
      <c r="C81" s="568"/>
      <c r="D81" s="564">
        <v>0</v>
      </c>
      <c r="E81" s="565"/>
      <c r="F81" s="564">
        <v>0</v>
      </c>
      <c r="G81" s="565"/>
      <c r="H81" s="564">
        <v>0</v>
      </c>
      <c r="I81" s="565"/>
      <c r="J81" s="564">
        <v>0</v>
      </c>
      <c r="K81" s="565"/>
      <c r="L81" s="564">
        <v>0</v>
      </c>
      <c r="M81" s="565"/>
      <c r="N81" s="564">
        <v>0</v>
      </c>
      <c r="O81" s="565"/>
      <c r="P81" s="564">
        <v>0</v>
      </c>
      <c r="Q81" s="565"/>
      <c r="R81" s="564">
        <v>0</v>
      </c>
      <c r="S81" s="565"/>
      <c r="T81" s="564">
        <v>0</v>
      </c>
      <c r="U81" s="565"/>
      <c r="V81" s="564">
        <v>0</v>
      </c>
      <c r="W81" s="565"/>
      <c r="X81" s="564">
        <v>0</v>
      </c>
      <c r="Y81" s="565"/>
      <c r="Z81" s="564">
        <v>0</v>
      </c>
      <c r="AA81" s="565"/>
      <c r="AB81" s="564">
        <v>0</v>
      </c>
      <c r="AC81" s="565"/>
      <c r="AD81" s="564">
        <v>0</v>
      </c>
      <c r="AE81" s="566"/>
    </row>
    <row r="82" spans="2:33" hidden="1" x14ac:dyDescent="0.25"/>
    <row r="83" spans="2:33" ht="15" customHeight="1" x14ac:dyDescent="0.25">
      <c r="B83" s="507" t="s">
        <v>836</v>
      </c>
      <c r="C83" s="508"/>
      <c r="D83" s="508"/>
      <c r="E83" s="508"/>
      <c r="F83" s="508"/>
      <c r="G83" s="508"/>
      <c r="H83" s="508"/>
      <c r="I83" s="508"/>
      <c r="J83" s="508"/>
      <c r="K83" s="508"/>
      <c r="L83" s="508"/>
      <c r="M83" s="508"/>
      <c r="N83" s="508"/>
      <c r="O83" s="508"/>
      <c r="P83" s="508"/>
      <c r="Q83" s="508"/>
      <c r="R83" s="508"/>
      <c r="S83" s="508"/>
      <c r="T83" s="508"/>
      <c r="U83" s="508"/>
      <c r="V83" s="508"/>
      <c r="W83" s="508"/>
      <c r="X83" s="508"/>
      <c r="Y83" s="508"/>
      <c r="Z83" s="508"/>
      <c r="AA83" s="508"/>
      <c r="AB83" s="508"/>
      <c r="AC83" s="508"/>
      <c r="AD83" s="508"/>
      <c r="AE83" s="509"/>
    </row>
    <row r="84" spans="2:33" ht="15.75" x14ac:dyDescent="0.25">
      <c r="B84" s="138" t="s">
        <v>837</v>
      </c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  <c r="AA84" s="71"/>
      <c r="AB84" s="71"/>
      <c r="AC84" s="71"/>
      <c r="AD84" s="71"/>
      <c r="AE84" s="131"/>
    </row>
    <row r="85" spans="2:33" ht="24.75" customHeight="1" thickBot="1" x14ac:dyDescent="0.25">
      <c r="B85" s="556" t="s">
        <v>838</v>
      </c>
      <c r="C85" s="536"/>
      <c r="D85" s="536" t="s">
        <v>839</v>
      </c>
      <c r="E85" s="536"/>
      <c r="F85" s="536" t="s">
        <v>450</v>
      </c>
      <c r="G85" s="536"/>
      <c r="H85" s="536" t="s">
        <v>59</v>
      </c>
      <c r="I85" s="536"/>
      <c r="J85" s="536" t="s">
        <v>42</v>
      </c>
      <c r="K85" s="536"/>
      <c r="L85" s="536"/>
      <c r="M85" s="536" t="s">
        <v>920</v>
      </c>
      <c r="N85" s="536"/>
      <c r="O85" s="536"/>
      <c r="P85" s="536"/>
      <c r="Q85" s="536"/>
      <c r="R85" s="536"/>
      <c r="S85" s="536"/>
      <c r="T85" s="536" t="s">
        <v>55</v>
      </c>
      <c r="U85" s="536"/>
      <c r="V85" s="536"/>
      <c r="W85" s="536"/>
      <c r="X85" s="536"/>
      <c r="Y85" s="536"/>
      <c r="Z85" s="536" t="s">
        <v>269</v>
      </c>
      <c r="AA85" s="536"/>
      <c r="AB85" s="536" t="s">
        <v>228</v>
      </c>
      <c r="AC85" s="536"/>
      <c r="AD85" s="536" t="s">
        <v>56</v>
      </c>
      <c r="AE85" s="537"/>
      <c r="AG85" s="82" t="s">
        <v>926</v>
      </c>
    </row>
    <row r="86" spans="2:33" ht="13.5" thickTop="1" x14ac:dyDescent="0.25">
      <c r="B86" s="538" t="s">
        <v>1102</v>
      </c>
      <c r="C86" s="539"/>
      <c r="D86" s="540" t="s">
        <v>1090</v>
      </c>
      <c r="E86" s="539"/>
      <c r="F86" s="540" t="s">
        <v>1091</v>
      </c>
      <c r="G86" s="539"/>
      <c r="H86" s="540" t="s">
        <v>1104</v>
      </c>
      <c r="I86" s="539"/>
      <c r="J86" s="541" t="s">
        <v>417</v>
      </c>
      <c r="K86" s="542"/>
      <c r="L86" s="543"/>
      <c r="M86" s="541" t="s">
        <v>864</v>
      </c>
      <c r="N86" s="542"/>
      <c r="O86" s="542"/>
      <c r="P86" s="542"/>
      <c r="Q86" s="542"/>
      <c r="R86" s="542"/>
      <c r="S86" s="543"/>
      <c r="T86" s="541" t="s">
        <v>638</v>
      </c>
      <c r="U86" s="542"/>
      <c r="V86" s="542"/>
      <c r="W86" s="542"/>
      <c r="X86" s="542"/>
      <c r="Y86" s="543"/>
      <c r="Z86" s="548">
        <v>30.38</v>
      </c>
      <c r="AA86" s="563"/>
      <c r="AB86" s="548">
        <v>88.5</v>
      </c>
      <c r="AC86" s="563"/>
      <c r="AD86" s="548">
        <v>2688.63</v>
      </c>
      <c r="AE86" s="549"/>
      <c r="AG86" s="84" t="s">
        <v>1112</v>
      </c>
    </row>
    <row r="87" spans="2:33" x14ac:dyDescent="0.25">
      <c r="B87" s="524" t="s">
        <v>1102</v>
      </c>
      <c r="C87" s="525"/>
      <c r="D87" s="526" t="s">
        <v>1090</v>
      </c>
      <c r="E87" s="525"/>
      <c r="F87" s="526" t="s">
        <v>1091</v>
      </c>
      <c r="G87" s="525"/>
      <c r="H87" s="526" t="s">
        <v>1109</v>
      </c>
      <c r="I87" s="525"/>
      <c r="J87" s="533" t="s">
        <v>417</v>
      </c>
      <c r="K87" s="534"/>
      <c r="L87" s="535"/>
      <c r="M87" s="533" t="s">
        <v>864</v>
      </c>
      <c r="N87" s="534"/>
      <c r="O87" s="534"/>
      <c r="P87" s="534"/>
      <c r="Q87" s="534"/>
      <c r="R87" s="534"/>
      <c r="S87" s="535"/>
      <c r="T87" s="533" t="s">
        <v>322</v>
      </c>
      <c r="U87" s="534"/>
      <c r="V87" s="534"/>
      <c r="W87" s="534"/>
      <c r="X87" s="534"/>
      <c r="Y87" s="535"/>
      <c r="Z87" s="513">
        <v>45.57</v>
      </c>
      <c r="AA87" s="557"/>
      <c r="AB87" s="513">
        <v>88.5</v>
      </c>
      <c r="AC87" s="557"/>
      <c r="AD87" s="513">
        <v>4032.9450000000002</v>
      </c>
      <c r="AE87" s="514"/>
      <c r="AG87" s="84" t="s">
        <v>1113</v>
      </c>
    </row>
    <row r="88" spans="2:33" x14ac:dyDescent="0.25">
      <c r="B88" s="524" t="s">
        <v>1102</v>
      </c>
      <c r="C88" s="525"/>
      <c r="D88" s="526" t="s">
        <v>1090</v>
      </c>
      <c r="E88" s="525"/>
      <c r="F88" s="526" t="s">
        <v>1091</v>
      </c>
      <c r="G88" s="525"/>
      <c r="H88" s="526" t="s">
        <v>1110</v>
      </c>
      <c r="I88" s="525"/>
      <c r="J88" s="533" t="s">
        <v>417</v>
      </c>
      <c r="K88" s="534"/>
      <c r="L88" s="535"/>
      <c r="M88" s="533" t="s">
        <v>864</v>
      </c>
      <c r="N88" s="534"/>
      <c r="O88" s="534"/>
      <c r="P88" s="534"/>
      <c r="Q88" s="534"/>
      <c r="R88" s="534"/>
      <c r="S88" s="535"/>
      <c r="T88" s="533" t="s">
        <v>792</v>
      </c>
      <c r="U88" s="534"/>
      <c r="V88" s="534"/>
      <c r="W88" s="534"/>
      <c r="X88" s="534"/>
      <c r="Y88" s="535"/>
      <c r="Z88" s="513">
        <v>45.57</v>
      </c>
      <c r="AA88" s="557"/>
      <c r="AB88" s="513">
        <v>88.5</v>
      </c>
      <c r="AC88" s="557"/>
      <c r="AD88" s="513">
        <v>4032.9450000000002</v>
      </c>
      <c r="AE88" s="514"/>
      <c r="AG88" s="84" t="s">
        <v>1114</v>
      </c>
    </row>
    <row r="89" spans="2:33" x14ac:dyDescent="0.25">
      <c r="B89" s="524" t="s">
        <v>1102</v>
      </c>
      <c r="C89" s="525"/>
      <c r="D89" s="526" t="s">
        <v>1090</v>
      </c>
      <c r="E89" s="525"/>
      <c r="F89" s="526" t="s">
        <v>1091</v>
      </c>
      <c r="G89" s="525"/>
      <c r="H89" s="526" t="s">
        <v>1111</v>
      </c>
      <c r="I89" s="525"/>
      <c r="J89" s="533" t="s">
        <v>417</v>
      </c>
      <c r="K89" s="534"/>
      <c r="L89" s="535"/>
      <c r="M89" s="533" t="s">
        <v>864</v>
      </c>
      <c r="N89" s="534"/>
      <c r="O89" s="534"/>
      <c r="P89" s="534"/>
      <c r="Q89" s="534"/>
      <c r="R89" s="534"/>
      <c r="S89" s="535"/>
      <c r="T89" s="533" t="s">
        <v>502</v>
      </c>
      <c r="U89" s="534"/>
      <c r="V89" s="534"/>
      <c r="W89" s="534"/>
      <c r="X89" s="534"/>
      <c r="Y89" s="535"/>
      <c r="Z89" s="513">
        <v>45.57</v>
      </c>
      <c r="AA89" s="557"/>
      <c r="AB89" s="513">
        <v>88.5</v>
      </c>
      <c r="AC89" s="557"/>
      <c r="AD89" s="513">
        <v>4032.9450000000002</v>
      </c>
      <c r="AE89" s="514"/>
      <c r="AG89" s="84" t="s">
        <v>1115</v>
      </c>
    </row>
    <row r="90" spans="2:33" hidden="1" x14ac:dyDescent="0.25">
      <c r="B90" s="524" t="s">
        <v>62</v>
      </c>
      <c r="C90" s="525"/>
      <c r="D90" s="526" t="s">
        <v>62</v>
      </c>
      <c r="E90" s="525"/>
      <c r="F90" s="526" t="s">
        <v>62</v>
      </c>
      <c r="G90" s="525"/>
      <c r="H90" s="526" t="s">
        <v>62</v>
      </c>
      <c r="I90" s="525"/>
      <c r="J90" s="533" t="s">
        <v>62</v>
      </c>
      <c r="K90" s="534"/>
      <c r="L90" s="535"/>
      <c r="M90" s="533" t="s">
        <v>62</v>
      </c>
      <c r="N90" s="534"/>
      <c r="O90" s="534"/>
      <c r="P90" s="534"/>
      <c r="Q90" s="534"/>
      <c r="R90" s="534"/>
      <c r="S90" s="535"/>
      <c r="T90" s="533" t="s">
        <v>62</v>
      </c>
      <c r="U90" s="534"/>
      <c r="V90" s="534"/>
      <c r="W90" s="534"/>
      <c r="X90" s="534"/>
      <c r="Y90" s="535"/>
      <c r="Z90" s="513" t="s">
        <v>62</v>
      </c>
      <c r="AA90" s="557"/>
      <c r="AB90" s="513" t="s">
        <v>62</v>
      </c>
      <c r="AC90" s="557"/>
      <c r="AD90" s="513" t="s">
        <v>62</v>
      </c>
      <c r="AE90" s="514"/>
      <c r="AG90" s="84"/>
    </row>
    <row r="91" spans="2:33" hidden="1" x14ac:dyDescent="0.25">
      <c r="B91" s="524" t="s">
        <v>62</v>
      </c>
      <c r="C91" s="525"/>
      <c r="D91" s="526" t="s">
        <v>62</v>
      </c>
      <c r="E91" s="525"/>
      <c r="F91" s="526" t="s">
        <v>62</v>
      </c>
      <c r="G91" s="525"/>
      <c r="H91" s="526" t="s">
        <v>62</v>
      </c>
      <c r="I91" s="525"/>
      <c r="J91" s="533" t="s">
        <v>62</v>
      </c>
      <c r="K91" s="534"/>
      <c r="L91" s="535"/>
      <c r="M91" s="533" t="s">
        <v>62</v>
      </c>
      <c r="N91" s="534"/>
      <c r="O91" s="534"/>
      <c r="P91" s="534"/>
      <c r="Q91" s="534"/>
      <c r="R91" s="534"/>
      <c r="S91" s="535"/>
      <c r="T91" s="533" t="s">
        <v>62</v>
      </c>
      <c r="U91" s="534"/>
      <c r="V91" s="534"/>
      <c r="W91" s="534"/>
      <c r="X91" s="534"/>
      <c r="Y91" s="535"/>
      <c r="Z91" s="513" t="s">
        <v>62</v>
      </c>
      <c r="AA91" s="557"/>
      <c r="AB91" s="513" t="s">
        <v>62</v>
      </c>
      <c r="AC91" s="557"/>
      <c r="AD91" s="513" t="s">
        <v>62</v>
      </c>
      <c r="AE91" s="514"/>
      <c r="AG91" s="84"/>
    </row>
    <row r="92" spans="2:33" hidden="1" x14ac:dyDescent="0.25">
      <c r="B92" s="524" t="s">
        <v>62</v>
      </c>
      <c r="C92" s="525"/>
      <c r="D92" s="526" t="s">
        <v>62</v>
      </c>
      <c r="E92" s="525"/>
      <c r="F92" s="526" t="s">
        <v>62</v>
      </c>
      <c r="G92" s="525"/>
      <c r="H92" s="526" t="s">
        <v>62</v>
      </c>
      <c r="I92" s="525"/>
      <c r="J92" s="533" t="s">
        <v>62</v>
      </c>
      <c r="K92" s="534"/>
      <c r="L92" s="535"/>
      <c r="M92" s="533" t="s">
        <v>62</v>
      </c>
      <c r="N92" s="534"/>
      <c r="O92" s="534"/>
      <c r="P92" s="534"/>
      <c r="Q92" s="534"/>
      <c r="R92" s="534"/>
      <c r="S92" s="535"/>
      <c r="T92" s="533" t="s">
        <v>62</v>
      </c>
      <c r="U92" s="534"/>
      <c r="V92" s="534"/>
      <c r="W92" s="534"/>
      <c r="X92" s="534"/>
      <c r="Y92" s="535"/>
      <c r="Z92" s="513" t="s">
        <v>62</v>
      </c>
      <c r="AA92" s="557"/>
      <c r="AB92" s="513" t="s">
        <v>62</v>
      </c>
      <c r="AC92" s="557"/>
      <c r="AD92" s="513" t="s">
        <v>62</v>
      </c>
      <c r="AE92" s="514"/>
      <c r="AG92" s="84"/>
    </row>
    <row r="93" spans="2:33" hidden="1" x14ac:dyDescent="0.25">
      <c r="B93" s="524" t="s">
        <v>62</v>
      </c>
      <c r="C93" s="525"/>
      <c r="D93" s="526" t="s">
        <v>62</v>
      </c>
      <c r="E93" s="525"/>
      <c r="F93" s="526" t="s">
        <v>62</v>
      </c>
      <c r="G93" s="525"/>
      <c r="H93" s="526" t="s">
        <v>62</v>
      </c>
      <c r="I93" s="525"/>
      <c r="J93" s="533" t="s">
        <v>62</v>
      </c>
      <c r="K93" s="534"/>
      <c r="L93" s="535"/>
      <c r="M93" s="533" t="s">
        <v>62</v>
      </c>
      <c r="N93" s="534"/>
      <c r="O93" s="534"/>
      <c r="P93" s="534"/>
      <c r="Q93" s="534"/>
      <c r="R93" s="534"/>
      <c r="S93" s="535"/>
      <c r="T93" s="533" t="s">
        <v>62</v>
      </c>
      <c r="U93" s="534"/>
      <c r="V93" s="534"/>
      <c r="W93" s="534"/>
      <c r="X93" s="534"/>
      <c r="Y93" s="535"/>
      <c r="Z93" s="513" t="s">
        <v>62</v>
      </c>
      <c r="AA93" s="557"/>
      <c r="AB93" s="513" t="s">
        <v>62</v>
      </c>
      <c r="AC93" s="557"/>
      <c r="AD93" s="513" t="s">
        <v>62</v>
      </c>
      <c r="AE93" s="514"/>
      <c r="AG93" s="84"/>
    </row>
    <row r="94" spans="2:33" hidden="1" x14ac:dyDescent="0.25">
      <c r="B94" s="524" t="s">
        <v>62</v>
      </c>
      <c r="C94" s="525"/>
      <c r="D94" s="526" t="s">
        <v>62</v>
      </c>
      <c r="E94" s="525"/>
      <c r="F94" s="526" t="s">
        <v>62</v>
      </c>
      <c r="G94" s="525"/>
      <c r="H94" s="526" t="s">
        <v>62</v>
      </c>
      <c r="I94" s="525"/>
      <c r="J94" s="533" t="s">
        <v>62</v>
      </c>
      <c r="K94" s="534"/>
      <c r="L94" s="535"/>
      <c r="M94" s="533" t="s">
        <v>62</v>
      </c>
      <c r="N94" s="534"/>
      <c r="O94" s="534"/>
      <c r="P94" s="534"/>
      <c r="Q94" s="534"/>
      <c r="R94" s="534"/>
      <c r="S94" s="535"/>
      <c r="T94" s="533" t="s">
        <v>62</v>
      </c>
      <c r="U94" s="534"/>
      <c r="V94" s="534"/>
      <c r="W94" s="534"/>
      <c r="X94" s="534"/>
      <c r="Y94" s="535"/>
      <c r="Z94" s="513" t="s">
        <v>62</v>
      </c>
      <c r="AA94" s="557"/>
      <c r="AB94" s="513" t="s">
        <v>62</v>
      </c>
      <c r="AC94" s="557"/>
      <c r="AD94" s="513" t="s">
        <v>62</v>
      </c>
      <c r="AE94" s="514"/>
      <c r="AG94" s="84"/>
    </row>
    <row r="95" spans="2:33" hidden="1" x14ac:dyDescent="0.25">
      <c r="B95" s="524" t="s">
        <v>62</v>
      </c>
      <c r="C95" s="525"/>
      <c r="D95" s="526" t="s">
        <v>62</v>
      </c>
      <c r="E95" s="525"/>
      <c r="F95" s="526" t="s">
        <v>62</v>
      </c>
      <c r="G95" s="525"/>
      <c r="H95" s="526" t="s">
        <v>62</v>
      </c>
      <c r="I95" s="525"/>
      <c r="J95" s="533" t="s">
        <v>62</v>
      </c>
      <c r="K95" s="534"/>
      <c r="L95" s="535"/>
      <c r="M95" s="533" t="s">
        <v>62</v>
      </c>
      <c r="N95" s="534"/>
      <c r="O95" s="534"/>
      <c r="P95" s="534"/>
      <c r="Q95" s="534"/>
      <c r="R95" s="534"/>
      <c r="S95" s="535"/>
      <c r="T95" s="533" t="s">
        <v>62</v>
      </c>
      <c r="U95" s="534"/>
      <c r="V95" s="534"/>
      <c r="W95" s="534"/>
      <c r="X95" s="534"/>
      <c r="Y95" s="535"/>
      <c r="Z95" s="513" t="s">
        <v>62</v>
      </c>
      <c r="AA95" s="557"/>
      <c r="AB95" s="513" t="s">
        <v>62</v>
      </c>
      <c r="AC95" s="557"/>
      <c r="AD95" s="513" t="s">
        <v>62</v>
      </c>
      <c r="AE95" s="514"/>
      <c r="AG95" s="84"/>
    </row>
    <row r="96" spans="2:33" hidden="1" x14ac:dyDescent="0.25">
      <c r="B96" s="524" t="s">
        <v>62</v>
      </c>
      <c r="C96" s="525"/>
      <c r="D96" s="526" t="s">
        <v>62</v>
      </c>
      <c r="E96" s="525"/>
      <c r="F96" s="526" t="s">
        <v>62</v>
      </c>
      <c r="G96" s="525"/>
      <c r="H96" s="526" t="s">
        <v>62</v>
      </c>
      <c r="I96" s="525"/>
      <c r="J96" s="533" t="s">
        <v>62</v>
      </c>
      <c r="K96" s="534"/>
      <c r="L96" s="535"/>
      <c r="M96" s="533" t="s">
        <v>62</v>
      </c>
      <c r="N96" s="534"/>
      <c r="O96" s="534"/>
      <c r="P96" s="534"/>
      <c r="Q96" s="534"/>
      <c r="R96" s="534"/>
      <c r="S96" s="535"/>
      <c r="T96" s="533" t="s">
        <v>62</v>
      </c>
      <c r="U96" s="534"/>
      <c r="V96" s="534"/>
      <c r="W96" s="534"/>
      <c r="X96" s="534"/>
      <c r="Y96" s="535"/>
      <c r="Z96" s="513" t="s">
        <v>62</v>
      </c>
      <c r="AA96" s="557"/>
      <c r="AB96" s="513" t="s">
        <v>62</v>
      </c>
      <c r="AC96" s="557"/>
      <c r="AD96" s="513" t="s">
        <v>62</v>
      </c>
      <c r="AE96" s="514"/>
      <c r="AG96" s="84"/>
    </row>
    <row r="97" spans="2:33" hidden="1" x14ac:dyDescent="0.25">
      <c r="B97" s="524" t="s">
        <v>62</v>
      </c>
      <c r="C97" s="525"/>
      <c r="D97" s="526" t="s">
        <v>62</v>
      </c>
      <c r="E97" s="525"/>
      <c r="F97" s="526" t="s">
        <v>62</v>
      </c>
      <c r="G97" s="525"/>
      <c r="H97" s="526" t="s">
        <v>62</v>
      </c>
      <c r="I97" s="525"/>
      <c r="J97" s="533" t="s">
        <v>62</v>
      </c>
      <c r="K97" s="534"/>
      <c r="L97" s="535"/>
      <c r="M97" s="533" t="s">
        <v>62</v>
      </c>
      <c r="N97" s="534"/>
      <c r="O97" s="534"/>
      <c r="P97" s="534"/>
      <c r="Q97" s="534"/>
      <c r="R97" s="534"/>
      <c r="S97" s="535"/>
      <c r="T97" s="533" t="s">
        <v>62</v>
      </c>
      <c r="U97" s="534"/>
      <c r="V97" s="534"/>
      <c r="W97" s="534"/>
      <c r="X97" s="534"/>
      <c r="Y97" s="535"/>
      <c r="Z97" s="513" t="s">
        <v>62</v>
      </c>
      <c r="AA97" s="557"/>
      <c r="AB97" s="513" t="s">
        <v>62</v>
      </c>
      <c r="AC97" s="557"/>
      <c r="AD97" s="513" t="s">
        <v>62</v>
      </c>
      <c r="AE97" s="514"/>
      <c r="AG97" s="84"/>
    </row>
    <row r="98" spans="2:33" hidden="1" x14ac:dyDescent="0.25">
      <c r="B98" s="524" t="s">
        <v>62</v>
      </c>
      <c r="C98" s="525"/>
      <c r="D98" s="526" t="s">
        <v>62</v>
      </c>
      <c r="E98" s="525"/>
      <c r="F98" s="526" t="s">
        <v>62</v>
      </c>
      <c r="G98" s="525"/>
      <c r="H98" s="526" t="s">
        <v>62</v>
      </c>
      <c r="I98" s="525"/>
      <c r="J98" s="533" t="s">
        <v>62</v>
      </c>
      <c r="K98" s="534"/>
      <c r="L98" s="535"/>
      <c r="M98" s="533" t="s">
        <v>62</v>
      </c>
      <c r="N98" s="534"/>
      <c r="O98" s="534"/>
      <c r="P98" s="534"/>
      <c r="Q98" s="534"/>
      <c r="R98" s="534"/>
      <c r="S98" s="535"/>
      <c r="T98" s="533" t="s">
        <v>62</v>
      </c>
      <c r="U98" s="534"/>
      <c r="V98" s="534"/>
      <c r="W98" s="534"/>
      <c r="X98" s="534"/>
      <c r="Y98" s="535"/>
      <c r="Z98" s="513" t="s">
        <v>62</v>
      </c>
      <c r="AA98" s="557"/>
      <c r="AB98" s="513" t="s">
        <v>62</v>
      </c>
      <c r="AC98" s="557"/>
      <c r="AD98" s="513" t="s">
        <v>62</v>
      </c>
      <c r="AE98" s="514"/>
      <c r="AG98" s="84"/>
    </row>
    <row r="99" spans="2:33" hidden="1" x14ac:dyDescent="0.25">
      <c r="B99" s="524" t="s">
        <v>62</v>
      </c>
      <c r="C99" s="525"/>
      <c r="D99" s="526" t="s">
        <v>62</v>
      </c>
      <c r="E99" s="525"/>
      <c r="F99" s="526" t="s">
        <v>62</v>
      </c>
      <c r="G99" s="525"/>
      <c r="H99" s="526" t="s">
        <v>62</v>
      </c>
      <c r="I99" s="525"/>
      <c r="J99" s="533" t="s">
        <v>62</v>
      </c>
      <c r="K99" s="534"/>
      <c r="L99" s="535"/>
      <c r="M99" s="533" t="s">
        <v>62</v>
      </c>
      <c r="N99" s="534"/>
      <c r="O99" s="534"/>
      <c r="P99" s="534"/>
      <c r="Q99" s="534"/>
      <c r="R99" s="534"/>
      <c r="S99" s="535"/>
      <c r="T99" s="533" t="s">
        <v>62</v>
      </c>
      <c r="U99" s="534"/>
      <c r="V99" s="534"/>
      <c r="W99" s="534"/>
      <c r="X99" s="534"/>
      <c r="Y99" s="535"/>
      <c r="Z99" s="513" t="s">
        <v>62</v>
      </c>
      <c r="AA99" s="557"/>
      <c r="AB99" s="513" t="s">
        <v>62</v>
      </c>
      <c r="AC99" s="557"/>
      <c r="AD99" s="513" t="s">
        <v>62</v>
      </c>
      <c r="AE99" s="514"/>
      <c r="AG99" s="84"/>
    </row>
    <row r="100" spans="2:33" hidden="1" x14ac:dyDescent="0.25">
      <c r="B100" s="524" t="s">
        <v>62</v>
      </c>
      <c r="C100" s="525"/>
      <c r="D100" s="526" t="s">
        <v>62</v>
      </c>
      <c r="E100" s="525"/>
      <c r="F100" s="526" t="s">
        <v>62</v>
      </c>
      <c r="G100" s="525"/>
      <c r="H100" s="526" t="s">
        <v>62</v>
      </c>
      <c r="I100" s="525"/>
      <c r="J100" s="533" t="s">
        <v>62</v>
      </c>
      <c r="K100" s="534"/>
      <c r="L100" s="535"/>
      <c r="M100" s="533" t="s">
        <v>62</v>
      </c>
      <c r="N100" s="534"/>
      <c r="O100" s="534"/>
      <c r="P100" s="534"/>
      <c r="Q100" s="534"/>
      <c r="R100" s="534"/>
      <c r="S100" s="535"/>
      <c r="T100" s="533" t="s">
        <v>62</v>
      </c>
      <c r="U100" s="534"/>
      <c r="V100" s="534"/>
      <c r="W100" s="534"/>
      <c r="X100" s="534"/>
      <c r="Y100" s="535"/>
      <c r="Z100" s="513" t="s">
        <v>62</v>
      </c>
      <c r="AA100" s="557"/>
      <c r="AB100" s="513" t="s">
        <v>62</v>
      </c>
      <c r="AC100" s="557"/>
      <c r="AD100" s="513" t="s">
        <v>62</v>
      </c>
      <c r="AE100" s="514"/>
      <c r="AG100" s="84"/>
    </row>
    <row r="101" spans="2:33" hidden="1" x14ac:dyDescent="0.25">
      <c r="B101" s="524" t="s">
        <v>62</v>
      </c>
      <c r="C101" s="525"/>
      <c r="D101" s="526" t="s">
        <v>62</v>
      </c>
      <c r="E101" s="525"/>
      <c r="F101" s="526" t="s">
        <v>62</v>
      </c>
      <c r="G101" s="525"/>
      <c r="H101" s="526" t="s">
        <v>62</v>
      </c>
      <c r="I101" s="525"/>
      <c r="J101" s="533" t="s">
        <v>62</v>
      </c>
      <c r="K101" s="534"/>
      <c r="L101" s="535"/>
      <c r="M101" s="533" t="s">
        <v>62</v>
      </c>
      <c r="N101" s="534"/>
      <c r="O101" s="534"/>
      <c r="P101" s="534"/>
      <c r="Q101" s="534"/>
      <c r="R101" s="534"/>
      <c r="S101" s="535"/>
      <c r="T101" s="533" t="s">
        <v>62</v>
      </c>
      <c r="U101" s="534"/>
      <c r="V101" s="534"/>
      <c r="W101" s="534"/>
      <c r="X101" s="534"/>
      <c r="Y101" s="535"/>
      <c r="Z101" s="513" t="s">
        <v>62</v>
      </c>
      <c r="AA101" s="557"/>
      <c r="AB101" s="513" t="s">
        <v>62</v>
      </c>
      <c r="AC101" s="557"/>
      <c r="AD101" s="513" t="s">
        <v>62</v>
      </c>
      <c r="AE101" s="514"/>
      <c r="AG101" s="84"/>
    </row>
    <row r="102" spans="2:33" hidden="1" x14ac:dyDescent="0.25">
      <c r="B102" s="524" t="s">
        <v>62</v>
      </c>
      <c r="C102" s="525"/>
      <c r="D102" s="526" t="s">
        <v>62</v>
      </c>
      <c r="E102" s="525"/>
      <c r="F102" s="526" t="s">
        <v>62</v>
      </c>
      <c r="G102" s="525"/>
      <c r="H102" s="526" t="s">
        <v>62</v>
      </c>
      <c r="I102" s="525"/>
      <c r="J102" s="533" t="s">
        <v>62</v>
      </c>
      <c r="K102" s="534"/>
      <c r="L102" s="535"/>
      <c r="M102" s="533" t="s">
        <v>62</v>
      </c>
      <c r="N102" s="534"/>
      <c r="O102" s="534"/>
      <c r="P102" s="534"/>
      <c r="Q102" s="534"/>
      <c r="R102" s="534"/>
      <c r="S102" s="535"/>
      <c r="T102" s="533" t="s">
        <v>62</v>
      </c>
      <c r="U102" s="534"/>
      <c r="V102" s="534"/>
      <c r="W102" s="534"/>
      <c r="X102" s="534"/>
      <c r="Y102" s="535"/>
      <c r="Z102" s="513" t="s">
        <v>62</v>
      </c>
      <c r="AA102" s="557"/>
      <c r="AB102" s="513" t="s">
        <v>62</v>
      </c>
      <c r="AC102" s="557"/>
      <c r="AD102" s="513" t="s">
        <v>62</v>
      </c>
      <c r="AE102" s="514"/>
      <c r="AG102" s="84"/>
    </row>
    <row r="103" spans="2:33" hidden="1" x14ac:dyDescent="0.25">
      <c r="B103" s="524" t="s">
        <v>62</v>
      </c>
      <c r="C103" s="525"/>
      <c r="D103" s="526" t="s">
        <v>62</v>
      </c>
      <c r="E103" s="525"/>
      <c r="F103" s="526" t="s">
        <v>62</v>
      </c>
      <c r="G103" s="525"/>
      <c r="H103" s="526" t="s">
        <v>62</v>
      </c>
      <c r="I103" s="525"/>
      <c r="J103" s="533" t="s">
        <v>62</v>
      </c>
      <c r="K103" s="534"/>
      <c r="L103" s="535"/>
      <c r="M103" s="533" t="s">
        <v>62</v>
      </c>
      <c r="N103" s="534"/>
      <c r="O103" s="534"/>
      <c r="P103" s="534"/>
      <c r="Q103" s="534"/>
      <c r="R103" s="534"/>
      <c r="S103" s="535"/>
      <c r="T103" s="533" t="s">
        <v>62</v>
      </c>
      <c r="U103" s="534"/>
      <c r="V103" s="534"/>
      <c r="W103" s="534"/>
      <c r="X103" s="534"/>
      <c r="Y103" s="535"/>
      <c r="Z103" s="513" t="s">
        <v>62</v>
      </c>
      <c r="AA103" s="557"/>
      <c r="AB103" s="513" t="s">
        <v>62</v>
      </c>
      <c r="AC103" s="557"/>
      <c r="AD103" s="513" t="s">
        <v>62</v>
      </c>
      <c r="AE103" s="514"/>
      <c r="AG103" s="84"/>
    </row>
    <row r="104" spans="2:33" hidden="1" x14ac:dyDescent="0.25">
      <c r="B104" s="524" t="s">
        <v>62</v>
      </c>
      <c r="C104" s="525"/>
      <c r="D104" s="526" t="s">
        <v>62</v>
      </c>
      <c r="E104" s="525"/>
      <c r="F104" s="526" t="s">
        <v>62</v>
      </c>
      <c r="G104" s="525"/>
      <c r="H104" s="526" t="s">
        <v>62</v>
      </c>
      <c r="I104" s="525"/>
      <c r="J104" s="533" t="s">
        <v>62</v>
      </c>
      <c r="K104" s="534"/>
      <c r="L104" s="535"/>
      <c r="M104" s="533" t="s">
        <v>62</v>
      </c>
      <c r="N104" s="534"/>
      <c r="O104" s="534"/>
      <c r="P104" s="534"/>
      <c r="Q104" s="534"/>
      <c r="R104" s="534"/>
      <c r="S104" s="535"/>
      <c r="T104" s="533" t="s">
        <v>62</v>
      </c>
      <c r="U104" s="534"/>
      <c r="V104" s="534"/>
      <c r="W104" s="534"/>
      <c r="X104" s="534"/>
      <c r="Y104" s="535"/>
      <c r="Z104" s="513" t="s">
        <v>62</v>
      </c>
      <c r="AA104" s="557"/>
      <c r="AB104" s="513" t="s">
        <v>62</v>
      </c>
      <c r="AC104" s="557"/>
      <c r="AD104" s="513" t="s">
        <v>62</v>
      </c>
      <c r="AE104" s="514"/>
      <c r="AG104" s="84"/>
    </row>
    <row r="105" spans="2:33" hidden="1" x14ac:dyDescent="0.25">
      <c r="B105" s="524" t="s">
        <v>62</v>
      </c>
      <c r="C105" s="525"/>
      <c r="D105" s="526" t="s">
        <v>62</v>
      </c>
      <c r="E105" s="525"/>
      <c r="F105" s="526" t="s">
        <v>62</v>
      </c>
      <c r="G105" s="525"/>
      <c r="H105" s="526" t="s">
        <v>62</v>
      </c>
      <c r="I105" s="525"/>
      <c r="J105" s="533" t="s">
        <v>62</v>
      </c>
      <c r="K105" s="534"/>
      <c r="L105" s="535"/>
      <c r="M105" s="533" t="s">
        <v>62</v>
      </c>
      <c r="N105" s="534"/>
      <c r="O105" s="534"/>
      <c r="P105" s="534"/>
      <c r="Q105" s="534"/>
      <c r="R105" s="534"/>
      <c r="S105" s="535"/>
      <c r="T105" s="533" t="s">
        <v>62</v>
      </c>
      <c r="U105" s="534"/>
      <c r="V105" s="534"/>
      <c r="W105" s="534"/>
      <c r="X105" s="534"/>
      <c r="Y105" s="535"/>
      <c r="Z105" s="513" t="s">
        <v>62</v>
      </c>
      <c r="AA105" s="557"/>
      <c r="AB105" s="513" t="s">
        <v>62</v>
      </c>
      <c r="AC105" s="557"/>
      <c r="AD105" s="513" t="s">
        <v>62</v>
      </c>
      <c r="AE105" s="514"/>
      <c r="AG105" s="84"/>
    </row>
    <row r="106" spans="2:33" hidden="1" x14ac:dyDescent="0.25">
      <c r="B106" s="524" t="s">
        <v>62</v>
      </c>
      <c r="C106" s="525"/>
      <c r="D106" s="526" t="s">
        <v>62</v>
      </c>
      <c r="E106" s="525"/>
      <c r="F106" s="526" t="s">
        <v>62</v>
      </c>
      <c r="G106" s="525"/>
      <c r="H106" s="526" t="s">
        <v>62</v>
      </c>
      <c r="I106" s="525"/>
      <c r="J106" s="533" t="s">
        <v>62</v>
      </c>
      <c r="K106" s="534"/>
      <c r="L106" s="535"/>
      <c r="M106" s="533" t="s">
        <v>62</v>
      </c>
      <c r="N106" s="534"/>
      <c r="O106" s="534"/>
      <c r="P106" s="534"/>
      <c r="Q106" s="534"/>
      <c r="R106" s="534"/>
      <c r="S106" s="535"/>
      <c r="T106" s="533" t="s">
        <v>62</v>
      </c>
      <c r="U106" s="534"/>
      <c r="V106" s="534"/>
      <c r="W106" s="534"/>
      <c r="X106" s="534"/>
      <c r="Y106" s="535"/>
      <c r="Z106" s="513" t="s">
        <v>62</v>
      </c>
      <c r="AA106" s="557"/>
      <c r="AB106" s="513" t="s">
        <v>62</v>
      </c>
      <c r="AC106" s="557"/>
      <c r="AD106" s="513" t="s">
        <v>62</v>
      </c>
      <c r="AE106" s="514"/>
      <c r="AG106" s="84"/>
    </row>
    <row r="107" spans="2:33" hidden="1" x14ac:dyDescent="0.25">
      <c r="B107" s="524" t="s">
        <v>62</v>
      </c>
      <c r="C107" s="525"/>
      <c r="D107" s="526" t="s">
        <v>62</v>
      </c>
      <c r="E107" s="525"/>
      <c r="F107" s="526" t="s">
        <v>62</v>
      </c>
      <c r="G107" s="525"/>
      <c r="H107" s="526" t="s">
        <v>62</v>
      </c>
      <c r="I107" s="525"/>
      <c r="J107" s="533" t="s">
        <v>62</v>
      </c>
      <c r="K107" s="534"/>
      <c r="L107" s="535"/>
      <c r="M107" s="533" t="s">
        <v>62</v>
      </c>
      <c r="N107" s="534"/>
      <c r="O107" s="534"/>
      <c r="P107" s="534"/>
      <c r="Q107" s="534"/>
      <c r="R107" s="534"/>
      <c r="S107" s="535"/>
      <c r="T107" s="533" t="s">
        <v>62</v>
      </c>
      <c r="U107" s="534"/>
      <c r="V107" s="534"/>
      <c r="W107" s="534"/>
      <c r="X107" s="534"/>
      <c r="Y107" s="535"/>
      <c r="Z107" s="513" t="s">
        <v>62</v>
      </c>
      <c r="AA107" s="557"/>
      <c r="AB107" s="513" t="s">
        <v>62</v>
      </c>
      <c r="AC107" s="557"/>
      <c r="AD107" s="513" t="s">
        <v>62</v>
      </c>
      <c r="AE107" s="514"/>
      <c r="AG107" s="84"/>
    </row>
    <row r="108" spans="2:33" hidden="1" x14ac:dyDescent="0.25">
      <c r="B108" s="524" t="s">
        <v>62</v>
      </c>
      <c r="C108" s="525"/>
      <c r="D108" s="526" t="s">
        <v>62</v>
      </c>
      <c r="E108" s="525"/>
      <c r="F108" s="526" t="s">
        <v>62</v>
      </c>
      <c r="G108" s="525"/>
      <c r="H108" s="526" t="s">
        <v>62</v>
      </c>
      <c r="I108" s="525"/>
      <c r="J108" s="533" t="s">
        <v>62</v>
      </c>
      <c r="K108" s="534"/>
      <c r="L108" s="535"/>
      <c r="M108" s="533" t="s">
        <v>62</v>
      </c>
      <c r="N108" s="534"/>
      <c r="O108" s="534"/>
      <c r="P108" s="534"/>
      <c r="Q108" s="534"/>
      <c r="R108" s="534"/>
      <c r="S108" s="535"/>
      <c r="T108" s="533" t="s">
        <v>62</v>
      </c>
      <c r="U108" s="534"/>
      <c r="V108" s="534"/>
      <c r="W108" s="534"/>
      <c r="X108" s="534"/>
      <c r="Y108" s="535"/>
      <c r="Z108" s="513" t="s">
        <v>62</v>
      </c>
      <c r="AA108" s="557"/>
      <c r="AB108" s="513" t="s">
        <v>62</v>
      </c>
      <c r="AC108" s="557"/>
      <c r="AD108" s="513" t="s">
        <v>62</v>
      </c>
      <c r="AE108" s="514"/>
      <c r="AG108" s="84"/>
    </row>
    <row r="109" spans="2:33" hidden="1" x14ac:dyDescent="0.25">
      <c r="B109" s="524" t="s">
        <v>62</v>
      </c>
      <c r="C109" s="525"/>
      <c r="D109" s="526" t="s">
        <v>62</v>
      </c>
      <c r="E109" s="525"/>
      <c r="F109" s="526" t="s">
        <v>62</v>
      </c>
      <c r="G109" s="525"/>
      <c r="H109" s="526" t="s">
        <v>62</v>
      </c>
      <c r="I109" s="525"/>
      <c r="J109" s="533" t="s">
        <v>62</v>
      </c>
      <c r="K109" s="534"/>
      <c r="L109" s="535"/>
      <c r="M109" s="533" t="s">
        <v>62</v>
      </c>
      <c r="N109" s="534"/>
      <c r="O109" s="534"/>
      <c r="P109" s="534"/>
      <c r="Q109" s="534"/>
      <c r="R109" s="534"/>
      <c r="S109" s="535"/>
      <c r="T109" s="533" t="s">
        <v>62</v>
      </c>
      <c r="U109" s="534"/>
      <c r="V109" s="534"/>
      <c r="W109" s="534"/>
      <c r="X109" s="534"/>
      <c r="Y109" s="535"/>
      <c r="Z109" s="513" t="s">
        <v>62</v>
      </c>
      <c r="AA109" s="557"/>
      <c r="AB109" s="513" t="s">
        <v>62</v>
      </c>
      <c r="AC109" s="557"/>
      <c r="AD109" s="513" t="s">
        <v>62</v>
      </c>
      <c r="AE109" s="514"/>
      <c r="AG109" s="84"/>
    </row>
    <row r="110" spans="2:33" hidden="1" x14ac:dyDescent="0.25">
      <c r="B110" s="524" t="s">
        <v>62</v>
      </c>
      <c r="C110" s="525"/>
      <c r="D110" s="526" t="s">
        <v>62</v>
      </c>
      <c r="E110" s="525"/>
      <c r="F110" s="526" t="s">
        <v>62</v>
      </c>
      <c r="G110" s="525"/>
      <c r="H110" s="526" t="s">
        <v>62</v>
      </c>
      <c r="I110" s="525"/>
      <c r="J110" s="533" t="s">
        <v>62</v>
      </c>
      <c r="K110" s="534"/>
      <c r="L110" s="535"/>
      <c r="M110" s="533" t="s">
        <v>62</v>
      </c>
      <c r="N110" s="534"/>
      <c r="O110" s="534"/>
      <c r="P110" s="534"/>
      <c r="Q110" s="534"/>
      <c r="R110" s="534"/>
      <c r="S110" s="535"/>
      <c r="T110" s="533" t="s">
        <v>62</v>
      </c>
      <c r="U110" s="534"/>
      <c r="V110" s="534"/>
      <c r="W110" s="534"/>
      <c r="X110" s="534"/>
      <c r="Y110" s="535"/>
      <c r="Z110" s="513" t="s">
        <v>62</v>
      </c>
      <c r="AA110" s="557"/>
      <c r="AB110" s="513" t="s">
        <v>62</v>
      </c>
      <c r="AC110" s="557"/>
      <c r="AD110" s="513" t="s">
        <v>62</v>
      </c>
      <c r="AE110" s="514"/>
      <c r="AG110" s="84"/>
    </row>
    <row r="111" spans="2:33" hidden="1" x14ac:dyDescent="0.25">
      <c r="B111" s="524" t="s">
        <v>62</v>
      </c>
      <c r="C111" s="525"/>
      <c r="D111" s="526" t="s">
        <v>62</v>
      </c>
      <c r="E111" s="525"/>
      <c r="F111" s="526" t="s">
        <v>62</v>
      </c>
      <c r="G111" s="525"/>
      <c r="H111" s="526" t="s">
        <v>62</v>
      </c>
      <c r="I111" s="525"/>
      <c r="J111" s="533" t="s">
        <v>62</v>
      </c>
      <c r="K111" s="534"/>
      <c r="L111" s="535"/>
      <c r="M111" s="533" t="s">
        <v>62</v>
      </c>
      <c r="N111" s="534"/>
      <c r="O111" s="534"/>
      <c r="P111" s="534"/>
      <c r="Q111" s="534"/>
      <c r="R111" s="534"/>
      <c r="S111" s="535"/>
      <c r="T111" s="533" t="s">
        <v>62</v>
      </c>
      <c r="U111" s="534"/>
      <c r="V111" s="534"/>
      <c r="W111" s="534"/>
      <c r="X111" s="534"/>
      <c r="Y111" s="535"/>
      <c r="Z111" s="513" t="s">
        <v>62</v>
      </c>
      <c r="AA111" s="557"/>
      <c r="AB111" s="513" t="s">
        <v>62</v>
      </c>
      <c r="AC111" s="557"/>
      <c r="AD111" s="513" t="s">
        <v>62</v>
      </c>
      <c r="AE111" s="514"/>
      <c r="AG111" s="84"/>
    </row>
    <row r="112" spans="2:33" hidden="1" x14ac:dyDescent="0.25">
      <c r="B112" s="524" t="s">
        <v>62</v>
      </c>
      <c r="C112" s="525"/>
      <c r="D112" s="526" t="s">
        <v>62</v>
      </c>
      <c r="E112" s="525"/>
      <c r="F112" s="526" t="s">
        <v>62</v>
      </c>
      <c r="G112" s="525"/>
      <c r="H112" s="526" t="s">
        <v>62</v>
      </c>
      <c r="I112" s="525"/>
      <c r="J112" s="533" t="s">
        <v>62</v>
      </c>
      <c r="K112" s="534"/>
      <c r="L112" s="535"/>
      <c r="M112" s="533" t="s">
        <v>62</v>
      </c>
      <c r="N112" s="534"/>
      <c r="O112" s="534"/>
      <c r="P112" s="534"/>
      <c r="Q112" s="534"/>
      <c r="R112" s="534"/>
      <c r="S112" s="535"/>
      <c r="T112" s="533" t="s">
        <v>62</v>
      </c>
      <c r="U112" s="534"/>
      <c r="V112" s="534"/>
      <c r="W112" s="534"/>
      <c r="X112" s="534"/>
      <c r="Y112" s="535"/>
      <c r="Z112" s="513" t="s">
        <v>62</v>
      </c>
      <c r="AA112" s="557"/>
      <c r="AB112" s="513" t="s">
        <v>62</v>
      </c>
      <c r="AC112" s="557"/>
      <c r="AD112" s="513" t="s">
        <v>62</v>
      </c>
      <c r="AE112" s="514"/>
      <c r="AG112" s="84"/>
    </row>
    <row r="113" spans="2:33" hidden="1" x14ac:dyDescent="0.25">
      <c r="B113" s="524" t="s">
        <v>62</v>
      </c>
      <c r="C113" s="525"/>
      <c r="D113" s="526" t="s">
        <v>62</v>
      </c>
      <c r="E113" s="525"/>
      <c r="F113" s="526" t="s">
        <v>62</v>
      </c>
      <c r="G113" s="525"/>
      <c r="H113" s="526" t="s">
        <v>62</v>
      </c>
      <c r="I113" s="525"/>
      <c r="J113" s="533" t="s">
        <v>62</v>
      </c>
      <c r="K113" s="534"/>
      <c r="L113" s="535"/>
      <c r="M113" s="533" t="s">
        <v>62</v>
      </c>
      <c r="N113" s="534"/>
      <c r="O113" s="534"/>
      <c r="P113" s="534"/>
      <c r="Q113" s="534"/>
      <c r="R113" s="534"/>
      <c r="S113" s="535"/>
      <c r="T113" s="533" t="s">
        <v>62</v>
      </c>
      <c r="U113" s="534"/>
      <c r="V113" s="534"/>
      <c r="W113" s="534"/>
      <c r="X113" s="534"/>
      <c r="Y113" s="535"/>
      <c r="Z113" s="513" t="s">
        <v>62</v>
      </c>
      <c r="AA113" s="557"/>
      <c r="AB113" s="513" t="s">
        <v>62</v>
      </c>
      <c r="AC113" s="557"/>
      <c r="AD113" s="513" t="s">
        <v>62</v>
      </c>
      <c r="AE113" s="514"/>
      <c r="AG113" s="84"/>
    </row>
    <row r="114" spans="2:33" hidden="1" x14ac:dyDescent="0.25">
      <c r="B114" s="524" t="s">
        <v>62</v>
      </c>
      <c r="C114" s="525"/>
      <c r="D114" s="526" t="s">
        <v>62</v>
      </c>
      <c r="E114" s="525"/>
      <c r="F114" s="526" t="s">
        <v>62</v>
      </c>
      <c r="G114" s="525"/>
      <c r="H114" s="526" t="s">
        <v>62</v>
      </c>
      <c r="I114" s="525"/>
      <c r="J114" s="533" t="s">
        <v>62</v>
      </c>
      <c r="K114" s="534"/>
      <c r="L114" s="535"/>
      <c r="M114" s="533" t="s">
        <v>62</v>
      </c>
      <c r="N114" s="534"/>
      <c r="O114" s="534"/>
      <c r="P114" s="534"/>
      <c r="Q114" s="534"/>
      <c r="R114" s="534"/>
      <c r="S114" s="535"/>
      <c r="T114" s="533" t="s">
        <v>62</v>
      </c>
      <c r="U114" s="534"/>
      <c r="V114" s="534"/>
      <c r="W114" s="534"/>
      <c r="X114" s="534"/>
      <c r="Y114" s="535"/>
      <c r="Z114" s="513" t="s">
        <v>62</v>
      </c>
      <c r="AA114" s="557"/>
      <c r="AB114" s="513" t="s">
        <v>62</v>
      </c>
      <c r="AC114" s="557"/>
      <c r="AD114" s="513" t="s">
        <v>62</v>
      </c>
      <c r="AE114" s="514"/>
      <c r="AG114" s="84"/>
    </row>
    <row r="115" spans="2:33" hidden="1" x14ac:dyDescent="0.25">
      <c r="B115" s="524" t="s">
        <v>62</v>
      </c>
      <c r="C115" s="525"/>
      <c r="D115" s="526" t="s">
        <v>62</v>
      </c>
      <c r="E115" s="525"/>
      <c r="F115" s="526" t="s">
        <v>62</v>
      </c>
      <c r="G115" s="525"/>
      <c r="H115" s="526" t="s">
        <v>62</v>
      </c>
      <c r="I115" s="525"/>
      <c r="J115" s="533" t="s">
        <v>62</v>
      </c>
      <c r="K115" s="534"/>
      <c r="L115" s="535"/>
      <c r="M115" s="533" t="s">
        <v>62</v>
      </c>
      <c r="N115" s="534"/>
      <c r="O115" s="534"/>
      <c r="P115" s="534"/>
      <c r="Q115" s="534"/>
      <c r="R115" s="534"/>
      <c r="S115" s="535"/>
      <c r="T115" s="533" t="s">
        <v>62</v>
      </c>
      <c r="U115" s="534"/>
      <c r="V115" s="534"/>
      <c r="W115" s="534"/>
      <c r="X115" s="534"/>
      <c r="Y115" s="535"/>
      <c r="Z115" s="513" t="s">
        <v>62</v>
      </c>
      <c r="AA115" s="557"/>
      <c r="AB115" s="513" t="s">
        <v>62</v>
      </c>
      <c r="AC115" s="557"/>
      <c r="AD115" s="513" t="s">
        <v>62</v>
      </c>
      <c r="AE115" s="514"/>
      <c r="AG115" s="84"/>
    </row>
    <row r="116" spans="2:33" hidden="1" x14ac:dyDescent="0.25">
      <c r="B116" s="558" t="s">
        <v>841</v>
      </c>
      <c r="C116" s="559"/>
      <c r="D116" s="559"/>
      <c r="E116" s="559"/>
      <c r="F116" s="559"/>
      <c r="G116" s="559"/>
      <c r="H116" s="559"/>
      <c r="I116" s="559"/>
      <c r="J116" s="533" t="s">
        <v>927</v>
      </c>
      <c r="K116" s="534"/>
      <c r="L116" s="535"/>
      <c r="M116" s="533" t="s">
        <v>927</v>
      </c>
      <c r="N116" s="534"/>
      <c r="O116" s="534"/>
      <c r="P116" s="534"/>
      <c r="Q116" s="534"/>
      <c r="R116" s="534"/>
      <c r="S116" s="535"/>
      <c r="T116" s="560" t="s">
        <v>927</v>
      </c>
      <c r="U116" s="560"/>
      <c r="V116" s="560"/>
      <c r="W116" s="560"/>
      <c r="X116" s="560"/>
      <c r="Y116" s="560"/>
      <c r="Z116" s="550">
        <v>0</v>
      </c>
      <c r="AA116" s="550"/>
      <c r="AB116" s="561" t="s">
        <v>958</v>
      </c>
      <c r="AC116" s="562"/>
      <c r="AD116" s="550">
        <v>0</v>
      </c>
      <c r="AE116" s="551"/>
    </row>
    <row r="117" spans="2:33" ht="15" customHeight="1" x14ac:dyDescent="0.25">
      <c r="B117" s="66"/>
      <c r="C117" s="70"/>
      <c r="D117" s="70"/>
      <c r="E117" s="70"/>
      <c r="F117" s="70"/>
      <c r="G117" s="70"/>
      <c r="H117" s="70"/>
      <c r="I117" s="70"/>
      <c r="J117" s="70"/>
      <c r="K117" s="70"/>
      <c r="L117" s="70"/>
      <c r="M117" s="70"/>
      <c r="N117" s="70"/>
      <c r="O117" s="70"/>
      <c r="P117" s="70"/>
      <c r="Q117" s="70"/>
      <c r="R117" s="70"/>
      <c r="S117" s="70"/>
      <c r="T117" s="70"/>
      <c r="U117" s="70"/>
      <c r="V117" s="70"/>
      <c r="W117" s="70"/>
      <c r="X117" s="70"/>
      <c r="Y117" s="75" t="s">
        <v>842</v>
      </c>
      <c r="Z117" s="552">
        <v>167.09</v>
      </c>
      <c r="AA117" s="553"/>
      <c r="AB117" s="552" t="s">
        <v>282</v>
      </c>
      <c r="AC117" s="553"/>
      <c r="AD117" s="554">
        <v>14787.465</v>
      </c>
      <c r="AE117" s="555"/>
    </row>
    <row r="118" spans="2:33" ht="15.75" x14ac:dyDescent="0.25">
      <c r="B118" s="139" t="s">
        <v>843</v>
      </c>
      <c r="C118" s="70"/>
      <c r="D118" s="70"/>
      <c r="E118" s="70"/>
      <c r="F118" s="70"/>
      <c r="G118" s="70"/>
      <c r="H118" s="70"/>
      <c r="I118" s="70"/>
      <c r="J118" s="70"/>
      <c r="K118" s="70"/>
      <c r="L118" s="70"/>
      <c r="M118" s="70"/>
      <c r="N118" s="70"/>
      <c r="O118" s="70"/>
      <c r="P118" s="70"/>
      <c r="Q118" s="70"/>
      <c r="R118" s="70"/>
      <c r="S118" s="70"/>
      <c r="T118" s="70"/>
      <c r="U118" s="70"/>
      <c r="V118" s="70"/>
      <c r="W118" s="70"/>
      <c r="X118" s="70"/>
      <c r="Y118" s="70"/>
      <c r="Z118" s="74"/>
      <c r="AA118" s="74"/>
      <c r="AB118" s="74"/>
      <c r="AC118" s="74"/>
      <c r="AD118" s="74"/>
      <c r="AE118" s="132"/>
    </row>
    <row r="119" spans="2:33" ht="27" customHeight="1" thickBot="1" x14ac:dyDescent="0.25">
      <c r="B119" s="556" t="s">
        <v>838</v>
      </c>
      <c r="C119" s="536"/>
      <c r="D119" s="536" t="s">
        <v>839</v>
      </c>
      <c r="E119" s="536"/>
      <c r="F119" s="536" t="s">
        <v>450</v>
      </c>
      <c r="G119" s="536"/>
      <c r="H119" s="536" t="s">
        <v>59</v>
      </c>
      <c r="I119" s="536"/>
      <c r="J119" s="536" t="s">
        <v>42</v>
      </c>
      <c r="K119" s="536"/>
      <c r="L119" s="536"/>
      <c r="M119" s="536" t="s">
        <v>840</v>
      </c>
      <c r="N119" s="536"/>
      <c r="O119" s="536"/>
      <c r="P119" s="536"/>
      <c r="Q119" s="536"/>
      <c r="R119" s="536"/>
      <c r="S119" s="536"/>
      <c r="T119" s="536"/>
      <c r="U119" s="536"/>
      <c r="V119" s="536" t="s">
        <v>277</v>
      </c>
      <c r="W119" s="536"/>
      <c r="X119" s="536"/>
      <c r="Y119" s="536"/>
      <c r="Z119" s="536"/>
      <c r="AA119" s="536"/>
      <c r="AB119" s="536"/>
      <c r="AC119" s="536"/>
      <c r="AD119" s="536" t="s">
        <v>56</v>
      </c>
      <c r="AE119" s="537"/>
      <c r="AG119" s="82" t="s">
        <v>926</v>
      </c>
    </row>
    <row r="120" spans="2:33" ht="13.5" hidden="1" thickTop="1" x14ac:dyDescent="0.25">
      <c r="B120" s="538" t="s">
        <v>62</v>
      </c>
      <c r="C120" s="539"/>
      <c r="D120" s="540" t="s">
        <v>62</v>
      </c>
      <c r="E120" s="539"/>
      <c r="F120" s="540" t="s">
        <v>62</v>
      </c>
      <c r="G120" s="539"/>
      <c r="H120" s="540" t="s">
        <v>62</v>
      </c>
      <c r="I120" s="539"/>
      <c r="J120" s="541" t="s">
        <v>62</v>
      </c>
      <c r="K120" s="542"/>
      <c r="L120" s="543"/>
      <c r="M120" s="544" t="s">
        <v>62</v>
      </c>
      <c r="N120" s="545"/>
      <c r="O120" s="545"/>
      <c r="P120" s="545"/>
      <c r="Q120" s="545"/>
      <c r="R120" s="545"/>
      <c r="S120" s="545"/>
      <c r="T120" s="545"/>
      <c r="U120" s="546"/>
      <c r="V120" s="547" t="s">
        <v>62</v>
      </c>
      <c r="W120" s="547"/>
      <c r="X120" s="547"/>
      <c r="Y120" s="547"/>
      <c r="Z120" s="547"/>
      <c r="AA120" s="547"/>
      <c r="AB120" s="547"/>
      <c r="AC120" s="547"/>
      <c r="AD120" s="548" t="s">
        <v>62</v>
      </c>
      <c r="AE120" s="549"/>
      <c r="AG120" s="84"/>
    </row>
    <row r="121" spans="2:33" hidden="1" x14ac:dyDescent="0.25">
      <c r="B121" s="524" t="s">
        <v>62</v>
      </c>
      <c r="C121" s="525"/>
      <c r="D121" s="526" t="s">
        <v>62</v>
      </c>
      <c r="E121" s="525"/>
      <c r="F121" s="526" t="s">
        <v>62</v>
      </c>
      <c r="G121" s="525"/>
      <c r="H121" s="526" t="s">
        <v>62</v>
      </c>
      <c r="I121" s="525"/>
      <c r="J121" s="533" t="s">
        <v>62</v>
      </c>
      <c r="K121" s="534"/>
      <c r="L121" s="535"/>
      <c r="M121" s="530" t="s">
        <v>62</v>
      </c>
      <c r="N121" s="531"/>
      <c r="O121" s="531"/>
      <c r="P121" s="531"/>
      <c r="Q121" s="531"/>
      <c r="R121" s="531"/>
      <c r="S121" s="531"/>
      <c r="T121" s="531"/>
      <c r="U121" s="532"/>
      <c r="V121" s="512" t="s">
        <v>62</v>
      </c>
      <c r="W121" s="512"/>
      <c r="X121" s="512"/>
      <c r="Y121" s="512"/>
      <c r="Z121" s="512"/>
      <c r="AA121" s="512"/>
      <c r="AB121" s="512"/>
      <c r="AC121" s="512"/>
      <c r="AD121" s="513" t="s">
        <v>62</v>
      </c>
      <c r="AE121" s="514"/>
      <c r="AG121" s="84"/>
    </row>
    <row r="122" spans="2:33" hidden="1" x14ac:dyDescent="0.25">
      <c r="B122" s="524" t="s">
        <v>62</v>
      </c>
      <c r="C122" s="525"/>
      <c r="D122" s="526" t="s">
        <v>62</v>
      </c>
      <c r="E122" s="525"/>
      <c r="F122" s="526" t="s">
        <v>62</v>
      </c>
      <c r="G122" s="525"/>
      <c r="H122" s="526" t="s">
        <v>62</v>
      </c>
      <c r="I122" s="525"/>
      <c r="J122" s="533" t="s">
        <v>62</v>
      </c>
      <c r="K122" s="534"/>
      <c r="L122" s="535"/>
      <c r="M122" s="530" t="s">
        <v>62</v>
      </c>
      <c r="N122" s="531"/>
      <c r="O122" s="531"/>
      <c r="P122" s="531"/>
      <c r="Q122" s="531"/>
      <c r="R122" s="531"/>
      <c r="S122" s="531"/>
      <c r="T122" s="531"/>
      <c r="U122" s="532"/>
      <c r="V122" s="512" t="s">
        <v>62</v>
      </c>
      <c r="W122" s="512"/>
      <c r="X122" s="512"/>
      <c r="Y122" s="512"/>
      <c r="Z122" s="512"/>
      <c r="AA122" s="512"/>
      <c r="AB122" s="512"/>
      <c r="AC122" s="512"/>
      <c r="AD122" s="513" t="s">
        <v>62</v>
      </c>
      <c r="AE122" s="514"/>
      <c r="AG122" s="84"/>
    </row>
    <row r="123" spans="2:33" hidden="1" x14ac:dyDescent="0.25">
      <c r="B123" s="524" t="s">
        <v>62</v>
      </c>
      <c r="C123" s="525"/>
      <c r="D123" s="526" t="s">
        <v>62</v>
      </c>
      <c r="E123" s="525"/>
      <c r="F123" s="526" t="s">
        <v>62</v>
      </c>
      <c r="G123" s="525"/>
      <c r="H123" s="526" t="s">
        <v>62</v>
      </c>
      <c r="I123" s="525"/>
      <c r="J123" s="533" t="s">
        <v>62</v>
      </c>
      <c r="K123" s="534"/>
      <c r="L123" s="535"/>
      <c r="M123" s="530" t="s">
        <v>62</v>
      </c>
      <c r="N123" s="531"/>
      <c r="O123" s="531"/>
      <c r="P123" s="531"/>
      <c r="Q123" s="531"/>
      <c r="R123" s="531"/>
      <c r="S123" s="531"/>
      <c r="T123" s="531"/>
      <c r="U123" s="532"/>
      <c r="V123" s="512" t="s">
        <v>62</v>
      </c>
      <c r="W123" s="512"/>
      <c r="X123" s="512"/>
      <c r="Y123" s="512"/>
      <c r="Z123" s="512"/>
      <c r="AA123" s="512"/>
      <c r="AB123" s="512"/>
      <c r="AC123" s="512"/>
      <c r="AD123" s="513" t="s">
        <v>62</v>
      </c>
      <c r="AE123" s="514"/>
      <c r="AG123" s="84"/>
    </row>
    <row r="124" spans="2:33" hidden="1" x14ac:dyDescent="0.25">
      <c r="B124" s="524" t="s">
        <v>62</v>
      </c>
      <c r="C124" s="525"/>
      <c r="D124" s="526" t="s">
        <v>62</v>
      </c>
      <c r="E124" s="525"/>
      <c r="F124" s="526" t="s">
        <v>62</v>
      </c>
      <c r="G124" s="525"/>
      <c r="H124" s="526" t="s">
        <v>62</v>
      </c>
      <c r="I124" s="525"/>
      <c r="J124" s="533" t="s">
        <v>62</v>
      </c>
      <c r="K124" s="534"/>
      <c r="L124" s="535"/>
      <c r="M124" s="530" t="s">
        <v>62</v>
      </c>
      <c r="N124" s="531"/>
      <c r="O124" s="531"/>
      <c r="P124" s="531"/>
      <c r="Q124" s="531"/>
      <c r="R124" s="531"/>
      <c r="S124" s="531"/>
      <c r="T124" s="531"/>
      <c r="U124" s="532"/>
      <c r="V124" s="512" t="s">
        <v>62</v>
      </c>
      <c r="W124" s="512"/>
      <c r="X124" s="512"/>
      <c r="Y124" s="512"/>
      <c r="Z124" s="512"/>
      <c r="AA124" s="512"/>
      <c r="AB124" s="512"/>
      <c r="AC124" s="512"/>
      <c r="AD124" s="513" t="s">
        <v>62</v>
      </c>
      <c r="AE124" s="514"/>
      <c r="AG124" s="84"/>
    </row>
    <row r="125" spans="2:33" hidden="1" x14ac:dyDescent="0.25">
      <c r="B125" s="524" t="s">
        <v>62</v>
      </c>
      <c r="C125" s="525"/>
      <c r="D125" s="526" t="s">
        <v>62</v>
      </c>
      <c r="E125" s="525"/>
      <c r="F125" s="526" t="s">
        <v>62</v>
      </c>
      <c r="G125" s="525"/>
      <c r="H125" s="526" t="s">
        <v>62</v>
      </c>
      <c r="I125" s="525"/>
      <c r="J125" s="533" t="s">
        <v>62</v>
      </c>
      <c r="K125" s="534"/>
      <c r="L125" s="535"/>
      <c r="M125" s="530" t="s">
        <v>62</v>
      </c>
      <c r="N125" s="531"/>
      <c r="O125" s="531"/>
      <c r="P125" s="531"/>
      <c r="Q125" s="531"/>
      <c r="R125" s="531"/>
      <c r="S125" s="531"/>
      <c r="T125" s="531"/>
      <c r="U125" s="532"/>
      <c r="V125" s="512" t="s">
        <v>62</v>
      </c>
      <c r="W125" s="512"/>
      <c r="X125" s="512"/>
      <c r="Y125" s="512"/>
      <c r="Z125" s="512"/>
      <c r="AA125" s="512"/>
      <c r="AB125" s="512"/>
      <c r="AC125" s="512"/>
      <c r="AD125" s="513" t="s">
        <v>62</v>
      </c>
      <c r="AE125" s="514"/>
      <c r="AG125" s="84"/>
    </row>
    <row r="126" spans="2:33" hidden="1" x14ac:dyDescent="0.25">
      <c r="B126" s="524" t="s">
        <v>62</v>
      </c>
      <c r="C126" s="525"/>
      <c r="D126" s="526" t="s">
        <v>62</v>
      </c>
      <c r="E126" s="525"/>
      <c r="F126" s="526" t="s">
        <v>62</v>
      </c>
      <c r="G126" s="525"/>
      <c r="H126" s="526" t="s">
        <v>62</v>
      </c>
      <c r="I126" s="525"/>
      <c r="J126" s="533" t="s">
        <v>62</v>
      </c>
      <c r="K126" s="534"/>
      <c r="L126" s="535"/>
      <c r="M126" s="530" t="s">
        <v>62</v>
      </c>
      <c r="N126" s="531"/>
      <c r="O126" s="531"/>
      <c r="P126" s="531"/>
      <c r="Q126" s="531"/>
      <c r="R126" s="531"/>
      <c r="S126" s="531"/>
      <c r="T126" s="531"/>
      <c r="U126" s="532"/>
      <c r="V126" s="512" t="s">
        <v>62</v>
      </c>
      <c r="W126" s="512"/>
      <c r="X126" s="512"/>
      <c r="Y126" s="512"/>
      <c r="Z126" s="512"/>
      <c r="AA126" s="512"/>
      <c r="AB126" s="512"/>
      <c r="AC126" s="512"/>
      <c r="AD126" s="513" t="s">
        <v>62</v>
      </c>
      <c r="AE126" s="514"/>
      <c r="AG126" s="84"/>
    </row>
    <row r="127" spans="2:33" hidden="1" x14ac:dyDescent="0.25">
      <c r="B127" s="524" t="s">
        <v>62</v>
      </c>
      <c r="C127" s="525"/>
      <c r="D127" s="526" t="s">
        <v>62</v>
      </c>
      <c r="E127" s="525"/>
      <c r="F127" s="526" t="s">
        <v>62</v>
      </c>
      <c r="G127" s="525"/>
      <c r="H127" s="526" t="s">
        <v>62</v>
      </c>
      <c r="I127" s="525"/>
      <c r="J127" s="533" t="s">
        <v>62</v>
      </c>
      <c r="K127" s="534"/>
      <c r="L127" s="535"/>
      <c r="M127" s="530" t="s">
        <v>62</v>
      </c>
      <c r="N127" s="531"/>
      <c r="O127" s="531"/>
      <c r="P127" s="531"/>
      <c r="Q127" s="531"/>
      <c r="R127" s="531"/>
      <c r="S127" s="531"/>
      <c r="T127" s="531"/>
      <c r="U127" s="532"/>
      <c r="V127" s="512" t="s">
        <v>62</v>
      </c>
      <c r="W127" s="512"/>
      <c r="X127" s="512"/>
      <c r="Y127" s="512"/>
      <c r="Z127" s="512"/>
      <c r="AA127" s="512"/>
      <c r="AB127" s="512"/>
      <c r="AC127" s="512"/>
      <c r="AD127" s="513" t="s">
        <v>62</v>
      </c>
      <c r="AE127" s="514"/>
      <c r="AG127" s="84"/>
    </row>
    <row r="128" spans="2:33" hidden="1" x14ac:dyDescent="0.25">
      <c r="B128" s="524" t="s">
        <v>62</v>
      </c>
      <c r="C128" s="525"/>
      <c r="D128" s="526" t="s">
        <v>62</v>
      </c>
      <c r="E128" s="525"/>
      <c r="F128" s="526" t="s">
        <v>62</v>
      </c>
      <c r="G128" s="525"/>
      <c r="H128" s="526" t="s">
        <v>62</v>
      </c>
      <c r="I128" s="525"/>
      <c r="J128" s="533" t="s">
        <v>62</v>
      </c>
      <c r="K128" s="534"/>
      <c r="L128" s="535"/>
      <c r="M128" s="530" t="s">
        <v>62</v>
      </c>
      <c r="N128" s="531"/>
      <c r="O128" s="531"/>
      <c r="P128" s="531"/>
      <c r="Q128" s="531"/>
      <c r="R128" s="531"/>
      <c r="S128" s="531"/>
      <c r="T128" s="531"/>
      <c r="U128" s="532"/>
      <c r="V128" s="512" t="s">
        <v>62</v>
      </c>
      <c r="W128" s="512"/>
      <c r="X128" s="512"/>
      <c r="Y128" s="512"/>
      <c r="Z128" s="512"/>
      <c r="AA128" s="512"/>
      <c r="AB128" s="512"/>
      <c r="AC128" s="512"/>
      <c r="AD128" s="513" t="s">
        <v>62</v>
      </c>
      <c r="AE128" s="514"/>
      <c r="AG128" s="84"/>
    </row>
    <row r="129" spans="2:33" hidden="1" x14ac:dyDescent="0.25">
      <c r="B129" s="524" t="s">
        <v>62</v>
      </c>
      <c r="C129" s="525"/>
      <c r="D129" s="526" t="s">
        <v>62</v>
      </c>
      <c r="E129" s="525"/>
      <c r="F129" s="526" t="s">
        <v>62</v>
      </c>
      <c r="G129" s="525"/>
      <c r="H129" s="526" t="s">
        <v>62</v>
      </c>
      <c r="I129" s="525"/>
      <c r="J129" s="533" t="s">
        <v>62</v>
      </c>
      <c r="K129" s="534"/>
      <c r="L129" s="535"/>
      <c r="M129" s="530" t="s">
        <v>62</v>
      </c>
      <c r="N129" s="531"/>
      <c r="O129" s="531"/>
      <c r="P129" s="531"/>
      <c r="Q129" s="531"/>
      <c r="R129" s="531"/>
      <c r="S129" s="531"/>
      <c r="T129" s="531"/>
      <c r="U129" s="532"/>
      <c r="V129" s="512" t="s">
        <v>62</v>
      </c>
      <c r="W129" s="512"/>
      <c r="X129" s="512"/>
      <c r="Y129" s="512"/>
      <c r="Z129" s="512"/>
      <c r="AA129" s="512"/>
      <c r="AB129" s="512"/>
      <c r="AC129" s="512"/>
      <c r="AD129" s="513" t="s">
        <v>62</v>
      </c>
      <c r="AE129" s="514"/>
      <c r="AG129" s="84"/>
    </row>
    <row r="130" spans="2:33" hidden="1" x14ac:dyDescent="0.25">
      <c r="B130" s="524" t="s">
        <v>62</v>
      </c>
      <c r="C130" s="525"/>
      <c r="D130" s="526" t="s">
        <v>62</v>
      </c>
      <c r="E130" s="525"/>
      <c r="F130" s="526" t="s">
        <v>62</v>
      </c>
      <c r="G130" s="525"/>
      <c r="H130" s="526" t="s">
        <v>62</v>
      </c>
      <c r="I130" s="525"/>
      <c r="J130" s="533" t="s">
        <v>62</v>
      </c>
      <c r="K130" s="534"/>
      <c r="L130" s="535"/>
      <c r="M130" s="530" t="s">
        <v>62</v>
      </c>
      <c r="N130" s="531"/>
      <c r="O130" s="531"/>
      <c r="P130" s="531"/>
      <c r="Q130" s="531"/>
      <c r="R130" s="531"/>
      <c r="S130" s="531"/>
      <c r="T130" s="531"/>
      <c r="U130" s="532"/>
      <c r="V130" s="512" t="s">
        <v>62</v>
      </c>
      <c r="W130" s="512"/>
      <c r="X130" s="512"/>
      <c r="Y130" s="512"/>
      <c r="Z130" s="512"/>
      <c r="AA130" s="512"/>
      <c r="AB130" s="512"/>
      <c r="AC130" s="512"/>
      <c r="AD130" s="513" t="s">
        <v>62</v>
      </c>
      <c r="AE130" s="514"/>
      <c r="AG130" s="84"/>
    </row>
    <row r="131" spans="2:33" hidden="1" x14ac:dyDescent="0.25">
      <c r="B131" s="524" t="s">
        <v>62</v>
      </c>
      <c r="C131" s="525"/>
      <c r="D131" s="526" t="s">
        <v>62</v>
      </c>
      <c r="E131" s="525"/>
      <c r="F131" s="526" t="s">
        <v>62</v>
      </c>
      <c r="G131" s="525"/>
      <c r="H131" s="526" t="s">
        <v>62</v>
      </c>
      <c r="I131" s="525"/>
      <c r="J131" s="533" t="s">
        <v>62</v>
      </c>
      <c r="K131" s="534"/>
      <c r="L131" s="535"/>
      <c r="M131" s="530" t="s">
        <v>62</v>
      </c>
      <c r="N131" s="531"/>
      <c r="O131" s="531"/>
      <c r="P131" s="531"/>
      <c r="Q131" s="531"/>
      <c r="R131" s="531"/>
      <c r="S131" s="531"/>
      <c r="T131" s="531"/>
      <c r="U131" s="532"/>
      <c r="V131" s="512" t="s">
        <v>62</v>
      </c>
      <c r="W131" s="512"/>
      <c r="X131" s="512"/>
      <c r="Y131" s="512"/>
      <c r="Z131" s="512"/>
      <c r="AA131" s="512"/>
      <c r="AB131" s="512"/>
      <c r="AC131" s="512"/>
      <c r="AD131" s="513" t="s">
        <v>62</v>
      </c>
      <c r="AE131" s="514"/>
      <c r="AG131" s="84"/>
    </row>
    <row r="132" spans="2:33" hidden="1" x14ac:dyDescent="0.25">
      <c r="B132" s="524" t="s">
        <v>62</v>
      </c>
      <c r="C132" s="525"/>
      <c r="D132" s="526" t="s">
        <v>62</v>
      </c>
      <c r="E132" s="525"/>
      <c r="F132" s="526" t="s">
        <v>62</v>
      </c>
      <c r="G132" s="525"/>
      <c r="H132" s="526" t="s">
        <v>62</v>
      </c>
      <c r="I132" s="525"/>
      <c r="J132" s="533" t="s">
        <v>62</v>
      </c>
      <c r="K132" s="534"/>
      <c r="L132" s="535"/>
      <c r="M132" s="530" t="s">
        <v>62</v>
      </c>
      <c r="N132" s="531"/>
      <c r="O132" s="531"/>
      <c r="P132" s="531"/>
      <c r="Q132" s="531"/>
      <c r="R132" s="531"/>
      <c r="S132" s="531"/>
      <c r="T132" s="531"/>
      <c r="U132" s="532"/>
      <c r="V132" s="512" t="s">
        <v>62</v>
      </c>
      <c r="W132" s="512"/>
      <c r="X132" s="512"/>
      <c r="Y132" s="512"/>
      <c r="Z132" s="512"/>
      <c r="AA132" s="512"/>
      <c r="AB132" s="512"/>
      <c r="AC132" s="512"/>
      <c r="AD132" s="513" t="s">
        <v>62</v>
      </c>
      <c r="AE132" s="514"/>
      <c r="AG132" s="84"/>
    </row>
    <row r="133" spans="2:33" hidden="1" x14ac:dyDescent="0.25">
      <c r="B133" s="524" t="s">
        <v>62</v>
      </c>
      <c r="C133" s="525"/>
      <c r="D133" s="526" t="s">
        <v>62</v>
      </c>
      <c r="E133" s="525"/>
      <c r="F133" s="526" t="s">
        <v>62</v>
      </c>
      <c r="G133" s="525"/>
      <c r="H133" s="526" t="s">
        <v>62</v>
      </c>
      <c r="I133" s="525"/>
      <c r="J133" s="533" t="s">
        <v>62</v>
      </c>
      <c r="K133" s="534"/>
      <c r="L133" s="535"/>
      <c r="M133" s="530" t="s">
        <v>62</v>
      </c>
      <c r="N133" s="531"/>
      <c r="O133" s="531"/>
      <c r="P133" s="531"/>
      <c r="Q133" s="531"/>
      <c r="R133" s="531"/>
      <c r="S133" s="531"/>
      <c r="T133" s="531"/>
      <c r="U133" s="532"/>
      <c r="V133" s="512" t="s">
        <v>62</v>
      </c>
      <c r="W133" s="512"/>
      <c r="X133" s="512"/>
      <c r="Y133" s="512"/>
      <c r="Z133" s="512"/>
      <c r="AA133" s="512"/>
      <c r="AB133" s="512"/>
      <c r="AC133" s="512"/>
      <c r="AD133" s="513" t="s">
        <v>62</v>
      </c>
      <c r="AE133" s="514"/>
      <c r="AG133" s="84"/>
    </row>
    <row r="134" spans="2:33" hidden="1" x14ac:dyDescent="0.25">
      <c r="B134" s="524" t="s">
        <v>62</v>
      </c>
      <c r="C134" s="525"/>
      <c r="D134" s="526" t="s">
        <v>62</v>
      </c>
      <c r="E134" s="525"/>
      <c r="F134" s="526" t="s">
        <v>62</v>
      </c>
      <c r="G134" s="525"/>
      <c r="H134" s="526" t="s">
        <v>62</v>
      </c>
      <c r="I134" s="525"/>
      <c r="J134" s="533" t="s">
        <v>62</v>
      </c>
      <c r="K134" s="534"/>
      <c r="L134" s="535"/>
      <c r="M134" s="530" t="s">
        <v>62</v>
      </c>
      <c r="N134" s="531"/>
      <c r="O134" s="531"/>
      <c r="P134" s="531"/>
      <c r="Q134" s="531"/>
      <c r="R134" s="531"/>
      <c r="S134" s="531"/>
      <c r="T134" s="531"/>
      <c r="U134" s="532"/>
      <c r="V134" s="512" t="s">
        <v>62</v>
      </c>
      <c r="W134" s="512"/>
      <c r="X134" s="512"/>
      <c r="Y134" s="512"/>
      <c r="Z134" s="512"/>
      <c r="AA134" s="512"/>
      <c r="AB134" s="512"/>
      <c r="AC134" s="512"/>
      <c r="AD134" s="513" t="s">
        <v>62</v>
      </c>
      <c r="AE134" s="514"/>
      <c r="AG134" s="84"/>
    </row>
    <row r="135" spans="2:33" hidden="1" x14ac:dyDescent="0.25">
      <c r="B135" s="524" t="s">
        <v>62</v>
      </c>
      <c r="C135" s="525"/>
      <c r="D135" s="526" t="s">
        <v>62</v>
      </c>
      <c r="E135" s="525"/>
      <c r="F135" s="526" t="s">
        <v>62</v>
      </c>
      <c r="G135" s="525"/>
      <c r="H135" s="526" t="s">
        <v>62</v>
      </c>
      <c r="I135" s="525"/>
      <c r="J135" s="533" t="s">
        <v>62</v>
      </c>
      <c r="K135" s="534"/>
      <c r="L135" s="535"/>
      <c r="M135" s="530" t="s">
        <v>62</v>
      </c>
      <c r="N135" s="531"/>
      <c r="O135" s="531"/>
      <c r="P135" s="531"/>
      <c r="Q135" s="531"/>
      <c r="R135" s="531"/>
      <c r="S135" s="531"/>
      <c r="T135" s="531"/>
      <c r="U135" s="532"/>
      <c r="V135" s="512" t="s">
        <v>62</v>
      </c>
      <c r="W135" s="512"/>
      <c r="X135" s="512"/>
      <c r="Y135" s="512"/>
      <c r="Z135" s="512"/>
      <c r="AA135" s="512"/>
      <c r="AB135" s="512"/>
      <c r="AC135" s="512"/>
      <c r="AD135" s="513" t="s">
        <v>62</v>
      </c>
      <c r="AE135" s="514"/>
      <c r="AG135" s="84"/>
    </row>
    <row r="136" spans="2:33" hidden="1" x14ac:dyDescent="0.25">
      <c r="B136" s="524" t="s">
        <v>62</v>
      </c>
      <c r="C136" s="525"/>
      <c r="D136" s="526" t="s">
        <v>62</v>
      </c>
      <c r="E136" s="525"/>
      <c r="F136" s="526" t="s">
        <v>62</v>
      </c>
      <c r="G136" s="525"/>
      <c r="H136" s="526" t="s">
        <v>62</v>
      </c>
      <c r="I136" s="525"/>
      <c r="J136" s="533" t="s">
        <v>62</v>
      </c>
      <c r="K136" s="534"/>
      <c r="L136" s="535"/>
      <c r="M136" s="530" t="s">
        <v>62</v>
      </c>
      <c r="N136" s="531"/>
      <c r="O136" s="531"/>
      <c r="P136" s="531"/>
      <c r="Q136" s="531"/>
      <c r="R136" s="531"/>
      <c r="S136" s="531"/>
      <c r="T136" s="531"/>
      <c r="U136" s="532"/>
      <c r="V136" s="512" t="s">
        <v>62</v>
      </c>
      <c r="W136" s="512"/>
      <c r="X136" s="512"/>
      <c r="Y136" s="512"/>
      <c r="Z136" s="512"/>
      <c r="AA136" s="512"/>
      <c r="AB136" s="512"/>
      <c r="AC136" s="512"/>
      <c r="AD136" s="513" t="s">
        <v>62</v>
      </c>
      <c r="AE136" s="514"/>
      <c r="AG136" s="84"/>
    </row>
    <row r="137" spans="2:33" hidden="1" x14ac:dyDescent="0.25">
      <c r="B137" s="524" t="s">
        <v>62</v>
      </c>
      <c r="C137" s="525"/>
      <c r="D137" s="526" t="s">
        <v>62</v>
      </c>
      <c r="E137" s="525"/>
      <c r="F137" s="526" t="s">
        <v>62</v>
      </c>
      <c r="G137" s="525"/>
      <c r="H137" s="526" t="s">
        <v>62</v>
      </c>
      <c r="I137" s="525"/>
      <c r="J137" s="533" t="s">
        <v>62</v>
      </c>
      <c r="K137" s="534"/>
      <c r="L137" s="535"/>
      <c r="M137" s="530" t="s">
        <v>62</v>
      </c>
      <c r="N137" s="531"/>
      <c r="O137" s="531"/>
      <c r="P137" s="531"/>
      <c r="Q137" s="531"/>
      <c r="R137" s="531"/>
      <c r="S137" s="531"/>
      <c r="T137" s="531"/>
      <c r="U137" s="532"/>
      <c r="V137" s="512" t="s">
        <v>62</v>
      </c>
      <c r="W137" s="512"/>
      <c r="X137" s="512"/>
      <c r="Y137" s="512"/>
      <c r="Z137" s="512"/>
      <c r="AA137" s="512"/>
      <c r="AB137" s="512"/>
      <c r="AC137" s="512"/>
      <c r="AD137" s="513" t="s">
        <v>62</v>
      </c>
      <c r="AE137" s="514"/>
      <c r="AG137" s="84"/>
    </row>
    <row r="138" spans="2:33" hidden="1" x14ac:dyDescent="0.25">
      <c r="B138" s="524" t="s">
        <v>62</v>
      </c>
      <c r="C138" s="525"/>
      <c r="D138" s="526" t="s">
        <v>62</v>
      </c>
      <c r="E138" s="525"/>
      <c r="F138" s="526" t="s">
        <v>62</v>
      </c>
      <c r="G138" s="525"/>
      <c r="H138" s="526" t="s">
        <v>62</v>
      </c>
      <c r="I138" s="525"/>
      <c r="J138" s="533" t="s">
        <v>62</v>
      </c>
      <c r="K138" s="534"/>
      <c r="L138" s="535"/>
      <c r="M138" s="530" t="s">
        <v>62</v>
      </c>
      <c r="N138" s="531"/>
      <c r="O138" s="531"/>
      <c r="P138" s="531"/>
      <c r="Q138" s="531"/>
      <c r="R138" s="531"/>
      <c r="S138" s="531"/>
      <c r="T138" s="531"/>
      <c r="U138" s="532"/>
      <c r="V138" s="512" t="s">
        <v>62</v>
      </c>
      <c r="W138" s="512"/>
      <c r="X138" s="512"/>
      <c r="Y138" s="512"/>
      <c r="Z138" s="512"/>
      <c r="AA138" s="512"/>
      <c r="AB138" s="512"/>
      <c r="AC138" s="512"/>
      <c r="AD138" s="513" t="s">
        <v>62</v>
      </c>
      <c r="AE138" s="514"/>
      <c r="AG138" s="84"/>
    </row>
    <row r="139" spans="2:33" hidden="1" x14ac:dyDescent="0.25">
      <c r="B139" s="524" t="s">
        <v>62</v>
      </c>
      <c r="C139" s="525"/>
      <c r="D139" s="526" t="s">
        <v>62</v>
      </c>
      <c r="E139" s="525"/>
      <c r="F139" s="526" t="s">
        <v>62</v>
      </c>
      <c r="G139" s="525"/>
      <c r="H139" s="526" t="s">
        <v>62</v>
      </c>
      <c r="I139" s="525"/>
      <c r="J139" s="527"/>
      <c r="K139" s="528"/>
      <c r="L139" s="529"/>
      <c r="M139" s="530" t="s">
        <v>62</v>
      </c>
      <c r="N139" s="531"/>
      <c r="O139" s="531"/>
      <c r="P139" s="531"/>
      <c r="Q139" s="531"/>
      <c r="R139" s="531"/>
      <c r="S139" s="531"/>
      <c r="T139" s="531"/>
      <c r="U139" s="532"/>
      <c r="V139" s="512" t="s">
        <v>62</v>
      </c>
      <c r="W139" s="512"/>
      <c r="X139" s="512"/>
      <c r="Y139" s="512"/>
      <c r="Z139" s="512"/>
      <c r="AA139" s="512"/>
      <c r="AB139" s="512"/>
      <c r="AC139" s="512"/>
      <c r="AD139" s="513" t="s">
        <v>62</v>
      </c>
      <c r="AE139" s="514"/>
      <c r="AG139" s="84"/>
    </row>
    <row r="140" spans="2:33" ht="15" customHeight="1" thickTop="1" x14ac:dyDescent="0.25">
      <c r="B140" s="515" t="s">
        <v>841</v>
      </c>
      <c r="C140" s="516"/>
      <c r="D140" s="516"/>
      <c r="E140" s="516"/>
      <c r="F140" s="516"/>
      <c r="G140" s="516"/>
      <c r="H140" s="516"/>
      <c r="I140" s="516"/>
      <c r="J140" s="517"/>
      <c r="K140" s="518"/>
      <c r="L140" s="518"/>
      <c r="M140" s="518"/>
      <c r="N140" s="518"/>
      <c r="O140" s="518"/>
      <c r="P140" s="518"/>
      <c r="Q140" s="518"/>
      <c r="R140" s="518"/>
      <c r="S140" s="518"/>
      <c r="T140" s="518"/>
      <c r="U140" s="518"/>
      <c r="V140" s="518"/>
      <c r="W140" s="518"/>
      <c r="X140" s="518"/>
      <c r="Y140" s="518"/>
      <c r="Z140" s="518"/>
      <c r="AA140" s="518"/>
      <c r="AB140" s="518"/>
      <c r="AC140" s="519"/>
      <c r="AD140" s="513">
        <v>0</v>
      </c>
      <c r="AE140" s="514"/>
    </row>
    <row r="141" spans="2:33" ht="13.5" thickBot="1" x14ac:dyDescent="0.3">
      <c r="B141" s="66"/>
      <c r="C141" s="70"/>
      <c r="D141" s="70"/>
      <c r="E141" s="70"/>
      <c r="F141" s="70"/>
      <c r="G141" s="70"/>
      <c r="H141" s="70"/>
      <c r="I141" s="70"/>
      <c r="J141" s="70"/>
      <c r="K141" s="70"/>
      <c r="L141" s="70"/>
      <c r="M141" s="70"/>
      <c r="N141" s="70"/>
      <c r="O141" s="70"/>
      <c r="P141" s="70"/>
      <c r="Q141" s="70"/>
      <c r="R141" s="70"/>
      <c r="S141" s="70"/>
      <c r="T141" s="70"/>
      <c r="U141" s="70"/>
      <c r="V141" s="70"/>
      <c r="W141" s="70"/>
      <c r="X141" s="70"/>
      <c r="Y141" s="70"/>
      <c r="Z141" s="70"/>
      <c r="AA141" s="70"/>
      <c r="AB141" s="520" t="s">
        <v>842</v>
      </c>
      <c r="AC141" s="521"/>
      <c r="AD141" s="522">
        <v>0</v>
      </c>
      <c r="AE141" s="523"/>
    </row>
    <row r="142" spans="2:33" ht="15.75" thickTop="1" x14ac:dyDescent="0.25">
      <c r="B142" s="133"/>
      <c r="C142" s="134"/>
      <c r="D142" s="134"/>
      <c r="E142" s="134"/>
      <c r="F142" s="134"/>
      <c r="G142" s="134"/>
      <c r="H142" s="134"/>
      <c r="I142" s="134"/>
      <c r="J142" s="134"/>
      <c r="K142" s="134"/>
      <c r="L142" s="134"/>
      <c r="M142" s="134"/>
      <c r="N142" s="134"/>
      <c r="O142" s="134"/>
      <c r="P142" s="134"/>
      <c r="Q142" s="134"/>
      <c r="R142" s="134"/>
      <c r="S142" s="134"/>
      <c r="T142" s="134"/>
      <c r="U142" s="134"/>
      <c r="V142" s="134"/>
      <c r="W142" s="134"/>
      <c r="X142" s="134"/>
      <c r="Y142" s="134"/>
      <c r="Z142" s="135"/>
      <c r="AA142" s="135"/>
      <c r="AB142" s="136"/>
      <c r="AC142" s="137" t="s">
        <v>853</v>
      </c>
      <c r="AD142" s="505">
        <v>14787.465</v>
      </c>
      <c r="AE142" s="506"/>
    </row>
    <row r="143" spans="2:33" x14ac:dyDescent="0.25"/>
    <row r="144" spans="2:33" hidden="1" x14ac:dyDescent="0.25"/>
    <row r="145" spans="2:31" ht="15" hidden="1" customHeight="1" x14ac:dyDescent="0.25">
      <c r="B145" s="507" t="s">
        <v>670</v>
      </c>
      <c r="C145" s="508"/>
      <c r="D145" s="508"/>
      <c r="E145" s="508"/>
      <c r="F145" s="508"/>
      <c r="G145" s="508"/>
      <c r="H145" s="508"/>
      <c r="I145" s="508"/>
      <c r="J145" s="508"/>
      <c r="K145" s="508"/>
      <c r="L145" s="508"/>
      <c r="M145" s="508"/>
      <c r="N145" s="508"/>
      <c r="O145" s="508"/>
      <c r="P145" s="508"/>
      <c r="Q145" s="508"/>
      <c r="R145" s="508"/>
      <c r="S145" s="508"/>
      <c r="T145" s="508"/>
      <c r="U145" s="508"/>
      <c r="V145" s="508"/>
      <c r="W145" s="508"/>
      <c r="X145" s="508"/>
      <c r="Y145" s="508"/>
      <c r="Z145" s="508"/>
      <c r="AA145" s="508"/>
      <c r="AB145" s="508"/>
      <c r="AC145" s="508"/>
      <c r="AD145" s="508"/>
      <c r="AE145" s="509"/>
    </row>
    <row r="146" spans="2:31" hidden="1" x14ac:dyDescent="0.25">
      <c r="B146" s="487" t="s">
        <v>815</v>
      </c>
      <c r="C146" s="488"/>
      <c r="D146" s="510"/>
      <c r="E146" s="511" t="s">
        <v>1092</v>
      </c>
      <c r="F146" s="461"/>
      <c r="G146" s="461"/>
      <c r="H146" s="461"/>
      <c r="I146" s="461"/>
      <c r="J146" s="461"/>
      <c r="K146" s="462"/>
      <c r="L146" s="487" t="s">
        <v>234</v>
      </c>
      <c r="M146" s="488"/>
      <c r="N146" s="510"/>
      <c r="O146" s="460" t="s">
        <v>1098</v>
      </c>
      <c r="P146" s="462"/>
      <c r="Q146" s="460" t="s">
        <v>1091</v>
      </c>
      <c r="R146" s="461"/>
      <c r="S146" s="461"/>
      <c r="T146" s="461"/>
      <c r="U146" s="462"/>
      <c r="V146" s="415" t="s">
        <v>49</v>
      </c>
      <c r="W146" s="416"/>
      <c r="X146" s="416"/>
      <c r="Y146" s="416"/>
      <c r="Z146" s="416"/>
      <c r="AA146" s="416"/>
      <c r="AB146" s="416"/>
      <c r="AC146" s="416"/>
      <c r="AD146" s="416"/>
      <c r="AE146" s="417"/>
    </row>
    <row r="147" spans="2:31" ht="15" hidden="1" customHeight="1" x14ac:dyDescent="0.25">
      <c r="B147" s="468" t="s">
        <v>1069</v>
      </c>
      <c r="C147" s="469"/>
      <c r="D147" s="470"/>
      <c r="E147" s="460" t="s">
        <v>982</v>
      </c>
      <c r="F147" s="461"/>
      <c r="G147" s="461"/>
      <c r="H147" s="461"/>
      <c r="I147" s="461"/>
      <c r="J147" s="461"/>
      <c r="K147" s="462"/>
      <c r="L147" s="468" t="s">
        <v>439</v>
      </c>
      <c r="M147" s="469"/>
      <c r="N147" s="470"/>
      <c r="O147" s="481" t="s">
        <v>282</v>
      </c>
      <c r="P147" s="482"/>
      <c r="Q147" s="482"/>
      <c r="R147" s="482"/>
      <c r="S147" s="482"/>
      <c r="T147" s="482"/>
      <c r="U147" s="482"/>
      <c r="V147" s="487" t="s">
        <v>50</v>
      </c>
      <c r="W147" s="488"/>
      <c r="X147" s="488"/>
      <c r="Y147" s="489" t="s">
        <v>428</v>
      </c>
      <c r="Z147" s="490"/>
      <c r="AA147" s="490"/>
      <c r="AB147" s="490"/>
      <c r="AC147" s="490"/>
      <c r="AD147" s="490"/>
      <c r="AE147" s="491"/>
    </row>
    <row r="148" spans="2:31" ht="12.75" hidden="1" customHeight="1" x14ac:dyDescent="0.25">
      <c r="B148" s="468" t="s">
        <v>12</v>
      </c>
      <c r="C148" s="469"/>
      <c r="D148" s="470"/>
      <c r="E148" s="471" t="s">
        <v>16</v>
      </c>
      <c r="F148" s="472"/>
      <c r="G148" s="472"/>
      <c r="H148" s="472"/>
      <c r="I148" s="472"/>
      <c r="J148" s="472"/>
      <c r="K148" s="473"/>
      <c r="L148" s="468"/>
      <c r="M148" s="469"/>
      <c r="N148" s="470"/>
      <c r="O148" s="483"/>
      <c r="P148" s="484"/>
      <c r="Q148" s="484"/>
      <c r="R148" s="484"/>
      <c r="S148" s="484"/>
      <c r="T148" s="484"/>
      <c r="U148" s="484"/>
      <c r="V148" s="492" t="s">
        <v>51</v>
      </c>
      <c r="W148" s="493"/>
      <c r="X148" s="493"/>
      <c r="Y148" s="496" t="s">
        <v>282</v>
      </c>
      <c r="Z148" s="497"/>
      <c r="AA148" s="497"/>
      <c r="AB148" s="497"/>
      <c r="AC148" s="497"/>
      <c r="AD148" s="497"/>
      <c r="AE148" s="498"/>
    </row>
    <row r="149" spans="2:31" hidden="1" x14ac:dyDescent="0.25">
      <c r="B149" s="468" t="s">
        <v>995</v>
      </c>
      <c r="C149" s="469"/>
      <c r="D149" s="470"/>
      <c r="E149" s="471" t="s">
        <v>422</v>
      </c>
      <c r="F149" s="472"/>
      <c r="G149" s="472"/>
      <c r="H149" s="472"/>
      <c r="I149" s="472"/>
      <c r="J149" s="472"/>
      <c r="K149" s="473"/>
      <c r="L149" s="468"/>
      <c r="M149" s="469"/>
      <c r="N149" s="470"/>
      <c r="O149" s="483"/>
      <c r="P149" s="484"/>
      <c r="Q149" s="484"/>
      <c r="R149" s="484"/>
      <c r="S149" s="484"/>
      <c r="T149" s="484"/>
      <c r="U149" s="484"/>
      <c r="V149" s="492"/>
      <c r="W149" s="493"/>
      <c r="X149" s="493"/>
      <c r="Y149" s="499"/>
      <c r="Z149" s="500"/>
      <c r="AA149" s="500"/>
      <c r="AB149" s="500"/>
      <c r="AC149" s="500"/>
      <c r="AD149" s="500"/>
      <c r="AE149" s="501"/>
    </row>
    <row r="150" spans="2:31" hidden="1" x14ac:dyDescent="0.25">
      <c r="B150" s="457" t="s">
        <v>817</v>
      </c>
      <c r="C150" s="458"/>
      <c r="D150" s="459"/>
      <c r="E150" s="474" t="s">
        <v>691</v>
      </c>
      <c r="F150" s="475"/>
      <c r="G150" s="476"/>
      <c r="H150" s="477" t="s">
        <v>818</v>
      </c>
      <c r="I150" s="478"/>
      <c r="J150" s="479">
        <v>4.9666666666666668</v>
      </c>
      <c r="K150" s="480"/>
      <c r="L150" s="468"/>
      <c r="M150" s="469"/>
      <c r="N150" s="470"/>
      <c r="O150" s="485"/>
      <c r="P150" s="486"/>
      <c r="Q150" s="486"/>
      <c r="R150" s="486"/>
      <c r="S150" s="486"/>
      <c r="T150" s="486"/>
      <c r="U150" s="486"/>
      <c r="V150" s="492"/>
      <c r="W150" s="493"/>
      <c r="X150" s="493"/>
      <c r="Y150" s="499"/>
      <c r="Z150" s="500"/>
      <c r="AA150" s="500"/>
      <c r="AB150" s="500"/>
      <c r="AC150" s="500"/>
      <c r="AD150" s="500"/>
      <c r="AE150" s="501"/>
    </row>
    <row r="151" spans="2:31" hidden="1" x14ac:dyDescent="0.25">
      <c r="B151" s="66"/>
      <c r="C151" s="70"/>
      <c r="D151" s="70"/>
      <c r="E151" s="70"/>
      <c r="F151" s="70"/>
      <c r="G151" s="70"/>
      <c r="H151" s="70"/>
      <c r="I151" s="70"/>
      <c r="J151" s="70"/>
      <c r="K151" s="70"/>
      <c r="L151" s="457" t="s">
        <v>272</v>
      </c>
      <c r="M151" s="458"/>
      <c r="N151" s="459"/>
      <c r="O151" s="460" t="s">
        <v>1099</v>
      </c>
      <c r="P151" s="461"/>
      <c r="Q151" s="462"/>
      <c r="R151" s="70"/>
      <c r="S151" s="70"/>
      <c r="T151" s="70"/>
      <c r="U151" s="70"/>
      <c r="V151" s="494"/>
      <c r="W151" s="495"/>
      <c r="X151" s="495"/>
      <c r="Y151" s="502"/>
      <c r="Z151" s="503"/>
      <c r="AA151" s="503"/>
      <c r="AB151" s="503"/>
      <c r="AC151" s="503"/>
      <c r="AD151" s="503"/>
      <c r="AE151" s="504"/>
    </row>
    <row r="152" spans="2:31" hidden="1" x14ac:dyDescent="0.25">
      <c r="B152" s="463" t="s">
        <v>940</v>
      </c>
      <c r="C152" s="464"/>
      <c r="D152" s="464"/>
      <c r="E152" s="464"/>
      <c r="F152" s="464"/>
      <c r="G152" s="464"/>
      <c r="H152" s="464"/>
      <c r="I152" s="464"/>
      <c r="J152" s="464"/>
      <c r="K152" s="464"/>
      <c r="L152" s="464"/>
      <c r="M152" s="464"/>
      <c r="N152" s="464"/>
      <c r="O152" s="465"/>
      <c r="P152" s="70"/>
      <c r="U152" s="70"/>
      <c r="V152" s="410" t="s">
        <v>48</v>
      </c>
      <c r="W152" s="411"/>
      <c r="X152" s="411"/>
      <c r="Y152" s="411"/>
      <c r="Z152" s="411"/>
      <c r="AA152" s="411"/>
      <c r="AB152" s="411"/>
      <c r="AC152" s="411"/>
      <c r="AD152" s="411"/>
      <c r="AE152" s="412"/>
    </row>
    <row r="153" spans="2:31" ht="12.75" hidden="1" customHeight="1" x14ac:dyDescent="0.25">
      <c r="B153" s="466" t="s">
        <v>816</v>
      </c>
      <c r="C153" s="467"/>
      <c r="D153" s="442" t="s">
        <v>72</v>
      </c>
      <c r="E153" s="442"/>
      <c r="F153" s="442" t="s">
        <v>273</v>
      </c>
      <c r="G153" s="442"/>
      <c r="H153" s="442" t="s">
        <v>261</v>
      </c>
      <c r="I153" s="442"/>
      <c r="J153" s="442" t="s">
        <v>77</v>
      </c>
      <c r="K153" s="442"/>
      <c r="L153" s="442" t="s">
        <v>78</v>
      </c>
      <c r="M153" s="442"/>
      <c r="N153" s="442" t="s">
        <v>35</v>
      </c>
      <c r="O153" s="443"/>
      <c r="P153" s="70"/>
      <c r="Q153" s="444" t="s">
        <v>938</v>
      </c>
      <c r="R153" s="445"/>
      <c r="S153" s="446">
        <v>14787.465</v>
      </c>
      <c r="T153" s="447"/>
      <c r="U153" s="70"/>
      <c r="V153" s="448" t="s">
        <v>1095</v>
      </c>
      <c r="W153" s="449"/>
      <c r="X153" s="449"/>
      <c r="Y153" s="449"/>
      <c r="Z153" s="449"/>
      <c r="AA153" s="449"/>
      <c r="AB153" s="449"/>
      <c r="AC153" s="449"/>
      <c r="AD153" s="449"/>
      <c r="AE153" s="450"/>
    </row>
    <row r="154" spans="2:31" hidden="1" x14ac:dyDescent="0.25">
      <c r="B154" s="424"/>
      <c r="C154" s="425"/>
      <c r="D154" s="434" t="s">
        <v>1127</v>
      </c>
      <c r="E154" s="434"/>
      <c r="F154" s="434" t="s">
        <v>1128</v>
      </c>
      <c r="G154" s="434"/>
      <c r="H154" s="434" t="s">
        <v>1129</v>
      </c>
      <c r="I154" s="434"/>
      <c r="J154" s="434" t="s">
        <v>1130</v>
      </c>
      <c r="K154" s="434"/>
      <c r="L154" s="434" t="s">
        <v>1131</v>
      </c>
      <c r="M154" s="434"/>
      <c r="N154" s="434" t="s">
        <v>62</v>
      </c>
      <c r="O154" s="435"/>
      <c r="P154" s="70"/>
      <c r="Q154" s="436" t="s">
        <v>234</v>
      </c>
      <c r="R154" s="437"/>
      <c r="S154" s="438">
        <v>14787.465</v>
      </c>
      <c r="T154" s="439"/>
      <c r="U154" s="70"/>
      <c r="V154" s="451"/>
      <c r="W154" s="452"/>
      <c r="X154" s="452"/>
      <c r="Y154" s="452"/>
      <c r="Z154" s="452"/>
      <c r="AA154" s="452"/>
      <c r="AB154" s="452"/>
      <c r="AC154" s="452"/>
      <c r="AD154" s="452"/>
      <c r="AE154" s="453"/>
    </row>
    <row r="155" spans="2:31" hidden="1" x14ac:dyDescent="0.25">
      <c r="B155" s="430" t="s">
        <v>238</v>
      </c>
      <c r="C155" s="431"/>
      <c r="D155" s="440">
        <v>0.45454545454545459</v>
      </c>
      <c r="E155" s="440"/>
      <c r="F155" s="440">
        <v>0</v>
      </c>
      <c r="G155" s="440"/>
      <c r="H155" s="440">
        <v>0.54545454545454553</v>
      </c>
      <c r="I155" s="440"/>
      <c r="J155" s="440">
        <v>0</v>
      </c>
      <c r="K155" s="440"/>
      <c r="L155" s="440">
        <v>0</v>
      </c>
      <c r="M155" s="440"/>
      <c r="N155" s="440">
        <v>0</v>
      </c>
      <c r="O155" s="441"/>
      <c r="P155" s="70"/>
      <c r="Q155" s="426" t="s">
        <v>819</v>
      </c>
      <c r="R155" s="427"/>
      <c r="S155" s="428">
        <v>0</v>
      </c>
      <c r="T155" s="429"/>
      <c r="U155" s="70"/>
      <c r="V155" s="451"/>
      <c r="W155" s="452"/>
      <c r="X155" s="452"/>
      <c r="Y155" s="452"/>
      <c r="Z155" s="452"/>
      <c r="AA155" s="452"/>
      <c r="AB155" s="452"/>
      <c r="AC155" s="452"/>
      <c r="AD155" s="452"/>
      <c r="AE155" s="453"/>
    </row>
    <row r="156" spans="2:31" hidden="1" x14ac:dyDescent="0.25">
      <c r="B156" s="430" t="s">
        <v>239</v>
      </c>
      <c r="C156" s="431"/>
      <c r="D156" s="432">
        <v>6721.5750000000007</v>
      </c>
      <c r="E156" s="432"/>
      <c r="F156" s="432">
        <v>0</v>
      </c>
      <c r="G156" s="432"/>
      <c r="H156" s="432">
        <v>8065.89</v>
      </c>
      <c r="I156" s="432"/>
      <c r="J156" s="432">
        <v>0</v>
      </c>
      <c r="K156" s="432"/>
      <c r="L156" s="432">
        <v>0</v>
      </c>
      <c r="M156" s="432"/>
      <c r="N156" s="432">
        <v>0</v>
      </c>
      <c r="O156" s="433"/>
      <c r="P156" s="70"/>
      <c r="Q156" s="70"/>
      <c r="R156" s="70"/>
      <c r="S156" s="70"/>
      <c r="T156" s="70"/>
      <c r="U156" s="70"/>
      <c r="V156" s="451"/>
      <c r="W156" s="452"/>
      <c r="X156" s="452"/>
      <c r="Y156" s="452"/>
      <c r="Z156" s="452"/>
      <c r="AA156" s="452"/>
      <c r="AB156" s="452"/>
      <c r="AC156" s="452"/>
      <c r="AD156" s="452"/>
      <c r="AE156" s="453"/>
    </row>
    <row r="157" spans="2:31" hidden="1" x14ac:dyDescent="0.25">
      <c r="B157" s="424"/>
      <c r="C157" s="425"/>
      <c r="D157" s="413" t="s">
        <v>258</v>
      </c>
      <c r="E157" s="413" t="e">
        <v>#REF!</v>
      </c>
      <c r="F157" s="413" t="s">
        <v>259</v>
      </c>
      <c r="G157" s="413" t="e">
        <v>#REF!</v>
      </c>
      <c r="H157" s="413" t="s">
        <v>260</v>
      </c>
      <c r="I157" s="413" t="e">
        <v>#REF!</v>
      </c>
      <c r="J157" s="413" t="s">
        <v>76</v>
      </c>
      <c r="K157" s="413"/>
      <c r="L157" s="413" t="s">
        <v>262</v>
      </c>
      <c r="M157" s="413"/>
      <c r="N157" s="413" t="s">
        <v>282</v>
      </c>
      <c r="O157" s="414"/>
      <c r="P157" s="70"/>
      <c r="Q157" s="415" t="s">
        <v>869</v>
      </c>
      <c r="R157" s="416"/>
      <c r="S157" s="416"/>
      <c r="T157" s="417"/>
      <c r="U157" s="70"/>
      <c r="V157" s="454"/>
      <c r="W157" s="455"/>
      <c r="X157" s="455"/>
      <c r="Y157" s="455"/>
      <c r="Z157" s="455"/>
      <c r="AA157" s="455"/>
      <c r="AB157" s="455"/>
      <c r="AC157" s="455"/>
      <c r="AD157" s="455"/>
      <c r="AE157" s="456"/>
    </row>
    <row r="158" spans="2:31" ht="15" hidden="1" customHeight="1" x14ac:dyDescent="0.25">
      <c r="B158" s="418" t="s">
        <v>1091</v>
      </c>
      <c r="C158" s="419"/>
      <c r="D158" s="420">
        <v>6721.5750000000007</v>
      </c>
      <c r="E158" s="420"/>
      <c r="F158" s="420">
        <v>0</v>
      </c>
      <c r="G158" s="420"/>
      <c r="H158" s="420">
        <v>8065.89</v>
      </c>
      <c r="I158" s="420"/>
      <c r="J158" s="420">
        <v>0</v>
      </c>
      <c r="K158" s="420"/>
      <c r="L158" s="420">
        <v>0</v>
      </c>
      <c r="M158" s="420"/>
      <c r="N158" s="420">
        <v>0</v>
      </c>
      <c r="O158" s="421"/>
      <c r="P158" s="70"/>
      <c r="Q158" s="422" t="s">
        <v>1103</v>
      </c>
      <c r="R158" s="423"/>
      <c r="S158" s="408">
        <v>14787.465</v>
      </c>
      <c r="T158" s="409"/>
      <c r="U158" s="70"/>
      <c r="V158" s="410" t="s">
        <v>235</v>
      </c>
      <c r="W158" s="411"/>
      <c r="X158" s="411"/>
      <c r="Y158" s="411"/>
      <c r="Z158" s="411"/>
      <c r="AA158" s="411"/>
      <c r="AB158" s="411"/>
      <c r="AC158" s="411"/>
      <c r="AD158" s="411"/>
      <c r="AE158" s="412"/>
    </row>
    <row r="159" spans="2:31" ht="12.75" hidden="1" customHeight="1" x14ac:dyDescent="0.25">
      <c r="B159" s="397" t="s">
        <v>62</v>
      </c>
      <c r="C159" s="398"/>
      <c r="D159" s="395">
        <v>0</v>
      </c>
      <c r="E159" s="395"/>
      <c r="F159" s="395">
        <v>0</v>
      </c>
      <c r="G159" s="395"/>
      <c r="H159" s="395">
        <v>0</v>
      </c>
      <c r="I159" s="395"/>
      <c r="J159" s="395">
        <v>0</v>
      </c>
      <c r="K159" s="395"/>
      <c r="L159" s="395">
        <v>0</v>
      </c>
      <c r="M159" s="395"/>
      <c r="N159" s="395">
        <v>0</v>
      </c>
      <c r="O159" s="396"/>
      <c r="P159" s="70"/>
      <c r="Q159" s="385"/>
      <c r="R159" s="386"/>
      <c r="S159" s="387">
        <v>0</v>
      </c>
      <c r="T159" s="388"/>
      <c r="U159" s="70"/>
      <c r="V159" s="399" t="s">
        <v>1132</v>
      </c>
      <c r="W159" s="400"/>
      <c r="X159" s="400"/>
      <c r="Y159" s="400"/>
      <c r="Z159" s="400"/>
      <c r="AA159" s="400"/>
      <c r="AB159" s="400"/>
      <c r="AC159" s="400"/>
      <c r="AD159" s="400"/>
      <c r="AE159" s="401"/>
    </row>
    <row r="160" spans="2:31" hidden="1" x14ac:dyDescent="0.25">
      <c r="B160" s="397" t="s">
        <v>62</v>
      </c>
      <c r="C160" s="398"/>
      <c r="D160" s="395">
        <v>0</v>
      </c>
      <c r="E160" s="395"/>
      <c r="F160" s="395">
        <v>0</v>
      </c>
      <c r="G160" s="395"/>
      <c r="H160" s="395">
        <v>0</v>
      </c>
      <c r="I160" s="395"/>
      <c r="J160" s="395">
        <v>0</v>
      </c>
      <c r="K160" s="395"/>
      <c r="L160" s="395">
        <v>0</v>
      </c>
      <c r="M160" s="395"/>
      <c r="N160" s="395">
        <v>0</v>
      </c>
      <c r="O160" s="396"/>
      <c r="P160" s="70"/>
      <c r="Q160" s="385"/>
      <c r="R160" s="386"/>
      <c r="S160" s="387">
        <v>0</v>
      </c>
      <c r="T160" s="388"/>
      <c r="U160" s="70"/>
      <c r="V160" s="402"/>
      <c r="W160" s="403"/>
      <c r="X160" s="403"/>
      <c r="Y160" s="403"/>
      <c r="Z160" s="403"/>
      <c r="AA160" s="403"/>
      <c r="AB160" s="403"/>
      <c r="AC160" s="403"/>
      <c r="AD160" s="403"/>
      <c r="AE160" s="404"/>
    </row>
    <row r="161" spans="2:31" hidden="1" x14ac:dyDescent="0.25">
      <c r="B161" s="397" t="s">
        <v>62</v>
      </c>
      <c r="C161" s="398"/>
      <c r="D161" s="395">
        <v>0</v>
      </c>
      <c r="E161" s="395"/>
      <c r="F161" s="395">
        <v>0</v>
      </c>
      <c r="G161" s="395"/>
      <c r="H161" s="395">
        <v>0</v>
      </c>
      <c r="I161" s="395"/>
      <c r="J161" s="395">
        <v>0</v>
      </c>
      <c r="K161" s="395"/>
      <c r="L161" s="395">
        <v>0</v>
      </c>
      <c r="M161" s="395"/>
      <c r="N161" s="395">
        <v>0</v>
      </c>
      <c r="O161" s="396"/>
      <c r="P161" s="70"/>
      <c r="Q161" s="385"/>
      <c r="R161" s="386"/>
      <c r="S161" s="387">
        <v>0</v>
      </c>
      <c r="T161" s="388"/>
      <c r="U161" s="79"/>
      <c r="V161" s="402"/>
      <c r="W161" s="403"/>
      <c r="X161" s="403"/>
      <c r="Y161" s="403"/>
      <c r="Z161" s="403"/>
      <c r="AA161" s="403"/>
      <c r="AB161" s="403"/>
      <c r="AC161" s="403"/>
      <c r="AD161" s="403"/>
      <c r="AE161" s="404"/>
    </row>
    <row r="162" spans="2:31" hidden="1" x14ac:dyDescent="0.25">
      <c r="B162" s="397" t="s">
        <v>62</v>
      </c>
      <c r="C162" s="398"/>
      <c r="D162" s="395">
        <v>0</v>
      </c>
      <c r="E162" s="395"/>
      <c r="F162" s="395">
        <v>0</v>
      </c>
      <c r="G162" s="395"/>
      <c r="H162" s="395">
        <v>0</v>
      </c>
      <c r="I162" s="395"/>
      <c r="J162" s="395">
        <v>0</v>
      </c>
      <c r="K162" s="395"/>
      <c r="L162" s="395">
        <v>0</v>
      </c>
      <c r="M162" s="395"/>
      <c r="N162" s="395">
        <v>0</v>
      </c>
      <c r="O162" s="396"/>
      <c r="P162" s="70"/>
      <c r="Q162" s="385"/>
      <c r="R162" s="386"/>
      <c r="S162" s="387">
        <v>0</v>
      </c>
      <c r="T162" s="388"/>
      <c r="U162" s="79"/>
      <c r="V162" s="402"/>
      <c r="W162" s="403"/>
      <c r="X162" s="403"/>
      <c r="Y162" s="403"/>
      <c r="Z162" s="403"/>
      <c r="AA162" s="403"/>
      <c r="AB162" s="403"/>
      <c r="AC162" s="403"/>
      <c r="AD162" s="403"/>
      <c r="AE162" s="404"/>
    </row>
    <row r="163" spans="2:31" hidden="1" x14ac:dyDescent="0.25">
      <c r="B163" s="397" t="s">
        <v>62</v>
      </c>
      <c r="C163" s="398"/>
      <c r="D163" s="395">
        <v>0</v>
      </c>
      <c r="E163" s="395"/>
      <c r="F163" s="395">
        <v>0</v>
      </c>
      <c r="G163" s="395"/>
      <c r="H163" s="395">
        <v>0</v>
      </c>
      <c r="I163" s="395"/>
      <c r="J163" s="395">
        <v>0</v>
      </c>
      <c r="K163" s="395"/>
      <c r="L163" s="395">
        <v>0</v>
      </c>
      <c r="M163" s="395"/>
      <c r="N163" s="395">
        <v>0</v>
      </c>
      <c r="O163" s="396"/>
      <c r="P163" s="70"/>
      <c r="Q163" s="385"/>
      <c r="R163" s="386"/>
      <c r="S163" s="387">
        <v>0</v>
      </c>
      <c r="T163" s="388"/>
      <c r="U163" s="79"/>
      <c r="V163" s="402"/>
      <c r="W163" s="403"/>
      <c r="X163" s="403"/>
      <c r="Y163" s="403"/>
      <c r="Z163" s="403"/>
      <c r="AA163" s="403"/>
      <c r="AB163" s="403"/>
      <c r="AC163" s="403"/>
      <c r="AD163" s="403"/>
      <c r="AE163" s="404"/>
    </row>
    <row r="164" spans="2:31" hidden="1" x14ac:dyDescent="0.25">
      <c r="B164" s="397" t="s">
        <v>62</v>
      </c>
      <c r="C164" s="398"/>
      <c r="D164" s="395">
        <v>0</v>
      </c>
      <c r="E164" s="395"/>
      <c r="F164" s="395">
        <v>0</v>
      </c>
      <c r="G164" s="395"/>
      <c r="H164" s="395">
        <v>0</v>
      </c>
      <c r="I164" s="395"/>
      <c r="J164" s="395">
        <v>0</v>
      </c>
      <c r="K164" s="395"/>
      <c r="L164" s="395">
        <v>0</v>
      </c>
      <c r="M164" s="395"/>
      <c r="N164" s="395">
        <v>0</v>
      </c>
      <c r="O164" s="396"/>
      <c r="P164" s="70"/>
      <c r="Q164" s="385"/>
      <c r="R164" s="386"/>
      <c r="S164" s="387">
        <v>0</v>
      </c>
      <c r="T164" s="388"/>
      <c r="U164" s="79"/>
      <c r="V164" s="402"/>
      <c r="W164" s="403"/>
      <c r="X164" s="403"/>
      <c r="Y164" s="403"/>
      <c r="Z164" s="403"/>
      <c r="AA164" s="403"/>
      <c r="AB164" s="403"/>
      <c r="AC164" s="403"/>
      <c r="AD164" s="403"/>
      <c r="AE164" s="404"/>
    </row>
    <row r="165" spans="2:31" hidden="1" x14ac:dyDescent="0.25">
      <c r="B165" s="397" t="s">
        <v>62</v>
      </c>
      <c r="C165" s="398"/>
      <c r="D165" s="395">
        <v>0</v>
      </c>
      <c r="E165" s="395"/>
      <c r="F165" s="395">
        <v>0</v>
      </c>
      <c r="G165" s="395"/>
      <c r="H165" s="395">
        <v>0</v>
      </c>
      <c r="I165" s="395"/>
      <c r="J165" s="395">
        <v>0</v>
      </c>
      <c r="K165" s="395"/>
      <c r="L165" s="395">
        <v>0</v>
      </c>
      <c r="M165" s="395"/>
      <c r="N165" s="395">
        <v>0</v>
      </c>
      <c r="O165" s="396"/>
      <c r="P165" s="70"/>
      <c r="Q165" s="385"/>
      <c r="R165" s="386"/>
      <c r="S165" s="387">
        <v>0</v>
      </c>
      <c r="T165" s="388"/>
      <c r="U165" s="79"/>
      <c r="V165" s="402"/>
      <c r="W165" s="403"/>
      <c r="X165" s="403"/>
      <c r="Y165" s="403"/>
      <c r="Z165" s="403"/>
      <c r="AA165" s="403"/>
      <c r="AB165" s="403"/>
      <c r="AC165" s="403"/>
      <c r="AD165" s="403"/>
      <c r="AE165" s="404"/>
    </row>
    <row r="166" spans="2:31" hidden="1" x14ac:dyDescent="0.25">
      <c r="B166" s="397" t="s">
        <v>62</v>
      </c>
      <c r="C166" s="398"/>
      <c r="D166" s="395">
        <v>0</v>
      </c>
      <c r="E166" s="395"/>
      <c r="F166" s="395">
        <v>0</v>
      </c>
      <c r="G166" s="395"/>
      <c r="H166" s="395">
        <v>0</v>
      </c>
      <c r="I166" s="395"/>
      <c r="J166" s="395">
        <v>0</v>
      </c>
      <c r="K166" s="395"/>
      <c r="L166" s="395">
        <v>0</v>
      </c>
      <c r="M166" s="395"/>
      <c r="N166" s="395">
        <v>0</v>
      </c>
      <c r="O166" s="396"/>
      <c r="P166" s="70"/>
      <c r="Q166" s="385"/>
      <c r="R166" s="386"/>
      <c r="S166" s="387">
        <v>0</v>
      </c>
      <c r="T166" s="388"/>
      <c r="U166" s="79"/>
      <c r="V166" s="402"/>
      <c r="W166" s="403"/>
      <c r="X166" s="403"/>
      <c r="Y166" s="403"/>
      <c r="Z166" s="403"/>
      <c r="AA166" s="403"/>
      <c r="AB166" s="403"/>
      <c r="AC166" s="403"/>
      <c r="AD166" s="403"/>
      <c r="AE166" s="404"/>
    </row>
    <row r="167" spans="2:31" hidden="1" x14ac:dyDescent="0.25">
      <c r="B167" s="397" t="s">
        <v>62</v>
      </c>
      <c r="C167" s="398"/>
      <c r="D167" s="395">
        <v>0</v>
      </c>
      <c r="E167" s="395"/>
      <c r="F167" s="395">
        <v>0</v>
      </c>
      <c r="G167" s="395"/>
      <c r="H167" s="395">
        <v>0</v>
      </c>
      <c r="I167" s="395"/>
      <c r="J167" s="395">
        <v>0</v>
      </c>
      <c r="K167" s="395"/>
      <c r="L167" s="395">
        <v>0</v>
      </c>
      <c r="M167" s="395"/>
      <c r="N167" s="395">
        <v>0</v>
      </c>
      <c r="O167" s="396"/>
      <c r="P167" s="70"/>
      <c r="Q167" s="385"/>
      <c r="R167" s="386"/>
      <c r="S167" s="387">
        <v>0</v>
      </c>
      <c r="T167" s="388"/>
      <c r="U167" s="79"/>
      <c r="V167" s="402"/>
      <c r="W167" s="403"/>
      <c r="X167" s="403"/>
      <c r="Y167" s="403"/>
      <c r="Z167" s="403"/>
      <c r="AA167" s="403"/>
      <c r="AB167" s="403"/>
      <c r="AC167" s="403"/>
      <c r="AD167" s="403"/>
      <c r="AE167" s="404"/>
    </row>
    <row r="168" spans="2:31" hidden="1" x14ac:dyDescent="0.25">
      <c r="B168" s="397" t="s">
        <v>62</v>
      </c>
      <c r="C168" s="398"/>
      <c r="D168" s="395">
        <v>0</v>
      </c>
      <c r="E168" s="395"/>
      <c r="F168" s="395">
        <v>0</v>
      </c>
      <c r="G168" s="395"/>
      <c r="H168" s="395">
        <v>0</v>
      </c>
      <c r="I168" s="395"/>
      <c r="J168" s="395">
        <v>0</v>
      </c>
      <c r="K168" s="395"/>
      <c r="L168" s="395">
        <v>0</v>
      </c>
      <c r="M168" s="395"/>
      <c r="N168" s="395">
        <v>0</v>
      </c>
      <c r="O168" s="396"/>
      <c r="P168" s="70"/>
      <c r="Q168" s="385"/>
      <c r="R168" s="386"/>
      <c r="S168" s="387">
        <v>0</v>
      </c>
      <c r="T168" s="388"/>
      <c r="U168" s="70"/>
      <c r="V168" s="402"/>
      <c r="W168" s="403"/>
      <c r="X168" s="403"/>
      <c r="Y168" s="403"/>
      <c r="Z168" s="403"/>
      <c r="AA168" s="403"/>
      <c r="AB168" s="403"/>
      <c r="AC168" s="403"/>
      <c r="AD168" s="403"/>
      <c r="AE168" s="404"/>
    </row>
    <row r="169" spans="2:31" hidden="1" x14ac:dyDescent="0.25">
      <c r="B169" s="397" t="s">
        <v>62</v>
      </c>
      <c r="C169" s="398"/>
      <c r="D169" s="395">
        <v>0</v>
      </c>
      <c r="E169" s="395"/>
      <c r="F169" s="395">
        <v>0</v>
      </c>
      <c r="G169" s="395"/>
      <c r="H169" s="395">
        <v>0</v>
      </c>
      <c r="I169" s="395"/>
      <c r="J169" s="395">
        <v>0</v>
      </c>
      <c r="K169" s="395"/>
      <c r="L169" s="395">
        <v>0</v>
      </c>
      <c r="M169" s="395"/>
      <c r="N169" s="395">
        <v>0</v>
      </c>
      <c r="O169" s="396"/>
      <c r="P169" s="70"/>
      <c r="Q169" s="385"/>
      <c r="R169" s="386"/>
      <c r="S169" s="387">
        <v>0</v>
      </c>
      <c r="T169" s="388"/>
      <c r="U169" s="70"/>
      <c r="V169" s="402"/>
      <c r="W169" s="403"/>
      <c r="X169" s="403"/>
      <c r="Y169" s="403"/>
      <c r="Z169" s="403"/>
      <c r="AA169" s="403"/>
      <c r="AB169" s="403"/>
      <c r="AC169" s="403"/>
      <c r="AD169" s="403"/>
      <c r="AE169" s="404"/>
    </row>
    <row r="170" spans="2:31" ht="15" hidden="1" customHeight="1" x14ac:dyDescent="0.25">
      <c r="B170" s="397" t="s">
        <v>62</v>
      </c>
      <c r="C170" s="398"/>
      <c r="D170" s="395">
        <v>0</v>
      </c>
      <c r="E170" s="395"/>
      <c r="F170" s="395">
        <v>0</v>
      </c>
      <c r="G170" s="395"/>
      <c r="H170" s="395">
        <v>0</v>
      </c>
      <c r="I170" s="395"/>
      <c r="J170" s="395">
        <v>0</v>
      </c>
      <c r="K170" s="395"/>
      <c r="L170" s="395">
        <v>0</v>
      </c>
      <c r="M170" s="395"/>
      <c r="N170" s="395">
        <v>0</v>
      </c>
      <c r="O170" s="396"/>
      <c r="P170" s="70"/>
      <c r="Q170" s="385"/>
      <c r="R170" s="386"/>
      <c r="S170" s="387">
        <v>0</v>
      </c>
      <c r="T170" s="388"/>
      <c r="U170" s="70"/>
      <c r="V170" s="402"/>
      <c r="W170" s="403"/>
      <c r="X170" s="403"/>
      <c r="Y170" s="403"/>
      <c r="Z170" s="403"/>
      <c r="AA170" s="403"/>
      <c r="AB170" s="403"/>
      <c r="AC170" s="403"/>
      <c r="AD170" s="403"/>
      <c r="AE170" s="404"/>
    </row>
    <row r="171" spans="2:31" hidden="1" x14ac:dyDescent="0.25">
      <c r="B171" s="397" t="s">
        <v>62</v>
      </c>
      <c r="C171" s="398"/>
      <c r="D171" s="395">
        <v>0</v>
      </c>
      <c r="E171" s="395"/>
      <c r="F171" s="395">
        <v>0</v>
      </c>
      <c r="G171" s="395"/>
      <c r="H171" s="395">
        <v>0</v>
      </c>
      <c r="I171" s="395"/>
      <c r="J171" s="395">
        <v>0</v>
      </c>
      <c r="K171" s="395"/>
      <c r="L171" s="395">
        <v>0</v>
      </c>
      <c r="M171" s="395"/>
      <c r="N171" s="395">
        <v>0</v>
      </c>
      <c r="O171" s="396"/>
      <c r="P171" s="70"/>
      <c r="Q171" s="385"/>
      <c r="R171" s="386"/>
      <c r="S171" s="387">
        <v>0</v>
      </c>
      <c r="T171" s="388"/>
      <c r="U171" s="70"/>
      <c r="V171" s="402"/>
      <c r="W171" s="403"/>
      <c r="X171" s="403"/>
      <c r="Y171" s="403"/>
      <c r="Z171" s="403"/>
      <c r="AA171" s="403"/>
      <c r="AB171" s="403"/>
      <c r="AC171" s="403"/>
      <c r="AD171" s="403"/>
      <c r="AE171" s="404"/>
    </row>
    <row r="172" spans="2:31" hidden="1" x14ac:dyDescent="0.25">
      <c r="B172" s="397" t="s">
        <v>62</v>
      </c>
      <c r="C172" s="398"/>
      <c r="D172" s="395">
        <v>0</v>
      </c>
      <c r="E172" s="395"/>
      <c r="F172" s="395">
        <v>0</v>
      </c>
      <c r="G172" s="395"/>
      <c r="H172" s="395">
        <v>0</v>
      </c>
      <c r="I172" s="395"/>
      <c r="J172" s="395">
        <v>0</v>
      </c>
      <c r="K172" s="395"/>
      <c r="L172" s="395">
        <v>0</v>
      </c>
      <c r="M172" s="395"/>
      <c r="N172" s="395">
        <v>0</v>
      </c>
      <c r="O172" s="396"/>
      <c r="P172" s="70"/>
      <c r="Q172" s="385"/>
      <c r="R172" s="386"/>
      <c r="S172" s="387">
        <v>0</v>
      </c>
      <c r="T172" s="388"/>
      <c r="U172" s="70"/>
      <c r="V172" s="402"/>
      <c r="W172" s="403"/>
      <c r="X172" s="403"/>
      <c r="Y172" s="403"/>
      <c r="Z172" s="403"/>
      <c r="AA172" s="403"/>
      <c r="AB172" s="403"/>
      <c r="AC172" s="403"/>
      <c r="AD172" s="403"/>
      <c r="AE172" s="404"/>
    </row>
    <row r="173" spans="2:31" hidden="1" x14ac:dyDescent="0.25">
      <c r="B173" s="397" t="s">
        <v>62</v>
      </c>
      <c r="C173" s="398"/>
      <c r="D173" s="395">
        <v>0</v>
      </c>
      <c r="E173" s="395"/>
      <c r="F173" s="395">
        <v>0</v>
      </c>
      <c r="G173" s="395"/>
      <c r="H173" s="395">
        <v>0</v>
      </c>
      <c r="I173" s="395"/>
      <c r="J173" s="395">
        <v>0</v>
      </c>
      <c r="K173" s="395"/>
      <c r="L173" s="395">
        <v>0</v>
      </c>
      <c r="M173" s="395"/>
      <c r="N173" s="395">
        <v>0</v>
      </c>
      <c r="O173" s="396"/>
      <c r="P173" s="70"/>
      <c r="Q173" s="385"/>
      <c r="R173" s="386"/>
      <c r="S173" s="387">
        <v>0</v>
      </c>
      <c r="T173" s="388"/>
      <c r="U173" s="70"/>
      <c r="V173" s="402"/>
      <c r="W173" s="403"/>
      <c r="X173" s="403"/>
      <c r="Y173" s="403"/>
      <c r="Z173" s="403"/>
      <c r="AA173" s="403"/>
      <c r="AB173" s="403"/>
      <c r="AC173" s="403"/>
      <c r="AD173" s="403"/>
      <c r="AE173" s="404"/>
    </row>
    <row r="174" spans="2:31" hidden="1" x14ac:dyDescent="0.25">
      <c r="B174" s="397" t="s">
        <v>62</v>
      </c>
      <c r="C174" s="398"/>
      <c r="D174" s="395">
        <v>0</v>
      </c>
      <c r="E174" s="395"/>
      <c r="F174" s="395">
        <v>0</v>
      </c>
      <c r="G174" s="395"/>
      <c r="H174" s="395">
        <v>0</v>
      </c>
      <c r="I174" s="395"/>
      <c r="J174" s="395">
        <v>0</v>
      </c>
      <c r="K174" s="395"/>
      <c r="L174" s="395">
        <v>0</v>
      </c>
      <c r="M174" s="395"/>
      <c r="N174" s="395">
        <v>0</v>
      </c>
      <c r="O174" s="396"/>
      <c r="P174" s="70"/>
      <c r="Q174" s="385"/>
      <c r="R174" s="386"/>
      <c r="S174" s="387">
        <v>0</v>
      </c>
      <c r="T174" s="388"/>
      <c r="U174" s="70"/>
      <c r="V174" s="402"/>
      <c r="W174" s="403"/>
      <c r="X174" s="403"/>
      <c r="Y174" s="403"/>
      <c r="Z174" s="403"/>
      <c r="AA174" s="403"/>
      <c r="AB174" s="403"/>
      <c r="AC174" s="403"/>
      <c r="AD174" s="403"/>
      <c r="AE174" s="404"/>
    </row>
    <row r="175" spans="2:31" hidden="1" x14ac:dyDescent="0.25">
      <c r="B175" s="397" t="s">
        <v>62</v>
      </c>
      <c r="C175" s="398"/>
      <c r="D175" s="395">
        <v>0</v>
      </c>
      <c r="E175" s="395"/>
      <c r="F175" s="395">
        <v>0</v>
      </c>
      <c r="G175" s="395"/>
      <c r="H175" s="395">
        <v>0</v>
      </c>
      <c r="I175" s="395"/>
      <c r="J175" s="395">
        <v>0</v>
      </c>
      <c r="K175" s="395"/>
      <c r="L175" s="395">
        <v>0</v>
      </c>
      <c r="M175" s="395"/>
      <c r="N175" s="395">
        <v>0</v>
      </c>
      <c r="O175" s="396"/>
      <c r="P175" s="70"/>
      <c r="Q175" s="385"/>
      <c r="R175" s="386"/>
      <c r="S175" s="387">
        <v>0</v>
      </c>
      <c r="T175" s="388"/>
      <c r="U175" s="70"/>
      <c r="V175" s="402"/>
      <c r="W175" s="403"/>
      <c r="X175" s="403"/>
      <c r="Y175" s="403"/>
      <c r="Z175" s="403"/>
      <c r="AA175" s="403"/>
      <c r="AB175" s="403"/>
      <c r="AC175" s="403"/>
      <c r="AD175" s="403"/>
      <c r="AE175" s="404"/>
    </row>
    <row r="176" spans="2:31" hidden="1" x14ac:dyDescent="0.25">
      <c r="B176" s="397" t="s">
        <v>62</v>
      </c>
      <c r="C176" s="398"/>
      <c r="D176" s="395">
        <v>0</v>
      </c>
      <c r="E176" s="395"/>
      <c r="F176" s="395">
        <v>0</v>
      </c>
      <c r="G176" s="395"/>
      <c r="H176" s="395">
        <v>0</v>
      </c>
      <c r="I176" s="395"/>
      <c r="J176" s="395">
        <v>0</v>
      </c>
      <c r="K176" s="395"/>
      <c r="L176" s="395">
        <v>0</v>
      </c>
      <c r="M176" s="395"/>
      <c r="N176" s="395">
        <v>0</v>
      </c>
      <c r="O176" s="396"/>
      <c r="P176" s="70"/>
      <c r="Q176" s="385"/>
      <c r="R176" s="386"/>
      <c r="S176" s="387">
        <v>0</v>
      </c>
      <c r="T176" s="388"/>
      <c r="U176" s="70"/>
      <c r="V176" s="402"/>
      <c r="W176" s="403"/>
      <c r="X176" s="403"/>
      <c r="Y176" s="403"/>
      <c r="Z176" s="403"/>
      <c r="AA176" s="403"/>
      <c r="AB176" s="403"/>
      <c r="AC176" s="403"/>
      <c r="AD176" s="403"/>
      <c r="AE176" s="404"/>
    </row>
    <row r="177" spans="2:31" hidden="1" x14ac:dyDescent="0.25">
      <c r="B177" s="397" t="s">
        <v>62</v>
      </c>
      <c r="C177" s="398"/>
      <c r="D177" s="395">
        <v>0</v>
      </c>
      <c r="E177" s="395"/>
      <c r="F177" s="395">
        <v>0</v>
      </c>
      <c r="G177" s="395"/>
      <c r="H177" s="395">
        <v>0</v>
      </c>
      <c r="I177" s="395"/>
      <c r="J177" s="395">
        <v>0</v>
      </c>
      <c r="K177" s="395"/>
      <c r="L177" s="395">
        <v>0</v>
      </c>
      <c r="M177" s="395"/>
      <c r="N177" s="395">
        <v>0</v>
      </c>
      <c r="O177" s="396"/>
      <c r="P177" s="70"/>
      <c r="Q177" s="385"/>
      <c r="R177" s="386"/>
      <c r="S177" s="387">
        <v>0</v>
      </c>
      <c r="T177" s="388"/>
      <c r="U177" s="70"/>
      <c r="V177" s="402"/>
      <c r="W177" s="403"/>
      <c r="X177" s="403"/>
      <c r="Y177" s="403"/>
      <c r="Z177" s="403"/>
      <c r="AA177" s="403"/>
      <c r="AB177" s="403"/>
      <c r="AC177" s="403"/>
      <c r="AD177" s="403"/>
      <c r="AE177" s="404"/>
    </row>
    <row r="178" spans="2:31" hidden="1" x14ac:dyDescent="0.25">
      <c r="B178" s="397" t="s">
        <v>62</v>
      </c>
      <c r="C178" s="398"/>
      <c r="D178" s="395">
        <v>0</v>
      </c>
      <c r="E178" s="395"/>
      <c r="F178" s="395">
        <v>0</v>
      </c>
      <c r="G178" s="395"/>
      <c r="H178" s="395">
        <v>0</v>
      </c>
      <c r="I178" s="395"/>
      <c r="J178" s="395">
        <v>0</v>
      </c>
      <c r="K178" s="395"/>
      <c r="L178" s="395">
        <v>0</v>
      </c>
      <c r="M178" s="395"/>
      <c r="N178" s="395">
        <v>0</v>
      </c>
      <c r="O178" s="396"/>
      <c r="P178" s="70"/>
      <c r="Q178" s="385"/>
      <c r="R178" s="386"/>
      <c r="S178" s="387">
        <v>0</v>
      </c>
      <c r="T178" s="388"/>
      <c r="U178" s="70"/>
      <c r="V178" s="402"/>
      <c r="W178" s="403"/>
      <c r="X178" s="403"/>
      <c r="Y178" s="403"/>
      <c r="Z178" s="403"/>
      <c r="AA178" s="403"/>
      <c r="AB178" s="403"/>
      <c r="AC178" s="403"/>
      <c r="AD178" s="403"/>
      <c r="AE178" s="404"/>
    </row>
    <row r="179" spans="2:31" hidden="1" x14ac:dyDescent="0.25">
      <c r="B179" s="397" t="s">
        <v>62</v>
      </c>
      <c r="C179" s="398"/>
      <c r="D179" s="395">
        <v>0</v>
      </c>
      <c r="E179" s="395"/>
      <c r="F179" s="395">
        <v>0</v>
      </c>
      <c r="G179" s="395"/>
      <c r="H179" s="395">
        <v>0</v>
      </c>
      <c r="I179" s="395"/>
      <c r="J179" s="395">
        <v>0</v>
      </c>
      <c r="K179" s="395"/>
      <c r="L179" s="395">
        <v>0</v>
      </c>
      <c r="M179" s="395"/>
      <c r="N179" s="395">
        <v>0</v>
      </c>
      <c r="O179" s="396"/>
      <c r="P179" s="70"/>
      <c r="Q179" s="385"/>
      <c r="R179" s="386"/>
      <c r="S179" s="387">
        <v>0</v>
      </c>
      <c r="T179" s="388"/>
      <c r="U179" s="70"/>
      <c r="V179" s="402"/>
      <c r="W179" s="403"/>
      <c r="X179" s="403"/>
      <c r="Y179" s="403"/>
      <c r="Z179" s="403"/>
      <c r="AA179" s="403"/>
      <c r="AB179" s="403"/>
      <c r="AC179" s="403"/>
      <c r="AD179" s="403"/>
      <c r="AE179" s="404"/>
    </row>
    <row r="180" spans="2:31" hidden="1" x14ac:dyDescent="0.25">
      <c r="B180" s="389" t="s">
        <v>62</v>
      </c>
      <c r="C180" s="390"/>
      <c r="D180" s="391">
        <v>0</v>
      </c>
      <c r="E180" s="391"/>
      <c r="F180" s="391">
        <v>0</v>
      </c>
      <c r="G180" s="391"/>
      <c r="H180" s="391">
        <v>0</v>
      </c>
      <c r="I180" s="391"/>
      <c r="J180" s="391">
        <v>0</v>
      </c>
      <c r="K180" s="391"/>
      <c r="L180" s="391">
        <v>0</v>
      </c>
      <c r="M180" s="391"/>
      <c r="N180" s="391">
        <v>0</v>
      </c>
      <c r="O180" s="392"/>
      <c r="Q180" s="393"/>
      <c r="R180" s="394"/>
      <c r="S180" s="383">
        <v>0</v>
      </c>
      <c r="T180" s="384"/>
      <c r="V180" s="405"/>
      <c r="W180" s="406"/>
      <c r="X180" s="406"/>
      <c r="Y180" s="406"/>
      <c r="Z180" s="406"/>
      <c r="AA180" s="406"/>
      <c r="AB180" s="406"/>
      <c r="AC180" s="406"/>
      <c r="AD180" s="406"/>
      <c r="AE180" s="407"/>
    </row>
    <row r="181" spans="2:31" hidden="1" x14ac:dyDescent="0.25">
      <c r="B181" s="68"/>
      <c r="C181" s="63"/>
      <c r="D181" s="63"/>
      <c r="E181" s="63"/>
      <c r="F181" s="63"/>
      <c r="G181" s="63"/>
      <c r="H181" s="63"/>
      <c r="I181" s="63"/>
      <c r="J181" s="63"/>
      <c r="K181" s="63"/>
      <c r="L181" s="63"/>
      <c r="M181" s="63"/>
      <c r="N181" s="63"/>
      <c r="O181" s="63"/>
      <c r="P181" s="63"/>
      <c r="Q181" s="63"/>
      <c r="R181" s="63"/>
      <c r="S181" s="63"/>
      <c r="T181" s="63"/>
      <c r="U181" s="63"/>
      <c r="V181" s="63"/>
      <c r="W181" s="63"/>
      <c r="X181" s="63"/>
      <c r="Y181" s="63"/>
      <c r="Z181" s="63"/>
      <c r="AA181" s="63"/>
      <c r="AB181" s="63"/>
      <c r="AC181" s="63"/>
      <c r="AD181" s="63"/>
      <c r="AE181" s="69"/>
    </row>
    <row r="182" spans="2:31" hidden="1" x14ac:dyDescent="0.25"/>
  </sheetData>
  <sheetProtection algorithmName="SHA-512" hashValue="aIKklJLGeVPMR4n6VFxLG/8I05wE/aeCai2vrx8wsfhikKzNeRM7NAjje7/u8mBtPQVgF3vNEtV5pZOtgAfgKA==" saltValue="OlvI9Feitsxnc/7m3710XA==" spinCount="100000" sheet="1" objects="1" scenarios="1"/>
  <mergeCells count="1383">
    <mergeCell ref="S180:T180"/>
    <mergeCell ref="Q179:R179"/>
    <mergeCell ref="S179:T179"/>
    <mergeCell ref="B180:C180"/>
    <mergeCell ref="D180:E180"/>
    <mergeCell ref="F180:G180"/>
    <mergeCell ref="H180:I180"/>
    <mergeCell ref="J180:K180"/>
    <mergeCell ref="L180:M180"/>
    <mergeCell ref="N180:O180"/>
    <mergeCell ref="Q180:R180"/>
    <mergeCell ref="N178:O178"/>
    <mergeCell ref="Q178:R178"/>
    <mergeCell ref="S178:T178"/>
    <mergeCell ref="B179:C179"/>
    <mergeCell ref="D179:E179"/>
    <mergeCell ref="F179:G179"/>
    <mergeCell ref="H179:I179"/>
    <mergeCell ref="J179:K179"/>
    <mergeCell ref="L179:M179"/>
    <mergeCell ref="N179:O179"/>
    <mergeCell ref="B178:C178"/>
    <mergeCell ref="D178:E178"/>
    <mergeCell ref="F178:G178"/>
    <mergeCell ref="H178:I178"/>
    <mergeCell ref="J178:K178"/>
    <mergeCell ref="L178:M178"/>
    <mergeCell ref="S176:T176"/>
    <mergeCell ref="B177:C177"/>
    <mergeCell ref="D177:E177"/>
    <mergeCell ref="F177:G177"/>
    <mergeCell ref="H177:I177"/>
    <mergeCell ref="J177:K177"/>
    <mergeCell ref="L177:M177"/>
    <mergeCell ref="N177:O177"/>
    <mergeCell ref="Q177:R177"/>
    <mergeCell ref="S177:T177"/>
    <mergeCell ref="Q175:R175"/>
    <mergeCell ref="S175:T175"/>
    <mergeCell ref="B176:C176"/>
    <mergeCell ref="D176:E176"/>
    <mergeCell ref="F176:G176"/>
    <mergeCell ref="H176:I176"/>
    <mergeCell ref="J176:K176"/>
    <mergeCell ref="L176:M176"/>
    <mergeCell ref="N176:O176"/>
    <mergeCell ref="Q176:R176"/>
    <mergeCell ref="N174:O174"/>
    <mergeCell ref="Q174:R174"/>
    <mergeCell ref="S174:T174"/>
    <mergeCell ref="B175:C175"/>
    <mergeCell ref="D175:E175"/>
    <mergeCell ref="F175:G175"/>
    <mergeCell ref="H175:I175"/>
    <mergeCell ref="J175:K175"/>
    <mergeCell ref="L175:M175"/>
    <mergeCell ref="N175:O175"/>
    <mergeCell ref="B174:C174"/>
    <mergeCell ref="D174:E174"/>
    <mergeCell ref="F174:G174"/>
    <mergeCell ref="H174:I174"/>
    <mergeCell ref="J174:K174"/>
    <mergeCell ref="L174:M174"/>
    <mergeCell ref="S172:T172"/>
    <mergeCell ref="B173:C173"/>
    <mergeCell ref="D173:E173"/>
    <mergeCell ref="F173:G173"/>
    <mergeCell ref="H173:I173"/>
    <mergeCell ref="J173:K173"/>
    <mergeCell ref="L173:M173"/>
    <mergeCell ref="N173:O173"/>
    <mergeCell ref="Q173:R173"/>
    <mergeCell ref="S173:T173"/>
    <mergeCell ref="Q171:R171"/>
    <mergeCell ref="S171:T171"/>
    <mergeCell ref="B172:C172"/>
    <mergeCell ref="D172:E172"/>
    <mergeCell ref="F172:G172"/>
    <mergeCell ref="H172:I172"/>
    <mergeCell ref="J172:K172"/>
    <mergeCell ref="L172:M172"/>
    <mergeCell ref="N172:O172"/>
    <mergeCell ref="Q172:R172"/>
    <mergeCell ref="N170:O170"/>
    <mergeCell ref="Q170:R170"/>
    <mergeCell ref="S170:T170"/>
    <mergeCell ref="B171:C171"/>
    <mergeCell ref="D171:E171"/>
    <mergeCell ref="F171:G171"/>
    <mergeCell ref="H171:I171"/>
    <mergeCell ref="J171:K171"/>
    <mergeCell ref="L171:M171"/>
    <mergeCell ref="N171:O171"/>
    <mergeCell ref="B170:C170"/>
    <mergeCell ref="D170:E170"/>
    <mergeCell ref="F170:G170"/>
    <mergeCell ref="H170:I170"/>
    <mergeCell ref="J170:K170"/>
    <mergeCell ref="L170:M170"/>
    <mergeCell ref="S168:T168"/>
    <mergeCell ref="B169:C169"/>
    <mergeCell ref="D169:E169"/>
    <mergeCell ref="F169:G169"/>
    <mergeCell ref="H169:I169"/>
    <mergeCell ref="J169:K169"/>
    <mergeCell ref="L169:M169"/>
    <mergeCell ref="N169:O169"/>
    <mergeCell ref="Q169:R169"/>
    <mergeCell ref="S169:T169"/>
    <mergeCell ref="Q167:R167"/>
    <mergeCell ref="S167:T167"/>
    <mergeCell ref="B168:C168"/>
    <mergeCell ref="D168:E168"/>
    <mergeCell ref="F168:G168"/>
    <mergeCell ref="H168:I168"/>
    <mergeCell ref="J168:K168"/>
    <mergeCell ref="L168:M168"/>
    <mergeCell ref="N168:O168"/>
    <mergeCell ref="Q168:R168"/>
    <mergeCell ref="N166:O166"/>
    <mergeCell ref="Q166:R166"/>
    <mergeCell ref="S166:T166"/>
    <mergeCell ref="B167:C167"/>
    <mergeCell ref="D167:E167"/>
    <mergeCell ref="F167:G167"/>
    <mergeCell ref="H167:I167"/>
    <mergeCell ref="J167:K167"/>
    <mergeCell ref="L167:M167"/>
    <mergeCell ref="N167:O167"/>
    <mergeCell ref="B166:C166"/>
    <mergeCell ref="D166:E166"/>
    <mergeCell ref="F166:G166"/>
    <mergeCell ref="H166:I166"/>
    <mergeCell ref="J166:K166"/>
    <mergeCell ref="L166:M166"/>
    <mergeCell ref="S164:T164"/>
    <mergeCell ref="B165:C165"/>
    <mergeCell ref="D165:E165"/>
    <mergeCell ref="F165:G165"/>
    <mergeCell ref="H165:I165"/>
    <mergeCell ref="J165:K165"/>
    <mergeCell ref="L165:M165"/>
    <mergeCell ref="N165:O165"/>
    <mergeCell ref="Q165:R165"/>
    <mergeCell ref="S165:T165"/>
    <mergeCell ref="Q163:R163"/>
    <mergeCell ref="S163:T163"/>
    <mergeCell ref="B164:C164"/>
    <mergeCell ref="D164:E164"/>
    <mergeCell ref="F164:G164"/>
    <mergeCell ref="H164:I164"/>
    <mergeCell ref="J164:K164"/>
    <mergeCell ref="L164:M164"/>
    <mergeCell ref="N164:O164"/>
    <mergeCell ref="Q164:R164"/>
    <mergeCell ref="N162:O162"/>
    <mergeCell ref="Q162:R162"/>
    <mergeCell ref="S162:T162"/>
    <mergeCell ref="B163:C163"/>
    <mergeCell ref="D163:E163"/>
    <mergeCell ref="F163:G163"/>
    <mergeCell ref="H163:I163"/>
    <mergeCell ref="J163:K163"/>
    <mergeCell ref="L163:M163"/>
    <mergeCell ref="N163:O163"/>
    <mergeCell ref="B162:C162"/>
    <mergeCell ref="D162:E162"/>
    <mergeCell ref="F162:G162"/>
    <mergeCell ref="H162:I162"/>
    <mergeCell ref="J162:K162"/>
    <mergeCell ref="L162:M162"/>
    <mergeCell ref="S160:T160"/>
    <mergeCell ref="B161:C161"/>
    <mergeCell ref="D161:E161"/>
    <mergeCell ref="F161:G161"/>
    <mergeCell ref="H161:I161"/>
    <mergeCell ref="J161:K161"/>
    <mergeCell ref="L161:M161"/>
    <mergeCell ref="N161:O161"/>
    <mergeCell ref="Q161:R161"/>
    <mergeCell ref="S161:T161"/>
    <mergeCell ref="S159:T159"/>
    <mergeCell ref="V159:AE180"/>
    <mergeCell ref="B160:C160"/>
    <mergeCell ref="D160:E160"/>
    <mergeCell ref="F160:G160"/>
    <mergeCell ref="H160:I160"/>
    <mergeCell ref="J160:K160"/>
    <mergeCell ref="L160:M160"/>
    <mergeCell ref="N160:O160"/>
    <mergeCell ref="Q160:R160"/>
    <mergeCell ref="S158:T158"/>
    <mergeCell ref="V158:AE158"/>
    <mergeCell ref="B159:C159"/>
    <mergeCell ref="D159:E159"/>
    <mergeCell ref="F159:G159"/>
    <mergeCell ref="H159:I159"/>
    <mergeCell ref="J159:K159"/>
    <mergeCell ref="L159:M159"/>
    <mergeCell ref="N159:O159"/>
    <mergeCell ref="Q159:R159"/>
    <mergeCell ref="N157:O157"/>
    <mergeCell ref="Q157:T157"/>
    <mergeCell ref="B158:C158"/>
    <mergeCell ref="D158:E158"/>
    <mergeCell ref="F158:G158"/>
    <mergeCell ref="H158:I158"/>
    <mergeCell ref="J158:K158"/>
    <mergeCell ref="L158:M158"/>
    <mergeCell ref="N158:O158"/>
    <mergeCell ref="Q158:R158"/>
    <mergeCell ref="B157:C157"/>
    <mergeCell ref="D157:E157"/>
    <mergeCell ref="F157:G157"/>
    <mergeCell ref="H157:I157"/>
    <mergeCell ref="J157:K157"/>
    <mergeCell ref="L157:M157"/>
    <mergeCell ref="Q155:R155"/>
    <mergeCell ref="S155:T155"/>
    <mergeCell ref="B156:C156"/>
    <mergeCell ref="D156:E156"/>
    <mergeCell ref="F156:G156"/>
    <mergeCell ref="H156:I156"/>
    <mergeCell ref="J156:K156"/>
    <mergeCell ref="L156:M156"/>
    <mergeCell ref="N156:O156"/>
    <mergeCell ref="N154:O154"/>
    <mergeCell ref="Q154:R154"/>
    <mergeCell ref="S154:T154"/>
    <mergeCell ref="B155:C155"/>
    <mergeCell ref="D155:E155"/>
    <mergeCell ref="F155:G155"/>
    <mergeCell ref="H155:I155"/>
    <mergeCell ref="J155:K155"/>
    <mergeCell ref="L155:M155"/>
    <mergeCell ref="N155:O155"/>
    <mergeCell ref="N153:O153"/>
    <mergeCell ref="Q153:R153"/>
    <mergeCell ref="S153:T153"/>
    <mergeCell ref="V153:AE157"/>
    <mergeCell ref="B154:C154"/>
    <mergeCell ref="D154:E154"/>
    <mergeCell ref="F154:G154"/>
    <mergeCell ref="H154:I154"/>
    <mergeCell ref="J154:K154"/>
    <mergeCell ref="L154:M154"/>
    <mergeCell ref="L151:N151"/>
    <mergeCell ref="O151:Q151"/>
    <mergeCell ref="B152:O152"/>
    <mergeCell ref="V152:AE152"/>
    <mergeCell ref="B153:C153"/>
    <mergeCell ref="D153:E153"/>
    <mergeCell ref="F153:G153"/>
    <mergeCell ref="H153:I153"/>
    <mergeCell ref="J153:K153"/>
    <mergeCell ref="L153:M153"/>
    <mergeCell ref="B149:D149"/>
    <mergeCell ref="E149:K149"/>
    <mergeCell ref="B150:D150"/>
    <mergeCell ref="E150:G150"/>
    <mergeCell ref="H150:I150"/>
    <mergeCell ref="J150:K150"/>
    <mergeCell ref="B147:D147"/>
    <mergeCell ref="E147:K147"/>
    <mergeCell ref="L147:N150"/>
    <mergeCell ref="O147:U150"/>
    <mergeCell ref="V147:X147"/>
    <mergeCell ref="Y147:AE147"/>
    <mergeCell ref="B148:D148"/>
    <mergeCell ref="E148:K148"/>
    <mergeCell ref="V148:X151"/>
    <mergeCell ref="Y148:AE151"/>
    <mergeCell ref="AD142:AE142"/>
    <mergeCell ref="B145:AE145"/>
    <mergeCell ref="B146:D146"/>
    <mergeCell ref="E146:K146"/>
    <mergeCell ref="L146:N146"/>
    <mergeCell ref="O146:P146"/>
    <mergeCell ref="Q146:U146"/>
    <mergeCell ref="V146:AE146"/>
    <mergeCell ref="V139:AC139"/>
    <mergeCell ref="AD139:AE139"/>
    <mergeCell ref="B140:I140"/>
    <mergeCell ref="J140:AC140"/>
    <mergeCell ref="AD140:AE140"/>
    <mergeCell ref="AB141:AC141"/>
    <mergeCell ref="AD141:AE141"/>
    <mergeCell ref="B139:C139"/>
    <mergeCell ref="D139:E139"/>
    <mergeCell ref="F139:G139"/>
    <mergeCell ref="H139:I139"/>
    <mergeCell ref="J139:L139"/>
    <mergeCell ref="M139:U139"/>
    <mergeCell ref="V137:AC137"/>
    <mergeCell ref="AD137:AE137"/>
    <mergeCell ref="B138:C138"/>
    <mergeCell ref="D138:E138"/>
    <mergeCell ref="F138:G138"/>
    <mergeCell ref="H138:I138"/>
    <mergeCell ref="J138:L138"/>
    <mergeCell ref="M138:U138"/>
    <mergeCell ref="V138:AC138"/>
    <mergeCell ref="AD138:AE138"/>
    <mergeCell ref="B137:C137"/>
    <mergeCell ref="D137:E137"/>
    <mergeCell ref="F137:G137"/>
    <mergeCell ref="H137:I137"/>
    <mergeCell ref="J137:L137"/>
    <mergeCell ref="M137:U137"/>
    <mergeCell ref="V135:AC135"/>
    <mergeCell ref="AD135:AE135"/>
    <mergeCell ref="B136:C136"/>
    <mergeCell ref="D136:E136"/>
    <mergeCell ref="F136:G136"/>
    <mergeCell ref="H136:I136"/>
    <mergeCell ref="J136:L136"/>
    <mergeCell ref="M136:U136"/>
    <mergeCell ref="V136:AC136"/>
    <mergeCell ref="AD136:AE136"/>
    <mergeCell ref="B135:C135"/>
    <mergeCell ref="D135:E135"/>
    <mergeCell ref="F135:G135"/>
    <mergeCell ref="H135:I135"/>
    <mergeCell ref="J135:L135"/>
    <mergeCell ref="M135:U135"/>
    <mergeCell ref="V133:AC133"/>
    <mergeCell ref="AD133:AE133"/>
    <mergeCell ref="B134:C134"/>
    <mergeCell ref="D134:E134"/>
    <mergeCell ref="F134:G134"/>
    <mergeCell ref="H134:I134"/>
    <mergeCell ref="J134:L134"/>
    <mergeCell ref="M134:U134"/>
    <mergeCell ref="V134:AC134"/>
    <mergeCell ref="AD134:AE134"/>
    <mergeCell ref="B133:C133"/>
    <mergeCell ref="D133:E133"/>
    <mergeCell ref="F133:G133"/>
    <mergeCell ref="H133:I133"/>
    <mergeCell ref="J133:L133"/>
    <mergeCell ref="M133:U133"/>
    <mergeCell ref="V131:AC131"/>
    <mergeCell ref="AD131:AE131"/>
    <mergeCell ref="B132:C132"/>
    <mergeCell ref="D132:E132"/>
    <mergeCell ref="F132:G132"/>
    <mergeCell ref="H132:I132"/>
    <mergeCell ref="J132:L132"/>
    <mergeCell ref="M132:U132"/>
    <mergeCell ref="V132:AC132"/>
    <mergeCell ref="AD132:AE132"/>
    <mergeCell ref="B131:C131"/>
    <mergeCell ref="D131:E131"/>
    <mergeCell ref="F131:G131"/>
    <mergeCell ref="H131:I131"/>
    <mergeCell ref="J131:L131"/>
    <mergeCell ref="M131:U131"/>
    <mergeCell ref="V129:AC129"/>
    <mergeCell ref="AD129:AE129"/>
    <mergeCell ref="B130:C130"/>
    <mergeCell ref="D130:E130"/>
    <mergeCell ref="F130:G130"/>
    <mergeCell ref="H130:I130"/>
    <mergeCell ref="J130:L130"/>
    <mergeCell ref="M130:U130"/>
    <mergeCell ref="V130:AC130"/>
    <mergeCell ref="AD130:AE130"/>
    <mergeCell ref="B129:C129"/>
    <mergeCell ref="D129:E129"/>
    <mergeCell ref="F129:G129"/>
    <mergeCell ref="H129:I129"/>
    <mergeCell ref="J129:L129"/>
    <mergeCell ref="M129:U129"/>
    <mergeCell ref="V127:AC127"/>
    <mergeCell ref="AD127:AE127"/>
    <mergeCell ref="B128:C128"/>
    <mergeCell ref="D128:E128"/>
    <mergeCell ref="F128:G128"/>
    <mergeCell ref="H128:I128"/>
    <mergeCell ref="J128:L128"/>
    <mergeCell ref="M128:U128"/>
    <mergeCell ref="V128:AC128"/>
    <mergeCell ref="AD128:AE128"/>
    <mergeCell ref="B127:C127"/>
    <mergeCell ref="D127:E127"/>
    <mergeCell ref="F127:G127"/>
    <mergeCell ref="H127:I127"/>
    <mergeCell ref="J127:L127"/>
    <mergeCell ref="M127:U127"/>
    <mergeCell ref="V125:AC125"/>
    <mergeCell ref="AD125:AE125"/>
    <mergeCell ref="B126:C126"/>
    <mergeCell ref="D126:E126"/>
    <mergeCell ref="F126:G126"/>
    <mergeCell ref="H126:I126"/>
    <mergeCell ref="J126:L126"/>
    <mergeCell ref="M126:U126"/>
    <mergeCell ref="V126:AC126"/>
    <mergeCell ref="AD126:AE126"/>
    <mergeCell ref="B125:C125"/>
    <mergeCell ref="D125:E125"/>
    <mergeCell ref="F125:G125"/>
    <mergeCell ref="H125:I125"/>
    <mergeCell ref="J125:L125"/>
    <mergeCell ref="M125:U125"/>
    <mergeCell ref="V123:AC123"/>
    <mergeCell ref="AD123:AE123"/>
    <mergeCell ref="B124:C124"/>
    <mergeCell ref="D124:E124"/>
    <mergeCell ref="F124:G124"/>
    <mergeCell ref="H124:I124"/>
    <mergeCell ref="J124:L124"/>
    <mergeCell ref="M124:U124"/>
    <mergeCell ref="V124:AC124"/>
    <mergeCell ref="AD124:AE124"/>
    <mergeCell ref="B123:C123"/>
    <mergeCell ref="D123:E123"/>
    <mergeCell ref="F123:G123"/>
    <mergeCell ref="H123:I123"/>
    <mergeCell ref="J123:L123"/>
    <mergeCell ref="M123:U123"/>
    <mergeCell ref="V121:AC121"/>
    <mergeCell ref="AD121:AE121"/>
    <mergeCell ref="B122:C122"/>
    <mergeCell ref="D122:E122"/>
    <mergeCell ref="F122:G122"/>
    <mergeCell ref="H122:I122"/>
    <mergeCell ref="J122:L122"/>
    <mergeCell ref="M122:U122"/>
    <mergeCell ref="V122:AC122"/>
    <mergeCell ref="AD122:AE122"/>
    <mergeCell ref="B121:C121"/>
    <mergeCell ref="D121:E121"/>
    <mergeCell ref="F121:G121"/>
    <mergeCell ref="H121:I121"/>
    <mergeCell ref="J121:L121"/>
    <mergeCell ref="M121:U121"/>
    <mergeCell ref="V119:AC119"/>
    <mergeCell ref="AD119:AE119"/>
    <mergeCell ref="B120:C120"/>
    <mergeCell ref="D120:E120"/>
    <mergeCell ref="F120:G120"/>
    <mergeCell ref="H120:I120"/>
    <mergeCell ref="J120:L120"/>
    <mergeCell ref="M120:U120"/>
    <mergeCell ref="V120:AC120"/>
    <mergeCell ref="AD120:AE120"/>
    <mergeCell ref="AD116:AE116"/>
    <mergeCell ref="Z117:AA117"/>
    <mergeCell ref="AB117:AC117"/>
    <mergeCell ref="AD117:AE117"/>
    <mergeCell ref="B119:C119"/>
    <mergeCell ref="D119:E119"/>
    <mergeCell ref="F119:G119"/>
    <mergeCell ref="H119:I119"/>
    <mergeCell ref="J119:L119"/>
    <mergeCell ref="M119:U119"/>
    <mergeCell ref="T115:Y115"/>
    <mergeCell ref="Z115:AA115"/>
    <mergeCell ref="AB115:AC115"/>
    <mergeCell ref="AD115:AE115"/>
    <mergeCell ref="B116:I116"/>
    <mergeCell ref="J116:L116"/>
    <mergeCell ref="M116:S116"/>
    <mergeCell ref="T116:Y116"/>
    <mergeCell ref="Z116:AA116"/>
    <mergeCell ref="AB116:AC116"/>
    <mergeCell ref="T114:Y114"/>
    <mergeCell ref="Z114:AA114"/>
    <mergeCell ref="AB114:AC114"/>
    <mergeCell ref="AD114:AE114"/>
    <mergeCell ref="B115:C115"/>
    <mergeCell ref="D115:E115"/>
    <mergeCell ref="F115:G115"/>
    <mergeCell ref="H115:I115"/>
    <mergeCell ref="J115:L115"/>
    <mergeCell ref="M115:S115"/>
    <mergeCell ref="T113:Y113"/>
    <mergeCell ref="Z113:AA113"/>
    <mergeCell ref="AB113:AC113"/>
    <mergeCell ref="AD113:AE113"/>
    <mergeCell ref="B114:C114"/>
    <mergeCell ref="D114:E114"/>
    <mergeCell ref="F114:G114"/>
    <mergeCell ref="H114:I114"/>
    <mergeCell ref="J114:L114"/>
    <mergeCell ref="M114:S114"/>
    <mergeCell ref="T112:Y112"/>
    <mergeCell ref="Z112:AA112"/>
    <mergeCell ref="AB112:AC112"/>
    <mergeCell ref="AD112:AE112"/>
    <mergeCell ref="B113:C113"/>
    <mergeCell ref="D113:E113"/>
    <mergeCell ref="F113:G113"/>
    <mergeCell ref="H113:I113"/>
    <mergeCell ref="J113:L113"/>
    <mergeCell ref="M113:S113"/>
    <mergeCell ref="T111:Y111"/>
    <mergeCell ref="Z111:AA111"/>
    <mergeCell ref="AB111:AC111"/>
    <mergeCell ref="AD111:AE111"/>
    <mergeCell ref="B112:C112"/>
    <mergeCell ref="D112:E112"/>
    <mergeCell ref="F112:G112"/>
    <mergeCell ref="H112:I112"/>
    <mergeCell ref="J112:L112"/>
    <mergeCell ref="M112:S112"/>
    <mergeCell ref="T110:Y110"/>
    <mergeCell ref="Z110:AA110"/>
    <mergeCell ref="AB110:AC110"/>
    <mergeCell ref="AD110:AE110"/>
    <mergeCell ref="B111:C111"/>
    <mergeCell ref="D111:E111"/>
    <mergeCell ref="F111:G111"/>
    <mergeCell ref="H111:I111"/>
    <mergeCell ref="J111:L111"/>
    <mergeCell ref="M111:S111"/>
    <mergeCell ref="T109:Y109"/>
    <mergeCell ref="Z109:AA109"/>
    <mergeCell ref="AB109:AC109"/>
    <mergeCell ref="AD109:AE109"/>
    <mergeCell ref="B110:C110"/>
    <mergeCell ref="D110:E110"/>
    <mergeCell ref="F110:G110"/>
    <mergeCell ref="H110:I110"/>
    <mergeCell ref="J110:L110"/>
    <mergeCell ref="M110:S110"/>
    <mergeCell ref="T108:Y108"/>
    <mergeCell ref="Z108:AA108"/>
    <mergeCell ref="AB108:AC108"/>
    <mergeCell ref="AD108:AE108"/>
    <mergeCell ref="B109:C109"/>
    <mergeCell ref="D109:E109"/>
    <mergeCell ref="F109:G109"/>
    <mergeCell ref="H109:I109"/>
    <mergeCell ref="J109:L109"/>
    <mergeCell ref="M109:S109"/>
    <mergeCell ref="T107:Y107"/>
    <mergeCell ref="Z107:AA107"/>
    <mergeCell ref="AB107:AC107"/>
    <mergeCell ref="AD107:AE107"/>
    <mergeCell ref="B108:C108"/>
    <mergeCell ref="D108:E108"/>
    <mergeCell ref="F108:G108"/>
    <mergeCell ref="H108:I108"/>
    <mergeCell ref="J108:L108"/>
    <mergeCell ref="M108:S108"/>
    <mergeCell ref="T106:Y106"/>
    <mergeCell ref="Z106:AA106"/>
    <mergeCell ref="AB106:AC106"/>
    <mergeCell ref="AD106:AE106"/>
    <mergeCell ref="B107:C107"/>
    <mergeCell ref="D107:E107"/>
    <mergeCell ref="F107:G107"/>
    <mergeCell ref="H107:I107"/>
    <mergeCell ref="J107:L107"/>
    <mergeCell ref="M107:S107"/>
    <mergeCell ref="T105:Y105"/>
    <mergeCell ref="Z105:AA105"/>
    <mergeCell ref="AB105:AC105"/>
    <mergeCell ref="AD105:AE105"/>
    <mergeCell ref="B106:C106"/>
    <mergeCell ref="D106:E106"/>
    <mergeCell ref="F106:G106"/>
    <mergeCell ref="H106:I106"/>
    <mergeCell ref="J106:L106"/>
    <mergeCell ref="M106:S106"/>
    <mergeCell ref="T104:Y104"/>
    <mergeCell ref="Z104:AA104"/>
    <mergeCell ref="AB104:AC104"/>
    <mergeCell ref="AD104:AE104"/>
    <mergeCell ref="B105:C105"/>
    <mergeCell ref="D105:E105"/>
    <mergeCell ref="F105:G105"/>
    <mergeCell ref="H105:I105"/>
    <mergeCell ref="J105:L105"/>
    <mergeCell ref="M105:S105"/>
    <mergeCell ref="T103:Y103"/>
    <mergeCell ref="Z103:AA103"/>
    <mergeCell ref="AB103:AC103"/>
    <mergeCell ref="AD103:AE103"/>
    <mergeCell ref="B104:C104"/>
    <mergeCell ref="D104:E104"/>
    <mergeCell ref="F104:G104"/>
    <mergeCell ref="H104:I104"/>
    <mergeCell ref="J104:L104"/>
    <mergeCell ref="M104:S104"/>
    <mergeCell ref="T102:Y102"/>
    <mergeCell ref="Z102:AA102"/>
    <mergeCell ref="AB102:AC102"/>
    <mergeCell ref="AD102:AE102"/>
    <mergeCell ref="B103:C103"/>
    <mergeCell ref="D103:E103"/>
    <mergeCell ref="F103:G103"/>
    <mergeCell ref="H103:I103"/>
    <mergeCell ref="J103:L103"/>
    <mergeCell ref="M103:S103"/>
    <mergeCell ref="T101:Y101"/>
    <mergeCell ref="Z101:AA101"/>
    <mergeCell ref="AB101:AC101"/>
    <mergeCell ref="AD101:AE101"/>
    <mergeCell ref="B102:C102"/>
    <mergeCell ref="D102:E102"/>
    <mergeCell ref="F102:G102"/>
    <mergeCell ref="H102:I102"/>
    <mergeCell ref="J102:L102"/>
    <mergeCell ref="M102:S102"/>
    <mergeCell ref="T100:Y100"/>
    <mergeCell ref="Z100:AA100"/>
    <mergeCell ref="AB100:AC100"/>
    <mergeCell ref="AD100:AE100"/>
    <mergeCell ref="B101:C101"/>
    <mergeCell ref="D101:E101"/>
    <mergeCell ref="F101:G101"/>
    <mergeCell ref="H101:I101"/>
    <mergeCell ref="J101:L101"/>
    <mergeCell ref="M101:S101"/>
    <mergeCell ref="T99:Y99"/>
    <mergeCell ref="Z99:AA99"/>
    <mergeCell ref="AB99:AC99"/>
    <mergeCell ref="AD99:AE99"/>
    <mergeCell ref="B100:C100"/>
    <mergeCell ref="D100:E100"/>
    <mergeCell ref="F100:G100"/>
    <mergeCell ref="H100:I100"/>
    <mergeCell ref="J100:L100"/>
    <mergeCell ref="M100:S100"/>
    <mergeCell ref="T98:Y98"/>
    <mergeCell ref="Z98:AA98"/>
    <mergeCell ref="AB98:AC98"/>
    <mergeCell ref="AD98:AE98"/>
    <mergeCell ref="B99:C99"/>
    <mergeCell ref="D99:E99"/>
    <mergeCell ref="F99:G99"/>
    <mergeCell ref="H99:I99"/>
    <mergeCell ref="J99:L99"/>
    <mergeCell ref="M99:S99"/>
    <mergeCell ref="T97:Y97"/>
    <mergeCell ref="Z97:AA97"/>
    <mergeCell ref="AB97:AC97"/>
    <mergeCell ref="AD97:AE97"/>
    <mergeCell ref="B98:C98"/>
    <mergeCell ref="D98:E98"/>
    <mergeCell ref="F98:G98"/>
    <mergeCell ref="H98:I98"/>
    <mergeCell ref="J98:L98"/>
    <mergeCell ref="M98:S98"/>
    <mergeCell ref="T96:Y96"/>
    <mergeCell ref="Z96:AA96"/>
    <mergeCell ref="AB96:AC96"/>
    <mergeCell ref="AD96:AE96"/>
    <mergeCell ref="B97:C97"/>
    <mergeCell ref="D97:E97"/>
    <mergeCell ref="F97:G97"/>
    <mergeCell ref="H97:I97"/>
    <mergeCell ref="J97:L97"/>
    <mergeCell ref="M97:S97"/>
    <mergeCell ref="T95:Y95"/>
    <mergeCell ref="Z95:AA95"/>
    <mergeCell ref="AB95:AC95"/>
    <mergeCell ref="AD95:AE95"/>
    <mergeCell ref="B96:C96"/>
    <mergeCell ref="D96:E96"/>
    <mergeCell ref="F96:G96"/>
    <mergeCell ref="H96:I96"/>
    <mergeCell ref="J96:L96"/>
    <mergeCell ref="M96:S96"/>
    <mergeCell ref="T94:Y94"/>
    <mergeCell ref="Z94:AA94"/>
    <mergeCell ref="AB94:AC94"/>
    <mergeCell ref="AD94:AE94"/>
    <mergeCell ref="B95:C95"/>
    <mergeCell ref="D95:E95"/>
    <mergeCell ref="F95:G95"/>
    <mergeCell ref="H95:I95"/>
    <mergeCell ref="J95:L95"/>
    <mergeCell ref="M95:S95"/>
    <mergeCell ref="T93:Y93"/>
    <mergeCell ref="Z93:AA93"/>
    <mergeCell ref="AB93:AC93"/>
    <mergeCell ref="AD93:AE93"/>
    <mergeCell ref="B94:C94"/>
    <mergeCell ref="D94:E94"/>
    <mergeCell ref="F94:G94"/>
    <mergeCell ref="H94:I94"/>
    <mergeCell ref="J94:L94"/>
    <mergeCell ref="M94:S94"/>
    <mergeCell ref="T92:Y92"/>
    <mergeCell ref="Z92:AA92"/>
    <mergeCell ref="AB92:AC92"/>
    <mergeCell ref="AD92:AE92"/>
    <mergeCell ref="B93:C93"/>
    <mergeCell ref="D93:E93"/>
    <mergeCell ref="F93:G93"/>
    <mergeCell ref="H93:I93"/>
    <mergeCell ref="J93:L93"/>
    <mergeCell ref="M93:S93"/>
    <mergeCell ref="T91:Y91"/>
    <mergeCell ref="Z91:AA91"/>
    <mergeCell ref="AB91:AC91"/>
    <mergeCell ref="AD91:AE91"/>
    <mergeCell ref="B92:C92"/>
    <mergeCell ref="D92:E92"/>
    <mergeCell ref="F92:G92"/>
    <mergeCell ref="H92:I92"/>
    <mergeCell ref="J92:L92"/>
    <mergeCell ref="M92:S92"/>
    <mergeCell ref="T90:Y90"/>
    <mergeCell ref="Z90:AA90"/>
    <mergeCell ref="AB90:AC90"/>
    <mergeCell ref="AD90:AE90"/>
    <mergeCell ref="B91:C91"/>
    <mergeCell ref="D91:E91"/>
    <mergeCell ref="F91:G91"/>
    <mergeCell ref="H91:I91"/>
    <mergeCell ref="J91:L91"/>
    <mergeCell ref="M91:S91"/>
    <mergeCell ref="T89:Y89"/>
    <mergeCell ref="Z89:AA89"/>
    <mergeCell ref="AB89:AC89"/>
    <mergeCell ref="AD89:AE89"/>
    <mergeCell ref="B90:C90"/>
    <mergeCell ref="D90:E90"/>
    <mergeCell ref="F90:G90"/>
    <mergeCell ref="H90:I90"/>
    <mergeCell ref="J90:L90"/>
    <mergeCell ref="M90:S90"/>
    <mergeCell ref="T88:Y88"/>
    <mergeCell ref="Z88:AA88"/>
    <mergeCell ref="AB88:AC88"/>
    <mergeCell ref="AD88:AE88"/>
    <mergeCell ref="B89:C89"/>
    <mergeCell ref="D89:E89"/>
    <mergeCell ref="F89:G89"/>
    <mergeCell ref="H89:I89"/>
    <mergeCell ref="J89:L89"/>
    <mergeCell ref="M89:S89"/>
    <mergeCell ref="T87:Y87"/>
    <mergeCell ref="Z87:AA87"/>
    <mergeCell ref="AB87:AC87"/>
    <mergeCell ref="AD87:AE87"/>
    <mergeCell ref="B88:C88"/>
    <mergeCell ref="D88:E88"/>
    <mergeCell ref="F88:G88"/>
    <mergeCell ref="H88:I88"/>
    <mergeCell ref="J88:L88"/>
    <mergeCell ref="M88:S88"/>
    <mergeCell ref="T86:Y86"/>
    <mergeCell ref="Z86:AA86"/>
    <mergeCell ref="AB86:AC86"/>
    <mergeCell ref="AD86:AE86"/>
    <mergeCell ref="B87:C87"/>
    <mergeCell ref="D87:E87"/>
    <mergeCell ref="F87:G87"/>
    <mergeCell ref="H87:I87"/>
    <mergeCell ref="J87:L87"/>
    <mergeCell ref="M87:S87"/>
    <mergeCell ref="T85:Y85"/>
    <mergeCell ref="Z85:AA85"/>
    <mergeCell ref="AB85:AC85"/>
    <mergeCell ref="AD85:AE85"/>
    <mergeCell ref="B86:C86"/>
    <mergeCell ref="D86:E86"/>
    <mergeCell ref="F86:G86"/>
    <mergeCell ref="H86:I86"/>
    <mergeCell ref="J86:L86"/>
    <mergeCell ref="M86:S86"/>
    <mergeCell ref="Z81:AA81"/>
    <mergeCell ref="AB81:AC81"/>
    <mergeCell ref="AD81:AE81"/>
    <mergeCell ref="B83:AE83"/>
    <mergeCell ref="B85:C85"/>
    <mergeCell ref="D85:E85"/>
    <mergeCell ref="F85:G85"/>
    <mergeCell ref="H85:I85"/>
    <mergeCell ref="J85:L85"/>
    <mergeCell ref="M85:S85"/>
    <mergeCell ref="N81:O81"/>
    <mergeCell ref="P81:Q81"/>
    <mergeCell ref="R81:S81"/>
    <mergeCell ref="T81:U81"/>
    <mergeCell ref="V81:W81"/>
    <mergeCell ref="X81:Y81"/>
    <mergeCell ref="B81:C81"/>
    <mergeCell ref="D81:E81"/>
    <mergeCell ref="F81:G81"/>
    <mergeCell ref="H81:I81"/>
    <mergeCell ref="J81:K81"/>
    <mergeCell ref="L81:M81"/>
    <mergeCell ref="T80:U80"/>
    <mergeCell ref="V80:W80"/>
    <mergeCell ref="X80:Y80"/>
    <mergeCell ref="Z80:AA80"/>
    <mergeCell ref="AB80:AC80"/>
    <mergeCell ref="AD80:AE80"/>
    <mergeCell ref="AD79:AE79"/>
    <mergeCell ref="B80:C80"/>
    <mergeCell ref="D80:E80"/>
    <mergeCell ref="F80:G80"/>
    <mergeCell ref="H80:I80"/>
    <mergeCell ref="J80:K80"/>
    <mergeCell ref="L80:M80"/>
    <mergeCell ref="N80:O80"/>
    <mergeCell ref="P80:Q80"/>
    <mergeCell ref="R80:S80"/>
    <mergeCell ref="R79:S79"/>
    <mergeCell ref="T79:U79"/>
    <mergeCell ref="V79:W79"/>
    <mergeCell ref="X79:Y79"/>
    <mergeCell ref="Z79:AA79"/>
    <mergeCell ref="AB79:AC79"/>
    <mergeCell ref="AB78:AC78"/>
    <mergeCell ref="AD78:AE78"/>
    <mergeCell ref="B79:C79"/>
    <mergeCell ref="D79:E79"/>
    <mergeCell ref="F79:G79"/>
    <mergeCell ref="H79:I79"/>
    <mergeCell ref="J79:K79"/>
    <mergeCell ref="L79:M79"/>
    <mergeCell ref="N79:O79"/>
    <mergeCell ref="P79:Q79"/>
    <mergeCell ref="P78:Q78"/>
    <mergeCell ref="R78:S78"/>
    <mergeCell ref="T78:U78"/>
    <mergeCell ref="V78:W78"/>
    <mergeCell ref="X78:Y78"/>
    <mergeCell ref="Z78:AA78"/>
    <mergeCell ref="Z77:AA77"/>
    <mergeCell ref="AB77:AC77"/>
    <mergeCell ref="AD77:AE77"/>
    <mergeCell ref="B78:C78"/>
    <mergeCell ref="D78:E78"/>
    <mergeCell ref="F78:G78"/>
    <mergeCell ref="H78:I78"/>
    <mergeCell ref="J78:K78"/>
    <mergeCell ref="L78:M78"/>
    <mergeCell ref="N78:O78"/>
    <mergeCell ref="N77:O77"/>
    <mergeCell ref="P77:Q77"/>
    <mergeCell ref="R77:S77"/>
    <mergeCell ref="T77:U77"/>
    <mergeCell ref="V77:W77"/>
    <mergeCell ref="X77:Y77"/>
    <mergeCell ref="B77:C77"/>
    <mergeCell ref="D77:E77"/>
    <mergeCell ref="F77:G77"/>
    <mergeCell ref="H77:I77"/>
    <mergeCell ref="J77:K77"/>
    <mergeCell ref="L77:M77"/>
    <mergeCell ref="T76:U76"/>
    <mergeCell ref="V76:W76"/>
    <mergeCell ref="X76:Y76"/>
    <mergeCell ref="Z76:AA76"/>
    <mergeCell ref="AB76:AC76"/>
    <mergeCell ref="AD76:AE76"/>
    <mergeCell ref="AD75:AE75"/>
    <mergeCell ref="B76:C76"/>
    <mergeCell ref="D76:E76"/>
    <mergeCell ref="F76:G76"/>
    <mergeCell ref="H76:I76"/>
    <mergeCell ref="J76:K76"/>
    <mergeCell ref="L76:M76"/>
    <mergeCell ref="N76:O76"/>
    <mergeCell ref="P76:Q76"/>
    <mergeCell ref="R76:S76"/>
    <mergeCell ref="R75:S75"/>
    <mergeCell ref="T75:U75"/>
    <mergeCell ref="V75:W75"/>
    <mergeCell ref="X75:Y75"/>
    <mergeCell ref="Z75:AA75"/>
    <mergeCell ref="AB75:AC75"/>
    <mergeCell ref="AB74:AC74"/>
    <mergeCell ref="AD74:AE74"/>
    <mergeCell ref="B75:C75"/>
    <mergeCell ref="D75:E75"/>
    <mergeCell ref="F75:G75"/>
    <mergeCell ref="H75:I75"/>
    <mergeCell ref="J75:K75"/>
    <mergeCell ref="L75:M75"/>
    <mergeCell ref="N75:O75"/>
    <mergeCell ref="P75:Q75"/>
    <mergeCell ref="P74:Q74"/>
    <mergeCell ref="R74:S74"/>
    <mergeCell ref="T74:U74"/>
    <mergeCell ref="V74:W74"/>
    <mergeCell ref="X74:Y74"/>
    <mergeCell ref="Z74:AA74"/>
    <mergeCell ref="Z73:AA73"/>
    <mergeCell ref="AB73:AC73"/>
    <mergeCell ref="AD73:AE73"/>
    <mergeCell ref="B74:C74"/>
    <mergeCell ref="D74:E74"/>
    <mergeCell ref="F74:G74"/>
    <mergeCell ref="H74:I74"/>
    <mergeCell ref="J74:K74"/>
    <mergeCell ref="L74:M74"/>
    <mergeCell ref="N74:O74"/>
    <mergeCell ref="N73:O73"/>
    <mergeCell ref="P73:Q73"/>
    <mergeCell ref="R73:S73"/>
    <mergeCell ref="T73:U73"/>
    <mergeCell ref="V73:W73"/>
    <mergeCell ref="X73:Y73"/>
    <mergeCell ref="B73:C73"/>
    <mergeCell ref="D73:E73"/>
    <mergeCell ref="F73:G73"/>
    <mergeCell ref="H73:I73"/>
    <mergeCell ref="J73:K73"/>
    <mergeCell ref="L73:M73"/>
    <mergeCell ref="T72:U72"/>
    <mergeCell ref="V72:W72"/>
    <mergeCell ref="X72:Y72"/>
    <mergeCell ref="Z72:AA72"/>
    <mergeCell ref="AB72:AC72"/>
    <mergeCell ref="AD72:AE72"/>
    <mergeCell ref="AD71:AE71"/>
    <mergeCell ref="B72:C72"/>
    <mergeCell ref="D72:E72"/>
    <mergeCell ref="F72:G72"/>
    <mergeCell ref="H72:I72"/>
    <mergeCell ref="J72:K72"/>
    <mergeCell ref="L72:M72"/>
    <mergeCell ref="N72:O72"/>
    <mergeCell ref="P72:Q72"/>
    <mergeCell ref="R72:S72"/>
    <mergeCell ref="R71:S71"/>
    <mergeCell ref="T71:U71"/>
    <mergeCell ref="V71:W71"/>
    <mergeCell ref="X71:Y71"/>
    <mergeCell ref="Z71:AA71"/>
    <mergeCell ref="AB71:AC71"/>
    <mergeCell ref="AB70:AC70"/>
    <mergeCell ref="AD70:AE70"/>
    <mergeCell ref="B71:C71"/>
    <mergeCell ref="D71:E71"/>
    <mergeCell ref="F71:G71"/>
    <mergeCell ref="H71:I71"/>
    <mergeCell ref="J71:K71"/>
    <mergeCell ref="L71:M71"/>
    <mergeCell ref="N71:O71"/>
    <mergeCell ref="P71:Q71"/>
    <mergeCell ref="P70:Q70"/>
    <mergeCell ref="R70:S70"/>
    <mergeCell ref="T70:U70"/>
    <mergeCell ref="V70:W70"/>
    <mergeCell ref="X70:Y70"/>
    <mergeCell ref="Z70:AA70"/>
    <mergeCell ref="Z69:AA69"/>
    <mergeCell ref="AB69:AC69"/>
    <mergeCell ref="AD69:AE69"/>
    <mergeCell ref="B70:C70"/>
    <mergeCell ref="D70:E70"/>
    <mergeCell ref="F70:G70"/>
    <mergeCell ref="H70:I70"/>
    <mergeCell ref="J70:K70"/>
    <mergeCell ref="L70:M70"/>
    <mergeCell ref="N70:O70"/>
    <mergeCell ref="N69:O69"/>
    <mergeCell ref="P69:Q69"/>
    <mergeCell ref="R69:S69"/>
    <mergeCell ref="T69:U69"/>
    <mergeCell ref="V69:W69"/>
    <mergeCell ref="X69:Y69"/>
    <mergeCell ref="B69:C69"/>
    <mergeCell ref="D69:E69"/>
    <mergeCell ref="F69:G69"/>
    <mergeCell ref="H69:I69"/>
    <mergeCell ref="J69:K69"/>
    <mergeCell ref="L69:M69"/>
    <mergeCell ref="T68:U68"/>
    <mergeCell ref="V68:W68"/>
    <mergeCell ref="X68:Y68"/>
    <mergeCell ref="Z68:AA68"/>
    <mergeCell ref="AB68:AC68"/>
    <mergeCell ref="AD68:AE68"/>
    <mergeCell ref="AD67:AE67"/>
    <mergeCell ref="B68:C68"/>
    <mergeCell ref="D68:E68"/>
    <mergeCell ref="F68:G68"/>
    <mergeCell ref="H68:I68"/>
    <mergeCell ref="J68:K68"/>
    <mergeCell ref="L68:M68"/>
    <mergeCell ref="N68:O68"/>
    <mergeCell ref="P68:Q68"/>
    <mergeCell ref="R68:S68"/>
    <mergeCell ref="R67:S67"/>
    <mergeCell ref="T67:U67"/>
    <mergeCell ref="V67:W67"/>
    <mergeCell ref="X67:Y67"/>
    <mergeCell ref="Z67:AA67"/>
    <mergeCell ref="AB67:AC67"/>
    <mergeCell ref="AB66:AC66"/>
    <mergeCell ref="AD66:AE66"/>
    <mergeCell ref="B67:C67"/>
    <mergeCell ref="D67:E67"/>
    <mergeCell ref="F67:G67"/>
    <mergeCell ref="H67:I67"/>
    <mergeCell ref="J67:K67"/>
    <mergeCell ref="L67:M67"/>
    <mergeCell ref="N67:O67"/>
    <mergeCell ref="P67:Q67"/>
    <mergeCell ref="P66:Q66"/>
    <mergeCell ref="R66:S66"/>
    <mergeCell ref="T66:U66"/>
    <mergeCell ref="V66:W66"/>
    <mergeCell ref="X66:Y66"/>
    <mergeCell ref="Z66:AA66"/>
    <mergeCell ref="Z65:AA65"/>
    <mergeCell ref="AB65:AC65"/>
    <mergeCell ref="AD65:AE65"/>
    <mergeCell ref="B66:C66"/>
    <mergeCell ref="D66:E66"/>
    <mergeCell ref="F66:G66"/>
    <mergeCell ref="H66:I66"/>
    <mergeCell ref="J66:K66"/>
    <mergeCell ref="L66:M66"/>
    <mergeCell ref="N66:O66"/>
    <mergeCell ref="N65:O65"/>
    <mergeCell ref="P65:Q65"/>
    <mergeCell ref="R65:S65"/>
    <mergeCell ref="T65:U65"/>
    <mergeCell ref="V65:W65"/>
    <mergeCell ref="X65:Y65"/>
    <mergeCell ref="B65:C65"/>
    <mergeCell ref="D65:E65"/>
    <mergeCell ref="F65:G65"/>
    <mergeCell ref="H65:I65"/>
    <mergeCell ref="J65:K65"/>
    <mergeCell ref="L65:M65"/>
    <mergeCell ref="T64:U64"/>
    <mergeCell ref="V64:W64"/>
    <mergeCell ref="X64:Y64"/>
    <mergeCell ref="Z64:AA64"/>
    <mergeCell ref="AB64:AC64"/>
    <mergeCell ref="AD64:AE64"/>
    <mergeCell ref="AD63:AE63"/>
    <mergeCell ref="B64:C64"/>
    <mergeCell ref="D64:E64"/>
    <mergeCell ref="F64:G64"/>
    <mergeCell ref="H64:I64"/>
    <mergeCell ref="J64:K64"/>
    <mergeCell ref="L64:M64"/>
    <mergeCell ref="N64:O64"/>
    <mergeCell ref="P64:Q64"/>
    <mergeCell ref="R64:S64"/>
    <mergeCell ref="R63:S63"/>
    <mergeCell ref="T63:U63"/>
    <mergeCell ref="V63:W63"/>
    <mergeCell ref="X63:Y63"/>
    <mergeCell ref="Z63:AA63"/>
    <mergeCell ref="AB63:AC63"/>
    <mergeCell ref="AB62:AC62"/>
    <mergeCell ref="AD62:AE62"/>
    <mergeCell ref="B63:C63"/>
    <mergeCell ref="D63:E63"/>
    <mergeCell ref="F63:G63"/>
    <mergeCell ref="H63:I63"/>
    <mergeCell ref="J63:K63"/>
    <mergeCell ref="L63:M63"/>
    <mergeCell ref="N63:O63"/>
    <mergeCell ref="P63:Q63"/>
    <mergeCell ref="P62:Q62"/>
    <mergeCell ref="R62:S62"/>
    <mergeCell ref="T62:U62"/>
    <mergeCell ref="V62:W62"/>
    <mergeCell ref="X62:Y62"/>
    <mergeCell ref="Z62:AA62"/>
    <mergeCell ref="Z61:AA61"/>
    <mergeCell ref="AB61:AC61"/>
    <mergeCell ref="AD61:AE61"/>
    <mergeCell ref="B62:C62"/>
    <mergeCell ref="D62:E62"/>
    <mergeCell ref="F62:G62"/>
    <mergeCell ref="H62:I62"/>
    <mergeCell ref="J62:K62"/>
    <mergeCell ref="L62:M62"/>
    <mergeCell ref="N62:O62"/>
    <mergeCell ref="N61:O61"/>
    <mergeCell ref="P61:Q61"/>
    <mergeCell ref="R61:S61"/>
    <mergeCell ref="T61:U61"/>
    <mergeCell ref="V61:W61"/>
    <mergeCell ref="X61:Y61"/>
    <mergeCell ref="B61:C61"/>
    <mergeCell ref="D61:E61"/>
    <mergeCell ref="F61:G61"/>
    <mergeCell ref="H61:I61"/>
    <mergeCell ref="J61:K61"/>
    <mergeCell ref="L61:M61"/>
    <mergeCell ref="T60:U60"/>
    <mergeCell ref="V60:W60"/>
    <mergeCell ref="X60:Y60"/>
    <mergeCell ref="Z60:AA60"/>
    <mergeCell ref="AB60:AC60"/>
    <mergeCell ref="AD60:AE60"/>
    <mergeCell ref="AD59:AE59"/>
    <mergeCell ref="B60:C60"/>
    <mergeCell ref="D60:E60"/>
    <mergeCell ref="F60:G60"/>
    <mergeCell ref="H60:I60"/>
    <mergeCell ref="J60:K60"/>
    <mergeCell ref="L60:M60"/>
    <mergeCell ref="N60:O60"/>
    <mergeCell ref="P60:Q60"/>
    <mergeCell ref="R60:S60"/>
    <mergeCell ref="R59:S59"/>
    <mergeCell ref="T59:U59"/>
    <mergeCell ref="V59:W59"/>
    <mergeCell ref="X59:Y59"/>
    <mergeCell ref="Z59:AA59"/>
    <mergeCell ref="AB59:AC59"/>
    <mergeCell ref="AB58:AC58"/>
    <mergeCell ref="AD58:AE58"/>
    <mergeCell ref="B59:C59"/>
    <mergeCell ref="D59:E59"/>
    <mergeCell ref="F59:G59"/>
    <mergeCell ref="H59:I59"/>
    <mergeCell ref="J59:K59"/>
    <mergeCell ref="L59:M59"/>
    <mergeCell ref="N59:O59"/>
    <mergeCell ref="P59:Q59"/>
    <mergeCell ref="P58:Q58"/>
    <mergeCell ref="R58:S58"/>
    <mergeCell ref="T58:U58"/>
    <mergeCell ref="V58:W58"/>
    <mergeCell ref="X58:Y58"/>
    <mergeCell ref="Z58:AA58"/>
    <mergeCell ref="Z57:AA57"/>
    <mergeCell ref="AB57:AC57"/>
    <mergeCell ref="AD57:AE57"/>
    <mergeCell ref="B58:C58"/>
    <mergeCell ref="D58:E58"/>
    <mergeCell ref="F58:G58"/>
    <mergeCell ref="H58:I58"/>
    <mergeCell ref="J58:K58"/>
    <mergeCell ref="L58:M58"/>
    <mergeCell ref="N58:O58"/>
    <mergeCell ref="N57:O57"/>
    <mergeCell ref="P57:Q57"/>
    <mergeCell ref="R57:S57"/>
    <mergeCell ref="T57:U57"/>
    <mergeCell ref="V57:W57"/>
    <mergeCell ref="X57:Y57"/>
    <mergeCell ref="X56:Y56"/>
    <mergeCell ref="Z56:AA56"/>
    <mergeCell ref="AB56:AC56"/>
    <mergeCell ref="AD56:AE56"/>
    <mergeCell ref="B57:C57"/>
    <mergeCell ref="D57:E57"/>
    <mergeCell ref="F57:G57"/>
    <mergeCell ref="H57:I57"/>
    <mergeCell ref="J57:K57"/>
    <mergeCell ref="L57:M57"/>
    <mergeCell ref="L56:M56"/>
    <mergeCell ref="N56:O56"/>
    <mergeCell ref="P56:Q56"/>
    <mergeCell ref="R56:S56"/>
    <mergeCell ref="T56:U56"/>
    <mergeCell ref="V56:W56"/>
    <mergeCell ref="V55:W55"/>
    <mergeCell ref="X55:Y55"/>
    <mergeCell ref="Z55:AA55"/>
    <mergeCell ref="AB55:AC55"/>
    <mergeCell ref="AD55:AE55"/>
    <mergeCell ref="B56:C56"/>
    <mergeCell ref="D56:E56"/>
    <mergeCell ref="F56:G56"/>
    <mergeCell ref="H56:I56"/>
    <mergeCell ref="J56:K56"/>
    <mergeCell ref="B54:AE54"/>
    <mergeCell ref="D55:E55"/>
    <mergeCell ref="F55:G55"/>
    <mergeCell ref="H55:I55"/>
    <mergeCell ref="J55:K55"/>
    <mergeCell ref="L55:M55"/>
    <mergeCell ref="N55:O55"/>
    <mergeCell ref="P55:Q55"/>
    <mergeCell ref="R55:S55"/>
    <mergeCell ref="T55:U55"/>
    <mergeCell ref="M50:Q50"/>
    <mergeCell ref="R50:S50"/>
    <mergeCell ref="T50:U50"/>
    <mergeCell ref="V50:W50"/>
    <mergeCell ref="X50:Y50"/>
    <mergeCell ref="M51:Q51"/>
    <mergeCell ref="R51:S51"/>
    <mergeCell ref="T51:U51"/>
    <mergeCell ref="V51:W51"/>
    <mergeCell ref="X51:Y51"/>
    <mergeCell ref="M48:Q48"/>
    <mergeCell ref="R48:S48"/>
    <mergeCell ref="T48:U48"/>
    <mergeCell ref="V48:W48"/>
    <mergeCell ref="X48:Y48"/>
    <mergeCell ref="M49:Q49"/>
    <mergeCell ref="R49:S49"/>
    <mergeCell ref="T49:U49"/>
    <mergeCell ref="V49:W49"/>
    <mergeCell ref="X49:Y49"/>
    <mergeCell ref="K47:L47"/>
    <mergeCell ref="M47:Q47"/>
    <mergeCell ref="R47:S47"/>
    <mergeCell ref="T47:U47"/>
    <mergeCell ref="V47:W47"/>
    <mergeCell ref="X47:Y47"/>
    <mergeCell ref="M45:Q45"/>
    <mergeCell ref="R45:S45"/>
    <mergeCell ref="T45:U45"/>
    <mergeCell ref="V45:W45"/>
    <mergeCell ref="X45:Y45"/>
    <mergeCell ref="M46:Q46"/>
    <mergeCell ref="R46:S46"/>
    <mergeCell ref="T46:U46"/>
    <mergeCell ref="V46:W46"/>
    <mergeCell ref="X46:Y46"/>
    <mergeCell ref="M43:Q43"/>
    <mergeCell ref="R43:S43"/>
    <mergeCell ref="T43:U43"/>
    <mergeCell ref="V43:W43"/>
    <mergeCell ref="X43:Y43"/>
    <mergeCell ref="M44:Q44"/>
    <mergeCell ref="R44:S44"/>
    <mergeCell ref="T44:U44"/>
    <mergeCell ref="V44:W44"/>
    <mergeCell ref="X44:Y44"/>
    <mergeCell ref="M41:Q41"/>
    <mergeCell ref="R41:S41"/>
    <mergeCell ref="T41:U41"/>
    <mergeCell ref="V41:W41"/>
    <mergeCell ref="X41:Y41"/>
    <mergeCell ref="M42:Q42"/>
    <mergeCell ref="R42:S42"/>
    <mergeCell ref="T42:U42"/>
    <mergeCell ref="V42:W42"/>
    <mergeCell ref="X42:Y42"/>
    <mergeCell ref="M39:Q39"/>
    <mergeCell ref="R39:S39"/>
    <mergeCell ref="T39:U39"/>
    <mergeCell ref="V39:W39"/>
    <mergeCell ref="X39:Y39"/>
    <mergeCell ref="M40:Q40"/>
    <mergeCell ref="R40:S40"/>
    <mergeCell ref="T40:U40"/>
    <mergeCell ref="V40:W40"/>
    <mergeCell ref="X40:Y40"/>
    <mergeCell ref="M37:Q37"/>
    <mergeCell ref="R37:S37"/>
    <mergeCell ref="T37:U37"/>
    <mergeCell ref="V37:W37"/>
    <mergeCell ref="X37:Y37"/>
    <mergeCell ref="M38:Q38"/>
    <mergeCell ref="R38:S38"/>
    <mergeCell ref="T38:U38"/>
    <mergeCell ref="V38:W38"/>
    <mergeCell ref="X38:Y38"/>
    <mergeCell ref="X35:Y35"/>
    <mergeCell ref="M36:Q36"/>
    <mergeCell ref="R36:S36"/>
    <mergeCell ref="T36:U36"/>
    <mergeCell ref="V36:W36"/>
    <mergeCell ref="X36:Y36"/>
    <mergeCell ref="M34:Q34"/>
    <mergeCell ref="R34:S34"/>
    <mergeCell ref="T34:U34"/>
    <mergeCell ref="V34:W34"/>
    <mergeCell ref="X34:Y34"/>
    <mergeCell ref="L35:L46"/>
    <mergeCell ref="M35:Q35"/>
    <mergeCell ref="R35:S35"/>
    <mergeCell ref="T35:U35"/>
    <mergeCell ref="V35:W35"/>
    <mergeCell ref="X32:Y32"/>
    <mergeCell ref="M33:Q33"/>
    <mergeCell ref="R33:S33"/>
    <mergeCell ref="T33:U33"/>
    <mergeCell ref="V33:W33"/>
    <mergeCell ref="X33:Y33"/>
    <mergeCell ref="B29:AE29"/>
    <mergeCell ref="R31:S31"/>
    <mergeCell ref="T31:U31"/>
    <mergeCell ref="V31:W31"/>
    <mergeCell ref="X31:Y31"/>
    <mergeCell ref="K32:L32"/>
    <mergeCell ref="M32:Q32"/>
    <mergeCell ref="R32:S32"/>
    <mergeCell ref="T32:U32"/>
    <mergeCell ref="V32:W32"/>
    <mergeCell ref="Y23:AA23"/>
    <mergeCell ref="AB23:AC23"/>
    <mergeCell ref="AD23:AE23"/>
    <mergeCell ref="N25:V25"/>
    <mergeCell ref="N26:O26"/>
    <mergeCell ref="P26:R26"/>
    <mergeCell ref="S26:T27"/>
    <mergeCell ref="U26:V27"/>
    <mergeCell ref="N27:O27"/>
    <mergeCell ref="P27:R27"/>
    <mergeCell ref="AD20:AE20"/>
    <mergeCell ref="Y21:AA21"/>
    <mergeCell ref="AB21:AC21"/>
    <mergeCell ref="AD21:AE21"/>
    <mergeCell ref="Y22:AA22"/>
    <mergeCell ref="AB22:AC22"/>
    <mergeCell ref="AD22:AE22"/>
    <mergeCell ref="B19:L27"/>
    <mergeCell ref="N19:P19"/>
    <mergeCell ref="Q19:W19"/>
    <mergeCell ref="Y19:AA19"/>
    <mergeCell ref="AB19:AC19"/>
    <mergeCell ref="AD19:AE19"/>
    <mergeCell ref="N20:P20"/>
    <mergeCell ref="Q20:V20"/>
    <mergeCell ref="Y20:AA20"/>
    <mergeCell ref="AB20:AC20"/>
    <mergeCell ref="Y17:AA17"/>
    <mergeCell ref="AB17:AC17"/>
    <mergeCell ref="AD17:AE17"/>
    <mergeCell ref="B18:L18"/>
    <mergeCell ref="N18:P18"/>
    <mergeCell ref="Q18:W18"/>
    <mergeCell ref="Y18:AA18"/>
    <mergeCell ref="AB18:AC18"/>
    <mergeCell ref="AD18:AE18"/>
    <mergeCell ref="AB14:AC14"/>
    <mergeCell ref="AD14:AE14"/>
    <mergeCell ref="Y15:AA15"/>
    <mergeCell ref="AB15:AC15"/>
    <mergeCell ref="AD15:AE15"/>
    <mergeCell ref="N16:P16"/>
    <mergeCell ref="Q16:S16"/>
    <mergeCell ref="Y16:AA16"/>
    <mergeCell ref="AB16:AC16"/>
    <mergeCell ref="AD16:AE16"/>
    <mergeCell ref="B12:L17"/>
    <mergeCell ref="N12:P15"/>
    <mergeCell ref="Q12:W15"/>
    <mergeCell ref="Y12:AA12"/>
    <mergeCell ref="AB12:AC12"/>
    <mergeCell ref="AD12:AE12"/>
    <mergeCell ref="Y13:AA13"/>
    <mergeCell ref="AB13:AC13"/>
    <mergeCell ref="AD13:AE13"/>
    <mergeCell ref="Y14:AA14"/>
    <mergeCell ref="B11:L11"/>
    <mergeCell ref="N11:P11"/>
    <mergeCell ref="Q11:R11"/>
    <mergeCell ref="S11:W11"/>
    <mergeCell ref="AB11:AC11"/>
    <mergeCell ref="AD11:AE11"/>
    <mergeCell ref="B9:D9"/>
    <mergeCell ref="E9:W9"/>
    <mergeCell ref="Z9:AC9"/>
    <mergeCell ref="AD9:AE9"/>
    <mergeCell ref="Z10:AC10"/>
    <mergeCell ref="AD10:AE10"/>
    <mergeCell ref="Z7:AC7"/>
    <mergeCell ref="AD7:AE7"/>
    <mergeCell ref="B8:D8"/>
    <mergeCell ref="E8:W8"/>
    <mergeCell ref="Z8:AC8"/>
    <mergeCell ref="AD8:AE8"/>
    <mergeCell ref="B6:D6"/>
    <mergeCell ref="E6:G6"/>
    <mergeCell ref="N6:P6"/>
    <mergeCell ref="Q6:W6"/>
    <mergeCell ref="Z6:AC6"/>
    <mergeCell ref="AD6:AE6"/>
    <mergeCell ref="AD3:AE3"/>
    <mergeCell ref="B4:D4"/>
    <mergeCell ref="E4:W4"/>
    <mergeCell ref="Z4:AC4"/>
    <mergeCell ref="AD4:AE4"/>
    <mergeCell ref="B5:D5"/>
    <mergeCell ref="E5:W5"/>
    <mergeCell ref="Z5:AC5"/>
    <mergeCell ref="AD5:AE5"/>
    <mergeCell ref="X1:Y1"/>
    <mergeCell ref="Z1:AB1"/>
    <mergeCell ref="B3:D3"/>
    <mergeCell ref="E3:K3"/>
    <mergeCell ref="N3:P3"/>
    <mergeCell ref="Q3:W3"/>
    <mergeCell ref="Z3:AC3"/>
  </mergeCells>
  <pageMargins left="0.511811024" right="0.511811024" top="0.78740157499999996" bottom="0.78740157499999996" header="0.31496062000000002" footer="0.31496062000000002"/>
  <pageSetup paperSize="9" scale="38" orientation="portrait" r:id="rId1"/>
  <colBreaks count="1" manualBreakCount="1">
    <brk id="32" max="1048575" man="1"/>
  </colBreaks>
  <drawing r:id="rId2"/>
  <legacyDrawing r:id="rId3"/>
  <controls>
    <mc:AlternateContent xmlns:mc="http://schemas.openxmlformats.org/markup-compatibility/2006">
      <mc:Choice Requires="x14">
        <control shapeId="40962" r:id="rId4" name="cmd_Pintar">
          <controlPr defaultSize="0" autoLine="0" r:id="rId5">
            <anchor moveWithCells="1">
              <from>
                <xdr:col>22</xdr:col>
                <xdr:colOff>76200</xdr:colOff>
                <xdr:row>24</xdr:row>
                <xdr:rowOff>28575</xdr:rowOff>
              </from>
              <to>
                <xdr:col>23</xdr:col>
                <xdr:colOff>85725</xdr:colOff>
                <xdr:row>26</xdr:row>
                <xdr:rowOff>142875</xdr:rowOff>
              </to>
            </anchor>
          </controlPr>
        </control>
      </mc:Choice>
      <mc:Fallback>
        <control shapeId="40962" r:id="rId4" name="cmd_Pintar"/>
      </mc:Fallback>
    </mc:AlternateContent>
    <mc:AlternateContent xmlns:mc="http://schemas.openxmlformats.org/markup-compatibility/2006">
      <mc:Choice Requires="x14">
        <control shapeId="40961" r:id="rId6" name="cmd_Lock">
          <controlPr defaultSize="0" autoLine="0" r:id="rId7">
            <anchor moveWithCells="1">
              <from>
                <xdr:col>30</xdr:col>
                <xdr:colOff>114300</xdr:colOff>
                <xdr:row>0</xdr:row>
                <xdr:rowOff>85725</xdr:rowOff>
              </from>
              <to>
                <xdr:col>30</xdr:col>
                <xdr:colOff>428625</xdr:colOff>
                <xdr:row>1</xdr:row>
                <xdr:rowOff>180975</xdr:rowOff>
              </to>
            </anchor>
          </controlPr>
        </control>
      </mc:Choice>
      <mc:Fallback>
        <control shapeId="40961" r:id="rId6" name="cmd_Lock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_Ficha">
    <tabColor rgb="FF00B050"/>
  </sheetPr>
  <dimension ref="A1:AH182"/>
  <sheetViews>
    <sheetView showGridLines="0" showRowColHeaders="0" zoomScale="85" zoomScaleNormal="85" workbookViewId="0">
      <selection activeCell="B4" sqref="B4:D4"/>
    </sheetView>
  </sheetViews>
  <sheetFormatPr defaultColWidth="0" defaultRowHeight="12.75" zeroHeight="1" x14ac:dyDescent="0.25"/>
  <cols>
    <col min="1" max="1" width="1.7109375" style="60" customWidth="1"/>
    <col min="2" max="7" width="6.28515625" style="60" customWidth="1"/>
    <col min="8" max="8" width="6" style="60" customWidth="1"/>
    <col min="9" max="9" width="7.28515625" style="60" customWidth="1"/>
    <col min="10" max="30" width="6.28515625" style="60" customWidth="1"/>
    <col min="31" max="31" width="7" style="60" customWidth="1"/>
    <col min="32" max="32" width="1.7109375" style="60" customWidth="1"/>
    <col min="33" max="33" width="25.85546875" style="60" hidden="1" customWidth="1"/>
    <col min="34" max="34" width="10.28515625" style="60" hidden="1" customWidth="1"/>
    <col min="35" max="16384" width="0" style="60" hidden="1"/>
  </cols>
  <sheetData>
    <row r="1" spans="1:34" ht="20.25" x14ac:dyDescent="0.2">
      <c r="A1" s="96"/>
      <c r="C1" s="123" t="s">
        <v>968</v>
      </c>
      <c r="D1" s="61"/>
      <c r="E1" s="61"/>
      <c r="F1" s="61"/>
      <c r="G1" s="61"/>
      <c r="H1" s="61"/>
      <c r="I1" s="61"/>
      <c r="J1" s="62"/>
      <c r="K1" s="62"/>
      <c r="L1" s="62"/>
      <c r="M1" s="61"/>
      <c r="N1" s="61"/>
      <c r="O1" s="63"/>
      <c r="P1" s="63"/>
      <c r="Q1" s="63"/>
      <c r="R1" s="63"/>
      <c r="S1" s="63"/>
      <c r="T1" s="63"/>
      <c r="U1" s="63"/>
      <c r="V1" s="63"/>
      <c r="W1" s="63"/>
      <c r="X1" s="719" t="s">
        <v>449</v>
      </c>
      <c r="Y1" s="719"/>
      <c r="Z1" s="720">
        <f>TB_DEFESA!$B$2</f>
        <v>20170802161729</v>
      </c>
      <c r="AA1" s="720"/>
      <c r="AB1" s="720"/>
      <c r="AC1" s="63"/>
    </row>
    <row r="2" spans="1:34" ht="22.5" customHeight="1" thickBot="1" x14ac:dyDescent="0.3">
      <c r="C2" s="64" t="str">
        <f>Defesa!B3</f>
        <v>Versão:</v>
      </c>
      <c r="D2" s="65" t="str">
        <f>Defesa!$C$3</f>
        <v>2017.04</v>
      </c>
      <c r="E2" s="65"/>
      <c r="F2" s="65"/>
      <c r="G2" s="65"/>
      <c r="H2" s="65"/>
      <c r="I2" s="65"/>
      <c r="M2" s="65"/>
      <c r="N2" s="65"/>
      <c r="AH2" s="92"/>
    </row>
    <row r="3" spans="1:34" ht="15" customHeight="1" thickBot="1" x14ac:dyDescent="0.3">
      <c r="B3" s="721" t="s">
        <v>32</v>
      </c>
      <c r="C3" s="722"/>
      <c r="D3" s="723"/>
      <c r="E3" s="724" t="str">
        <f>TB_DEFESA!$D$2</f>
        <v>Batimento Digital RAID-Cadastro Minha Oi</v>
      </c>
      <c r="F3" s="725"/>
      <c r="G3" s="725"/>
      <c r="H3" s="725"/>
      <c r="I3" s="725"/>
      <c r="J3" s="725"/>
      <c r="K3" s="726"/>
      <c r="N3" s="727" t="s">
        <v>846</v>
      </c>
      <c r="O3" s="728"/>
      <c r="P3" s="729"/>
      <c r="Q3" s="730" t="str">
        <f>TB_DEFESA!$E$2</f>
        <v>Eduardo Pereira Damasceno Lima</v>
      </c>
      <c r="R3" s="731"/>
      <c r="S3" s="731"/>
      <c r="T3" s="731"/>
      <c r="U3" s="731"/>
      <c r="V3" s="731"/>
      <c r="W3" s="732"/>
      <c r="Z3" s="733" t="s">
        <v>215</v>
      </c>
      <c r="AA3" s="734"/>
      <c r="AB3" s="734"/>
      <c r="AC3" s="735"/>
      <c r="AD3" s="711">
        <f>SUM(AD4:AE7)</f>
        <v>14787.465</v>
      </c>
      <c r="AE3" s="712"/>
    </row>
    <row r="4" spans="1:34" ht="15" customHeight="1" x14ac:dyDescent="0.25">
      <c r="B4" s="468" t="s">
        <v>847</v>
      </c>
      <c r="C4" s="469"/>
      <c r="D4" s="470"/>
      <c r="E4" s="713" t="str">
        <f>TB_DEFESA!$AJ$2</f>
        <v>PRJ00021292</v>
      </c>
      <c r="F4" s="714"/>
      <c r="G4" s="714"/>
      <c r="H4" s="714"/>
      <c r="I4" s="714"/>
      <c r="J4" s="714"/>
      <c r="K4" s="714"/>
      <c r="L4" s="714"/>
      <c r="M4" s="714"/>
      <c r="N4" s="714"/>
      <c r="O4" s="714"/>
      <c r="P4" s="714"/>
      <c r="Q4" s="714"/>
      <c r="R4" s="714"/>
      <c r="S4" s="714"/>
      <c r="T4" s="714"/>
      <c r="U4" s="714"/>
      <c r="V4" s="714"/>
      <c r="W4" s="715"/>
      <c r="Z4" s="706" t="s">
        <v>947</v>
      </c>
      <c r="AA4" s="707"/>
      <c r="AB4" s="707"/>
      <c r="AC4" s="708"/>
      <c r="AD4" s="709">
        <f>SUMIFS(Propostas!$AA$8:$AA$507, Propostas!$G$8:$G$507, "SIM")</f>
        <v>0</v>
      </c>
      <c r="AE4" s="710"/>
    </row>
    <row r="5" spans="1:34" ht="15" customHeight="1" x14ac:dyDescent="0.25">
      <c r="B5" s="468" t="s">
        <v>672</v>
      </c>
      <c r="C5" s="469"/>
      <c r="D5" s="470"/>
      <c r="E5" s="716" t="str">
        <f>TB_DEFESA!$AG$2</f>
        <v>PRJ00021293</v>
      </c>
      <c r="F5" s="717"/>
      <c r="G5" s="717"/>
      <c r="H5" s="717"/>
      <c r="I5" s="717"/>
      <c r="J5" s="717"/>
      <c r="K5" s="717"/>
      <c r="L5" s="717"/>
      <c r="M5" s="717"/>
      <c r="N5" s="717"/>
      <c r="O5" s="717"/>
      <c r="P5" s="717"/>
      <c r="Q5" s="717"/>
      <c r="R5" s="717"/>
      <c r="S5" s="717"/>
      <c r="T5" s="717"/>
      <c r="U5" s="717"/>
      <c r="V5" s="717"/>
      <c r="W5" s="718"/>
      <c r="Z5" s="706" t="s">
        <v>948</v>
      </c>
      <c r="AA5" s="707"/>
      <c r="AB5" s="707"/>
      <c r="AC5" s="708"/>
      <c r="AD5" s="709">
        <f>SUMIFS(Propostas!$AA$8:$AA$507, Propostas!$G$8:$G$507, "NÃO", Propostas!$V$8:$V$507, 0)</f>
        <v>0</v>
      </c>
      <c r="AE5" s="710"/>
    </row>
    <row r="6" spans="1:34" ht="15" customHeight="1" x14ac:dyDescent="0.25">
      <c r="B6" s="457" t="s">
        <v>404</v>
      </c>
      <c r="C6" s="458"/>
      <c r="D6" s="459"/>
      <c r="E6" s="703" t="str">
        <f>TB_DEFESA!$C$2</f>
        <v>PROJETO</v>
      </c>
      <c r="F6" s="704"/>
      <c r="G6" s="705"/>
      <c r="N6" s="457" t="s">
        <v>12</v>
      </c>
      <c r="O6" s="458"/>
      <c r="P6" s="459"/>
      <c r="Q6" s="703" t="str">
        <f>TB_DEFESA!Q2</f>
        <v>Evolutivas</v>
      </c>
      <c r="R6" s="704"/>
      <c r="S6" s="704"/>
      <c r="T6" s="704"/>
      <c r="U6" s="704"/>
      <c r="V6" s="704"/>
      <c r="W6" s="705"/>
      <c r="Z6" s="706" t="s">
        <v>844</v>
      </c>
      <c r="AA6" s="707"/>
      <c r="AB6" s="707"/>
      <c r="AC6" s="708"/>
      <c r="AD6" s="709">
        <f>SUM(AD12:AE23)</f>
        <v>14787.465</v>
      </c>
      <c r="AE6" s="710"/>
      <c r="AG6" s="92"/>
    </row>
    <row r="7" spans="1:34" ht="15" customHeight="1" x14ac:dyDescent="0.25">
      <c r="Z7" s="697" t="s">
        <v>434</v>
      </c>
      <c r="AA7" s="698"/>
      <c r="AB7" s="698"/>
      <c r="AC7" s="699"/>
      <c r="AD7" s="695">
        <f>SUM(AB12:AC23)</f>
        <v>0</v>
      </c>
      <c r="AE7" s="696"/>
    </row>
    <row r="8" spans="1:34" x14ac:dyDescent="0.25">
      <c r="B8" s="487" t="s">
        <v>232</v>
      </c>
      <c r="C8" s="488"/>
      <c r="D8" s="510"/>
      <c r="E8" s="700" t="str">
        <f>TB_DEFESA!$AH$2</f>
        <v>IBM - Torre I - Faturamento e Mediação (Extrabaseline)</v>
      </c>
      <c r="F8" s="701"/>
      <c r="G8" s="701"/>
      <c r="H8" s="701"/>
      <c r="I8" s="701"/>
      <c r="J8" s="701"/>
      <c r="K8" s="701"/>
      <c r="L8" s="701"/>
      <c r="M8" s="701"/>
      <c r="N8" s="701"/>
      <c r="O8" s="701"/>
      <c r="P8" s="701"/>
      <c r="Q8" s="701"/>
      <c r="R8" s="701"/>
      <c r="S8" s="701"/>
      <c r="T8" s="701"/>
      <c r="U8" s="701"/>
      <c r="V8" s="701"/>
      <c r="W8" s="702"/>
      <c r="Z8" s="457" t="s">
        <v>678</v>
      </c>
      <c r="AA8" s="458"/>
      <c r="AB8" s="458"/>
      <c r="AC8" s="459"/>
      <c r="AD8" s="695">
        <f>TB_DEFESA!AB2</f>
        <v>0</v>
      </c>
      <c r="AE8" s="696"/>
    </row>
    <row r="9" spans="1:34" ht="15" customHeight="1" x14ac:dyDescent="0.25">
      <c r="B9" s="457" t="s">
        <v>937</v>
      </c>
      <c r="C9" s="458"/>
      <c r="D9" s="459"/>
      <c r="E9" s="692" t="str">
        <f>TB_DEFESA!$R$2</f>
        <v>Custo Final</v>
      </c>
      <c r="F9" s="693"/>
      <c r="G9" s="693"/>
      <c r="H9" s="693"/>
      <c r="I9" s="693"/>
      <c r="J9" s="693"/>
      <c r="K9" s="693"/>
      <c r="L9" s="693"/>
      <c r="M9" s="693"/>
      <c r="N9" s="693"/>
      <c r="O9" s="693"/>
      <c r="P9" s="693"/>
      <c r="Q9" s="693"/>
      <c r="R9" s="693"/>
      <c r="S9" s="693"/>
      <c r="T9" s="693"/>
      <c r="U9" s="693"/>
      <c r="V9" s="693"/>
      <c r="W9" s="694"/>
      <c r="Z9" s="457" t="s">
        <v>848</v>
      </c>
      <c r="AA9" s="458"/>
      <c r="AB9" s="458"/>
      <c r="AC9" s="459"/>
      <c r="AD9" s="695">
        <f>TB_DEFESA!AC2</f>
        <v>14787</v>
      </c>
      <c r="AE9" s="696"/>
    </row>
    <row r="10" spans="1:34" ht="15" customHeight="1" x14ac:dyDescent="0.25">
      <c r="Z10" s="457" t="s">
        <v>856</v>
      </c>
      <c r="AA10" s="458"/>
      <c r="AB10" s="458"/>
      <c r="AC10" s="459"/>
      <c r="AD10" s="695">
        <f>TB_DEFESA!AD2</f>
        <v>14787</v>
      </c>
      <c r="AE10" s="696"/>
      <c r="AH10" s="92"/>
    </row>
    <row r="11" spans="1:34" ht="15" customHeight="1" x14ac:dyDescent="0.25">
      <c r="B11" s="410" t="s">
        <v>233</v>
      </c>
      <c r="C11" s="411"/>
      <c r="D11" s="411"/>
      <c r="E11" s="411"/>
      <c r="F11" s="411"/>
      <c r="G11" s="411"/>
      <c r="H11" s="411"/>
      <c r="I11" s="411"/>
      <c r="J11" s="411"/>
      <c r="K11" s="411"/>
      <c r="L11" s="412"/>
      <c r="N11" s="487" t="s">
        <v>234</v>
      </c>
      <c r="O11" s="488"/>
      <c r="P11" s="510"/>
      <c r="Q11" s="460" t="str">
        <f>TB_DEFESA!$F$2</f>
        <v>CRIAR</v>
      </c>
      <c r="R11" s="462"/>
      <c r="S11" s="460" t="str">
        <f>TB_DEFESA!$G$2</f>
        <v>PRJ00021293</v>
      </c>
      <c r="T11" s="461"/>
      <c r="U11" s="461"/>
      <c r="V11" s="461"/>
      <c r="W11" s="462"/>
      <c r="AB11" s="690" t="s">
        <v>35</v>
      </c>
      <c r="AC11" s="690"/>
      <c r="AD11" s="691" t="s">
        <v>845</v>
      </c>
      <c r="AE11" s="691"/>
      <c r="AH11" s="92"/>
    </row>
    <row r="12" spans="1:34" ht="15" customHeight="1" x14ac:dyDescent="0.25">
      <c r="B12" s="673" t="str">
        <f>TB_DEFESA!$J$2</f>
        <v>Utilizar a ferramenta RAID, para permitir a extração dos dados dos clientes do Portal Minha Oi, para que possam ser comparados e identificados as diferenças de cadastro, entre os CRMs (CDI, SAC, STC, SBL, SINN) e Faturamentos (Arbor, SFA e SISRAF).</v>
      </c>
      <c r="C12" s="674"/>
      <c r="D12" s="674"/>
      <c r="E12" s="674"/>
      <c r="F12" s="674"/>
      <c r="G12" s="674"/>
      <c r="H12" s="674"/>
      <c r="I12" s="674"/>
      <c r="J12" s="674"/>
      <c r="K12" s="674"/>
      <c r="L12" s="675"/>
      <c r="N12" s="468" t="s">
        <v>439</v>
      </c>
      <c r="O12" s="469"/>
      <c r="P12" s="470"/>
      <c r="Q12" s="673" t="str">
        <f>TB_DEFESA!$H$2</f>
        <v>N/A</v>
      </c>
      <c r="R12" s="674"/>
      <c r="S12" s="674"/>
      <c r="T12" s="674"/>
      <c r="U12" s="674"/>
      <c r="V12" s="674"/>
      <c r="W12" s="675"/>
      <c r="Y12" s="685" t="str">
        <f>IF(Defesa!L15 = "", "", Defesa!L15)</f>
        <v>Accenture - Testes</v>
      </c>
      <c r="Z12" s="686"/>
      <c r="AA12" s="687"/>
      <c r="AB12" s="688">
        <f>IF(Defesa!M15 = "", "", Defesa!M15)</f>
        <v>0</v>
      </c>
      <c r="AC12" s="689"/>
      <c r="AD12" s="688">
        <f>IF(Defesa!N15 = "", "", Defesa!N15)</f>
        <v>0</v>
      </c>
      <c r="AE12" s="689"/>
      <c r="AH12" s="92"/>
    </row>
    <row r="13" spans="1:34" ht="15" customHeight="1" x14ac:dyDescent="0.25">
      <c r="B13" s="676"/>
      <c r="C13" s="677"/>
      <c r="D13" s="677"/>
      <c r="E13" s="677"/>
      <c r="F13" s="677"/>
      <c r="G13" s="677"/>
      <c r="H13" s="677"/>
      <c r="I13" s="677"/>
      <c r="J13" s="677"/>
      <c r="K13" s="677"/>
      <c r="L13" s="678"/>
      <c r="N13" s="468"/>
      <c r="O13" s="469"/>
      <c r="P13" s="470"/>
      <c r="Q13" s="676"/>
      <c r="R13" s="677"/>
      <c r="S13" s="677"/>
      <c r="T13" s="677"/>
      <c r="U13" s="677"/>
      <c r="V13" s="677"/>
      <c r="W13" s="678"/>
      <c r="Y13" s="670" t="str">
        <f>IF(Defesa!L16 = "", "", Defesa!L16)</f>
        <v>Accenture - Torre II</v>
      </c>
      <c r="Z13" s="671"/>
      <c r="AA13" s="672"/>
      <c r="AB13" s="669">
        <f>IF(Defesa!M16 = "", "", Defesa!M16)</f>
        <v>0</v>
      </c>
      <c r="AC13" s="669"/>
      <c r="AD13" s="669">
        <f>IF(Defesa!N16 = "", "", Defesa!N16)</f>
        <v>0</v>
      </c>
      <c r="AE13" s="669"/>
    </row>
    <row r="14" spans="1:34" ht="15" customHeight="1" x14ac:dyDescent="0.25">
      <c r="B14" s="676"/>
      <c r="C14" s="677"/>
      <c r="D14" s="677"/>
      <c r="E14" s="677"/>
      <c r="F14" s="677"/>
      <c r="G14" s="677"/>
      <c r="H14" s="677"/>
      <c r="I14" s="677"/>
      <c r="J14" s="677"/>
      <c r="K14" s="677"/>
      <c r="L14" s="678"/>
      <c r="N14" s="468"/>
      <c r="O14" s="469"/>
      <c r="P14" s="470"/>
      <c r="Q14" s="676"/>
      <c r="R14" s="677"/>
      <c r="S14" s="677"/>
      <c r="T14" s="677"/>
      <c r="U14" s="677"/>
      <c r="V14" s="677"/>
      <c r="W14" s="678"/>
      <c r="Y14" s="670" t="str">
        <f>IF(Defesa!L17 = "", "", Defesa!L17)</f>
        <v>Amdocs</v>
      </c>
      <c r="Z14" s="671"/>
      <c r="AA14" s="672"/>
      <c r="AB14" s="669">
        <f>IF(Defesa!M17 = "", "", Defesa!M17)</f>
        <v>0</v>
      </c>
      <c r="AC14" s="669"/>
      <c r="AD14" s="669">
        <f>IF(Defesa!N17 = "", "", Defesa!N17)</f>
        <v>0</v>
      </c>
      <c r="AE14" s="669"/>
    </row>
    <row r="15" spans="1:34" ht="15" customHeight="1" x14ac:dyDescent="0.25">
      <c r="B15" s="676"/>
      <c r="C15" s="677"/>
      <c r="D15" s="677"/>
      <c r="E15" s="677"/>
      <c r="F15" s="677"/>
      <c r="G15" s="677"/>
      <c r="H15" s="677"/>
      <c r="I15" s="677"/>
      <c r="J15" s="677"/>
      <c r="K15" s="677"/>
      <c r="L15" s="678"/>
      <c r="N15" s="468"/>
      <c r="O15" s="469"/>
      <c r="P15" s="470"/>
      <c r="Q15" s="679"/>
      <c r="R15" s="680"/>
      <c r="S15" s="680"/>
      <c r="T15" s="680"/>
      <c r="U15" s="680"/>
      <c r="V15" s="680"/>
      <c r="W15" s="681"/>
      <c r="Y15" s="670" t="str">
        <f>IF(Defesa!L18 = "", "", Defesa!L18)</f>
        <v>Capgemini - Torre III</v>
      </c>
      <c r="Z15" s="671"/>
      <c r="AA15" s="672"/>
      <c r="AB15" s="669">
        <f>IF(Defesa!M18 = "", "", Defesa!M18)</f>
        <v>0</v>
      </c>
      <c r="AC15" s="669"/>
      <c r="AD15" s="669">
        <f>IF(Defesa!N18 = "", "", Defesa!N18)</f>
        <v>0</v>
      </c>
      <c r="AE15" s="669"/>
      <c r="AH15" s="93"/>
    </row>
    <row r="16" spans="1:34" ht="15" customHeight="1" x14ac:dyDescent="0.25">
      <c r="B16" s="676"/>
      <c r="C16" s="677"/>
      <c r="D16" s="677"/>
      <c r="E16" s="677"/>
      <c r="F16" s="677"/>
      <c r="G16" s="677"/>
      <c r="H16" s="677"/>
      <c r="I16" s="677"/>
      <c r="J16" s="677"/>
      <c r="K16" s="677"/>
      <c r="L16" s="678"/>
      <c r="N16" s="457" t="s">
        <v>272</v>
      </c>
      <c r="O16" s="458"/>
      <c r="P16" s="459"/>
      <c r="Q16" s="460" t="str">
        <f>TB_DEFESA!$I$2</f>
        <v>FOI de Sistemas</v>
      </c>
      <c r="R16" s="461"/>
      <c r="S16" s="462"/>
      <c r="T16" s="70"/>
      <c r="U16" s="70"/>
      <c r="V16" s="70"/>
      <c r="W16" s="70"/>
      <c r="Y16" s="670" t="str">
        <f>IF(Defesa!L19 = "", "", Defesa!L19)</f>
        <v>Capgemini - Torre VI</v>
      </c>
      <c r="Z16" s="671"/>
      <c r="AA16" s="672"/>
      <c r="AB16" s="669">
        <f>IF(Defesa!M19 = "", "", Defesa!M19)</f>
        <v>0</v>
      </c>
      <c r="AC16" s="669"/>
      <c r="AD16" s="669">
        <f>IF(Defesa!N19 = "", "", Defesa!N19)</f>
        <v>0</v>
      </c>
      <c r="AE16" s="669"/>
    </row>
    <row r="17" spans="2:31" ht="15" customHeight="1" x14ac:dyDescent="0.25">
      <c r="B17" s="679"/>
      <c r="C17" s="680"/>
      <c r="D17" s="680"/>
      <c r="E17" s="680"/>
      <c r="F17" s="680"/>
      <c r="G17" s="680"/>
      <c r="H17" s="680"/>
      <c r="I17" s="680"/>
      <c r="J17" s="680"/>
      <c r="K17" s="680"/>
      <c r="L17" s="681"/>
      <c r="Y17" s="670" t="str">
        <f>IF(Defesa!L20 = "", "", Defesa!L20)</f>
        <v>CPqD</v>
      </c>
      <c r="Z17" s="671"/>
      <c r="AA17" s="672"/>
      <c r="AB17" s="669">
        <f>IF(Defesa!M20 = "", "", Defesa!M20)</f>
        <v>0</v>
      </c>
      <c r="AC17" s="669"/>
      <c r="AD17" s="669">
        <f>IF(Defesa!N20 = "", "", Defesa!N20)</f>
        <v>0</v>
      </c>
      <c r="AE17" s="669"/>
    </row>
    <row r="18" spans="2:31" ht="15.75" customHeight="1" x14ac:dyDescent="0.25">
      <c r="B18" s="410" t="s">
        <v>43</v>
      </c>
      <c r="C18" s="411"/>
      <c r="D18" s="411"/>
      <c r="E18" s="411"/>
      <c r="F18" s="411"/>
      <c r="G18" s="411"/>
      <c r="H18" s="411"/>
      <c r="I18" s="411"/>
      <c r="J18" s="411"/>
      <c r="K18" s="411"/>
      <c r="L18" s="412"/>
      <c r="N18" s="487" t="s">
        <v>284</v>
      </c>
      <c r="O18" s="488"/>
      <c r="P18" s="510"/>
      <c r="Q18" s="471" t="str">
        <f>TB_DEFESA!$S$2</f>
        <v>Sistemas</v>
      </c>
      <c r="R18" s="472"/>
      <c r="S18" s="472"/>
      <c r="T18" s="472"/>
      <c r="U18" s="472"/>
      <c r="V18" s="472"/>
      <c r="W18" s="473"/>
      <c r="Y18" s="670" t="str">
        <f>IF(Defesa!L21 = "", "", Defesa!L21)</f>
        <v>IBM</v>
      </c>
      <c r="Z18" s="671"/>
      <c r="AA18" s="672"/>
      <c r="AB18" s="669">
        <f>IF(Defesa!M21 = "", "", Defesa!M21)</f>
        <v>0</v>
      </c>
      <c r="AC18" s="669"/>
      <c r="AD18" s="669">
        <f>IF(Defesa!N21 = "", "", Defesa!N21)</f>
        <v>14787.465</v>
      </c>
      <c r="AE18" s="669"/>
    </row>
    <row r="19" spans="2:31" ht="14.25" customHeight="1" x14ac:dyDescent="0.25">
      <c r="B19" s="673" t="str">
        <f>TB_DEFESA!$K$2</f>
        <v>1) O que estamos aprovando? Aprovação extrabaseline, para elaboração do DSOL, das frentes SISRAF-FATURAMENTO, SISRAF-ARRECADACAO, SAG e SFA. 
2) Qual o fato motivador?  Identificar divergências de informações de cadastro entre o PORTAL OI e os CRMS e entre o PORTAL OI e os FATURAMENTOS
3) Qual a causa desse fato?  Atualmente existem casos em que os dados entre esses sistemas estão divergentes
4) Em relação à causa apontada, há responsabilidade do fornecedor?Não
5) Se estivermos aprovando extra baseline, porque não podemos aguardar espaço ? Foi solicitado prioridade, pela gerência Digital Delivery.
6) Se Prioridade Global &gt;= 200. Porque solicitar aprovação ? A prioridade global está como 49.</v>
      </c>
      <c r="C19" s="674"/>
      <c r="D19" s="674"/>
      <c r="E19" s="674"/>
      <c r="F19" s="674"/>
      <c r="G19" s="674"/>
      <c r="H19" s="674"/>
      <c r="I19" s="674"/>
      <c r="J19" s="674"/>
      <c r="K19" s="674"/>
      <c r="L19" s="675"/>
      <c r="N19" s="468" t="s">
        <v>236</v>
      </c>
      <c r="O19" s="469"/>
      <c r="P19" s="470"/>
      <c r="Q19" s="471" t="str">
        <f>TB_DEFESA!$T$2</f>
        <v>FLAVIA REGINA DA CRUZ MEIRELLES</v>
      </c>
      <c r="R19" s="472"/>
      <c r="S19" s="472"/>
      <c r="T19" s="472"/>
      <c r="U19" s="472"/>
      <c r="V19" s="472"/>
      <c r="W19" s="473"/>
      <c r="Y19" s="670" t="str">
        <f>IF(Defesa!L22 = "", "", Defesa!L22)</f>
        <v>Link - Teste Integrado</v>
      </c>
      <c r="Z19" s="671"/>
      <c r="AA19" s="672"/>
      <c r="AB19" s="669">
        <f>IF(Defesa!M22 = "", "", Defesa!M22)</f>
        <v>0</v>
      </c>
      <c r="AC19" s="669"/>
      <c r="AD19" s="669">
        <f>IF(Defesa!N22 = "", "", Defesa!N22)</f>
        <v>0</v>
      </c>
      <c r="AE19" s="669"/>
    </row>
    <row r="20" spans="2:31" ht="15" customHeight="1" x14ac:dyDescent="0.25">
      <c r="B20" s="676"/>
      <c r="C20" s="677"/>
      <c r="D20" s="677"/>
      <c r="E20" s="677"/>
      <c r="F20" s="677"/>
      <c r="G20" s="677"/>
      <c r="H20" s="677"/>
      <c r="I20" s="677"/>
      <c r="J20" s="677"/>
      <c r="K20" s="677"/>
      <c r="L20" s="678"/>
      <c r="N20" s="457" t="s">
        <v>1068</v>
      </c>
      <c r="O20" s="458"/>
      <c r="P20" s="459"/>
      <c r="Q20" s="682" t="str">
        <f>TB_DEFESA!$U$2</f>
        <v>GUSTAVO BATOREU VALFRE</v>
      </c>
      <c r="R20" s="683"/>
      <c r="S20" s="683"/>
      <c r="T20" s="683"/>
      <c r="U20" s="683"/>
      <c r="V20" s="684"/>
      <c r="W20" s="72" t="str">
        <f>VLOOKUP($Q$20, TABELAS!$M:$O, 3, FALSE)</f>
        <v>DGAT</v>
      </c>
      <c r="Y20" s="670" t="str">
        <f>IF(Defesa!L23 = "", "", Defesa!L23)</f>
        <v>Oracle</v>
      </c>
      <c r="Z20" s="671"/>
      <c r="AA20" s="672"/>
      <c r="AB20" s="669">
        <f>IF(Defesa!M23 = "", "", Defesa!M23)</f>
        <v>0</v>
      </c>
      <c r="AC20" s="669"/>
      <c r="AD20" s="669">
        <f>IF(Defesa!N23 = "", "", Defesa!N23)</f>
        <v>0</v>
      </c>
      <c r="AE20" s="669"/>
    </row>
    <row r="21" spans="2:31" ht="12.75" customHeight="1" x14ac:dyDescent="0.25">
      <c r="B21" s="676"/>
      <c r="C21" s="677"/>
      <c r="D21" s="677"/>
      <c r="E21" s="677"/>
      <c r="F21" s="677"/>
      <c r="G21" s="677"/>
      <c r="H21" s="677"/>
      <c r="I21" s="677"/>
      <c r="J21" s="677"/>
      <c r="K21" s="677"/>
      <c r="L21" s="678"/>
      <c r="M21" s="70"/>
      <c r="N21" s="70"/>
      <c r="O21" s="70"/>
      <c r="P21" s="70"/>
      <c r="Q21" s="70"/>
      <c r="R21" s="70"/>
      <c r="Y21" s="670" t="str">
        <f>IF(Defesa!L24 = "", "", Defesa!L24)</f>
        <v>PTI</v>
      </c>
      <c r="Z21" s="671"/>
      <c r="AA21" s="672"/>
      <c r="AB21" s="669">
        <f>IF(Defesa!M24 = "", "", Defesa!M24)</f>
        <v>0</v>
      </c>
      <c r="AC21" s="669"/>
      <c r="AD21" s="669">
        <f>IF(Defesa!N24 = "", "", Defesa!N24)</f>
        <v>0</v>
      </c>
      <c r="AE21" s="669"/>
    </row>
    <row r="22" spans="2:31" x14ac:dyDescent="0.25">
      <c r="B22" s="676"/>
      <c r="C22" s="677"/>
      <c r="D22" s="677"/>
      <c r="E22" s="677"/>
      <c r="F22" s="677"/>
      <c r="G22" s="677"/>
      <c r="H22" s="677"/>
      <c r="I22" s="677"/>
      <c r="J22" s="677"/>
      <c r="K22" s="677"/>
      <c r="L22" s="678"/>
      <c r="M22" s="70"/>
      <c r="N22" s="70"/>
      <c r="O22" s="70"/>
      <c r="P22" s="70"/>
      <c r="Q22" s="70"/>
      <c r="R22" s="70"/>
      <c r="Y22" s="670" t="str">
        <f>IF(Defesa!L25 = "", "", Defesa!L25)</f>
        <v>Squadra - Torre IV</v>
      </c>
      <c r="Z22" s="671"/>
      <c r="AA22" s="672"/>
      <c r="AB22" s="669">
        <f>IF(Defesa!M25 = "", "", Defesa!M25)</f>
        <v>0</v>
      </c>
      <c r="AC22" s="669"/>
      <c r="AD22" s="669">
        <f>IF(Defesa!N25 = "", "", Defesa!N25)</f>
        <v>0</v>
      </c>
      <c r="AE22" s="669"/>
    </row>
    <row r="23" spans="2:31" x14ac:dyDescent="0.25">
      <c r="B23" s="676"/>
      <c r="C23" s="677"/>
      <c r="D23" s="677"/>
      <c r="E23" s="677"/>
      <c r="F23" s="677"/>
      <c r="G23" s="677"/>
      <c r="H23" s="677"/>
      <c r="I23" s="677"/>
      <c r="J23" s="677"/>
      <c r="K23" s="677"/>
      <c r="L23" s="678"/>
      <c r="M23" s="70"/>
      <c r="N23" s="70"/>
      <c r="O23" s="70"/>
      <c r="P23" s="70"/>
      <c r="Q23" s="70"/>
      <c r="R23" s="70"/>
      <c r="S23" s="70"/>
      <c r="T23" s="70"/>
      <c r="U23" s="70"/>
      <c r="V23" s="70"/>
      <c r="W23" s="70"/>
      <c r="Y23" s="647" t="str">
        <f>IF(Defesa!L26 = "", "", Defesa!L26)</f>
        <v/>
      </c>
      <c r="Z23" s="648"/>
      <c r="AA23" s="649"/>
      <c r="AB23" s="650" t="str">
        <f>IF(Defesa!M26 = "", "", Defesa!M26)</f>
        <v/>
      </c>
      <c r="AC23" s="650"/>
      <c r="AD23" s="650" t="str">
        <f>IF(Defesa!N26 = "", "", Defesa!N26)</f>
        <v/>
      </c>
      <c r="AE23" s="650"/>
    </row>
    <row r="24" spans="2:31" x14ac:dyDescent="0.25">
      <c r="B24" s="676"/>
      <c r="C24" s="677"/>
      <c r="D24" s="677"/>
      <c r="E24" s="677"/>
      <c r="F24" s="677"/>
      <c r="G24" s="677"/>
      <c r="H24" s="677"/>
      <c r="I24" s="677"/>
      <c r="J24" s="677"/>
      <c r="K24" s="677"/>
      <c r="L24" s="678"/>
    </row>
    <row r="25" spans="2:31" ht="15" customHeight="1" x14ac:dyDescent="0.25">
      <c r="B25" s="676"/>
      <c r="C25" s="677"/>
      <c r="D25" s="677"/>
      <c r="E25" s="677"/>
      <c r="F25" s="677"/>
      <c r="G25" s="677"/>
      <c r="H25" s="677"/>
      <c r="I25" s="677"/>
      <c r="J25" s="677"/>
      <c r="K25" s="677"/>
      <c r="L25" s="678"/>
      <c r="N25" s="651" t="s">
        <v>851</v>
      </c>
      <c r="O25" s="652"/>
      <c r="P25" s="652"/>
      <c r="Q25" s="652"/>
      <c r="R25" s="652"/>
      <c r="S25" s="652"/>
      <c r="T25" s="652"/>
      <c r="U25" s="652"/>
      <c r="V25" s="653"/>
      <c r="W25" s="70"/>
      <c r="X25" s="70"/>
    </row>
    <row r="26" spans="2:31" x14ac:dyDescent="0.25">
      <c r="B26" s="676"/>
      <c r="C26" s="677"/>
      <c r="D26" s="677"/>
      <c r="E26" s="677"/>
      <c r="F26" s="677"/>
      <c r="G26" s="677"/>
      <c r="H26" s="677"/>
      <c r="I26" s="677"/>
      <c r="J26" s="677"/>
      <c r="K26" s="677"/>
      <c r="L26" s="678"/>
      <c r="N26" s="654" t="s">
        <v>849</v>
      </c>
      <c r="O26" s="655"/>
      <c r="P26" s="656" t="str">
        <f>TB_DEFESA!$M$2</f>
        <v>AGO/2017</v>
      </c>
      <c r="Q26" s="657"/>
      <c r="R26" s="658"/>
      <c r="S26" s="659" t="s">
        <v>859</v>
      </c>
      <c r="T26" s="660"/>
      <c r="U26" s="663">
        <f>IF(TB_DEFESA!$N$2 = "N/A",
         IF(NOT(ISERR(SEARCH("CR -", $E9))), "CR",
          IF(NOT(ISERR(SEARCH("PKE ", $E9))),  "PKE", "N/A")),
   TB_DEFESA!$N$2)</f>
        <v>49</v>
      </c>
      <c r="V26" s="664"/>
    </row>
    <row r="27" spans="2:31" x14ac:dyDescent="0.25">
      <c r="B27" s="679"/>
      <c r="C27" s="680"/>
      <c r="D27" s="680"/>
      <c r="E27" s="680"/>
      <c r="F27" s="680"/>
      <c r="G27" s="680"/>
      <c r="H27" s="680"/>
      <c r="I27" s="680"/>
      <c r="J27" s="680"/>
      <c r="K27" s="680"/>
      <c r="L27" s="681"/>
      <c r="N27" s="667" t="s">
        <v>850</v>
      </c>
      <c r="O27" s="668"/>
      <c r="P27" s="656" t="str">
        <f>TB_DEFESA!$O$2</f>
        <v>JAN/2018</v>
      </c>
      <c r="Q27" s="657"/>
      <c r="R27" s="658"/>
      <c r="S27" s="661"/>
      <c r="T27" s="662"/>
      <c r="U27" s="665"/>
      <c r="V27" s="666"/>
      <c r="W27" s="70"/>
      <c r="X27" s="70"/>
    </row>
    <row r="28" spans="2:31" x14ac:dyDescent="0.25"/>
    <row r="29" spans="2:31" ht="15" customHeight="1" x14ac:dyDescent="0.25">
      <c r="B29" s="507" t="s">
        <v>833</v>
      </c>
      <c r="C29" s="508"/>
      <c r="D29" s="508"/>
      <c r="E29" s="508"/>
      <c r="F29" s="508"/>
      <c r="G29" s="508"/>
      <c r="H29" s="508"/>
      <c r="I29" s="508"/>
      <c r="J29" s="508"/>
      <c r="K29" s="508"/>
      <c r="L29" s="508"/>
      <c r="M29" s="508"/>
      <c r="N29" s="508"/>
      <c r="O29" s="508"/>
      <c r="P29" s="508"/>
      <c r="Q29" s="508"/>
      <c r="R29" s="508"/>
      <c r="S29" s="508"/>
      <c r="T29" s="508"/>
      <c r="U29" s="508"/>
      <c r="V29" s="508"/>
      <c r="W29" s="508"/>
      <c r="X29" s="508"/>
      <c r="Y29" s="508"/>
      <c r="Z29" s="508"/>
      <c r="AA29" s="508"/>
      <c r="AB29" s="508"/>
      <c r="AC29" s="508"/>
      <c r="AD29" s="508"/>
      <c r="AE29" s="509"/>
    </row>
    <row r="30" spans="2:31" ht="13.5" thickBot="1" x14ac:dyDescent="0.3">
      <c r="B30" s="66"/>
      <c r="C30" s="70"/>
      <c r="D30" s="70"/>
      <c r="E30" s="70"/>
      <c r="F30" s="70"/>
      <c r="G30" s="70"/>
      <c r="H30" s="70"/>
      <c r="I30" s="70"/>
      <c r="J30" s="70"/>
      <c r="K30" s="70"/>
      <c r="L30" s="70"/>
      <c r="M30" s="70"/>
      <c r="N30" s="70"/>
      <c r="O30" s="70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0"/>
      <c r="AC30" s="70"/>
      <c r="AD30" s="70"/>
      <c r="AE30" s="67"/>
    </row>
    <row r="31" spans="2:31" ht="18.75" customHeight="1" thickBot="1" x14ac:dyDescent="0.3">
      <c r="B31" s="66"/>
      <c r="C31" s="70"/>
      <c r="D31" s="70"/>
      <c r="E31" s="70"/>
      <c r="F31" s="70"/>
      <c r="G31" s="70"/>
      <c r="H31" s="70"/>
      <c r="I31" s="70"/>
      <c r="J31" s="70"/>
      <c r="K31" s="70"/>
      <c r="L31" s="70"/>
      <c r="M31" s="70"/>
      <c r="N31" s="70"/>
      <c r="O31" s="70"/>
      <c r="P31" s="70"/>
      <c r="Q31" s="70"/>
      <c r="R31" s="639">
        <f>TABELAS!R2</f>
        <v>2017</v>
      </c>
      <c r="S31" s="640"/>
      <c r="T31" s="641">
        <f>R31 + 1</f>
        <v>2018</v>
      </c>
      <c r="U31" s="640"/>
      <c r="V31" s="641" t="s">
        <v>80</v>
      </c>
      <c r="W31" s="642"/>
      <c r="X31" s="639" t="s">
        <v>835</v>
      </c>
      <c r="Y31" s="642"/>
      <c r="Z31" s="70"/>
      <c r="AA31" s="70"/>
      <c r="AB31" s="70"/>
      <c r="AC31" s="70"/>
      <c r="AD31" s="70"/>
      <c r="AE31" s="67"/>
    </row>
    <row r="32" spans="2:31" ht="15" customHeight="1" x14ac:dyDescent="0.25">
      <c r="B32" s="66"/>
      <c r="C32" s="70"/>
      <c r="D32" s="70"/>
      <c r="E32" s="70"/>
      <c r="F32" s="70"/>
      <c r="G32" s="70"/>
      <c r="H32" s="70"/>
      <c r="I32" s="70"/>
      <c r="J32" s="70"/>
      <c r="K32" s="643" t="s">
        <v>60</v>
      </c>
      <c r="L32" s="644"/>
      <c r="M32" s="612" t="s">
        <v>950</v>
      </c>
      <c r="N32" s="612"/>
      <c r="O32" s="612"/>
      <c r="P32" s="612"/>
      <c r="Q32" s="613"/>
      <c r="R32" s="637">
        <f>SUMIFS(Propostas!$AD:$AD, Propostas!$AH:$AH, "NÃO", Propostas!$AM:$AM, FICHA!$M32, Propostas!$BC:$BC, $R$31)</f>
        <v>0</v>
      </c>
      <c r="S32" s="645"/>
      <c r="T32" s="646">
        <f>SUMIFS(Propostas!$AD:$AD, Propostas!$AH:$AH, "NÃO", Propostas!$AM:$AM, FICHA!$M32, Propostas!$BC:$BC, $T$31)</f>
        <v>0</v>
      </c>
      <c r="U32" s="645"/>
      <c r="V32" s="646">
        <f>SUMIFS(Propostas!$AD:$AD, Propostas!$AH:$AH, "NÃO", Propostas!$AM:$AM, FICHA!$M32, Propostas!$BC:$BC, $V$31)</f>
        <v>0</v>
      </c>
      <c r="W32" s="638"/>
      <c r="X32" s="637">
        <f>SUM(R32+T32+V32)</f>
        <v>0</v>
      </c>
      <c r="Y32" s="638"/>
      <c r="Z32" s="70"/>
      <c r="AA32" s="70"/>
      <c r="AB32" s="70"/>
      <c r="AC32" s="70"/>
      <c r="AD32" s="70"/>
      <c r="AE32" s="67"/>
    </row>
    <row r="33" spans="2:31" ht="12.75" customHeight="1" x14ac:dyDescent="0.25">
      <c r="B33" s="66"/>
      <c r="C33" s="70"/>
      <c r="D33" s="70"/>
      <c r="E33" s="70"/>
      <c r="F33" s="70"/>
      <c r="G33" s="70"/>
      <c r="H33" s="70"/>
      <c r="I33" s="70"/>
      <c r="J33" s="70"/>
      <c r="K33" s="125"/>
      <c r="L33" s="126"/>
      <c r="M33" s="469" t="s">
        <v>275</v>
      </c>
      <c r="N33" s="469"/>
      <c r="O33" s="469"/>
      <c r="P33" s="469"/>
      <c r="Q33" s="597"/>
      <c r="R33" s="598">
        <f>SUMIFS(Propostas!$AD:$AD, Propostas!$AH:$AH, "NÃO", Propostas!$AM:$AM, "Serviços", Propostas!$BD:$BD, 0, Propostas!$BC:$BC, $R$31)</f>
        <v>0</v>
      </c>
      <c r="S33" s="599"/>
      <c r="T33" s="600">
        <f>SUMIFS(Propostas!$AD:$AD, Propostas!$AH:$AH, "NÃO", Propostas!$AM:$AM, "Serviços", Propostas!$BD:$BD, 0, Propostas!$BC:$BC, $T$31)</f>
        <v>0</v>
      </c>
      <c r="U33" s="599"/>
      <c r="V33" s="600">
        <f>SUMIFS(Propostas!$AD:$AD, Propostas!$AH:$AH, "NÃO", Propostas!$AM:$AM, "Serviços", Propostas!$BD:$BD, 0, Propostas!$BC:$BC, $V$31)</f>
        <v>0</v>
      </c>
      <c r="W33" s="601"/>
      <c r="X33" s="598">
        <f t="shared" ref="X33:X51" si="0">SUM(R33+T33+V33)</f>
        <v>0</v>
      </c>
      <c r="Y33" s="601"/>
      <c r="Z33" s="70"/>
      <c r="AA33" s="70"/>
      <c r="AB33" s="70"/>
      <c r="AC33" s="70"/>
      <c r="AD33" s="70"/>
      <c r="AE33" s="67"/>
    </row>
    <row r="34" spans="2:31" ht="15" customHeight="1" x14ac:dyDescent="0.25">
      <c r="B34" s="66"/>
      <c r="C34" s="70"/>
      <c r="D34" s="70"/>
      <c r="E34" s="70"/>
      <c r="F34" s="70"/>
      <c r="G34" s="70"/>
      <c r="H34" s="70"/>
      <c r="I34" s="70"/>
      <c r="J34" s="70"/>
      <c r="K34" s="125"/>
      <c r="L34" s="126"/>
      <c r="M34" s="624" t="s">
        <v>834</v>
      </c>
      <c r="N34" s="624"/>
      <c r="O34" s="624"/>
      <c r="P34" s="624"/>
      <c r="Q34" s="625"/>
      <c r="R34" s="598">
        <f>SUMIFS(Propostas!$AD:$AD, Propostas!$AH:$AH, "NÃO", Propostas!$BD:$BD, 2, Propostas!$BC:$BC, $R$31)</f>
        <v>14787.465000000004</v>
      </c>
      <c r="S34" s="599"/>
      <c r="T34" s="626">
        <f>SUMIFS(Propostas!$AD:$AD, Propostas!$AH:$AH, "NÃO", Propostas!$AM:$AM, "Serviços", Propostas!$BD:$BD, 2, Propostas!$BC:$BC, $T$31)</f>
        <v>0</v>
      </c>
      <c r="U34" s="627"/>
      <c r="V34" s="626">
        <f>SUMIFS(Propostas!$AD:$AD, Propostas!$AH:$AH, "NÃO", Propostas!$AM:$AM, "Serviços", Propostas!$BD:$BD, 2, Propostas!$BC:$BC, $V$31)</f>
        <v>0</v>
      </c>
      <c r="W34" s="628"/>
      <c r="X34" s="629">
        <f t="shared" si="0"/>
        <v>14787.465000000004</v>
      </c>
      <c r="Y34" s="628"/>
      <c r="Z34" s="70"/>
      <c r="AA34" s="70"/>
      <c r="AB34" s="70"/>
      <c r="AC34" s="70"/>
      <c r="AD34" s="70"/>
      <c r="AE34" s="67"/>
    </row>
    <row r="35" spans="2:31" ht="12.75" customHeight="1" x14ac:dyDescent="0.25">
      <c r="B35" s="66"/>
      <c r="C35" s="70"/>
      <c r="D35" s="70"/>
      <c r="E35" s="70"/>
      <c r="F35" s="70"/>
      <c r="G35" s="70"/>
      <c r="H35" s="70"/>
      <c r="I35" s="70"/>
      <c r="J35" s="70"/>
      <c r="K35" s="125"/>
      <c r="L35" s="630" t="s">
        <v>35</v>
      </c>
      <c r="M35" s="631" t="str">
        <f t="shared" ref="M35:M46" si="1">Y12</f>
        <v>Accenture - Testes</v>
      </c>
      <c r="N35" s="631"/>
      <c r="O35" s="631"/>
      <c r="P35" s="631"/>
      <c r="Q35" s="632"/>
      <c r="R35" s="633">
        <f>IF(AB12= "", 0, AB12)</f>
        <v>0</v>
      </c>
      <c r="S35" s="634"/>
      <c r="T35" s="635">
        <v>0</v>
      </c>
      <c r="U35" s="636"/>
      <c r="V35" s="635">
        <v>0</v>
      </c>
      <c r="W35" s="623"/>
      <c r="X35" s="622">
        <f t="shared" si="0"/>
        <v>0</v>
      </c>
      <c r="Y35" s="623"/>
      <c r="Z35" s="70"/>
      <c r="AA35" s="70"/>
      <c r="AB35" s="70"/>
      <c r="AC35" s="70"/>
      <c r="AD35" s="70"/>
      <c r="AE35" s="67"/>
    </row>
    <row r="36" spans="2:31" x14ac:dyDescent="0.25">
      <c r="B36" s="66"/>
      <c r="C36" s="70"/>
      <c r="D36" s="70"/>
      <c r="E36" s="70"/>
      <c r="F36" s="70"/>
      <c r="G36" s="70"/>
      <c r="H36" s="70"/>
      <c r="I36" s="70"/>
      <c r="J36" s="70"/>
      <c r="K36" s="125"/>
      <c r="L36" s="630"/>
      <c r="M36" s="618" t="str">
        <f t="shared" si="1"/>
        <v>Accenture - Torre II</v>
      </c>
      <c r="N36" s="618"/>
      <c r="O36" s="618"/>
      <c r="P36" s="618"/>
      <c r="Q36" s="619"/>
      <c r="R36" s="620">
        <f t="shared" ref="R36:R46" si="2">IF(AB13= "", 0, AB13)</f>
        <v>0</v>
      </c>
      <c r="S36" s="621"/>
      <c r="T36" s="600">
        <v>0</v>
      </c>
      <c r="U36" s="599"/>
      <c r="V36" s="600">
        <v>0</v>
      </c>
      <c r="W36" s="601"/>
      <c r="X36" s="598">
        <f t="shared" si="0"/>
        <v>0</v>
      </c>
      <c r="Y36" s="601"/>
      <c r="Z36" s="70"/>
      <c r="AA36" s="70"/>
      <c r="AB36" s="70"/>
      <c r="AC36" s="70"/>
      <c r="AD36" s="70"/>
      <c r="AE36" s="67"/>
    </row>
    <row r="37" spans="2:31" x14ac:dyDescent="0.25">
      <c r="B37" s="66"/>
      <c r="C37" s="70"/>
      <c r="D37" s="70"/>
      <c r="E37" s="70"/>
      <c r="F37" s="70"/>
      <c r="G37" s="70"/>
      <c r="H37" s="70"/>
      <c r="I37" s="70"/>
      <c r="J37" s="70"/>
      <c r="K37" s="125"/>
      <c r="L37" s="630"/>
      <c r="M37" s="618" t="str">
        <f t="shared" si="1"/>
        <v>Amdocs</v>
      </c>
      <c r="N37" s="618"/>
      <c r="O37" s="618"/>
      <c r="P37" s="618"/>
      <c r="Q37" s="619"/>
      <c r="R37" s="620">
        <f t="shared" si="2"/>
        <v>0</v>
      </c>
      <c r="S37" s="621"/>
      <c r="T37" s="600">
        <v>0</v>
      </c>
      <c r="U37" s="599"/>
      <c r="V37" s="600">
        <v>0</v>
      </c>
      <c r="W37" s="601"/>
      <c r="X37" s="598">
        <f t="shared" si="0"/>
        <v>0</v>
      </c>
      <c r="Y37" s="601"/>
      <c r="Z37" s="70"/>
      <c r="AA37" s="70"/>
      <c r="AB37" s="70"/>
      <c r="AC37" s="70"/>
      <c r="AD37" s="70"/>
      <c r="AE37" s="67"/>
    </row>
    <row r="38" spans="2:31" x14ac:dyDescent="0.25">
      <c r="B38" s="66"/>
      <c r="C38" s="70"/>
      <c r="D38" s="70"/>
      <c r="E38" s="70"/>
      <c r="F38" s="70"/>
      <c r="G38" s="70"/>
      <c r="H38" s="70"/>
      <c r="I38" s="70"/>
      <c r="J38" s="70"/>
      <c r="K38" s="125"/>
      <c r="L38" s="630"/>
      <c r="M38" s="618" t="str">
        <f t="shared" si="1"/>
        <v>Capgemini - Torre III</v>
      </c>
      <c r="N38" s="618"/>
      <c r="O38" s="618"/>
      <c r="P38" s="618"/>
      <c r="Q38" s="619"/>
      <c r="R38" s="620">
        <f t="shared" si="2"/>
        <v>0</v>
      </c>
      <c r="S38" s="621"/>
      <c r="T38" s="600">
        <v>0</v>
      </c>
      <c r="U38" s="599"/>
      <c r="V38" s="600">
        <v>0</v>
      </c>
      <c r="W38" s="601"/>
      <c r="X38" s="598">
        <f t="shared" si="0"/>
        <v>0</v>
      </c>
      <c r="Y38" s="601"/>
      <c r="Z38" s="70"/>
      <c r="AA38" s="70"/>
      <c r="AB38" s="70"/>
      <c r="AC38" s="70"/>
      <c r="AD38" s="70"/>
      <c r="AE38" s="67"/>
    </row>
    <row r="39" spans="2:31" x14ac:dyDescent="0.25">
      <c r="B39" s="66"/>
      <c r="C39" s="70"/>
      <c r="D39" s="70"/>
      <c r="E39" s="70"/>
      <c r="F39" s="70"/>
      <c r="G39" s="70"/>
      <c r="H39" s="70"/>
      <c r="I39" s="70"/>
      <c r="J39" s="70"/>
      <c r="K39" s="125"/>
      <c r="L39" s="630"/>
      <c r="M39" s="618" t="str">
        <f t="shared" si="1"/>
        <v>Capgemini - Torre VI</v>
      </c>
      <c r="N39" s="618"/>
      <c r="O39" s="618"/>
      <c r="P39" s="618"/>
      <c r="Q39" s="619"/>
      <c r="R39" s="620">
        <f t="shared" si="2"/>
        <v>0</v>
      </c>
      <c r="S39" s="621"/>
      <c r="T39" s="600">
        <v>0</v>
      </c>
      <c r="U39" s="599"/>
      <c r="V39" s="600">
        <v>0</v>
      </c>
      <c r="W39" s="601"/>
      <c r="X39" s="598">
        <f t="shared" si="0"/>
        <v>0</v>
      </c>
      <c r="Y39" s="601"/>
      <c r="Z39" s="70"/>
      <c r="AA39" s="70"/>
      <c r="AB39" s="70"/>
      <c r="AC39" s="70"/>
      <c r="AD39" s="70"/>
      <c r="AE39" s="67"/>
    </row>
    <row r="40" spans="2:31" x14ac:dyDescent="0.25">
      <c r="B40" s="66"/>
      <c r="C40" s="70"/>
      <c r="D40" s="70"/>
      <c r="E40" s="70"/>
      <c r="F40" s="70"/>
      <c r="G40" s="70"/>
      <c r="H40" s="70"/>
      <c r="I40" s="70"/>
      <c r="J40" s="70"/>
      <c r="K40" s="125"/>
      <c r="L40" s="630"/>
      <c r="M40" s="618" t="str">
        <f t="shared" si="1"/>
        <v>CPqD</v>
      </c>
      <c r="N40" s="618"/>
      <c r="O40" s="618"/>
      <c r="P40" s="618"/>
      <c r="Q40" s="619"/>
      <c r="R40" s="620">
        <f t="shared" si="2"/>
        <v>0</v>
      </c>
      <c r="S40" s="621"/>
      <c r="T40" s="600">
        <v>0</v>
      </c>
      <c r="U40" s="599"/>
      <c r="V40" s="600">
        <v>0</v>
      </c>
      <c r="W40" s="601"/>
      <c r="X40" s="598">
        <f t="shared" si="0"/>
        <v>0</v>
      </c>
      <c r="Y40" s="601"/>
      <c r="Z40" s="70"/>
      <c r="AA40" s="70"/>
      <c r="AB40" s="70"/>
      <c r="AC40" s="70"/>
      <c r="AD40" s="70"/>
      <c r="AE40" s="67"/>
    </row>
    <row r="41" spans="2:31" x14ac:dyDescent="0.25">
      <c r="B41" s="66"/>
      <c r="C41" s="70"/>
      <c r="D41" s="70"/>
      <c r="E41" s="70"/>
      <c r="F41" s="70"/>
      <c r="G41" s="70"/>
      <c r="H41" s="70"/>
      <c r="I41" s="70"/>
      <c r="J41" s="70"/>
      <c r="K41" s="125"/>
      <c r="L41" s="630"/>
      <c r="M41" s="618" t="str">
        <f t="shared" si="1"/>
        <v>IBM</v>
      </c>
      <c r="N41" s="618"/>
      <c r="O41" s="618"/>
      <c r="P41" s="618"/>
      <c r="Q41" s="619"/>
      <c r="R41" s="620">
        <f t="shared" si="2"/>
        <v>0</v>
      </c>
      <c r="S41" s="621"/>
      <c r="T41" s="600">
        <v>0</v>
      </c>
      <c r="U41" s="599"/>
      <c r="V41" s="600">
        <v>0</v>
      </c>
      <c r="W41" s="601"/>
      <c r="X41" s="598">
        <f t="shared" si="0"/>
        <v>0</v>
      </c>
      <c r="Y41" s="601"/>
      <c r="Z41" s="70"/>
      <c r="AA41" s="70"/>
      <c r="AB41" s="70"/>
      <c r="AC41" s="70"/>
      <c r="AD41" s="70"/>
      <c r="AE41" s="67"/>
    </row>
    <row r="42" spans="2:31" x14ac:dyDescent="0.25">
      <c r="B42" s="66"/>
      <c r="C42" s="70"/>
      <c r="D42" s="70"/>
      <c r="E42" s="70"/>
      <c r="F42" s="70"/>
      <c r="G42" s="70"/>
      <c r="H42" s="70"/>
      <c r="I42" s="70"/>
      <c r="J42" s="70"/>
      <c r="K42" s="125"/>
      <c r="L42" s="630"/>
      <c r="M42" s="618" t="str">
        <f t="shared" si="1"/>
        <v>Link - Teste Integrado</v>
      </c>
      <c r="N42" s="618"/>
      <c r="O42" s="618"/>
      <c r="P42" s="618"/>
      <c r="Q42" s="619"/>
      <c r="R42" s="620">
        <f t="shared" si="2"/>
        <v>0</v>
      </c>
      <c r="S42" s="621"/>
      <c r="T42" s="600">
        <v>0</v>
      </c>
      <c r="U42" s="599"/>
      <c r="V42" s="600">
        <v>0</v>
      </c>
      <c r="W42" s="601"/>
      <c r="X42" s="598">
        <f t="shared" si="0"/>
        <v>0</v>
      </c>
      <c r="Y42" s="601"/>
      <c r="Z42" s="70"/>
      <c r="AA42" s="70"/>
      <c r="AB42" s="70"/>
      <c r="AC42" s="70"/>
      <c r="AD42" s="70"/>
      <c r="AE42" s="67"/>
    </row>
    <row r="43" spans="2:31" x14ac:dyDescent="0.25">
      <c r="B43" s="66"/>
      <c r="C43" s="70"/>
      <c r="D43" s="70"/>
      <c r="E43" s="70"/>
      <c r="F43" s="70"/>
      <c r="G43" s="70"/>
      <c r="H43" s="70"/>
      <c r="I43" s="70"/>
      <c r="J43" s="70"/>
      <c r="K43" s="125"/>
      <c r="L43" s="630"/>
      <c r="M43" s="618" t="str">
        <f t="shared" si="1"/>
        <v>Oracle</v>
      </c>
      <c r="N43" s="618"/>
      <c r="O43" s="618"/>
      <c r="P43" s="618"/>
      <c r="Q43" s="619"/>
      <c r="R43" s="620">
        <f t="shared" si="2"/>
        <v>0</v>
      </c>
      <c r="S43" s="621"/>
      <c r="T43" s="600">
        <v>0</v>
      </c>
      <c r="U43" s="599"/>
      <c r="V43" s="600">
        <v>0</v>
      </c>
      <c r="W43" s="601"/>
      <c r="X43" s="598">
        <f t="shared" si="0"/>
        <v>0</v>
      </c>
      <c r="Y43" s="601"/>
      <c r="Z43" s="70"/>
      <c r="AA43" s="70"/>
      <c r="AB43" s="70"/>
      <c r="AC43" s="70"/>
      <c r="AD43" s="70"/>
      <c r="AE43" s="67"/>
    </row>
    <row r="44" spans="2:31" x14ac:dyDescent="0.25">
      <c r="B44" s="66"/>
      <c r="C44" s="70"/>
      <c r="D44" s="70"/>
      <c r="E44" s="70"/>
      <c r="F44" s="70"/>
      <c r="G44" s="70"/>
      <c r="H44" s="70"/>
      <c r="I44" s="70"/>
      <c r="J44" s="70"/>
      <c r="K44" s="125"/>
      <c r="L44" s="630"/>
      <c r="M44" s="618" t="str">
        <f t="shared" si="1"/>
        <v>PTI</v>
      </c>
      <c r="N44" s="618"/>
      <c r="O44" s="618"/>
      <c r="P44" s="618"/>
      <c r="Q44" s="619"/>
      <c r="R44" s="620">
        <f t="shared" si="2"/>
        <v>0</v>
      </c>
      <c r="S44" s="621"/>
      <c r="T44" s="600">
        <v>0</v>
      </c>
      <c r="U44" s="599"/>
      <c r="V44" s="600">
        <v>0</v>
      </c>
      <c r="W44" s="601"/>
      <c r="X44" s="598">
        <f t="shared" si="0"/>
        <v>0</v>
      </c>
      <c r="Y44" s="601"/>
      <c r="Z44" s="70"/>
      <c r="AA44" s="70"/>
      <c r="AB44" s="70"/>
      <c r="AC44" s="70"/>
      <c r="AD44" s="70"/>
      <c r="AE44" s="67"/>
    </row>
    <row r="45" spans="2:31" x14ac:dyDescent="0.25">
      <c r="B45" s="66"/>
      <c r="C45" s="70"/>
      <c r="D45" s="70"/>
      <c r="E45" s="70"/>
      <c r="F45" s="70"/>
      <c r="G45" s="70"/>
      <c r="H45" s="70"/>
      <c r="I45" s="70"/>
      <c r="J45" s="70"/>
      <c r="K45" s="125"/>
      <c r="L45" s="630"/>
      <c r="M45" s="618" t="str">
        <f t="shared" si="1"/>
        <v>Squadra - Torre IV</v>
      </c>
      <c r="N45" s="618"/>
      <c r="O45" s="618"/>
      <c r="P45" s="618"/>
      <c r="Q45" s="619"/>
      <c r="R45" s="620">
        <f t="shared" si="2"/>
        <v>0</v>
      </c>
      <c r="S45" s="621"/>
      <c r="T45" s="600">
        <v>0</v>
      </c>
      <c r="U45" s="599"/>
      <c r="V45" s="600">
        <v>0</v>
      </c>
      <c r="W45" s="601"/>
      <c r="X45" s="598">
        <f t="shared" si="0"/>
        <v>0</v>
      </c>
      <c r="Y45" s="601"/>
      <c r="Z45" s="70"/>
      <c r="AA45" s="70"/>
      <c r="AB45" s="70"/>
      <c r="AC45" s="70"/>
      <c r="AD45" s="70"/>
      <c r="AE45" s="67"/>
    </row>
    <row r="46" spans="2:31" ht="13.5" thickBot="1" x14ac:dyDescent="0.3">
      <c r="B46" s="66"/>
      <c r="C46" s="70"/>
      <c r="D46" s="70"/>
      <c r="E46" s="70"/>
      <c r="F46" s="70"/>
      <c r="G46" s="70"/>
      <c r="H46" s="70"/>
      <c r="I46" s="70"/>
      <c r="J46" s="70"/>
      <c r="K46" s="125"/>
      <c r="L46" s="630"/>
      <c r="M46" s="618" t="str">
        <f t="shared" si="1"/>
        <v/>
      </c>
      <c r="N46" s="618"/>
      <c r="O46" s="618"/>
      <c r="P46" s="618"/>
      <c r="Q46" s="619"/>
      <c r="R46" s="620">
        <f t="shared" si="2"/>
        <v>0</v>
      </c>
      <c r="S46" s="621"/>
      <c r="T46" s="600">
        <v>0</v>
      </c>
      <c r="U46" s="599"/>
      <c r="V46" s="600">
        <v>0</v>
      </c>
      <c r="W46" s="601"/>
      <c r="X46" s="598">
        <f t="shared" si="0"/>
        <v>0</v>
      </c>
      <c r="Y46" s="601"/>
      <c r="Z46" s="70"/>
      <c r="AA46" s="70"/>
      <c r="AB46" s="70"/>
      <c r="AC46" s="70"/>
      <c r="AD46" s="70"/>
      <c r="AE46" s="67"/>
    </row>
    <row r="47" spans="2:31" x14ac:dyDescent="0.25">
      <c r="B47" s="66"/>
      <c r="C47" s="70"/>
      <c r="D47" s="70"/>
      <c r="E47" s="70"/>
      <c r="F47" s="70"/>
      <c r="G47" s="70"/>
      <c r="H47" s="70"/>
      <c r="I47" s="70"/>
      <c r="J47" s="70"/>
      <c r="K47" s="609" t="s">
        <v>237</v>
      </c>
      <c r="L47" s="610"/>
      <c r="M47" s="611" t="s">
        <v>909</v>
      </c>
      <c r="N47" s="612"/>
      <c r="O47" s="612"/>
      <c r="P47" s="612"/>
      <c r="Q47" s="613"/>
      <c r="R47" s="614">
        <f>SUMIFS(Propostas!$AD:$AD, Propostas!$AH:$AH, "SIM", Propostas!$AM:$AM, $M47, Propostas!$BC:$BC, $R$31)</f>
        <v>0</v>
      </c>
      <c r="S47" s="615"/>
      <c r="T47" s="616">
        <f>SUMIFS(Propostas!$AD:$AD, Propostas!$AH:$AH, "SIM", Propostas!$AM:$AM, $M47, Propostas!$BC:$BC, $T$31)</f>
        <v>0</v>
      </c>
      <c r="U47" s="615"/>
      <c r="V47" s="616">
        <f>SUMIFS(Propostas!$AD:$AD, Propostas!$AH:$AH, "SIM", Propostas!$AM:$AM, $M47, Propostas!$BC:$BC, $V$31)</f>
        <v>0</v>
      </c>
      <c r="W47" s="617"/>
      <c r="X47" s="614">
        <f t="shared" si="0"/>
        <v>0</v>
      </c>
      <c r="Y47" s="617"/>
      <c r="Z47" s="70"/>
      <c r="AA47" s="70"/>
      <c r="AB47" s="70"/>
      <c r="AC47" s="70"/>
      <c r="AD47" s="70"/>
      <c r="AE47" s="67"/>
    </row>
    <row r="48" spans="2:31" x14ac:dyDescent="0.25">
      <c r="B48" s="66"/>
      <c r="C48" s="70"/>
      <c r="D48" s="70"/>
      <c r="E48" s="70"/>
      <c r="F48" s="70"/>
      <c r="G48" s="70"/>
      <c r="H48" s="70"/>
      <c r="I48" s="70"/>
      <c r="J48" s="70"/>
      <c r="K48" s="127"/>
      <c r="L48" s="128"/>
      <c r="M48" s="468" t="s">
        <v>876</v>
      </c>
      <c r="N48" s="469"/>
      <c r="O48" s="469"/>
      <c r="P48" s="469"/>
      <c r="Q48" s="597"/>
      <c r="R48" s="598">
        <f>SUMIFS(Propostas!$AD:$AD, Propostas!$AH:$AH, "SIM", Propostas!$AM:$AM, $M48, Propostas!$BC:$BC, $R$31)</f>
        <v>0</v>
      </c>
      <c r="S48" s="599"/>
      <c r="T48" s="600">
        <f>SUMIFS(Propostas!$AD:$AD, Propostas!$AH:$AH, "SIM", Propostas!$AM:$AM, $M48, Propostas!$BC:$BC, $T$31)</f>
        <v>0</v>
      </c>
      <c r="U48" s="599"/>
      <c r="V48" s="600">
        <f>SUMIFS(Propostas!$AD:$AD, Propostas!$AH:$AH, "SIM", Propostas!$AM:$AM, $M48, Propostas!$BC:$BC, $V$31)</f>
        <v>0</v>
      </c>
      <c r="W48" s="601"/>
      <c r="X48" s="598">
        <f t="shared" si="0"/>
        <v>0</v>
      </c>
      <c r="Y48" s="601"/>
      <c r="Z48" s="70"/>
      <c r="AA48" s="70"/>
      <c r="AB48" s="70"/>
      <c r="AC48" s="70"/>
      <c r="AD48" s="70"/>
      <c r="AE48" s="67"/>
    </row>
    <row r="49" spans="2:31" x14ac:dyDescent="0.25">
      <c r="B49" s="66"/>
      <c r="C49" s="70"/>
      <c r="D49" s="70"/>
      <c r="E49" s="70"/>
      <c r="F49" s="70"/>
      <c r="G49" s="70"/>
      <c r="H49" s="70"/>
      <c r="I49" s="70"/>
      <c r="J49" s="70"/>
      <c r="K49" s="127"/>
      <c r="L49" s="128"/>
      <c r="M49" s="468" t="s">
        <v>60</v>
      </c>
      <c r="N49" s="469"/>
      <c r="O49" s="469"/>
      <c r="P49" s="469"/>
      <c r="Q49" s="597"/>
      <c r="R49" s="598">
        <f>SUMIFS(Propostas!$AD:$AD, Propostas!$AH:$AH, "SIM", Propostas!$AM:$AM, $M49, Propostas!$BC:$BC, $R$31)</f>
        <v>0</v>
      </c>
      <c r="S49" s="599"/>
      <c r="T49" s="600">
        <f>SUMIFS(Propostas!$AD:$AD, Propostas!$AH:$AH, "SIM", Propostas!$AM:$AM, $M49, Propostas!$BC:$BC, $T$31)</f>
        <v>0</v>
      </c>
      <c r="U49" s="599"/>
      <c r="V49" s="600">
        <f>SUMIFS(Propostas!$AD:$AD, Propostas!$AH:$AH, "SIM", Propostas!$AM:$AM, $M49, Propostas!$BC:$BC, $V$31)</f>
        <v>0</v>
      </c>
      <c r="W49" s="601"/>
      <c r="X49" s="598">
        <f t="shared" si="0"/>
        <v>0</v>
      </c>
      <c r="Y49" s="601"/>
      <c r="Z49" s="70"/>
      <c r="AA49" s="70"/>
      <c r="AB49" s="70"/>
      <c r="AC49" s="70"/>
      <c r="AD49" s="70"/>
      <c r="AE49" s="67"/>
    </row>
    <row r="50" spans="2:31" x14ac:dyDescent="0.25">
      <c r="B50" s="66"/>
      <c r="C50" s="70"/>
      <c r="D50" s="70"/>
      <c r="E50" s="70"/>
      <c r="F50" s="70"/>
      <c r="G50" s="70"/>
      <c r="H50" s="70"/>
      <c r="I50" s="70"/>
      <c r="J50" s="70"/>
      <c r="K50" s="127"/>
      <c r="L50" s="128"/>
      <c r="M50" s="468" t="s">
        <v>951</v>
      </c>
      <c r="N50" s="469"/>
      <c r="O50" s="469"/>
      <c r="P50" s="469"/>
      <c r="Q50" s="597"/>
      <c r="R50" s="598">
        <f>SUMIFS(Propostas!$AD:$AD, Propostas!$AH:$AH, "SIM", Propostas!$AM:$AM, $M50, Propostas!$BC:$BC, $R$31)</f>
        <v>0</v>
      </c>
      <c r="S50" s="599"/>
      <c r="T50" s="600">
        <f>SUMIFS(Propostas!$AD:$AD, Propostas!$AH:$AH, "SIM", Propostas!$AM:$AM, $M50, Propostas!$BC:$BC, $T$31)</f>
        <v>0</v>
      </c>
      <c r="U50" s="599"/>
      <c r="V50" s="600">
        <f>SUMIFS(Propostas!$AD:$AD, Propostas!$AH:$AH, "SIM", Propostas!$AM:$AM, $M50, Propostas!$BC:$BC, $V$31)</f>
        <v>0</v>
      </c>
      <c r="W50" s="601"/>
      <c r="X50" s="598">
        <f t="shared" si="0"/>
        <v>0</v>
      </c>
      <c r="Y50" s="601"/>
      <c r="Z50" s="70"/>
      <c r="AA50" s="70"/>
      <c r="AB50" s="70"/>
      <c r="AC50" s="70"/>
      <c r="AD50" s="70"/>
      <c r="AE50" s="67"/>
    </row>
    <row r="51" spans="2:31" ht="15.75" customHeight="1" thickBot="1" x14ac:dyDescent="0.3">
      <c r="B51" s="66"/>
      <c r="C51" s="70"/>
      <c r="D51" s="70"/>
      <c r="E51" s="70"/>
      <c r="F51" s="70"/>
      <c r="G51" s="70"/>
      <c r="H51" s="70"/>
      <c r="I51" s="70"/>
      <c r="J51" s="70"/>
      <c r="K51" s="129"/>
      <c r="L51" s="130"/>
      <c r="M51" s="602" t="s">
        <v>950</v>
      </c>
      <c r="N51" s="603"/>
      <c r="O51" s="603"/>
      <c r="P51" s="603"/>
      <c r="Q51" s="604"/>
      <c r="R51" s="605">
        <f>SUMIFS(Propostas!$AD:$AD, Propostas!$AH:$AH, "SIM", Propostas!$AM:$AM, $M51, Propostas!$BC:$BC, $R$31)</f>
        <v>0</v>
      </c>
      <c r="S51" s="606"/>
      <c r="T51" s="607">
        <f>SUMIFS(Propostas!$AD:$AD, Propostas!$AH:$AH, "SIM", Propostas!$AM:$AM, $M51, Propostas!$BC:$BC, $T$31)</f>
        <v>0</v>
      </c>
      <c r="U51" s="606"/>
      <c r="V51" s="607">
        <f>SUMIFS(Propostas!$AD:$AD, Propostas!$AH:$AH, "SIM", Propostas!$AM:$AM, $M51, Propostas!$BC:$BC, $V$31)</f>
        <v>0</v>
      </c>
      <c r="W51" s="608"/>
      <c r="X51" s="605">
        <f t="shared" si="0"/>
        <v>0</v>
      </c>
      <c r="Y51" s="608"/>
      <c r="Z51" s="70"/>
      <c r="AA51" s="70"/>
      <c r="AB51" s="70"/>
      <c r="AC51" s="70"/>
      <c r="AD51" s="70"/>
      <c r="AE51" s="67"/>
    </row>
    <row r="52" spans="2:31" x14ac:dyDescent="0.25">
      <c r="B52" s="68"/>
      <c r="C52" s="63"/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69"/>
    </row>
    <row r="53" spans="2:31" x14ac:dyDescent="0.25"/>
    <row r="54" spans="2:31" ht="14.25" x14ac:dyDescent="0.25">
      <c r="B54" s="507" t="s">
        <v>852</v>
      </c>
      <c r="C54" s="508"/>
      <c r="D54" s="508"/>
      <c r="E54" s="508"/>
      <c r="F54" s="508"/>
      <c r="G54" s="508"/>
      <c r="H54" s="508"/>
      <c r="I54" s="508"/>
      <c r="J54" s="508"/>
      <c r="K54" s="508"/>
      <c r="L54" s="508"/>
      <c r="M54" s="508"/>
      <c r="N54" s="508"/>
      <c r="O54" s="508"/>
      <c r="P54" s="508"/>
      <c r="Q54" s="508"/>
      <c r="R54" s="508"/>
      <c r="S54" s="508"/>
      <c r="T54" s="508"/>
      <c r="U54" s="508"/>
      <c r="V54" s="508"/>
      <c r="W54" s="508"/>
      <c r="X54" s="508"/>
      <c r="Y54" s="508"/>
      <c r="Z54" s="508"/>
      <c r="AA54" s="508"/>
      <c r="AB54" s="508"/>
      <c r="AC54" s="508"/>
      <c r="AD54" s="508"/>
      <c r="AE54" s="509"/>
    </row>
    <row r="55" spans="2:31" x14ac:dyDescent="0.25">
      <c r="B55" s="76"/>
      <c r="C55" s="73"/>
      <c r="D55" s="592" t="str">
        <f>TABELAS!$Q$2</f>
        <v>JAN/2017</v>
      </c>
      <c r="E55" s="593"/>
      <c r="F55" s="592" t="str">
        <f>TABELAS!$Q$3</f>
        <v>FEV/2017</v>
      </c>
      <c r="G55" s="593"/>
      <c r="H55" s="592" t="str">
        <f>TABELAS!$Q$4</f>
        <v>MAR/2017</v>
      </c>
      <c r="I55" s="593"/>
      <c r="J55" s="592" t="str">
        <f>TABELAS!$Q$5</f>
        <v>ABR/2017</v>
      </c>
      <c r="K55" s="593"/>
      <c r="L55" s="592" t="str">
        <f>TABELAS!$Q$6</f>
        <v>MAI/2017</v>
      </c>
      <c r="M55" s="593"/>
      <c r="N55" s="592" t="str">
        <f>TABELAS!$Q$7</f>
        <v>JUN/2017</v>
      </c>
      <c r="O55" s="593"/>
      <c r="P55" s="592" t="str">
        <f>TABELAS!$Q$8</f>
        <v>JUL/2017</v>
      </c>
      <c r="Q55" s="593"/>
      <c r="R55" s="592" t="str">
        <f>TABELAS!$Q$9</f>
        <v>AGO/2017</v>
      </c>
      <c r="S55" s="593"/>
      <c r="T55" s="592" t="str">
        <f>TABELAS!$Q$10</f>
        <v>SET/2017</v>
      </c>
      <c r="U55" s="593"/>
      <c r="V55" s="592" t="str">
        <f>TABELAS!$Q$11</f>
        <v>OUT/2017</v>
      </c>
      <c r="W55" s="593"/>
      <c r="X55" s="592" t="str">
        <f>TABELAS!$Q$12</f>
        <v>NOV/2017</v>
      </c>
      <c r="Y55" s="593"/>
      <c r="Z55" s="592" t="str">
        <f>TABELAS!$Q$13</f>
        <v>DEZ/2017</v>
      </c>
      <c r="AA55" s="593"/>
      <c r="AB55" s="592">
        <f>TABELAS!$Q$14</f>
        <v>2018</v>
      </c>
      <c r="AC55" s="593"/>
      <c r="AD55" s="592" t="str">
        <f>TABELAS!$Q$15</f>
        <v>Próximos Anos</v>
      </c>
      <c r="AE55" s="594"/>
    </row>
    <row r="56" spans="2:31" x14ac:dyDescent="0.25">
      <c r="B56" s="595" t="s">
        <v>407</v>
      </c>
      <c r="C56" s="596"/>
      <c r="D56" s="587">
        <f>SUM(D57:E58)</f>
        <v>0</v>
      </c>
      <c r="E56" s="588"/>
      <c r="F56" s="587">
        <f>SUM(F57:G58)</f>
        <v>0</v>
      </c>
      <c r="G56" s="588"/>
      <c r="H56" s="587">
        <f>SUM(H57:I58)</f>
        <v>0</v>
      </c>
      <c r="I56" s="588"/>
      <c r="J56" s="587">
        <f>SUM(J57:K58)</f>
        <v>0</v>
      </c>
      <c r="K56" s="588"/>
      <c r="L56" s="587">
        <f>SUM(L57:M58)</f>
        <v>0</v>
      </c>
      <c r="M56" s="588"/>
      <c r="N56" s="587">
        <f>SUM(N57:O58)</f>
        <v>0</v>
      </c>
      <c r="O56" s="588"/>
      <c r="P56" s="587">
        <f>SUM(P57:Q58)</f>
        <v>0</v>
      </c>
      <c r="Q56" s="588"/>
      <c r="R56" s="587">
        <f>SUM(R57:S58)</f>
        <v>0</v>
      </c>
      <c r="S56" s="588"/>
      <c r="T56" s="587">
        <f>SUM(T57:U58)</f>
        <v>14787.465000000004</v>
      </c>
      <c r="U56" s="588"/>
      <c r="V56" s="587">
        <f>SUM(V57:W58)</f>
        <v>0</v>
      </c>
      <c r="W56" s="588"/>
      <c r="X56" s="587">
        <f>SUM(X57:Y58)</f>
        <v>0</v>
      </c>
      <c r="Y56" s="588"/>
      <c r="Z56" s="587">
        <f>SUM(Z57:AA58)</f>
        <v>0</v>
      </c>
      <c r="AA56" s="588"/>
      <c r="AB56" s="587">
        <f>SUM(AB57:AC58)</f>
        <v>0</v>
      </c>
      <c r="AC56" s="588"/>
      <c r="AD56" s="587">
        <f>SUM(AD57:AE58)</f>
        <v>0</v>
      </c>
      <c r="AE56" s="589"/>
    </row>
    <row r="57" spans="2:31" x14ac:dyDescent="0.25">
      <c r="B57" s="590" t="s">
        <v>953</v>
      </c>
      <c r="C57" s="591"/>
      <c r="D57" s="582">
        <f>SUMIFS(Propostas!$AD:$AD, Propostas!$AH:$AH, "SIM", Propostas!$AC:$AC, D$55)</f>
        <v>0</v>
      </c>
      <c r="E57" s="583"/>
      <c r="F57" s="582">
        <f>SUMIFS(Propostas!$AD:$AD, Propostas!$AH:$AH, "SIM", Propostas!$AC:$AC, F$55)</f>
        <v>0</v>
      </c>
      <c r="G57" s="583"/>
      <c r="H57" s="582">
        <f>SUMIFS(Propostas!$AD:$AD, Propostas!$AH:$AH, "SIM", Propostas!$AC:$AC, H$55)</f>
        <v>0</v>
      </c>
      <c r="I57" s="583"/>
      <c r="J57" s="582">
        <f>SUMIFS(Propostas!$AD:$AD, Propostas!$AH:$AH, "SIM", Propostas!$AC:$AC, J$55)</f>
        <v>0</v>
      </c>
      <c r="K57" s="583"/>
      <c r="L57" s="582">
        <f>SUMIFS(Propostas!$AD:$AD, Propostas!$AH:$AH, "SIM", Propostas!$AC:$AC, L$55)</f>
        <v>0</v>
      </c>
      <c r="M57" s="583"/>
      <c r="N57" s="582">
        <f>SUMIFS(Propostas!$AD:$AD, Propostas!$AH:$AH, "SIM", Propostas!$AC:$AC, N$55)</f>
        <v>0</v>
      </c>
      <c r="O57" s="583"/>
      <c r="P57" s="582">
        <f>SUMIFS(Propostas!$AD:$AD, Propostas!$AH:$AH, "SIM", Propostas!$AC:$AC, P$55)</f>
        <v>0</v>
      </c>
      <c r="Q57" s="583"/>
      <c r="R57" s="582">
        <f>SUMIFS(Propostas!$AD:$AD, Propostas!$AH:$AH, "SIM", Propostas!$AC:$AC, R$55)</f>
        <v>0</v>
      </c>
      <c r="S57" s="583"/>
      <c r="T57" s="582">
        <f>SUMIFS(Propostas!$AD:$AD, Propostas!$AH:$AH, "SIM", Propostas!$AC:$AC, T$55)</f>
        <v>0</v>
      </c>
      <c r="U57" s="583"/>
      <c r="V57" s="582">
        <f>SUMIFS(Propostas!$AD:$AD, Propostas!$AH:$AH, "SIM", Propostas!$AC:$AC, V$55)</f>
        <v>0</v>
      </c>
      <c r="W57" s="583"/>
      <c r="X57" s="582">
        <f>SUMIFS(Propostas!$AD:$AD, Propostas!$AH:$AH, "SIM", Propostas!$AC:$AC, X$55)</f>
        <v>0</v>
      </c>
      <c r="Y57" s="583"/>
      <c r="Z57" s="582">
        <f>SUMIFS(Propostas!$AD:$AD, Propostas!$AH:$AH, "SIM", Propostas!$AC:$AC, Z$55)</f>
        <v>0</v>
      </c>
      <c r="AA57" s="583"/>
      <c r="AB57" s="582">
        <f>SUMIFS(Propostas!$AD:$AD, Propostas!$AH:$AH, "SIM", Propostas!$AC:$AC, AB$55)</f>
        <v>0</v>
      </c>
      <c r="AC57" s="583"/>
      <c r="AD57" s="582">
        <f>SUMIFS(Propostas!$AD:$AD, Propostas!$AH:$AH, "SIM", Propostas!$AC:$AC, AD$55)</f>
        <v>0</v>
      </c>
      <c r="AE57" s="584"/>
    </row>
    <row r="58" spans="2:31" x14ac:dyDescent="0.25">
      <c r="B58" s="585" t="s">
        <v>274</v>
      </c>
      <c r="C58" s="586"/>
      <c r="D58" s="577">
        <f>SUMIFS(Propostas!$AD:$AD, Propostas!$AH:$AH, "NÃO", Propostas!$AC:$AC, D$55)</f>
        <v>0</v>
      </c>
      <c r="E58" s="578"/>
      <c r="F58" s="577">
        <f>SUMIFS(Propostas!$AD:$AD, Propostas!$AH:$AH, "NÃO", Propostas!$AC:$AC, F$55)</f>
        <v>0</v>
      </c>
      <c r="G58" s="578"/>
      <c r="H58" s="577">
        <f>SUMIFS(Propostas!$AD:$AD, Propostas!$AH:$AH, "NÃO", Propostas!$AC:$AC, H$55)</f>
        <v>0</v>
      </c>
      <c r="I58" s="578"/>
      <c r="J58" s="577">
        <f>SUMIFS(Propostas!$AD:$AD, Propostas!$AH:$AH, "NÃO", Propostas!$AC:$AC, J$55)</f>
        <v>0</v>
      </c>
      <c r="K58" s="578"/>
      <c r="L58" s="577">
        <f>SUMIFS(Propostas!$AD:$AD, Propostas!$AH:$AH, "NÃO", Propostas!$AC:$AC, L$55)</f>
        <v>0</v>
      </c>
      <c r="M58" s="578"/>
      <c r="N58" s="577">
        <f>SUMIFS(Propostas!$AD:$AD, Propostas!$AH:$AH, "NÃO", Propostas!$AC:$AC, N$55)</f>
        <v>0</v>
      </c>
      <c r="O58" s="578"/>
      <c r="P58" s="577">
        <f>SUMIFS(Propostas!$AD:$AD, Propostas!$AH:$AH, "NÃO", Propostas!$AC:$AC, P$55)</f>
        <v>0</v>
      </c>
      <c r="Q58" s="578"/>
      <c r="R58" s="577">
        <f>SUMIFS(Propostas!$AD:$AD, Propostas!$AH:$AH, "NÃO", Propostas!$AC:$AC, R$55)</f>
        <v>0</v>
      </c>
      <c r="S58" s="578"/>
      <c r="T58" s="577">
        <f>SUMIFS(Propostas!$AD:$AD, Propostas!$AH:$AH, "NÃO", Propostas!$AC:$AC, T$55)</f>
        <v>14787.465000000004</v>
      </c>
      <c r="U58" s="578"/>
      <c r="V58" s="577">
        <f>SUMIFS(Propostas!$AD:$AD, Propostas!$AH:$AH, "NÃO", Propostas!$AC:$AC, V$55)</f>
        <v>0</v>
      </c>
      <c r="W58" s="578"/>
      <c r="X58" s="577">
        <f>SUMIFS(Propostas!$AD:$AD, Propostas!$AH:$AH, "NÃO", Propostas!$AC:$AC, X$55)</f>
        <v>0</v>
      </c>
      <c r="Y58" s="578"/>
      <c r="Z58" s="577">
        <f>SUMIFS(Propostas!$AD:$AD, Propostas!$AH:$AH, "NÃO", Propostas!$AC:$AC, Z$55)</f>
        <v>0</v>
      </c>
      <c r="AA58" s="578"/>
      <c r="AB58" s="577">
        <f>SUMIFS(Propostas!$AD:$AD, Propostas!$AH:$AH, "NÃO", Propostas!$AC:$AC, AB$55)</f>
        <v>0</v>
      </c>
      <c r="AC58" s="578"/>
      <c r="AD58" s="577">
        <f>SUMIFS(Propostas!$AD:$AD, Propostas!$AH:$AH, "NÃO", Propostas!$AC:$AC, AD$55)</f>
        <v>0</v>
      </c>
      <c r="AE58" s="579"/>
    </row>
    <row r="59" spans="2:31" ht="15" customHeight="1" x14ac:dyDescent="0.25">
      <c r="B59" s="580" t="str">
        <f>IF(Defesa!C8 = "", "", Defesa!C8)</f>
        <v>PRJ00021293</v>
      </c>
      <c r="C59" s="581"/>
      <c r="D59" s="574">
        <f>SUMIFS(Propostas!$AD:$AD, Propostas!$AC:$AC, D$55, Propostas!$C:$C, $B59)</f>
        <v>0</v>
      </c>
      <c r="E59" s="576"/>
      <c r="F59" s="574">
        <f>SUMIFS(Propostas!$AD:$AD, Propostas!$AC:$AC, F$55, Propostas!$C:$C, $B59)</f>
        <v>0</v>
      </c>
      <c r="G59" s="576"/>
      <c r="H59" s="574">
        <f>SUMIFS(Propostas!$AD:$AD, Propostas!$AC:$AC, H$55, Propostas!$C:$C, $B59)</f>
        <v>0</v>
      </c>
      <c r="I59" s="576"/>
      <c r="J59" s="574">
        <f>SUMIFS(Propostas!$AD:$AD, Propostas!$AC:$AC, J$55, Propostas!$C:$C, $B59)</f>
        <v>0</v>
      </c>
      <c r="K59" s="576"/>
      <c r="L59" s="574">
        <f>SUMIFS(Propostas!$AD:$AD, Propostas!$AC:$AC, L$55, Propostas!$C:$C, $B59)</f>
        <v>0</v>
      </c>
      <c r="M59" s="576"/>
      <c r="N59" s="574">
        <f>SUMIFS(Propostas!$AD:$AD, Propostas!$AC:$AC, N$55, Propostas!$C:$C, $B59)</f>
        <v>0</v>
      </c>
      <c r="O59" s="576"/>
      <c r="P59" s="574">
        <f>SUMIFS(Propostas!$AD:$AD, Propostas!$AC:$AC, P$55, Propostas!$C:$C, $B59)</f>
        <v>0</v>
      </c>
      <c r="Q59" s="576"/>
      <c r="R59" s="574">
        <f>SUMIFS(Propostas!$AD:$AD, Propostas!$AC:$AC, R$55, Propostas!$C:$C, $B59)</f>
        <v>0</v>
      </c>
      <c r="S59" s="576"/>
      <c r="T59" s="574">
        <f>SUMIFS(Propostas!$AD:$AD, Propostas!$AC:$AC, T$55, Propostas!$C:$C, $B59)</f>
        <v>14787.465000000004</v>
      </c>
      <c r="U59" s="576"/>
      <c r="V59" s="574">
        <f>SUMIFS(Propostas!$AD:$AD, Propostas!$AC:$AC, V$55, Propostas!$C:$C, $B59)</f>
        <v>0</v>
      </c>
      <c r="W59" s="576"/>
      <c r="X59" s="574">
        <f>SUMIFS(Propostas!$AD:$AD, Propostas!$AC:$AC, X$55, Propostas!$C:$C, $B59)</f>
        <v>0</v>
      </c>
      <c r="Y59" s="576"/>
      <c r="Z59" s="574">
        <f>SUMIFS(Propostas!$AD:$AD, Propostas!$AC:$AC, Z$55, Propostas!$C:$C, $B59)</f>
        <v>0</v>
      </c>
      <c r="AA59" s="576"/>
      <c r="AB59" s="574">
        <f>SUMIFS(Propostas!$AD:$AD, Propostas!$AC:$AC, AB$55, Propostas!$C:$C, $B59)</f>
        <v>0</v>
      </c>
      <c r="AC59" s="576"/>
      <c r="AD59" s="574">
        <f>SUMIFS(Propostas!$AD:$AD, Propostas!$AC:$AC, AD$55, Propostas!$C:$C, $B59)</f>
        <v>0</v>
      </c>
      <c r="AE59" s="575"/>
    </row>
    <row r="60" spans="2:31" x14ac:dyDescent="0.25">
      <c r="B60" s="572" t="str">
        <f>IF(Defesa!C9 = "", "", Defesa!C9)</f>
        <v/>
      </c>
      <c r="C60" s="573"/>
      <c r="D60" s="569">
        <f>SUMIFS(Propostas!$AD:$AD, Propostas!$AC:$AC, D$55, Propostas!$C:$C, $B60)</f>
        <v>0</v>
      </c>
      <c r="E60" s="570"/>
      <c r="F60" s="569">
        <f>SUMIFS(Propostas!$AD:$AD, Propostas!$AC:$AC, F$55, Propostas!$C:$C, $B60)</f>
        <v>0</v>
      </c>
      <c r="G60" s="570"/>
      <c r="H60" s="569">
        <f>SUMIFS(Propostas!$AD:$AD, Propostas!$AC:$AC, H$55, Propostas!$C:$C, $B60)</f>
        <v>0</v>
      </c>
      <c r="I60" s="570"/>
      <c r="J60" s="569">
        <f>SUMIFS(Propostas!$AD:$AD, Propostas!$AC:$AC, J$55, Propostas!$C:$C, $B60)</f>
        <v>0</v>
      </c>
      <c r="K60" s="570"/>
      <c r="L60" s="569">
        <f>SUMIFS(Propostas!$AD:$AD, Propostas!$AC:$AC, L$55, Propostas!$C:$C, $B60)</f>
        <v>0</v>
      </c>
      <c r="M60" s="570"/>
      <c r="N60" s="569">
        <f>SUMIFS(Propostas!$AD:$AD, Propostas!$AC:$AC, N$55, Propostas!$C:$C, $B60)</f>
        <v>0</v>
      </c>
      <c r="O60" s="570"/>
      <c r="P60" s="569">
        <f>SUMIFS(Propostas!$AD:$AD, Propostas!$AC:$AC, P$55, Propostas!$C:$C, $B60)</f>
        <v>0</v>
      </c>
      <c r="Q60" s="570"/>
      <c r="R60" s="569">
        <f>SUMIFS(Propostas!$AD:$AD, Propostas!$AC:$AC, R$55, Propostas!$C:$C, $B60)</f>
        <v>0</v>
      </c>
      <c r="S60" s="570"/>
      <c r="T60" s="569">
        <f>SUMIFS(Propostas!$AD:$AD, Propostas!$AC:$AC, T$55, Propostas!$C:$C, $B60)</f>
        <v>0</v>
      </c>
      <c r="U60" s="570"/>
      <c r="V60" s="569">
        <f>SUMIFS(Propostas!$AD:$AD, Propostas!$AC:$AC, V$55, Propostas!$C:$C, $B60)</f>
        <v>0</v>
      </c>
      <c r="W60" s="570"/>
      <c r="X60" s="569">
        <f>SUMIFS(Propostas!$AD:$AD, Propostas!$AC:$AC, X$55, Propostas!$C:$C, $B60)</f>
        <v>0</v>
      </c>
      <c r="Y60" s="570"/>
      <c r="Z60" s="569">
        <f>SUMIFS(Propostas!$AD:$AD, Propostas!$AC:$AC, Z$55, Propostas!$C:$C, $B60)</f>
        <v>0</v>
      </c>
      <c r="AA60" s="570"/>
      <c r="AB60" s="569">
        <f>SUMIFS(Propostas!$AD:$AD, Propostas!$AC:$AC, AB$55, Propostas!$C:$C, $B60)</f>
        <v>0</v>
      </c>
      <c r="AC60" s="570"/>
      <c r="AD60" s="569">
        <f>SUMIFS(Propostas!$AD:$AD, Propostas!$AC:$AC, AD$55, Propostas!$C:$C, $B60)</f>
        <v>0</v>
      </c>
      <c r="AE60" s="571"/>
    </row>
    <row r="61" spans="2:31" x14ac:dyDescent="0.25">
      <c r="B61" s="572" t="str">
        <f>IF(Defesa!C10 = "", "", Defesa!C10)</f>
        <v/>
      </c>
      <c r="C61" s="573"/>
      <c r="D61" s="569">
        <f>SUMIFS(Propostas!$AD:$AD, Propostas!$AC:$AC, D$55, Propostas!$C:$C, $B61)</f>
        <v>0</v>
      </c>
      <c r="E61" s="570"/>
      <c r="F61" s="569">
        <f>SUMIFS(Propostas!$AD:$AD, Propostas!$AC:$AC, F$55, Propostas!$C:$C, $B61)</f>
        <v>0</v>
      </c>
      <c r="G61" s="570"/>
      <c r="H61" s="569">
        <f>SUMIFS(Propostas!$AD:$AD, Propostas!$AC:$AC, H$55, Propostas!$C:$C, $B61)</f>
        <v>0</v>
      </c>
      <c r="I61" s="570"/>
      <c r="J61" s="569">
        <f>SUMIFS(Propostas!$AD:$AD, Propostas!$AC:$AC, J$55, Propostas!$C:$C, $B61)</f>
        <v>0</v>
      </c>
      <c r="K61" s="570"/>
      <c r="L61" s="569">
        <f>SUMIFS(Propostas!$AD:$AD, Propostas!$AC:$AC, L$55, Propostas!$C:$C, $B61)</f>
        <v>0</v>
      </c>
      <c r="M61" s="570"/>
      <c r="N61" s="569">
        <f>SUMIFS(Propostas!$AD:$AD, Propostas!$AC:$AC, N$55, Propostas!$C:$C, $B61)</f>
        <v>0</v>
      </c>
      <c r="O61" s="570"/>
      <c r="P61" s="569">
        <f>SUMIFS(Propostas!$AD:$AD, Propostas!$AC:$AC, P$55, Propostas!$C:$C, $B61)</f>
        <v>0</v>
      </c>
      <c r="Q61" s="570"/>
      <c r="R61" s="569">
        <f>SUMIFS(Propostas!$AD:$AD, Propostas!$AC:$AC, R$55, Propostas!$C:$C, $B61)</f>
        <v>0</v>
      </c>
      <c r="S61" s="570"/>
      <c r="T61" s="569">
        <f>SUMIFS(Propostas!$AD:$AD, Propostas!$AC:$AC, T$55, Propostas!$C:$C, $B61)</f>
        <v>0</v>
      </c>
      <c r="U61" s="570"/>
      <c r="V61" s="569">
        <f>SUMIFS(Propostas!$AD:$AD, Propostas!$AC:$AC, V$55, Propostas!$C:$C, $B61)</f>
        <v>0</v>
      </c>
      <c r="W61" s="570"/>
      <c r="X61" s="569">
        <f>SUMIFS(Propostas!$AD:$AD, Propostas!$AC:$AC, X$55, Propostas!$C:$C, $B61)</f>
        <v>0</v>
      </c>
      <c r="Y61" s="570"/>
      <c r="Z61" s="569">
        <f>SUMIFS(Propostas!$AD:$AD, Propostas!$AC:$AC, Z$55, Propostas!$C:$C, $B61)</f>
        <v>0</v>
      </c>
      <c r="AA61" s="570"/>
      <c r="AB61" s="569">
        <f>SUMIFS(Propostas!$AD:$AD, Propostas!$AC:$AC, AB$55, Propostas!$C:$C, $B61)</f>
        <v>0</v>
      </c>
      <c r="AC61" s="570"/>
      <c r="AD61" s="569">
        <f>SUMIFS(Propostas!$AD:$AD, Propostas!$AC:$AC, AD$55, Propostas!$C:$C, $B61)</f>
        <v>0</v>
      </c>
      <c r="AE61" s="571"/>
    </row>
    <row r="62" spans="2:31" x14ac:dyDescent="0.25">
      <c r="B62" s="572" t="str">
        <f>IF(Defesa!C11 = "", "", Defesa!C11)</f>
        <v/>
      </c>
      <c r="C62" s="573"/>
      <c r="D62" s="569">
        <f>SUMIFS(Propostas!$AD:$AD, Propostas!$AC:$AC, D$55, Propostas!$C:$C, $B62)</f>
        <v>0</v>
      </c>
      <c r="E62" s="570"/>
      <c r="F62" s="569">
        <f>SUMIFS(Propostas!$AD:$AD, Propostas!$AC:$AC, F$55, Propostas!$C:$C, $B62)</f>
        <v>0</v>
      </c>
      <c r="G62" s="570"/>
      <c r="H62" s="569">
        <f>SUMIFS(Propostas!$AD:$AD, Propostas!$AC:$AC, H$55, Propostas!$C:$C, $B62)</f>
        <v>0</v>
      </c>
      <c r="I62" s="570"/>
      <c r="J62" s="569">
        <f>SUMIFS(Propostas!$AD:$AD, Propostas!$AC:$AC, J$55, Propostas!$C:$C, $B62)</f>
        <v>0</v>
      </c>
      <c r="K62" s="570"/>
      <c r="L62" s="569">
        <f>SUMIFS(Propostas!$AD:$AD, Propostas!$AC:$AC, L$55, Propostas!$C:$C, $B62)</f>
        <v>0</v>
      </c>
      <c r="M62" s="570"/>
      <c r="N62" s="569">
        <f>SUMIFS(Propostas!$AD:$AD, Propostas!$AC:$AC, N$55, Propostas!$C:$C, $B62)</f>
        <v>0</v>
      </c>
      <c r="O62" s="570"/>
      <c r="P62" s="569">
        <f>SUMIFS(Propostas!$AD:$AD, Propostas!$AC:$AC, P$55, Propostas!$C:$C, $B62)</f>
        <v>0</v>
      </c>
      <c r="Q62" s="570"/>
      <c r="R62" s="569">
        <f>SUMIFS(Propostas!$AD:$AD, Propostas!$AC:$AC, R$55, Propostas!$C:$C, $B62)</f>
        <v>0</v>
      </c>
      <c r="S62" s="570"/>
      <c r="T62" s="569">
        <f>SUMIFS(Propostas!$AD:$AD, Propostas!$AC:$AC, T$55, Propostas!$C:$C, $B62)</f>
        <v>0</v>
      </c>
      <c r="U62" s="570"/>
      <c r="V62" s="569">
        <f>SUMIFS(Propostas!$AD:$AD, Propostas!$AC:$AC, V$55, Propostas!$C:$C, $B62)</f>
        <v>0</v>
      </c>
      <c r="W62" s="570"/>
      <c r="X62" s="569">
        <f>SUMIFS(Propostas!$AD:$AD, Propostas!$AC:$AC, X$55, Propostas!$C:$C, $B62)</f>
        <v>0</v>
      </c>
      <c r="Y62" s="570"/>
      <c r="Z62" s="569">
        <f>SUMIFS(Propostas!$AD:$AD, Propostas!$AC:$AC, Z$55, Propostas!$C:$C, $B62)</f>
        <v>0</v>
      </c>
      <c r="AA62" s="570"/>
      <c r="AB62" s="569">
        <f>SUMIFS(Propostas!$AD:$AD, Propostas!$AC:$AC, AB$55, Propostas!$C:$C, $B62)</f>
        <v>0</v>
      </c>
      <c r="AC62" s="570"/>
      <c r="AD62" s="569">
        <f>SUMIFS(Propostas!$AD:$AD, Propostas!$AC:$AC, AD$55, Propostas!$C:$C, $B62)</f>
        <v>0</v>
      </c>
      <c r="AE62" s="571"/>
    </row>
    <row r="63" spans="2:31" x14ac:dyDescent="0.25">
      <c r="B63" s="572" t="str">
        <f>IF(Defesa!C12 = "", "", Defesa!C12)</f>
        <v/>
      </c>
      <c r="C63" s="573"/>
      <c r="D63" s="569">
        <f>SUMIFS(Propostas!$AD:$AD, Propostas!$AC:$AC, D$55, Propostas!$C:$C, $B63)</f>
        <v>0</v>
      </c>
      <c r="E63" s="570"/>
      <c r="F63" s="569">
        <f>SUMIFS(Propostas!$AD:$AD, Propostas!$AC:$AC, F$55, Propostas!$C:$C, $B63)</f>
        <v>0</v>
      </c>
      <c r="G63" s="570"/>
      <c r="H63" s="569">
        <f>SUMIFS(Propostas!$AD:$AD, Propostas!$AC:$AC, H$55, Propostas!$C:$C, $B63)</f>
        <v>0</v>
      </c>
      <c r="I63" s="570"/>
      <c r="J63" s="569">
        <f>SUMIFS(Propostas!$AD:$AD, Propostas!$AC:$AC, J$55, Propostas!$C:$C, $B63)</f>
        <v>0</v>
      </c>
      <c r="K63" s="570"/>
      <c r="L63" s="569">
        <f>SUMIFS(Propostas!$AD:$AD, Propostas!$AC:$AC, L$55, Propostas!$C:$C, $B63)</f>
        <v>0</v>
      </c>
      <c r="M63" s="570"/>
      <c r="N63" s="569">
        <f>SUMIFS(Propostas!$AD:$AD, Propostas!$AC:$AC, N$55, Propostas!$C:$C, $B63)</f>
        <v>0</v>
      </c>
      <c r="O63" s="570"/>
      <c r="P63" s="569">
        <f>SUMIFS(Propostas!$AD:$AD, Propostas!$AC:$AC, P$55, Propostas!$C:$C, $B63)</f>
        <v>0</v>
      </c>
      <c r="Q63" s="570"/>
      <c r="R63" s="569">
        <f>SUMIFS(Propostas!$AD:$AD, Propostas!$AC:$AC, R$55, Propostas!$C:$C, $B63)</f>
        <v>0</v>
      </c>
      <c r="S63" s="570"/>
      <c r="T63" s="569">
        <f>SUMIFS(Propostas!$AD:$AD, Propostas!$AC:$AC, T$55, Propostas!$C:$C, $B63)</f>
        <v>0</v>
      </c>
      <c r="U63" s="570"/>
      <c r="V63" s="569">
        <f>SUMIFS(Propostas!$AD:$AD, Propostas!$AC:$AC, V$55, Propostas!$C:$C, $B63)</f>
        <v>0</v>
      </c>
      <c r="W63" s="570"/>
      <c r="X63" s="569">
        <f>SUMIFS(Propostas!$AD:$AD, Propostas!$AC:$AC, X$55, Propostas!$C:$C, $B63)</f>
        <v>0</v>
      </c>
      <c r="Y63" s="570"/>
      <c r="Z63" s="569">
        <f>SUMIFS(Propostas!$AD:$AD, Propostas!$AC:$AC, Z$55, Propostas!$C:$C, $B63)</f>
        <v>0</v>
      </c>
      <c r="AA63" s="570"/>
      <c r="AB63" s="569">
        <f>SUMIFS(Propostas!$AD:$AD, Propostas!$AC:$AC, AB$55, Propostas!$C:$C, $B63)</f>
        <v>0</v>
      </c>
      <c r="AC63" s="570"/>
      <c r="AD63" s="569">
        <f>SUMIFS(Propostas!$AD:$AD, Propostas!$AC:$AC, AD$55, Propostas!$C:$C, $B63)</f>
        <v>0</v>
      </c>
      <c r="AE63" s="571"/>
    </row>
    <row r="64" spans="2:31" x14ac:dyDescent="0.25">
      <c r="B64" s="572" t="str">
        <f>IF(Defesa!C13 = "", "", Defesa!C13)</f>
        <v/>
      </c>
      <c r="C64" s="573"/>
      <c r="D64" s="569">
        <f>SUMIFS(Propostas!$AD:$AD, Propostas!$AC:$AC, D$55, Propostas!$C:$C, $B64)</f>
        <v>0</v>
      </c>
      <c r="E64" s="570"/>
      <c r="F64" s="569">
        <f>SUMIFS(Propostas!$AD:$AD, Propostas!$AC:$AC, F$55, Propostas!$C:$C, $B64)</f>
        <v>0</v>
      </c>
      <c r="G64" s="570"/>
      <c r="H64" s="569">
        <f>SUMIFS(Propostas!$AD:$AD, Propostas!$AC:$AC, H$55, Propostas!$C:$C, $B64)</f>
        <v>0</v>
      </c>
      <c r="I64" s="570"/>
      <c r="J64" s="569">
        <f>SUMIFS(Propostas!$AD:$AD, Propostas!$AC:$AC, J$55, Propostas!$C:$C, $B64)</f>
        <v>0</v>
      </c>
      <c r="K64" s="570"/>
      <c r="L64" s="569">
        <f>SUMIFS(Propostas!$AD:$AD, Propostas!$AC:$AC, L$55, Propostas!$C:$C, $B64)</f>
        <v>0</v>
      </c>
      <c r="M64" s="570"/>
      <c r="N64" s="569">
        <f>SUMIFS(Propostas!$AD:$AD, Propostas!$AC:$AC, N$55, Propostas!$C:$C, $B64)</f>
        <v>0</v>
      </c>
      <c r="O64" s="570"/>
      <c r="P64" s="569">
        <f>SUMIFS(Propostas!$AD:$AD, Propostas!$AC:$AC, P$55, Propostas!$C:$C, $B64)</f>
        <v>0</v>
      </c>
      <c r="Q64" s="570"/>
      <c r="R64" s="569">
        <f>SUMIFS(Propostas!$AD:$AD, Propostas!$AC:$AC, R$55, Propostas!$C:$C, $B64)</f>
        <v>0</v>
      </c>
      <c r="S64" s="570"/>
      <c r="T64" s="569">
        <f>SUMIFS(Propostas!$AD:$AD, Propostas!$AC:$AC, T$55, Propostas!$C:$C, $B64)</f>
        <v>0</v>
      </c>
      <c r="U64" s="570"/>
      <c r="V64" s="569">
        <f>SUMIFS(Propostas!$AD:$AD, Propostas!$AC:$AC, V$55, Propostas!$C:$C, $B64)</f>
        <v>0</v>
      </c>
      <c r="W64" s="570"/>
      <c r="X64" s="569">
        <f>SUMIFS(Propostas!$AD:$AD, Propostas!$AC:$AC, X$55, Propostas!$C:$C, $B64)</f>
        <v>0</v>
      </c>
      <c r="Y64" s="570"/>
      <c r="Z64" s="569">
        <f>SUMIFS(Propostas!$AD:$AD, Propostas!$AC:$AC, Z$55, Propostas!$C:$C, $B64)</f>
        <v>0</v>
      </c>
      <c r="AA64" s="570"/>
      <c r="AB64" s="569">
        <f>SUMIFS(Propostas!$AD:$AD, Propostas!$AC:$AC, AB$55, Propostas!$C:$C, $B64)</f>
        <v>0</v>
      </c>
      <c r="AC64" s="570"/>
      <c r="AD64" s="569">
        <f>SUMIFS(Propostas!$AD:$AD, Propostas!$AC:$AC, AD$55, Propostas!$C:$C, $B64)</f>
        <v>0</v>
      </c>
      <c r="AE64" s="571"/>
    </row>
    <row r="65" spans="2:31" x14ac:dyDescent="0.25">
      <c r="B65" s="572" t="str">
        <f>IF(Defesa!C14 = "", "", Defesa!C14)</f>
        <v/>
      </c>
      <c r="C65" s="573"/>
      <c r="D65" s="569">
        <f>SUMIFS(Propostas!$AD:$AD, Propostas!$AC:$AC, D$55, Propostas!$C:$C, $B65)</f>
        <v>0</v>
      </c>
      <c r="E65" s="570"/>
      <c r="F65" s="569">
        <f>SUMIFS(Propostas!$AD:$AD, Propostas!$AC:$AC, F$55, Propostas!$C:$C, $B65)</f>
        <v>0</v>
      </c>
      <c r="G65" s="570"/>
      <c r="H65" s="569">
        <f>SUMIFS(Propostas!$AD:$AD, Propostas!$AC:$AC, H$55, Propostas!$C:$C, $B65)</f>
        <v>0</v>
      </c>
      <c r="I65" s="570"/>
      <c r="J65" s="569">
        <f>SUMIFS(Propostas!$AD:$AD, Propostas!$AC:$AC, J$55, Propostas!$C:$C, $B65)</f>
        <v>0</v>
      </c>
      <c r="K65" s="570"/>
      <c r="L65" s="569">
        <f>SUMIFS(Propostas!$AD:$AD, Propostas!$AC:$AC, L$55, Propostas!$C:$C, $B65)</f>
        <v>0</v>
      </c>
      <c r="M65" s="570"/>
      <c r="N65" s="569">
        <f>SUMIFS(Propostas!$AD:$AD, Propostas!$AC:$AC, N$55, Propostas!$C:$C, $B65)</f>
        <v>0</v>
      </c>
      <c r="O65" s="570"/>
      <c r="P65" s="569">
        <f>SUMIFS(Propostas!$AD:$AD, Propostas!$AC:$AC, P$55, Propostas!$C:$C, $B65)</f>
        <v>0</v>
      </c>
      <c r="Q65" s="570"/>
      <c r="R65" s="569">
        <f>SUMIFS(Propostas!$AD:$AD, Propostas!$AC:$AC, R$55, Propostas!$C:$C, $B65)</f>
        <v>0</v>
      </c>
      <c r="S65" s="570"/>
      <c r="T65" s="569">
        <f>SUMIFS(Propostas!$AD:$AD, Propostas!$AC:$AC, T$55, Propostas!$C:$C, $B65)</f>
        <v>0</v>
      </c>
      <c r="U65" s="570"/>
      <c r="V65" s="569">
        <f>SUMIFS(Propostas!$AD:$AD, Propostas!$AC:$AC, V$55, Propostas!$C:$C, $B65)</f>
        <v>0</v>
      </c>
      <c r="W65" s="570"/>
      <c r="X65" s="569">
        <f>SUMIFS(Propostas!$AD:$AD, Propostas!$AC:$AC, X$55, Propostas!$C:$C, $B65)</f>
        <v>0</v>
      </c>
      <c r="Y65" s="570"/>
      <c r="Z65" s="569">
        <f>SUMIFS(Propostas!$AD:$AD, Propostas!$AC:$AC, Z$55, Propostas!$C:$C, $B65)</f>
        <v>0</v>
      </c>
      <c r="AA65" s="570"/>
      <c r="AB65" s="569">
        <f>SUMIFS(Propostas!$AD:$AD, Propostas!$AC:$AC, AB$55, Propostas!$C:$C, $B65)</f>
        <v>0</v>
      </c>
      <c r="AC65" s="570"/>
      <c r="AD65" s="569">
        <f>SUMIFS(Propostas!$AD:$AD, Propostas!$AC:$AC, AD$55, Propostas!$C:$C, $B65)</f>
        <v>0</v>
      </c>
      <c r="AE65" s="571"/>
    </row>
    <row r="66" spans="2:31" x14ac:dyDescent="0.25">
      <c r="B66" s="572" t="str">
        <f>IF(Defesa!C15 = "", "", Defesa!C15)</f>
        <v/>
      </c>
      <c r="C66" s="573"/>
      <c r="D66" s="569">
        <f>SUMIFS(Propostas!$AD:$AD, Propostas!$AC:$AC, D$55, Propostas!$C:$C, $B66)</f>
        <v>0</v>
      </c>
      <c r="E66" s="570"/>
      <c r="F66" s="569">
        <f>SUMIFS(Propostas!$AD:$AD, Propostas!$AC:$AC, F$55, Propostas!$C:$C, $B66)</f>
        <v>0</v>
      </c>
      <c r="G66" s="570"/>
      <c r="H66" s="569">
        <f>SUMIFS(Propostas!$AD:$AD, Propostas!$AC:$AC, H$55, Propostas!$C:$C, $B66)</f>
        <v>0</v>
      </c>
      <c r="I66" s="570"/>
      <c r="J66" s="569">
        <f>SUMIFS(Propostas!$AD:$AD, Propostas!$AC:$AC, J$55, Propostas!$C:$C, $B66)</f>
        <v>0</v>
      </c>
      <c r="K66" s="570"/>
      <c r="L66" s="569">
        <f>SUMIFS(Propostas!$AD:$AD, Propostas!$AC:$AC, L$55, Propostas!$C:$C, $B66)</f>
        <v>0</v>
      </c>
      <c r="M66" s="570"/>
      <c r="N66" s="569">
        <f>SUMIFS(Propostas!$AD:$AD, Propostas!$AC:$AC, N$55, Propostas!$C:$C, $B66)</f>
        <v>0</v>
      </c>
      <c r="O66" s="570"/>
      <c r="P66" s="569">
        <f>SUMIFS(Propostas!$AD:$AD, Propostas!$AC:$AC, P$55, Propostas!$C:$C, $B66)</f>
        <v>0</v>
      </c>
      <c r="Q66" s="570"/>
      <c r="R66" s="569">
        <f>SUMIFS(Propostas!$AD:$AD, Propostas!$AC:$AC, R$55, Propostas!$C:$C, $B66)</f>
        <v>0</v>
      </c>
      <c r="S66" s="570"/>
      <c r="T66" s="569">
        <f>SUMIFS(Propostas!$AD:$AD, Propostas!$AC:$AC, T$55, Propostas!$C:$C, $B66)</f>
        <v>0</v>
      </c>
      <c r="U66" s="570"/>
      <c r="V66" s="569">
        <f>SUMIFS(Propostas!$AD:$AD, Propostas!$AC:$AC, V$55, Propostas!$C:$C, $B66)</f>
        <v>0</v>
      </c>
      <c r="W66" s="570"/>
      <c r="X66" s="569">
        <f>SUMIFS(Propostas!$AD:$AD, Propostas!$AC:$AC, X$55, Propostas!$C:$C, $B66)</f>
        <v>0</v>
      </c>
      <c r="Y66" s="570"/>
      <c r="Z66" s="569">
        <f>SUMIFS(Propostas!$AD:$AD, Propostas!$AC:$AC, Z$55, Propostas!$C:$C, $B66)</f>
        <v>0</v>
      </c>
      <c r="AA66" s="570"/>
      <c r="AB66" s="569">
        <f>SUMIFS(Propostas!$AD:$AD, Propostas!$AC:$AC, AB$55, Propostas!$C:$C, $B66)</f>
        <v>0</v>
      </c>
      <c r="AC66" s="570"/>
      <c r="AD66" s="569">
        <f>SUMIFS(Propostas!$AD:$AD, Propostas!$AC:$AC, AD$55, Propostas!$C:$C, $B66)</f>
        <v>0</v>
      </c>
      <c r="AE66" s="571"/>
    </row>
    <row r="67" spans="2:31" x14ac:dyDescent="0.25">
      <c r="B67" s="572" t="str">
        <f>IF(Defesa!C16 = "", "", Defesa!C16)</f>
        <v/>
      </c>
      <c r="C67" s="573"/>
      <c r="D67" s="569">
        <f>SUMIFS(Propostas!$AD:$AD, Propostas!$AC:$AC, D$55, Propostas!$C:$C, $B67)</f>
        <v>0</v>
      </c>
      <c r="E67" s="570"/>
      <c r="F67" s="569">
        <f>SUMIFS(Propostas!$AD:$AD, Propostas!$AC:$AC, F$55, Propostas!$C:$C, $B67)</f>
        <v>0</v>
      </c>
      <c r="G67" s="570"/>
      <c r="H67" s="569">
        <f>SUMIFS(Propostas!$AD:$AD, Propostas!$AC:$AC, H$55, Propostas!$C:$C, $B67)</f>
        <v>0</v>
      </c>
      <c r="I67" s="570"/>
      <c r="J67" s="569">
        <f>SUMIFS(Propostas!$AD:$AD, Propostas!$AC:$AC, J$55, Propostas!$C:$C, $B67)</f>
        <v>0</v>
      </c>
      <c r="K67" s="570"/>
      <c r="L67" s="569">
        <f>SUMIFS(Propostas!$AD:$AD, Propostas!$AC:$AC, L$55, Propostas!$C:$C, $B67)</f>
        <v>0</v>
      </c>
      <c r="M67" s="570"/>
      <c r="N67" s="569">
        <f>SUMIFS(Propostas!$AD:$AD, Propostas!$AC:$AC, N$55, Propostas!$C:$C, $B67)</f>
        <v>0</v>
      </c>
      <c r="O67" s="570"/>
      <c r="P67" s="569">
        <f>SUMIFS(Propostas!$AD:$AD, Propostas!$AC:$AC, P$55, Propostas!$C:$C, $B67)</f>
        <v>0</v>
      </c>
      <c r="Q67" s="570"/>
      <c r="R67" s="569">
        <f>SUMIFS(Propostas!$AD:$AD, Propostas!$AC:$AC, R$55, Propostas!$C:$C, $B67)</f>
        <v>0</v>
      </c>
      <c r="S67" s="570"/>
      <c r="T67" s="569">
        <f>SUMIFS(Propostas!$AD:$AD, Propostas!$AC:$AC, T$55, Propostas!$C:$C, $B67)</f>
        <v>0</v>
      </c>
      <c r="U67" s="570"/>
      <c r="V67" s="569">
        <f>SUMIFS(Propostas!$AD:$AD, Propostas!$AC:$AC, V$55, Propostas!$C:$C, $B67)</f>
        <v>0</v>
      </c>
      <c r="W67" s="570"/>
      <c r="X67" s="569">
        <f>SUMIFS(Propostas!$AD:$AD, Propostas!$AC:$AC, X$55, Propostas!$C:$C, $B67)</f>
        <v>0</v>
      </c>
      <c r="Y67" s="570"/>
      <c r="Z67" s="569">
        <f>SUMIFS(Propostas!$AD:$AD, Propostas!$AC:$AC, Z$55, Propostas!$C:$C, $B67)</f>
        <v>0</v>
      </c>
      <c r="AA67" s="570"/>
      <c r="AB67" s="569">
        <f>SUMIFS(Propostas!$AD:$AD, Propostas!$AC:$AC, AB$55, Propostas!$C:$C, $B67)</f>
        <v>0</v>
      </c>
      <c r="AC67" s="570"/>
      <c r="AD67" s="569">
        <f>SUMIFS(Propostas!$AD:$AD, Propostas!$AC:$AC, AD$55, Propostas!$C:$C, $B67)</f>
        <v>0</v>
      </c>
      <c r="AE67" s="571"/>
    </row>
    <row r="68" spans="2:31" x14ac:dyDescent="0.25">
      <c r="B68" s="572" t="str">
        <f>IF(Defesa!C17 = "", "", Defesa!C17)</f>
        <v/>
      </c>
      <c r="C68" s="573"/>
      <c r="D68" s="569">
        <f>SUMIFS(Propostas!$AD:$AD, Propostas!$AC:$AC, D$55, Propostas!$C:$C, $B68)</f>
        <v>0</v>
      </c>
      <c r="E68" s="570"/>
      <c r="F68" s="569">
        <f>SUMIFS(Propostas!$AD:$AD, Propostas!$AC:$AC, F$55, Propostas!$C:$C, $B68)</f>
        <v>0</v>
      </c>
      <c r="G68" s="570"/>
      <c r="H68" s="569">
        <f>SUMIFS(Propostas!$AD:$AD, Propostas!$AC:$AC, H$55, Propostas!$C:$C, $B68)</f>
        <v>0</v>
      </c>
      <c r="I68" s="570"/>
      <c r="J68" s="569">
        <f>SUMIFS(Propostas!$AD:$AD, Propostas!$AC:$AC, J$55, Propostas!$C:$C, $B68)</f>
        <v>0</v>
      </c>
      <c r="K68" s="570"/>
      <c r="L68" s="569">
        <f>SUMIFS(Propostas!$AD:$AD, Propostas!$AC:$AC, L$55, Propostas!$C:$C, $B68)</f>
        <v>0</v>
      </c>
      <c r="M68" s="570"/>
      <c r="N68" s="569">
        <f>SUMIFS(Propostas!$AD:$AD, Propostas!$AC:$AC, N$55, Propostas!$C:$C, $B68)</f>
        <v>0</v>
      </c>
      <c r="O68" s="570"/>
      <c r="P68" s="569">
        <f>SUMIFS(Propostas!$AD:$AD, Propostas!$AC:$AC, P$55, Propostas!$C:$C, $B68)</f>
        <v>0</v>
      </c>
      <c r="Q68" s="570"/>
      <c r="R68" s="569">
        <f>SUMIFS(Propostas!$AD:$AD, Propostas!$AC:$AC, R$55, Propostas!$C:$C, $B68)</f>
        <v>0</v>
      </c>
      <c r="S68" s="570"/>
      <c r="T68" s="569">
        <f>SUMIFS(Propostas!$AD:$AD, Propostas!$AC:$AC, T$55, Propostas!$C:$C, $B68)</f>
        <v>0</v>
      </c>
      <c r="U68" s="570"/>
      <c r="V68" s="569">
        <f>SUMIFS(Propostas!$AD:$AD, Propostas!$AC:$AC, V$55, Propostas!$C:$C, $B68)</f>
        <v>0</v>
      </c>
      <c r="W68" s="570"/>
      <c r="X68" s="569">
        <f>SUMIFS(Propostas!$AD:$AD, Propostas!$AC:$AC, X$55, Propostas!$C:$C, $B68)</f>
        <v>0</v>
      </c>
      <c r="Y68" s="570"/>
      <c r="Z68" s="569">
        <f>SUMIFS(Propostas!$AD:$AD, Propostas!$AC:$AC, Z$55, Propostas!$C:$C, $B68)</f>
        <v>0</v>
      </c>
      <c r="AA68" s="570"/>
      <c r="AB68" s="569">
        <f>SUMIFS(Propostas!$AD:$AD, Propostas!$AC:$AC, AB$55, Propostas!$C:$C, $B68)</f>
        <v>0</v>
      </c>
      <c r="AC68" s="570"/>
      <c r="AD68" s="569">
        <f>SUMIFS(Propostas!$AD:$AD, Propostas!$AC:$AC, AD$55, Propostas!$C:$C, $B68)</f>
        <v>0</v>
      </c>
      <c r="AE68" s="571"/>
    </row>
    <row r="69" spans="2:31" x14ac:dyDescent="0.25">
      <c r="B69" s="572" t="str">
        <f>IF(Defesa!C18 = "", "", Defesa!C18)</f>
        <v/>
      </c>
      <c r="C69" s="573"/>
      <c r="D69" s="569">
        <f>SUMIFS(Propostas!$AD:$AD, Propostas!$AC:$AC, D$55, Propostas!$C:$C, $B69)</f>
        <v>0</v>
      </c>
      <c r="E69" s="570"/>
      <c r="F69" s="569">
        <f>SUMIFS(Propostas!$AD:$AD, Propostas!$AC:$AC, F$55, Propostas!$C:$C, $B69)</f>
        <v>0</v>
      </c>
      <c r="G69" s="570"/>
      <c r="H69" s="569">
        <f>SUMIFS(Propostas!$AD:$AD, Propostas!$AC:$AC, H$55, Propostas!$C:$C, $B69)</f>
        <v>0</v>
      </c>
      <c r="I69" s="570"/>
      <c r="J69" s="569">
        <f>SUMIFS(Propostas!$AD:$AD, Propostas!$AC:$AC, J$55, Propostas!$C:$C, $B69)</f>
        <v>0</v>
      </c>
      <c r="K69" s="570"/>
      <c r="L69" s="569">
        <f>SUMIFS(Propostas!$AD:$AD, Propostas!$AC:$AC, L$55, Propostas!$C:$C, $B69)</f>
        <v>0</v>
      </c>
      <c r="M69" s="570"/>
      <c r="N69" s="569">
        <f>SUMIFS(Propostas!$AD:$AD, Propostas!$AC:$AC, N$55, Propostas!$C:$C, $B69)</f>
        <v>0</v>
      </c>
      <c r="O69" s="570"/>
      <c r="P69" s="569">
        <f>SUMIFS(Propostas!$AD:$AD, Propostas!$AC:$AC, P$55, Propostas!$C:$C, $B69)</f>
        <v>0</v>
      </c>
      <c r="Q69" s="570"/>
      <c r="R69" s="569">
        <f>SUMIFS(Propostas!$AD:$AD, Propostas!$AC:$AC, R$55, Propostas!$C:$C, $B69)</f>
        <v>0</v>
      </c>
      <c r="S69" s="570"/>
      <c r="T69" s="569">
        <f>SUMIFS(Propostas!$AD:$AD, Propostas!$AC:$AC, T$55, Propostas!$C:$C, $B69)</f>
        <v>0</v>
      </c>
      <c r="U69" s="570"/>
      <c r="V69" s="569">
        <f>SUMIFS(Propostas!$AD:$AD, Propostas!$AC:$AC, V$55, Propostas!$C:$C, $B69)</f>
        <v>0</v>
      </c>
      <c r="W69" s="570"/>
      <c r="X69" s="569">
        <f>SUMIFS(Propostas!$AD:$AD, Propostas!$AC:$AC, X$55, Propostas!$C:$C, $B69)</f>
        <v>0</v>
      </c>
      <c r="Y69" s="570"/>
      <c r="Z69" s="569">
        <f>SUMIFS(Propostas!$AD:$AD, Propostas!$AC:$AC, Z$55, Propostas!$C:$C, $B69)</f>
        <v>0</v>
      </c>
      <c r="AA69" s="570"/>
      <c r="AB69" s="569">
        <f>SUMIFS(Propostas!$AD:$AD, Propostas!$AC:$AC, AB$55, Propostas!$C:$C, $B69)</f>
        <v>0</v>
      </c>
      <c r="AC69" s="570"/>
      <c r="AD69" s="569">
        <f>SUMIFS(Propostas!$AD:$AD, Propostas!$AC:$AC, AD$55, Propostas!$C:$C, $B69)</f>
        <v>0</v>
      </c>
      <c r="AE69" s="571"/>
    </row>
    <row r="70" spans="2:31" x14ac:dyDescent="0.25">
      <c r="B70" s="572" t="str">
        <f>IF(Defesa!C19 = "", "", Defesa!C19)</f>
        <v/>
      </c>
      <c r="C70" s="573"/>
      <c r="D70" s="569">
        <f>SUMIFS(Propostas!$AD:$AD, Propostas!$AC:$AC, D$55, Propostas!$C:$C, $B70)</f>
        <v>0</v>
      </c>
      <c r="E70" s="570"/>
      <c r="F70" s="569">
        <f>SUMIFS(Propostas!$AD:$AD, Propostas!$AC:$AC, F$55, Propostas!$C:$C, $B70)</f>
        <v>0</v>
      </c>
      <c r="G70" s="570"/>
      <c r="H70" s="569">
        <f>SUMIFS(Propostas!$AD:$AD, Propostas!$AC:$AC, H$55, Propostas!$C:$C, $B70)</f>
        <v>0</v>
      </c>
      <c r="I70" s="570"/>
      <c r="J70" s="569">
        <f>SUMIFS(Propostas!$AD:$AD, Propostas!$AC:$AC, J$55, Propostas!$C:$C, $B70)</f>
        <v>0</v>
      </c>
      <c r="K70" s="570"/>
      <c r="L70" s="569">
        <f>SUMIFS(Propostas!$AD:$AD, Propostas!$AC:$AC, L$55, Propostas!$C:$C, $B70)</f>
        <v>0</v>
      </c>
      <c r="M70" s="570"/>
      <c r="N70" s="569">
        <f>SUMIFS(Propostas!$AD:$AD, Propostas!$AC:$AC, N$55, Propostas!$C:$C, $B70)</f>
        <v>0</v>
      </c>
      <c r="O70" s="570"/>
      <c r="P70" s="569">
        <f>SUMIFS(Propostas!$AD:$AD, Propostas!$AC:$AC, P$55, Propostas!$C:$C, $B70)</f>
        <v>0</v>
      </c>
      <c r="Q70" s="570"/>
      <c r="R70" s="569">
        <f>SUMIFS(Propostas!$AD:$AD, Propostas!$AC:$AC, R$55, Propostas!$C:$C, $B70)</f>
        <v>0</v>
      </c>
      <c r="S70" s="570"/>
      <c r="T70" s="569">
        <f>SUMIFS(Propostas!$AD:$AD, Propostas!$AC:$AC, T$55, Propostas!$C:$C, $B70)</f>
        <v>0</v>
      </c>
      <c r="U70" s="570"/>
      <c r="V70" s="569">
        <f>SUMIFS(Propostas!$AD:$AD, Propostas!$AC:$AC, V$55, Propostas!$C:$C, $B70)</f>
        <v>0</v>
      </c>
      <c r="W70" s="570"/>
      <c r="X70" s="569">
        <f>SUMIFS(Propostas!$AD:$AD, Propostas!$AC:$AC, X$55, Propostas!$C:$C, $B70)</f>
        <v>0</v>
      </c>
      <c r="Y70" s="570"/>
      <c r="Z70" s="569">
        <f>SUMIFS(Propostas!$AD:$AD, Propostas!$AC:$AC, Z$55, Propostas!$C:$C, $B70)</f>
        <v>0</v>
      </c>
      <c r="AA70" s="570"/>
      <c r="AB70" s="569">
        <f>SUMIFS(Propostas!$AD:$AD, Propostas!$AC:$AC, AB$55, Propostas!$C:$C, $B70)</f>
        <v>0</v>
      </c>
      <c r="AC70" s="570"/>
      <c r="AD70" s="569">
        <f>SUMIFS(Propostas!$AD:$AD, Propostas!$AC:$AC, AD$55, Propostas!$C:$C, $B70)</f>
        <v>0</v>
      </c>
      <c r="AE70" s="571"/>
    </row>
    <row r="71" spans="2:31" x14ac:dyDescent="0.25">
      <c r="B71" s="572" t="str">
        <f>IF(Defesa!C20 = "", "", Defesa!C20)</f>
        <v/>
      </c>
      <c r="C71" s="573"/>
      <c r="D71" s="569">
        <f>SUMIFS(Propostas!$AD:$AD, Propostas!$AC:$AC, D$55, Propostas!$C:$C, $B71)</f>
        <v>0</v>
      </c>
      <c r="E71" s="570"/>
      <c r="F71" s="569">
        <f>SUMIFS(Propostas!$AD:$AD, Propostas!$AC:$AC, F$55, Propostas!$C:$C, $B71)</f>
        <v>0</v>
      </c>
      <c r="G71" s="570"/>
      <c r="H71" s="569">
        <f>SUMIFS(Propostas!$AD:$AD, Propostas!$AC:$AC, H$55, Propostas!$C:$C, $B71)</f>
        <v>0</v>
      </c>
      <c r="I71" s="570"/>
      <c r="J71" s="569">
        <f>SUMIFS(Propostas!$AD:$AD, Propostas!$AC:$AC, J$55, Propostas!$C:$C, $B71)</f>
        <v>0</v>
      </c>
      <c r="K71" s="570"/>
      <c r="L71" s="569">
        <f>SUMIFS(Propostas!$AD:$AD, Propostas!$AC:$AC, L$55, Propostas!$C:$C, $B71)</f>
        <v>0</v>
      </c>
      <c r="M71" s="570"/>
      <c r="N71" s="569">
        <f>SUMIFS(Propostas!$AD:$AD, Propostas!$AC:$AC, N$55, Propostas!$C:$C, $B71)</f>
        <v>0</v>
      </c>
      <c r="O71" s="570"/>
      <c r="P71" s="569">
        <f>SUMIFS(Propostas!$AD:$AD, Propostas!$AC:$AC, P$55, Propostas!$C:$C, $B71)</f>
        <v>0</v>
      </c>
      <c r="Q71" s="570"/>
      <c r="R71" s="569">
        <f>SUMIFS(Propostas!$AD:$AD, Propostas!$AC:$AC, R$55, Propostas!$C:$C, $B71)</f>
        <v>0</v>
      </c>
      <c r="S71" s="570"/>
      <c r="T71" s="569">
        <f>SUMIFS(Propostas!$AD:$AD, Propostas!$AC:$AC, T$55, Propostas!$C:$C, $B71)</f>
        <v>0</v>
      </c>
      <c r="U71" s="570"/>
      <c r="V71" s="569">
        <f>SUMIFS(Propostas!$AD:$AD, Propostas!$AC:$AC, V$55, Propostas!$C:$C, $B71)</f>
        <v>0</v>
      </c>
      <c r="W71" s="570"/>
      <c r="X71" s="569">
        <f>SUMIFS(Propostas!$AD:$AD, Propostas!$AC:$AC, X$55, Propostas!$C:$C, $B71)</f>
        <v>0</v>
      </c>
      <c r="Y71" s="570"/>
      <c r="Z71" s="569">
        <f>SUMIFS(Propostas!$AD:$AD, Propostas!$AC:$AC, Z$55, Propostas!$C:$C, $B71)</f>
        <v>0</v>
      </c>
      <c r="AA71" s="570"/>
      <c r="AB71" s="569">
        <f>SUMIFS(Propostas!$AD:$AD, Propostas!$AC:$AC, AB$55, Propostas!$C:$C, $B71)</f>
        <v>0</v>
      </c>
      <c r="AC71" s="570"/>
      <c r="AD71" s="569">
        <f>SUMIFS(Propostas!$AD:$AD, Propostas!$AC:$AC, AD$55, Propostas!$C:$C, $B71)</f>
        <v>0</v>
      </c>
      <c r="AE71" s="571"/>
    </row>
    <row r="72" spans="2:31" x14ac:dyDescent="0.25">
      <c r="B72" s="572" t="str">
        <f>IF(Defesa!C21 = "", "", Defesa!C21)</f>
        <v/>
      </c>
      <c r="C72" s="573"/>
      <c r="D72" s="569">
        <f>SUMIFS(Propostas!$AD:$AD, Propostas!$AC:$AC, D$55, Propostas!$C:$C, $B72)</f>
        <v>0</v>
      </c>
      <c r="E72" s="570"/>
      <c r="F72" s="569">
        <f>SUMIFS(Propostas!$AD:$AD, Propostas!$AC:$AC, F$55, Propostas!$C:$C, $B72)</f>
        <v>0</v>
      </c>
      <c r="G72" s="570"/>
      <c r="H72" s="569">
        <f>SUMIFS(Propostas!$AD:$AD, Propostas!$AC:$AC, H$55, Propostas!$C:$C, $B72)</f>
        <v>0</v>
      </c>
      <c r="I72" s="570"/>
      <c r="J72" s="569">
        <f>SUMIFS(Propostas!$AD:$AD, Propostas!$AC:$AC, J$55, Propostas!$C:$C, $B72)</f>
        <v>0</v>
      </c>
      <c r="K72" s="570"/>
      <c r="L72" s="569">
        <f>SUMIFS(Propostas!$AD:$AD, Propostas!$AC:$AC, L$55, Propostas!$C:$C, $B72)</f>
        <v>0</v>
      </c>
      <c r="M72" s="570"/>
      <c r="N72" s="569">
        <f>SUMIFS(Propostas!$AD:$AD, Propostas!$AC:$AC, N$55, Propostas!$C:$C, $B72)</f>
        <v>0</v>
      </c>
      <c r="O72" s="570"/>
      <c r="P72" s="569">
        <f>SUMIFS(Propostas!$AD:$AD, Propostas!$AC:$AC, P$55, Propostas!$C:$C, $B72)</f>
        <v>0</v>
      </c>
      <c r="Q72" s="570"/>
      <c r="R72" s="569">
        <f>SUMIFS(Propostas!$AD:$AD, Propostas!$AC:$AC, R$55, Propostas!$C:$C, $B72)</f>
        <v>0</v>
      </c>
      <c r="S72" s="570"/>
      <c r="T72" s="569">
        <f>SUMIFS(Propostas!$AD:$AD, Propostas!$AC:$AC, T$55, Propostas!$C:$C, $B72)</f>
        <v>0</v>
      </c>
      <c r="U72" s="570"/>
      <c r="V72" s="569">
        <f>SUMIFS(Propostas!$AD:$AD, Propostas!$AC:$AC, V$55, Propostas!$C:$C, $B72)</f>
        <v>0</v>
      </c>
      <c r="W72" s="570"/>
      <c r="X72" s="569">
        <f>SUMIFS(Propostas!$AD:$AD, Propostas!$AC:$AC, X$55, Propostas!$C:$C, $B72)</f>
        <v>0</v>
      </c>
      <c r="Y72" s="570"/>
      <c r="Z72" s="569">
        <f>SUMIFS(Propostas!$AD:$AD, Propostas!$AC:$AC, Z$55, Propostas!$C:$C, $B72)</f>
        <v>0</v>
      </c>
      <c r="AA72" s="570"/>
      <c r="AB72" s="569">
        <f>SUMIFS(Propostas!$AD:$AD, Propostas!$AC:$AC, AB$55, Propostas!$C:$C, $B72)</f>
        <v>0</v>
      </c>
      <c r="AC72" s="570"/>
      <c r="AD72" s="569">
        <f>SUMIFS(Propostas!$AD:$AD, Propostas!$AC:$AC, AD$55, Propostas!$C:$C, $B72)</f>
        <v>0</v>
      </c>
      <c r="AE72" s="571"/>
    </row>
    <row r="73" spans="2:31" x14ac:dyDescent="0.25">
      <c r="B73" s="572" t="str">
        <f>IF(Defesa!C22 = "", "", Defesa!C22)</f>
        <v/>
      </c>
      <c r="C73" s="573"/>
      <c r="D73" s="569">
        <f>SUMIFS(Propostas!$AD:$AD, Propostas!$AC:$AC, D$55, Propostas!$C:$C, $B73)</f>
        <v>0</v>
      </c>
      <c r="E73" s="570"/>
      <c r="F73" s="569">
        <f>SUMIFS(Propostas!$AD:$AD, Propostas!$AC:$AC, F$55, Propostas!$C:$C, $B73)</f>
        <v>0</v>
      </c>
      <c r="G73" s="570"/>
      <c r="H73" s="569">
        <f>SUMIFS(Propostas!$AD:$AD, Propostas!$AC:$AC, H$55, Propostas!$C:$C, $B73)</f>
        <v>0</v>
      </c>
      <c r="I73" s="570"/>
      <c r="J73" s="569">
        <f>SUMIFS(Propostas!$AD:$AD, Propostas!$AC:$AC, J$55, Propostas!$C:$C, $B73)</f>
        <v>0</v>
      </c>
      <c r="K73" s="570"/>
      <c r="L73" s="569">
        <f>SUMIFS(Propostas!$AD:$AD, Propostas!$AC:$AC, L$55, Propostas!$C:$C, $B73)</f>
        <v>0</v>
      </c>
      <c r="M73" s="570"/>
      <c r="N73" s="569">
        <f>SUMIFS(Propostas!$AD:$AD, Propostas!$AC:$AC, N$55, Propostas!$C:$C, $B73)</f>
        <v>0</v>
      </c>
      <c r="O73" s="570"/>
      <c r="P73" s="569">
        <f>SUMIFS(Propostas!$AD:$AD, Propostas!$AC:$AC, P$55, Propostas!$C:$C, $B73)</f>
        <v>0</v>
      </c>
      <c r="Q73" s="570"/>
      <c r="R73" s="569">
        <f>SUMIFS(Propostas!$AD:$AD, Propostas!$AC:$AC, R$55, Propostas!$C:$C, $B73)</f>
        <v>0</v>
      </c>
      <c r="S73" s="570"/>
      <c r="T73" s="569">
        <f>SUMIFS(Propostas!$AD:$AD, Propostas!$AC:$AC, T$55, Propostas!$C:$C, $B73)</f>
        <v>0</v>
      </c>
      <c r="U73" s="570"/>
      <c r="V73" s="569">
        <f>SUMIFS(Propostas!$AD:$AD, Propostas!$AC:$AC, V$55, Propostas!$C:$C, $B73)</f>
        <v>0</v>
      </c>
      <c r="W73" s="570"/>
      <c r="X73" s="569">
        <f>SUMIFS(Propostas!$AD:$AD, Propostas!$AC:$AC, X$55, Propostas!$C:$C, $B73)</f>
        <v>0</v>
      </c>
      <c r="Y73" s="570"/>
      <c r="Z73" s="569">
        <f>SUMIFS(Propostas!$AD:$AD, Propostas!$AC:$AC, Z$55, Propostas!$C:$C, $B73)</f>
        <v>0</v>
      </c>
      <c r="AA73" s="570"/>
      <c r="AB73" s="569">
        <f>SUMIFS(Propostas!$AD:$AD, Propostas!$AC:$AC, AB$55, Propostas!$C:$C, $B73)</f>
        <v>0</v>
      </c>
      <c r="AC73" s="570"/>
      <c r="AD73" s="569">
        <f>SUMIFS(Propostas!$AD:$AD, Propostas!$AC:$AC, AD$55, Propostas!$C:$C, $B73)</f>
        <v>0</v>
      </c>
      <c r="AE73" s="571"/>
    </row>
    <row r="74" spans="2:31" x14ac:dyDescent="0.25">
      <c r="B74" s="572" t="str">
        <f>IF(Defesa!C23 = "", "", Defesa!C23)</f>
        <v/>
      </c>
      <c r="C74" s="573"/>
      <c r="D74" s="569">
        <f>SUMIFS(Propostas!$AD:$AD, Propostas!$AC:$AC, D$55, Propostas!$C:$C, $B74)</f>
        <v>0</v>
      </c>
      <c r="E74" s="570"/>
      <c r="F74" s="569">
        <f>SUMIFS(Propostas!$AD:$AD, Propostas!$AC:$AC, F$55, Propostas!$C:$C, $B74)</f>
        <v>0</v>
      </c>
      <c r="G74" s="570"/>
      <c r="H74" s="569">
        <f>SUMIFS(Propostas!$AD:$AD, Propostas!$AC:$AC, H$55, Propostas!$C:$C, $B74)</f>
        <v>0</v>
      </c>
      <c r="I74" s="570"/>
      <c r="J74" s="569">
        <f>SUMIFS(Propostas!$AD:$AD, Propostas!$AC:$AC, J$55, Propostas!$C:$C, $B74)</f>
        <v>0</v>
      </c>
      <c r="K74" s="570"/>
      <c r="L74" s="569">
        <f>SUMIFS(Propostas!$AD:$AD, Propostas!$AC:$AC, L$55, Propostas!$C:$C, $B74)</f>
        <v>0</v>
      </c>
      <c r="M74" s="570"/>
      <c r="N74" s="569">
        <f>SUMIFS(Propostas!$AD:$AD, Propostas!$AC:$AC, N$55, Propostas!$C:$C, $B74)</f>
        <v>0</v>
      </c>
      <c r="O74" s="570"/>
      <c r="P74" s="569">
        <f>SUMIFS(Propostas!$AD:$AD, Propostas!$AC:$AC, P$55, Propostas!$C:$C, $B74)</f>
        <v>0</v>
      </c>
      <c r="Q74" s="570"/>
      <c r="R74" s="569">
        <f>SUMIFS(Propostas!$AD:$AD, Propostas!$AC:$AC, R$55, Propostas!$C:$C, $B74)</f>
        <v>0</v>
      </c>
      <c r="S74" s="570"/>
      <c r="T74" s="569">
        <f>SUMIFS(Propostas!$AD:$AD, Propostas!$AC:$AC, T$55, Propostas!$C:$C, $B74)</f>
        <v>0</v>
      </c>
      <c r="U74" s="570"/>
      <c r="V74" s="569">
        <f>SUMIFS(Propostas!$AD:$AD, Propostas!$AC:$AC, V$55, Propostas!$C:$C, $B74)</f>
        <v>0</v>
      </c>
      <c r="W74" s="570"/>
      <c r="X74" s="569">
        <f>SUMIFS(Propostas!$AD:$AD, Propostas!$AC:$AC, X$55, Propostas!$C:$C, $B74)</f>
        <v>0</v>
      </c>
      <c r="Y74" s="570"/>
      <c r="Z74" s="569">
        <f>SUMIFS(Propostas!$AD:$AD, Propostas!$AC:$AC, Z$55, Propostas!$C:$C, $B74)</f>
        <v>0</v>
      </c>
      <c r="AA74" s="570"/>
      <c r="AB74" s="569">
        <f>SUMIFS(Propostas!$AD:$AD, Propostas!$AC:$AC, AB$55, Propostas!$C:$C, $B74)</f>
        <v>0</v>
      </c>
      <c r="AC74" s="570"/>
      <c r="AD74" s="569">
        <f>SUMIFS(Propostas!$AD:$AD, Propostas!$AC:$AC, AD$55, Propostas!$C:$C, $B74)</f>
        <v>0</v>
      </c>
      <c r="AE74" s="571"/>
    </row>
    <row r="75" spans="2:31" x14ac:dyDescent="0.25">
      <c r="B75" s="572" t="str">
        <f>IF(Defesa!C24 = "", "", Defesa!C24)</f>
        <v/>
      </c>
      <c r="C75" s="573"/>
      <c r="D75" s="569">
        <f>SUMIFS(Propostas!$AD:$AD, Propostas!$AC:$AC, D$55, Propostas!$C:$C, $B75)</f>
        <v>0</v>
      </c>
      <c r="E75" s="570"/>
      <c r="F75" s="569">
        <f>SUMIFS(Propostas!$AD:$AD, Propostas!$AC:$AC, F$55, Propostas!$C:$C, $B75)</f>
        <v>0</v>
      </c>
      <c r="G75" s="570"/>
      <c r="H75" s="569">
        <f>SUMIFS(Propostas!$AD:$AD, Propostas!$AC:$AC, H$55, Propostas!$C:$C, $B75)</f>
        <v>0</v>
      </c>
      <c r="I75" s="570"/>
      <c r="J75" s="569">
        <f>SUMIFS(Propostas!$AD:$AD, Propostas!$AC:$AC, J$55, Propostas!$C:$C, $B75)</f>
        <v>0</v>
      </c>
      <c r="K75" s="570"/>
      <c r="L75" s="569">
        <f>SUMIFS(Propostas!$AD:$AD, Propostas!$AC:$AC, L$55, Propostas!$C:$C, $B75)</f>
        <v>0</v>
      </c>
      <c r="M75" s="570"/>
      <c r="N75" s="569">
        <f>SUMIFS(Propostas!$AD:$AD, Propostas!$AC:$AC, N$55, Propostas!$C:$C, $B75)</f>
        <v>0</v>
      </c>
      <c r="O75" s="570"/>
      <c r="P75" s="569">
        <f>SUMIFS(Propostas!$AD:$AD, Propostas!$AC:$AC, P$55, Propostas!$C:$C, $B75)</f>
        <v>0</v>
      </c>
      <c r="Q75" s="570"/>
      <c r="R75" s="569">
        <f>SUMIFS(Propostas!$AD:$AD, Propostas!$AC:$AC, R$55, Propostas!$C:$C, $B75)</f>
        <v>0</v>
      </c>
      <c r="S75" s="570"/>
      <c r="T75" s="569">
        <f>SUMIFS(Propostas!$AD:$AD, Propostas!$AC:$AC, T$55, Propostas!$C:$C, $B75)</f>
        <v>0</v>
      </c>
      <c r="U75" s="570"/>
      <c r="V75" s="569">
        <f>SUMIFS(Propostas!$AD:$AD, Propostas!$AC:$AC, V$55, Propostas!$C:$C, $B75)</f>
        <v>0</v>
      </c>
      <c r="W75" s="570"/>
      <c r="X75" s="569">
        <f>SUMIFS(Propostas!$AD:$AD, Propostas!$AC:$AC, X$55, Propostas!$C:$C, $B75)</f>
        <v>0</v>
      </c>
      <c r="Y75" s="570"/>
      <c r="Z75" s="569">
        <f>SUMIFS(Propostas!$AD:$AD, Propostas!$AC:$AC, Z$55, Propostas!$C:$C, $B75)</f>
        <v>0</v>
      </c>
      <c r="AA75" s="570"/>
      <c r="AB75" s="569">
        <f>SUMIFS(Propostas!$AD:$AD, Propostas!$AC:$AC, AB$55, Propostas!$C:$C, $B75)</f>
        <v>0</v>
      </c>
      <c r="AC75" s="570"/>
      <c r="AD75" s="569">
        <f>SUMIFS(Propostas!$AD:$AD, Propostas!$AC:$AC, AD$55, Propostas!$C:$C, $B75)</f>
        <v>0</v>
      </c>
      <c r="AE75" s="571"/>
    </row>
    <row r="76" spans="2:31" x14ac:dyDescent="0.25">
      <c r="B76" s="572" t="str">
        <f>IF(Defesa!C25 = "", "", Defesa!C25)</f>
        <v/>
      </c>
      <c r="C76" s="573"/>
      <c r="D76" s="569">
        <f>SUMIFS(Propostas!$AD:$AD, Propostas!$AC:$AC, D$55, Propostas!$C:$C, $B76)</f>
        <v>0</v>
      </c>
      <c r="E76" s="570"/>
      <c r="F76" s="569">
        <f>SUMIFS(Propostas!$AD:$AD, Propostas!$AC:$AC, F$55, Propostas!$C:$C, $B76)</f>
        <v>0</v>
      </c>
      <c r="G76" s="570"/>
      <c r="H76" s="569">
        <f>SUMIFS(Propostas!$AD:$AD, Propostas!$AC:$AC, H$55, Propostas!$C:$C, $B76)</f>
        <v>0</v>
      </c>
      <c r="I76" s="570"/>
      <c r="J76" s="569">
        <f>SUMIFS(Propostas!$AD:$AD, Propostas!$AC:$AC, J$55, Propostas!$C:$C, $B76)</f>
        <v>0</v>
      </c>
      <c r="K76" s="570"/>
      <c r="L76" s="569">
        <f>SUMIFS(Propostas!$AD:$AD, Propostas!$AC:$AC, L$55, Propostas!$C:$C, $B76)</f>
        <v>0</v>
      </c>
      <c r="M76" s="570"/>
      <c r="N76" s="569">
        <f>SUMIFS(Propostas!$AD:$AD, Propostas!$AC:$AC, N$55, Propostas!$C:$C, $B76)</f>
        <v>0</v>
      </c>
      <c r="O76" s="570"/>
      <c r="P76" s="569">
        <f>SUMIFS(Propostas!$AD:$AD, Propostas!$AC:$AC, P$55, Propostas!$C:$C, $B76)</f>
        <v>0</v>
      </c>
      <c r="Q76" s="570"/>
      <c r="R76" s="569">
        <f>SUMIFS(Propostas!$AD:$AD, Propostas!$AC:$AC, R$55, Propostas!$C:$C, $B76)</f>
        <v>0</v>
      </c>
      <c r="S76" s="570"/>
      <c r="T76" s="569">
        <f>SUMIFS(Propostas!$AD:$AD, Propostas!$AC:$AC, T$55, Propostas!$C:$C, $B76)</f>
        <v>0</v>
      </c>
      <c r="U76" s="570"/>
      <c r="V76" s="569">
        <f>SUMIFS(Propostas!$AD:$AD, Propostas!$AC:$AC, V$55, Propostas!$C:$C, $B76)</f>
        <v>0</v>
      </c>
      <c r="W76" s="570"/>
      <c r="X76" s="569">
        <f>SUMIFS(Propostas!$AD:$AD, Propostas!$AC:$AC, X$55, Propostas!$C:$C, $B76)</f>
        <v>0</v>
      </c>
      <c r="Y76" s="570"/>
      <c r="Z76" s="569">
        <f>SUMIFS(Propostas!$AD:$AD, Propostas!$AC:$AC, Z$55, Propostas!$C:$C, $B76)</f>
        <v>0</v>
      </c>
      <c r="AA76" s="570"/>
      <c r="AB76" s="569">
        <f>SUMIFS(Propostas!$AD:$AD, Propostas!$AC:$AC, AB$55, Propostas!$C:$C, $B76)</f>
        <v>0</v>
      </c>
      <c r="AC76" s="570"/>
      <c r="AD76" s="569">
        <f>SUMIFS(Propostas!$AD:$AD, Propostas!$AC:$AC, AD$55, Propostas!$C:$C, $B76)</f>
        <v>0</v>
      </c>
      <c r="AE76" s="571"/>
    </row>
    <row r="77" spans="2:31" x14ac:dyDescent="0.25">
      <c r="B77" s="572" t="str">
        <f>IF(Defesa!C26 = "", "", Defesa!C26)</f>
        <v/>
      </c>
      <c r="C77" s="573"/>
      <c r="D77" s="569">
        <f>SUMIFS(Propostas!$AD:$AD, Propostas!$AC:$AC, D$55, Propostas!$C:$C, $B77)</f>
        <v>0</v>
      </c>
      <c r="E77" s="570"/>
      <c r="F77" s="569">
        <f>SUMIFS(Propostas!$AD:$AD, Propostas!$AC:$AC, F$55, Propostas!$C:$C, $B77)</f>
        <v>0</v>
      </c>
      <c r="G77" s="570"/>
      <c r="H77" s="569">
        <f>SUMIFS(Propostas!$AD:$AD, Propostas!$AC:$AC, H$55, Propostas!$C:$C, $B77)</f>
        <v>0</v>
      </c>
      <c r="I77" s="570"/>
      <c r="J77" s="569">
        <f>SUMIFS(Propostas!$AD:$AD, Propostas!$AC:$AC, J$55, Propostas!$C:$C, $B77)</f>
        <v>0</v>
      </c>
      <c r="K77" s="570"/>
      <c r="L77" s="569">
        <f>SUMIFS(Propostas!$AD:$AD, Propostas!$AC:$AC, L$55, Propostas!$C:$C, $B77)</f>
        <v>0</v>
      </c>
      <c r="M77" s="570"/>
      <c r="N77" s="569">
        <f>SUMIFS(Propostas!$AD:$AD, Propostas!$AC:$AC, N$55, Propostas!$C:$C, $B77)</f>
        <v>0</v>
      </c>
      <c r="O77" s="570"/>
      <c r="P77" s="569">
        <f>SUMIFS(Propostas!$AD:$AD, Propostas!$AC:$AC, P$55, Propostas!$C:$C, $B77)</f>
        <v>0</v>
      </c>
      <c r="Q77" s="570"/>
      <c r="R77" s="569">
        <f>SUMIFS(Propostas!$AD:$AD, Propostas!$AC:$AC, R$55, Propostas!$C:$C, $B77)</f>
        <v>0</v>
      </c>
      <c r="S77" s="570"/>
      <c r="T77" s="569">
        <f>SUMIFS(Propostas!$AD:$AD, Propostas!$AC:$AC, T$55, Propostas!$C:$C, $B77)</f>
        <v>0</v>
      </c>
      <c r="U77" s="570"/>
      <c r="V77" s="569">
        <f>SUMIFS(Propostas!$AD:$AD, Propostas!$AC:$AC, V$55, Propostas!$C:$C, $B77)</f>
        <v>0</v>
      </c>
      <c r="W77" s="570"/>
      <c r="X77" s="569">
        <f>SUMIFS(Propostas!$AD:$AD, Propostas!$AC:$AC, X$55, Propostas!$C:$C, $B77)</f>
        <v>0</v>
      </c>
      <c r="Y77" s="570"/>
      <c r="Z77" s="569">
        <f>SUMIFS(Propostas!$AD:$AD, Propostas!$AC:$AC, Z$55, Propostas!$C:$C, $B77)</f>
        <v>0</v>
      </c>
      <c r="AA77" s="570"/>
      <c r="AB77" s="569">
        <f>SUMIFS(Propostas!$AD:$AD, Propostas!$AC:$AC, AB$55, Propostas!$C:$C, $B77)</f>
        <v>0</v>
      </c>
      <c r="AC77" s="570"/>
      <c r="AD77" s="569">
        <f>SUMIFS(Propostas!$AD:$AD, Propostas!$AC:$AC, AD$55, Propostas!$C:$C, $B77)</f>
        <v>0</v>
      </c>
      <c r="AE77" s="571"/>
    </row>
    <row r="78" spans="2:31" x14ac:dyDescent="0.25">
      <c r="B78" s="572" t="str">
        <f>IF(Defesa!C27 = "", "", Defesa!C27)</f>
        <v/>
      </c>
      <c r="C78" s="573"/>
      <c r="D78" s="569">
        <f>SUMIFS(Propostas!$AD:$AD, Propostas!$AC:$AC, D$55, Propostas!$C:$C, $B78)</f>
        <v>0</v>
      </c>
      <c r="E78" s="570"/>
      <c r="F78" s="569">
        <f>SUMIFS(Propostas!$AD:$AD, Propostas!$AC:$AC, F$55, Propostas!$C:$C, $B78)</f>
        <v>0</v>
      </c>
      <c r="G78" s="570"/>
      <c r="H78" s="569">
        <f>SUMIFS(Propostas!$AD:$AD, Propostas!$AC:$AC, H$55, Propostas!$C:$C, $B78)</f>
        <v>0</v>
      </c>
      <c r="I78" s="570"/>
      <c r="J78" s="569">
        <f>SUMIFS(Propostas!$AD:$AD, Propostas!$AC:$AC, J$55, Propostas!$C:$C, $B78)</f>
        <v>0</v>
      </c>
      <c r="K78" s="570"/>
      <c r="L78" s="569">
        <f>SUMIFS(Propostas!$AD:$AD, Propostas!$AC:$AC, L$55, Propostas!$C:$C, $B78)</f>
        <v>0</v>
      </c>
      <c r="M78" s="570"/>
      <c r="N78" s="569">
        <f>SUMIFS(Propostas!$AD:$AD, Propostas!$AC:$AC, N$55, Propostas!$C:$C, $B78)</f>
        <v>0</v>
      </c>
      <c r="O78" s="570"/>
      <c r="P78" s="569">
        <f>SUMIFS(Propostas!$AD:$AD, Propostas!$AC:$AC, P$55, Propostas!$C:$C, $B78)</f>
        <v>0</v>
      </c>
      <c r="Q78" s="570"/>
      <c r="R78" s="569">
        <f>SUMIFS(Propostas!$AD:$AD, Propostas!$AC:$AC, R$55, Propostas!$C:$C, $B78)</f>
        <v>0</v>
      </c>
      <c r="S78" s="570"/>
      <c r="T78" s="569">
        <f>SUMIFS(Propostas!$AD:$AD, Propostas!$AC:$AC, T$55, Propostas!$C:$C, $B78)</f>
        <v>0</v>
      </c>
      <c r="U78" s="570"/>
      <c r="V78" s="569">
        <f>SUMIFS(Propostas!$AD:$AD, Propostas!$AC:$AC, V$55, Propostas!$C:$C, $B78)</f>
        <v>0</v>
      </c>
      <c r="W78" s="570"/>
      <c r="X78" s="569">
        <f>SUMIFS(Propostas!$AD:$AD, Propostas!$AC:$AC, X$55, Propostas!$C:$C, $B78)</f>
        <v>0</v>
      </c>
      <c r="Y78" s="570"/>
      <c r="Z78" s="569">
        <f>SUMIFS(Propostas!$AD:$AD, Propostas!$AC:$AC, Z$55, Propostas!$C:$C, $B78)</f>
        <v>0</v>
      </c>
      <c r="AA78" s="570"/>
      <c r="AB78" s="569">
        <f>SUMIFS(Propostas!$AD:$AD, Propostas!$AC:$AC, AB$55, Propostas!$C:$C, $B78)</f>
        <v>0</v>
      </c>
      <c r="AC78" s="570"/>
      <c r="AD78" s="569">
        <f>SUMIFS(Propostas!$AD:$AD, Propostas!$AC:$AC, AD$55, Propostas!$C:$C, $B78)</f>
        <v>0</v>
      </c>
      <c r="AE78" s="571"/>
    </row>
    <row r="79" spans="2:31" x14ac:dyDescent="0.25">
      <c r="B79" s="572" t="str">
        <f>IF(Defesa!C28 = "", "", Defesa!C28)</f>
        <v/>
      </c>
      <c r="C79" s="573"/>
      <c r="D79" s="569">
        <f>SUMIFS(Propostas!$AD:$AD, Propostas!$AC:$AC, D$55, Propostas!$C:$C, $B79)</f>
        <v>0</v>
      </c>
      <c r="E79" s="570"/>
      <c r="F79" s="569">
        <f>SUMIFS(Propostas!$AD:$AD, Propostas!$AC:$AC, F$55, Propostas!$C:$C, $B79)</f>
        <v>0</v>
      </c>
      <c r="G79" s="570"/>
      <c r="H79" s="569">
        <f>SUMIFS(Propostas!$AD:$AD, Propostas!$AC:$AC, H$55, Propostas!$C:$C, $B79)</f>
        <v>0</v>
      </c>
      <c r="I79" s="570"/>
      <c r="J79" s="569">
        <f>SUMIFS(Propostas!$AD:$AD, Propostas!$AC:$AC, J$55, Propostas!$C:$C, $B79)</f>
        <v>0</v>
      </c>
      <c r="K79" s="570"/>
      <c r="L79" s="569">
        <f>SUMIFS(Propostas!$AD:$AD, Propostas!$AC:$AC, L$55, Propostas!$C:$C, $B79)</f>
        <v>0</v>
      </c>
      <c r="M79" s="570"/>
      <c r="N79" s="569">
        <f>SUMIFS(Propostas!$AD:$AD, Propostas!$AC:$AC, N$55, Propostas!$C:$C, $B79)</f>
        <v>0</v>
      </c>
      <c r="O79" s="570"/>
      <c r="P79" s="569">
        <f>SUMIFS(Propostas!$AD:$AD, Propostas!$AC:$AC, P$55, Propostas!$C:$C, $B79)</f>
        <v>0</v>
      </c>
      <c r="Q79" s="570"/>
      <c r="R79" s="569">
        <f>SUMIFS(Propostas!$AD:$AD, Propostas!$AC:$AC, R$55, Propostas!$C:$C, $B79)</f>
        <v>0</v>
      </c>
      <c r="S79" s="570"/>
      <c r="T79" s="569">
        <f>SUMIFS(Propostas!$AD:$AD, Propostas!$AC:$AC, T$55, Propostas!$C:$C, $B79)</f>
        <v>0</v>
      </c>
      <c r="U79" s="570"/>
      <c r="V79" s="569">
        <f>SUMIFS(Propostas!$AD:$AD, Propostas!$AC:$AC, V$55, Propostas!$C:$C, $B79)</f>
        <v>0</v>
      </c>
      <c r="W79" s="570"/>
      <c r="X79" s="569">
        <f>SUMIFS(Propostas!$AD:$AD, Propostas!$AC:$AC, X$55, Propostas!$C:$C, $B79)</f>
        <v>0</v>
      </c>
      <c r="Y79" s="570"/>
      <c r="Z79" s="569">
        <f>SUMIFS(Propostas!$AD:$AD, Propostas!$AC:$AC, Z$55, Propostas!$C:$C, $B79)</f>
        <v>0</v>
      </c>
      <c r="AA79" s="570"/>
      <c r="AB79" s="569">
        <f>SUMIFS(Propostas!$AD:$AD, Propostas!$AC:$AC, AB$55, Propostas!$C:$C, $B79)</f>
        <v>0</v>
      </c>
      <c r="AC79" s="570"/>
      <c r="AD79" s="569">
        <f>SUMIFS(Propostas!$AD:$AD, Propostas!$AC:$AC, AD$55, Propostas!$C:$C, $B79)</f>
        <v>0</v>
      </c>
      <c r="AE79" s="571"/>
    </row>
    <row r="80" spans="2:31" x14ac:dyDescent="0.25">
      <c r="B80" s="572" t="str">
        <f>IF(Defesa!C29 = "", "", Defesa!C29)</f>
        <v/>
      </c>
      <c r="C80" s="573"/>
      <c r="D80" s="569">
        <f>SUMIFS(Propostas!$AD:$AD, Propostas!$AC:$AC, D$55, Propostas!$C:$C, $B80)</f>
        <v>0</v>
      </c>
      <c r="E80" s="570"/>
      <c r="F80" s="569">
        <f>SUMIFS(Propostas!$AD:$AD, Propostas!$AC:$AC, F$55, Propostas!$C:$C, $B80)</f>
        <v>0</v>
      </c>
      <c r="G80" s="570"/>
      <c r="H80" s="569">
        <f>SUMIFS(Propostas!$AD:$AD, Propostas!$AC:$AC, H$55, Propostas!$C:$C, $B80)</f>
        <v>0</v>
      </c>
      <c r="I80" s="570"/>
      <c r="J80" s="569">
        <f>SUMIFS(Propostas!$AD:$AD, Propostas!$AC:$AC, J$55, Propostas!$C:$C, $B80)</f>
        <v>0</v>
      </c>
      <c r="K80" s="570"/>
      <c r="L80" s="569">
        <f>SUMIFS(Propostas!$AD:$AD, Propostas!$AC:$AC, L$55, Propostas!$C:$C, $B80)</f>
        <v>0</v>
      </c>
      <c r="M80" s="570"/>
      <c r="N80" s="569">
        <f>SUMIFS(Propostas!$AD:$AD, Propostas!$AC:$AC, N$55, Propostas!$C:$C, $B80)</f>
        <v>0</v>
      </c>
      <c r="O80" s="570"/>
      <c r="P80" s="569">
        <f>SUMIFS(Propostas!$AD:$AD, Propostas!$AC:$AC, P$55, Propostas!$C:$C, $B80)</f>
        <v>0</v>
      </c>
      <c r="Q80" s="570"/>
      <c r="R80" s="569">
        <f>SUMIFS(Propostas!$AD:$AD, Propostas!$AC:$AC, R$55, Propostas!$C:$C, $B80)</f>
        <v>0</v>
      </c>
      <c r="S80" s="570"/>
      <c r="T80" s="569">
        <f>SUMIFS(Propostas!$AD:$AD, Propostas!$AC:$AC, T$55, Propostas!$C:$C, $B80)</f>
        <v>0</v>
      </c>
      <c r="U80" s="570"/>
      <c r="V80" s="569">
        <f>SUMIFS(Propostas!$AD:$AD, Propostas!$AC:$AC, V$55, Propostas!$C:$C, $B80)</f>
        <v>0</v>
      </c>
      <c r="W80" s="570"/>
      <c r="X80" s="569">
        <f>SUMIFS(Propostas!$AD:$AD, Propostas!$AC:$AC, X$55, Propostas!$C:$C, $B80)</f>
        <v>0</v>
      </c>
      <c r="Y80" s="570"/>
      <c r="Z80" s="569">
        <f>SUMIFS(Propostas!$AD:$AD, Propostas!$AC:$AC, Z$55, Propostas!$C:$C, $B80)</f>
        <v>0</v>
      </c>
      <c r="AA80" s="570"/>
      <c r="AB80" s="569">
        <f>SUMIFS(Propostas!$AD:$AD, Propostas!$AC:$AC, AB$55, Propostas!$C:$C, $B80)</f>
        <v>0</v>
      </c>
      <c r="AC80" s="570"/>
      <c r="AD80" s="569">
        <f>SUMIFS(Propostas!$AD:$AD, Propostas!$AC:$AC, AD$55, Propostas!$C:$C, $B80)</f>
        <v>0</v>
      </c>
      <c r="AE80" s="571"/>
    </row>
    <row r="81" spans="2:33" x14ac:dyDescent="0.25">
      <c r="B81" s="567" t="str">
        <f>IF(Defesa!C30 = "", "", Defesa!C30)</f>
        <v/>
      </c>
      <c r="C81" s="568"/>
      <c r="D81" s="564">
        <f>SUMIFS(Propostas!$AD:$AD, Propostas!$AC:$AC, D$55, Propostas!$C:$C, $B81)</f>
        <v>0</v>
      </c>
      <c r="E81" s="565"/>
      <c r="F81" s="564">
        <f>SUMIFS(Propostas!$AD:$AD, Propostas!$AC:$AC, F$55, Propostas!$C:$C, $B81)</f>
        <v>0</v>
      </c>
      <c r="G81" s="565"/>
      <c r="H81" s="564">
        <f>SUMIFS(Propostas!$AD:$AD, Propostas!$AC:$AC, H$55, Propostas!$C:$C, $B81)</f>
        <v>0</v>
      </c>
      <c r="I81" s="565"/>
      <c r="J81" s="564">
        <f>SUMIFS(Propostas!$AD:$AD, Propostas!$AC:$AC, J$55, Propostas!$C:$C, $B81)</f>
        <v>0</v>
      </c>
      <c r="K81" s="565"/>
      <c r="L81" s="564">
        <f>SUMIFS(Propostas!$AD:$AD, Propostas!$AC:$AC, L$55, Propostas!$C:$C, $B81)</f>
        <v>0</v>
      </c>
      <c r="M81" s="565"/>
      <c r="N81" s="564">
        <f>SUMIFS(Propostas!$AD:$AD, Propostas!$AC:$AC, N$55, Propostas!$C:$C, $B81)</f>
        <v>0</v>
      </c>
      <c r="O81" s="565"/>
      <c r="P81" s="564">
        <f>SUMIFS(Propostas!$AD:$AD, Propostas!$AC:$AC, P$55, Propostas!$C:$C, $B81)</f>
        <v>0</v>
      </c>
      <c r="Q81" s="565"/>
      <c r="R81" s="564">
        <f>SUMIFS(Propostas!$AD:$AD, Propostas!$AC:$AC, R$55, Propostas!$C:$C, $B81)</f>
        <v>0</v>
      </c>
      <c r="S81" s="565"/>
      <c r="T81" s="564">
        <f>SUMIFS(Propostas!$AD:$AD, Propostas!$AC:$AC, T$55, Propostas!$C:$C, $B81)</f>
        <v>0</v>
      </c>
      <c r="U81" s="565"/>
      <c r="V81" s="564">
        <f>SUMIFS(Propostas!$AD:$AD, Propostas!$AC:$AC, V$55, Propostas!$C:$C, $B81)</f>
        <v>0</v>
      </c>
      <c r="W81" s="565"/>
      <c r="X81" s="564">
        <f>SUMIFS(Propostas!$AD:$AD, Propostas!$AC:$AC, X$55, Propostas!$C:$C, $B81)</f>
        <v>0</v>
      </c>
      <c r="Y81" s="565"/>
      <c r="Z81" s="564">
        <f>SUMIFS(Propostas!$AD:$AD, Propostas!$AC:$AC, Z$55, Propostas!$C:$C, $B81)</f>
        <v>0</v>
      </c>
      <c r="AA81" s="565"/>
      <c r="AB81" s="564">
        <f>SUMIFS(Propostas!$AD:$AD, Propostas!$AC:$AC, AB$55, Propostas!$C:$C, $B81)</f>
        <v>0</v>
      </c>
      <c r="AC81" s="565"/>
      <c r="AD81" s="564">
        <f>SUMIFS(Propostas!$AD:$AD, Propostas!$AC:$AC, AD$55, Propostas!$C:$C, $B81)</f>
        <v>0</v>
      </c>
      <c r="AE81" s="566"/>
    </row>
    <row r="82" spans="2:33" x14ac:dyDescent="0.25"/>
    <row r="83" spans="2:33" ht="15" customHeight="1" x14ac:dyDescent="0.25">
      <c r="B83" s="507" t="s">
        <v>836</v>
      </c>
      <c r="C83" s="508"/>
      <c r="D83" s="508"/>
      <c r="E83" s="508"/>
      <c r="F83" s="508"/>
      <c r="G83" s="508"/>
      <c r="H83" s="508"/>
      <c r="I83" s="508"/>
      <c r="J83" s="508"/>
      <c r="K83" s="508"/>
      <c r="L83" s="508"/>
      <c r="M83" s="508"/>
      <c r="N83" s="508"/>
      <c r="O83" s="508"/>
      <c r="P83" s="508"/>
      <c r="Q83" s="508"/>
      <c r="R83" s="508"/>
      <c r="S83" s="508"/>
      <c r="T83" s="508"/>
      <c r="U83" s="508"/>
      <c r="V83" s="508"/>
      <c r="W83" s="508"/>
      <c r="X83" s="508"/>
      <c r="Y83" s="508"/>
      <c r="Z83" s="508"/>
      <c r="AA83" s="508"/>
      <c r="AB83" s="508"/>
      <c r="AC83" s="508"/>
      <c r="AD83" s="508"/>
      <c r="AE83" s="509"/>
    </row>
    <row r="84" spans="2:33" ht="15.75" x14ac:dyDescent="0.25">
      <c r="B84" s="138" t="s">
        <v>837</v>
      </c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  <c r="AA84" s="71"/>
      <c r="AB84" s="71"/>
      <c r="AC84" s="71"/>
      <c r="AD84" s="71"/>
      <c r="AE84" s="131"/>
    </row>
    <row r="85" spans="2:33" ht="24.75" customHeight="1" thickBot="1" x14ac:dyDescent="0.25">
      <c r="B85" s="556" t="s">
        <v>838</v>
      </c>
      <c r="C85" s="536"/>
      <c r="D85" s="536" t="s">
        <v>839</v>
      </c>
      <c r="E85" s="536"/>
      <c r="F85" s="536" t="s">
        <v>450</v>
      </c>
      <c r="G85" s="536"/>
      <c r="H85" s="536" t="s">
        <v>59</v>
      </c>
      <c r="I85" s="536"/>
      <c r="J85" s="536" t="s">
        <v>42</v>
      </c>
      <c r="K85" s="536"/>
      <c r="L85" s="536"/>
      <c r="M85" s="536" t="s">
        <v>920</v>
      </c>
      <c r="N85" s="536"/>
      <c r="O85" s="536"/>
      <c r="P85" s="536"/>
      <c r="Q85" s="536"/>
      <c r="R85" s="536"/>
      <c r="S85" s="536"/>
      <c r="T85" s="536" t="s">
        <v>55</v>
      </c>
      <c r="U85" s="536"/>
      <c r="V85" s="536"/>
      <c r="W85" s="536"/>
      <c r="X85" s="536"/>
      <c r="Y85" s="536"/>
      <c r="Z85" s="536" t="s">
        <v>269</v>
      </c>
      <c r="AA85" s="536"/>
      <c r="AB85" s="536" t="s">
        <v>228</v>
      </c>
      <c r="AC85" s="536"/>
      <c r="AD85" s="536" t="s">
        <v>56</v>
      </c>
      <c r="AE85" s="537"/>
      <c r="AG85" s="82" t="s">
        <v>926</v>
      </c>
    </row>
    <row r="86" spans="2:33" ht="13.5" thickTop="1" x14ac:dyDescent="0.25">
      <c r="B86" s="538" t="str">
        <f>IF($AG86="","", VLOOKUP($AG86,TB_PROPOSTA!$B:$Y,3,FALSE))</f>
        <v>SIM</v>
      </c>
      <c r="C86" s="539"/>
      <c r="D86" s="540" t="str">
        <f>IF($AG86="","",VLOOKUP($AG86,TB_PROPOSTA!$B:$Z,25,FALSE))</f>
        <v>PRJ00021292</v>
      </c>
      <c r="E86" s="539"/>
      <c r="F86" s="540" t="str">
        <f>IF($AG86="","",VLOOKUP($AG86,TB_PROPOSTA!$B:$Z,5,FALSE))</f>
        <v>PRJ00021293</v>
      </c>
      <c r="G86" s="539"/>
      <c r="H86" s="540" t="str">
        <f>IF($AG86="","",VLOOKUP($AG86,TB_PROPOSTA!$B:$Z, 6,FALSE))</f>
        <v>PROP00020171</v>
      </c>
      <c r="I86" s="539"/>
      <c r="J86" s="541" t="str">
        <f>IF($AG86="","",VLOOKUP($AG86,TB_PROPOSTA!$B:$Z, 24,FALSE))</f>
        <v>Custo Final</v>
      </c>
      <c r="K86" s="542"/>
      <c r="L86" s="543"/>
      <c r="M86" s="541" t="str">
        <f>IF($AG86="","",VLOOKUP($AG86,TB_PROPOSTA!$B:$Z, 9,FALSE))</f>
        <v>IBM - Torre I - Faturamento e Mediação (Extrabaseline)</v>
      </c>
      <c r="N86" s="542"/>
      <c r="O86" s="542"/>
      <c r="P86" s="542"/>
      <c r="Q86" s="542"/>
      <c r="R86" s="542"/>
      <c r="S86" s="543"/>
      <c r="T86" s="541" t="str">
        <f>IF($AG86="","",VLOOKUP($AG86,TB_PROPOSTA!$B:$Z, 14,FALSE))</f>
        <v>SISRAF - FATURAMENTO</v>
      </c>
      <c r="U86" s="542"/>
      <c r="V86" s="542"/>
      <c r="W86" s="542"/>
      <c r="X86" s="542"/>
      <c r="Y86" s="543"/>
      <c r="Z86" s="548">
        <f>IF($AG86="","",VLOOKUP($AG86,TB_PROPOSTA!$B:$Z, 17,FALSE))</f>
        <v>30.38</v>
      </c>
      <c r="AA86" s="563"/>
      <c r="AB86" s="548">
        <f>IF($AG86="","",VLOOKUP($AG86,TB_PROPOSTA!$B:$Z, 18,FALSE))</f>
        <v>88.5</v>
      </c>
      <c r="AC86" s="563"/>
      <c r="AD86" s="548">
        <f>IF($AG86="","",VLOOKUP($AG86,TB_PROPOSTA!$B:$Z, 19,FALSE))</f>
        <v>2688.63</v>
      </c>
      <c r="AE86" s="549"/>
      <c r="AG86" s="84" t="s">
        <v>1112</v>
      </c>
    </row>
    <row r="87" spans="2:33" x14ac:dyDescent="0.25">
      <c r="B87" s="524" t="str">
        <f>IF($AG87="","", VLOOKUP($AG87,TB_PROPOSTA!$B:$Y,3,FALSE))</f>
        <v>SIM</v>
      </c>
      <c r="C87" s="525"/>
      <c r="D87" s="526" t="str">
        <f>IF($AG87="","",VLOOKUP($AG87,TB_PROPOSTA!$B:$Z,25,FALSE))</f>
        <v>PRJ00021292</v>
      </c>
      <c r="E87" s="525"/>
      <c r="F87" s="526" t="str">
        <f>IF($AG87="","",VLOOKUP($AG87,TB_PROPOSTA!$B:$Z,5,FALSE))</f>
        <v>PRJ00021293</v>
      </c>
      <c r="G87" s="525"/>
      <c r="H87" s="526" t="str">
        <f>IF($AG87="","",VLOOKUP($AG87,TB_PROPOSTA!$B:$Z, 6,FALSE))</f>
        <v>PROP00020173</v>
      </c>
      <c r="I87" s="525"/>
      <c r="J87" s="533" t="str">
        <f>IF($AG87="","",VLOOKUP($AG87,TB_PROPOSTA!$B:$Z, 24,FALSE))</f>
        <v>Custo Final</v>
      </c>
      <c r="K87" s="534"/>
      <c r="L87" s="535"/>
      <c r="M87" s="533" t="str">
        <f>IF($AG87="","",VLOOKUP($AG87,TB_PROPOSTA!$B:$Z, 9,FALSE))</f>
        <v>IBM - Torre I - Faturamento e Mediação (Extrabaseline)</v>
      </c>
      <c r="N87" s="534"/>
      <c r="O87" s="534"/>
      <c r="P87" s="534"/>
      <c r="Q87" s="534"/>
      <c r="R87" s="534"/>
      <c r="S87" s="535"/>
      <c r="T87" s="533" t="str">
        <f>IF($AG87="","",VLOOKUP($AG87,TB_PROPOSTA!$B:$Z, 14,FALSE))</f>
        <v>(OI R2) SFA</v>
      </c>
      <c r="U87" s="534"/>
      <c r="V87" s="534"/>
      <c r="W87" s="534"/>
      <c r="X87" s="534"/>
      <c r="Y87" s="535"/>
      <c r="Z87" s="513">
        <f>IF($AG87="","",VLOOKUP($AG87,TB_PROPOSTA!$B:$Z, 17,FALSE))</f>
        <v>45.57</v>
      </c>
      <c r="AA87" s="557"/>
      <c r="AB87" s="513">
        <f>IF($AG87="","",VLOOKUP($AG87,TB_PROPOSTA!$B:$Z, 18,FALSE))</f>
        <v>88.5</v>
      </c>
      <c r="AC87" s="557"/>
      <c r="AD87" s="513">
        <f>IF($AG87="","",VLOOKUP($AG87,TB_PROPOSTA!$B:$Z, 19,FALSE))</f>
        <v>4032.9450000000002</v>
      </c>
      <c r="AE87" s="514"/>
      <c r="AG87" s="84" t="s">
        <v>1113</v>
      </c>
    </row>
    <row r="88" spans="2:33" x14ac:dyDescent="0.25">
      <c r="B88" s="524" t="str">
        <f>IF($AG88="","", VLOOKUP($AG88,TB_PROPOSTA!$B:$Y,3,FALSE))</f>
        <v>SIM</v>
      </c>
      <c r="C88" s="525"/>
      <c r="D88" s="526" t="str">
        <f>IF($AG88="","",VLOOKUP($AG88,TB_PROPOSTA!$B:$Z,25,FALSE))</f>
        <v>PRJ00021292</v>
      </c>
      <c r="E88" s="525"/>
      <c r="F88" s="526" t="str">
        <f>IF($AG88="","",VLOOKUP($AG88,TB_PROPOSTA!$B:$Z,5,FALSE))</f>
        <v>PRJ00021293</v>
      </c>
      <c r="G88" s="525"/>
      <c r="H88" s="526" t="str">
        <f>IF($AG88="","",VLOOKUP($AG88,TB_PROPOSTA!$B:$Z, 6,FALSE))</f>
        <v>PROP00020172</v>
      </c>
      <c r="I88" s="525"/>
      <c r="J88" s="533" t="str">
        <f>IF($AG88="","",VLOOKUP($AG88,TB_PROPOSTA!$B:$Z, 24,FALSE))</f>
        <v>Custo Final</v>
      </c>
      <c r="K88" s="534"/>
      <c r="L88" s="535"/>
      <c r="M88" s="533" t="str">
        <f>IF($AG88="","",VLOOKUP($AG88,TB_PROPOSTA!$B:$Z, 9,FALSE))</f>
        <v>IBM - Torre I - Faturamento e Mediação (Extrabaseline)</v>
      </c>
      <c r="N88" s="534"/>
      <c r="O88" s="534"/>
      <c r="P88" s="534"/>
      <c r="Q88" s="534"/>
      <c r="R88" s="534"/>
      <c r="S88" s="535"/>
      <c r="T88" s="533" t="str">
        <f>IF($AG88="","",VLOOKUP($AG88,TB_PROPOSTA!$B:$Z, 14,FALSE))</f>
        <v>SISRAF - ARRECADACAO</v>
      </c>
      <c r="U88" s="534"/>
      <c r="V88" s="534"/>
      <c r="W88" s="534"/>
      <c r="X88" s="534"/>
      <c r="Y88" s="535"/>
      <c r="Z88" s="513">
        <f>IF($AG88="","",VLOOKUP($AG88,TB_PROPOSTA!$B:$Z, 17,FALSE))</f>
        <v>45.57</v>
      </c>
      <c r="AA88" s="557"/>
      <c r="AB88" s="513">
        <f>IF($AG88="","",VLOOKUP($AG88,TB_PROPOSTA!$B:$Z, 18,FALSE))</f>
        <v>88.5</v>
      </c>
      <c r="AC88" s="557"/>
      <c r="AD88" s="513">
        <f>IF($AG88="","",VLOOKUP($AG88,TB_PROPOSTA!$B:$Z, 19,FALSE))</f>
        <v>4032.9450000000002</v>
      </c>
      <c r="AE88" s="514"/>
      <c r="AG88" s="84" t="s">
        <v>1114</v>
      </c>
    </row>
    <row r="89" spans="2:33" x14ac:dyDescent="0.25">
      <c r="B89" s="524" t="str">
        <f>IF($AG89="","", VLOOKUP($AG89,TB_PROPOSTA!$B:$Y,3,FALSE))</f>
        <v>SIM</v>
      </c>
      <c r="C89" s="525"/>
      <c r="D89" s="526" t="str">
        <f>IF($AG89="","",VLOOKUP($AG89,TB_PROPOSTA!$B:$Z,25,FALSE))</f>
        <v>PRJ00021292</v>
      </c>
      <c r="E89" s="525"/>
      <c r="F89" s="526" t="str">
        <f>IF($AG89="","",VLOOKUP($AG89,TB_PROPOSTA!$B:$Z,5,FALSE))</f>
        <v>PRJ00021293</v>
      </c>
      <c r="G89" s="525"/>
      <c r="H89" s="526" t="str">
        <f>IF($AG89="","",VLOOKUP($AG89,TB_PROPOSTA!$B:$Z, 6,FALSE))</f>
        <v>PROP00020174</v>
      </c>
      <c r="I89" s="525"/>
      <c r="J89" s="533" t="str">
        <f>IF($AG89="","",VLOOKUP($AG89,TB_PROPOSTA!$B:$Z, 24,FALSE))</f>
        <v>Custo Final</v>
      </c>
      <c r="K89" s="534"/>
      <c r="L89" s="535"/>
      <c r="M89" s="533" t="str">
        <f>IF($AG89="","",VLOOKUP($AG89,TB_PROPOSTA!$B:$Z, 9,FALSE))</f>
        <v>IBM - Torre I - Faturamento e Mediação (Extrabaseline)</v>
      </c>
      <c r="N89" s="534"/>
      <c r="O89" s="534"/>
      <c r="P89" s="534"/>
      <c r="Q89" s="534"/>
      <c r="R89" s="534"/>
      <c r="S89" s="535"/>
      <c r="T89" s="533" t="str">
        <f>IF($AG89="","",VLOOKUP($AG89,TB_PROPOSTA!$B:$Z, 14,FALSE))</f>
        <v>(OI R2) SAG</v>
      </c>
      <c r="U89" s="534"/>
      <c r="V89" s="534"/>
      <c r="W89" s="534"/>
      <c r="X89" s="534"/>
      <c r="Y89" s="535"/>
      <c r="Z89" s="513">
        <f>IF($AG89="","",VLOOKUP($AG89,TB_PROPOSTA!$B:$Z, 17,FALSE))</f>
        <v>45.57</v>
      </c>
      <c r="AA89" s="557"/>
      <c r="AB89" s="513">
        <f>IF($AG89="","",VLOOKUP($AG89,TB_PROPOSTA!$B:$Z, 18,FALSE))</f>
        <v>88.5</v>
      </c>
      <c r="AC89" s="557"/>
      <c r="AD89" s="513">
        <f>IF($AG89="","",VLOOKUP($AG89,TB_PROPOSTA!$B:$Z, 19,FALSE))</f>
        <v>4032.9450000000002</v>
      </c>
      <c r="AE89" s="514"/>
      <c r="AG89" s="84" t="s">
        <v>1115</v>
      </c>
    </row>
    <row r="90" spans="2:33" x14ac:dyDescent="0.25">
      <c r="B90" s="524" t="str">
        <f>IF($AG90="","", VLOOKUP($AG90,TB_PROPOSTA!$B:$Y,3,FALSE))</f>
        <v/>
      </c>
      <c r="C90" s="525"/>
      <c r="D90" s="526" t="str">
        <f>IF($AG90="","",VLOOKUP($AG90,TB_PROPOSTA!$B:$Z,25,FALSE))</f>
        <v/>
      </c>
      <c r="E90" s="525"/>
      <c r="F90" s="526" t="str">
        <f>IF($AG90="","",VLOOKUP($AG90,TB_PROPOSTA!$B:$Z,5,FALSE))</f>
        <v/>
      </c>
      <c r="G90" s="525"/>
      <c r="H90" s="526" t="str">
        <f>IF($AG90="","",VLOOKUP($AG90,TB_PROPOSTA!$B:$Z, 6,FALSE))</f>
        <v/>
      </c>
      <c r="I90" s="525"/>
      <c r="J90" s="533" t="str">
        <f>IF($AG90="","",VLOOKUP($AG90,TB_PROPOSTA!$B:$Z, 24,FALSE))</f>
        <v/>
      </c>
      <c r="K90" s="534"/>
      <c r="L90" s="535"/>
      <c r="M90" s="533" t="str">
        <f>IF($AG90="","",VLOOKUP($AG90,TB_PROPOSTA!$B:$Z, 9,FALSE))</f>
        <v/>
      </c>
      <c r="N90" s="534"/>
      <c r="O90" s="534"/>
      <c r="P90" s="534"/>
      <c r="Q90" s="534"/>
      <c r="R90" s="534"/>
      <c r="S90" s="535"/>
      <c r="T90" s="533" t="str">
        <f>IF($AG90="","",VLOOKUP($AG90,TB_PROPOSTA!$B:$Z, 14,FALSE))</f>
        <v/>
      </c>
      <c r="U90" s="534"/>
      <c r="V90" s="534"/>
      <c r="W90" s="534"/>
      <c r="X90" s="534"/>
      <c r="Y90" s="535"/>
      <c r="Z90" s="513" t="str">
        <f>IF($AG90="","",VLOOKUP($AG90,TB_PROPOSTA!$B:$Z, 17,FALSE))</f>
        <v/>
      </c>
      <c r="AA90" s="557"/>
      <c r="AB90" s="513" t="str">
        <f>IF($AG90="","",VLOOKUP($AG90,TB_PROPOSTA!$B:$Z, 18,FALSE))</f>
        <v/>
      </c>
      <c r="AC90" s="557"/>
      <c r="AD90" s="513" t="str">
        <f>IF($AG90="","",VLOOKUP($AG90,TB_PROPOSTA!$B:$Z, 19,FALSE))</f>
        <v/>
      </c>
      <c r="AE90" s="514"/>
      <c r="AG90" s="84"/>
    </row>
    <row r="91" spans="2:33" x14ac:dyDescent="0.25">
      <c r="B91" s="524" t="str">
        <f>IF($AG91="","", VLOOKUP($AG91,TB_PROPOSTA!$B:$Y,3,FALSE))</f>
        <v/>
      </c>
      <c r="C91" s="525"/>
      <c r="D91" s="526" t="str">
        <f>IF($AG91="","",VLOOKUP($AG91,TB_PROPOSTA!$B:$Z,25,FALSE))</f>
        <v/>
      </c>
      <c r="E91" s="525"/>
      <c r="F91" s="526" t="str">
        <f>IF($AG91="","",VLOOKUP($AG91,TB_PROPOSTA!$B:$Z,5,FALSE))</f>
        <v/>
      </c>
      <c r="G91" s="525"/>
      <c r="H91" s="526" t="str">
        <f>IF($AG91="","",VLOOKUP($AG91,TB_PROPOSTA!$B:$Z, 6,FALSE))</f>
        <v/>
      </c>
      <c r="I91" s="525"/>
      <c r="J91" s="533" t="str">
        <f>IF($AG91="","",VLOOKUP($AG91,TB_PROPOSTA!$B:$Z, 24,FALSE))</f>
        <v/>
      </c>
      <c r="K91" s="534"/>
      <c r="L91" s="535"/>
      <c r="M91" s="533" t="str">
        <f>IF($AG91="","",VLOOKUP($AG91,TB_PROPOSTA!$B:$Z, 9,FALSE))</f>
        <v/>
      </c>
      <c r="N91" s="534"/>
      <c r="O91" s="534"/>
      <c r="P91" s="534"/>
      <c r="Q91" s="534"/>
      <c r="R91" s="534"/>
      <c r="S91" s="535"/>
      <c r="T91" s="533" t="str">
        <f>IF($AG91="","",VLOOKUP($AG91,TB_PROPOSTA!$B:$Z, 14,FALSE))</f>
        <v/>
      </c>
      <c r="U91" s="534"/>
      <c r="V91" s="534"/>
      <c r="W91" s="534"/>
      <c r="X91" s="534"/>
      <c r="Y91" s="535"/>
      <c r="Z91" s="513" t="str">
        <f>IF($AG91="","",VLOOKUP($AG91,TB_PROPOSTA!$B:$Z, 17,FALSE))</f>
        <v/>
      </c>
      <c r="AA91" s="557"/>
      <c r="AB91" s="513" t="str">
        <f>IF($AG91="","",VLOOKUP($AG91,TB_PROPOSTA!$B:$Z, 18,FALSE))</f>
        <v/>
      </c>
      <c r="AC91" s="557"/>
      <c r="AD91" s="513" t="str">
        <f>IF($AG91="","",VLOOKUP($AG91,TB_PROPOSTA!$B:$Z, 19,FALSE))</f>
        <v/>
      </c>
      <c r="AE91" s="514"/>
      <c r="AG91" s="84"/>
    </row>
    <row r="92" spans="2:33" x14ac:dyDescent="0.25">
      <c r="B92" s="524" t="str">
        <f>IF($AG92="","", VLOOKUP($AG92,TB_PROPOSTA!$B:$Y,3,FALSE))</f>
        <v/>
      </c>
      <c r="C92" s="525"/>
      <c r="D92" s="526" t="str">
        <f>IF($AG92="","",VLOOKUP($AG92,TB_PROPOSTA!$B:$Z,25,FALSE))</f>
        <v/>
      </c>
      <c r="E92" s="525"/>
      <c r="F92" s="526" t="str">
        <f>IF($AG92="","",VLOOKUP($AG92,TB_PROPOSTA!$B:$Z,5,FALSE))</f>
        <v/>
      </c>
      <c r="G92" s="525"/>
      <c r="H92" s="526" t="str">
        <f>IF($AG92="","",VLOOKUP($AG92,TB_PROPOSTA!$B:$Z, 6,FALSE))</f>
        <v/>
      </c>
      <c r="I92" s="525"/>
      <c r="J92" s="533" t="str">
        <f>IF($AG92="","",VLOOKUP($AG92,TB_PROPOSTA!$B:$Z, 24,FALSE))</f>
        <v/>
      </c>
      <c r="K92" s="534"/>
      <c r="L92" s="535"/>
      <c r="M92" s="533" t="str">
        <f>IF($AG92="","",VLOOKUP($AG92,TB_PROPOSTA!$B:$Z, 9,FALSE))</f>
        <v/>
      </c>
      <c r="N92" s="534"/>
      <c r="O92" s="534"/>
      <c r="P92" s="534"/>
      <c r="Q92" s="534"/>
      <c r="R92" s="534"/>
      <c r="S92" s="535"/>
      <c r="T92" s="533" t="str">
        <f>IF($AG92="","",VLOOKUP($AG92,TB_PROPOSTA!$B:$Z, 14,FALSE))</f>
        <v/>
      </c>
      <c r="U92" s="534"/>
      <c r="V92" s="534"/>
      <c r="W92" s="534"/>
      <c r="X92" s="534"/>
      <c r="Y92" s="535"/>
      <c r="Z92" s="513" t="str">
        <f>IF($AG92="","",VLOOKUP($AG92,TB_PROPOSTA!$B:$Z, 17,FALSE))</f>
        <v/>
      </c>
      <c r="AA92" s="557"/>
      <c r="AB92" s="513" t="str">
        <f>IF($AG92="","",VLOOKUP($AG92,TB_PROPOSTA!$B:$Z, 18,FALSE))</f>
        <v/>
      </c>
      <c r="AC92" s="557"/>
      <c r="AD92" s="513" t="str">
        <f>IF($AG92="","",VLOOKUP($AG92,TB_PROPOSTA!$B:$Z, 19,FALSE))</f>
        <v/>
      </c>
      <c r="AE92" s="514"/>
      <c r="AG92" s="84"/>
    </row>
    <row r="93" spans="2:33" x14ac:dyDescent="0.25">
      <c r="B93" s="524" t="str">
        <f>IF($AG93="","", VLOOKUP($AG93,TB_PROPOSTA!$B:$Y,3,FALSE))</f>
        <v/>
      </c>
      <c r="C93" s="525"/>
      <c r="D93" s="526" t="str">
        <f>IF($AG93="","",VLOOKUP($AG93,TB_PROPOSTA!$B:$Z,25,FALSE))</f>
        <v/>
      </c>
      <c r="E93" s="525"/>
      <c r="F93" s="526" t="str">
        <f>IF($AG93="","",VLOOKUP($AG93,TB_PROPOSTA!$B:$Z,5,FALSE))</f>
        <v/>
      </c>
      <c r="G93" s="525"/>
      <c r="H93" s="526" t="str">
        <f>IF($AG93="","",VLOOKUP($AG93,TB_PROPOSTA!$B:$Z, 6,FALSE))</f>
        <v/>
      </c>
      <c r="I93" s="525"/>
      <c r="J93" s="533" t="str">
        <f>IF($AG93="","",VLOOKUP($AG93,TB_PROPOSTA!$B:$Z, 24,FALSE))</f>
        <v/>
      </c>
      <c r="K93" s="534"/>
      <c r="L93" s="535"/>
      <c r="M93" s="533" t="str">
        <f>IF($AG93="","",VLOOKUP($AG93,TB_PROPOSTA!$B:$Z, 9,FALSE))</f>
        <v/>
      </c>
      <c r="N93" s="534"/>
      <c r="O93" s="534"/>
      <c r="P93" s="534"/>
      <c r="Q93" s="534"/>
      <c r="R93" s="534"/>
      <c r="S93" s="535"/>
      <c r="T93" s="533" t="str">
        <f>IF($AG93="","",VLOOKUP($AG93,TB_PROPOSTA!$B:$Z, 14,FALSE))</f>
        <v/>
      </c>
      <c r="U93" s="534"/>
      <c r="V93" s="534"/>
      <c r="W93" s="534"/>
      <c r="X93" s="534"/>
      <c r="Y93" s="535"/>
      <c r="Z93" s="513" t="str">
        <f>IF($AG93="","",VLOOKUP($AG93,TB_PROPOSTA!$B:$Z, 17,FALSE))</f>
        <v/>
      </c>
      <c r="AA93" s="557"/>
      <c r="AB93" s="513" t="str">
        <f>IF($AG93="","",VLOOKUP($AG93,TB_PROPOSTA!$B:$Z, 18,FALSE))</f>
        <v/>
      </c>
      <c r="AC93" s="557"/>
      <c r="AD93" s="513" t="str">
        <f>IF($AG93="","",VLOOKUP($AG93,TB_PROPOSTA!$B:$Z, 19,FALSE))</f>
        <v/>
      </c>
      <c r="AE93" s="514"/>
      <c r="AG93" s="84"/>
    </row>
    <row r="94" spans="2:33" x14ac:dyDescent="0.25">
      <c r="B94" s="524" t="str">
        <f>IF($AG94="","", VLOOKUP($AG94,TB_PROPOSTA!$B:$Y,3,FALSE))</f>
        <v/>
      </c>
      <c r="C94" s="525"/>
      <c r="D94" s="526" t="str">
        <f>IF($AG94="","",VLOOKUP($AG94,TB_PROPOSTA!$B:$Z,25,FALSE))</f>
        <v/>
      </c>
      <c r="E94" s="525"/>
      <c r="F94" s="526" t="str">
        <f>IF($AG94="","",VLOOKUP($AG94,TB_PROPOSTA!$B:$Z,5,FALSE))</f>
        <v/>
      </c>
      <c r="G94" s="525"/>
      <c r="H94" s="526" t="str">
        <f>IF($AG94="","",VLOOKUP($AG94,TB_PROPOSTA!$B:$Z, 6,FALSE))</f>
        <v/>
      </c>
      <c r="I94" s="525"/>
      <c r="J94" s="533" t="str">
        <f>IF($AG94="","",VLOOKUP($AG94,TB_PROPOSTA!$B:$Z, 24,FALSE))</f>
        <v/>
      </c>
      <c r="K94" s="534"/>
      <c r="L94" s="535"/>
      <c r="M94" s="533" t="str">
        <f>IF($AG94="","",VLOOKUP($AG94,TB_PROPOSTA!$B:$Z, 9,FALSE))</f>
        <v/>
      </c>
      <c r="N94" s="534"/>
      <c r="O94" s="534"/>
      <c r="P94" s="534"/>
      <c r="Q94" s="534"/>
      <c r="R94" s="534"/>
      <c r="S94" s="535"/>
      <c r="T94" s="533" t="str">
        <f>IF($AG94="","",VLOOKUP($AG94,TB_PROPOSTA!$B:$Z, 14,FALSE))</f>
        <v/>
      </c>
      <c r="U94" s="534"/>
      <c r="V94" s="534"/>
      <c r="W94" s="534"/>
      <c r="X94" s="534"/>
      <c r="Y94" s="535"/>
      <c r="Z94" s="513" t="str">
        <f>IF($AG94="","",VLOOKUP($AG94,TB_PROPOSTA!$B:$Z, 17,FALSE))</f>
        <v/>
      </c>
      <c r="AA94" s="557"/>
      <c r="AB94" s="513" t="str">
        <f>IF($AG94="","",VLOOKUP($AG94,TB_PROPOSTA!$B:$Z, 18,FALSE))</f>
        <v/>
      </c>
      <c r="AC94" s="557"/>
      <c r="AD94" s="513" t="str">
        <f>IF($AG94="","",VLOOKUP($AG94,TB_PROPOSTA!$B:$Z, 19,FALSE))</f>
        <v/>
      </c>
      <c r="AE94" s="514"/>
      <c r="AG94" s="84"/>
    </row>
    <row r="95" spans="2:33" x14ac:dyDescent="0.25">
      <c r="B95" s="524" t="str">
        <f>IF($AG95="","", VLOOKUP($AG95,TB_PROPOSTA!$B:$Y,3,FALSE))</f>
        <v/>
      </c>
      <c r="C95" s="525"/>
      <c r="D95" s="526" t="str">
        <f>IF($AG95="","",VLOOKUP($AG95,TB_PROPOSTA!$B:$Z,25,FALSE))</f>
        <v/>
      </c>
      <c r="E95" s="525"/>
      <c r="F95" s="526" t="str">
        <f>IF($AG95="","",VLOOKUP($AG95,TB_PROPOSTA!$B:$Z,5,FALSE))</f>
        <v/>
      </c>
      <c r="G95" s="525"/>
      <c r="H95" s="526" t="str">
        <f>IF($AG95="","",VLOOKUP($AG95,TB_PROPOSTA!$B:$Z, 6,FALSE))</f>
        <v/>
      </c>
      <c r="I95" s="525"/>
      <c r="J95" s="533" t="str">
        <f>IF($AG95="","",VLOOKUP($AG95,TB_PROPOSTA!$B:$Z, 24,FALSE))</f>
        <v/>
      </c>
      <c r="K95" s="534"/>
      <c r="L95" s="535"/>
      <c r="M95" s="533" t="str">
        <f>IF($AG95="","",VLOOKUP($AG95,TB_PROPOSTA!$B:$Z, 9,FALSE))</f>
        <v/>
      </c>
      <c r="N95" s="534"/>
      <c r="O95" s="534"/>
      <c r="P95" s="534"/>
      <c r="Q95" s="534"/>
      <c r="R95" s="534"/>
      <c r="S95" s="535"/>
      <c r="T95" s="533" t="str">
        <f>IF($AG95="","",VLOOKUP($AG95,TB_PROPOSTA!$B:$Z, 14,FALSE))</f>
        <v/>
      </c>
      <c r="U95" s="534"/>
      <c r="V95" s="534"/>
      <c r="W95" s="534"/>
      <c r="X95" s="534"/>
      <c r="Y95" s="535"/>
      <c r="Z95" s="513" t="str">
        <f>IF($AG95="","",VLOOKUP($AG95,TB_PROPOSTA!$B:$Z, 17,FALSE))</f>
        <v/>
      </c>
      <c r="AA95" s="557"/>
      <c r="AB95" s="513" t="str">
        <f>IF($AG95="","",VLOOKUP($AG95,TB_PROPOSTA!$B:$Z, 18,FALSE))</f>
        <v/>
      </c>
      <c r="AC95" s="557"/>
      <c r="AD95" s="513" t="str">
        <f>IF($AG95="","",VLOOKUP($AG95,TB_PROPOSTA!$B:$Z, 19,FALSE))</f>
        <v/>
      </c>
      <c r="AE95" s="514"/>
      <c r="AG95" s="84"/>
    </row>
    <row r="96" spans="2:33" x14ac:dyDescent="0.25">
      <c r="B96" s="524" t="str">
        <f>IF($AG96="","", VLOOKUP($AG96,TB_PROPOSTA!$B:$Y,3,FALSE))</f>
        <v/>
      </c>
      <c r="C96" s="525"/>
      <c r="D96" s="526" t="str">
        <f>IF($AG96="","",VLOOKUP($AG96,TB_PROPOSTA!$B:$Z,25,FALSE))</f>
        <v/>
      </c>
      <c r="E96" s="525"/>
      <c r="F96" s="526" t="str">
        <f>IF($AG96="","",VLOOKUP($AG96,TB_PROPOSTA!$B:$Z,5,FALSE))</f>
        <v/>
      </c>
      <c r="G96" s="525"/>
      <c r="H96" s="526" t="str">
        <f>IF($AG96="","",VLOOKUP($AG96,TB_PROPOSTA!$B:$Z, 6,FALSE))</f>
        <v/>
      </c>
      <c r="I96" s="525"/>
      <c r="J96" s="533" t="str">
        <f>IF($AG96="","",VLOOKUP($AG96,TB_PROPOSTA!$B:$Z, 24,FALSE))</f>
        <v/>
      </c>
      <c r="K96" s="534"/>
      <c r="L96" s="535"/>
      <c r="M96" s="533" t="str">
        <f>IF($AG96="","",VLOOKUP($AG96,TB_PROPOSTA!$B:$Z, 9,FALSE))</f>
        <v/>
      </c>
      <c r="N96" s="534"/>
      <c r="O96" s="534"/>
      <c r="P96" s="534"/>
      <c r="Q96" s="534"/>
      <c r="R96" s="534"/>
      <c r="S96" s="535"/>
      <c r="T96" s="533" t="str">
        <f>IF($AG96="","",VLOOKUP($AG96,TB_PROPOSTA!$B:$Z, 14,FALSE))</f>
        <v/>
      </c>
      <c r="U96" s="534"/>
      <c r="V96" s="534"/>
      <c r="W96" s="534"/>
      <c r="X96" s="534"/>
      <c r="Y96" s="535"/>
      <c r="Z96" s="513" t="str">
        <f>IF($AG96="","",VLOOKUP($AG96,TB_PROPOSTA!$B:$Z, 17,FALSE))</f>
        <v/>
      </c>
      <c r="AA96" s="557"/>
      <c r="AB96" s="513" t="str">
        <f>IF($AG96="","",VLOOKUP($AG96,TB_PROPOSTA!$B:$Z, 18,FALSE))</f>
        <v/>
      </c>
      <c r="AC96" s="557"/>
      <c r="AD96" s="513" t="str">
        <f>IF($AG96="","",VLOOKUP($AG96,TB_PROPOSTA!$B:$Z, 19,FALSE))</f>
        <v/>
      </c>
      <c r="AE96" s="514"/>
      <c r="AG96" s="84"/>
    </row>
    <row r="97" spans="2:33" x14ac:dyDescent="0.25">
      <c r="B97" s="524" t="str">
        <f>IF($AG97="","", VLOOKUP($AG97,TB_PROPOSTA!$B:$Y,3,FALSE))</f>
        <v/>
      </c>
      <c r="C97" s="525"/>
      <c r="D97" s="526" t="str">
        <f>IF($AG97="","",VLOOKUP($AG97,TB_PROPOSTA!$B:$Z,25,FALSE))</f>
        <v/>
      </c>
      <c r="E97" s="525"/>
      <c r="F97" s="526" t="str">
        <f>IF($AG97="","",VLOOKUP($AG97,TB_PROPOSTA!$B:$Z,5,FALSE))</f>
        <v/>
      </c>
      <c r="G97" s="525"/>
      <c r="H97" s="526" t="str">
        <f>IF($AG97="","",VLOOKUP($AG97,TB_PROPOSTA!$B:$Z, 6,FALSE))</f>
        <v/>
      </c>
      <c r="I97" s="525"/>
      <c r="J97" s="533" t="str">
        <f>IF($AG97="","",VLOOKUP($AG97,TB_PROPOSTA!$B:$Z, 24,FALSE))</f>
        <v/>
      </c>
      <c r="K97" s="534"/>
      <c r="L97" s="535"/>
      <c r="M97" s="533" t="str">
        <f>IF($AG97="","",VLOOKUP($AG97,TB_PROPOSTA!$B:$Z, 9,FALSE))</f>
        <v/>
      </c>
      <c r="N97" s="534"/>
      <c r="O97" s="534"/>
      <c r="P97" s="534"/>
      <c r="Q97" s="534"/>
      <c r="R97" s="534"/>
      <c r="S97" s="535"/>
      <c r="T97" s="533" t="str">
        <f>IF($AG97="","",VLOOKUP($AG97,TB_PROPOSTA!$B:$Z, 14,FALSE))</f>
        <v/>
      </c>
      <c r="U97" s="534"/>
      <c r="V97" s="534"/>
      <c r="W97" s="534"/>
      <c r="X97" s="534"/>
      <c r="Y97" s="535"/>
      <c r="Z97" s="513" t="str">
        <f>IF($AG97="","",VLOOKUP($AG97,TB_PROPOSTA!$B:$Z, 17,FALSE))</f>
        <v/>
      </c>
      <c r="AA97" s="557"/>
      <c r="AB97" s="513" t="str">
        <f>IF($AG97="","",VLOOKUP($AG97,TB_PROPOSTA!$B:$Z, 18,FALSE))</f>
        <v/>
      </c>
      <c r="AC97" s="557"/>
      <c r="AD97" s="513" t="str">
        <f>IF($AG97="","",VLOOKUP($AG97,TB_PROPOSTA!$B:$Z, 19,FALSE))</f>
        <v/>
      </c>
      <c r="AE97" s="514"/>
      <c r="AG97" s="84"/>
    </row>
    <row r="98" spans="2:33" x14ac:dyDescent="0.25">
      <c r="B98" s="524" t="str">
        <f>IF($AG98="","", VLOOKUP($AG98,TB_PROPOSTA!$B:$Y,3,FALSE))</f>
        <v/>
      </c>
      <c r="C98" s="525"/>
      <c r="D98" s="526" t="str">
        <f>IF($AG98="","",VLOOKUP($AG98,TB_PROPOSTA!$B:$Z,25,FALSE))</f>
        <v/>
      </c>
      <c r="E98" s="525"/>
      <c r="F98" s="526" t="str">
        <f>IF($AG98="","",VLOOKUP($AG98,TB_PROPOSTA!$B:$Z,5,FALSE))</f>
        <v/>
      </c>
      <c r="G98" s="525"/>
      <c r="H98" s="526" t="str">
        <f>IF($AG98="","",VLOOKUP($AG98,TB_PROPOSTA!$B:$Z, 6,FALSE))</f>
        <v/>
      </c>
      <c r="I98" s="525"/>
      <c r="J98" s="533" t="str">
        <f>IF($AG98="","",VLOOKUP($AG98,TB_PROPOSTA!$B:$Z, 24,FALSE))</f>
        <v/>
      </c>
      <c r="K98" s="534"/>
      <c r="L98" s="535"/>
      <c r="M98" s="533" t="str">
        <f>IF($AG98="","",VLOOKUP($AG98,TB_PROPOSTA!$B:$Z, 9,FALSE))</f>
        <v/>
      </c>
      <c r="N98" s="534"/>
      <c r="O98" s="534"/>
      <c r="P98" s="534"/>
      <c r="Q98" s="534"/>
      <c r="R98" s="534"/>
      <c r="S98" s="535"/>
      <c r="T98" s="533" t="str">
        <f>IF($AG98="","",VLOOKUP($AG98,TB_PROPOSTA!$B:$Z, 14,FALSE))</f>
        <v/>
      </c>
      <c r="U98" s="534"/>
      <c r="V98" s="534"/>
      <c r="W98" s="534"/>
      <c r="X98" s="534"/>
      <c r="Y98" s="535"/>
      <c r="Z98" s="513" t="str">
        <f>IF($AG98="","",VLOOKUP($AG98,TB_PROPOSTA!$B:$Z, 17,FALSE))</f>
        <v/>
      </c>
      <c r="AA98" s="557"/>
      <c r="AB98" s="513" t="str">
        <f>IF($AG98="","",VLOOKUP($AG98,TB_PROPOSTA!$B:$Z, 18,FALSE))</f>
        <v/>
      </c>
      <c r="AC98" s="557"/>
      <c r="AD98" s="513" t="str">
        <f>IF($AG98="","",VLOOKUP($AG98,TB_PROPOSTA!$B:$Z, 19,FALSE))</f>
        <v/>
      </c>
      <c r="AE98" s="514"/>
      <c r="AG98" s="84"/>
    </row>
    <row r="99" spans="2:33" x14ac:dyDescent="0.25">
      <c r="B99" s="524" t="str">
        <f>IF($AG99="","", VLOOKUP($AG99,TB_PROPOSTA!$B:$Y,3,FALSE))</f>
        <v/>
      </c>
      <c r="C99" s="525"/>
      <c r="D99" s="526" t="str">
        <f>IF($AG99="","",VLOOKUP($AG99,TB_PROPOSTA!$B:$Z,25,FALSE))</f>
        <v/>
      </c>
      <c r="E99" s="525"/>
      <c r="F99" s="526" t="str">
        <f>IF($AG99="","",VLOOKUP($AG99,TB_PROPOSTA!$B:$Z,5,FALSE))</f>
        <v/>
      </c>
      <c r="G99" s="525"/>
      <c r="H99" s="526" t="str">
        <f>IF($AG99="","",VLOOKUP($AG99,TB_PROPOSTA!$B:$Z, 6,FALSE))</f>
        <v/>
      </c>
      <c r="I99" s="525"/>
      <c r="J99" s="533" t="str">
        <f>IF($AG99="","",VLOOKUP($AG99,TB_PROPOSTA!$B:$Z, 24,FALSE))</f>
        <v/>
      </c>
      <c r="K99" s="534"/>
      <c r="L99" s="535"/>
      <c r="M99" s="533" t="str">
        <f>IF($AG99="","",VLOOKUP($AG99,TB_PROPOSTA!$B:$Z, 9,FALSE))</f>
        <v/>
      </c>
      <c r="N99" s="534"/>
      <c r="O99" s="534"/>
      <c r="P99" s="534"/>
      <c r="Q99" s="534"/>
      <c r="R99" s="534"/>
      <c r="S99" s="535"/>
      <c r="T99" s="533" t="str">
        <f>IF($AG99="","",VLOOKUP($AG99,TB_PROPOSTA!$B:$Z, 14,FALSE))</f>
        <v/>
      </c>
      <c r="U99" s="534"/>
      <c r="V99" s="534"/>
      <c r="W99" s="534"/>
      <c r="X99" s="534"/>
      <c r="Y99" s="535"/>
      <c r="Z99" s="513" t="str">
        <f>IF($AG99="","",VLOOKUP($AG99,TB_PROPOSTA!$B:$Z, 17,FALSE))</f>
        <v/>
      </c>
      <c r="AA99" s="557"/>
      <c r="AB99" s="513" t="str">
        <f>IF($AG99="","",VLOOKUP($AG99,TB_PROPOSTA!$B:$Z, 18,FALSE))</f>
        <v/>
      </c>
      <c r="AC99" s="557"/>
      <c r="AD99" s="513" t="str">
        <f>IF($AG99="","",VLOOKUP($AG99,TB_PROPOSTA!$B:$Z, 19,FALSE))</f>
        <v/>
      </c>
      <c r="AE99" s="514"/>
      <c r="AG99" s="84"/>
    </row>
    <row r="100" spans="2:33" x14ac:dyDescent="0.25">
      <c r="B100" s="524" t="str">
        <f>IF($AG100="","", VLOOKUP($AG100,TB_PROPOSTA!$B:$Y,3,FALSE))</f>
        <v/>
      </c>
      <c r="C100" s="525"/>
      <c r="D100" s="526" t="str">
        <f>IF($AG100="","",VLOOKUP($AG100,TB_PROPOSTA!$B:$Z,25,FALSE))</f>
        <v/>
      </c>
      <c r="E100" s="525"/>
      <c r="F100" s="526" t="str">
        <f>IF($AG100="","",VLOOKUP($AG100,TB_PROPOSTA!$B:$Z,5,FALSE))</f>
        <v/>
      </c>
      <c r="G100" s="525"/>
      <c r="H100" s="526" t="str">
        <f>IF($AG100="","",VLOOKUP($AG100,TB_PROPOSTA!$B:$Z, 6,FALSE))</f>
        <v/>
      </c>
      <c r="I100" s="525"/>
      <c r="J100" s="533" t="str">
        <f>IF($AG100="","",VLOOKUP($AG100,TB_PROPOSTA!$B:$Z, 24,FALSE))</f>
        <v/>
      </c>
      <c r="K100" s="534"/>
      <c r="L100" s="535"/>
      <c r="M100" s="533" t="str">
        <f>IF($AG100="","",VLOOKUP($AG100,TB_PROPOSTA!$B:$Z, 9,FALSE))</f>
        <v/>
      </c>
      <c r="N100" s="534"/>
      <c r="O100" s="534"/>
      <c r="P100" s="534"/>
      <c r="Q100" s="534"/>
      <c r="R100" s="534"/>
      <c r="S100" s="535"/>
      <c r="T100" s="533" t="str">
        <f>IF($AG100="","",VLOOKUP($AG100,TB_PROPOSTA!$B:$Z, 14,FALSE))</f>
        <v/>
      </c>
      <c r="U100" s="534"/>
      <c r="V100" s="534"/>
      <c r="W100" s="534"/>
      <c r="X100" s="534"/>
      <c r="Y100" s="535"/>
      <c r="Z100" s="513" t="str">
        <f>IF($AG100="","",VLOOKUP($AG100,TB_PROPOSTA!$B:$Z, 17,FALSE))</f>
        <v/>
      </c>
      <c r="AA100" s="557"/>
      <c r="AB100" s="513" t="str">
        <f>IF($AG100="","",VLOOKUP($AG100,TB_PROPOSTA!$B:$Z, 18,FALSE))</f>
        <v/>
      </c>
      <c r="AC100" s="557"/>
      <c r="AD100" s="513" t="str">
        <f>IF($AG100="","",VLOOKUP($AG100,TB_PROPOSTA!$B:$Z, 19,FALSE))</f>
        <v/>
      </c>
      <c r="AE100" s="514"/>
      <c r="AG100" s="84"/>
    </row>
    <row r="101" spans="2:33" x14ac:dyDescent="0.25">
      <c r="B101" s="524" t="str">
        <f>IF($AG101="","", VLOOKUP($AG101,TB_PROPOSTA!$B:$Y,3,FALSE))</f>
        <v/>
      </c>
      <c r="C101" s="525"/>
      <c r="D101" s="526" t="str">
        <f>IF($AG101="","",VLOOKUP($AG101,TB_PROPOSTA!$B:$Z,25,FALSE))</f>
        <v/>
      </c>
      <c r="E101" s="525"/>
      <c r="F101" s="526" t="str">
        <f>IF($AG101="","",VLOOKUP($AG101,TB_PROPOSTA!$B:$Z,5,FALSE))</f>
        <v/>
      </c>
      <c r="G101" s="525"/>
      <c r="H101" s="526" t="str">
        <f>IF($AG101="","",VLOOKUP($AG101,TB_PROPOSTA!$B:$Z, 6,FALSE))</f>
        <v/>
      </c>
      <c r="I101" s="525"/>
      <c r="J101" s="533" t="str">
        <f>IF($AG101="","",VLOOKUP($AG101,TB_PROPOSTA!$B:$Z, 24,FALSE))</f>
        <v/>
      </c>
      <c r="K101" s="534"/>
      <c r="L101" s="535"/>
      <c r="M101" s="533" t="str">
        <f>IF($AG101="","",VLOOKUP($AG101,TB_PROPOSTA!$B:$Z, 9,FALSE))</f>
        <v/>
      </c>
      <c r="N101" s="534"/>
      <c r="O101" s="534"/>
      <c r="P101" s="534"/>
      <c r="Q101" s="534"/>
      <c r="R101" s="534"/>
      <c r="S101" s="535"/>
      <c r="T101" s="533" t="str">
        <f>IF($AG101="","",VLOOKUP($AG101,TB_PROPOSTA!$B:$Z, 14,FALSE))</f>
        <v/>
      </c>
      <c r="U101" s="534"/>
      <c r="V101" s="534"/>
      <c r="W101" s="534"/>
      <c r="X101" s="534"/>
      <c r="Y101" s="535"/>
      <c r="Z101" s="513" t="str">
        <f>IF($AG101="","",VLOOKUP($AG101,TB_PROPOSTA!$B:$Z, 17,FALSE))</f>
        <v/>
      </c>
      <c r="AA101" s="557"/>
      <c r="AB101" s="513" t="str">
        <f>IF($AG101="","",VLOOKUP($AG101,TB_PROPOSTA!$B:$Z, 18,FALSE))</f>
        <v/>
      </c>
      <c r="AC101" s="557"/>
      <c r="AD101" s="513" t="str">
        <f>IF($AG101="","",VLOOKUP($AG101,TB_PROPOSTA!$B:$Z, 19,FALSE))</f>
        <v/>
      </c>
      <c r="AE101" s="514"/>
      <c r="AG101" s="84"/>
    </row>
    <row r="102" spans="2:33" x14ac:dyDescent="0.25">
      <c r="B102" s="524" t="str">
        <f>IF($AG102="","", VLOOKUP($AG102,TB_PROPOSTA!$B:$Y,3,FALSE))</f>
        <v/>
      </c>
      <c r="C102" s="525"/>
      <c r="D102" s="526" t="str">
        <f>IF($AG102="","",VLOOKUP($AG102,TB_PROPOSTA!$B:$Z,25,FALSE))</f>
        <v/>
      </c>
      <c r="E102" s="525"/>
      <c r="F102" s="526" t="str">
        <f>IF($AG102="","",VLOOKUP($AG102,TB_PROPOSTA!$B:$Z,5,FALSE))</f>
        <v/>
      </c>
      <c r="G102" s="525"/>
      <c r="H102" s="526" t="str">
        <f>IF($AG102="","",VLOOKUP($AG102,TB_PROPOSTA!$B:$Z, 6,FALSE))</f>
        <v/>
      </c>
      <c r="I102" s="525"/>
      <c r="J102" s="533" t="str">
        <f>IF($AG102="","",VLOOKUP($AG102,TB_PROPOSTA!$B:$Z, 24,FALSE))</f>
        <v/>
      </c>
      <c r="K102" s="534"/>
      <c r="L102" s="535"/>
      <c r="M102" s="533" t="str">
        <f>IF($AG102="","",VLOOKUP($AG102,TB_PROPOSTA!$B:$Z, 9,FALSE))</f>
        <v/>
      </c>
      <c r="N102" s="534"/>
      <c r="O102" s="534"/>
      <c r="P102" s="534"/>
      <c r="Q102" s="534"/>
      <c r="R102" s="534"/>
      <c r="S102" s="535"/>
      <c r="T102" s="533" t="str">
        <f>IF($AG102="","",VLOOKUP($AG102,TB_PROPOSTA!$B:$Z, 14,FALSE))</f>
        <v/>
      </c>
      <c r="U102" s="534"/>
      <c r="V102" s="534"/>
      <c r="W102" s="534"/>
      <c r="X102" s="534"/>
      <c r="Y102" s="535"/>
      <c r="Z102" s="513" t="str">
        <f>IF($AG102="","",VLOOKUP($AG102,TB_PROPOSTA!$B:$Z, 17,FALSE))</f>
        <v/>
      </c>
      <c r="AA102" s="557"/>
      <c r="AB102" s="513" t="str">
        <f>IF($AG102="","",VLOOKUP($AG102,TB_PROPOSTA!$B:$Z, 18,FALSE))</f>
        <v/>
      </c>
      <c r="AC102" s="557"/>
      <c r="AD102" s="513" t="str">
        <f>IF($AG102="","",VLOOKUP($AG102,TB_PROPOSTA!$B:$Z, 19,FALSE))</f>
        <v/>
      </c>
      <c r="AE102" s="514"/>
      <c r="AG102" s="84"/>
    </row>
    <row r="103" spans="2:33" x14ac:dyDescent="0.25">
      <c r="B103" s="524" t="str">
        <f>IF($AG103="","", VLOOKUP($AG103,TB_PROPOSTA!$B:$Y,3,FALSE))</f>
        <v/>
      </c>
      <c r="C103" s="525"/>
      <c r="D103" s="526" t="str">
        <f>IF($AG103="","",VLOOKUP($AG103,TB_PROPOSTA!$B:$Z,25,FALSE))</f>
        <v/>
      </c>
      <c r="E103" s="525"/>
      <c r="F103" s="526" t="str">
        <f>IF($AG103="","",VLOOKUP($AG103,TB_PROPOSTA!$B:$Z,5,FALSE))</f>
        <v/>
      </c>
      <c r="G103" s="525"/>
      <c r="H103" s="526" t="str">
        <f>IF($AG103="","",VLOOKUP($AG103,TB_PROPOSTA!$B:$Z, 6,FALSE))</f>
        <v/>
      </c>
      <c r="I103" s="525"/>
      <c r="J103" s="533" t="str">
        <f>IF($AG103="","",VLOOKUP($AG103,TB_PROPOSTA!$B:$Z, 24,FALSE))</f>
        <v/>
      </c>
      <c r="K103" s="534"/>
      <c r="L103" s="535"/>
      <c r="M103" s="533" t="str">
        <f>IF($AG103="","",VLOOKUP($AG103,TB_PROPOSTA!$B:$Z, 9,FALSE))</f>
        <v/>
      </c>
      <c r="N103" s="534"/>
      <c r="O103" s="534"/>
      <c r="P103" s="534"/>
      <c r="Q103" s="534"/>
      <c r="R103" s="534"/>
      <c r="S103" s="535"/>
      <c r="T103" s="533" t="str">
        <f>IF($AG103="","",VLOOKUP($AG103,TB_PROPOSTA!$B:$Z, 14,FALSE))</f>
        <v/>
      </c>
      <c r="U103" s="534"/>
      <c r="V103" s="534"/>
      <c r="W103" s="534"/>
      <c r="X103" s="534"/>
      <c r="Y103" s="535"/>
      <c r="Z103" s="513" t="str">
        <f>IF($AG103="","",VLOOKUP($AG103,TB_PROPOSTA!$B:$Z, 17,FALSE))</f>
        <v/>
      </c>
      <c r="AA103" s="557"/>
      <c r="AB103" s="513" t="str">
        <f>IF($AG103="","",VLOOKUP($AG103,TB_PROPOSTA!$B:$Z, 18,FALSE))</f>
        <v/>
      </c>
      <c r="AC103" s="557"/>
      <c r="AD103" s="513" t="str">
        <f>IF($AG103="","",VLOOKUP($AG103,TB_PROPOSTA!$B:$Z, 19,FALSE))</f>
        <v/>
      </c>
      <c r="AE103" s="514"/>
      <c r="AG103" s="84"/>
    </row>
    <row r="104" spans="2:33" x14ac:dyDescent="0.25">
      <c r="B104" s="524" t="str">
        <f>IF($AG104="","", VLOOKUP($AG104,TB_PROPOSTA!$B:$Y,3,FALSE))</f>
        <v/>
      </c>
      <c r="C104" s="525"/>
      <c r="D104" s="526" t="str">
        <f>IF($AG104="","",VLOOKUP($AG104,TB_PROPOSTA!$B:$Z,25,FALSE))</f>
        <v/>
      </c>
      <c r="E104" s="525"/>
      <c r="F104" s="526" t="str">
        <f>IF($AG104="","",VLOOKUP($AG104,TB_PROPOSTA!$B:$Z,5,FALSE))</f>
        <v/>
      </c>
      <c r="G104" s="525"/>
      <c r="H104" s="526" t="str">
        <f>IF($AG104="","",VLOOKUP($AG104,TB_PROPOSTA!$B:$Z, 6,FALSE))</f>
        <v/>
      </c>
      <c r="I104" s="525"/>
      <c r="J104" s="533" t="str">
        <f>IF($AG104="","",VLOOKUP($AG104,TB_PROPOSTA!$B:$Z, 24,FALSE))</f>
        <v/>
      </c>
      <c r="K104" s="534"/>
      <c r="L104" s="535"/>
      <c r="M104" s="533" t="str">
        <f>IF($AG104="","",VLOOKUP($AG104,TB_PROPOSTA!$B:$Z, 9,FALSE))</f>
        <v/>
      </c>
      <c r="N104" s="534"/>
      <c r="O104" s="534"/>
      <c r="P104" s="534"/>
      <c r="Q104" s="534"/>
      <c r="R104" s="534"/>
      <c r="S104" s="535"/>
      <c r="T104" s="533" t="str">
        <f>IF($AG104="","",VLOOKUP($AG104,TB_PROPOSTA!$B:$Z, 14,FALSE))</f>
        <v/>
      </c>
      <c r="U104" s="534"/>
      <c r="V104" s="534"/>
      <c r="W104" s="534"/>
      <c r="X104" s="534"/>
      <c r="Y104" s="535"/>
      <c r="Z104" s="513" t="str">
        <f>IF($AG104="","",VLOOKUP($AG104,TB_PROPOSTA!$B:$Z, 17,FALSE))</f>
        <v/>
      </c>
      <c r="AA104" s="557"/>
      <c r="AB104" s="513" t="str">
        <f>IF($AG104="","",VLOOKUP($AG104,TB_PROPOSTA!$B:$Z, 18,FALSE))</f>
        <v/>
      </c>
      <c r="AC104" s="557"/>
      <c r="AD104" s="513" t="str">
        <f>IF($AG104="","",VLOOKUP($AG104,TB_PROPOSTA!$B:$Z, 19,FALSE))</f>
        <v/>
      </c>
      <c r="AE104" s="514"/>
      <c r="AG104" s="84"/>
    </row>
    <row r="105" spans="2:33" x14ac:dyDescent="0.25">
      <c r="B105" s="524" t="str">
        <f>IF($AG105="","", VLOOKUP($AG105,TB_PROPOSTA!$B:$Y,3,FALSE))</f>
        <v/>
      </c>
      <c r="C105" s="525"/>
      <c r="D105" s="526" t="str">
        <f>IF($AG105="","",VLOOKUP($AG105,TB_PROPOSTA!$B:$Z,25,FALSE))</f>
        <v/>
      </c>
      <c r="E105" s="525"/>
      <c r="F105" s="526" t="str">
        <f>IF($AG105="","",VLOOKUP($AG105,TB_PROPOSTA!$B:$Z,5,FALSE))</f>
        <v/>
      </c>
      <c r="G105" s="525"/>
      <c r="H105" s="526" t="str">
        <f>IF($AG105="","",VLOOKUP($AG105,TB_PROPOSTA!$B:$Z, 6,FALSE))</f>
        <v/>
      </c>
      <c r="I105" s="525"/>
      <c r="J105" s="533" t="str">
        <f>IF($AG105="","",VLOOKUP($AG105,TB_PROPOSTA!$B:$Z, 24,FALSE))</f>
        <v/>
      </c>
      <c r="K105" s="534"/>
      <c r="L105" s="535"/>
      <c r="M105" s="533" t="str">
        <f>IF($AG105="","",VLOOKUP($AG105,TB_PROPOSTA!$B:$Z, 9,FALSE))</f>
        <v/>
      </c>
      <c r="N105" s="534"/>
      <c r="O105" s="534"/>
      <c r="P105" s="534"/>
      <c r="Q105" s="534"/>
      <c r="R105" s="534"/>
      <c r="S105" s="535"/>
      <c r="T105" s="533" t="str">
        <f>IF($AG105="","",VLOOKUP($AG105,TB_PROPOSTA!$B:$Z, 14,FALSE))</f>
        <v/>
      </c>
      <c r="U105" s="534"/>
      <c r="V105" s="534"/>
      <c r="W105" s="534"/>
      <c r="X105" s="534"/>
      <c r="Y105" s="535"/>
      <c r="Z105" s="513" t="str">
        <f>IF($AG105="","",VLOOKUP($AG105,TB_PROPOSTA!$B:$Z, 17,FALSE))</f>
        <v/>
      </c>
      <c r="AA105" s="557"/>
      <c r="AB105" s="513" t="str">
        <f>IF($AG105="","",VLOOKUP($AG105,TB_PROPOSTA!$B:$Z, 18,FALSE))</f>
        <v/>
      </c>
      <c r="AC105" s="557"/>
      <c r="AD105" s="513" t="str">
        <f>IF($AG105="","",VLOOKUP($AG105,TB_PROPOSTA!$B:$Z, 19,FALSE))</f>
        <v/>
      </c>
      <c r="AE105" s="514"/>
      <c r="AG105" s="84"/>
    </row>
    <row r="106" spans="2:33" x14ac:dyDescent="0.25">
      <c r="B106" s="524" t="str">
        <f>IF($AG106="","", VLOOKUP($AG106,TB_PROPOSTA!$B:$Y,3,FALSE))</f>
        <v/>
      </c>
      <c r="C106" s="525"/>
      <c r="D106" s="526" t="str">
        <f>IF($AG106="","",VLOOKUP($AG106,TB_PROPOSTA!$B:$Z,25,FALSE))</f>
        <v/>
      </c>
      <c r="E106" s="525"/>
      <c r="F106" s="526" t="str">
        <f>IF($AG106="","",VLOOKUP($AG106,TB_PROPOSTA!$B:$Z,5,FALSE))</f>
        <v/>
      </c>
      <c r="G106" s="525"/>
      <c r="H106" s="526" t="str">
        <f>IF($AG106="","",VLOOKUP($AG106,TB_PROPOSTA!$B:$Z, 6,FALSE))</f>
        <v/>
      </c>
      <c r="I106" s="525"/>
      <c r="J106" s="533" t="str">
        <f>IF($AG106="","",VLOOKUP($AG106,TB_PROPOSTA!$B:$Z, 24,FALSE))</f>
        <v/>
      </c>
      <c r="K106" s="534"/>
      <c r="L106" s="535"/>
      <c r="M106" s="533" t="str">
        <f>IF($AG106="","",VLOOKUP($AG106,TB_PROPOSTA!$B:$Z, 9,FALSE))</f>
        <v/>
      </c>
      <c r="N106" s="534"/>
      <c r="O106" s="534"/>
      <c r="P106" s="534"/>
      <c r="Q106" s="534"/>
      <c r="R106" s="534"/>
      <c r="S106" s="535"/>
      <c r="T106" s="533" t="str">
        <f>IF($AG106="","",VLOOKUP($AG106,TB_PROPOSTA!$B:$Z, 14,FALSE))</f>
        <v/>
      </c>
      <c r="U106" s="534"/>
      <c r="V106" s="534"/>
      <c r="W106" s="534"/>
      <c r="X106" s="534"/>
      <c r="Y106" s="535"/>
      <c r="Z106" s="513" t="str">
        <f>IF($AG106="","",VLOOKUP($AG106,TB_PROPOSTA!$B:$Z, 17,FALSE))</f>
        <v/>
      </c>
      <c r="AA106" s="557"/>
      <c r="AB106" s="513" t="str">
        <f>IF($AG106="","",VLOOKUP($AG106,TB_PROPOSTA!$B:$Z, 18,FALSE))</f>
        <v/>
      </c>
      <c r="AC106" s="557"/>
      <c r="AD106" s="513" t="str">
        <f>IF($AG106="","",VLOOKUP($AG106,TB_PROPOSTA!$B:$Z, 19,FALSE))</f>
        <v/>
      </c>
      <c r="AE106" s="514"/>
      <c r="AG106" s="84"/>
    </row>
    <row r="107" spans="2:33" x14ac:dyDescent="0.25">
      <c r="B107" s="524" t="str">
        <f>IF($AG107="","", VLOOKUP($AG107,TB_PROPOSTA!$B:$Y,3,FALSE))</f>
        <v/>
      </c>
      <c r="C107" s="525"/>
      <c r="D107" s="526" t="str">
        <f>IF($AG107="","",VLOOKUP($AG107,TB_PROPOSTA!$B:$Z,25,FALSE))</f>
        <v/>
      </c>
      <c r="E107" s="525"/>
      <c r="F107" s="526" t="str">
        <f>IF($AG107="","",VLOOKUP($AG107,TB_PROPOSTA!$B:$Z,5,FALSE))</f>
        <v/>
      </c>
      <c r="G107" s="525"/>
      <c r="H107" s="526" t="str">
        <f>IF($AG107="","",VLOOKUP($AG107,TB_PROPOSTA!$B:$Z, 6,FALSE))</f>
        <v/>
      </c>
      <c r="I107" s="525"/>
      <c r="J107" s="533" t="str">
        <f>IF($AG107="","",VLOOKUP($AG107,TB_PROPOSTA!$B:$Z, 24,FALSE))</f>
        <v/>
      </c>
      <c r="K107" s="534"/>
      <c r="L107" s="535"/>
      <c r="M107" s="533" t="str">
        <f>IF($AG107="","",VLOOKUP($AG107,TB_PROPOSTA!$B:$Z, 9,FALSE))</f>
        <v/>
      </c>
      <c r="N107" s="534"/>
      <c r="O107" s="534"/>
      <c r="P107" s="534"/>
      <c r="Q107" s="534"/>
      <c r="R107" s="534"/>
      <c r="S107" s="535"/>
      <c r="T107" s="533" t="str">
        <f>IF($AG107="","",VLOOKUP($AG107,TB_PROPOSTA!$B:$Z, 14,FALSE))</f>
        <v/>
      </c>
      <c r="U107" s="534"/>
      <c r="V107" s="534"/>
      <c r="W107" s="534"/>
      <c r="X107" s="534"/>
      <c r="Y107" s="535"/>
      <c r="Z107" s="513" t="str">
        <f>IF($AG107="","",VLOOKUP($AG107,TB_PROPOSTA!$B:$Z, 17,FALSE))</f>
        <v/>
      </c>
      <c r="AA107" s="557"/>
      <c r="AB107" s="513" t="str">
        <f>IF($AG107="","",VLOOKUP($AG107,TB_PROPOSTA!$B:$Z, 18,FALSE))</f>
        <v/>
      </c>
      <c r="AC107" s="557"/>
      <c r="AD107" s="513" t="str">
        <f>IF($AG107="","",VLOOKUP($AG107,TB_PROPOSTA!$B:$Z, 19,FALSE))</f>
        <v/>
      </c>
      <c r="AE107" s="514"/>
      <c r="AG107" s="84"/>
    </row>
    <row r="108" spans="2:33" x14ac:dyDescent="0.25">
      <c r="B108" s="524" t="str">
        <f>IF($AG108="","", VLOOKUP($AG108,TB_PROPOSTA!$B:$Y,3,FALSE))</f>
        <v/>
      </c>
      <c r="C108" s="525"/>
      <c r="D108" s="526" t="str">
        <f>IF($AG108="","",VLOOKUP($AG108,TB_PROPOSTA!$B:$Z,25,FALSE))</f>
        <v/>
      </c>
      <c r="E108" s="525"/>
      <c r="F108" s="526" t="str">
        <f>IF($AG108="","",VLOOKUP($AG108,TB_PROPOSTA!$B:$Z,5,FALSE))</f>
        <v/>
      </c>
      <c r="G108" s="525"/>
      <c r="H108" s="526" t="str">
        <f>IF($AG108="","",VLOOKUP($AG108,TB_PROPOSTA!$B:$Z, 6,FALSE))</f>
        <v/>
      </c>
      <c r="I108" s="525"/>
      <c r="J108" s="533" t="str">
        <f>IF($AG108="","",VLOOKUP($AG108,TB_PROPOSTA!$B:$Z, 24,FALSE))</f>
        <v/>
      </c>
      <c r="K108" s="534"/>
      <c r="L108" s="535"/>
      <c r="M108" s="533" t="str">
        <f>IF($AG108="","",VLOOKUP($AG108,TB_PROPOSTA!$B:$Z, 9,FALSE))</f>
        <v/>
      </c>
      <c r="N108" s="534"/>
      <c r="O108" s="534"/>
      <c r="P108" s="534"/>
      <c r="Q108" s="534"/>
      <c r="R108" s="534"/>
      <c r="S108" s="535"/>
      <c r="T108" s="533" t="str">
        <f>IF($AG108="","",VLOOKUP($AG108,TB_PROPOSTA!$B:$Z, 14,FALSE))</f>
        <v/>
      </c>
      <c r="U108" s="534"/>
      <c r="V108" s="534"/>
      <c r="W108" s="534"/>
      <c r="X108" s="534"/>
      <c r="Y108" s="535"/>
      <c r="Z108" s="513" t="str">
        <f>IF($AG108="","",VLOOKUP($AG108,TB_PROPOSTA!$B:$Z, 17,FALSE))</f>
        <v/>
      </c>
      <c r="AA108" s="557"/>
      <c r="AB108" s="513" t="str">
        <f>IF($AG108="","",VLOOKUP($AG108,TB_PROPOSTA!$B:$Z, 18,FALSE))</f>
        <v/>
      </c>
      <c r="AC108" s="557"/>
      <c r="AD108" s="513" t="str">
        <f>IF($AG108="","",VLOOKUP($AG108,TB_PROPOSTA!$B:$Z, 19,FALSE))</f>
        <v/>
      </c>
      <c r="AE108" s="514"/>
      <c r="AG108" s="84"/>
    </row>
    <row r="109" spans="2:33" x14ac:dyDescent="0.25">
      <c r="B109" s="524" t="str">
        <f>IF($AG109="","", VLOOKUP($AG109,TB_PROPOSTA!$B:$Y,3,FALSE))</f>
        <v/>
      </c>
      <c r="C109" s="525"/>
      <c r="D109" s="526" t="str">
        <f>IF($AG109="","",VLOOKUP($AG109,TB_PROPOSTA!$B:$Z,25,FALSE))</f>
        <v/>
      </c>
      <c r="E109" s="525"/>
      <c r="F109" s="526" t="str">
        <f>IF($AG109="","",VLOOKUP($AG109,TB_PROPOSTA!$B:$Z,5,FALSE))</f>
        <v/>
      </c>
      <c r="G109" s="525"/>
      <c r="H109" s="526" t="str">
        <f>IF($AG109="","",VLOOKUP($AG109,TB_PROPOSTA!$B:$Z, 6,FALSE))</f>
        <v/>
      </c>
      <c r="I109" s="525"/>
      <c r="J109" s="533" t="str">
        <f>IF($AG109="","",VLOOKUP($AG109,TB_PROPOSTA!$B:$Z, 24,FALSE))</f>
        <v/>
      </c>
      <c r="K109" s="534"/>
      <c r="L109" s="535"/>
      <c r="M109" s="533" t="str">
        <f>IF($AG109="","",VLOOKUP($AG109,TB_PROPOSTA!$B:$Z, 9,FALSE))</f>
        <v/>
      </c>
      <c r="N109" s="534"/>
      <c r="O109" s="534"/>
      <c r="P109" s="534"/>
      <c r="Q109" s="534"/>
      <c r="R109" s="534"/>
      <c r="S109" s="535"/>
      <c r="T109" s="533" t="str">
        <f>IF($AG109="","",VLOOKUP($AG109,TB_PROPOSTA!$B:$Z, 14,FALSE))</f>
        <v/>
      </c>
      <c r="U109" s="534"/>
      <c r="V109" s="534"/>
      <c r="W109" s="534"/>
      <c r="X109" s="534"/>
      <c r="Y109" s="535"/>
      <c r="Z109" s="513" t="str">
        <f>IF($AG109="","",VLOOKUP($AG109,TB_PROPOSTA!$B:$Z, 17,FALSE))</f>
        <v/>
      </c>
      <c r="AA109" s="557"/>
      <c r="AB109" s="513" t="str">
        <f>IF($AG109="","",VLOOKUP($AG109,TB_PROPOSTA!$B:$Z, 18,FALSE))</f>
        <v/>
      </c>
      <c r="AC109" s="557"/>
      <c r="AD109" s="513" t="str">
        <f>IF($AG109="","",VLOOKUP($AG109,TB_PROPOSTA!$B:$Z, 19,FALSE))</f>
        <v/>
      </c>
      <c r="AE109" s="514"/>
      <c r="AG109" s="84"/>
    </row>
    <row r="110" spans="2:33" x14ac:dyDescent="0.25">
      <c r="B110" s="524" t="str">
        <f>IF($AG110="","", VLOOKUP($AG110,TB_PROPOSTA!$B:$Y,3,FALSE))</f>
        <v/>
      </c>
      <c r="C110" s="525"/>
      <c r="D110" s="526" t="str">
        <f>IF($AG110="","",VLOOKUP($AG110,TB_PROPOSTA!$B:$Z,25,FALSE))</f>
        <v/>
      </c>
      <c r="E110" s="525"/>
      <c r="F110" s="526" t="str">
        <f>IF($AG110="","",VLOOKUP($AG110,TB_PROPOSTA!$B:$Z,5,FALSE))</f>
        <v/>
      </c>
      <c r="G110" s="525"/>
      <c r="H110" s="526" t="str">
        <f>IF($AG110="","",VLOOKUP($AG110,TB_PROPOSTA!$B:$Z, 6,FALSE))</f>
        <v/>
      </c>
      <c r="I110" s="525"/>
      <c r="J110" s="533" t="str">
        <f>IF($AG110="","",VLOOKUP($AG110,TB_PROPOSTA!$B:$Z, 24,FALSE))</f>
        <v/>
      </c>
      <c r="K110" s="534"/>
      <c r="L110" s="535"/>
      <c r="M110" s="533" t="str">
        <f>IF($AG110="","",VLOOKUP($AG110,TB_PROPOSTA!$B:$Z, 9,FALSE))</f>
        <v/>
      </c>
      <c r="N110" s="534"/>
      <c r="O110" s="534"/>
      <c r="P110" s="534"/>
      <c r="Q110" s="534"/>
      <c r="R110" s="534"/>
      <c r="S110" s="535"/>
      <c r="T110" s="533" t="str">
        <f>IF($AG110="","",VLOOKUP($AG110,TB_PROPOSTA!$B:$Z, 14,FALSE))</f>
        <v/>
      </c>
      <c r="U110" s="534"/>
      <c r="V110" s="534"/>
      <c r="W110" s="534"/>
      <c r="X110" s="534"/>
      <c r="Y110" s="535"/>
      <c r="Z110" s="513" t="str">
        <f>IF($AG110="","",VLOOKUP($AG110,TB_PROPOSTA!$B:$Z, 17,FALSE))</f>
        <v/>
      </c>
      <c r="AA110" s="557"/>
      <c r="AB110" s="513" t="str">
        <f>IF($AG110="","",VLOOKUP($AG110,TB_PROPOSTA!$B:$Z, 18,FALSE))</f>
        <v/>
      </c>
      <c r="AC110" s="557"/>
      <c r="AD110" s="513" t="str">
        <f>IF($AG110="","",VLOOKUP($AG110,TB_PROPOSTA!$B:$Z, 19,FALSE))</f>
        <v/>
      </c>
      <c r="AE110" s="514"/>
      <c r="AG110" s="84"/>
    </row>
    <row r="111" spans="2:33" x14ac:dyDescent="0.25">
      <c r="B111" s="524" t="str">
        <f>IF($AG111="","", VLOOKUP($AG111,TB_PROPOSTA!$B:$Y,3,FALSE))</f>
        <v/>
      </c>
      <c r="C111" s="525"/>
      <c r="D111" s="526" t="str">
        <f>IF($AG111="","",VLOOKUP($AG111,TB_PROPOSTA!$B:$Z,25,FALSE))</f>
        <v/>
      </c>
      <c r="E111" s="525"/>
      <c r="F111" s="526" t="str">
        <f>IF($AG111="","",VLOOKUP($AG111,TB_PROPOSTA!$B:$Z,5,FALSE))</f>
        <v/>
      </c>
      <c r="G111" s="525"/>
      <c r="H111" s="526" t="str">
        <f>IF($AG111="","",VLOOKUP($AG111,TB_PROPOSTA!$B:$Z, 6,FALSE))</f>
        <v/>
      </c>
      <c r="I111" s="525"/>
      <c r="J111" s="533" t="str">
        <f>IF($AG111="","",VLOOKUP($AG111,TB_PROPOSTA!$B:$Z, 24,FALSE))</f>
        <v/>
      </c>
      <c r="K111" s="534"/>
      <c r="L111" s="535"/>
      <c r="M111" s="533" t="str">
        <f>IF($AG111="","",VLOOKUP($AG111,TB_PROPOSTA!$B:$Z, 9,FALSE))</f>
        <v/>
      </c>
      <c r="N111" s="534"/>
      <c r="O111" s="534"/>
      <c r="P111" s="534"/>
      <c r="Q111" s="534"/>
      <c r="R111" s="534"/>
      <c r="S111" s="535"/>
      <c r="T111" s="533" t="str">
        <f>IF($AG111="","",VLOOKUP($AG111,TB_PROPOSTA!$B:$Z, 14,FALSE))</f>
        <v/>
      </c>
      <c r="U111" s="534"/>
      <c r="V111" s="534"/>
      <c r="W111" s="534"/>
      <c r="X111" s="534"/>
      <c r="Y111" s="535"/>
      <c r="Z111" s="513" t="str">
        <f>IF($AG111="","",VLOOKUP($AG111,TB_PROPOSTA!$B:$Z, 17,FALSE))</f>
        <v/>
      </c>
      <c r="AA111" s="557"/>
      <c r="AB111" s="513" t="str">
        <f>IF($AG111="","",VLOOKUP($AG111,TB_PROPOSTA!$B:$Z, 18,FALSE))</f>
        <v/>
      </c>
      <c r="AC111" s="557"/>
      <c r="AD111" s="513" t="str">
        <f>IF($AG111="","",VLOOKUP($AG111,TB_PROPOSTA!$B:$Z, 19,FALSE))</f>
        <v/>
      </c>
      <c r="AE111" s="514"/>
      <c r="AG111" s="84"/>
    </row>
    <row r="112" spans="2:33" x14ac:dyDescent="0.25">
      <c r="B112" s="524" t="str">
        <f>IF($AG112="","", VLOOKUP($AG112,TB_PROPOSTA!$B:$Y,3,FALSE))</f>
        <v/>
      </c>
      <c r="C112" s="525"/>
      <c r="D112" s="526" t="str">
        <f>IF($AG112="","",VLOOKUP($AG112,TB_PROPOSTA!$B:$Z,25,FALSE))</f>
        <v/>
      </c>
      <c r="E112" s="525"/>
      <c r="F112" s="526" t="str">
        <f>IF($AG112="","",VLOOKUP($AG112,TB_PROPOSTA!$B:$Z,5,FALSE))</f>
        <v/>
      </c>
      <c r="G112" s="525"/>
      <c r="H112" s="526" t="str">
        <f>IF($AG112="","",VLOOKUP($AG112,TB_PROPOSTA!$B:$Z, 6,FALSE))</f>
        <v/>
      </c>
      <c r="I112" s="525"/>
      <c r="J112" s="533" t="str">
        <f>IF($AG112="","",VLOOKUP($AG112,TB_PROPOSTA!$B:$Z, 24,FALSE))</f>
        <v/>
      </c>
      <c r="K112" s="534"/>
      <c r="L112" s="535"/>
      <c r="M112" s="533" t="str">
        <f>IF($AG112="","",VLOOKUP($AG112,TB_PROPOSTA!$B:$Z, 9,FALSE))</f>
        <v/>
      </c>
      <c r="N112" s="534"/>
      <c r="O112" s="534"/>
      <c r="P112" s="534"/>
      <c r="Q112" s="534"/>
      <c r="R112" s="534"/>
      <c r="S112" s="535"/>
      <c r="T112" s="533" t="str">
        <f>IF($AG112="","",VLOOKUP($AG112,TB_PROPOSTA!$B:$Z, 14,FALSE))</f>
        <v/>
      </c>
      <c r="U112" s="534"/>
      <c r="V112" s="534"/>
      <c r="W112" s="534"/>
      <c r="X112" s="534"/>
      <c r="Y112" s="535"/>
      <c r="Z112" s="513" t="str">
        <f>IF($AG112="","",VLOOKUP($AG112,TB_PROPOSTA!$B:$Z, 17,FALSE))</f>
        <v/>
      </c>
      <c r="AA112" s="557"/>
      <c r="AB112" s="513" t="str">
        <f>IF($AG112="","",VLOOKUP($AG112,TB_PROPOSTA!$B:$Z, 18,FALSE))</f>
        <v/>
      </c>
      <c r="AC112" s="557"/>
      <c r="AD112" s="513" t="str">
        <f>IF($AG112="","",VLOOKUP($AG112,TB_PROPOSTA!$B:$Z, 19,FALSE))</f>
        <v/>
      </c>
      <c r="AE112" s="514"/>
      <c r="AG112" s="84"/>
    </row>
    <row r="113" spans="2:33" x14ac:dyDescent="0.25">
      <c r="B113" s="524" t="str">
        <f>IF($AG113="","", VLOOKUP($AG113,TB_PROPOSTA!$B:$Y,3,FALSE))</f>
        <v/>
      </c>
      <c r="C113" s="525"/>
      <c r="D113" s="526" t="str">
        <f>IF($AG113="","",VLOOKUP($AG113,TB_PROPOSTA!$B:$Z,25,FALSE))</f>
        <v/>
      </c>
      <c r="E113" s="525"/>
      <c r="F113" s="526" t="str">
        <f>IF($AG113="","",VLOOKUP($AG113,TB_PROPOSTA!$B:$Z,5,FALSE))</f>
        <v/>
      </c>
      <c r="G113" s="525"/>
      <c r="H113" s="526" t="str">
        <f>IF($AG113="","",VLOOKUP($AG113,TB_PROPOSTA!$B:$Z, 6,FALSE))</f>
        <v/>
      </c>
      <c r="I113" s="525"/>
      <c r="J113" s="533" t="str">
        <f>IF($AG113="","",VLOOKUP($AG113,TB_PROPOSTA!$B:$Z, 24,FALSE))</f>
        <v/>
      </c>
      <c r="K113" s="534"/>
      <c r="L113" s="535"/>
      <c r="M113" s="533" t="str">
        <f>IF($AG113="","",VLOOKUP($AG113,TB_PROPOSTA!$B:$Z, 9,FALSE))</f>
        <v/>
      </c>
      <c r="N113" s="534"/>
      <c r="O113" s="534"/>
      <c r="P113" s="534"/>
      <c r="Q113" s="534"/>
      <c r="R113" s="534"/>
      <c r="S113" s="535"/>
      <c r="T113" s="533" t="str">
        <f>IF($AG113="","",VLOOKUP($AG113,TB_PROPOSTA!$B:$Z, 14,FALSE))</f>
        <v/>
      </c>
      <c r="U113" s="534"/>
      <c r="V113" s="534"/>
      <c r="W113" s="534"/>
      <c r="X113" s="534"/>
      <c r="Y113" s="535"/>
      <c r="Z113" s="513" t="str">
        <f>IF($AG113="","",VLOOKUP($AG113,TB_PROPOSTA!$B:$Z, 17,FALSE))</f>
        <v/>
      </c>
      <c r="AA113" s="557"/>
      <c r="AB113" s="513" t="str">
        <f>IF($AG113="","",VLOOKUP($AG113,TB_PROPOSTA!$B:$Z, 18,FALSE))</f>
        <v/>
      </c>
      <c r="AC113" s="557"/>
      <c r="AD113" s="513" t="str">
        <f>IF($AG113="","",VLOOKUP($AG113,TB_PROPOSTA!$B:$Z, 19,FALSE))</f>
        <v/>
      </c>
      <c r="AE113" s="514"/>
      <c r="AG113" s="84"/>
    </row>
    <row r="114" spans="2:33" x14ac:dyDescent="0.25">
      <c r="B114" s="524" t="str">
        <f>IF($AG114="","", VLOOKUP($AG114,TB_PROPOSTA!$B:$Y,3,FALSE))</f>
        <v/>
      </c>
      <c r="C114" s="525"/>
      <c r="D114" s="526" t="str">
        <f>IF($AG114="","",VLOOKUP($AG114,TB_PROPOSTA!$B:$Z,25,FALSE))</f>
        <v/>
      </c>
      <c r="E114" s="525"/>
      <c r="F114" s="526" t="str">
        <f>IF($AG114="","",VLOOKUP($AG114,TB_PROPOSTA!$B:$Z,5,FALSE))</f>
        <v/>
      </c>
      <c r="G114" s="525"/>
      <c r="H114" s="526" t="str">
        <f>IF($AG114="","",VLOOKUP($AG114,TB_PROPOSTA!$B:$Z, 6,FALSE))</f>
        <v/>
      </c>
      <c r="I114" s="525"/>
      <c r="J114" s="533" t="str">
        <f>IF($AG114="","",VLOOKUP($AG114,TB_PROPOSTA!$B:$Z, 24,FALSE))</f>
        <v/>
      </c>
      <c r="K114" s="534"/>
      <c r="L114" s="535"/>
      <c r="M114" s="533" t="str">
        <f>IF($AG114="","",VLOOKUP($AG114,TB_PROPOSTA!$B:$Z, 9,FALSE))</f>
        <v/>
      </c>
      <c r="N114" s="534"/>
      <c r="O114" s="534"/>
      <c r="P114" s="534"/>
      <c r="Q114" s="534"/>
      <c r="R114" s="534"/>
      <c r="S114" s="535"/>
      <c r="T114" s="533" t="str">
        <f>IF($AG114="","",VLOOKUP($AG114,TB_PROPOSTA!$B:$Z, 14,FALSE))</f>
        <v/>
      </c>
      <c r="U114" s="534"/>
      <c r="V114" s="534"/>
      <c r="W114" s="534"/>
      <c r="X114" s="534"/>
      <c r="Y114" s="535"/>
      <c r="Z114" s="513" t="str">
        <f>IF($AG114="","",VLOOKUP($AG114,TB_PROPOSTA!$B:$Z, 17,FALSE))</f>
        <v/>
      </c>
      <c r="AA114" s="557"/>
      <c r="AB114" s="513" t="str">
        <f>IF($AG114="","",VLOOKUP($AG114,TB_PROPOSTA!$B:$Z, 18,FALSE))</f>
        <v/>
      </c>
      <c r="AC114" s="557"/>
      <c r="AD114" s="513" t="str">
        <f>IF($AG114="","",VLOOKUP($AG114,TB_PROPOSTA!$B:$Z, 19,FALSE))</f>
        <v/>
      </c>
      <c r="AE114" s="514"/>
      <c r="AG114" s="84"/>
    </row>
    <row r="115" spans="2:33" x14ac:dyDescent="0.25">
      <c r="B115" s="524" t="str">
        <f>IF($AG115="","", VLOOKUP($AG115,TB_PROPOSTA!$B:$Y,3,FALSE))</f>
        <v/>
      </c>
      <c r="C115" s="525"/>
      <c r="D115" s="526" t="str">
        <f>IF($AG115="","",VLOOKUP($AG115,TB_PROPOSTA!$B:$Z,25,FALSE))</f>
        <v/>
      </c>
      <c r="E115" s="525"/>
      <c r="F115" s="526" t="str">
        <f>IF($AG115="","",VLOOKUP($AG115,TB_PROPOSTA!$B:$Z,5,FALSE))</f>
        <v/>
      </c>
      <c r="G115" s="525"/>
      <c r="H115" s="526" t="str">
        <f>IF($AG115="","",VLOOKUP($AG115,TB_PROPOSTA!$B:$Z, 6,FALSE))</f>
        <v/>
      </c>
      <c r="I115" s="525"/>
      <c r="J115" s="533" t="str">
        <f>IF($AG115="","",VLOOKUP($AG115,TB_PROPOSTA!$B:$Z, 24,FALSE))</f>
        <v/>
      </c>
      <c r="K115" s="534"/>
      <c r="L115" s="535"/>
      <c r="M115" s="533" t="str">
        <f>IF($AG115="","",VLOOKUP($AG115,TB_PROPOSTA!$B:$Z, 9,FALSE))</f>
        <v/>
      </c>
      <c r="N115" s="534"/>
      <c r="O115" s="534"/>
      <c r="P115" s="534"/>
      <c r="Q115" s="534"/>
      <c r="R115" s="534"/>
      <c r="S115" s="535"/>
      <c r="T115" s="533" t="str">
        <f>IF($AG115="","",VLOOKUP($AG115,TB_PROPOSTA!$B:$Z, 14,FALSE))</f>
        <v/>
      </c>
      <c r="U115" s="534"/>
      <c r="V115" s="534"/>
      <c r="W115" s="534"/>
      <c r="X115" s="534"/>
      <c r="Y115" s="535"/>
      <c r="Z115" s="513" t="str">
        <f>IF($AG115="","",VLOOKUP($AG115,TB_PROPOSTA!$B:$Z, 17,FALSE))</f>
        <v/>
      </c>
      <c r="AA115" s="557"/>
      <c r="AB115" s="513" t="str">
        <f>IF($AG115="","",VLOOKUP($AG115,TB_PROPOSTA!$B:$Z, 18,FALSE))</f>
        <v/>
      </c>
      <c r="AC115" s="557"/>
      <c r="AD115" s="513" t="str">
        <f>IF($AG115="","",VLOOKUP($AG115,TB_PROPOSTA!$B:$Z, 19,FALSE))</f>
        <v/>
      </c>
      <c r="AE115" s="514"/>
      <c r="AG115" s="84"/>
    </row>
    <row r="116" spans="2:33" x14ac:dyDescent="0.25">
      <c r="B116" s="558" t="s">
        <v>841</v>
      </c>
      <c r="C116" s="559"/>
      <c r="D116" s="559"/>
      <c r="E116" s="559"/>
      <c r="F116" s="559"/>
      <c r="G116" s="559"/>
      <c r="H116" s="559"/>
      <c r="I116" s="559"/>
      <c r="J116" s="533" t="s">
        <v>927</v>
      </c>
      <c r="K116" s="534"/>
      <c r="L116" s="535"/>
      <c r="M116" s="533" t="s">
        <v>927</v>
      </c>
      <c r="N116" s="534"/>
      <c r="O116" s="534"/>
      <c r="P116" s="534"/>
      <c r="Q116" s="534"/>
      <c r="R116" s="534"/>
      <c r="S116" s="535"/>
      <c r="T116" s="560" t="s">
        <v>927</v>
      </c>
      <c r="U116" s="560"/>
      <c r="V116" s="560"/>
      <c r="W116" s="560"/>
      <c r="X116" s="560"/>
      <c r="Y116" s="560"/>
      <c r="Z116" s="550">
        <f xml:space="preserve"> Z117- SUM(Z86:AA115)</f>
        <v>0</v>
      </c>
      <c r="AA116" s="550"/>
      <c r="AB116" s="561" t="s">
        <v>958</v>
      </c>
      <c r="AC116" s="562"/>
      <c r="AD116" s="550">
        <f>AD117- SUM(AD86:AE115)</f>
        <v>0</v>
      </c>
      <c r="AE116" s="551"/>
    </row>
    <row r="117" spans="2:33" ht="15" customHeight="1" x14ac:dyDescent="0.25">
      <c r="B117" s="66"/>
      <c r="C117" s="70"/>
      <c r="D117" s="70"/>
      <c r="E117" s="70"/>
      <c r="F117" s="70"/>
      <c r="G117" s="70"/>
      <c r="H117" s="70"/>
      <c r="I117" s="70"/>
      <c r="J117" s="70"/>
      <c r="K117" s="70"/>
      <c r="L117" s="70"/>
      <c r="M117" s="70"/>
      <c r="N117" s="70"/>
      <c r="O117" s="70"/>
      <c r="P117" s="70"/>
      <c r="Q117" s="70"/>
      <c r="R117" s="70"/>
      <c r="S117" s="70"/>
      <c r="T117" s="70"/>
      <c r="U117" s="70"/>
      <c r="V117" s="70"/>
      <c r="W117" s="70"/>
      <c r="X117" s="70"/>
      <c r="Y117" s="75" t="s">
        <v>842</v>
      </c>
      <c r="Z117" s="552">
        <f>TB_PROPOSTA!A13</f>
        <v>167.09</v>
      </c>
      <c r="AA117" s="553"/>
      <c r="AB117" s="552" t="s">
        <v>282</v>
      </c>
      <c r="AC117" s="553"/>
      <c r="AD117" s="554">
        <f>TB_PROPOSTA!A9</f>
        <v>14787.465</v>
      </c>
      <c r="AE117" s="555"/>
    </row>
    <row r="118" spans="2:33" ht="15.75" x14ac:dyDescent="0.25">
      <c r="B118" s="139" t="s">
        <v>843</v>
      </c>
      <c r="C118" s="70"/>
      <c r="D118" s="70"/>
      <c r="E118" s="70"/>
      <c r="F118" s="70"/>
      <c r="G118" s="70"/>
      <c r="H118" s="70"/>
      <c r="I118" s="70"/>
      <c r="J118" s="70"/>
      <c r="K118" s="70"/>
      <c r="L118" s="70"/>
      <c r="M118" s="70"/>
      <c r="N118" s="70"/>
      <c r="O118" s="70"/>
      <c r="P118" s="70"/>
      <c r="Q118" s="70"/>
      <c r="R118" s="70"/>
      <c r="S118" s="70"/>
      <c r="T118" s="70"/>
      <c r="U118" s="70"/>
      <c r="V118" s="70"/>
      <c r="W118" s="70"/>
      <c r="X118" s="70"/>
      <c r="Y118" s="70"/>
      <c r="Z118" s="74"/>
      <c r="AA118" s="74"/>
      <c r="AB118" s="74"/>
      <c r="AC118" s="74"/>
      <c r="AD118" s="74"/>
      <c r="AE118" s="132"/>
    </row>
    <row r="119" spans="2:33" ht="27" customHeight="1" thickBot="1" x14ac:dyDescent="0.25">
      <c r="B119" s="556" t="s">
        <v>838</v>
      </c>
      <c r="C119" s="536"/>
      <c r="D119" s="536" t="s">
        <v>839</v>
      </c>
      <c r="E119" s="536"/>
      <c r="F119" s="536" t="s">
        <v>450</v>
      </c>
      <c r="G119" s="536"/>
      <c r="H119" s="536" t="s">
        <v>59</v>
      </c>
      <c r="I119" s="536"/>
      <c r="J119" s="536" t="s">
        <v>42</v>
      </c>
      <c r="K119" s="536"/>
      <c r="L119" s="536"/>
      <c r="M119" s="536" t="s">
        <v>840</v>
      </c>
      <c r="N119" s="536"/>
      <c r="O119" s="536"/>
      <c r="P119" s="536"/>
      <c r="Q119" s="536"/>
      <c r="R119" s="536"/>
      <c r="S119" s="536"/>
      <c r="T119" s="536"/>
      <c r="U119" s="536"/>
      <c r="V119" s="536" t="s">
        <v>277</v>
      </c>
      <c r="W119" s="536"/>
      <c r="X119" s="536"/>
      <c r="Y119" s="536"/>
      <c r="Z119" s="536"/>
      <c r="AA119" s="536"/>
      <c r="AB119" s="536"/>
      <c r="AC119" s="536"/>
      <c r="AD119" s="536" t="s">
        <v>56</v>
      </c>
      <c r="AE119" s="537"/>
      <c r="AG119" s="82" t="s">
        <v>926</v>
      </c>
    </row>
    <row r="120" spans="2:33" ht="13.5" thickTop="1" x14ac:dyDescent="0.25">
      <c r="B120" s="538" t="str">
        <f>IF($AG120="","", VLOOKUP($AG120,TB_PROPOSTA!$B:$Y,3,FALSE))</f>
        <v/>
      </c>
      <c r="C120" s="539"/>
      <c r="D120" s="540" t="str">
        <f>IF($AG120="","",VLOOKUP($AG120,TB_PROPOSTA!$B:$Z,25,FALSE))</f>
        <v/>
      </c>
      <c r="E120" s="539"/>
      <c r="F120" s="540" t="str">
        <f>IF($AG120="","",VLOOKUP($AG120,TB_PROPOSTA!$B:$Z,5,FALSE))</f>
        <v/>
      </c>
      <c r="G120" s="539"/>
      <c r="H120" s="540" t="str">
        <f>IF($AG120="","",VLOOKUP($AG120,TB_PROPOSTA!$B:$Z, 6,FALSE))</f>
        <v/>
      </c>
      <c r="I120" s="539"/>
      <c r="J120" s="541" t="str">
        <f>IF($AG120="","",VLOOKUP($AG120,TB_PROPOSTA!$B:$Z, 24,FALSE))</f>
        <v/>
      </c>
      <c r="K120" s="542"/>
      <c r="L120" s="543"/>
      <c r="M120" s="544" t="str">
        <f>IF($AG120="", "", VLOOKUP($AG120, TB_PROPOSTA!$B:$Z, 22,FALSE)  )</f>
        <v/>
      </c>
      <c r="N120" s="545"/>
      <c r="O120" s="545"/>
      <c r="P120" s="545"/>
      <c r="Q120" s="545"/>
      <c r="R120" s="545"/>
      <c r="S120" s="545"/>
      <c r="T120" s="545"/>
      <c r="U120" s="546"/>
      <c r="V120" s="547" t="str">
        <f>IF($AG120="", "", VLOOKUP($AG120, TB_PROPOSTA!$B:$Z, 21,FALSE)  )</f>
        <v/>
      </c>
      <c r="W120" s="547"/>
      <c r="X120" s="547"/>
      <c r="Y120" s="547"/>
      <c r="Z120" s="547"/>
      <c r="AA120" s="547"/>
      <c r="AB120" s="547"/>
      <c r="AC120" s="547"/>
      <c r="AD120" s="548" t="str">
        <f>IF($AG120="","",VLOOKUP($AG120,TB_PROPOSTA!$B:$Z, 19,FALSE))</f>
        <v/>
      </c>
      <c r="AE120" s="549"/>
      <c r="AG120" s="84"/>
    </row>
    <row r="121" spans="2:33" x14ac:dyDescent="0.25">
      <c r="B121" s="524" t="str">
        <f>IF($AG121="","", VLOOKUP($AG121,TB_PROPOSTA!$B:$Y,3,FALSE))</f>
        <v/>
      </c>
      <c r="C121" s="525"/>
      <c r="D121" s="526" t="str">
        <f>IF($AG121="","",VLOOKUP($AG121,TB_PROPOSTA!$B:$Z,25,FALSE))</f>
        <v/>
      </c>
      <c r="E121" s="525"/>
      <c r="F121" s="526" t="str">
        <f>IF($AG121="","",VLOOKUP($AG121,TB_PROPOSTA!$B:$Z,5,FALSE))</f>
        <v/>
      </c>
      <c r="G121" s="525"/>
      <c r="H121" s="526" t="str">
        <f>IF($AG121="","",VLOOKUP($AG121,TB_PROPOSTA!$B:$Z, 6,FALSE))</f>
        <v/>
      </c>
      <c r="I121" s="525"/>
      <c r="J121" s="533" t="str">
        <f>IF($AG121="","",VLOOKUP($AG121,TB_PROPOSTA!$B:$Z, 24,FALSE))</f>
        <v/>
      </c>
      <c r="K121" s="534"/>
      <c r="L121" s="535"/>
      <c r="M121" s="530" t="str">
        <f>IF($AG121="", "", VLOOKUP($AG121, TB_PROPOSTA!$B:$Z, 22,FALSE)  )</f>
        <v/>
      </c>
      <c r="N121" s="531"/>
      <c r="O121" s="531"/>
      <c r="P121" s="531"/>
      <c r="Q121" s="531"/>
      <c r="R121" s="531"/>
      <c r="S121" s="531"/>
      <c r="T121" s="531"/>
      <c r="U121" s="532"/>
      <c r="V121" s="512" t="str">
        <f>IF($AG121="", "", VLOOKUP($AG121, TB_PROPOSTA!$B:$Z, 21,FALSE)  )</f>
        <v/>
      </c>
      <c r="W121" s="512"/>
      <c r="X121" s="512"/>
      <c r="Y121" s="512"/>
      <c r="Z121" s="512"/>
      <c r="AA121" s="512"/>
      <c r="AB121" s="512"/>
      <c r="AC121" s="512"/>
      <c r="AD121" s="513" t="str">
        <f>IF($AG121="","",VLOOKUP($AG121,TB_PROPOSTA!$B:$Z, 19,FALSE))</f>
        <v/>
      </c>
      <c r="AE121" s="514"/>
      <c r="AG121" s="84"/>
    </row>
    <row r="122" spans="2:33" x14ac:dyDescent="0.25">
      <c r="B122" s="524" t="str">
        <f>IF($AG122="","", VLOOKUP($AG122,TB_PROPOSTA!$B:$Y,3,FALSE))</f>
        <v/>
      </c>
      <c r="C122" s="525"/>
      <c r="D122" s="526" t="str">
        <f>IF($AG122="","",VLOOKUP($AG122,TB_PROPOSTA!$B:$Z,25,FALSE))</f>
        <v/>
      </c>
      <c r="E122" s="525"/>
      <c r="F122" s="526" t="str">
        <f>IF($AG122="","",VLOOKUP($AG122,TB_PROPOSTA!$B:$Z,5,FALSE))</f>
        <v/>
      </c>
      <c r="G122" s="525"/>
      <c r="H122" s="526" t="str">
        <f>IF($AG122="","",VLOOKUP($AG122,TB_PROPOSTA!$B:$Z, 6,FALSE))</f>
        <v/>
      </c>
      <c r="I122" s="525"/>
      <c r="J122" s="533" t="str">
        <f>IF($AG122="","",VLOOKUP($AG122,TB_PROPOSTA!$B:$Z, 24,FALSE))</f>
        <v/>
      </c>
      <c r="K122" s="534"/>
      <c r="L122" s="535"/>
      <c r="M122" s="530" t="str">
        <f>IF($AG122="", "", VLOOKUP($AG122, TB_PROPOSTA!$B:$Z, 22,FALSE)  )</f>
        <v/>
      </c>
      <c r="N122" s="531"/>
      <c r="O122" s="531"/>
      <c r="P122" s="531"/>
      <c r="Q122" s="531"/>
      <c r="R122" s="531"/>
      <c r="S122" s="531"/>
      <c r="T122" s="531"/>
      <c r="U122" s="532"/>
      <c r="V122" s="512" t="str">
        <f>IF($AG122="", "", VLOOKUP($AG122, TB_PROPOSTA!$B:$Z, 21,FALSE)  )</f>
        <v/>
      </c>
      <c r="W122" s="512"/>
      <c r="X122" s="512"/>
      <c r="Y122" s="512"/>
      <c r="Z122" s="512"/>
      <c r="AA122" s="512"/>
      <c r="AB122" s="512"/>
      <c r="AC122" s="512"/>
      <c r="AD122" s="513" t="str">
        <f>IF($AG122="","",VLOOKUP($AG122,TB_PROPOSTA!$B:$Z, 19,FALSE))</f>
        <v/>
      </c>
      <c r="AE122" s="514"/>
      <c r="AG122" s="84"/>
    </row>
    <row r="123" spans="2:33" x14ac:dyDescent="0.25">
      <c r="B123" s="524" t="str">
        <f>IF($AG123="","", VLOOKUP($AG123,TB_PROPOSTA!$B:$Y,3,FALSE))</f>
        <v/>
      </c>
      <c r="C123" s="525"/>
      <c r="D123" s="526" t="str">
        <f>IF($AG123="","",VLOOKUP($AG123,TB_PROPOSTA!$B:$Z,25,FALSE))</f>
        <v/>
      </c>
      <c r="E123" s="525"/>
      <c r="F123" s="526" t="str">
        <f>IF($AG123="","",VLOOKUP($AG123,TB_PROPOSTA!$B:$Z,5,FALSE))</f>
        <v/>
      </c>
      <c r="G123" s="525"/>
      <c r="H123" s="526" t="str">
        <f>IF($AG123="","",VLOOKUP($AG123,TB_PROPOSTA!$B:$Z, 6,FALSE))</f>
        <v/>
      </c>
      <c r="I123" s="525"/>
      <c r="J123" s="533" t="str">
        <f>IF($AG123="","",VLOOKUP($AG123,TB_PROPOSTA!$B:$Z, 24,FALSE))</f>
        <v/>
      </c>
      <c r="K123" s="534"/>
      <c r="L123" s="535"/>
      <c r="M123" s="530" t="str">
        <f>IF($AG123="", "", VLOOKUP($AG123, TB_PROPOSTA!$B:$Z, 22,FALSE)  )</f>
        <v/>
      </c>
      <c r="N123" s="531"/>
      <c r="O123" s="531"/>
      <c r="P123" s="531"/>
      <c r="Q123" s="531"/>
      <c r="R123" s="531"/>
      <c r="S123" s="531"/>
      <c r="T123" s="531"/>
      <c r="U123" s="532"/>
      <c r="V123" s="512" t="str">
        <f>IF($AG123="", "", VLOOKUP($AG123, TB_PROPOSTA!$B:$Z, 21,FALSE)  )</f>
        <v/>
      </c>
      <c r="W123" s="512"/>
      <c r="X123" s="512"/>
      <c r="Y123" s="512"/>
      <c r="Z123" s="512"/>
      <c r="AA123" s="512"/>
      <c r="AB123" s="512"/>
      <c r="AC123" s="512"/>
      <c r="AD123" s="513" t="str">
        <f>IF($AG123="","",VLOOKUP($AG123,TB_PROPOSTA!$B:$Z, 19,FALSE))</f>
        <v/>
      </c>
      <c r="AE123" s="514"/>
      <c r="AG123" s="84"/>
    </row>
    <row r="124" spans="2:33" x14ac:dyDescent="0.25">
      <c r="B124" s="524" t="str">
        <f>IF($AG124="","", VLOOKUP($AG124,TB_PROPOSTA!$B:$Y,3,FALSE))</f>
        <v/>
      </c>
      <c r="C124" s="525"/>
      <c r="D124" s="526" t="str">
        <f>IF($AG124="","",VLOOKUP($AG124,TB_PROPOSTA!$B:$Z,25,FALSE))</f>
        <v/>
      </c>
      <c r="E124" s="525"/>
      <c r="F124" s="526" t="str">
        <f>IF($AG124="","",VLOOKUP($AG124,TB_PROPOSTA!$B:$Z,5,FALSE))</f>
        <v/>
      </c>
      <c r="G124" s="525"/>
      <c r="H124" s="526" t="str">
        <f>IF($AG124="","",VLOOKUP($AG124,TB_PROPOSTA!$B:$Z, 6,FALSE))</f>
        <v/>
      </c>
      <c r="I124" s="525"/>
      <c r="J124" s="533" t="str">
        <f>IF($AG124="","",VLOOKUP($AG124,TB_PROPOSTA!$B:$Z, 24,FALSE))</f>
        <v/>
      </c>
      <c r="K124" s="534"/>
      <c r="L124" s="535"/>
      <c r="M124" s="530" t="str">
        <f>IF($AG124="", "", VLOOKUP($AG124, TB_PROPOSTA!$B:$Z, 22,FALSE)  )</f>
        <v/>
      </c>
      <c r="N124" s="531"/>
      <c r="O124" s="531"/>
      <c r="P124" s="531"/>
      <c r="Q124" s="531"/>
      <c r="R124" s="531"/>
      <c r="S124" s="531"/>
      <c r="T124" s="531"/>
      <c r="U124" s="532"/>
      <c r="V124" s="512" t="str">
        <f>IF($AG124="", "", VLOOKUP($AG124, TB_PROPOSTA!$B:$Z, 21,FALSE)  )</f>
        <v/>
      </c>
      <c r="W124" s="512"/>
      <c r="X124" s="512"/>
      <c r="Y124" s="512"/>
      <c r="Z124" s="512"/>
      <c r="AA124" s="512"/>
      <c r="AB124" s="512"/>
      <c r="AC124" s="512"/>
      <c r="AD124" s="513" t="str">
        <f>IF($AG124="","",VLOOKUP($AG124,TB_PROPOSTA!$B:$Z, 19,FALSE))</f>
        <v/>
      </c>
      <c r="AE124" s="514"/>
      <c r="AG124" s="84"/>
    </row>
    <row r="125" spans="2:33" x14ac:dyDescent="0.25">
      <c r="B125" s="524" t="str">
        <f>IF($AG125="","", VLOOKUP($AG125,TB_PROPOSTA!$B:$Y,3,FALSE))</f>
        <v/>
      </c>
      <c r="C125" s="525"/>
      <c r="D125" s="526" t="str">
        <f>IF($AG125="","",VLOOKUP($AG125,TB_PROPOSTA!$B:$Z,25,FALSE))</f>
        <v/>
      </c>
      <c r="E125" s="525"/>
      <c r="F125" s="526" t="str">
        <f>IF($AG125="","",VLOOKUP($AG125,TB_PROPOSTA!$B:$Z,5,FALSE))</f>
        <v/>
      </c>
      <c r="G125" s="525"/>
      <c r="H125" s="526" t="str">
        <f>IF($AG125="","",VLOOKUP($AG125,TB_PROPOSTA!$B:$Z, 6,FALSE))</f>
        <v/>
      </c>
      <c r="I125" s="525"/>
      <c r="J125" s="533" t="str">
        <f>IF($AG125="","",VLOOKUP($AG125,TB_PROPOSTA!$B:$Z, 24,FALSE))</f>
        <v/>
      </c>
      <c r="K125" s="534"/>
      <c r="L125" s="535"/>
      <c r="M125" s="530" t="str">
        <f>IF($AG125="", "", VLOOKUP($AG125, TB_PROPOSTA!$B:$Z, 22,FALSE)  )</f>
        <v/>
      </c>
      <c r="N125" s="531"/>
      <c r="O125" s="531"/>
      <c r="P125" s="531"/>
      <c r="Q125" s="531"/>
      <c r="R125" s="531"/>
      <c r="S125" s="531"/>
      <c r="T125" s="531"/>
      <c r="U125" s="532"/>
      <c r="V125" s="512" t="str">
        <f>IF($AG125="", "", VLOOKUP($AG125, TB_PROPOSTA!$B:$Z, 21,FALSE)  )</f>
        <v/>
      </c>
      <c r="W125" s="512"/>
      <c r="X125" s="512"/>
      <c r="Y125" s="512"/>
      <c r="Z125" s="512"/>
      <c r="AA125" s="512"/>
      <c r="AB125" s="512"/>
      <c r="AC125" s="512"/>
      <c r="AD125" s="513" t="str">
        <f>IF($AG125="","",VLOOKUP($AG125,TB_PROPOSTA!$B:$Z, 19,FALSE))</f>
        <v/>
      </c>
      <c r="AE125" s="514"/>
      <c r="AG125" s="84"/>
    </row>
    <row r="126" spans="2:33" x14ac:dyDescent="0.25">
      <c r="B126" s="524" t="str">
        <f>IF($AG126="","", VLOOKUP($AG126,TB_PROPOSTA!$B:$Y,3,FALSE))</f>
        <v/>
      </c>
      <c r="C126" s="525"/>
      <c r="D126" s="526" t="str">
        <f>IF($AG126="","",VLOOKUP($AG126,TB_PROPOSTA!$B:$Z,25,FALSE))</f>
        <v/>
      </c>
      <c r="E126" s="525"/>
      <c r="F126" s="526" t="str">
        <f>IF($AG126="","",VLOOKUP($AG126,TB_PROPOSTA!$B:$Z,5,FALSE))</f>
        <v/>
      </c>
      <c r="G126" s="525"/>
      <c r="H126" s="526" t="str">
        <f>IF($AG126="","",VLOOKUP($AG126,TB_PROPOSTA!$B:$Z, 6,FALSE))</f>
        <v/>
      </c>
      <c r="I126" s="525"/>
      <c r="J126" s="533" t="str">
        <f>IF($AG126="","",VLOOKUP($AG126,TB_PROPOSTA!$B:$Z, 24,FALSE))</f>
        <v/>
      </c>
      <c r="K126" s="534"/>
      <c r="L126" s="535"/>
      <c r="M126" s="530" t="str">
        <f>IF($AG126="", "", VLOOKUP($AG126, TB_PROPOSTA!$B:$Z, 22,FALSE)  )</f>
        <v/>
      </c>
      <c r="N126" s="531"/>
      <c r="O126" s="531"/>
      <c r="P126" s="531"/>
      <c r="Q126" s="531"/>
      <c r="R126" s="531"/>
      <c r="S126" s="531"/>
      <c r="T126" s="531"/>
      <c r="U126" s="532"/>
      <c r="V126" s="512" t="str">
        <f>IF($AG126="", "", VLOOKUP($AG126, TB_PROPOSTA!$B:$Z, 21,FALSE)  )</f>
        <v/>
      </c>
      <c r="W126" s="512"/>
      <c r="X126" s="512"/>
      <c r="Y126" s="512"/>
      <c r="Z126" s="512"/>
      <c r="AA126" s="512"/>
      <c r="AB126" s="512"/>
      <c r="AC126" s="512"/>
      <c r="AD126" s="513" t="str">
        <f>IF($AG126="","",VLOOKUP($AG126,TB_PROPOSTA!$B:$Z, 19,FALSE))</f>
        <v/>
      </c>
      <c r="AE126" s="514"/>
      <c r="AG126" s="84"/>
    </row>
    <row r="127" spans="2:33" x14ac:dyDescent="0.25">
      <c r="B127" s="524" t="str">
        <f>IF($AG127="","", VLOOKUP($AG127,TB_PROPOSTA!$B:$Y,3,FALSE))</f>
        <v/>
      </c>
      <c r="C127" s="525"/>
      <c r="D127" s="526" t="str">
        <f>IF($AG127="","",VLOOKUP($AG127,TB_PROPOSTA!$B:$Z,25,FALSE))</f>
        <v/>
      </c>
      <c r="E127" s="525"/>
      <c r="F127" s="526" t="str">
        <f>IF($AG127="","",VLOOKUP($AG127,TB_PROPOSTA!$B:$Z,5,FALSE))</f>
        <v/>
      </c>
      <c r="G127" s="525"/>
      <c r="H127" s="526" t="str">
        <f>IF($AG127="","",VLOOKUP($AG127,TB_PROPOSTA!$B:$Z, 6,FALSE))</f>
        <v/>
      </c>
      <c r="I127" s="525"/>
      <c r="J127" s="533" t="str">
        <f>IF($AG127="","",VLOOKUP($AG127,TB_PROPOSTA!$B:$Z, 24,FALSE))</f>
        <v/>
      </c>
      <c r="K127" s="534"/>
      <c r="L127" s="535"/>
      <c r="M127" s="530" t="str">
        <f>IF($AG127="", "", VLOOKUP($AG127, TB_PROPOSTA!$B:$Z, 22,FALSE)  )</f>
        <v/>
      </c>
      <c r="N127" s="531"/>
      <c r="O127" s="531"/>
      <c r="P127" s="531"/>
      <c r="Q127" s="531"/>
      <c r="R127" s="531"/>
      <c r="S127" s="531"/>
      <c r="T127" s="531"/>
      <c r="U127" s="532"/>
      <c r="V127" s="512" t="str">
        <f>IF($AG127="", "", VLOOKUP($AG127, TB_PROPOSTA!$B:$Z, 21,FALSE)  )</f>
        <v/>
      </c>
      <c r="W127" s="512"/>
      <c r="X127" s="512"/>
      <c r="Y127" s="512"/>
      <c r="Z127" s="512"/>
      <c r="AA127" s="512"/>
      <c r="AB127" s="512"/>
      <c r="AC127" s="512"/>
      <c r="AD127" s="513" t="str">
        <f>IF($AG127="","",VLOOKUP($AG127,TB_PROPOSTA!$B:$Z, 19,FALSE))</f>
        <v/>
      </c>
      <c r="AE127" s="514"/>
      <c r="AG127" s="84"/>
    </row>
    <row r="128" spans="2:33" x14ac:dyDescent="0.25">
      <c r="B128" s="524" t="str">
        <f>IF($AG128="","", VLOOKUP($AG128,TB_PROPOSTA!$B:$Y,3,FALSE))</f>
        <v/>
      </c>
      <c r="C128" s="525"/>
      <c r="D128" s="526" t="str">
        <f>IF($AG128="","",VLOOKUP($AG128,TB_PROPOSTA!$B:$Z,25,FALSE))</f>
        <v/>
      </c>
      <c r="E128" s="525"/>
      <c r="F128" s="526" t="str">
        <f>IF($AG128="","",VLOOKUP($AG128,TB_PROPOSTA!$B:$Z,5,FALSE))</f>
        <v/>
      </c>
      <c r="G128" s="525"/>
      <c r="H128" s="526" t="str">
        <f>IF($AG128="","",VLOOKUP($AG128,TB_PROPOSTA!$B:$Z, 6,FALSE))</f>
        <v/>
      </c>
      <c r="I128" s="525"/>
      <c r="J128" s="533" t="str">
        <f>IF($AG128="","",VLOOKUP($AG128,TB_PROPOSTA!$B:$Z, 24,FALSE))</f>
        <v/>
      </c>
      <c r="K128" s="534"/>
      <c r="L128" s="535"/>
      <c r="M128" s="530" t="str">
        <f>IF($AG128="", "", VLOOKUP($AG128, TB_PROPOSTA!$B:$Z, 22,FALSE)  )</f>
        <v/>
      </c>
      <c r="N128" s="531"/>
      <c r="O128" s="531"/>
      <c r="P128" s="531"/>
      <c r="Q128" s="531"/>
      <c r="R128" s="531"/>
      <c r="S128" s="531"/>
      <c r="T128" s="531"/>
      <c r="U128" s="532"/>
      <c r="V128" s="512" t="str">
        <f>IF($AG128="", "", VLOOKUP($AG128, TB_PROPOSTA!$B:$Z, 21,FALSE)  )</f>
        <v/>
      </c>
      <c r="W128" s="512"/>
      <c r="X128" s="512"/>
      <c r="Y128" s="512"/>
      <c r="Z128" s="512"/>
      <c r="AA128" s="512"/>
      <c r="AB128" s="512"/>
      <c r="AC128" s="512"/>
      <c r="AD128" s="513" t="str">
        <f>IF($AG128="","",VLOOKUP($AG128,TB_PROPOSTA!$B:$Z, 19,FALSE))</f>
        <v/>
      </c>
      <c r="AE128" s="514"/>
      <c r="AG128" s="84"/>
    </row>
    <row r="129" spans="2:33" x14ac:dyDescent="0.25">
      <c r="B129" s="524" t="str">
        <f>IF($AG129="","", VLOOKUP($AG129,TB_PROPOSTA!$B:$Y,3,FALSE))</f>
        <v/>
      </c>
      <c r="C129" s="525"/>
      <c r="D129" s="526" t="str">
        <f>IF($AG129="","",VLOOKUP($AG129,TB_PROPOSTA!$B:$Z,25,FALSE))</f>
        <v/>
      </c>
      <c r="E129" s="525"/>
      <c r="F129" s="526" t="str">
        <f>IF($AG129="","",VLOOKUP($AG129,TB_PROPOSTA!$B:$Z,5,FALSE))</f>
        <v/>
      </c>
      <c r="G129" s="525"/>
      <c r="H129" s="526" t="str">
        <f>IF($AG129="","",VLOOKUP($AG129,TB_PROPOSTA!$B:$Z, 6,FALSE))</f>
        <v/>
      </c>
      <c r="I129" s="525"/>
      <c r="J129" s="533" t="str">
        <f>IF($AG129="","",VLOOKUP($AG129,TB_PROPOSTA!$B:$Z, 24,FALSE))</f>
        <v/>
      </c>
      <c r="K129" s="534"/>
      <c r="L129" s="535"/>
      <c r="M129" s="530" t="str">
        <f>IF($AG129="", "", VLOOKUP($AG129, TB_PROPOSTA!$B:$Z, 22,FALSE)  )</f>
        <v/>
      </c>
      <c r="N129" s="531"/>
      <c r="O129" s="531"/>
      <c r="P129" s="531"/>
      <c r="Q129" s="531"/>
      <c r="R129" s="531"/>
      <c r="S129" s="531"/>
      <c r="T129" s="531"/>
      <c r="U129" s="532"/>
      <c r="V129" s="512" t="str">
        <f>IF($AG129="", "", VLOOKUP($AG129, TB_PROPOSTA!$B:$Z, 21,FALSE)  )</f>
        <v/>
      </c>
      <c r="W129" s="512"/>
      <c r="X129" s="512"/>
      <c r="Y129" s="512"/>
      <c r="Z129" s="512"/>
      <c r="AA129" s="512"/>
      <c r="AB129" s="512"/>
      <c r="AC129" s="512"/>
      <c r="AD129" s="513" t="str">
        <f>IF($AG129="","",VLOOKUP($AG129,TB_PROPOSTA!$B:$Z, 19,FALSE))</f>
        <v/>
      </c>
      <c r="AE129" s="514"/>
      <c r="AG129" s="84"/>
    </row>
    <row r="130" spans="2:33" x14ac:dyDescent="0.25">
      <c r="B130" s="524" t="str">
        <f>IF($AG130="","", VLOOKUP($AG130,TB_PROPOSTA!$B:$Y,3,FALSE))</f>
        <v/>
      </c>
      <c r="C130" s="525"/>
      <c r="D130" s="526" t="str">
        <f>IF($AG130="","",VLOOKUP($AG130,TB_PROPOSTA!$B:$Z,25,FALSE))</f>
        <v/>
      </c>
      <c r="E130" s="525"/>
      <c r="F130" s="526" t="str">
        <f>IF($AG130="","",VLOOKUP($AG130,TB_PROPOSTA!$B:$Z,5,FALSE))</f>
        <v/>
      </c>
      <c r="G130" s="525"/>
      <c r="H130" s="526" t="str">
        <f>IF($AG130="","",VLOOKUP($AG130,TB_PROPOSTA!$B:$Z, 6,FALSE))</f>
        <v/>
      </c>
      <c r="I130" s="525"/>
      <c r="J130" s="533" t="str">
        <f>IF($AG130="","",VLOOKUP($AG130,TB_PROPOSTA!$B:$Z, 24,FALSE))</f>
        <v/>
      </c>
      <c r="K130" s="534"/>
      <c r="L130" s="535"/>
      <c r="M130" s="530" t="str">
        <f>IF($AG130="", "", VLOOKUP($AG130, TB_PROPOSTA!$B:$Z, 22,FALSE)  )</f>
        <v/>
      </c>
      <c r="N130" s="531"/>
      <c r="O130" s="531"/>
      <c r="P130" s="531"/>
      <c r="Q130" s="531"/>
      <c r="R130" s="531"/>
      <c r="S130" s="531"/>
      <c r="T130" s="531"/>
      <c r="U130" s="532"/>
      <c r="V130" s="512" t="str">
        <f>IF($AG130="", "", VLOOKUP($AG130, TB_PROPOSTA!$B:$Z, 21,FALSE)  )</f>
        <v/>
      </c>
      <c r="W130" s="512"/>
      <c r="X130" s="512"/>
      <c r="Y130" s="512"/>
      <c r="Z130" s="512"/>
      <c r="AA130" s="512"/>
      <c r="AB130" s="512"/>
      <c r="AC130" s="512"/>
      <c r="AD130" s="513" t="str">
        <f>IF($AG130="","",VLOOKUP($AG130,TB_PROPOSTA!$B:$Z, 19,FALSE))</f>
        <v/>
      </c>
      <c r="AE130" s="514"/>
      <c r="AG130" s="84"/>
    </row>
    <row r="131" spans="2:33" x14ac:dyDescent="0.25">
      <c r="B131" s="524" t="str">
        <f>IF($AG131="","", VLOOKUP($AG131,TB_PROPOSTA!$B:$Y,3,FALSE))</f>
        <v/>
      </c>
      <c r="C131" s="525"/>
      <c r="D131" s="526" t="str">
        <f>IF($AG131="","",VLOOKUP($AG131,TB_PROPOSTA!$B:$Z,25,FALSE))</f>
        <v/>
      </c>
      <c r="E131" s="525"/>
      <c r="F131" s="526" t="str">
        <f>IF($AG131="","",VLOOKUP($AG131,TB_PROPOSTA!$B:$Z,5,FALSE))</f>
        <v/>
      </c>
      <c r="G131" s="525"/>
      <c r="H131" s="526" t="str">
        <f>IF($AG131="","",VLOOKUP($AG131,TB_PROPOSTA!$B:$Z, 6,FALSE))</f>
        <v/>
      </c>
      <c r="I131" s="525"/>
      <c r="J131" s="533" t="str">
        <f>IF($AG131="","",VLOOKUP($AG131,TB_PROPOSTA!$B:$Z, 24,FALSE))</f>
        <v/>
      </c>
      <c r="K131" s="534"/>
      <c r="L131" s="535"/>
      <c r="M131" s="530" t="str">
        <f>IF($AG131="", "", VLOOKUP($AG131, TB_PROPOSTA!$B:$Z, 22,FALSE)  )</f>
        <v/>
      </c>
      <c r="N131" s="531"/>
      <c r="O131" s="531"/>
      <c r="P131" s="531"/>
      <c r="Q131" s="531"/>
      <c r="R131" s="531"/>
      <c r="S131" s="531"/>
      <c r="T131" s="531"/>
      <c r="U131" s="532"/>
      <c r="V131" s="512" t="str">
        <f>IF($AG131="", "", VLOOKUP($AG131, TB_PROPOSTA!$B:$Z, 21,FALSE)  )</f>
        <v/>
      </c>
      <c r="W131" s="512"/>
      <c r="X131" s="512"/>
      <c r="Y131" s="512"/>
      <c r="Z131" s="512"/>
      <c r="AA131" s="512"/>
      <c r="AB131" s="512"/>
      <c r="AC131" s="512"/>
      <c r="AD131" s="513" t="str">
        <f>IF($AG131="","",VLOOKUP($AG131,TB_PROPOSTA!$B:$Z, 19,FALSE))</f>
        <v/>
      </c>
      <c r="AE131" s="514"/>
      <c r="AG131" s="84"/>
    </row>
    <row r="132" spans="2:33" x14ac:dyDescent="0.25">
      <c r="B132" s="524" t="str">
        <f>IF($AG132="","", VLOOKUP($AG132,TB_PROPOSTA!$B:$Y,3,FALSE))</f>
        <v/>
      </c>
      <c r="C132" s="525"/>
      <c r="D132" s="526" t="str">
        <f>IF($AG132="","",VLOOKUP($AG132,TB_PROPOSTA!$B:$Z,25,FALSE))</f>
        <v/>
      </c>
      <c r="E132" s="525"/>
      <c r="F132" s="526" t="str">
        <f>IF($AG132="","",VLOOKUP($AG132,TB_PROPOSTA!$B:$Z,5,FALSE))</f>
        <v/>
      </c>
      <c r="G132" s="525"/>
      <c r="H132" s="526" t="str">
        <f>IF($AG132="","",VLOOKUP($AG132,TB_PROPOSTA!$B:$Z, 6,FALSE))</f>
        <v/>
      </c>
      <c r="I132" s="525"/>
      <c r="J132" s="533" t="str">
        <f>IF($AG132="","",VLOOKUP($AG132,TB_PROPOSTA!$B:$Z, 24,FALSE))</f>
        <v/>
      </c>
      <c r="K132" s="534"/>
      <c r="L132" s="535"/>
      <c r="M132" s="530" t="str">
        <f>IF($AG132="", "", VLOOKUP($AG132, TB_PROPOSTA!$B:$Z, 22,FALSE)  )</f>
        <v/>
      </c>
      <c r="N132" s="531"/>
      <c r="O132" s="531"/>
      <c r="P132" s="531"/>
      <c r="Q132" s="531"/>
      <c r="R132" s="531"/>
      <c r="S132" s="531"/>
      <c r="T132" s="531"/>
      <c r="U132" s="532"/>
      <c r="V132" s="512" t="str">
        <f>IF($AG132="", "", VLOOKUP($AG132, TB_PROPOSTA!$B:$Z, 21,FALSE)  )</f>
        <v/>
      </c>
      <c r="W132" s="512"/>
      <c r="X132" s="512"/>
      <c r="Y132" s="512"/>
      <c r="Z132" s="512"/>
      <c r="AA132" s="512"/>
      <c r="AB132" s="512"/>
      <c r="AC132" s="512"/>
      <c r="AD132" s="513" t="str">
        <f>IF($AG132="","",VLOOKUP($AG132,TB_PROPOSTA!$B:$Z, 19,FALSE))</f>
        <v/>
      </c>
      <c r="AE132" s="514"/>
      <c r="AG132" s="84"/>
    </row>
    <row r="133" spans="2:33" x14ac:dyDescent="0.25">
      <c r="B133" s="524" t="str">
        <f>IF($AG133="","", VLOOKUP($AG133,TB_PROPOSTA!$B:$Y,3,FALSE))</f>
        <v/>
      </c>
      <c r="C133" s="525"/>
      <c r="D133" s="526" t="str">
        <f>IF($AG133="","",VLOOKUP($AG133,TB_PROPOSTA!$B:$Z,25,FALSE))</f>
        <v/>
      </c>
      <c r="E133" s="525"/>
      <c r="F133" s="526" t="str">
        <f>IF($AG133="","",VLOOKUP($AG133,TB_PROPOSTA!$B:$Z,5,FALSE))</f>
        <v/>
      </c>
      <c r="G133" s="525"/>
      <c r="H133" s="526" t="str">
        <f>IF($AG133="","",VLOOKUP($AG133,TB_PROPOSTA!$B:$Z, 6,FALSE))</f>
        <v/>
      </c>
      <c r="I133" s="525"/>
      <c r="J133" s="533" t="str">
        <f>IF($AG133="","",VLOOKUP($AG133,TB_PROPOSTA!$B:$Z, 24,FALSE))</f>
        <v/>
      </c>
      <c r="K133" s="534"/>
      <c r="L133" s="535"/>
      <c r="M133" s="530" t="str">
        <f>IF($AG133="", "", VLOOKUP($AG133, TB_PROPOSTA!$B:$Z, 22,FALSE)  )</f>
        <v/>
      </c>
      <c r="N133" s="531"/>
      <c r="O133" s="531"/>
      <c r="P133" s="531"/>
      <c r="Q133" s="531"/>
      <c r="R133" s="531"/>
      <c r="S133" s="531"/>
      <c r="T133" s="531"/>
      <c r="U133" s="532"/>
      <c r="V133" s="512" t="str">
        <f>IF($AG133="", "", VLOOKUP($AG133, TB_PROPOSTA!$B:$Z, 21,FALSE)  )</f>
        <v/>
      </c>
      <c r="W133" s="512"/>
      <c r="X133" s="512"/>
      <c r="Y133" s="512"/>
      <c r="Z133" s="512"/>
      <c r="AA133" s="512"/>
      <c r="AB133" s="512"/>
      <c r="AC133" s="512"/>
      <c r="AD133" s="513" t="str">
        <f>IF($AG133="","",VLOOKUP($AG133,TB_PROPOSTA!$B:$Z, 19,FALSE))</f>
        <v/>
      </c>
      <c r="AE133" s="514"/>
      <c r="AG133" s="84"/>
    </row>
    <row r="134" spans="2:33" x14ac:dyDescent="0.25">
      <c r="B134" s="524" t="str">
        <f>IF($AG134="","", VLOOKUP($AG134,TB_PROPOSTA!$B:$Y,3,FALSE))</f>
        <v/>
      </c>
      <c r="C134" s="525"/>
      <c r="D134" s="526" t="str">
        <f>IF($AG134="","",VLOOKUP($AG134,TB_PROPOSTA!$B:$Z,25,FALSE))</f>
        <v/>
      </c>
      <c r="E134" s="525"/>
      <c r="F134" s="526" t="str">
        <f>IF($AG134="","",VLOOKUP($AG134,TB_PROPOSTA!$B:$Z,5,FALSE))</f>
        <v/>
      </c>
      <c r="G134" s="525"/>
      <c r="H134" s="526" t="str">
        <f>IF($AG134="","",VLOOKUP($AG134,TB_PROPOSTA!$B:$Z, 6,FALSE))</f>
        <v/>
      </c>
      <c r="I134" s="525"/>
      <c r="J134" s="533" t="str">
        <f>IF($AG134="","",VLOOKUP($AG134,TB_PROPOSTA!$B:$Z, 24,FALSE))</f>
        <v/>
      </c>
      <c r="K134" s="534"/>
      <c r="L134" s="535"/>
      <c r="M134" s="530" t="str">
        <f>IF($AG134="", "", VLOOKUP($AG134, TB_PROPOSTA!$B:$Z, 22,FALSE)  )</f>
        <v/>
      </c>
      <c r="N134" s="531"/>
      <c r="O134" s="531"/>
      <c r="P134" s="531"/>
      <c r="Q134" s="531"/>
      <c r="R134" s="531"/>
      <c r="S134" s="531"/>
      <c r="T134" s="531"/>
      <c r="U134" s="532"/>
      <c r="V134" s="512" t="str">
        <f>IF($AG134="", "", VLOOKUP($AG134, TB_PROPOSTA!$B:$Z, 21,FALSE)  )</f>
        <v/>
      </c>
      <c r="W134" s="512"/>
      <c r="X134" s="512"/>
      <c r="Y134" s="512"/>
      <c r="Z134" s="512"/>
      <c r="AA134" s="512"/>
      <c r="AB134" s="512"/>
      <c r="AC134" s="512"/>
      <c r="AD134" s="513" t="str">
        <f>IF($AG134="","",VLOOKUP($AG134,TB_PROPOSTA!$B:$Z, 19,FALSE))</f>
        <v/>
      </c>
      <c r="AE134" s="514"/>
      <c r="AG134" s="84"/>
    </row>
    <row r="135" spans="2:33" x14ac:dyDescent="0.25">
      <c r="B135" s="524" t="str">
        <f>IF($AG135="","", VLOOKUP($AG135,TB_PROPOSTA!$B:$Y,3,FALSE))</f>
        <v/>
      </c>
      <c r="C135" s="525"/>
      <c r="D135" s="526" t="str">
        <f>IF($AG135="","",VLOOKUP($AG135,TB_PROPOSTA!$B:$Z,25,FALSE))</f>
        <v/>
      </c>
      <c r="E135" s="525"/>
      <c r="F135" s="526" t="str">
        <f>IF($AG135="","",VLOOKUP($AG135,TB_PROPOSTA!$B:$Z,5,FALSE))</f>
        <v/>
      </c>
      <c r="G135" s="525"/>
      <c r="H135" s="526" t="str">
        <f>IF($AG135="","",VLOOKUP($AG135,TB_PROPOSTA!$B:$Z, 6,FALSE))</f>
        <v/>
      </c>
      <c r="I135" s="525"/>
      <c r="J135" s="533" t="str">
        <f>IF($AG135="","",VLOOKUP($AG135,TB_PROPOSTA!$B:$Z, 24,FALSE))</f>
        <v/>
      </c>
      <c r="K135" s="534"/>
      <c r="L135" s="535"/>
      <c r="M135" s="530" t="str">
        <f>IF($AG135="", "", VLOOKUP($AG135, TB_PROPOSTA!$B:$Z, 22,FALSE)  )</f>
        <v/>
      </c>
      <c r="N135" s="531"/>
      <c r="O135" s="531"/>
      <c r="P135" s="531"/>
      <c r="Q135" s="531"/>
      <c r="R135" s="531"/>
      <c r="S135" s="531"/>
      <c r="T135" s="531"/>
      <c r="U135" s="532"/>
      <c r="V135" s="512" t="str">
        <f>IF($AG135="", "", VLOOKUP($AG135, TB_PROPOSTA!$B:$Z, 21,FALSE)  )</f>
        <v/>
      </c>
      <c r="W135" s="512"/>
      <c r="X135" s="512"/>
      <c r="Y135" s="512"/>
      <c r="Z135" s="512"/>
      <c r="AA135" s="512"/>
      <c r="AB135" s="512"/>
      <c r="AC135" s="512"/>
      <c r="AD135" s="513" t="str">
        <f>IF($AG135="","",VLOOKUP($AG135,TB_PROPOSTA!$B:$Z, 19,FALSE))</f>
        <v/>
      </c>
      <c r="AE135" s="514"/>
      <c r="AG135" s="84"/>
    </row>
    <row r="136" spans="2:33" x14ac:dyDescent="0.25">
      <c r="B136" s="524" t="str">
        <f>IF($AG136="","", VLOOKUP($AG136,TB_PROPOSTA!$B:$Y,3,FALSE))</f>
        <v/>
      </c>
      <c r="C136" s="525"/>
      <c r="D136" s="526" t="str">
        <f>IF($AG136="","",VLOOKUP($AG136,TB_PROPOSTA!$B:$Z,25,FALSE))</f>
        <v/>
      </c>
      <c r="E136" s="525"/>
      <c r="F136" s="526" t="str">
        <f>IF($AG136="","",VLOOKUP($AG136,TB_PROPOSTA!$B:$Z,5,FALSE))</f>
        <v/>
      </c>
      <c r="G136" s="525"/>
      <c r="H136" s="526" t="str">
        <f>IF($AG136="","",VLOOKUP($AG136,TB_PROPOSTA!$B:$Z, 6,FALSE))</f>
        <v/>
      </c>
      <c r="I136" s="525"/>
      <c r="J136" s="533" t="str">
        <f>IF($AG136="","",VLOOKUP($AG136,TB_PROPOSTA!$B:$Z, 24,FALSE))</f>
        <v/>
      </c>
      <c r="K136" s="534"/>
      <c r="L136" s="535"/>
      <c r="M136" s="530" t="str">
        <f>IF($AG136="", "", VLOOKUP($AG136, TB_PROPOSTA!$B:$Z, 22,FALSE)  )</f>
        <v/>
      </c>
      <c r="N136" s="531"/>
      <c r="O136" s="531"/>
      <c r="P136" s="531"/>
      <c r="Q136" s="531"/>
      <c r="R136" s="531"/>
      <c r="S136" s="531"/>
      <c r="T136" s="531"/>
      <c r="U136" s="532"/>
      <c r="V136" s="512" t="str">
        <f>IF($AG136="", "", VLOOKUP($AG136, TB_PROPOSTA!$B:$Z, 21,FALSE)  )</f>
        <v/>
      </c>
      <c r="W136" s="512"/>
      <c r="X136" s="512"/>
      <c r="Y136" s="512"/>
      <c r="Z136" s="512"/>
      <c r="AA136" s="512"/>
      <c r="AB136" s="512"/>
      <c r="AC136" s="512"/>
      <c r="AD136" s="513" t="str">
        <f>IF($AG136="","",VLOOKUP($AG136,TB_PROPOSTA!$B:$Z, 19,FALSE))</f>
        <v/>
      </c>
      <c r="AE136" s="514"/>
      <c r="AG136" s="84"/>
    </row>
    <row r="137" spans="2:33" x14ac:dyDescent="0.25">
      <c r="B137" s="524" t="str">
        <f>IF($AG137="","", VLOOKUP($AG137,TB_PROPOSTA!$B:$Y,3,FALSE))</f>
        <v/>
      </c>
      <c r="C137" s="525"/>
      <c r="D137" s="526" t="str">
        <f>IF($AG137="","",VLOOKUP($AG137,TB_PROPOSTA!$B:$Z,25,FALSE))</f>
        <v/>
      </c>
      <c r="E137" s="525"/>
      <c r="F137" s="526" t="str">
        <f>IF($AG137="","",VLOOKUP($AG137,TB_PROPOSTA!$B:$Z,5,FALSE))</f>
        <v/>
      </c>
      <c r="G137" s="525"/>
      <c r="H137" s="526" t="str">
        <f>IF($AG137="","",VLOOKUP($AG137,TB_PROPOSTA!$B:$Z, 6,FALSE))</f>
        <v/>
      </c>
      <c r="I137" s="525"/>
      <c r="J137" s="533" t="str">
        <f>IF($AG137="","",VLOOKUP($AG137,TB_PROPOSTA!$B:$Z, 24,FALSE))</f>
        <v/>
      </c>
      <c r="K137" s="534"/>
      <c r="L137" s="535"/>
      <c r="M137" s="530" t="str">
        <f>IF($AG137="", "", VLOOKUP($AG137, TB_PROPOSTA!$B:$Z, 22,FALSE)  )</f>
        <v/>
      </c>
      <c r="N137" s="531"/>
      <c r="O137" s="531"/>
      <c r="P137" s="531"/>
      <c r="Q137" s="531"/>
      <c r="R137" s="531"/>
      <c r="S137" s="531"/>
      <c r="T137" s="531"/>
      <c r="U137" s="532"/>
      <c r="V137" s="512" t="str">
        <f>IF($AG137="", "", VLOOKUP($AG137, TB_PROPOSTA!$B:$Z, 21,FALSE)  )</f>
        <v/>
      </c>
      <c r="W137" s="512"/>
      <c r="X137" s="512"/>
      <c r="Y137" s="512"/>
      <c r="Z137" s="512"/>
      <c r="AA137" s="512"/>
      <c r="AB137" s="512"/>
      <c r="AC137" s="512"/>
      <c r="AD137" s="513" t="str">
        <f>IF($AG137="","",VLOOKUP($AG137,TB_PROPOSTA!$B:$Z, 19,FALSE))</f>
        <v/>
      </c>
      <c r="AE137" s="514"/>
      <c r="AG137" s="84"/>
    </row>
    <row r="138" spans="2:33" x14ac:dyDescent="0.25">
      <c r="B138" s="524" t="str">
        <f>IF($AG138="","", VLOOKUP($AG138,TB_PROPOSTA!$B:$Y,3,FALSE))</f>
        <v/>
      </c>
      <c r="C138" s="525"/>
      <c r="D138" s="526" t="str">
        <f>IF($AG138="","",VLOOKUP($AG138,TB_PROPOSTA!$B:$Z,25,FALSE))</f>
        <v/>
      </c>
      <c r="E138" s="525"/>
      <c r="F138" s="526" t="str">
        <f>IF($AG138="","",VLOOKUP($AG138,TB_PROPOSTA!$B:$Z,5,FALSE))</f>
        <v/>
      </c>
      <c r="G138" s="525"/>
      <c r="H138" s="526" t="str">
        <f>IF($AG138="","",VLOOKUP($AG138,TB_PROPOSTA!$B:$Z, 6,FALSE))</f>
        <v/>
      </c>
      <c r="I138" s="525"/>
      <c r="J138" s="533" t="str">
        <f>IF($AG138="","",VLOOKUP($AG138,TB_PROPOSTA!$B:$Z, 24,FALSE))</f>
        <v/>
      </c>
      <c r="K138" s="534"/>
      <c r="L138" s="535"/>
      <c r="M138" s="530" t="str">
        <f>IF($AG138="", "", VLOOKUP($AG138, TB_PROPOSTA!$B:$Z, 22,FALSE)  )</f>
        <v/>
      </c>
      <c r="N138" s="531"/>
      <c r="O138" s="531"/>
      <c r="P138" s="531"/>
      <c r="Q138" s="531"/>
      <c r="R138" s="531"/>
      <c r="S138" s="531"/>
      <c r="T138" s="531"/>
      <c r="U138" s="532"/>
      <c r="V138" s="512" t="str">
        <f>IF($AG138="", "", VLOOKUP($AG138, TB_PROPOSTA!$B:$Z, 21,FALSE)  )</f>
        <v/>
      </c>
      <c r="W138" s="512"/>
      <c r="X138" s="512"/>
      <c r="Y138" s="512"/>
      <c r="Z138" s="512"/>
      <c r="AA138" s="512"/>
      <c r="AB138" s="512"/>
      <c r="AC138" s="512"/>
      <c r="AD138" s="513" t="str">
        <f>IF($AG138="","",VLOOKUP($AG138,TB_PROPOSTA!$B:$Z, 19,FALSE))</f>
        <v/>
      </c>
      <c r="AE138" s="514"/>
      <c r="AG138" s="84"/>
    </row>
    <row r="139" spans="2:33" x14ac:dyDescent="0.25">
      <c r="B139" s="524" t="str">
        <f>IF($AG139="","", VLOOKUP($AG139,TB_PROPOSTA!$B:$Y,3,FALSE))</f>
        <v/>
      </c>
      <c r="C139" s="525"/>
      <c r="D139" s="526" t="str">
        <f>IF($AG139="","",VLOOKUP($AG139,TB_PROPOSTA!$B:$Z,25,FALSE))</f>
        <v/>
      </c>
      <c r="E139" s="525"/>
      <c r="F139" s="526" t="str">
        <f>IF($AG139="","",VLOOKUP($AG139,TB_PROPOSTA!$B:$Z,5,FALSE))</f>
        <v/>
      </c>
      <c r="G139" s="525"/>
      <c r="H139" s="526" t="str">
        <f>IF($AG139="","",VLOOKUP($AG139,TB_PROPOSTA!$B:$Z, 6,FALSE))</f>
        <v/>
      </c>
      <c r="I139" s="525"/>
      <c r="J139" s="527"/>
      <c r="K139" s="528"/>
      <c r="L139" s="529"/>
      <c r="M139" s="530" t="str">
        <f>IF($AG139="", "", VLOOKUP($AG139, TB_PROPOSTA!$B:$Z, 22,FALSE)  )</f>
        <v/>
      </c>
      <c r="N139" s="531"/>
      <c r="O139" s="531"/>
      <c r="P139" s="531"/>
      <c r="Q139" s="531"/>
      <c r="R139" s="531"/>
      <c r="S139" s="531"/>
      <c r="T139" s="531"/>
      <c r="U139" s="532"/>
      <c r="V139" s="512" t="str">
        <f>IF($AG139="", "", VLOOKUP($AG139, TB_PROPOSTA!$B:$Z, 21,FALSE)  )</f>
        <v/>
      </c>
      <c r="W139" s="512"/>
      <c r="X139" s="512"/>
      <c r="Y139" s="512"/>
      <c r="Z139" s="512"/>
      <c r="AA139" s="512"/>
      <c r="AB139" s="512"/>
      <c r="AC139" s="512"/>
      <c r="AD139" s="513" t="str">
        <f>IF($AG139="","",VLOOKUP($AG139,TB_PROPOSTA!$B:$Z, 19,FALSE))</f>
        <v/>
      </c>
      <c r="AE139" s="514"/>
      <c r="AG139" s="84"/>
    </row>
    <row r="140" spans="2:33" ht="15" customHeight="1" x14ac:dyDescent="0.25">
      <c r="B140" s="515" t="s">
        <v>841</v>
      </c>
      <c r="C140" s="516"/>
      <c r="D140" s="516"/>
      <c r="E140" s="516"/>
      <c r="F140" s="516"/>
      <c r="G140" s="516"/>
      <c r="H140" s="516"/>
      <c r="I140" s="516"/>
      <c r="J140" s="517"/>
      <c r="K140" s="518"/>
      <c r="L140" s="518"/>
      <c r="M140" s="518"/>
      <c r="N140" s="518"/>
      <c r="O140" s="518"/>
      <c r="P140" s="518"/>
      <c r="Q140" s="518"/>
      <c r="R140" s="518"/>
      <c r="S140" s="518"/>
      <c r="T140" s="518"/>
      <c r="U140" s="518"/>
      <c r="V140" s="518"/>
      <c r="W140" s="518"/>
      <c r="X140" s="518"/>
      <c r="Y140" s="518"/>
      <c r="Z140" s="518"/>
      <c r="AA140" s="518"/>
      <c r="AB140" s="518"/>
      <c r="AC140" s="519"/>
      <c r="AD140" s="513">
        <f xml:space="preserve"> AD141 - (SUM(AD120:AE139))</f>
        <v>0</v>
      </c>
      <c r="AE140" s="514"/>
    </row>
    <row r="141" spans="2:33" ht="13.5" thickBot="1" x14ac:dyDescent="0.3">
      <c r="B141" s="66"/>
      <c r="C141" s="70"/>
      <c r="D141" s="70"/>
      <c r="E141" s="70"/>
      <c r="F141" s="70"/>
      <c r="G141" s="70"/>
      <c r="H141" s="70"/>
      <c r="I141" s="70"/>
      <c r="J141" s="70"/>
      <c r="K141" s="70"/>
      <c r="L141" s="70"/>
      <c r="M141" s="70"/>
      <c r="N141" s="70"/>
      <c r="O141" s="70"/>
      <c r="P141" s="70"/>
      <c r="Q141" s="70"/>
      <c r="R141" s="70"/>
      <c r="S141" s="70"/>
      <c r="T141" s="70"/>
      <c r="U141" s="70"/>
      <c r="V141" s="70"/>
      <c r="W141" s="70"/>
      <c r="X141" s="70"/>
      <c r="Y141" s="70"/>
      <c r="Z141" s="70"/>
      <c r="AA141" s="70"/>
      <c r="AB141" s="520" t="s">
        <v>842</v>
      </c>
      <c r="AC141" s="521"/>
      <c r="AD141" s="522">
        <f xml:space="preserve"> TB_PROPOSTA!A11</f>
        <v>0</v>
      </c>
      <c r="AE141" s="523"/>
    </row>
    <row r="142" spans="2:33" ht="15.75" thickTop="1" x14ac:dyDescent="0.25">
      <c r="B142" s="133"/>
      <c r="C142" s="134"/>
      <c r="D142" s="134"/>
      <c r="E142" s="134"/>
      <c r="F142" s="134"/>
      <c r="G142" s="134"/>
      <c r="H142" s="134"/>
      <c r="I142" s="134"/>
      <c r="J142" s="134"/>
      <c r="K142" s="134"/>
      <c r="L142" s="134"/>
      <c r="M142" s="134"/>
      <c r="N142" s="134"/>
      <c r="O142" s="134"/>
      <c r="P142" s="134"/>
      <c r="Q142" s="134"/>
      <c r="R142" s="134"/>
      <c r="S142" s="134"/>
      <c r="T142" s="134"/>
      <c r="U142" s="134"/>
      <c r="V142" s="134"/>
      <c r="W142" s="134"/>
      <c r="X142" s="134"/>
      <c r="Y142" s="134"/>
      <c r="Z142" s="135"/>
      <c r="AA142" s="135"/>
      <c r="AB142" s="136"/>
      <c r="AC142" s="137" t="s">
        <v>853</v>
      </c>
      <c r="AD142" s="505">
        <f>SUM(AD117 + AD141)</f>
        <v>14787.465</v>
      </c>
      <c r="AE142" s="506"/>
    </row>
    <row r="143" spans="2:33" x14ac:dyDescent="0.25"/>
    <row r="144" spans="2:33" hidden="1" x14ac:dyDescent="0.25"/>
    <row r="145" spans="2:31" ht="15" hidden="1" customHeight="1" x14ac:dyDescent="0.25">
      <c r="B145" s="507" t="s">
        <v>670</v>
      </c>
      <c r="C145" s="508"/>
      <c r="D145" s="508"/>
      <c r="E145" s="508"/>
      <c r="F145" s="508"/>
      <c r="G145" s="508"/>
      <c r="H145" s="508"/>
      <c r="I145" s="508"/>
      <c r="J145" s="508"/>
      <c r="K145" s="508"/>
      <c r="L145" s="508"/>
      <c r="M145" s="508"/>
      <c r="N145" s="508"/>
      <c r="O145" s="508"/>
      <c r="P145" s="508"/>
      <c r="Q145" s="508"/>
      <c r="R145" s="508"/>
      <c r="S145" s="508"/>
      <c r="T145" s="508"/>
      <c r="U145" s="508"/>
      <c r="V145" s="508"/>
      <c r="W145" s="508"/>
      <c r="X145" s="508"/>
      <c r="Y145" s="508"/>
      <c r="Z145" s="508"/>
      <c r="AA145" s="508"/>
      <c r="AB145" s="508"/>
      <c r="AC145" s="508"/>
      <c r="AD145" s="508"/>
      <c r="AE145" s="509"/>
    </row>
    <row r="146" spans="2:31" hidden="1" x14ac:dyDescent="0.25">
      <c r="B146" s="487" t="s">
        <v>815</v>
      </c>
      <c r="C146" s="488"/>
      <c r="D146" s="510"/>
      <c r="E146" s="511" t="str">
        <f xml:space="preserve"> $E$3</f>
        <v>Batimento Digital RAID-Cadastro Minha Oi</v>
      </c>
      <c r="F146" s="461"/>
      <c r="G146" s="461"/>
      <c r="H146" s="461"/>
      <c r="I146" s="461"/>
      <c r="J146" s="461"/>
      <c r="K146" s="462"/>
      <c r="L146" s="487" t="s">
        <v>234</v>
      </c>
      <c r="M146" s="488"/>
      <c r="N146" s="510"/>
      <c r="O146" s="460" t="str">
        <f>$Q$11</f>
        <v>CRIAR</v>
      </c>
      <c r="P146" s="462"/>
      <c r="Q146" s="460" t="str">
        <f>S11</f>
        <v>PRJ00021293</v>
      </c>
      <c r="R146" s="461"/>
      <c r="S146" s="461"/>
      <c r="T146" s="461"/>
      <c r="U146" s="462"/>
      <c r="V146" s="415" t="s">
        <v>49</v>
      </c>
      <c r="W146" s="416"/>
      <c r="X146" s="416"/>
      <c r="Y146" s="416"/>
      <c r="Z146" s="416"/>
      <c r="AA146" s="416"/>
      <c r="AB146" s="416"/>
      <c r="AC146" s="416"/>
      <c r="AD146" s="416"/>
      <c r="AE146" s="417"/>
    </row>
    <row r="147" spans="2:31" ht="15" hidden="1" customHeight="1" x14ac:dyDescent="0.25">
      <c r="B147" s="468" t="s">
        <v>1069</v>
      </c>
      <c r="C147" s="469"/>
      <c r="D147" s="470"/>
      <c r="E147" s="460" t="str">
        <f>$Q$20</f>
        <v>GUSTAVO BATOREU VALFRE</v>
      </c>
      <c r="F147" s="461"/>
      <c r="G147" s="461"/>
      <c r="H147" s="461"/>
      <c r="I147" s="461"/>
      <c r="J147" s="461"/>
      <c r="K147" s="462"/>
      <c r="L147" s="468" t="s">
        <v>439</v>
      </c>
      <c r="M147" s="469"/>
      <c r="N147" s="470"/>
      <c r="O147" s="481" t="str">
        <f>Q12</f>
        <v>N/A</v>
      </c>
      <c r="P147" s="482"/>
      <c r="Q147" s="482"/>
      <c r="R147" s="482"/>
      <c r="S147" s="482"/>
      <c r="T147" s="482"/>
      <c r="U147" s="482"/>
      <c r="V147" s="487" t="s">
        <v>50</v>
      </c>
      <c r="W147" s="488"/>
      <c r="X147" s="488"/>
      <c r="Y147" s="489" t="str">
        <f>TB_DEFESA!Z2</f>
        <v>Melhora Qualidade</v>
      </c>
      <c r="Z147" s="490"/>
      <c r="AA147" s="490"/>
      <c r="AB147" s="490"/>
      <c r="AC147" s="490"/>
      <c r="AD147" s="490"/>
      <c r="AE147" s="491"/>
    </row>
    <row r="148" spans="2:31" ht="12.75" hidden="1" customHeight="1" x14ac:dyDescent="0.25">
      <c r="B148" s="468" t="s">
        <v>12</v>
      </c>
      <c r="C148" s="469"/>
      <c r="D148" s="470"/>
      <c r="E148" s="471" t="str">
        <f>$Q$6</f>
        <v>Evolutivas</v>
      </c>
      <c r="F148" s="472"/>
      <c r="G148" s="472"/>
      <c r="H148" s="472"/>
      <c r="I148" s="472"/>
      <c r="J148" s="472"/>
      <c r="K148" s="473"/>
      <c r="L148" s="468"/>
      <c r="M148" s="469"/>
      <c r="N148" s="470"/>
      <c r="O148" s="483"/>
      <c r="P148" s="484"/>
      <c r="Q148" s="484"/>
      <c r="R148" s="484"/>
      <c r="S148" s="484"/>
      <c r="T148" s="484"/>
      <c r="U148" s="484"/>
      <c r="V148" s="492" t="s">
        <v>51</v>
      </c>
      <c r="W148" s="493"/>
      <c r="X148" s="493"/>
      <c r="Y148" s="496" t="str">
        <f>TB_DEFESA!AA2</f>
        <v>N/A</v>
      </c>
      <c r="Z148" s="497"/>
      <c r="AA148" s="497"/>
      <c r="AB148" s="497"/>
      <c r="AC148" s="497"/>
      <c r="AD148" s="497"/>
      <c r="AE148" s="498"/>
    </row>
    <row r="149" spans="2:31" hidden="1" x14ac:dyDescent="0.25">
      <c r="B149" s="468" t="s">
        <v>995</v>
      </c>
      <c r="C149" s="469"/>
      <c r="D149" s="470"/>
      <c r="E149" s="471" t="str">
        <f>TB_DEFESA!$P2</f>
        <v>Corporativo</v>
      </c>
      <c r="F149" s="472"/>
      <c r="G149" s="472"/>
      <c r="H149" s="472"/>
      <c r="I149" s="472"/>
      <c r="J149" s="472"/>
      <c r="K149" s="473"/>
      <c r="L149" s="468"/>
      <c r="M149" s="469"/>
      <c r="N149" s="470"/>
      <c r="O149" s="483"/>
      <c r="P149" s="484"/>
      <c r="Q149" s="484"/>
      <c r="R149" s="484"/>
      <c r="S149" s="484"/>
      <c r="T149" s="484"/>
      <c r="U149" s="484"/>
      <c r="V149" s="492"/>
      <c r="W149" s="493"/>
      <c r="X149" s="493"/>
      <c r="Y149" s="499"/>
      <c r="Z149" s="500"/>
      <c r="AA149" s="500"/>
      <c r="AB149" s="500"/>
      <c r="AC149" s="500"/>
      <c r="AD149" s="500"/>
      <c r="AE149" s="501"/>
    </row>
    <row r="150" spans="2:31" hidden="1" x14ac:dyDescent="0.25">
      <c r="B150" s="457" t="s">
        <v>817</v>
      </c>
      <c r="C150" s="458"/>
      <c r="D150" s="459"/>
      <c r="E150" s="474" t="str">
        <f xml:space="preserve"> $E$6</f>
        <v>PROJETO</v>
      </c>
      <c r="F150" s="475"/>
      <c r="G150" s="476"/>
      <c r="H150" s="477" t="s">
        <v>818</v>
      </c>
      <c r="I150" s="478"/>
      <c r="J150" s="479">
        <f ca="1">IF(ISNUMBER(DATEVALUE(P27)), IF( DAYS360(TODAY(),DATEVALUE(P27)) &lt; 0, "JÁ IMPLANTADO", DAYS360(TODAY(),DATEVALUE(P27))/30), P27)</f>
        <v>4.9666666666666668</v>
      </c>
      <c r="K150" s="480"/>
      <c r="L150" s="468"/>
      <c r="M150" s="469"/>
      <c r="N150" s="470"/>
      <c r="O150" s="485"/>
      <c r="P150" s="486"/>
      <c r="Q150" s="486"/>
      <c r="R150" s="486"/>
      <c r="S150" s="486"/>
      <c r="T150" s="486"/>
      <c r="U150" s="486"/>
      <c r="V150" s="492"/>
      <c r="W150" s="493"/>
      <c r="X150" s="493"/>
      <c r="Y150" s="499"/>
      <c r="Z150" s="500"/>
      <c r="AA150" s="500"/>
      <c r="AB150" s="500"/>
      <c r="AC150" s="500"/>
      <c r="AD150" s="500"/>
      <c r="AE150" s="501"/>
    </row>
    <row r="151" spans="2:31" hidden="1" x14ac:dyDescent="0.25">
      <c r="B151" s="66"/>
      <c r="C151" s="70"/>
      <c r="D151" s="70"/>
      <c r="E151" s="70"/>
      <c r="F151" s="70"/>
      <c r="G151" s="70"/>
      <c r="H151" s="70"/>
      <c r="I151" s="70"/>
      <c r="J151" s="70"/>
      <c r="K151" s="70"/>
      <c r="L151" s="457" t="s">
        <v>272</v>
      </c>
      <c r="M151" s="458"/>
      <c r="N151" s="459"/>
      <c r="O151" s="460" t="str">
        <f>Q16</f>
        <v>FOI de Sistemas</v>
      </c>
      <c r="P151" s="461"/>
      <c r="Q151" s="462"/>
      <c r="R151" s="70"/>
      <c r="S151" s="70"/>
      <c r="T151" s="70"/>
      <c r="U151" s="70"/>
      <c r="V151" s="494"/>
      <c r="W151" s="495"/>
      <c r="X151" s="495"/>
      <c r="Y151" s="502"/>
      <c r="Z151" s="503"/>
      <c r="AA151" s="503"/>
      <c r="AB151" s="503"/>
      <c r="AC151" s="503"/>
      <c r="AD151" s="503"/>
      <c r="AE151" s="504"/>
    </row>
    <row r="152" spans="2:31" hidden="1" x14ac:dyDescent="0.25">
      <c r="B152" s="463" t="s">
        <v>940</v>
      </c>
      <c r="C152" s="464"/>
      <c r="D152" s="464"/>
      <c r="E152" s="464"/>
      <c r="F152" s="464"/>
      <c r="G152" s="464"/>
      <c r="H152" s="464"/>
      <c r="I152" s="464"/>
      <c r="J152" s="464"/>
      <c r="K152" s="464"/>
      <c r="L152" s="464"/>
      <c r="M152" s="464"/>
      <c r="N152" s="464"/>
      <c r="O152" s="465"/>
      <c r="P152" s="70"/>
      <c r="U152" s="70"/>
      <c r="V152" s="410" t="s">
        <v>48</v>
      </c>
      <c r="W152" s="411"/>
      <c r="X152" s="411"/>
      <c r="Y152" s="411"/>
      <c r="Z152" s="411"/>
      <c r="AA152" s="411"/>
      <c r="AB152" s="411"/>
      <c r="AC152" s="411"/>
      <c r="AD152" s="411"/>
      <c r="AE152" s="412"/>
    </row>
    <row r="153" spans="2:31" ht="12.75" hidden="1" customHeight="1" x14ac:dyDescent="0.25">
      <c r="B153" s="466" t="s">
        <v>816</v>
      </c>
      <c r="C153" s="467"/>
      <c r="D153" s="442" t="str">
        <f>IF(TABELAS!$T2 = "","", TABELAS!$U2 )</f>
        <v>TLM</v>
      </c>
      <c r="E153" s="442"/>
      <c r="F153" s="442" t="str">
        <f>IF(TABELAS!$T3 = "","", TABELAS!$U3 )</f>
        <v>SMPE</v>
      </c>
      <c r="G153" s="442"/>
      <c r="H153" s="442" t="str">
        <f>IF(TABELAS!$T4 = "","", TABELAS!$U4 )</f>
        <v>BTSA</v>
      </c>
      <c r="I153" s="442"/>
      <c r="J153" s="442" t="str">
        <f>IF(TABELAS!$T5 = "","", TABELAS!$U5 )</f>
        <v>BrTCM</v>
      </c>
      <c r="K153" s="442"/>
      <c r="L153" s="442" t="str">
        <f>IF(TABELAS!$T6 = "","", TABELAS!$U6 )</f>
        <v>PGA</v>
      </c>
      <c r="M153" s="442"/>
      <c r="N153" s="442" t="str">
        <f>IF(TABELAS!$T7 = "","", TABELAS!$U7 )</f>
        <v>Baseline</v>
      </c>
      <c r="O153" s="443"/>
      <c r="P153" s="70"/>
      <c r="Q153" s="444" t="s">
        <v>938</v>
      </c>
      <c r="R153" s="445"/>
      <c r="S153" s="446">
        <f>AD142</f>
        <v>14787.465</v>
      </c>
      <c r="T153" s="447"/>
      <c r="U153" s="70"/>
      <c r="V153" s="448" t="str">
        <f>TB_DEFESA!$L$2</f>
        <v>Continuarão e existir divergências de informações de cadastro, entre o PORTAL OI e os CRMS e entre o PORTAL OI e os FATURAMENTOS</v>
      </c>
      <c r="W153" s="449"/>
      <c r="X153" s="449"/>
      <c r="Y153" s="449"/>
      <c r="Z153" s="449"/>
      <c r="AA153" s="449"/>
      <c r="AB153" s="449"/>
      <c r="AC153" s="449"/>
      <c r="AD153" s="449"/>
      <c r="AE153" s="450"/>
    </row>
    <row r="154" spans="2:31" hidden="1" x14ac:dyDescent="0.25">
      <c r="B154" s="424"/>
      <c r="C154" s="425"/>
      <c r="D154" s="434" t="str">
        <f>IF(OR(TABELAS!$T2 = "", TABELAS!$W2 =  "N/A"),"", $O$146 &amp;"-" &amp;TABELAS!$W2 )</f>
        <v>CRIAR-001</v>
      </c>
      <c r="E154" s="434"/>
      <c r="F154" s="434" t="str">
        <f>IF(OR(TABELAS!$T3 = "", TABELAS!$W3 =  "N/A"),"", $O$146 &amp;"-" &amp;TABELAS!$W3 )</f>
        <v>CRIAR-010</v>
      </c>
      <c r="G154" s="434"/>
      <c r="H154" s="434" t="str">
        <f>IF(OR(TABELAS!$T4 = "", TABELAS!$W4 =  "N/A"),"", $O$146 &amp;"-" &amp;TABELAS!$W4 )</f>
        <v>CRIAR-009</v>
      </c>
      <c r="I154" s="434"/>
      <c r="J154" s="434" t="str">
        <f>IF(OR(TABELAS!$T5 = "", TABELAS!$W5 =  "N/A"),"", $O$146 &amp;"-" &amp;TABELAS!$W5 )</f>
        <v>CRIAR-011</v>
      </c>
      <c r="K154" s="434"/>
      <c r="L154" s="434" t="str">
        <f>IF(OR(TABELAS!$T6 = "", TABELAS!$W6 =  "N/A"),"", $O$146 &amp;"-" &amp;TABELAS!$W6 )</f>
        <v>CRIAR-006</v>
      </c>
      <c r="M154" s="434"/>
      <c r="N154" s="434" t="str">
        <f>IF(OR(TABELAS!$T7 = "", TABELAS!$W7 =  "N/A"), "", $O$146 &amp;"-" &amp;TABELAS!$W7 )</f>
        <v/>
      </c>
      <c r="O154" s="435"/>
      <c r="P154" s="70"/>
      <c r="Q154" s="436" t="s">
        <v>234</v>
      </c>
      <c r="R154" s="437"/>
      <c r="S154" s="438">
        <f>S153-S155</f>
        <v>14787.465</v>
      </c>
      <c r="T154" s="439"/>
      <c r="U154" s="70"/>
      <c r="V154" s="451"/>
      <c r="W154" s="452"/>
      <c r="X154" s="452"/>
      <c r="Y154" s="452"/>
      <c r="Z154" s="452"/>
      <c r="AA154" s="452"/>
      <c r="AB154" s="452"/>
      <c r="AC154" s="452"/>
      <c r="AD154" s="452"/>
      <c r="AE154" s="453"/>
    </row>
    <row r="155" spans="2:31" hidden="1" x14ac:dyDescent="0.25">
      <c r="B155" s="430" t="s">
        <v>238</v>
      </c>
      <c r="C155" s="431"/>
      <c r="D155" s="440">
        <f>IF(TABELAS!$T2="", "", IF($S$153=0, 0, $D$156/$S$153))</f>
        <v>0.45454545454545459</v>
      </c>
      <c r="E155" s="440"/>
      <c r="F155" s="440">
        <f>IF(TABELAS!$T3="", "", IF($S$153=0, 0, $F$156/$S$153))</f>
        <v>0</v>
      </c>
      <c r="G155" s="440"/>
      <c r="H155" s="440">
        <f>IF(TABELAS!$T4="", "", IF($S$153=0, 0, $H$156/$S$153))</f>
        <v>0.54545454545454553</v>
      </c>
      <c r="I155" s="440"/>
      <c r="J155" s="440">
        <f>IF(TABELAS!$T5="", "", IF($S$153=0, 0, $J$156/$S$153))</f>
        <v>0</v>
      </c>
      <c r="K155" s="440"/>
      <c r="L155" s="440">
        <f>IF(TABELAS!$T6="", "", IF($S$153=0, 0, $L$156/$S$153))</f>
        <v>0</v>
      </c>
      <c r="M155" s="440"/>
      <c r="N155" s="440">
        <f>IF(TABELAS!$T7="", "", IF($S$153=0, 0, $N$156/$S$153))</f>
        <v>0</v>
      </c>
      <c r="O155" s="441"/>
      <c r="P155" s="70"/>
      <c r="Q155" s="426" t="s">
        <v>819</v>
      </c>
      <c r="R155" s="427"/>
      <c r="S155" s="428">
        <f>TB_PROPOSTA!A15</f>
        <v>0</v>
      </c>
      <c r="T155" s="429"/>
      <c r="U155" s="70"/>
      <c r="V155" s="451"/>
      <c r="W155" s="452"/>
      <c r="X155" s="452"/>
      <c r="Y155" s="452"/>
      <c r="Z155" s="452"/>
      <c r="AA155" s="452"/>
      <c r="AB155" s="452"/>
      <c r="AC155" s="452"/>
      <c r="AD155" s="452"/>
      <c r="AE155" s="453"/>
    </row>
    <row r="156" spans="2:31" hidden="1" x14ac:dyDescent="0.25">
      <c r="B156" s="430" t="s">
        <v>239</v>
      </c>
      <c r="C156" s="431"/>
      <c r="D156" s="432">
        <f>SUM(D158:E180)</f>
        <v>6721.5750000000007</v>
      </c>
      <c r="E156" s="432"/>
      <c r="F156" s="432">
        <f>SUM(F158:G180)</f>
        <v>0</v>
      </c>
      <c r="G156" s="432"/>
      <c r="H156" s="432">
        <f>SUM(H158:I180)</f>
        <v>8065.89</v>
      </c>
      <c r="I156" s="432"/>
      <c r="J156" s="432">
        <f>SUM(J158:K180)</f>
        <v>0</v>
      </c>
      <c r="K156" s="432"/>
      <c r="L156" s="432">
        <f>SUM(L158:M180)</f>
        <v>0</v>
      </c>
      <c r="M156" s="432"/>
      <c r="N156" s="432">
        <f>SUM(N158:O180)</f>
        <v>0</v>
      </c>
      <c r="O156" s="433"/>
      <c r="P156" s="70"/>
      <c r="Q156" s="70"/>
      <c r="R156" s="70"/>
      <c r="S156" s="70"/>
      <c r="T156" s="70"/>
      <c r="U156" s="70"/>
      <c r="V156" s="451"/>
      <c r="W156" s="452"/>
      <c r="X156" s="452"/>
      <c r="Y156" s="452"/>
      <c r="Z156" s="452"/>
      <c r="AA156" s="452"/>
      <c r="AB156" s="452"/>
      <c r="AC156" s="452"/>
      <c r="AD156" s="452"/>
      <c r="AE156" s="453"/>
    </row>
    <row r="157" spans="2:31" hidden="1" x14ac:dyDescent="0.25">
      <c r="B157" s="424"/>
      <c r="C157" s="425"/>
      <c r="D157" s="413" t="str">
        <f>IF(TABELAS!$T2 = "","", TABELAS!$T2)</f>
        <v>Oi Fixa R1</v>
      </c>
      <c r="E157" s="413" t="e">
        <f>IF(TABELAS!#REF! = "","", TABELAS!#REF!)</f>
        <v>#REF!</v>
      </c>
      <c r="F157" s="413" t="str">
        <f>IF(TABELAS!$T3= "","", TABELAS!$T3)</f>
        <v>Oi Móvel S.A.</v>
      </c>
      <c r="G157" s="413" t="e">
        <f>IF(TABELAS!#REF! = "","", TABELAS!#REF!)</f>
        <v>#REF!</v>
      </c>
      <c r="H157" s="413" t="str">
        <f>IF(TABELAS!$T4 = "","", TABELAS!$T4)</f>
        <v>BTSA Fixa R2</v>
      </c>
      <c r="I157" s="413" t="e">
        <f>IF(TABELAS!#REF! = "","", TABELAS!#REF!)</f>
        <v>#REF!</v>
      </c>
      <c r="J157" s="413" t="str">
        <f>IF(TABELAS!$T5 = "","", TABELAS!$T5)</f>
        <v>BrTCM - Metrorede</v>
      </c>
      <c r="K157" s="413"/>
      <c r="L157" s="413" t="str">
        <f>IF(TABELAS!$T6 = "","", TABELAS!$T6)</f>
        <v>PAGGO</v>
      </c>
      <c r="M157" s="413"/>
      <c r="N157" s="413" t="str">
        <f>IF(TABELAS!$T7 = "","", TABELAS!$T7)</f>
        <v>N/A</v>
      </c>
      <c r="O157" s="414"/>
      <c r="P157" s="70"/>
      <c r="Q157" s="415" t="s">
        <v>869</v>
      </c>
      <c r="R157" s="416"/>
      <c r="S157" s="416"/>
      <c r="T157" s="417"/>
      <c r="U157" s="70"/>
      <c r="V157" s="454"/>
      <c r="W157" s="455"/>
      <c r="X157" s="455"/>
      <c r="Y157" s="455"/>
      <c r="Z157" s="455"/>
      <c r="AA157" s="455"/>
      <c r="AB157" s="455"/>
      <c r="AC157" s="455"/>
      <c r="AD157" s="455"/>
      <c r="AE157" s="456"/>
    </row>
    <row r="158" spans="2:31" ht="15" hidden="1" customHeight="1" x14ac:dyDescent="0.25">
      <c r="B158" s="418" t="str">
        <f>B59</f>
        <v>PRJ00021293</v>
      </c>
      <c r="C158" s="419"/>
      <c r="D158" s="420">
        <f>SUMIFS( TB_PROPOSTA!$T:$T, TB_PROPOSTA!$F:$F, $B158, TB_PROPOSTA!$Q:$Q, D$157)</f>
        <v>6721.5750000000007</v>
      </c>
      <c r="E158" s="420"/>
      <c r="F158" s="420">
        <f>SUMIFS( TB_PROPOSTA!$T:$T, TB_PROPOSTA!$F:$F, $B158, TB_PROPOSTA!$Q:$Q, F$157)</f>
        <v>0</v>
      </c>
      <c r="G158" s="420"/>
      <c r="H158" s="420">
        <f>SUMIFS( TB_PROPOSTA!$T:$T, TB_PROPOSTA!$F:$F, $B158, TB_PROPOSTA!$Q:$Q, H$157)</f>
        <v>8065.89</v>
      </c>
      <c r="I158" s="420"/>
      <c r="J158" s="420">
        <f>SUMIFS( TB_PROPOSTA!$T:$T, TB_PROPOSTA!$F:$F, $B158, TB_PROPOSTA!$Q:$Q, J$157)</f>
        <v>0</v>
      </c>
      <c r="K158" s="420"/>
      <c r="L158" s="420">
        <f>SUMIFS( TB_PROPOSTA!$T:$T, TB_PROPOSTA!$F:$F, $B158, TB_PROPOSTA!$Q:$Q, L$157)</f>
        <v>0</v>
      </c>
      <c r="M158" s="420"/>
      <c r="N158" s="420">
        <f>SUMIFS( TB_PROPOSTA!$T:$T, TB_PROPOSTA!$F:$F, $B158, TB_PROPOSTA!$Q:$Q, N$157)</f>
        <v>0</v>
      </c>
      <c r="O158" s="421"/>
      <c r="P158" s="70"/>
      <c r="Q158" s="422" t="s">
        <v>1103</v>
      </c>
      <c r="R158" s="423"/>
      <c r="S158" s="408">
        <f>SUMIFS( TB_PROPOSTA!T:T, TB_PROPOSTA!U:U, $Q158)</f>
        <v>14787.465</v>
      </c>
      <c r="T158" s="409"/>
      <c r="U158" s="70"/>
      <c r="V158" s="410" t="s">
        <v>235</v>
      </c>
      <c r="W158" s="411"/>
      <c r="X158" s="411"/>
      <c r="Y158" s="411"/>
      <c r="Z158" s="411"/>
      <c r="AA158" s="411"/>
      <c r="AB158" s="411"/>
      <c r="AC158" s="411"/>
      <c r="AD158" s="411"/>
      <c r="AE158" s="412"/>
    </row>
    <row r="159" spans="2:31" ht="12.75" hidden="1" customHeight="1" x14ac:dyDescent="0.25">
      <c r="B159" s="397" t="str">
        <f t="shared" ref="B159:B180" si="3">B60</f>
        <v/>
      </c>
      <c r="C159" s="398"/>
      <c r="D159" s="395">
        <f>SUMIFS( TB_PROPOSTA!$T:$T, TB_PROPOSTA!$F:$F, $B159, TB_PROPOSTA!$Q:$Q, D$157)</f>
        <v>0</v>
      </c>
      <c r="E159" s="395"/>
      <c r="F159" s="395">
        <f>SUMIFS( TB_PROPOSTA!$T:$T, TB_PROPOSTA!$F:$F, $B159, TB_PROPOSTA!$Q:$Q, F$157)</f>
        <v>0</v>
      </c>
      <c r="G159" s="395"/>
      <c r="H159" s="395">
        <f>SUMIFS( TB_PROPOSTA!$T:$T, TB_PROPOSTA!$F:$F, $B159, TB_PROPOSTA!$Q:$Q, H$157)</f>
        <v>0</v>
      </c>
      <c r="I159" s="395"/>
      <c r="J159" s="395">
        <f>SUMIFS( TB_PROPOSTA!$T:$T, TB_PROPOSTA!$F:$F, $B159, TB_PROPOSTA!$Q:$Q, J$157)</f>
        <v>0</v>
      </c>
      <c r="K159" s="395"/>
      <c r="L159" s="395">
        <f>SUMIFS( TB_PROPOSTA!$T:$T, TB_PROPOSTA!$F:$F, $B159, TB_PROPOSTA!$Q:$Q, L$157)</f>
        <v>0</v>
      </c>
      <c r="M159" s="395"/>
      <c r="N159" s="395">
        <f>SUMIFS( TB_PROPOSTA!$T:$T, TB_PROPOSTA!$F:$F, $B159, TB_PROPOSTA!$Q:$Q, N$157)</f>
        <v>0</v>
      </c>
      <c r="O159" s="396"/>
      <c r="P159" s="70"/>
      <c r="Q159" s="385"/>
      <c r="R159" s="386"/>
      <c r="S159" s="387">
        <f>SUMIFS( TB_PROPOSTA!T:T, TB_PROPOSTA!U:U, $Q159)</f>
        <v>0</v>
      </c>
      <c r="T159" s="388"/>
      <c r="U159" s="70"/>
      <c r="V159" s="399" t="str">
        <f>TB_DEFESA!$AI$2</f>
        <v xml:space="preserve">PRJ00021293.PROP00020171.1 | Custo Final | SISRAF - FATURAMENTO | IBM - Torre I - Faturamento e Mediação (Extrabaseline) | 30,380h * HH R$88,50 = R$2.688,63
PRJ00021293.PROP00020173.1 | Custo Final | (OI R2) SFA | IBM - Torre I - Faturamento e Mediação (Extrabaseline) | 45,570h * HH R$88,50 = R$4.032,95
PRJ00021293.PROP00020172.1 | Custo Final | SISRAF - ARRECADACAO | IBM - Torre I - Faturamento e Mediação (Extrabaseline) | 45,570h * HH R$88,50 = R$4.032,95
PRJ00021293.PROP00020174.1 | Custo Final | (OI R2) SAG | IBM - Torre I - Faturamento e Mediação (Extrabaseline) | 45,570h * HH R$88,50 = R$4.032,95
</v>
      </c>
      <c r="W159" s="400"/>
      <c r="X159" s="400"/>
      <c r="Y159" s="400"/>
      <c r="Z159" s="400"/>
      <c r="AA159" s="400"/>
      <c r="AB159" s="400"/>
      <c r="AC159" s="400"/>
      <c r="AD159" s="400"/>
      <c r="AE159" s="401"/>
    </row>
    <row r="160" spans="2:31" hidden="1" x14ac:dyDescent="0.25">
      <c r="B160" s="397" t="str">
        <f t="shared" si="3"/>
        <v/>
      </c>
      <c r="C160" s="398"/>
      <c r="D160" s="395">
        <f>SUMIFS( TB_PROPOSTA!$T:$T, TB_PROPOSTA!$F:$F, $B160, TB_PROPOSTA!$Q:$Q, D$157)</f>
        <v>0</v>
      </c>
      <c r="E160" s="395"/>
      <c r="F160" s="395">
        <f>SUMIFS( TB_PROPOSTA!$T:$T, TB_PROPOSTA!$F:$F, $B160, TB_PROPOSTA!$Q:$Q, F$157)</f>
        <v>0</v>
      </c>
      <c r="G160" s="395"/>
      <c r="H160" s="395">
        <f>SUMIFS( TB_PROPOSTA!$T:$T, TB_PROPOSTA!$F:$F, $B160, TB_PROPOSTA!$Q:$Q, H$157)</f>
        <v>0</v>
      </c>
      <c r="I160" s="395"/>
      <c r="J160" s="395">
        <f>SUMIFS( TB_PROPOSTA!$T:$T, TB_PROPOSTA!$F:$F, $B160, TB_PROPOSTA!$Q:$Q, J$157)</f>
        <v>0</v>
      </c>
      <c r="K160" s="395"/>
      <c r="L160" s="395">
        <f>SUMIFS( TB_PROPOSTA!$T:$T, TB_PROPOSTA!$F:$F, $B160, TB_PROPOSTA!$Q:$Q, L$157)</f>
        <v>0</v>
      </c>
      <c r="M160" s="395"/>
      <c r="N160" s="395">
        <f>SUMIFS( TB_PROPOSTA!$T:$T, TB_PROPOSTA!$F:$F, $B160, TB_PROPOSTA!$Q:$Q, N$157)</f>
        <v>0</v>
      </c>
      <c r="O160" s="396"/>
      <c r="P160" s="70"/>
      <c r="Q160" s="385"/>
      <c r="R160" s="386"/>
      <c r="S160" s="387">
        <f>SUMIFS( TB_PROPOSTA!T:T, TB_PROPOSTA!U:U, $Q160)</f>
        <v>0</v>
      </c>
      <c r="T160" s="388"/>
      <c r="U160" s="70"/>
      <c r="V160" s="402"/>
      <c r="W160" s="403"/>
      <c r="X160" s="403"/>
      <c r="Y160" s="403"/>
      <c r="Z160" s="403"/>
      <c r="AA160" s="403"/>
      <c r="AB160" s="403"/>
      <c r="AC160" s="403"/>
      <c r="AD160" s="403"/>
      <c r="AE160" s="404"/>
    </row>
    <row r="161" spans="2:31" hidden="1" x14ac:dyDescent="0.25">
      <c r="B161" s="397" t="str">
        <f t="shared" si="3"/>
        <v/>
      </c>
      <c r="C161" s="398"/>
      <c r="D161" s="395">
        <f>SUMIFS( TB_PROPOSTA!$T:$T, TB_PROPOSTA!$F:$F, $B161, TB_PROPOSTA!$Q:$Q, D$157)</f>
        <v>0</v>
      </c>
      <c r="E161" s="395"/>
      <c r="F161" s="395">
        <f>SUMIFS( TB_PROPOSTA!$T:$T, TB_PROPOSTA!$F:$F, $B161, TB_PROPOSTA!$Q:$Q, F$157)</f>
        <v>0</v>
      </c>
      <c r="G161" s="395"/>
      <c r="H161" s="395">
        <f>SUMIFS( TB_PROPOSTA!$T:$T, TB_PROPOSTA!$F:$F, $B161, TB_PROPOSTA!$Q:$Q, H$157)</f>
        <v>0</v>
      </c>
      <c r="I161" s="395"/>
      <c r="J161" s="395">
        <f>SUMIFS( TB_PROPOSTA!$T:$T, TB_PROPOSTA!$F:$F, $B161, TB_PROPOSTA!$Q:$Q, J$157)</f>
        <v>0</v>
      </c>
      <c r="K161" s="395"/>
      <c r="L161" s="395">
        <f>SUMIFS( TB_PROPOSTA!$T:$T, TB_PROPOSTA!$F:$F, $B161, TB_PROPOSTA!$Q:$Q, L$157)</f>
        <v>0</v>
      </c>
      <c r="M161" s="395"/>
      <c r="N161" s="395">
        <f>SUMIFS( TB_PROPOSTA!$T:$T, TB_PROPOSTA!$F:$F, $B161, TB_PROPOSTA!$Q:$Q, N$157)</f>
        <v>0</v>
      </c>
      <c r="O161" s="396"/>
      <c r="P161" s="70"/>
      <c r="Q161" s="385"/>
      <c r="R161" s="386"/>
      <c r="S161" s="387">
        <f>SUMIFS( TB_PROPOSTA!T:T, TB_PROPOSTA!U:U, $Q161)</f>
        <v>0</v>
      </c>
      <c r="T161" s="388"/>
      <c r="U161" s="79"/>
      <c r="V161" s="402"/>
      <c r="W161" s="403"/>
      <c r="X161" s="403"/>
      <c r="Y161" s="403"/>
      <c r="Z161" s="403"/>
      <c r="AA161" s="403"/>
      <c r="AB161" s="403"/>
      <c r="AC161" s="403"/>
      <c r="AD161" s="403"/>
      <c r="AE161" s="404"/>
    </row>
    <row r="162" spans="2:31" hidden="1" x14ac:dyDescent="0.25">
      <c r="B162" s="397" t="str">
        <f t="shared" si="3"/>
        <v/>
      </c>
      <c r="C162" s="398"/>
      <c r="D162" s="395">
        <f>SUMIFS( TB_PROPOSTA!$T:$T, TB_PROPOSTA!$F:$F, $B162, TB_PROPOSTA!$Q:$Q, D$157)</f>
        <v>0</v>
      </c>
      <c r="E162" s="395"/>
      <c r="F162" s="395">
        <f>SUMIFS( TB_PROPOSTA!$T:$T, TB_PROPOSTA!$F:$F, $B162, TB_PROPOSTA!$Q:$Q, F$157)</f>
        <v>0</v>
      </c>
      <c r="G162" s="395"/>
      <c r="H162" s="395">
        <f>SUMIFS( TB_PROPOSTA!$T:$T, TB_PROPOSTA!$F:$F, $B162, TB_PROPOSTA!$Q:$Q, H$157)</f>
        <v>0</v>
      </c>
      <c r="I162" s="395"/>
      <c r="J162" s="395">
        <f>SUMIFS( TB_PROPOSTA!$T:$T, TB_PROPOSTA!$F:$F, $B162, TB_PROPOSTA!$Q:$Q, J$157)</f>
        <v>0</v>
      </c>
      <c r="K162" s="395"/>
      <c r="L162" s="395">
        <f>SUMIFS( TB_PROPOSTA!$T:$T, TB_PROPOSTA!$F:$F, $B162, TB_PROPOSTA!$Q:$Q, L$157)</f>
        <v>0</v>
      </c>
      <c r="M162" s="395"/>
      <c r="N162" s="395">
        <f>SUMIFS( TB_PROPOSTA!$T:$T, TB_PROPOSTA!$F:$F, $B162, TB_PROPOSTA!$Q:$Q, N$157)</f>
        <v>0</v>
      </c>
      <c r="O162" s="396"/>
      <c r="P162" s="70"/>
      <c r="Q162" s="385"/>
      <c r="R162" s="386"/>
      <c r="S162" s="387">
        <f>SUMIFS( TB_PROPOSTA!T:T, TB_PROPOSTA!U:U, $Q162)</f>
        <v>0</v>
      </c>
      <c r="T162" s="388"/>
      <c r="U162" s="79"/>
      <c r="V162" s="402"/>
      <c r="W162" s="403"/>
      <c r="X162" s="403"/>
      <c r="Y162" s="403"/>
      <c r="Z162" s="403"/>
      <c r="AA162" s="403"/>
      <c r="AB162" s="403"/>
      <c r="AC162" s="403"/>
      <c r="AD162" s="403"/>
      <c r="AE162" s="404"/>
    </row>
    <row r="163" spans="2:31" hidden="1" x14ac:dyDescent="0.25">
      <c r="B163" s="397" t="str">
        <f t="shared" si="3"/>
        <v/>
      </c>
      <c r="C163" s="398"/>
      <c r="D163" s="395">
        <f>SUMIFS( TB_PROPOSTA!$T:$T, TB_PROPOSTA!$F:$F, $B163, TB_PROPOSTA!$Q:$Q, D$157)</f>
        <v>0</v>
      </c>
      <c r="E163" s="395"/>
      <c r="F163" s="395">
        <f>SUMIFS( TB_PROPOSTA!$T:$T, TB_PROPOSTA!$F:$F, $B163, TB_PROPOSTA!$Q:$Q, F$157)</f>
        <v>0</v>
      </c>
      <c r="G163" s="395"/>
      <c r="H163" s="395">
        <f>SUMIFS( TB_PROPOSTA!$T:$T, TB_PROPOSTA!$F:$F, $B163, TB_PROPOSTA!$Q:$Q, H$157)</f>
        <v>0</v>
      </c>
      <c r="I163" s="395"/>
      <c r="J163" s="395">
        <f>SUMIFS( TB_PROPOSTA!$T:$T, TB_PROPOSTA!$F:$F, $B163, TB_PROPOSTA!$Q:$Q, J$157)</f>
        <v>0</v>
      </c>
      <c r="K163" s="395"/>
      <c r="L163" s="395">
        <f>SUMIFS( TB_PROPOSTA!$T:$T, TB_PROPOSTA!$F:$F, $B163, TB_PROPOSTA!$Q:$Q, L$157)</f>
        <v>0</v>
      </c>
      <c r="M163" s="395"/>
      <c r="N163" s="395">
        <f>SUMIFS( TB_PROPOSTA!$T:$T, TB_PROPOSTA!$F:$F, $B163, TB_PROPOSTA!$Q:$Q, N$157)</f>
        <v>0</v>
      </c>
      <c r="O163" s="396"/>
      <c r="P163" s="70"/>
      <c r="Q163" s="385"/>
      <c r="R163" s="386"/>
      <c r="S163" s="387">
        <f>SUMIFS( TB_PROPOSTA!T:T, TB_PROPOSTA!U:U, $Q163)</f>
        <v>0</v>
      </c>
      <c r="T163" s="388"/>
      <c r="U163" s="79"/>
      <c r="V163" s="402"/>
      <c r="W163" s="403"/>
      <c r="X163" s="403"/>
      <c r="Y163" s="403"/>
      <c r="Z163" s="403"/>
      <c r="AA163" s="403"/>
      <c r="AB163" s="403"/>
      <c r="AC163" s="403"/>
      <c r="AD163" s="403"/>
      <c r="AE163" s="404"/>
    </row>
    <row r="164" spans="2:31" hidden="1" x14ac:dyDescent="0.25">
      <c r="B164" s="397" t="str">
        <f t="shared" si="3"/>
        <v/>
      </c>
      <c r="C164" s="398"/>
      <c r="D164" s="395">
        <f>SUMIFS( TB_PROPOSTA!$T:$T, TB_PROPOSTA!$F:$F, $B164, TB_PROPOSTA!$Q:$Q, D$157)</f>
        <v>0</v>
      </c>
      <c r="E164" s="395"/>
      <c r="F164" s="395">
        <f>SUMIFS( TB_PROPOSTA!$T:$T, TB_PROPOSTA!$F:$F, $B164, TB_PROPOSTA!$Q:$Q, F$157)</f>
        <v>0</v>
      </c>
      <c r="G164" s="395"/>
      <c r="H164" s="395">
        <f>SUMIFS( TB_PROPOSTA!$T:$T, TB_PROPOSTA!$F:$F, $B164, TB_PROPOSTA!$Q:$Q, H$157)</f>
        <v>0</v>
      </c>
      <c r="I164" s="395"/>
      <c r="J164" s="395">
        <f>SUMIFS( TB_PROPOSTA!$T:$T, TB_PROPOSTA!$F:$F, $B164, TB_PROPOSTA!$Q:$Q, J$157)</f>
        <v>0</v>
      </c>
      <c r="K164" s="395"/>
      <c r="L164" s="395">
        <f>SUMIFS( TB_PROPOSTA!$T:$T, TB_PROPOSTA!$F:$F, $B164, TB_PROPOSTA!$Q:$Q, L$157)</f>
        <v>0</v>
      </c>
      <c r="M164" s="395"/>
      <c r="N164" s="395">
        <f>SUMIFS( TB_PROPOSTA!$T:$T, TB_PROPOSTA!$F:$F, $B164, TB_PROPOSTA!$Q:$Q, N$157)</f>
        <v>0</v>
      </c>
      <c r="O164" s="396"/>
      <c r="P164" s="70"/>
      <c r="Q164" s="385"/>
      <c r="R164" s="386"/>
      <c r="S164" s="387">
        <f>SUMIFS( TB_PROPOSTA!T:T, TB_PROPOSTA!U:U, $Q164)</f>
        <v>0</v>
      </c>
      <c r="T164" s="388"/>
      <c r="U164" s="79"/>
      <c r="V164" s="402"/>
      <c r="W164" s="403"/>
      <c r="X164" s="403"/>
      <c r="Y164" s="403"/>
      <c r="Z164" s="403"/>
      <c r="AA164" s="403"/>
      <c r="AB164" s="403"/>
      <c r="AC164" s="403"/>
      <c r="AD164" s="403"/>
      <c r="AE164" s="404"/>
    </row>
    <row r="165" spans="2:31" hidden="1" x14ac:dyDescent="0.25">
      <c r="B165" s="397" t="str">
        <f t="shared" si="3"/>
        <v/>
      </c>
      <c r="C165" s="398"/>
      <c r="D165" s="395">
        <f>SUMIFS( TB_PROPOSTA!$T:$T, TB_PROPOSTA!$F:$F, $B165, TB_PROPOSTA!$Q:$Q, D$157)</f>
        <v>0</v>
      </c>
      <c r="E165" s="395"/>
      <c r="F165" s="395">
        <f>SUMIFS( TB_PROPOSTA!$T:$T, TB_PROPOSTA!$F:$F, $B165, TB_PROPOSTA!$Q:$Q, F$157)</f>
        <v>0</v>
      </c>
      <c r="G165" s="395"/>
      <c r="H165" s="395">
        <f>SUMIFS( TB_PROPOSTA!$T:$T, TB_PROPOSTA!$F:$F, $B165, TB_PROPOSTA!$Q:$Q, H$157)</f>
        <v>0</v>
      </c>
      <c r="I165" s="395"/>
      <c r="J165" s="395">
        <f>SUMIFS( TB_PROPOSTA!$T:$T, TB_PROPOSTA!$F:$F, $B165, TB_PROPOSTA!$Q:$Q, J$157)</f>
        <v>0</v>
      </c>
      <c r="K165" s="395"/>
      <c r="L165" s="395">
        <f>SUMIFS( TB_PROPOSTA!$T:$T, TB_PROPOSTA!$F:$F, $B165, TB_PROPOSTA!$Q:$Q, L$157)</f>
        <v>0</v>
      </c>
      <c r="M165" s="395"/>
      <c r="N165" s="395">
        <f>SUMIFS( TB_PROPOSTA!$T:$T, TB_PROPOSTA!$F:$F, $B165, TB_PROPOSTA!$Q:$Q, N$157)</f>
        <v>0</v>
      </c>
      <c r="O165" s="396"/>
      <c r="P165" s="70"/>
      <c r="Q165" s="385"/>
      <c r="R165" s="386"/>
      <c r="S165" s="387">
        <f>SUMIFS( TB_PROPOSTA!T:T, TB_PROPOSTA!U:U, $Q165)</f>
        <v>0</v>
      </c>
      <c r="T165" s="388"/>
      <c r="U165" s="79"/>
      <c r="V165" s="402"/>
      <c r="W165" s="403"/>
      <c r="X165" s="403"/>
      <c r="Y165" s="403"/>
      <c r="Z165" s="403"/>
      <c r="AA165" s="403"/>
      <c r="AB165" s="403"/>
      <c r="AC165" s="403"/>
      <c r="AD165" s="403"/>
      <c r="AE165" s="404"/>
    </row>
    <row r="166" spans="2:31" hidden="1" x14ac:dyDescent="0.25">
      <c r="B166" s="397" t="str">
        <f t="shared" si="3"/>
        <v/>
      </c>
      <c r="C166" s="398"/>
      <c r="D166" s="395">
        <f>SUMIFS( TB_PROPOSTA!$T:$T, TB_PROPOSTA!$F:$F, $B166, TB_PROPOSTA!$Q:$Q, D$157)</f>
        <v>0</v>
      </c>
      <c r="E166" s="395"/>
      <c r="F166" s="395">
        <f>SUMIFS( TB_PROPOSTA!$T:$T, TB_PROPOSTA!$F:$F, $B166, TB_PROPOSTA!$Q:$Q, F$157)</f>
        <v>0</v>
      </c>
      <c r="G166" s="395"/>
      <c r="H166" s="395">
        <f>SUMIFS( TB_PROPOSTA!$T:$T, TB_PROPOSTA!$F:$F, $B166, TB_PROPOSTA!$Q:$Q, H$157)</f>
        <v>0</v>
      </c>
      <c r="I166" s="395"/>
      <c r="J166" s="395">
        <f>SUMIFS( TB_PROPOSTA!$T:$T, TB_PROPOSTA!$F:$F, $B166, TB_PROPOSTA!$Q:$Q, J$157)</f>
        <v>0</v>
      </c>
      <c r="K166" s="395"/>
      <c r="L166" s="395">
        <f>SUMIFS( TB_PROPOSTA!$T:$T, TB_PROPOSTA!$F:$F, $B166, TB_PROPOSTA!$Q:$Q, L$157)</f>
        <v>0</v>
      </c>
      <c r="M166" s="395"/>
      <c r="N166" s="395">
        <f>SUMIFS( TB_PROPOSTA!$T:$T, TB_PROPOSTA!$F:$F, $B166, TB_PROPOSTA!$Q:$Q, N$157)</f>
        <v>0</v>
      </c>
      <c r="O166" s="396"/>
      <c r="P166" s="70"/>
      <c r="Q166" s="385"/>
      <c r="R166" s="386"/>
      <c r="S166" s="387">
        <f>SUMIFS( TB_PROPOSTA!T:T, TB_PROPOSTA!U:U, $Q166)</f>
        <v>0</v>
      </c>
      <c r="T166" s="388"/>
      <c r="U166" s="79"/>
      <c r="V166" s="402"/>
      <c r="W166" s="403"/>
      <c r="X166" s="403"/>
      <c r="Y166" s="403"/>
      <c r="Z166" s="403"/>
      <c r="AA166" s="403"/>
      <c r="AB166" s="403"/>
      <c r="AC166" s="403"/>
      <c r="AD166" s="403"/>
      <c r="AE166" s="404"/>
    </row>
    <row r="167" spans="2:31" hidden="1" x14ac:dyDescent="0.25">
      <c r="B167" s="397" t="str">
        <f t="shared" si="3"/>
        <v/>
      </c>
      <c r="C167" s="398"/>
      <c r="D167" s="395">
        <f>SUMIFS( TB_PROPOSTA!$T:$T, TB_PROPOSTA!$F:$F, $B167, TB_PROPOSTA!$Q:$Q, D$157)</f>
        <v>0</v>
      </c>
      <c r="E167" s="395"/>
      <c r="F167" s="395">
        <f>SUMIFS( TB_PROPOSTA!$T:$T, TB_PROPOSTA!$F:$F, $B167, TB_PROPOSTA!$Q:$Q, F$157)</f>
        <v>0</v>
      </c>
      <c r="G167" s="395"/>
      <c r="H167" s="395">
        <f>SUMIFS( TB_PROPOSTA!$T:$T, TB_PROPOSTA!$F:$F, $B167, TB_PROPOSTA!$Q:$Q, H$157)</f>
        <v>0</v>
      </c>
      <c r="I167" s="395"/>
      <c r="J167" s="395">
        <f>SUMIFS( TB_PROPOSTA!$T:$T, TB_PROPOSTA!$F:$F, $B167, TB_PROPOSTA!$Q:$Q, J$157)</f>
        <v>0</v>
      </c>
      <c r="K167" s="395"/>
      <c r="L167" s="395">
        <f>SUMIFS( TB_PROPOSTA!$T:$T, TB_PROPOSTA!$F:$F, $B167, TB_PROPOSTA!$Q:$Q, L$157)</f>
        <v>0</v>
      </c>
      <c r="M167" s="395"/>
      <c r="N167" s="395">
        <f>SUMIFS( TB_PROPOSTA!$T:$T, TB_PROPOSTA!$F:$F, $B167, TB_PROPOSTA!$Q:$Q, N$157)</f>
        <v>0</v>
      </c>
      <c r="O167" s="396"/>
      <c r="P167" s="70"/>
      <c r="Q167" s="385"/>
      <c r="R167" s="386"/>
      <c r="S167" s="387">
        <f>SUMIFS( TB_PROPOSTA!T:T, TB_PROPOSTA!U:U, $Q167)</f>
        <v>0</v>
      </c>
      <c r="T167" s="388"/>
      <c r="U167" s="79"/>
      <c r="V167" s="402"/>
      <c r="W167" s="403"/>
      <c r="X167" s="403"/>
      <c r="Y167" s="403"/>
      <c r="Z167" s="403"/>
      <c r="AA167" s="403"/>
      <c r="AB167" s="403"/>
      <c r="AC167" s="403"/>
      <c r="AD167" s="403"/>
      <c r="AE167" s="404"/>
    </row>
    <row r="168" spans="2:31" hidden="1" x14ac:dyDescent="0.25">
      <c r="B168" s="397" t="str">
        <f t="shared" si="3"/>
        <v/>
      </c>
      <c r="C168" s="398"/>
      <c r="D168" s="395">
        <f>SUMIFS( TB_PROPOSTA!$T:$T, TB_PROPOSTA!$F:$F, $B168, TB_PROPOSTA!$Q:$Q, D$157)</f>
        <v>0</v>
      </c>
      <c r="E168" s="395"/>
      <c r="F168" s="395">
        <f>SUMIFS( TB_PROPOSTA!$T:$T, TB_PROPOSTA!$F:$F, $B168, TB_PROPOSTA!$Q:$Q, F$157)</f>
        <v>0</v>
      </c>
      <c r="G168" s="395"/>
      <c r="H168" s="395">
        <f>SUMIFS( TB_PROPOSTA!$T:$T, TB_PROPOSTA!$F:$F, $B168, TB_PROPOSTA!$Q:$Q, H$157)</f>
        <v>0</v>
      </c>
      <c r="I168" s="395"/>
      <c r="J168" s="395">
        <f>SUMIFS( TB_PROPOSTA!$T:$T, TB_PROPOSTA!$F:$F, $B168, TB_PROPOSTA!$Q:$Q, J$157)</f>
        <v>0</v>
      </c>
      <c r="K168" s="395"/>
      <c r="L168" s="395">
        <f>SUMIFS( TB_PROPOSTA!$T:$T, TB_PROPOSTA!$F:$F, $B168, TB_PROPOSTA!$Q:$Q, L$157)</f>
        <v>0</v>
      </c>
      <c r="M168" s="395"/>
      <c r="N168" s="395">
        <f>SUMIFS( TB_PROPOSTA!$T:$T, TB_PROPOSTA!$F:$F, $B168, TB_PROPOSTA!$Q:$Q, N$157)</f>
        <v>0</v>
      </c>
      <c r="O168" s="396"/>
      <c r="P168" s="70"/>
      <c r="Q168" s="385"/>
      <c r="R168" s="386"/>
      <c r="S168" s="387">
        <f>SUMIFS( TB_PROPOSTA!T:T, TB_PROPOSTA!U:U, $Q168)</f>
        <v>0</v>
      </c>
      <c r="T168" s="388"/>
      <c r="U168" s="70"/>
      <c r="V168" s="402"/>
      <c r="W168" s="403"/>
      <c r="X168" s="403"/>
      <c r="Y168" s="403"/>
      <c r="Z168" s="403"/>
      <c r="AA168" s="403"/>
      <c r="AB168" s="403"/>
      <c r="AC168" s="403"/>
      <c r="AD168" s="403"/>
      <c r="AE168" s="404"/>
    </row>
    <row r="169" spans="2:31" hidden="1" x14ac:dyDescent="0.25">
      <c r="B169" s="397" t="str">
        <f t="shared" si="3"/>
        <v/>
      </c>
      <c r="C169" s="398"/>
      <c r="D169" s="395">
        <f>SUMIFS( TB_PROPOSTA!$T:$T, TB_PROPOSTA!$F:$F, $B169, TB_PROPOSTA!$Q:$Q, D$157)</f>
        <v>0</v>
      </c>
      <c r="E169" s="395"/>
      <c r="F169" s="395">
        <f>SUMIFS( TB_PROPOSTA!$T:$T, TB_PROPOSTA!$F:$F, $B169, TB_PROPOSTA!$Q:$Q, F$157)</f>
        <v>0</v>
      </c>
      <c r="G169" s="395"/>
      <c r="H169" s="395">
        <f>SUMIFS( TB_PROPOSTA!$T:$T, TB_PROPOSTA!$F:$F, $B169, TB_PROPOSTA!$Q:$Q, H$157)</f>
        <v>0</v>
      </c>
      <c r="I169" s="395"/>
      <c r="J169" s="395">
        <f>SUMIFS( TB_PROPOSTA!$T:$T, TB_PROPOSTA!$F:$F, $B169, TB_PROPOSTA!$Q:$Q, J$157)</f>
        <v>0</v>
      </c>
      <c r="K169" s="395"/>
      <c r="L169" s="395">
        <f>SUMIFS( TB_PROPOSTA!$T:$T, TB_PROPOSTA!$F:$F, $B169, TB_PROPOSTA!$Q:$Q, L$157)</f>
        <v>0</v>
      </c>
      <c r="M169" s="395"/>
      <c r="N169" s="395">
        <f>SUMIFS( TB_PROPOSTA!$T:$T, TB_PROPOSTA!$F:$F, $B169, TB_PROPOSTA!$Q:$Q, N$157)</f>
        <v>0</v>
      </c>
      <c r="O169" s="396"/>
      <c r="P169" s="70"/>
      <c r="Q169" s="385"/>
      <c r="R169" s="386"/>
      <c r="S169" s="387">
        <f>SUMIFS( TB_PROPOSTA!T:T, TB_PROPOSTA!U:U, $Q169)</f>
        <v>0</v>
      </c>
      <c r="T169" s="388"/>
      <c r="U169" s="70"/>
      <c r="V169" s="402"/>
      <c r="W169" s="403"/>
      <c r="X169" s="403"/>
      <c r="Y169" s="403"/>
      <c r="Z169" s="403"/>
      <c r="AA169" s="403"/>
      <c r="AB169" s="403"/>
      <c r="AC169" s="403"/>
      <c r="AD169" s="403"/>
      <c r="AE169" s="404"/>
    </row>
    <row r="170" spans="2:31" ht="15" hidden="1" customHeight="1" x14ac:dyDescent="0.25">
      <c r="B170" s="397" t="str">
        <f t="shared" si="3"/>
        <v/>
      </c>
      <c r="C170" s="398"/>
      <c r="D170" s="395">
        <f>SUMIFS( TB_PROPOSTA!$T:$T, TB_PROPOSTA!$F:$F, $B170, TB_PROPOSTA!$Q:$Q, D$157)</f>
        <v>0</v>
      </c>
      <c r="E170" s="395"/>
      <c r="F170" s="395">
        <f>SUMIFS( TB_PROPOSTA!$T:$T, TB_PROPOSTA!$F:$F, $B170, TB_PROPOSTA!$Q:$Q, F$157)</f>
        <v>0</v>
      </c>
      <c r="G170" s="395"/>
      <c r="H170" s="395">
        <f>SUMIFS( TB_PROPOSTA!$T:$T, TB_PROPOSTA!$F:$F, $B170, TB_PROPOSTA!$Q:$Q, H$157)</f>
        <v>0</v>
      </c>
      <c r="I170" s="395"/>
      <c r="J170" s="395">
        <f>SUMIFS( TB_PROPOSTA!$T:$T, TB_PROPOSTA!$F:$F, $B170, TB_PROPOSTA!$Q:$Q, J$157)</f>
        <v>0</v>
      </c>
      <c r="K170" s="395"/>
      <c r="L170" s="395">
        <f>SUMIFS( TB_PROPOSTA!$T:$T, TB_PROPOSTA!$F:$F, $B170, TB_PROPOSTA!$Q:$Q, L$157)</f>
        <v>0</v>
      </c>
      <c r="M170" s="395"/>
      <c r="N170" s="395">
        <f>SUMIFS( TB_PROPOSTA!$T:$T, TB_PROPOSTA!$F:$F, $B170, TB_PROPOSTA!$Q:$Q, N$157)</f>
        <v>0</v>
      </c>
      <c r="O170" s="396"/>
      <c r="P170" s="70"/>
      <c r="Q170" s="385"/>
      <c r="R170" s="386"/>
      <c r="S170" s="387">
        <f>SUMIFS( TB_PROPOSTA!T:T, TB_PROPOSTA!U:U, $Q170)</f>
        <v>0</v>
      </c>
      <c r="T170" s="388"/>
      <c r="U170" s="70"/>
      <c r="V170" s="402"/>
      <c r="W170" s="403"/>
      <c r="X170" s="403"/>
      <c r="Y170" s="403"/>
      <c r="Z170" s="403"/>
      <c r="AA170" s="403"/>
      <c r="AB170" s="403"/>
      <c r="AC170" s="403"/>
      <c r="AD170" s="403"/>
      <c r="AE170" s="404"/>
    </row>
    <row r="171" spans="2:31" hidden="1" x14ac:dyDescent="0.25">
      <c r="B171" s="397" t="str">
        <f t="shared" si="3"/>
        <v/>
      </c>
      <c r="C171" s="398"/>
      <c r="D171" s="395">
        <f>SUMIFS( TB_PROPOSTA!$T:$T, TB_PROPOSTA!$F:$F, $B171, TB_PROPOSTA!$Q:$Q, D$157)</f>
        <v>0</v>
      </c>
      <c r="E171" s="395"/>
      <c r="F171" s="395">
        <f>SUMIFS( TB_PROPOSTA!$T:$T, TB_PROPOSTA!$F:$F, $B171, TB_PROPOSTA!$Q:$Q, F$157)</f>
        <v>0</v>
      </c>
      <c r="G171" s="395"/>
      <c r="H171" s="395">
        <f>SUMIFS( TB_PROPOSTA!$T:$T, TB_PROPOSTA!$F:$F, $B171, TB_PROPOSTA!$Q:$Q, H$157)</f>
        <v>0</v>
      </c>
      <c r="I171" s="395"/>
      <c r="J171" s="395">
        <f>SUMIFS( TB_PROPOSTA!$T:$T, TB_PROPOSTA!$F:$F, $B171, TB_PROPOSTA!$Q:$Q, J$157)</f>
        <v>0</v>
      </c>
      <c r="K171" s="395"/>
      <c r="L171" s="395">
        <f>SUMIFS( TB_PROPOSTA!$T:$T, TB_PROPOSTA!$F:$F, $B171, TB_PROPOSTA!$Q:$Q, L$157)</f>
        <v>0</v>
      </c>
      <c r="M171" s="395"/>
      <c r="N171" s="395">
        <f>SUMIFS( TB_PROPOSTA!$T:$T, TB_PROPOSTA!$F:$F, $B171, TB_PROPOSTA!$Q:$Q, N$157)</f>
        <v>0</v>
      </c>
      <c r="O171" s="396"/>
      <c r="P171" s="70"/>
      <c r="Q171" s="385"/>
      <c r="R171" s="386"/>
      <c r="S171" s="387">
        <f>SUMIFS( TB_PROPOSTA!T:T, TB_PROPOSTA!U:U, $Q171)</f>
        <v>0</v>
      </c>
      <c r="T171" s="388"/>
      <c r="U171" s="70"/>
      <c r="V171" s="402"/>
      <c r="W171" s="403"/>
      <c r="X171" s="403"/>
      <c r="Y171" s="403"/>
      <c r="Z171" s="403"/>
      <c r="AA171" s="403"/>
      <c r="AB171" s="403"/>
      <c r="AC171" s="403"/>
      <c r="AD171" s="403"/>
      <c r="AE171" s="404"/>
    </row>
    <row r="172" spans="2:31" hidden="1" x14ac:dyDescent="0.25">
      <c r="B172" s="397" t="str">
        <f t="shared" si="3"/>
        <v/>
      </c>
      <c r="C172" s="398"/>
      <c r="D172" s="395">
        <f>SUMIFS( TB_PROPOSTA!$T:$T, TB_PROPOSTA!$F:$F, $B172, TB_PROPOSTA!$Q:$Q, D$157)</f>
        <v>0</v>
      </c>
      <c r="E172" s="395"/>
      <c r="F172" s="395">
        <f>SUMIFS( TB_PROPOSTA!$T:$T, TB_PROPOSTA!$F:$F, $B172, TB_PROPOSTA!$Q:$Q, F$157)</f>
        <v>0</v>
      </c>
      <c r="G172" s="395"/>
      <c r="H172" s="395">
        <f>SUMIFS( TB_PROPOSTA!$T:$T, TB_PROPOSTA!$F:$F, $B172, TB_PROPOSTA!$Q:$Q, H$157)</f>
        <v>0</v>
      </c>
      <c r="I172" s="395"/>
      <c r="J172" s="395">
        <f>SUMIFS( TB_PROPOSTA!$T:$T, TB_PROPOSTA!$F:$F, $B172, TB_PROPOSTA!$Q:$Q, J$157)</f>
        <v>0</v>
      </c>
      <c r="K172" s="395"/>
      <c r="L172" s="395">
        <f>SUMIFS( TB_PROPOSTA!$T:$T, TB_PROPOSTA!$F:$F, $B172, TB_PROPOSTA!$Q:$Q, L$157)</f>
        <v>0</v>
      </c>
      <c r="M172" s="395"/>
      <c r="N172" s="395">
        <f>SUMIFS( TB_PROPOSTA!$T:$T, TB_PROPOSTA!$F:$F, $B172, TB_PROPOSTA!$Q:$Q, N$157)</f>
        <v>0</v>
      </c>
      <c r="O172" s="396"/>
      <c r="P172" s="70"/>
      <c r="Q172" s="385"/>
      <c r="R172" s="386"/>
      <c r="S172" s="387">
        <f>SUMIFS( TB_PROPOSTA!T:T, TB_PROPOSTA!U:U, $Q172)</f>
        <v>0</v>
      </c>
      <c r="T172" s="388"/>
      <c r="U172" s="70"/>
      <c r="V172" s="402"/>
      <c r="W172" s="403"/>
      <c r="X172" s="403"/>
      <c r="Y172" s="403"/>
      <c r="Z172" s="403"/>
      <c r="AA172" s="403"/>
      <c r="AB172" s="403"/>
      <c r="AC172" s="403"/>
      <c r="AD172" s="403"/>
      <c r="AE172" s="404"/>
    </row>
    <row r="173" spans="2:31" hidden="1" x14ac:dyDescent="0.25">
      <c r="B173" s="397" t="str">
        <f t="shared" si="3"/>
        <v/>
      </c>
      <c r="C173" s="398"/>
      <c r="D173" s="395">
        <f>SUMIFS( TB_PROPOSTA!$T:$T, TB_PROPOSTA!$F:$F, $B173, TB_PROPOSTA!$Q:$Q, D$157)</f>
        <v>0</v>
      </c>
      <c r="E173" s="395"/>
      <c r="F173" s="395">
        <f>SUMIFS( TB_PROPOSTA!$T:$T, TB_PROPOSTA!$F:$F, $B173, TB_PROPOSTA!$Q:$Q, F$157)</f>
        <v>0</v>
      </c>
      <c r="G173" s="395"/>
      <c r="H173" s="395">
        <f>SUMIFS( TB_PROPOSTA!$T:$T, TB_PROPOSTA!$F:$F, $B173, TB_PROPOSTA!$Q:$Q, H$157)</f>
        <v>0</v>
      </c>
      <c r="I173" s="395"/>
      <c r="J173" s="395">
        <f>SUMIFS( TB_PROPOSTA!$T:$T, TB_PROPOSTA!$F:$F, $B173, TB_PROPOSTA!$Q:$Q, J$157)</f>
        <v>0</v>
      </c>
      <c r="K173" s="395"/>
      <c r="L173" s="395">
        <f>SUMIFS( TB_PROPOSTA!$T:$T, TB_PROPOSTA!$F:$F, $B173, TB_PROPOSTA!$Q:$Q, L$157)</f>
        <v>0</v>
      </c>
      <c r="M173" s="395"/>
      <c r="N173" s="395">
        <f>SUMIFS( TB_PROPOSTA!$T:$T, TB_PROPOSTA!$F:$F, $B173, TB_PROPOSTA!$Q:$Q, N$157)</f>
        <v>0</v>
      </c>
      <c r="O173" s="396"/>
      <c r="P173" s="70"/>
      <c r="Q173" s="385"/>
      <c r="R173" s="386"/>
      <c r="S173" s="387">
        <f>SUMIFS( TB_PROPOSTA!T:T, TB_PROPOSTA!U:U, $Q173)</f>
        <v>0</v>
      </c>
      <c r="T173" s="388"/>
      <c r="U173" s="70"/>
      <c r="V173" s="402"/>
      <c r="W173" s="403"/>
      <c r="X173" s="403"/>
      <c r="Y173" s="403"/>
      <c r="Z173" s="403"/>
      <c r="AA173" s="403"/>
      <c r="AB173" s="403"/>
      <c r="AC173" s="403"/>
      <c r="AD173" s="403"/>
      <c r="AE173" s="404"/>
    </row>
    <row r="174" spans="2:31" hidden="1" x14ac:dyDescent="0.25">
      <c r="B174" s="397" t="str">
        <f t="shared" si="3"/>
        <v/>
      </c>
      <c r="C174" s="398"/>
      <c r="D174" s="395">
        <f>SUMIFS( TB_PROPOSTA!$T:$T, TB_PROPOSTA!$F:$F, $B174, TB_PROPOSTA!$Q:$Q, D$157)</f>
        <v>0</v>
      </c>
      <c r="E174" s="395"/>
      <c r="F174" s="395">
        <f>SUMIFS( TB_PROPOSTA!$T:$T, TB_PROPOSTA!$F:$F, $B174, TB_PROPOSTA!$Q:$Q, F$157)</f>
        <v>0</v>
      </c>
      <c r="G174" s="395"/>
      <c r="H174" s="395">
        <f>SUMIFS( TB_PROPOSTA!$T:$T, TB_PROPOSTA!$F:$F, $B174, TB_PROPOSTA!$Q:$Q, H$157)</f>
        <v>0</v>
      </c>
      <c r="I174" s="395"/>
      <c r="J174" s="395">
        <f>SUMIFS( TB_PROPOSTA!$T:$T, TB_PROPOSTA!$F:$F, $B174, TB_PROPOSTA!$Q:$Q, J$157)</f>
        <v>0</v>
      </c>
      <c r="K174" s="395"/>
      <c r="L174" s="395">
        <f>SUMIFS( TB_PROPOSTA!$T:$T, TB_PROPOSTA!$F:$F, $B174, TB_PROPOSTA!$Q:$Q, L$157)</f>
        <v>0</v>
      </c>
      <c r="M174" s="395"/>
      <c r="N174" s="395">
        <f>SUMIFS( TB_PROPOSTA!$T:$T, TB_PROPOSTA!$F:$F, $B174, TB_PROPOSTA!$Q:$Q, N$157)</f>
        <v>0</v>
      </c>
      <c r="O174" s="396"/>
      <c r="P174" s="70"/>
      <c r="Q174" s="385"/>
      <c r="R174" s="386"/>
      <c r="S174" s="387">
        <f>SUMIFS( TB_PROPOSTA!T:T, TB_PROPOSTA!U:U, $Q174)</f>
        <v>0</v>
      </c>
      <c r="T174" s="388"/>
      <c r="U174" s="70"/>
      <c r="V174" s="402"/>
      <c r="W174" s="403"/>
      <c r="X174" s="403"/>
      <c r="Y174" s="403"/>
      <c r="Z174" s="403"/>
      <c r="AA174" s="403"/>
      <c r="AB174" s="403"/>
      <c r="AC174" s="403"/>
      <c r="AD174" s="403"/>
      <c r="AE174" s="404"/>
    </row>
    <row r="175" spans="2:31" hidden="1" x14ac:dyDescent="0.25">
      <c r="B175" s="397" t="str">
        <f t="shared" si="3"/>
        <v/>
      </c>
      <c r="C175" s="398"/>
      <c r="D175" s="395">
        <f>SUMIFS( TB_PROPOSTA!$T:$T, TB_PROPOSTA!$F:$F, $B175, TB_PROPOSTA!$Q:$Q, D$157)</f>
        <v>0</v>
      </c>
      <c r="E175" s="395"/>
      <c r="F175" s="395">
        <f>SUMIFS( TB_PROPOSTA!$T:$T, TB_PROPOSTA!$F:$F, $B175, TB_PROPOSTA!$Q:$Q, F$157)</f>
        <v>0</v>
      </c>
      <c r="G175" s="395"/>
      <c r="H175" s="395">
        <f>SUMIFS( TB_PROPOSTA!$T:$T, TB_PROPOSTA!$F:$F, $B175, TB_PROPOSTA!$Q:$Q, H$157)</f>
        <v>0</v>
      </c>
      <c r="I175" s="395"/>
      <c r="J175" s="395">
        <f>SUMIFS( TB_PROPOSTA!$T:$T, TB_PROPOSTA!$F:$F, $B175, TB_PROPOSTA!$Q:$Q, J$157)</f>
        <v>0</v>
      </c>
      <c r="K175" s="395"/>
      <c r="L175" s="395">
        <f>SUMIFS( TB_PROPOSTA!$T:$T, TB_PROPOSTA!$F:$F, $B175, TB_PROPOSTA!$Q:$Q, L$157)</f>
        <v>0</v>
      </c>
      <c r="M175" s="395"/>
      <c r="N175" s="395">
        <f>SUMIFS( TB_PROPOSTA!$T:$T, TB_PROPOSTA!$F:$F, $B175, TB_PROPOSTA!$Q:$Q, N$157)</f>
        <v>0</v>
      </c>
      <c r="O175" s="396"/>
      <c r="P175" s="70"/>
      <c r="Q175" s="385"/>
      <c r="R175" s="386"/>
      <c r="S175" s="387">
        <f>SUMIFS( TB_PROPOSTA!T:T, TB_PROPOSTA!U:U, $Q175)</f>
        <v>0</v>
      </c>
      <c r="T175" s="388"/>
      <c r="U175" s="70"/>
      <c r="V175" s="402"/>
      <c r="W175" s="403"/>
      <c r="X175" s="403"/>
      <c r="Y175" s="403"/>
      <c r="Z175" s="403"/>
      <c r="AA175" s="403"/>
      <c r="AB175" s="403"/>
      <c r="AC175" s="403"/>
      <c r="AD175" s="403"/>
      <c r="AE175" s="404"/>
    </row>
    <row r="176" spans="2:31" hidden="1" x14ac:dyDescent="0.25">
      <c r="B176" s="397" t="str">
        <f t="shared" si="3"/>
        <v/>
      </c>
      <c r="C176" s="398"/>
      <c r="D176" s="395">
        <f>SUMIFS( TB_PROPOSTA!$T:$T, TB_PROPOSTA!$F:$F, $B176, TB_PROPOSTA!$Q:$Q, D$157)</f>
        <v>0</v>
      </c>
      <c r="E176" s="395"/>
      <c r="F176" s="395">
        <f>SUMIFS( TB_PROPOSTA!$T:$T, TB_PROPOSTA!$F:$F, $B176, TB_PROPOSTA!$Q:$Q, F$157)</f>
        <v>0</v>
      </c>
      <c r="G176" s="395"/>
      <c r="H176" s="395">
        <f>SUMIFS( TB_PROPOSTA!$T:$T, TB_PROPOSTA!$F:$F, $B176, TB_PROPOSTA!$Q:$Q, H$157)</f>
        <v>0</v>
      </c>
      <c r="I176" s="395"/>
      <c r="J176" s="395">
        <f>SUMIFS( TB_PROPOSTA!$T:$T, TB_PROPOSTA!$F:$F, $B176, TB_PROPOSTA!$Q:$Q, J$157)</f>
        <v>0</v>
      </c>
      <c r="K176" s="395"/>
      <c r="L176" s="395">
        <f>SUMIFS( TB_PROPOSTA!$T:$T, TB_PROPOSTA!$F:$F, $B176, TB_PROPOSTA!$Q:$Q, L$157)</f>
        <v>0</v>
      </c>
      <c r="M176" s="395"/>
      <c r="N176" s="395">
        <f>SUMIFS( TB_PROPOSTA!$T:$T, TB_PROPOSTA!$F:$F, $B176, TB_PROPOSTA!$Q:$Q, N$157)</f>
        <v>0</v>
      </c>
      <c r="O176" s="396"/>
      <c r="P176" s="70"/>
      <c r="Q176" s="385"/>
      <c r="R176" s="386"/>
      <c r="S176" s="387">
        <f>SUMIFS( TB_PROPOSTA!T:T, TB_PROPOSTA!U:U, $Q176)</f>
        <v>0</v>
      </c>
      <c r="T176" s="388"/>
      <c r="U176" s="70"/>
      <c r="V176" s="402"/>
      <c r="W176" s="403"/>
      <c r="X176" s="403"/>
      <c r="Y176" s="403"/>
      <c r="Z176" s="403"/>
      <c r="AA176" s="403"/>
      <c r="AB176" s="403"/>
      <c r="AC176" s="403"/>
      <c r="AD176" s="403"/>
      <c r="AE176" s="404"/>
    </row>
    <row r="177" spans="2:31" hidden="1" x14ac:dyDescent="0.25">
      <c r="B177" s="397" t="str">
        <f t="shared" si="3"/>
        <v/>
      </c>
      <c r="C177" s="398"/>
      <c r="D177" s="395">
        <f>SUMIFS( TB_PROPOSTA!$T:$T, TB_PROPOSTA!$F:$F, $B177, TB_PROPOSTA!$Q:$Q, D$157)</f>
        <v>0</v>
      </c>
      <c r="E177" s="395"/>
      <c r="F177" s="395">
        <f>SUMIFS( TB_PROPOSTA!$T:$T, TB_PROPOSTA!$F:$F, $B177, TB_PROPOSTA!$Q:$Q, F$157)</f>
        <v>0</v>
      </c>
      <c r="G177" s="395"/>
      <c r="H177" s="395">
        <f>SUMIFS( TB_PROPOSTA!$T:$T, TB_PROPOSTA!$F:$F, $B177, TB_PROPOSTA!$Q:$Q, H$157)</f>
        <v>0</v>
      </c>
      <c r="I177" s="395"/>
      <c r="J177" s="395">
        <f>SUMIFS( TB_PROPOSTA!$T:$T, TB_PROPOSTA!$F:$F, $B177, TB_PROPOSTA!$Q:$Q, J$157)</f>
        <v>0</v>
      </c>
      <c r="K177" s="395"/>
      <c r="L177" s="395">
        <f>SUMIFS( TB_PROPOSTA!$T:$T, TB_PROPOSTA!$F:$F, $B177, TB_PROPOSTA!$Q:$Q, L$157)</f>
        <v>0</v>
      </c>
      <c r="M177" s="395"/>
      <c r="N177" s="395">
        <f>SUMIFS( TB_PROPOSTA!$T:$T, TB_PROPOSTA!$F:$F, $B177, TB_PROPOSTA!$Q:$Q, N$157)</f>
        <v>0</v>
      </c>
      <c r="O177" s="396"/>
      <c r="P177" s="70"/>
      <c r="Q177" s="385"/>
      <c r="R177" s="386"/>
      <c r="S177" s="387">
        <f>SUMIFS( TB_PROPOSTA!T:T, TB_PROPOSTA!U:U, $Q177)</f>
        <v>0</v>
      </c>
      <c r="T177" s="388"/>
      <c r="U177" s="70"/>
      <c r="V177" s="402"/>
      <c r="W177" s="403"/>
      <c r="X177" s="403"/>
      <c r="Y177" s="403"/>
      <c r="Z177" s="403"/>
      <c r="AA177" s="403"/>
      <c r="AB177" s="403"/>
      <c r="AC177" s="403"/>
      <c r="AD177" s="403"/>
      <c r="AE177" s="404"/>
    </row>
    <row r="178" spans="2:31" hidden="1" x14ac:dyDescent="0.25">
      <c r="B178" s="397" t="str">
        <f t="shared" si="3"/>
        <v/>
      </c>
      <c r="C178" s="398"/>
      <c r="D178" s="395">
        <f>SUMIFS( TB_PROPOSTA!$T:$T, TB_PROPOSTA!$F:$F, $B178, TB_PROPOSTA!$Q:$Q, D$157)</f>
        <v>0</v>
      </c>
      <c r="E178" s="395"/>
      <c r="F178" s="395">
        <f>SUMIFS( TB_PROPOSTA!$T:$T, TB_PROPOSTA!$F:$F, $B178, TB_PROPOSTA!$Q:$Q, F$157)</f>
        <v>0</v>
      </c>
      <c r="G178" s="395"/>
      <c r="H178" s="395">
        <f>SUMIFS( TB_PROPOSTA!$T:$T, TB_PROPOSTA!$F:$F, $B178, TB_PROPOSTA!$Q:$Q, H$157)</f>
        <v>0</v>
      </c>
      <c r="I178" s="395"/>
      <c r="J178" s="395">
        <f>SUMIFS( TB_PROPOSTA!$T:$T, TB_PROPOSTA!$F:$F, $B178, TB_PROPOSTA!$Q:$Q, J$157)</f>
        <v>0</v>
      </c>
      <c r="K178" s="395"/>
      <c r="L178" s="395">
        <f>SUMIFS( TB_PROPOSTA!$T:$T, TB_PROPOSTA!$F:$F, $B178, TB_PROPOSTA!$Q:$Q, L$157)</f>
        <v>0</v>
      </c>
      <c r="M178" s="395"/>
      <c r="N178" s="395">
        <f>SUMIFS( TB_PROPOSTA!$T:$T, TB_PROPOSTA!$F:$F, $B178, TB_PROPOSTA!$Q:$Q, N$157)</f>
        <v>0</v>
      </c>
      <c r="O178" s="396"/>
      <c r="P178" s="70"/>
      <c r="Q178" s="385"/>
      <c r="R178" s="386"/>
      <c r="S178" s="387">
        <f>SUMIFS( TB_PROPOSTA!T:T, TB_PROPOSTA!U:U, $Q178)</f>
        <v>0</v>
      </c>
      <c r="T178" s="388"/>
      <c r="U178" s="70"/>
      <c r="V178" s="402"/>
      <c r="W178" s="403"/>
      <c r="X178" s="403"/>
      <c r="Y178" s="403"/>
      <c r="Z178" s="403"/>
      <c r="AA178" s="403"/>
      <c r="AB178" s="403"/>
      <c r="AC178" s="403"/>
      <c r="AD178" s="403"/>
      <c r="AE178" s="404"/>
    </row>
    <row r="179" spans="2:31" hidden="1" x14ac:dyDescent="0.25">
      <c r="B179" s="397" t="str">
        <f t="shared" si="3"/>
        <v/>
      </c>
      <c r="C179" s="398"/>
      <c r="D179" s="395">
        <f>SUMIFS( TB_PROPOSTA!$T:$T, TB_PROPOSTA!$F:$F, $B179, TB_PROPOSTA!$Q:$Q, D$157)</f>
        <v>0</v>
      </c>
      <c r="E179" s="395"/>
      <c r="F179" s="395">
        <f>SUMIFS( TB_PROPOSTA!$T:$T, TB_PROPOSTA!$F:$F, $B179, TB_PROPOSTA!$Q:$Q, F$157)</f>
        <v>0</v>
      </c>
      <c r="G179" s="395"/>
      <c r="H179" s="395">
        <f>SUMIFS( TB_PROPOSTA!$T:$T, TB_PROPOSTA!$F:$F, $B179, TB_PROPOSTA!$Q:$Q, H$157)</f>
        <v>0</v>
      </c>
      <c r="I179" s="395"/>
      <c r="J179" s="395">
        <f>SUMIFS( TB_PROPOSTA!$T:$T, TB_PROPOSTA!$F:$F, $B179, TB_PROPOSTA!$Q:$Q, J$157)</f>
        <v>0</v>
      </c>
      <c r="K179" s="395"/>
      <c r="L179" s="395">
        <f>SUMIFS( TB_PROPOSTA!$T:$T, TB_PROPOSTA!$F:$F, $B179, TB_PROPOSTA!$Q:$Q, L$157)</f>
        <v>0</v>
      </c>
      <c r="M179" s="395"/>
      <c r="N179" s="395">
        <f>SUMIFS( TB_PROPOSTA!$T:$T, TB_PROPOSTA!$F:$F, $B179, TB_PROPOSTA!$Q:$Q, N$157)</f>
        <v>0</v>
      </c>
      <c r="O179" s="396"/>
      <c r="P179" s="70"/>
      <c r="Q179" s="385"/>
      <c r="R179" s="386"/>
      <c r="S179" s="387">
        <f>SUMIFS( TB_PROPOSTA!T:T, TB_PROPOSTA!U:U, $Q179)</f>
        <v>0</v>
      </c>
      <c r="T179" s="388"/>
      <c r="U179" s="70"/>
      <c r="V179" s="402"/>
      <c r="W179" s="403"/>
      <c r="X179" s="403"/>
      <c r="Y179" s="403"/>
      <c r="Z179" s="403"/>
      <c r="AA179" s="403"/>
      <c r="AB179" s="403"/>
      <c r="AC179" s="403"/>
      <c r="AD179" s="403"/>
      <c r="AE179" s="404"/>
    </row>
    <row r="180" spans="2:31" hidden="1" x14ac:dyDescent="0.25">
      <c r="B180" s="389" t="str">
        <f t="shared" si="3"/>
        <v/>
      </c>
      <c r="C180" s="390"/>
      <c r="D180" s="391">
        <f>SUMIFS( TB_PROPOSTA!$T:$T, TB_PROPOSTA!$F:$F, $B180, TB_PROPOSTA!$Q:$Q, D$157)</f>
        <v>0</v>
      </c>
      <c r="E180" s="391"/>
      <c r="F180" s="391">
        <f>SUMIFS( TB_PROPOSTA!$T:$T, TB_PROPOSTA!$F:$F, $B180, TB_PROPOSTA!$Q:$Q, F$157)</f>
        <v>0</v>
      </c>
      <c r="G180" s="391"/>
      <c r="H180" s="391">
        <f>SUMIFS( TB_PROPOSTA!$T:$T, TB_PROPOSTA!$F:$F, $B180, TB_PROPOSTA!$Q:$Q, H$157)</f>
        <v>0</v>
      </c>
      <c r="I180" s="391"/>
      <c r="J180" s="391">
        <f>SUMIFS( TB_PROPOSTA!$T:$T, TB_PROPOSTA!$F:$F, $B180, TB_PROPOSTA!$Q:$Q, J$157)</f>
        <v>0</v>
      </c>
      <c r="K180" s="391"/>
      <c r="L180" s="391">
        <f>SUMIFS( TB_PROPOSTA!$T:$T, TB_PROPOSTA!$F:$F, $B180, TB_PROPOSTA!$Q:$Q, L$157)</f>
        <v>0</v>
      </c>
      <c r="M180" s="391"/>
      <c r="N180" s="391">
        <f>SUMIFS( TB_PROPOSTA!$T:$T, TB_PROPOSTA!$F:$F, $B180, TB_PROPOSTA!$Q:$Q, N$157)</f>
        <v>0</v>
      </c>
      <c r="O180" s="392"/>
      <c r="Q180" s="393"/>
      <c r="R180" s="394"/>
      <c r="S180" s="383">
        <f>SUMIFS( TB_PROPOSTA!T:T, TB_PROPOSTA!U:U, $Q180)</f>
        <v>0</v>
      </c>
      <c r="T180" s="384"/>
      <c r="V180" s="405"/>
      <c r="W180" s="406"/>
      <c r="X180" s="406"/>
      <c r="Y180" s="406"/>
      <c r="Z180" s="406"/>
      <c r="AA180" s="406"/>
      <c r="AB180" s="406"/>
      <c r="AC180" s="406"/>
      <c r="AD180" s="406"/>
      <c r="AE180" s="407"/>
    </row>
    <row r="181" spans="2:31" hidden="1" x14ac:dyDescent="0.25">
      <c r="B181" s="68"/>
      <c r="C181" s="63"/>
      <c r="D181" s="63"/>
      <c r="E181" s="63"/>
      <c r="F181" s="63"/>
      <c r="G181" s="63"/>
      <c r="H181" s="63"/>
      <c r="I181" s="63"/>
      <c r="J181" s="63"/>
      <c r="K181" s="63"/>
      <c r="L181" s="63"/>
      <c r="M181" s="63"/>
      <c r="N181" s="63"/>
      <c r="O181" s="63"/>
      <c r="P181" s="63"/>
      <c r="Q181" s="63"/>
      <c r="R181" s="63"/>
      <c r="S181" s="63"/>
      <c r="T181" s="63"/>
      <c r="U181" s="63"/>
      <c r="V181" s="63"/>
      <c r="W181" s="63"/>
      <c r="X181" s="63"/>
      <c r="Y181" s="63"/>
      <c r="Z181" s="63"/>
      <c r="AA181" s="63"/>
      <c r="AB181" s="63"/>
      <c r="AC181" s="63"/>
      <c r="AD181" s="63"/>
      <c r="AE181" s="69"/>
    </row>
    <row r="182" spans="2:31" hidden="1" x14ac:dyDescent="0.25"/>
  </sheetData>
  <sheetProtection algorithmName="SHA-512" hashValue="h0aKE4W/2IhX31bI9KfdEtKcq0CwjcQ6/QqOhZbJqiu7OLlFakGqhBbKDUprSCz8TfcwlNK750QzeWNzZjN0yw==" saltValue="skyyZT4pGTQp7pORToSujQ==" spinCount="100000" sheet="1" objects="1" scenarios="1"/>
  <mergeCells count="1383">
    <mergeCell ref="J150:K150"/>
    <mergeCell ref="H150:I150"/>
    <mergeCell ref="E149:K149"/>
    <mergeCell ref="H176:I176"/>
    <mergeCell ref="N174:O174"/>
    <mergeCell ref="V153:AE157"/>
    <mergeCell ref="V159:AE180"/>
    <mergeCell ref="Q153:R153"/>
    <mergeCell ref="Q154:R154"/>
    <mergeCell ref="Q155:R155"/>
    <mergeCell ref="D178:E178"/>
    <mergeCell ref="F178:G178"/>
    <mergeCell ref="H178:I178"/>
    <mergeCell ref="J178:K178"/>
    <mergeCell ref="L178:M178"/>
    <mergeCell ref="N178:O178"/>
    <mergeCell ref="D179:E179"/>
    <mergeCell ref="F179:G179"/>
    <mergeCell ref="H179:I179"/>
    <mergeCell ref="J179:K179"/>
    <mergeCell ref="L179:M179"/>
    <mergeCell ref="N179:O179"/>
    <mergeCell ref="D180:E180"/>
    <mergeCell ref="F180:G180"/>
    <mergeCell ref="H180:I180"/>
    <mergeCell ref="J180:K180"/>
    <mergeCell ref="L180:M180"/>
    <mergeCell ref="N180:O180"/>
    <mergeCell ref="D175:E175"/>
    <mergeCell ref="F175:G175"/>
    <mergeCell ref="H175:I175"/>
    <mergeCell ref="J175:K175"/>
    <mergeCell ref="L175:M175"/>
    <mergeCell ref="N175:O175"/>
    <mergeCell ref="D176:E176"/>
    <mergeCell ref="F176:G176"/>
    <mergeCell ref="D171:E171"/>
    <mergeCell ref="F171:G171"/>
    <mergeCell ref="H171:I171"/>
    <mergeCell ref="J171:K171"/>
    <mergeCell ref="L171:M171"/>
    <mergeCell ref="N171:O171"/>
    <mergeCell ref="J176:K176"/>
    <mergeCell ref="L176:M176"/>
    <mergeCell ref="N176:O176"/>
    <mergeCell ref="D177:E177"/>
    <mergeCell ref="F177:G177"/>
    <mergeCell ref="H177:I177"/>
    <mergeCell ref="J177:K177"/>
    <mergeCell ref="L177:M177"/>
    <mergeCell ref="N177:O177"/>
    <mergeCell ref="D172:E172"/>
    <mergeCell ref="F172:G172"/>
    <mergeCell ref="H172:I172"/>
    <mergeCell ref="J172:K172"/>
    <mergeCell ref="L172:M172"/>
    <mergeCell ref="N172:O172"/>
    <mergeCell ref="D173:E173"/>
    <mergeCell ref="F173:G173"/>
    <mergeCell ref="H173:I173"/>
    <mergeCell ref="J173:K173"/>
    <mergeCell ref="L173:M173"/>
    <mergeCell ref="N173:O173"/>
    <mergeCell ref="D174:E174"/>
    <mergeCell ref="F174:G174"/>
    <mergeCell ref="H174:I174"/>
    <mergeCell ref="J174:K174"/>
    <mergeCell ref="L174:M174"/>
    <mergeCell ref="D168:E168"/>
    <mergeCell ref="F168:G168"/>
    <mergeCell ref="H168:I168"/>
    <mergeCell ref="J168:K168"/>
    <mergeCell ref="L168:M168"/>
    <mergeCell ref="N168:O168"/>
    <mergeCell ref="D169:E169"/>
    <mergeCell ref="F169:G169"/>
    <mergeCell ref="H169:I169"/>
    <mergeCell ref="J169:K169"/>
    <mergeCell ref="L169:M169"/>
    <mergeCell ref="N169:O169"/>
    <mergeCell ref="D170:E170"/>
    <mergeCell ref="F170:G170"/>
    <mergeCell ref="H170:I170"/>
    <mergeCell ref="J170:K170"/>
    <mergeCell ref="L170:M170"/>
    <mergeCell ref="N170:O170"/>
    <mergeCell ref="D165:E165"/>
    <mergeCell ref="F165:G165"/>
    <mergeCell ref="H165:I165"/>
    <mergeCell ref="J165:K165"/>
    <mergeCell ref="L165:M165"/>
    <mergeCell ref="N165:O165"/>
    <mergeCell ref="D166:E166"/>
    <mergeCell ref="F166:G166"/>
    <mergeCell ref="H166:I166"/>
    <mergeCell ref="J166:K166"/>
    <mergeCell ref="L166:M166"/>
    <mergeCell ref="N166:O166"/>
    <mergeCell ref="D167:E167"/>
    <mergeCell ref="F167:G167"/>
    <mergeCell ref="H167:I167"/>
    <mergeCell ref="J167:K167"/>
    <mergeCell ref="L167:M167"/>
    <mergeCell ref="N167:O167"/>
    <mergeCell ref="B158:C158"/>
    <mergeCell ref="B159:C159"/>
    <mergeCell ref="D160:E160"/>
    <mergeCell ref="F160:G160"/>
    <mergeCell ref="H160:I160"/>
    <mergeCell ref="J160:K160"/>
    <mergeCell ref="L160:M160"/>
    <mergeCell ref="N160:O160"/>
    <mergeCell ref="D161:E161"/>
    <mergeCell ref="F161:G161"/>
    <mergeCell ref="H161:I161"/>
    <mergeCell ref="J161:K161"/>
    <mergeCell ref="L161:M161"/>
    <mergeCell ref="N161:O161"/>
    <mergeCell ref="D162:E162"/>
    <mergeCell ref="F162:G162"/>
    <mergeCell ref="H162:I162"/>
    <mergeCell ref="J162:K162"/>
    <mergeCell ref="L162:M162"/>
    <mergeCell ref="N162:O162"/>
    <mergeCell ref="B161:C161"/>
    <mergeCell ref="B162:C162"/>
    <mergeCell ref="F156:G156"/>
    <mergeCell ref="H156:I156"/>
    <mergeCell ref="J156:K156"/>
    <mergeCell ref="L156:M156"/>
    <mergeCell ref="N156:O156"/>
    <mergeCell ref="D158:E158"/>
    <mergeCell ref="F158:G158"/>
    <mergeCell ref="H158:I158"/>
    <mergeCell ref="J158:K158"/>
    <mergeCell ref="L158:M158"/>
    <mergeCell ref="N158:O158"/>
    <mergeCell ref="D159:E159"/>
    <mergeCell ref="F159:G159"/>
    <mergeCell ref="H159:I159"/>
    <mergeCell ref="J159:K159"/>
    <mergeCell ref="L159:M159"/>
    <mergeCell ref="N159:O159"/>
    <mergeCell ref="B175:C175"/>
    <mergeCell ref="B176:C176"/>
    <mergeCell ref="B177:C177"/>
    <mergeCell ref="B178:C178"/>
    <mergeCell ref="B179:C179"/>
    <mergeCell ref="B180:C180"/>
    <mergeCell ref="B157:C157"/>
    <mergeCell ref="D157:E157"/>
    <mergeCell ref="F157:G157"/>
    <mergeCell ref="H157:I157"/>
    <mergeCell ref="J157:K157"/>
    <mergeCell ref="L157:M157"/>
    <mergeCell ref="N157:O157"/>
    <mergeCell ref="D153:E153"/>
    <mergeCell ref="D154:E154"/>
    <mergeCell ref="F153:G153"/>
    <mergeCell ref="F154:G154"/>
    <mergeCell ref="H153:I153"/>
    <mergeCell ref="H154:I154"/>
    <mergeCell ref="J153:K153"/>
    <mergeCell ref="J154:K154"/>
    <mergeCell ref="L153:M153"/>
    <mergeCell ref="L154:M154"/>
    <mergeCell ref="N153:O153"/>
    <mergeCell ref="N154:O154"/>
    <mergeCell ref="N155:O155"/>
    <mergeCell ref="L155:M155"/>
    <mergeCell ref="J155:K155"/>
    <mergeCell ref="H155:I155"/>
    <mergeCell ref="F155:G155"/>
    <mergeCell ref="D155:E155"/>
    <mergeCell ref="B154:C154"/>
    <mergeCell ref="B163:C163"/>
    <mergeCell ref="B164:C164"/>
    <mergeCell ref="B165:C165"/>
    <mergeCell ref="B166:C166"/>
    <mergeCell ref="B167:C167"/>
    <mergeCell ref="B168:C168"/>
    <mergeCell ref="B169:C169"/>
    <mergeCell ref="B170:C170"/>
    <mergeCell ref="B171:C171"/>
    <mergeCell ref="B172:C172"/>
    <mergeCell ref="B173:C173"/>
    <mergeCell ref="B174:C174"/>
    <mergeCell ref="Q159:R159"/>
    <mergeCell ref="S159:T159"/>
    <mergeCell ref="S164:T164"/>
    <mergeCell ref="S165:T165"/>
    <mergeCell ref="S166:T166"/>
    <mergeCell ref="S167:T167"/>
    <mergeCell ref="S168:T168"/>
    <mergeCell ref="S169:T169"/>
    <mergeCell ref="D163:E163"/>
    <mergeCell ref="F163:G163"/>
    <mergeCell ref="H163:I163"/>
    <mergeCell ref="J163:K163"/>
    <mergeCell ref="L163:M163"/>
    <mergeCell ref="N163:O163"/>
    <mergeCell ref="D164:E164"/>
    <mergeCell ref="F164:G164"/>
    <mergeCell ref="H164:I164"/>
    <mergeCell ref="J164:K164"/>
    <mergeCell ref="L164:M164"/>
    <mergeCell ref="N164:O164"/>
    <mergeCell ref="Q157:T157"/>
    <mergeCell ref="Q158:R158"/>
    <mergeCell ref="S158:T158"/>
    <mergeCell ref="Q160:R160"/>
    <mergeCell ref="S160:T160"/>
    <mergeCell ref="V152:AE152"/>
    <mergeCell ref="L151:N151"/>
    <mergeCell ref="O151:Q151"/>
    <mergeCell ref="V148:X151"/>
    <mergeCell ref="V147:X147"/>
    <mergeCell ref="Y147:AE147"/>
    <mergeCell ref="Y148:AE151"/>
    <mergeCell ref="V146:AE146"/>
    <mergeCell ref="S153:T153"/>
    <mergeCell ref="S154:T154"/>
    <mergeCell ref="S155:T155"/>
    <mergeCell ref="B152:O152"/>
    <mergeCell ref="E147:K147"/>
    <mergeCell ref="E146:K146"/>
    <mergeCell ref="L146:N146"/>
    <mergeCell ref="O146:P146"/>
    <mergeCell ref="Q146:U146"/>
    <mergeCell ref="L147:N150"/>
    <mergeCell ref="O147:U150"/>
    <mergeCell ref="B147:D147"/>
    <mergeCell ref="E150:G150"/>
    <mergeCell ref="V158:AE158"/>
    <mergeCell ref="B160:C160"/>
    <mergeCell ref="B153:C153"/>
    <mergeCell ref="B155:C155"/>
    <mergeCell ref="B156:C156"/>
    <mergeCell ref="D156:E156"/>
    <mergeCell ref="X1:Y1"/>
    <mergeCell ref="Z1:AB1"/>
    <mergeCell ref="B3:D3"/>
    <mergeCell ref="E3:K3"/>
    <mergeCell ref="N3:P3"/>
    <mergeCell ref="Z3:AC3"/>
    <mergeCell ref="B150:D150"/>
    <mergeCell ref="B149:D149"/>
    <mergeCell ref="B148:D148"/>
    <mergeCell ref="E148:K148"/>
    <mergeCell ref="Z10:AC10"/>
    <mergeCell ref="AD10:AE10"/>
    <mergeCell ref="N11:P11"/>
    <mergeCell ref="Q11:R11"/>
    <mergeCell ref="S11:W11"/>
    <mergeCell ref="AB11:AC11"/>
    <mergeCell ref="AD11:AE11"/>
    <mergeCell ref="B8:D8"/>
    <mergeCell ref="Z8:AC8"/>
    <mergeCell ref="AD8:AE8"/>
    <mergeCell ref="B9:D9"/>
    <mergeCell ref="Z9:AC9"/>
    <mergeCell ref="AD9:AE9"/>
    <mergeCell ref="AB15:AC15"/>
    <mergeCell ref="AD15:AE15"/>
    <mergeCell ref="N12:P15"/>
    <mergeCell ref="Q12:W15"/>
    <mergeCell ref="AB12:AC12"/>
    <mergeCell ref="AD12:AE12"/>
    <mergeCell ref="AD3:AE3"/>
    <mergeCell ref="B4:D4"/>
    <mergeCell ref="Z4:AC4"/>
    <mergeCell ref="AD4:AE4"/>
    <mergeCell ref="B5:D5"/>
    <mergeCell ref="Z5:AC5"/>
    <mergeCell ref="AD5:AE5"/>
    <mergeCell ref="AD19:AE19"/>
    <mergeCell ref="N27:O27"/>
    <mergeCell ref="P27:R27"/>
    <mergeCell ref="AB20:AC20"/>
    <mergeCell ref="AD20:AE20"/>
    <mergeCell ref="N25:V25"/>
    <mergeCell ref="AB18:AC18"/>
    <mergeCell ref="AD18:AE18"/>
    <mergeCell ref="N26:O26"/>
    <mergeCell ref="P26:R26"/>
    <mergeCell ref="S26:T27"/>
    <mergeCell ref="U26:V27"/>
    <mergeCell ref="AB19:AC19"/>
    <mergeCell ref="Z6:AC6"/>
    <mergeCell ref="AD6:AE6"/>
    <mergeCell ref="Z7:AC7"/>
    <mergeCell ref="AD7:AE7"/>
    <mergeCell ref="N6:P6"/>
    <mergeCell ref="AB16:AC16"/>
    <mergeCell ref="AD16:AE16"/>
    <mergeCell ref="AD13:AE13"/>
    <mergeCell ref="AB23:AC23"/>
    <mergeCell ref="AD23:AE23"/>
    <mergeCell ref="AB21:AC21"/>
    <mergeCell ref="AD21:AE21"/>
    <mergeCell ref="AB22:AC22"/>
    <mergeCell ref="AD22:AE22"/>
    <mergeCell ref="Y12:AA12"/>
    <mergeCell ref="R37:S37"/>
    <mergeCell ref="R43:S43"/>
    <mergeCell ref="T43:U43"/>
    <mergeCell ref="V43:W43"/>
    <mergeCell ref="X43:Y43"/>
    <mergeCell ref="R44:S44"/>
    <mergeCell ref="T44:U44"/>
    <mergeCell ref="N16:P16"/>
    <mergeCell ref="Q16:S16"/>
    <mergeCell ref="R39:S39"/>
    <mergeCell ref="T39:U39"/>
    <mergeCell ref="V39:W39"/>
    <mergeCell ref="X39:Y39"/>
    <mergeCell ref="R40:S40"/>
    <mergeCell ref="T40:U40"/>
    <mergeCell ref="V40:W40"/>
    <mergeCell ref="X40:Y40"/>
    <mergeCell ref="M34:Q34"/>
    <mergeCell ref="M33:Q33"/>
    <mergeCell ref="M32:Q32"/>
    <mergeCell ref="R38:S38"/>
    <mergeCell ref="T38:U38"/>
    <mergeCell ref="V38:W38"/>
    <mergeCell ref="X38:Y38"/>
    <mergeCell ref="T31:U31"/>
    <mergeCell ref="V31:W31"/>
    <mergeCell ref="X31:Y31"/>
    <mergeCell ref="R32:S32"/>
    <mergeCell ref="T32:U32"/>
    <mergeCell ref="V32:W32"/>
    <mergeCell ref="X32:Y32"/>
    <mergeCell ref="R35:S35"/>
    <mergeCell ref="T45:U45"/>
    <mergeCell ref="V45:W45"/>
    <mergeCell ref="X45:Y45"/>
    <mergeCell ref="R46:S46"/>
    <mergeCell ref="T46:U46"/>
    <mergeCell ref="V46:W46"/>
    <mergeCell ref="X46:Y46"/>
    <mergeCell ref="M46:Q46"/>
    <mergeCell ref="V44:W44"/>
    <mergeCell ref="X44:Y44"/>
    <mergeCell ref="R41:S41"/>
    <mergeCell ref="T41:U41"/>
    <mergeCell ref="V41:W41"/>
    <mergeCell ref="X41:Y41"/>
    <mergeCell ref="R42:S42"/>
    <mergeCell ref="T42:U42"/>
    <mergeCell ref="V42:W42"/>
    <mergeCell ref="X42:Y42"/>
    <mergeCell ref="M44:Q44"/>
    <mergeCell ref="T35:U35"/>
    <mergeCell ref="V35:W35"/>
    <mergeCell ref="X35:Y35"/>
    <mergeCell ref="R36:S36"/>
    <mergeCell ref="M47:Q47"/>
    <mergeCell ref="M48:Q48"/>
    <mergeCell ref="M45:Q45"/>
    <mergeCell ref="R51:S51"/>
    <mergeCell ref="T51:U51"/>
    <mergeCell ref="V51:W51"/>
    <mergeCell ref="X51:Y51"/>
    <mergeCell ref="B54:AE54"/>
    <mergeCell ref="D55:E55"/>
    <mergeCell ref="F55:G55"/>
    <mergeCell ref="H55:I55"/>
    <mergeCell ref="J55:K55"/>
    <mergeCell ref="L55:M55"/>
    <mergeCell ref="R49:S49"/>
    <mergeCell ref="T49:U49"/>
    <mergeCell ref="V49:W49"/>
    <mergeCell ref="X49:Y49"/>
    <mergeCell ref="R50:S50"/>
    <mergeCell ref="T50:U50"/>
    <mergeCell ref="V50:W50"/>
    <mergeCell ref="X50:Y50"/>
    <mergeCell ref="M49:Q49"/>
    <mergeCell ref="K47:L47"/>
    <mergeCell ref="R47:S47"/>
    <mergeCell ref="T47:U47"/>
    <mergeCell ref="V47:W47"/>
    <mergeCell ref="X47:Y47"/>
    <mergeCell ref="R48:S48"/>
    <mergeCell ref="T48:U48"/>
    <mergeCell ref="V48:W48"/>
    <mergeCell ref="X48:Y48"/>
    <mergeCell ref="R45:S45"/>
    <mergeCell ref="AB56:AC56"/>
    <mergeCell ref="AD56:AE56"/>
    <mergeCell ref="B57:C57"/>
    <mergeCell ref="D57:E57"/>
    <mergeCell ref="F57:G57"/>
    <mergeCell ref="H57:I57"/>
    <mergeCell ref="J57:K57"/>
    <mergeCell ref="L57:M57"/>
    <mergeCell ref="N57:O57"/>
    <mergeCell ref="P57:Q57"/>
    <mergeCell ref="P56:Q56"/>
    <mergeCell ref="R56:S56"/>
    <mergeCell ref="T56:U56"/>
    <mergeCell ref="V56:W56"/>
    <mergeCell ref="X56:Y56"/>
    <mergeCell ref="Z56:AA56"/>
    <mergeCell ref="Z55:AA55"/>
    <mergeCell ref="AB55:AC55"/>
    <mergeCell ref="AD55:AE55"/>
    <mergeCell ref="B56:C56"/>
    <mergeCell ref="D56:E56"/>
    <mergeCell ref="F56:G56"/>
    <mergeCell ref="H56:I56"/>
    <mergeCell ref="J56:K56"/>
    <mergeCell ref="L56:M56"/>
    <mergeCell ref="N56:O56"/>
    <mergeCell ref="N55:O55"/>
    <mergeCell ref="P55:Q55"/>
    <mergeCell ref="R55:S55"/>
    <mergeCell ref="T55:U55"/>
    <mergeCell ref="V55:W55"/>
    <mergeCell ref="X55:Y55"/>
    <mergeCell ref="B59:C59"/>
    <mergeCell ref="D59:E59"/>
    <mergeCell ref="F59:G59"/>
    <mergeCell ref="H59:I59"/>
    <mergeCell ref="J59:K59"/>
    <mergeCell ref="L59:M59"/>
    <mergeCell ref="T58:U58"/>
    <mergeCell ref="V58:W58"/>
    <mergeCell ref="X58:Y58"/>
    <mergeCell ref="Z58:AA58"/>
    <mergeCell ref="AB58:AC58"/>
    <mergeCell ref="AD58:AE58"/>
    <mergeCell ref="AD57:AE57"/>
    <mergeCell ref="B58:C58"/>
    <mergeCell ref="D58:E58"/>
    <mergeCell ref="F58:G58"/>
    <mergeCell ref="H58:I58"/>
    <mergeCell ref="J58:K58"/>
    <mergeCell ref="L58:M58"/>
    <mergeCell ref="N58:O58"/>
    <mergeCell ref="P58:Q58"/>
    <mergeCell ref="R58:S58"/>
    <mergeCell ref="R57:S57"/>
    <mergeCell ref="T57:U57"/>
    <mergeCell ref="V57:W57"/>
    <mergeCell ref="X57:Y57"/>
    <mergeCell ref="Z57:AA57"/>
    <mergeCell ref="AB57:AC57"/>
    <mergeCell ref="AB60:AC60"/>
    <mergeCell ref="AD60:AE60"/>
    <mergeCell ref="B61:C61"/>
    <mergeCell ref="D61:E61"/>
    <mergeCell ref="F61:G61"/>
    <mergeCell ref="H61:I61"/>
    <mergeCell ref="J61:K61"/>
    <mergeCell ref="L61:M61"/>
    <mergeCell ref="N61:O61"/>
    <mergeCell ref="P61:Q61"/>
    <mergeCell ref="P60:Q60"/>
    <mergeCell ref="R60:S60"/>
    <mergeCell ref="T60:U60"/>
    <mergeCell ref="V60:W60"/>
    <mergeCell ref="X60:Y60"/>
    <mergeCell ref="Z60:AA60"/>
    <mergeCell ref="Z59:AA59"/>
    <mergeCell ref="AB59:AC59"/>
    <mergeCell ref="AD59:AE59"/>
    <mergeCell ref="B60:C60"/>
    <mergeCell ref="D60:E60"/>
    <mergeCell ref="F60:G60"/>
    <mergeCell ref="H60:I60"/>
    <mergeCell ref="J60:K60"/>
    <mergeCell ref="L60:M60"/>
    <mergeCell ref="N60:O60"/>
    <mergeCell ref="N59:O59"/>
    <mergeCell ref="P59:Q59"/>
    <mergeCell ref="R59:S59"/>
    <mergeCell ref="T59:U59"/>
    <mergeCell ref="V59:W59"/>
    <mergeCell ref="X59:Y59"/>
    <mergeCell ref="B63:C63"/>
    <mergeCell ref="D63:E63"/>
    <mergeCell ref="F63:G63"/>
    <mergeCell ref="H63:I63"/>
    <mergeCell ref="J63:K63"/>
    <mergeCell ref="L63:M63"/>
    <mergeCell ref="T62:U62"/>
    <mergeCell ref="V62:W62"/>
    <mergeCell ref="X62:Y62"/>
    <mergeCell ref="Z62:AA62"/>
    <mergeCell ref="AB62:AC62"/>
    <mergeCell ref="AD62:AE62"/>
    <mergeCell ref="AD61:AE61"/>
    <mergeCell ref="B62:C62"/>
    <mergeCell ref="D62:E62"/>
    <mergeCell ref="F62:G62"/>
    <mergeCell ref="H62:I62"/>
    <mergeCell ref="J62:K62"/>
    <mergeCell ref="L62:M62"/>
    <mergeCell ref="N62:O62"/>
    <mergeCell ref="P62:Q62"/>
    <mergeCell ref="R62:S62"/>
    <mergeCell ref="R61:S61"/>
    <mergeCell ref="T61:U61"/>
    <mergeCell ref="V61:W61"/>
    <mergeCell ref="X61:Y61"/>
    <mergeCell ref="Z61:AA61"/>
    <mergeCell ref="AB61:AC61"/>
    <mergeCell ref="AB64:AC64"/>
    <mergeCell ref="AD64:AE64"/>
    <mergeCell ref="B65:C65"/>
    <mergeCell ref="D65:E65"/>
    <mergeCell ref="F65:G65"/>
    <mergeCell ref="H65:I65"/>
    <mergeCell ref="J65:K65"/>
    <mergeCell ref="L65:M65"/>
    <mergeCell ref="N65:O65"/>
    <mergeCell ref="P65:Q65"/>
    <mergeCell ref="P64:Q64"/>
    <mergeCell ref="R64:S64"/>
    <mergeCell ref="T64:U64"/>
    <mergeCell ref="V64:W64"/>
    <mergeCell ref="X64:Y64"/>
    <mergeCell ref="Z64:AA64"/>
    <mergeCell ref="Z63:AA63"/>
    <mergeCell ref="AB63:AC63"/>
    <mergeCell ref="AD63:AE63"/>
    <mergeCell ref="B64:C64"/>
    <mergeCell ref="D64:E64"/>
    <mergeCell ref="F64:G64"/>
    <mergeCell ref="H64:I64"/>
    <mergeCell ref="J64:K64"/>
    <mergeCell ref="L64:M64"/>
    <mergeCell ref="N64:O64"/>
    <mergeCell ref="N63:O63"/>
    <mergeCell ref="P63:Q63"/>
    <mergeCell ref="R63:S63"/>
    <mergeCell ref="T63:U63"/>
    <mergeCell ref="V63:W63"/>
    <mergeCell ref="X63:Y63"/>
    <mergeCell ref="B67:C67"/>
    <mergeCell ref="D67:E67"/>
    <mergeCell ref="F67:G67"/>
    <mergeCell ref="H67:I67"/>
    <mergeCell ref="J67:K67"/>
    <mergeCell ref="L67:M67"/>
    <mergeCell ref="T66:U66"/>
    <mergeCell ref="V66:W66"/>
    <mergeCell ref="X66:Y66"/>
    <mergeCell ref="Z66:AA66"/>
    <mergeCell ref="AB66:AC66"/>
    <mergeCell ref="AD66:AE66"/>
    <mergeCell ref="AD65:AE65"/>
    <mergeCell ref="B66:C66"/>
    <mergeCell ref="D66:E66"/>
    <mergeCell ref="F66:G66"/>
    <mergeCell ref="H66:I66"/>
    <mergeCell ref="J66:K66"/>
    <mergeCell ref="L66:M66"/>
    <mergeCell ref="N66:O66"/>
    <mergeCell ref="P66:Q66"/>
    <mergeCell ref="R66:S66"/>
    <mergeCell ref="R65:S65"/>
    <mergeCell ref="T65:U65"/>
    <mergeCell ref="V65:W65"/>
    <mergeCell ref="X65:Y65"/>
    <mergeCell ref="Z65:AA65"/>
    <mergeCell ref="AB65:AC65"/>
    <mergeCell ref="AB68:AC68"/>
    <mergeCell ref="AD68:AE68"/>
    <mergeCell ref="B69:C69"/>
    <mergeCell ref="D69:E69"/>
    <mergeCell ref="F69:G69"/>
    <mergeCell ref="H69:I69"/>
    <mergeCell ref="J69:K69"/>
    <mergeCell ref="L69:M69"/>
    <mergeCell ref="N69:O69"/>
    <mergeCell ref="P69:Q69"/>
    <mergeCell ref="P68:Q68"/>
    <mergeCell ref="R68:S68"/>
    <mergeCell ref="T68:U68"/>
    <mergeCell ref="V68:W68"/>
    <mergeCell ref="X68:Y68"/>
    <mergeCell ref="Z68:AA68"/>
    <mergeCell ref="Z67:AA67"/>
    <mergeCell ref="AB67:AC67"/>
    <mergeCell ref="AD67:AE67"/>
    <mergeCell ref="B68:C68"/>
    <mergeCell ref="D68:E68"/>
    <mergeCell ref="F68:G68"/>
    <mergeCell ref="H68:I68"/>
    <mergeCell ref="J68:K68"/>
    <mergeCell ref="L68:M68"/>
    <mergeCell ref="N68:O68"/>
    <mergeCell ref="N67:O67"/>
    <mergeCell ref="P67:Q67"/>
    <mergeCell ref="R67:S67"/>
    <mergeCell ref="T67:U67"/>
    <mergeCell ref="V67:W67"/>
    <mergeCell ref="X67:Y67"/>
    <mergeCell ref="B71:C71"/>
    <mergeCell ref="D71:E71"/>
    <mergeCell ref="F71:G71"/>
    <mergeCell ref="H71:I71"/>
    <mergeCell ref="J71:K71"/>
    <mergeCell ref="L71:M71"/>
    <mergeCell ref="T70:U70"/>
    <mergeCell ref="V70:W70"/>
    <mergeCell ref="X70:Y70"/>
    <mergeCell ref="Z70:AA70"/>
    <mergeCell ref="AB70:AC70"/>
    <mergeCell ref="AD70:AE70"/>
    <mergeCell ref="AD69:AE69"/>
    <mergeCell ref="B70:C70"/>
    <mergeCell ref="D70:E70"/>
    <mergeCell ref="F70:G70"/>
    <mergeCell ref="H70:I70"/>
    <mergeCell ref="J70:K70"/>
    <mergeCell ref="L70:M70"/>
    <mergeCell ref="N70:O70"/>
    <mergeCell ref="P70:Q70"/>
    <mergeCell ref="R70:S70"/>
    <mergeCell ref="R69:S69"/>
    <mergeCell ref="T69:U69"/>
    <mergeCell ref="V69:W69"/>
    <mergeCell ref="X69:Y69"/>
    <mergeCell ref="Z69:AA69"/>
    <mergeCell ref="AB69:AC69"/>
    <mergeCell ref="AB72:AC72"/>
    <mergeCell ref="AD72:AE72"/>
    <mergeCell ref="B73:C73"/>
    <mergeCell ref="D73:E73"/>
    <mergeCell ref="F73:G73"/>
    <mergeCell ref="H73:I73"/>
    <mergeCell ref="J73:K73"/>
    <mergeCell ref="L73:M73"/>
    <mergeCell ref="N73:O73"/>
    <mergeCell ref="P73:Q73"/>
    <mergeCell ref="P72:Q72"/>
    <mergeCell ref="R72:S72"/>
    <mergeCell ref="T72:U72"/>
    <mergeCell ref="V72:W72"/>
    <mergeCell ref="X72:Y72"/>
    <mergeCell ref="Z72:AA72"/>
    <mergeCell ref="Z71:AA71"/>
    <mergeCell ref="AB71:AC71"/>
    <mergeCell ref="AD71:AE71"/>
    <mergeCell ref="B72:C72"/>
    <mergeCell ref="D72:E72"/>
    <mergeCell ref="F72:G72"/>
    <mergeCell ref="H72:I72"/>
    <mergeCell ref="J72:K72"/>
    <mergeCell ref="L72:M72"/>
    <mergeCell ref="N72:O72"/>
    <mergeCell ref="N71:O71"/>
    <mergeCell ref="P71:Q71"/>
    <mergeCell ref="R71:S71"/>
    <mergeCell ref="T71:U71"/>
    <mergeCell ref="V71:W71"/>
    <mergeCell ref="X71:Y71"/>
    <mergeCell ref="B75:C75"/>
    <mergeCell ref="D75:E75"/>
    <mergeCell ref="F75:G75"/>
    <mergeCell ref="H75:I75"/>
    <mergeCell ref="J75:K75"/>
    <mergeCell ref="L75:M75"/>
    <mergeCell ref="T74:U74"/>
    <mergeCell ref="V74:W74"/>
    <mergeCell ref="X74:Y74"/>
    <mergeCell ref="Z74:AA74"/>
    <mergeCell ref="AB74:AC74"/>
    <mergeCell ref="AD74:AE74"/>
    <mergeCell ref="AD73:AE73"/>
    <mergeCell ref="B74:C74"/>
    <mergeCell ref="D74:E74"/>
    <mergeCell ref="F74:G74"/>
    <mergeCell ref="H74:I74"/>
    <mergeCell ref="J74:K74"/>
    <mergeCell ref="L74:M74"/>
    <mergeCell ref="N74:O74"/>
    <mergeCell ref="P74:Q74"/>
    <mergeCell ref="R74:S74"/>
    <mergeCell ref="R73:S73"/>
    <mergeCell ref="T73:U73"/>
    <mergeCell ref="V73:W73"/>
    <mergeCell ref="X73:Y73"/>
    <mergeCell ref="Z73:AA73"/>
    <mergeCell ref="AB73:AC73"/>
    <mergeCell ref="AB76:AC76"/>
    <mergeCell ref="AD76:AE76"/>
    <mergeCell ref="B77:C77"/>
    <mergeCell ref="D77:E77"/>
    <mergeCell ref="F77:G77"/>
    <mergeCell ref="H77:I77"/>
    <mergeCell ref="J77:K77"/>
    <mergeCell ref="L77:M77"/>
    <mergeCell ref="N77:O77"/>
    <mergeCell ref="P77:Q77"/>
    <mergeCell ref="P76:Q76"/>
    <mergeCell ref="R76:S76"/>
    <mergeCell ref="T76:U76"/>
    <mergeCell ref="V76:W76"/>
    <mergeCell ref="X76:Y76"/>
    <mergeCell ref="Z76:AA76"/>
    <mergeCell ref="Z75:AA75"/>
    <mergeCell ref="AB75:AC75"/>
    <mergeCell ref="AD75:AE75"/>
    <mergeCell ref="B76:C76"/>
    <mergeCell ref="D76:E76"/>
    <mergeCell ref="F76:G76"/>
    <mergeCell ref="H76:I76"/>
    <mergeCell ref="J76:K76"/>
    <mergeCell ref="L76:M76"/>
    <mergeCell ref="N76:O76"/>
    <mergeCell ref="N75:O75"/>
    <mergeCell ref="P75:Q75"/>
    <mergeCell ref="R75:S75"/>
    <mergeCell ref="T75:U75"/>
    <mergeCell ref="V75:W75"/>
    <mergeCell ref="X75:Y75"/>
    <mergeCell ref="B79:C79"/>
    <mergeCell ref="D79:E79"/>
    <mergeCell ref="F79:G79"/>
    <mergeCell ref="H79:I79"/>
    <mergeCell ref="J79:K79"/>
    <mergeCell ref="L79:M79"/>
    <mergeCell ref="T78:U78"/>
    <mergeCell ref="V78:W78"/>
    <mergeCell ref="X78:Y78"/>
    <mergeCell ref="Z78:AA78"/>
    <mergeCell ref="AB78:AC78"/>
    <mergeCell ref="AD78:AE78"/>
    <mergeCell ref="AD77:AE77"/>
    <mergeCell ref="B78:C78"/>
    <mergeCell ref="D78:E78"/>
    <mergeCell ref="F78:G78"/>
    <mergeCell ref="H78:I78"/>
    <mergeCell ref="J78:K78"/>
    <mergeCell ref="L78:M78"/>
    <mergeCell ref="N78:O78"/>
    <mergeCell ref="P78:Q78"/>
    <mergeCell ref="R78:S78"/>
    <mergeCell ref="R77:S77"/>
    <mergeCell ref="T77:U77"/>
    <mergeCell ref="V77:W77"/>
    <mergeCell ref="X77:Y77"/>
    <mergeCell ref="Z77:AA77"/>
    <mergeCell ref="AB77:AC77"/>
    <mergeCell ref="AB80:AC80"/>
    <mergeCell ref="AD80:AE80"/>
    <mergeCell ref="B81:C81"/>
    <mergeCell ref="D81:E81"/>
    <mergeCell ref="F81:G81"/>
    <mergeCell ref="H81:I81"/>
    <mergeCell ref="J81:K81"/>
    <mergeCell ref="L81:M81"/>
    <mergeCell ref="N81:O81"/>
    <mergeCell ref="P81:Q81"/>
    <mergeCell ref="P80:Q80"/>
    <mergeCell ref="R80:S80"/>
    <mergeCell ref="T80:U80"/>
    <mergeCell ref="V80:W80"/>
    <mergeCell ref="X80:Y80"/>
    <mergeCell ref="Z80:AA80"/>
    <mergeCell ref="Z79:AA79"/>
    <mergeCell ref="AB79:AC79"/>
    <mergeCell ref="AD79:AE79"/>
    <mergeCell ref="B80:C80"/>
    <mergeCell ref="D80:E80"/>
    <mergeCell ref="F80:G80"/>
    <mergeCell ref="H80:I80"/>
    <mergeCell ref="J80:K80"/>
    <mergeCell ref="L80:M80"/>
    <mergeCell ref="N80:O80"/>
    <mergeCell ref="N79:O79"/>
    <mergeCell ref="P79:Q79"/>
    <mergeCell ref="R79:S79"/>
    <mergeCell ref="T79:U79"/>
    <mergeCell ref="V79:W79"/>
    <mergeCell ref="X79:Y79"/>
    <mergeCell ref="AD85:AE85"/>
    <mergeCell ref="B86:C86"/>
    <mergeCell ref="D86:E86"/>
    <mergeCell ref="F86:G86"/>
    <mergeCell ref="H86:I86"/>
    <mergeCell ref="T86:Y86"/>
    <mergeCell ref="Z86:AA86"/>
    <mergeCell ref="AB86:AC86"/>
    <mergeCell ref="AD86:AE86"/>
    <mergeCell ref="AD81:AE81"/>
    <mergeCell ref="B83:AE83"/>
    <mergeCell ref="B85:C85"/>
    <mergeCell ref="D85:E85"/>
    <mergeCell ref="F85:G85"/>
    <mergeCell ref="H85:I85"/>
    <mergeCell ref="T85:Y85"/>
    <mergeCell ref="Z85:AA85"/>
    <mergeCell ref="AB85:AC85"/>
    <mergeCell ref="R81:S81"/>
    <mergeCell ref="T81:U81"/>
    <mergeCell ref="V81:W81"/>
    <mergeCell ref="X81:Y81"/>
    <mergeCell ref="Z81:AA81"/>
    <mergeCell ref="AB81:AC81"/>
    <mergeCell ref="J85:L85"/>
    <mergeCell ref="M85:S85"/>
    <mergeCell ref="J86:L86"/>
    <mergeCell ref="M86:S86"/>
    <mergeCell ref="AB88:AC88"/>
    <mergeCell ref="AD88:AE88"/>
    <mergeCell ref="B89:C89"/>
    <mergeCell ref="D89:E89"/>
    <mergeCell ref="F89:G89"/>
    <mergeCell ref="H89:I89"/>
    <mergeCell ref="T89:Y89"/>
    <mergeCell ref="Z89:AA89"/>
    <mergeCell ref="AB89:AC89"/>
    <mergeCell ref="Z87:AA87"/>
    <mergeCell ref="AB87:AC87"/>
    <mergeCell ref="AD87:AE87"/>
    <mergeCell ref="B88:C88"/>
    <mergeCell ref="D88:E88"/>
    <mergeCell ref="F88:G88"/>
    <mergeCell ref="H88:I88"/>
    <mergeCell ref="T88:Y88"/>
    <mergeCell ref="Z88:AA88"/>
    <mergeCell ref="B87:C87"/>
    <mergeCell ref="D87:E87"/>
    <mergeCell ref="F87:G87"/>
    <mergeCell ref="H87:I87"/>
    <mergeCell ref="T87:Y87"/>
    <mergeCell ref="J87:L87"/>
    <mergeCell ref="M87:S87"/>
    <mergeCell ref="J88:L88"/>
    <mergeCell ref="M88:S88"/>
    <mergeCell ref="Z91:AA91"/>
    <mergeCell ref="AB91:AC91"/>
    <mergeCell ref="AD91:AE91"/>
    <mergeCell ref="B92:C92"/>
    <mergeCell ref="D92:E92"/>
    <mergeCell ref="F92:G92"/>
    <mergeCell ref="H92:I92"/>
    <mergeCell ref="T92:Y92"/>
    <mergeCell ref="Z92:AA92"/>
    <mergeCell ref="B91:C91"/>
    <mergeCell ref="D91:E91"/>
    <mergeCell ref="F91:G91"/>
    <mergeCell ref="H91:I91"/>
    <mergeCell ref="T91:Y91"/>
    <mergeCell ref="AD89:AE89"/>
    <mergeCell ref="B90:C90"/>
    <mergeCell ref="D90:E90"/>
    <mergeCell ref="F90:G90"/>
    <mergeCell ref="H90:I90"/>
    <mergeCell ref="T90:Y90"/>
    <mergeCell ref="Z90:AA90"/>
    <mergeCell ref="AB90:AC90"/>
    <mergeCell ref="AD90:AE90"/>
    <mergeCell ref="J89:L89"/>
    <mergeCell ref="M89:S89"/>
    <mergeCell ref="J90:L90"/>
    <mergeCell ref="M90:S90"/>
    <mergeCell ref="J91:L91"/>
    <mergeCell ref="M91:S91"/>
    <mergeCell ref="AD93:AE93"/>
    <mergeCell ref="B94:C94"/>
    <mergeCell ref="D94:E94"/>
    <mergeCell ref="F94:G94"/>
    <mergeCell ref="H94:I94"/>
    <mergeCell ref="T94:Y94"/>
    <mergeCell ref="Z94:AA94"/>
    <mergeCell ref="AB94:AC94"/>
    <mergeCell ref="AD94:AE94"/>
    <mergeCell ref="AB92:AC92"/>
    <mergeCell ref="AD92:AE92"/>
    <mergeCell ref="B93:C93"/>
    <mergeCell ref="D93:E93"/>
    <mergeCell ref="F93:G93"/>
    <mergeCell ref="H93:I93"/>
    <mergeCell ref="T93:Y93"/>
    <mergeCell ref="Z93:AA93"/>
    <mergeCell ref="AB93:AC93"/>
    <mergeCell ref="J92:L92"/>
    <mergeCell ref="M92:S92"/>
    <mergeCell ref="J93:L93"/>
    <mergeCell ref="M93:S93"/>
    <mergeCell ref="J94:L94"/>
    <mergeCell ref="M94:S94"/>
    <mergeCell ref="AB96:AC96"/>
    <mergeCell ref="AD96:AE96"/>
    <mergeCell ref="B97:C97"/>
    <mergeCell ref="D97:E97"/>
    <mergeCell ref="F97:G97"/>
    <mergeCell ref="H97:I97"/>
    <mergeCell ref="T97:Y97"/>
    <mergeCell ref="Z97:AA97"/>
    <mergeCell ref="AB97:AC97"/>
    <mergeCell ref="Z95:AA95"/>
    <mergeCell ref="AB95:AC95"/>
    <mergeCell ref="AD95:AE95"/>
    <mergeCell ref="B96:C96"/>
    <mergeCell ref="D96:E96"/>
    <mergeCell ref="F96:G96"/>
    <mergeCell ref="H96:I96"/>
    <mergeCell ref="T96:Y96"/>
    <mergeCell ref="Z96:AA96"/>
    <mergeCell ref="B95:C95"/>
    <mergeCell ref="D95:E95"/>
    <mergeCell ref="F95:G95"/>
    <mergeCell ref="H95:I95"/>
    <mergeCell ref="T95:Y95"/>
    <mergeCell ref="J95:L95"/>
    <mergeCell ref="M95:S95"/>
    <mergeCell ref="J96:L96"/>
    <mergeCell ref="M96:S96"/>
    <mergeCell ref="Z99:AA99"/>
    <mergeCell ref="AB99:AC99"/>
    <mergeCell ref="AD99:AE99"/>
    <mergeCell ref="B100:C100"/>
    <mergeCell ref="D100:E100"/>
    <mergeCell ref="F100:G100"/>
    <mergeCell ref="H100:I100"/>
    <mergeCell ref="T100:Y100"/>
    <mergeCell ref="Z100:AA100"/>
    <mergeCell ref="B99:C99"/>
    <mergeCell ref="D99:E99"/>
    <mergeCell ref="F99:G99"/>
    <mergeCell ref="H99:I99"/>
    <mergeCell ref="T99:Y99"/>
    <mergeCell ref="AD97:AE97"/>
    <mergeCell ref="B98:C98"/>
    <mergeCell ref="D98:E98"/>
    <mergeCell ref="F98:G98"/>
    <mergeCell ref="H98:I98"/>
    <mergeCell ref="T98:Y98"/>
    <mergeCell ref="Z98:AA98"/>
    <mergeCell ref="AB98:AC98"/>
    <mergeCell ref="AD98:AE98"/>
    <mergeCell ref="J97:L97"/>
    <mergeCell ref="M97:S97"/>
    <mergeCell ref="J98:L98"/>
    <mergeCell ref="M98:S98"/>
    <mergeCell ref="J99:L99"/>
    <mergeCell ref="M99:S99"/>
    <mergeCell ref="AD101:AE101"/>
    <mergeCell ref="B102:C102"/>
    <mergeCell ref="D102:E102"/>
    <mergeCell ref="F102:G102"/>
    <mergeCell ref="H102:I102"/>
    <mergeCell ref="T102:Y102"/>
    <mergeCell ref="Z102:AA102"/>
    <mergeCell ref="AB102:AC102"/>
    <mergeCell ref="AD102:AE102"/>
    <mergeCell ref="AB100:AC100"/>
    <mergeCell ref="AD100:AE100"/>
    <mergeCell ref="B101:C101"/>
    <mergeCell ref="D101:E101"/>
    <mergeCell ref="F101:G101"/>
    <mergeCell ref="H101:I101"/>
    <mergeCell ref="T101:Y101"/>
    <mergeCell ref="Z101:AA101"/>
    <mergeCell ref="AB101:AC101"/>
    <mergeCell ref="J100:L100"/>
    <mergeCell ref="M100:S100"/>
    <mergeCell ref="J101:L101"/>
    <mergeCell ref="M101:S101"/>
    <mergeCell ref="J102:L102"/>
    <mergeCell ref="M102:S102"/>
    <mergeCell ref="AB104:AC104"/>
    <mergeCell ref="AD104:AE104"/>
    <mergeCell ref="B105:C105"/>
    <mergeCell ref="D105:E105"/>
    <mergeCell ref="F105:G105"/>
    <mergeCell ref="H105:I105"/>
    <mergeCell ref="T105:Y105"/>
    <mergeCell ref="Z105:AA105"/>
    <mergeCell ref="AB105:AC105"/>
    <mergeCell ref="Z103:AA103"/>
    <mergeCell ref="AB103:AC103"/>
    <mergeCell ref="AD103:AE103"/>
    <mergeCell ref="B104:C104"/>
    <mergeCell ref="D104:E104"/>
    <mergeCell ref="F104:G104"/>
    <mergeCell ref="H104:I104"/>
    <mergeCell ref="T104:Y104"/>
    <mergeCell ref="Z104:AA104"/>
    <mergeCell ref="B103:C103"/>
    <mergeCell ref="D103:E103"/>
    <mergeCell ref="F103:G103"/>
    <mergeCell ref="H103:I103"/>
    <mergeCell ref="T103:Y103"/>
    <mergeCell ref="J103:L103"/>
    <mergeCell ref="M103:S103"/>
    <mergeCell ref="J104:L104"/>
    <mergeCell ref="M104:S104"/>
    <mergeCell ref="Z107:AA107"/>
    <mergeCell ref="AB107:AC107"/>
    <mergeCell ref="AD107:AE107"/>
    <mergeCell ref="B108:C108"/>
    <mergeCell ref="D108:E108"/>
    <mergeCell ref="F108:G108"/>
    <mergeCell ref="H108:I108"/>
    <mergeCell ref="T108:Y108"/>
    <mergeCell ref="Z108:AA108"/>
    <mergeCell ref="B107:C107"/>
    <mergeCell ref="D107:E107"/>
    <mergeCell ref="F107:G107"/>
    <mergeCell ref="H107:I107"/>
    <mergeCell ref="T107:Y107"/>
    <mergeCell ref="AD105:AE105"/>
    <mergeCell ref="B106:C106"/>
    <mergeCell ref="D106:E106"/>
    <mergeCell ref="F106:G106"/>
    <mergeCell ref="H106:I106"/>
    <mergeCell ref="T106:Y106"/>
    <mergeCell ref="Z106:AA106"/>
    <mergeCell ref="AB106:AC106"/>
    <mergeCell ref="AD106:AE106"/>
    <mergeCell ref="J105:L105"/>
    <mergeCell ref="M105:S105"/>
    <mergeCell ref="J106:L106"/>
    <mergeCell ref="M106:S106"/>
    <mergeCell ref="J107:L107"/>
    <mergeCell ref="M107:S107"/>
    <mergeCell ref="AD109:AE109"/>
    <mergeCell ref="B110:C110"/>
    <mergeCell ref="D110:E110"/>
    <mergeCell ref="F110:G110"/>
    <mergeCell ref="H110:I110"/>
    <mergeCell ref="T110:Y110"/>
    <mergeCell ref="Z110:AA110"/>
    <mergeCell ref="AB110:AC110"/>
    <mergeCell ref="AD110:AE110"/>
    <mergeCell ref="AB108:AC108"/>
    <mergeCell ref="AD108:AE108"/>
    <mergeCell ref="B109:C109"/>
    <mergeCell ref="D109:E109"/>
    <mergeCell ref="F109:G109"/>
    <mergeCell ref="H109:I109"/>
    <mergeCell ref="T109:Y109"/>
    <mergeCell ref="Z109:AA109"/>
    <mergeCell ref="AB109:AC109"/>
    <mergeCell ref="J108:L108"/>
    <mergeCell ref="M108:S108"/>
    <mergeCell ref="J109:L109"/>
    <mergeCell ref="M109:S109"/>
    <mergeCell ref="J110:L110"/>
    <mergeCell ref="M110:S110"/>
    <mergeCell ref="AB112:AC112"/>
    <mergeCell ref="AD112:AE112"/>
    <mergeCell ref="B113:C113"/>
    <mergeCell ref="D113:E113"/>
    <mergeCell ref="F113:G113"/>
    <mergeCell ref="H113:I113"/>
    <mergeCell ref="T113:Y113"/>
    <mergeCell ref="Z113:AA113"/>
    <mergeCell ref="AB113:AC113"/>
    <mergeCell ref="Z111:AA111"/>
    <mergeCell ref="AB111:AC111"/>
    <mergeCell ref="AD111:AE111"/>
    <mergeCell ref="B112:C112"/>
    <mergeCell ref="D112:E112"/>
    <mergeCell ref="F112:G112"/>
    <mergeCell ref="H112:I112"/>
    <mergeCell ref="T112:Y112"/>
    <mergeCell ref="Z112:AA112"/>
    <mergeCell ref="B111:C111"/>
    <mergeCell ref="D111:E111"/>
    <mergeCell ref="F111:G111"/>
    <mergeCell ref="H111:I111"/>
    <mergeCell ref="T111:Y111"/>
    <mergeCell ref="J111:L111"/>
    <mergeCell ref="M111:S111"/>
    <mergeCell ref="J112:L112"/>
    <mergeCell ref="M112:S112"/>
    <mergeCell ref="Z115:AA115"/>
    <mergeCell ref="AB115:AC115"/>
    <mergeCell ref="AD115:AE115"/>
    <mergeCell ref="B116:I116"/>
    <mergeCell ref="Z116:AA116"/>
    <mergeCell ref="AB116:AC116"/>
    <mergeCell ref="AD116:AE116"/>
    <mergeCell ref="B115:C115"/>
    <mergeCell ref="D115:E115"/>
    <mergeCell ref="F115:G115"/>
    <mergeCell ref="H115:I115"/>
    <mergeCell ref="T115:Y115"/>
    <mergeCell ref="AD113:AE113"/>
    <mergeCell ref="B114:C114"/>
    <mergeCell ref="D114:E114"/>
    <mergeCell ref="F114:G114"/>
    <mergeCell ref="H114:I114"/>
    <mergeCell ref="T114:Y114"/>
    <mergeCell ref="Z114:AA114"/>
    <mergeCell ref="AB114:AC114"/>
    <mergeCell ref="AD114:AE114"/>
    <mergeCell ref="J113:L113"/>
    <mergeCell ref="M113:S113"/>
    <mergeCell ref="J114:L114"/>
    <mergeCell ref="M114:S114"/>
    <mergeCell ref="J115:L115"/>
    <mergeCell ref="M115:S115"/>
    <mergeCell ref="J116:L116"/>
    <mergeCell ref="M116:S116"/>
    <mergeCell ref="T116:Y116"/>
    <mergeCell ref="AD120:AE120"/>
    <mergeCell ref="B121:C121"/>
    <mergeCell ref="D121:E121"/>
    <mergeCell ref="F121:G121"/>
    <mergeCell ref="H121:I121"/>
    <mergeCell ref="V121:AC121"/>
    <mergeCell ref="AD121:AE121"/>
    <mergeCell ref="B120:C120"/>
    <mergeCell ref="D120:E120"/>
    <mergeCell ref="F120:G120"/>
    <mergeCell ref="H120:I120"/>
    <mergeCell ref="V120:AC120"/>
    <mergeCell ref="Z117:AA117"/>
    <mergeCell ref="AB117:AC117"/>
    <mergeCell ref="AD117:AE117"/>
    <mergeCell ref="B119:C119"/>
    <mergeCell ref="D119:E119"/>
    <mergeCell ref="F119:G119"/>
    <mergeCell ref="H119:I119"/>
    <mergeCell ref="V119:AC119"/>
    <mergeCell ref="AD119:AE119"/>
    <mergeCell ref="J119:L119"/>
    <mergeCell ref="J120:L120"/>
    <mergeCell ref="J121:L121"/>
    <mergeCell ref="AD124:AE124"/>
    <mergeCell ref="B125:C125"/>
    <mergeCell ref="D125:E125"/>
    <mergeCell ref="F125:G125"/>
    <mergeCell ref="H125:I125"/>
    <mergeCell ref="V125:AC125"/>
    <mergeCell ref="AD125:AE125"/>
    <mergeCell ref="B124:C124"/>
    <mergeCell ref="D124:E124"/>
    <mergeCell ref="F124:G124"/>
    <mergeCell ref="H124:I124"/>
    <mergeCell ref="V124:AC124"/>
    <mergeCell ref="AD122:AE122"/>
    <mergeCell ref="B123:C123"/>
    <mergeCell ref="D123:E123"/>
    <mergeCell ref="F123:G123"/>
    <mergeCell ref="H123:I123"/>
    <mergeCell ref="V123:AC123"/>
    <mergeCell ref="AD123:AE123"/>
    <mergeCell ref="B122:C122"/>
    <mergeCell ref="D122:E122"/>
    <mergeCell ref="F122:G122"/>
    <mergeCell ref="H122:I122"/>
    <mergeCell ref="V122:AC122"/>
    <mergeCell ref="J122:L122"/>
    <mergeCell ref="J123:L123"/>
    <mergeCell ref="J124:L124"/>
    <mergeCell ref="J125:L125"/>
    <mergeCell ref="AD136:AE136"/>
    <mergeCell ref="AD128:AE128"/>
    <mergeCell ref="B129:C129"/>
    <mergeCell ref="D129:E129"/>
    <mergeCell ref="F129:G129"/>
    <mergeCell ref="H129:I129"/>
    <mergeCell ref="V129:AC129"/>
    <mergeCell ref="AD129:AE129"/>
    <mergeCell ref="B128:C128"/>
    <mergeCell ref="D128:E128"/>
    <mergeCell ref="F128:G128"/>
    <mergeCell ref="H128:I128"/>
    <mergeCell ref="V128:AC128"/>
    <mergeCell ref="AD130:AE130"/>
    <mergeCell ref="AD126:AE126"/>
    <mergeCell ref="B127:C127"/>
    <mergeCell ref="D127:E127"/>
    <mergeCell ref="F127:G127"/>
    <mergeCell ref="H127:I127"/>
    <mergeCell ref="V127:AC127"/>
    <mergeCell ref="AD127:AE127"/>
    <mergeCell ref="B126:C126"/>
    <mergeCell ref="D126:E126"/>
    <mergeCell ref="F126:G126"/>
    <mergeCell ref="H126:I126"/>
    <mergeCell ref="V126:AC126"/>
    <mergeCell ref="J126:L126"/>
    <mergeCell ref="J127:L127"/>
    <mergeCell ref="J128:L128"/>
    <mergeCell ref="J129:L129"/>
    <mergeCell ref="J133:L133"/>
    <mergeCell ref="J134:L134"/>
    <mergeCell ref="J135:L135"/>
    <mergeCell ref="J136:L136"/>
    <mergeCell ref="J137:L137"/>
    <mergeCell ref="B140:I140"/>
    <mergeCell ref="J140:AC140"/>
    <mergeCell ref="AD140:AE140"/>
    <mergeCell ref="AB141:AC141"/>
    <mergeCell ref="AD141:AE141"/>
    <mergeCell ref="M50:Q50"/>
    <mergeCell ref="M51:Q51"/>
    <mergeCell ref="M38:Q38"/>
    <mergeCell ref="M39:Q39"/>
    <mergeCell ref="M40:Q40"/>
    <mergeCell ref="M41:Q41"/>
    <mergeCell ref="M42:Q42"/>
    <mergeCell ref="M43:Q43"/>
    <mergeCell ref="B134:C134"/>
    <mergeCell ref="D134:E134"/>
    <mergeCell ref="F134:G134"/>
    <mergeCell ref="H134:I134"/>
    <mergeCell ref="V134:AC134"/>
    <mergeCell ref="AD132:AE132"/>
    <mergeCell ref="B133:C133"/>
    <mergeCell ref="D133:E133"/>
    <mergeCell ref="F133:G133"/>
    <mergeCell ref="H133:I133"/>
    <mergeCell ref="V133:AC133"/>
    <mergeCell ref="AD133:AE133"/>
    <mergeCell ref="B132:C132"/>
    <mergeCell ref="D132:E132"/>
    <mergeCell ref="B131:C131"/>
    <mergeCell ref="D131:E131"/>
    <mergeCell ref="F131:G131"/>
    <mergeCell ref="H131:I131"/>
    <mergeCell ref="V131:AC131"/>
    <mergeCell ref="AD131:AE131"/>
    <mergeCell ref="B130:C130"/>
    <mergeCell ref="D130:E130"/>
    <mergeCell ref="F130:G130"/>
    <mergeCell ref="F132:G132"/>
    <mergeCell ref="H132:I132"/>
    <mergeCell ref="V132:AC132"/>
    <mergeCell ref="H130:I130"/>
    <mergeCell ref="V130:AC130"/>
    <mergeCell ref="J130:L130"/>
    <mergeCell ref="J131:L131"/>
    <mergeCell ref="J132:L132"/>
    <mergeCell ref="B146:D146"/>
    <mergeCell ref="AD137:AE137"/>
    <mergeCell ref="B136:C136"/>
    <mergeCell ref="D136:E136"/>
    <mergeCell ref="F136:G136"/>
    <mergeCell ref="H136:I136"/>
    <mergeCell ref="V136:AC136"/>
    <mergeCell ref="AD134:AE134"/>
    <mergeCell ref="B135:C135"/>
    <mergeCell ref="D135:E135"/>
    <mergeCell ref="F135:G135"/>
    <mergeCell ref="H135:I135"/>
    <mergeCell ref="V135:AC135"/>
    <mergeCell ref="AD135:AE135"/>
    <mergeCell ref="AD142:AE142"/>
    <mergeCell ref="AD138:AE138"/>
    <mergeCell ref="B139:C139"/>
    <mergeCell ref="D139:E139"/>
    <mergeCell ref="F139:G139"/>
    <mergeCell ref="H139:I139"/>
    <mergeCell ref="V139:AC139"/>
    <mergeCell ref="AD139:AE139"/>
    <mergeCell ref="B138:C138"/>
    <mergeCell ref="D138:E138"/>
    <mergeCell ref="F138:G138"/>
    <mergeCell ref="H138:I138"/>
    <mergeCell ref="V138:AC138"/>
    <mergeCell ref="B137:C137"/>
    <mergeCell ref="D137:E137"/>
    <mergeCell ref="F137:G137"/>
    <mergeCell ref="H137:I137"/>
    <mergeCell ref="V137:AC137"/>
    <mergeCell ref="Q3:W3"/>
    <mergeCell ref="Q6:W6"/>
    <mergeCell ref="M35:Q35"/>
    <mergeCell ref="M36:Q36"/>
    <mergeCell ref="M37:Q37"/>
    <mergeCell ref="N18:P18"/>
    <mergeCell ref="N19:P19"/>
    <mergeCell ref="N20:P20"/>
    <mergeCell ref="Q20:V20"/>
    <mergeCell ref="Q19:W19"/>
    <mergeCell ref="Q18:W18"/>
    <mergeCell ref="T37:U37"/>
    <mergeCell ref="V37:W37"/>
    <mergeCell ref="R33:S33"/>
    <mergeCell ref="T33:U33"/>
    <mergeCell ref="V33:W33"/>
    <mergeCell ref="B6:D6"/>
    <mergeCell ref="E6:G6"/>
    <mergeCell ref="B29:AE29"/>
    <mergeCell ref="X37:Y37"/>
    <mergeCell ref="X33:Y33"/>
    <mergeCell ref="R34:S34"/>
    <mergeCell ref="T34:U34"/>
    <mergeCell ref="V34:W34"/>
    <mergeCell ref="X34:Y34"/>
    <mergeCell ref="R31:S31"/>
    <mergeCell ref="AB17:AC17"/>
    <mergeCell ref="AD17:AE17"/>
    <mergeCell ref="AB14:AC14"/>
    <mergeCell ref="AD14:AE14"/>
    <mergeCell ref="K32:L32"/>
    <mergeCell ref="AB13:AC13"/>
    <mergeCell ref="Y13:AA13"/>
    <mergeCell ref="Y14:AA14"/>
    <mergeCell ref="Y15:AA15"/>
    <mergeCell ref="Y16:AA16"/>
    <mergeCell ref="Y17:AA17"/>
    <mergeCell ref="Y18:AA18"/>
    <mergeCell ref="Y19:AA19"/>
    <mergeCell ref="Y20:AA20"/>
    <mergeCell ref="Y21:AA21"/>
    <mergeCell ref="Y22:AA22"/>
    <mergeCell ref="Y23:AA23"/>
    <mergeCell ref="E8:W8"/>
    <mergeCell ref="E9:W9"/>
    <mergeCell ref="L35:L46"/>
    <mergeCell ref="T36:U36"/>
    <mergeCell ref="V36:W36"/>
    <mergeCell ref="X36:Y36"/>
    <mergeCell ref="E4:W4"/>
    <mergeCell ref="E5:W5"/>
    <mergeCell ref="B12:L17"/>
    <mergeCell ref="B11:L11"/>
    <mergeCell ref="B18:L18"/>
    <mergeCell ref="B19:L27"/>
    <mergeCell ref="S170:T170"/>
    <mergeCell ref="S171:T171"/>
    <mergeCell ref="S172:T172"/>
    <mergeCell ref="S173:T173"/>
    <mergeCell ref="S174:T174"/>
    <mergeCell ref="S175:T175"/>
    <mergeCell ref="S176:T176"/>
    <mergeCell ref="S177:T177"/>
    <mergeCell ref="J138:L138"/>
    <mergeCell ref="J139:L139"/>
    <mergeCell ref="M119:U119"/>
    <mergeCell ref="M120:U120"/>
    <mergeCell ref="M121:U121"/>
    <mergeCell ref="M122:U122"/>
    <mergeCell ref="M123:U123"/>
    <mergeCell ref="M124:U124"/>
    <mergeCell ref="M125:U125"/>
    <mergeCell ref="M126:U126"/>
    <mergeCell ref="M127:U127"/>
    <mergeCell ref="M128:U128"/>
    <mergeCell ref="M129:U129"/>
    <mergeCell ref="M130:U130"/>
    <mergeCell ref="M131:U131"/>
    <mergeCell ref="M132:U132"/>
    <mergeCell ref="M133:U133"/>
    <mergeCell ref="M134:U134"/>
    <mergeCell ref="M135:U135"/>
    <mergeCell ref="M136:U136"/>
    <mergeCell ref="M137:U137"/>
    <mergeCell ref="M138:U138"/>
    <mergeCell ref="M139:U139"/>
    <mergeCell ref="B145:AE145"/>
    <mergeCell ref="S178:T178"/>
    <mergeCell ref="S179:T179"/>
    <mergeCell ref="S180:T180"/>
    <mergeCell ref="Q161:R161"/>
    <mergeCell ref="Q162:R162"/>
    <mergeCell ref="Q163:R163"/>
    <mergeCell ref="Q164:R164"/>
    <mergeCell ref="Q165:R165"/>
    <mergeCell ref="Q166:R166"/>
    <mergeCell ref="Q167:R167"/>
    <mergeCell ref="Q168:R168"/>
    <mergeCell ref="Q169:R169"/>
    <mergeCell ref="Q170:R170"/>
    <mergeCell ref="Q171:R171"/>
    <mergeCell ref="Q172:R172"/>
    <mergeCell ref="Q173:R173"/>
    <mergeCell ref="Q174:R174"/>
    <mergeCell ref="Q175:R175"/>
    <mergeCell ref="Q176:R176"/>
    <mergeCell ref="Q177:R177"/>
    <mergeCell ref="Q178:R178"/>
    <mergeCell ref="Q179:R179"/>
    <mergeCell ref="Q180:R180"/>
    <mergeCell ref="S161:T161"/>
    <mergeCell ref="S162:T162"/>
    <mergeCell ref="S163:T163"/>
  </mergeCells>
  <pageMargins left="0.511811024" right="0.511811024" top="0.78740157499999996" bottom="0.78740157499999996" header="0.31496062000000002" footer="0.31496062000000002"/>
  <pageSetup paperSize="9" scale="38" orientation="portrait" r:id="rId1"/>
  <colBreaks count="1" manualBreakCount="1">
    <brk id="32" max="1048575" man="1"/>
  </colBreaks>
  <drawing r:id="rId2"/>
  <legacyDrawing r:id="rId3"/>
  <controls>
    <mc:AlternateContent xmlns:mc="http://schemas.openxmlformats.org/markup-compatibility/2006">
      <mc:Choice Requires="x14">
        <control shapeId="4097" r:id="rId4" name="cmd_Lock">
          <controlPr defaultSize="0" autoLine="0" r:id="rId5">
            <anchor moveWithCells="1">
              <from>
                <xdr:col>30</xdr:col>
                <xdr:colOff>114300</xdr:colOff>
                <xdr:row>0</xdr:row>
                <xdr:rowOff>85725</xdr:rowOff>
              </from>
              <to>
                <xdr:col>30</xdr:col>
                <xdr:colOff>428625</xdr:colOff>
                <xdr:row>1</xdr:row>
                <xdr:rowOff>180975</xdr:rowOff>
              </to>
            </anchor>
          </controlPr>
        </control>
      </mc:Choice>
      <mc:Fallback>
        <control shapeId="4097" r:id="rId4" name="cmd_Lock"/>
      </mc:Fallback>
    </mc:AlternateContent>
    <mc:AlternateContent xmlns:mc="http://schemas.openxmlformats.org/markup-compatibility/2006">
      <mc:Choice Requires="x14">
        <control shapeId="4098" r:id="rId6" name="cmd_Pintar">
          <controlPr defaultSize="0" autoLine="0" r:id="rId7">
            <anchor moveWithCells="1">
              <from>
                <xdr:col>22</xdr:col>
                <xdr:colOff>76200</xdr:colOff>
                <xdr:row>24</xdr:row>
                <xdr:rowOff>28575</xdr:rowOff>
              </from>
              <to>
                <xdr:col>23</xdr:col>
                <xdr:colOff>85725</xdr:colOff>
                <xdr:row>26</xdr:row>
                <xdr:rowOff>142875</xdr:rowOff>
              </to>
            </anchor>
          </controlPr>
        </control>
      </mc:Choice>
      <mc:Fallback>
        <control shapeId="4098" r:id="rId6" name="cmd_Pintar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B_CONTRATOS">
    <tabColor rgb="FF7030A0"/>
  </sheetPr>
  <dimension ref="A1:O103"/>
  <sheetViews>
    <sheetView showGridLines="0" showRowColHeaders="0" workbookViewId="0">
      <pane xSplit="1" ySplit="1" topLeftCell="B31" activePane="bottomRight" state="frozen"/>
      <selection pane="topRight" activeCell="B1" sqref="B1"/>
      <selection pane="bottomLeft" activeCell="A2" sqref="A2"/>
      <selection pane="bottomRight" activeCell="B1" sqref="B1"/>
    </sheetView>
  </sheetViews>
  <sheetFormatPr defaultColWidth="0" defaultRowHeight="11.25" zeroHeight="1" x14ac:dyDescent="0.25"/>
  <cols>
    <col min="1" max="1" width="5.85546875" style="22" customWidth="1"/>
    <col min="2" max="2" width="37.140625" style="22" customWidth="1"/>
    <col min="3" max="3" width="10.140625" style="144" customWidth="1"/>
    <col min="4" max="5" width="15.140625" style="22" customWidth="1"/>
    <col min="6" max="6" width="13.42578125" style="22" customWidth="1"/>
    <col min="7" max="7" width="5.42578125" style="149" customWidth="1"/>
    <col min="8" max="8" width="9.7109375" style="148" customWidth="1"/>
    <col min="9" max="11" width="3.85546875" style="144" customWidth="1"/>
    <col min="12" max="12" width="3.85546875" style="160" customWidth="1"/>
    <col min="13" max="13" width="34.28515625" style="327" customWidth="1"/>
    <col min="14" max="14" width="1.5703125" style="22" customWidth="1"/>
    <col min="15" max="15" width="26.7109375" style="22" customWidth="1"/>
    <col min="16" max="16384" width="9.140625" style="22" hidden="1"/>
  </cols>
  <sheetData>
    <row r="1" spans="1:15" ht="27.75" customHeight="1" x14ac:dyDescent="0.2">
      <c r="A1" s="154">
        <v>68</v>
      </c>
      <c r="B1" s="146" t="s">
        <v>216</v>
      </c>
      <c r="C1" s="145" t="s">
        <v>57</v>
      </c>
      <c r="D1" s="146" t="s">
        <v>169</v>
      </c>
      <c r="E1" s="146" t="s">
        <v>845</v>
      </c>
      <c r="F1" s="146" t="s">
        <v>170</v>
      </c>
      <c r="G1" s="146" t="s">
        <v>171</v>
      </c>
      <c r="H1" s="147" t="s">
        <v>280</v>
      </c>
      <c r="I1" s="145" t="s">
        <v>693</v>
      </c>
      <c r="J1" s="145" t="s">
        <v>694</v>
      </c>
      <c r="K1" s="145" t="s">
        <v>695</v>
      </c>
      <c r="L1" s="157" t="s">
        <v>1035</v>
      </c>
      <c r="M1" s="326" t="s">
        <v>65</v>
      </c>
      <c r="O1" s="329" t="s">
        <v>683</v>
      </c>
    </row>
    <row r="2" spans="1:15" x14ac:dyDescent="0.25">
      <c r="B2" s="17" t="s">
        <v>1032</v>
      </c>
      <c r="C2" s="151" t="s">
        <v>63</v>
      </c>
      <c r="D2" s="17"/>
      <c r="E2" s="17"/>
      <c r="F2" s="17" t="s">
        <v>808</v>
      </c>
      <c r="G2" s="152"/>
      <c r="H2" s="153"/>
      <c r="I2" s="151"/>
      <c r="J2" s="151"/>
      <c r="K2" s="151"/>
      <c r="L2" s="159"/>
      <c r="M2" s="328"/>
      <c r="O2" s="155" t="s">
        <v>172</v>
      </c>
    </row>
    <row r="3" spans="1:15" x14ac:dyDescent="0.25">
      <c r="B3" s="17" t="s">
        <v>677</v>
      </c>
      <c r="C3" s="151">
        <v>4600045908</v>
      </c>
      <c r="D3" s="17"/>
      <c r="E3" s="17"/>
      <c r="F3" s="17" t="s">
        <v>677</v>
      </c>
      <c r="G3" s="152"/>
      <c r="H3" s="153">
        <v>43281</v>
      </c>
      <c r="I3" s="151">
        <v>30</v>
      </c>
      <c r="J3" s="151">
        <v>30</v>
      </c>
      <c r="K3" s="151">
        <v>40</v>
      </c>
      <c r="L3" s="159"/>
      <c r="M3" s="328"/>
      <c r="O3" s="156" t="s">
        <v>431</v>
      </c>
    </row>
    <row r="4" spans="1:15" x14ac:dyDescent="0.25">
      <c r="B4" s="17" t="s">
        <v>173</v>
      </c>
      <c r="C4" s="151">
        <v>4600046926</v>
      </c>
      <c r="D4" s="17"/>
      <c r="E4" s="17"/>
      <c r="F4" s="17" t="s">
        <v>173</v>
      </c>
      <c r="G4" s="152"/>
      <c r="H4" s="153">
        <v>43039</v>
      </c>
      <c r="I4" s="151">
        <v>30</v>
      </c>
      <c r="J4" s="151">
        <v>30</v>
      </c>
      <c r="K4" s="151">
        <v>40</v>
      </c>
      <c r="L4" s="159"/>
      <c r="M4" s="328"/>
      <c r="O4" s="330" t="s">
        <v>1087</v>
      </c>
    </row>
    <row r="5" spans="1:15" x14ac:dyDescent="0.25">
      <c r="B5" s="17" t="s">
        <v>281</v>
      </c>
      <c r="C5" s="151" t="s">
        <v>717</v>
      </c>
      <c r="D5" s="17" t="s">
        <v>38</v>
      </c>
      <c r="E5" s="17"/>
      <c r="F5" s="17" t="s">
        <v>174</v>
      </c>
      <c r="G5" s="152"/>
      <c r="H5" s="153">
        <v>44439</v>
      </c>
      <c r="I5" s="151"/>
      <c r="J5" s="151"/>
      <c r="K5" s="151"/>
      <c r="L5" s="159"/>
      <c r="M5" s="328"/>
      <c r="O5" s="150" t="s">
        <v>1034</v>
      </c>
    </row>
    <row r="6" spans="1:15" x14ac:dyDescent="0.25">
      <c r="B6" s="17" t="s">
        <v>411</v>
      </c>
      <c r="C6" s="151" t="s">
        <v>718</v>
      </c>
      <c r="D6" s="17" t="s">
        <v>809</v>
      </c>
      <c r="E6" s="17"/>
      <c r="F6" s="17" t="s">
        <v>174</v>
      </c>
      <c r="G6" s="152" t="s">
        <v>176</v>
      </c>
      <c r="H6" s="153">
        <v>44439</v>
      </c>
      <c r="I6" s="151"/>
      <c r="J6" s="151"/>
      <c r="K6" s="151"/>
      <c r="L6" s="159"/>
      <c r="M6" s="328"/>
      <c r="O6" s="158" t="s">
        <v>430</v>
      </c>
    </row>
    <row r="7" spans="1:15" x14ac:dyDescent="0.25">
      <c r="B7" s="17" t="s">
        <v>861</v>
      </c>
      <c r="C7" s="151">
        <v>4600043369</v>
      </c>
      <c r="D7" s="17"/>
      <c r="E7" s="17" t="s">
        <v>38</v>
      </c>
      <c r="F7" s="17" t="s">
        <v>174</v>
      </c>
      <c r="G7" s="152"/>
      <c r="H7" s="153">
        <v>44439</v>
      </c>
      <c r="I7" s="151"/>
      <c r="J7" s="151"/>
      <c r="K7" s="151"/>
      <c r="L7" s="159"/>
      <c r="M7" s="328"/>
      <c r="O7" s="331" t="s">
        <v>1037</v>
      </c>
    </row>
    <row r="8" spans="1:15" x14ac:dyDescent="0.25">
      <c r="B8" s="17" t="s">
        <v>1054</v>
      </c>
      <c r="C8" s="151">
        <v>4600043366</v>
      </c>
      <c r="D8" s="17"/>
      <c r="E8" s="17"/>
      <c r="F8" s="17" t="s">
        <v>174</v>
      </c>
      <c r="G8" s="152"/>
      <c r="H8" s="153">
        <v>44439</v>
      </c>
      <c r="I8" s="151">
        <v>40</v>
      </c>
      <c r="J8" s="151">
        <v>40</v>
      </c>
      <c r="K8" s="151">
        <v>20</v>
      </c>
      <c r="L8" s="159" t="s">
        <v>1036</v>
      </c>
      <c r="M8" s="328" t="s">
        <v>1083</v>
      </c>
    </row>
    <row r="9" spans="1:15" x14ac:dyDescent="0.25">
      <c r="B9" s="17" t="s">
        <v>1025</v>
      </c>
      <c r="C9" s="151" t="s">
        <v>1027</v>
      </c>
      <c r="D9" s="17" t="s">
        <v>1025</v>
      </c>
      <c r="E9" s="17"/>
      <c r="F9" s="17" t="s">
        <v>1026</v>
      </c>
      <c r="G9" s="152"/>
      <c r="H9" s="153">
        <v>43300</v>
      </c>
      <c r="I9" s="151"/>
      <c r="J9" s="151"/>
      <c r="K9" s="151"/>
      <c r="L9" s="159"/>
      <c r="M9" s="328"/>
    </row>
    <row r="10" spans="1:15" x14ac:dyDescent="0.25">
      <c r="B10" s="17" t="s">
        <v>1028</v>
      </c>
      <c r="C10" s="151">
        <v>4600047951</v>
      </c>
      <c r="D10" s="17"/>
      <c r="E10" s="17" t="s">
        <v>1025</v>
      </c>
      <c r="F10" s="17" t="s">
        <v>1026</v>
      </c>
      <c r="G10" s="152"/>
      <c r="H10" s="153">
        <v>43300</v>
      </c>
      <c r="I10" s="151"/>
      <c r="J10" s="151"/>
      <c r="K10" s="151"/>
      <c r="L10" s="159"/>
      <c r="M10" s="328"/>
    </row>
    <row r="11" spans="1:15" x14ac:dyDescent="0.25">
      <c r="B11" s="17" t="s">
        <v>409</v>
      </c>
      <c r="C11" s="151">
        <v>4600038943</v>
      </c>
      <c r="D11" s="17"/>
      <c r="E11" s="17"/>
      <c r="F11" s="17" t="s">
        <v>177</v>
      </c>
      <c r="G11" s="152"/>
      <c r="H11" s="153">
        <v>43434</v>
      </c>
      <c r="I11" s="151">
        <v>30</v>
      </c>
      <c r="J11" s="151">
        <v>30</v>
      </c>
      <c r="K11" s="151">
        <v>40</v>
      </c>
      <c r="L11" s="159"/>
      <c r="M11" s="328"/>
    </row>
    <row r="12" spans="1:15" x14ac:dyDescent="0.25">
      <c r="B12" s="17" t="s">
        <v>658</v>
      </c>
      <c r="C12" s="151" t="s">
        <v>719</v>
      </c>
      <c r="D12" s="17" t="s">
        <v>675</v>
      </c>
      <c r="E12" s="17"/>
      <c r="F12" s="17" t="s">
        <v>461</v>
      </c>
      <c r="G12" s="152" t="s">
        <v>178</v>
      </c>
      <c r="H12" s="153">
        <v>43830</v>
      </c>
      <c r="I12" s="151"/>
      <c r="J12" s="151"/>
      <c r="K12" s="151"/>
      <c r="L12" s="159"/>
      <c r="M12" s="328"/>
    </row>
    <row r="13" spans="1:15" x14ac:dyDescent="0.25">
      <c r="B13" s="17" t="s">
        <v>685</v>
      </c>
      <c r="C13" s="151" t="s">
        <v>720</v>
      </c>
      <c r="D13" s="17" t="s">
        <v>688</v>
      </c>
      <c r="E13" s="17"/>
      <c r="F13" s="17" t="s">
        <v>461</v>
      </c>
      <c r="G13" s="152" t="s">
        <v>179</v>
      </c>
      <c r="H13" s="153">
        <v>43921</v>
      </c>
      <c r="I13" s="151"/>
      <c r="J13" s="151"/>
      <c r="K13" s="151"/>
      <c r="L13" s="159"/>
      <c r="M13" s="328"/>
    </row>
    <row r="14" spans="1:15" x14ac:dyDescent="0.25">
      <c r="B14" s="17" t="s">
        <v>862</v>
      </c>
      <c r="C14" s="151">
        <v>4600045294</v>
      </c>
      <c r="D14" s="17"/>
      <c r="E14" s="17" t="s">
        <v>675</v>
      </c>
      <c r="F14" s="17" t="s">
        <v>461</v>
      </c>
      <c r="G14" s="152" t="s">
        <v>178</v>
      </c>
      <c r="H14" s="153">
        <v>43830</v>
      </c>
      <c r="I14" s="151"/>
      <c r="J14" s="151"/>
      <c r="K14" s="151"/>
      <c r="L14" s="159"/>
      <c r="M14" s="328"/>
    </row>
    <row r="15" spans="1:15" x14ac:dyDescent="0.25">
      <c r="B15" s="17" t="s">
        <v>863</v>
      </c>
      <c r="C15" s="151">
        <v>4600045951</v>
      </c>
      <c r="D15" s="17"/>
      <c r="E15" s="17" t="s">
        <v>688</v>
      </c>
      <c r="F15" s="17" t="s">
        <v>461</v>
      </c>
      <c r="G15" s="152" t="s">
        <v>179</v>
      </c>
      <c r="H15" s="153">
        <v>43921</v>
      </c>
      <c r="I15" s="151"/>
      <c r="J15" s="151"/>
      <c r="K15" s="151"/>
      <c r="L15" s="159"/>
      <c r="M15" s="328"/>
    </row>
    <row r="16" spans="1:15" x14ac:dyDescent="0.25">
      <c r="B16" s="17" t="s">
        <v>1004</v>
      </c>
      <c r="C16" s="151">
        <v>4600046308</v>
      </c>
      <c r="D16" s="17"/>
      <c r="E16" s="17"/>
      <c r="F16" s="17" t="s">
        <v>1003</v>
      </c>
      <c r="G16" s="152"/>
      <c r="H16" s="153">
        <v>42886</v>
      </c>
      <c r="I16" s="151"/>
      <c r="J16" s="151"/>
      <c r="K16" s="151">
        <v>100</v>
      </c>
      <c r="L16" s="159" t="s">
        <v>1036</v>
      </c>
      <c r="M16" s="328"/>
    </row>
    <row r="17" spans="2:13" x14ac:dyDescent="0.25">
      <c r="B17" s="17" t="s">
        <v>180</v>
      </c>
      <c r="C17" s="151">
        <v>4600044127</v>
      </c>
      <c r="D17" s="17"/>
      <c r="E17" s="17"/>
      <c r="F17" s="17" t="s">
        <v>181</v>
      </c>
      <c r="G17" s="152"/>
      <c r="H17" s="153">
        <v>43100</v>
      </c>
      <c r="I17" s="151">
        <v>30</v>
      </c>
      <c r="J17" s="151">
        <v>30</v>
      </c>
      <c r="K17" s="151">
        <v>40</v>
      </c>
      <c r="L17" s="159"/>
      <c r="M17" s="328"/>
    </row>
    <row r="18" spans="2:13" x14ac:dyDescent="0.25">
      <c r="B18" s="17" t="s">
        <v>1038</v>
      </c>
      <c r="C18" s="151" t="s">
        <v>721</v>
      </c>
      <c r="D18" s="17" t="s">
        <v>182</v>
      </c>
      <c r="E18" s="17"/>
      <c r="F18" s="17" t="s">
        <v>182</v>
      </c>
      <c r="G18" s="152"/>
      <c r="H18" s="153">
        <v>42947</v>
      </c>
      <c r="I18" s="151"/>
      <c r="J18" s="151"/>
      <c r="K18" s="151"/>
      <c r="L18" s="159"/>
      <c r="M18" s="328" t="s">
        <v>1039</v>
      </c>
    </row>
    <row r="19" spans="2:13" x14ac:dyDescent="0.25">
      <c r="B19" s="17" t="s">
        <v>1041</v>
      </c>
      <c r="C19" s="151">
        <v>4600041956</v>
      </c>
      <c r="D19" s="17"/>
      <c r="E19" s="17"/>
      <c r="F19" s="17" t="s">
        <v>182</v>
      </c>
      <c r="G19" s="152"/>
      <c r="H19" s="153">
        <v>42947</v>
      </c>
      <c r="I19" s="151">
        <v>30</v>
      </c>
      <c r="J19" s="151">
        <v>40</v>
      </c>
      <c r="K19" s="151">
        <v>30</v>
      </c>
      <c r="L19" s="159"/>
      <c r="M19" s="328" t="s">
        <v>1040</v>
      </c>
    </row>
    <row r="20" spans="2:13" x14ac:dyDescent="0.25">
      <c r="B20" s="17" t="s">
        <v>414</v>
      </c>
      <c r="C20" s="151">
        <v>4600046877</v>
      </c>
      <c r="D20" s="17"/>
      <c r="E20" s="17"/>
      <c r="F20" s="17" t="s">
        <v>413</v>
      </c>
      <c r="G20" s="152"/>
      <c r="H20" s="153">
        <v>43055</v>
      </c>
      <c r="I20" s="151">
        <v>30</v>
      </c>
      <c r="J20" s="151">
        <v>30</v>
      </c>
      <c r="K20" s="151">
        <v>40</v>
      </c>
      <c r="L20" s="159"/>
      <c r="M20" s="328"/>
    </row>
    <row r="21" spans="2:13" x14ac:dyDescent="0.25">
      <c r="B21" s="17" t="s">
        <v>1088</v>
      </c>
      <c r="C21" s="151">
        <v>4600046998</v>
      </c>
      <c r="D21" s="17"/>
      <c r="E21" s="17"/>
      <c r="F21" s="17" t="s">
        <v>1088</v>
      </c>
      <c r="G21" s="152"/>
      <c r="H21" s="153">
        <v>42997</v>
      </c>
      <c r="I21" s="151"/>
      <c r="J21" s="151"/>
      <c r="K21" s="151">
        <v>100</v>
      </c>
      <c r="L21" s="159" t="s">
        <v>1036</v>
      </c>
      <c r="M21" s="328"/>
    </row>
    <row r="22" spans="2:13" x14ac:dyDescent="0.25">
      <c r="B22" s="17" t="s">
        <v>810</v>
      </c>
      <c r="C22" s="151">
        <v>4600046802</v>
      </c>
      <c r="D22" s="17"/>
      <c r="E22" s="17"/>
      <c r="F22" s="17" t="s">
        <v>460</v>
      </c>
      <c r="G22" s="152"/>
      <c r="H22" s="153">
        <v>42825</v>
      </c>
      <c r="I22" s="151"/>
      <c r="J22" s="151"/>
      <c r="K22" s="151">
        <v>100</v>
      </c>
      <c r="L22" s="159" t="s">
        <v>1036</v>
      </c>
      <c r="M22" s="328"/>
    </row>
    <row r="23" spans="2:13" x14ac:dyDescent="0.25">
      <c r="B23" s="17" t="s">
        <v>183</v>
      </c>
      <c r="C23" s="151">
        <v>4600038058</v>
      </c>
      <c r="D23" s="17"/>
      <c r="E23" s="17"/>
      <c r="F23" s="17" t="s">
        <v>184</v>
      </c>
      <c r="G23" s="152"/>
      <c r="H23" s="153">
        <v>42886</v>
      </c>
      <c r="I23" s="151">
        <v>30</v>
      </c>
      <c r="J23" s="151">
        <v>30</v>
      </c>
      <c r="K23" s="151">
        <v>40</v>
      </c>
      <c r="L23" s="159"/>
      <c r="M23" s="328"/>
    </row>
    <row r="24" spans="2:13" x14ac:dyDescent="0.25">
      <c r="B24" s="17" t="s">
        <v>1043</v>
      </c>
      <c r="C24" s="151">
        <v>4600042353</v>
      </c>
      <c r="D24" s="17"/>
      <c r="E24" s="17"/>
      <c r="F24" s="17" t="s">
        <v>185</v>
      </c>
      <c r="G24" s="152"/>
      <c r="H24" s="153">
        <v>43404</v>
      </c>
      <c r="I24" s="151">
        <v>30</v>
      </c>
      <c r="J24" s="151">
        <v>30</v>
      </c>
      <c r="K24" s="151">
        <v>40</v>
      </c>
      <c r="L24" s="159"/>
      <c r="M24" s="328"/>
    </row>
    <row r="25" spans="2:13" x14ac:dyDescent="0.25">
      <c r="B25" s="17" t="s">
        <v>806</v>
      </c>
      <c r="C25" s="151">
        <v>4600041840</v>
      </c>
      <c r="D25" s="17"/>
      <c r="E25" s="17"/>
      <c r="F25" s="17" t="s">
        <v>186</v>
      </c>
      <c r="G25" s="152"/>
      <c r="H25" s="153">
        <v>43251</v>
      </c>
      <c r="I25" s="151"/>
      <c r="J25" s="151"/>
      <c r="K25" s="151"/>
      <c r="L25" s="159"/>
      <c r="M25" s="328"/>
    </row>
    <row r="26" spans="2:13" x14ac:dyDescent="0.25">
      <c r="B26" s="17" t="s">
        <v>676</v>
      </c>
      <c r="C26" s="151">
        <v>4600046592</v>
      </c>
      <c r="D26" s="17"/>
      <c r="E26" s="17"/>
      <c r="F26" s="17" t="s">
        <v>186</v>
      </c>
      <c r="G26" s="152"/>
      <c r="H26" s="153">
        <v>43312</v>
      </c>
      <c r="I26" s="151">
        <v>30</v>
      </c>
      <c r="J26" s="151">
        <v>30</v>
      </c>
      <c r="K26" s="151">
        <v>40</v>
      </c>
      <c r="L26" s="159" t="s">
        <v>1036</v>
      </c>
      <c r="M26" s="328"/>
    </row>
    <row r="27" spans="2:13" x14ac:dyDescent="0.25">
      <c r="B27" s="17" t="s">
        <v>187</v>
      </c>
      <c r="C27" s="151">
        <v>4600046066</v>
      </c>
      <c r="D27" s="17"/>
      <c r="E27" s="17"/>
      <c r="F27" s="17" t="s">
        <v>187</v>
      </c>
      <c r="G27" s="152"/>
      <c r="H27" s="153">
        <v>42825</v>
      </c>
      <c r="I27" s="151">
        <v>30</v>
      </c>
      <c r="J27" s="151">
        <v>30</v>
      </c>
      <c r="K27" s="151">
        <v>40</v>
      </c>
      <c r="L27" s="159"/>
      <c r="M27" s="328"/>
    </row>
    <row r="28" spans="2:13" x14ac:dyDescent="0.25">
      <c r="B28" s="17" t="s">
        <v>188</v>
      </c>
      <c r="C28" s="151" t="s">
        <v>722</v>
      </c>
      <c r="D28" s="17" t="s">
        <v>189</v>
      </c>
      <c r="E28" s="17"/>
      <c r="F28" s="17" t="s">
        <v>189</v>
      </c>
      <c r="G28" s="152" t="s">
        <v>190</v>
      </c>
      <c r="H28" s="153">
        <v>43373</v>
      </c>
      <c r="I28" s="151"/>
      <c r="J28" s="151"/>
      <c r="K28" s="151"/>
      <c r="L28" s="159"/>
      <c r="M28" s="328"/>
    </row>
    <row r="29" spans="2:13" x14ac:dyDescent="0.25">
      <c r="B29" s="17" t="s">
        <v>807</v>
      </c>
      <c r="C29" s="151" t="s">
        <v>957</v>
      </c>
      <c r="D29" s="17" t="s">
        <v>189</v>
      </c>
      <c r="E29" s="17"/>
      <c r="F29" s="17" t="s">
        <v>189</v>
      </c>
      <c r="G29" s="152" t="s">
        <v>175</v>
      </c>
      <c r="H29" s="153">
        <v>44053</v>
      </c>
      <c r="I29" s="151"/>
      <c r="J29" s="151"/>
      <c r="K29" s="151"/>
      <c r="L29" s="159"/>
      <c r="M29" s="328"/>
    </row>
    <row r="30" spans="2:13" x14ac:dyDescent="0.25">
      <c r="B30" s="17" t="s">
        <v>191</v>
      </c>
      <c r="C30" s="151" t="s">
        <v>723</v>
      </c>
      <c r="D30" s="17" t="s">
        <v>189</v>
      </c>
      <c r="E30" s="17"/>
      <c r="F30" s="17" t="s">
        <v>189</v>
      </c>
      <c r="G30" s="152" t="s">
        <v>192</v>
      </c>
      <c r="H30" s="153">
        <v>43373</v>
      </c>
      <c r="I30" s="151"/>
      <c r="J30" s="151"/>
      <c r="K30" s="151"/>
      <c r="L30" s="159"/>
      <c r="M30" s="328"/>
    </row>
    <row r="31" spans="2:13" x14ac:dyDescent="0.25">
      <c r="B31" s="17" t="s">
        <v>673</v>
      </c>
      <c r="C31" s="151" t="s">
        <v>724</v>
      </c>
      <c r="D31" s="17" t="s">
        <v>189</v>
      </c>
      <c r="E31" s="17"/>
      <c r="F31" s="17" t="s">
        <v>189</v>
      </c>
      <c r="G31" s="152" t="s">
        <v>192</v>
      </c>
      <c r="H31" s="153">
        <v>43373</v>
      </c>
      <c r="I31" s="151"/>
      <c r="J31" s="151"/>
      <c r="K31" s="151"/>
      <c r="L31" s="159"/>
      <c r="M31" s="328"/>
    </row>
    <row r="32" spans="2:13" x14ac:dyDescent="0.25">
      <c r="B32" s="17" t="s">
        <v>864</v>
      </c>
      <c r="C32" s="151">
        <v>4600042486</v>
      </c>
      <c r="D32" s="17"/>
      <c r="E32" s="17" t="s">
        <v>189</v>
      </c>
      <c r="F32" s="17" t="s">
        <v>189</v>
      </c>
      <c r="G32" s="152" t="s">
        <v>190</v>
      </c>
      <c r="H32" s="153">
        <v>43373</v>
      </c>
      <c r="I32" s="151"/>
      <c r="J32" s="151"/>
      <c r="K32" s="151"/>
      <c r="L32" s="159"/>
      <c r="M32" s="328"/>
    </row>
    <row r="33" spans="2:13" x14ac:dyDescent="0.25">
      <c r="B33" s="17" t="s">
        <v>880</v>
      </c>
      <c r="C33" s="151">
        <v>4600046584</v>
      </c>
      <c r="D33" s="17"/>
      <c r="E33" s="17" t="s">
        <v>189</v>
      </c>
      <c r="F33" s="17" t="s">
        <v>189</v>
      </c>
      <c r="G33" s="152" t="s">
        <v>175</v>
      </c>
      <c r="H33" s="153">
        <v>44053</v>
      </c>
      <c r="I33" s="151"/>
      <c r="J33" s="151"/>
      <c r="K33" s="151"/>
      <c r="L33" s="159"/>
      <c r="M33" s="328"/>
    </row>
    <row r="34" spans="2:13" x14ac:dyDescent="0.25">
      <c r="B34" s="17" t="s">
        <v>865</v>
      </c>
      <c r="C34" s="151">
        <v>4600042487</v>
      </c>
      <c r="D34" s="17"/>
      <c r="E34" s="17" t="s">
        <v>189</v>
      </c>
      <c r="F34" s="17" t="s">
        <v>189</v>
      </c>
      <c r="G34" s="152" t="s">
        <v>192</v>
      </c>
      <c r="H34" s="153">
        <v>43373</v>
      </c>
      <c r="I34" s="151"/>
      <c r="J34" s="151"/>
      <c r="K34" s="151"/>
      <c r="L34" s="159"/>
      <c r="M34" s="328"/>
    </row>
    <row r="35" spans="2:13" x14ac:dyDescent="0.25">
      <c r="B35" s="17" t="s">
        <v>866</v>
      </c>
      <c r="C35" s="151">
        <v>4600045832</v>
      </c>
      <c r="D35" s="17"/>
      <c r="E35" s="17" t="s">
        <v>189</v>
      </c>
      <c r="F35" s="17" t="s">
        <v>189</v>
      </c>
      <c r="G35" s="152" t="s">
        <v>192</v>
      </c>
      <c r="H35" s="153">
        <v>43373</v>
      </c>
      <c r="I35" s="151"/>
      <c r="J35" s="151"/>
      <c r="K35" s="151"/>
      <c r="L35" s="159"/>
      <c r="M35" s="328"/>
    </row>
    <row r="36" spans="2:13" x14ac:dyDescent="0.25">
      <c r="B36" s="17" t="s">
        <v>193</v>
      </c>
      <c r="C36" s="151">
        <v>4600041961</v>
      </c>
      <c r="D36" s="17"/>
      <c r="E36" s="17"/>
      <c r="F36" s="17" t="s">
        <v>193</v>
      </c>
      <c r="G36" s="152"/>
      <c r="H36" s="153">
        <v>42978</v>
      </c>
      <c r="I36" s="151">
        <v>30</v>
      </c>
      <c r="J36" s="151">
        <v>30</v>
      </c>
      <c r="K36" s="151">
        <v>40</v>
      </c>
      <c r="L36" s="159"/>
      <c r="M36" s="328"/>
    </row>
    <row r="37" spans="2:13" x14ac:dyDescent="0.25">
      <c r="B37" s="17" t="s">
        <v>194</v>
      </c>
      <c r="C37" s="151">
        <v>4600044324</v>
      </c>
      <c r="D37" s="17"/>
      <c r="E37" s="17"/>
      <c r="F37" s="17" t="s">
        <v>195</v>
      </c>
      <c r="G37" s="152"/>
      <c r="H37" s="153">
        <v>43299</v>
      </c>
      <c r="I37" s="151">
        <v>40</v>
      </c>
      <c r="J37" s="151">
        <v>40</v>
      </c>
      <c r="K37" s="151">
        <v>20</v>
      </c>
      <c r="L37" s="159"/>
      <c r="M37" s="328"/>
    </row>
    <row r="38" spans="2:13" x14ac:dyDescent="0.25">
      <c r="B38" s="17" t="s">
        <v>196</v>
      </c>
      <c r="C38" s="151">
        <v>4600044325</v>
      </c>
      <c r="D38" s="17"/>
      <c r="E38" s="17"/>
      <c r="F38" s="17" t="s">
        <v>1033</v>
      </c>
      <c r="G38" s="152"/>
      <c r="H38" s="153">
        <v>43299</v>
      </c>
      <c r="I38" s="151">
        <v>30</v>
      </c>
      <c r="J38" s="151">
        <v>30</v>
      </c>
      <c r="K38" s="151">
        <v>40</v>
      </c>
      <c r="L38" s="159"/>
      <c r="M38" s="328"/>
    </row>
    <row r="39" spans="2:13" x14ac:dyDescent="0.25">
      <c r="B39" s="17" t="s">
        <v>198</v>
      </c>
      <c r="C39" s="151" t="s">
        <v>725</v>
      </c>
      <c r="D39" s="17" t="s">
        <v>447</v>
      </c>
      <c r="E39" s="17"/>
      <c r="F39" s="17" t="s">
        <v>197</v>
      </c>
      <c r="G39" s="152"/>
      <c r="H39" s="153">
        <v>43496</v>
      </c>
      <c r="I39" s="151"/>
      <c r="J39" s="151"/>
      <c r="K39" s="151"/>
      <c r="L39" s="159"/>
      <c r="M39" s="328"/>
    </row>
    <row r="40" spans="2:13" x14ac:dyDescent="0.25">
      <c r="B40" s="17" t="s">
        <v>867</v>
      </c>
      <c r="C40" s="151">
        <v>4600043151</v>
      </c>
      <c r="D40" s="17"/>
      <c r="E40" s="17" t="s">
        <v>447</v>
      </c>
      <c r="F40" s="17" t="s">
        <v>197</v>
      </c>
      <c r="G40" s="152"/>
      <c r="H40" s="153">
        <v>43496</v>
      </c>
      <c r="I40" s="151"/>
      <c r="J40" s="151"/>
      <c r="K40" s="151"/>
      <c r="L40" s="159"/>
      <c r="M40" s="328"/>
    </row>
    <row r="41" spans="2:13" x14ac:dyDescent="0.25">
      <c r="B41" s="17" t="s">
        <v>1081</v>
      </c>
      <c r="C41" s="151" t="s">
        <v>1082</v>
      </c>
      <c r="D41" s="17"/>
      <c r="E41" s="17"/>
      <c r="F41" s="17" t="s">
        <v>197</v>
      </c>
      <c r="G41" s="152"/>
      <c r="H41" s="153">
        <v>43496</v>
      </c>
      <c r="I41" s="151"/>
      <c r="J41" s="151"/>
      <c r="K41" s="151"/>
      <c r="L41" s="159"/>
      <c r="M41" s="328" t="s">
        <v>1084</v>
      </c>
    </row>
    <row r="42" spans="2:13" x14ac:dyDescent="0.25">
      <c r="B42" s="17" t="s">
        <v>199</v>
      </c>
      <c r="C42" s="151">
        <v>4600045703</v>
      </c>
      <c r="D42" s="17"/>
      <c r="E42" s="17"/>
      <c r="F42" s="17" t="s">
        <v>200</v>
      </c>
      <c r="G42" s="152"/>
      <c r="H42" s="153">
        <v>43190</v>
      </c>
      <c r="I42" s="151">
        <v>30</v>
      </c>
      <c r="J42" s="151">
        <v>30</v>
      </c>
      <c r="K42" s="151">
        <v>40</v>
      </c>
      <c r="L42" s="159"/>
      <c r="M42" s="328"/>
    </row>
    <row r="43" spans="2:13" x14ac:dyDescent="0.25">
      <c r="B43" s="17" t="s">
        <v>679</v>
      </c>
      <c r="C43" s="151">
        <v>4600045631</v>
      </c>
      <c r="D43" s="17"/>
      <c r="E43" s="17"/>
      <c r="F43" s="17" t="s">
        <v>679</v>
      </c>
      <c r="G43" s="152"/>
      <c r="H43" s="153">
        <v>43312</v>
      </c>
      <c r="I43" s="151">
        <v>30</v>
      </c>
      <c r="J43" s="151">
        <v>30</v>
      </c>
      <c r="K43" s="151">
        <v>40</v>
      </c>
      <c r="L43" s="159"/>
      <c r="M43" s="328"/>
    </row>
    <row r="44" spans="2:13" x14ac:dyDescent="0.25">
      <c r="B44" s="17" t="s">
        <v>1085</v>
      </c>
      <c r="C44" s="151">
        <v>4600049073</v>
      </c>
      <c r="D44" s="17"/>
      <c r="E44" s="17"/>
      <c r="F44" s="17" t="s">
        <v>999</v>
      </c>
      <c r="G44" s="152"/>
      <c r="H44" s="153">
        <v>43529</v>
      </c>
      <c r="I44" s="151"/>
      <c r="J44" s="151"/>
      <c r="K44" s="151"/>
      <c r="L44" s="159"/>
      <c r="M44" s="328" t="s">
        <v>1086</v>
      </c>
    </row>
    <row r="45" spans="2:13" x14ac:dyDescent="0.25">
      <c r="B45" s="17" t="s">
        <v>201</v>
      </c>
      <c r="C45" s="151">
        <v>4600049340</v>
      </c>
      <c r="D45" s="17"/>
      <c r="E45" s="17"/>
      <c r="F45" s="17" t="s">
        <v>202</v>
      </c>
      <c r="G45" s="152"/>
      <c r="H45" s="153">
        <v>43677</v>
      </c>
      <c r="I45" s="151">
        <v>30</v>
      </c>
      <c r="J45" s="151">
        <v>30</v>
      </c>
      <c r="K45" s="151">
        <v>40</v>
      </c>
      <c r="L45" s="159"/>
      <c r="M45" s="328"/>
    </row>
    <row r="46" spans="2:13" x14ac:dyDescent="0.25">
      <c r="B46" s="17" t="s">
        <v>1079</v>
      </c>
      <c r="C46" s="151">
        <v>4600048929</v>
      </c>
      <c r="D46" s="17" t="s">
        <v>1079</v>
      </c>
      <c r="E46" s="17"/>
      <c r="F46" s="17" t="s">
        <v>203</v>
      </c>
      <c r="G46" s="152"/>
      <c r="H46" s="153">
        <v>43178</v>
      </c>
      <c r="I46" s="151"/>
      <c r="J46" s="151"/>
      <c r="K46" s="151"/>
      <c r="L46" s="159"/>
      <c r="M46" s="328"/>
    </row>
    <row r="47" spans="2:13" x14ac:dyDescent="0.25">
      <c r="B47" s="17" t="s">
        <v>1080</v>
      </c>
      <c r="C47" s="151">
        <v>4600048929</v>
      </c>
      <c r="D47" s="17"/>
      <c r="E47" s="17" t="s">
        <v>1079</v>
      </c>
      <c r="F47" s="17" t="s">
        <v>203</v>
      </c>
      <c r="G47" s="152"/>
      <c r="H47" s="153">
        <v>43178</v>
      </c>
      <c r="I47" s="151"/>
      <c r="J47" s="151"/>
      <c r="K47" s="151"/>
      <c r="L47" s="159"/>
      <c r="M47" s="328"/>
    </row>
    <row r="48" spans="2:13" x14ac:dyDescent="0.25">
      <c r="B48" s="17" t="s">
        <v>674</v>
      </c>
      <c r="C48" s="151">
        <v>4600045848</v>
      </c>
      <c r="D48" s="17"/>
      <c r="E48" s="17"/>
      <c r="F48" s="17" t="s">
        <v>203</v>
      </c>
      <c r="G48" s="152"/>
      <c r="H48" s="153">
        <v>43889</v>
      </c>
      <c r="I48" s="151"/>
      <c r="J48" s="151"/>
      <c r="K48" s="151">
        <v>100</v>
      </c>
      <c r="L48" s="159" t="s">
        <v>1036</v>
      </c>
      <c r="M48" s="328"/>
    </row>
    <row r="49" spans="2:13" x14ac:dyDescent="0.25">
      <c r="B49" s="17" t="s">
        <v>998</v>
      </c>
      <c r="C49" s="151">
        <v>4600047787</v>
      </c>
      <c r="D49" s="17"/>
      <c r="E49" s="17"/>
      <c r="F49" s="17" t="s">
        <v>203</v>
      </c>
      <c r="G49" s="152"/>
      <c r="H49" s="153">
        <v>42885</v>
      </c>
      <c r="I49" s="151"/>
      <c r="J49" s="151"/>
      <c r="K49" s="151">
        <v>100</v>
      </c>
      <c r="L49" s="159" t="s">
        <v>1036</v>
      </c>
      <c r="M49" s="328"/>
    </row>
    <row r="50" spans="2:13" x14ac:dyDescent="0.25">
      <c r="B50" s="17" t="s">
        <v>204</v>
      </c>
      <c r="C50" s="151">
        <v>4600044910</v>
      </c>
      <c r="D50" s="17"/>
      <c r="E50" s="17"/>
      <c r="F50" s="17" t="s">
        <v>205</v>
      </c>
      <c r="G50" s="152"/>
      <c r="H50" s="153">
        <v>43373</v>
      </c>
      <c r="I50" s="151">
        <v>30</v>
      </c>
      <c r="J50" s="151">
        <v>30</v>
      </c>
      <c r="K50" s="151">
        <v>40</v>
      </c>
      <c r="L50" s="159"/>
      <c r="M50" s="328" t="s">
        <v>1042</v>
      </c>
    </row>
    <row r="51" spans="2:13" x14ac:dyDescent="0.25">
      <c r="B51" s="17" t="s">
        <v>681</v>
      </c>
      <c r="C51" s="151">
        <v>4600045990</v>
      </c>
      <c r="D51" s="17"/>
      <c r="E51" s="17"/>
      <c r="F51" s="17" t="s">
        <v>207</v>
      </c>
      <c r="G51" s="152"/>
      <c r="H51" s="153">
        <v>43097</v>
      </c>
      <c r="I51" s="151">
        <v>30</v>
      </c>
      <c r="J51" s="151">
        <v>30</v>
      </c>
      <c r="K51" s="151">
        <v>40</v>
      </c>
      <c r="L51" s="159"/>
      <c r="M51" s="328"/>
    </row>
    <row r="52" spans="2:13" x14ac:dyDescent="0.25">
      <c r="B52" s="17" t="s">
        <v>206</v>
      </c>
      <c r="C52" s="151" t="s">
        <v>962</v>
      </c>
      <c r="D52" s="17" t="s">
        <v>206</v>
      </c>
      <c r="E52" s="17"/>
      <c r="F52" s="17" t="s">
        <v>206</v>
      </c>
      <c r="G52" s="152"/>
      <c r="H52" s="153">
        <v>43100</v>
      </c>
      <c r="I52" s="151"/>
      <c r="J52" s="151"/>
      <c r="K52" s="151"/>
      <c r="L52" s="159"/>
      <c r="M52" s="328" t="s">
        <v>963</v>
      </c>
    </row>
    <row r="53" spans="2:13" x14ac:dyDescent="0.25">
      <c r="B53" s="17" t="s">
        <v>868</v>
      </c>
      <c r="C53" s="151">
        <v>4600047456</v>
      </c>
      <c r="D53" s="17"/>
      <c r="E53" s="17" t="s">
        <v>206</v>
      </c>
      <c r="F53" s="17" t="s">
        <v>206</v>
      </c>
      <c r="G53" s="152"/>
      <c r="H53" s="153">
        <v>43100</v>
      </c>
      <c r="I53" s="151"/>
      <c r="J53" s="151"/>
      <c r="K53" s="151"/>
      <c r="L53" s="159"/>
      <c r="M53" s="328"/>
    </row>
    <row r="54" spans="2:13" x14ac:dyDescent="0.25">
      <c r="B54" s="17" t="s">
        <v>410</v>
      </c>
      <c r="C54" s="151">
        <v>4600045950</v>
      </c>
      <c r="D54" s="17"/>
      <c r="E54" s="17"/>
      <c r="F54" s="17" t="s">
        <v>410</v>
      </c>
      <c r="G54" s="152"/>
      <c r="H54" s="153">
        <v>43159</v>
      </c>
      <c r="I54" s="151">
        <v>30</v>
      </c>
      <c r="J54" s="151">
        <v>30</v>
      </c>
      <c r="K54" s="151">
        <v>40</v>
      </c>
      <c r="L54" s="159"/>
      <c r="M54" s="328"/>
    </row>
    <row r="55" spans="2:13" x14ac:dyDescent="0.25">
      <c r="B55" s="17" t="s">
        <v>1057</v>
      </c>
      <c r="C55" s="151">
        <v>4600048452</v>
      </c>
      <c r="D55" s="17"/>
      <c r="E55" s="17"/>
      <c r="F55" s="17" t="s">
        <v>1057</v>
      </c>
      <c r="G55" s="152"/>
      <c r="H55" s="153">
        <v>43790</v>
      </c>
      <c r="I55" s="151"/>
      <c r="J55" s="151"/>
      <c r="K55" s="151"/>
      <c r="L55" s="159"/>
      <c r="M55" s="328"/>
    </row>
    <row r="56" spans="2:13" x14ac:dyDescent="0.25">
      <c r="B56" s="17" t="s">
        <v>805</v>
      </c>
      <c r="C56" s="151" t="s">
        <v>878</v>
      </c>
      <c r="D56" s="17" t="s">
        <v>881</v>
      </c>
      <c r="E56" s="17"/>
      <c r="F56" s="17" t="s">
        <v>804</v>
      </c>
      <c r="G56" s="152" t="s">
        <v>175</v>
      </c>
      <c r="H56" s="153">
        <v>43322</v>
      </c>
      <c r="I56" s="151"/>
      <c r="J56" s="151"/>
      <c r="K56" s="151"/>
      <c r="L56" s="159"/>
      <c r="M56" s="328"/>
    </row>
    <row r="57" spans="2:13" x14ac:dyDescent="0.25">
      <c r="B57" s="17" t="s">
        <v>879</v>
      </c>
      <c r="C57" s="151">
        <v>4600046585</v>
      </c>
      <c r="D57" s="17"/>
      <c r="E57" s="17" t="s">
        <v>881</v>
      </c>
      <c r="F57" s="17" t="s">
        <v>804</v>
      </c>
      <c r="G57" s="152" t="s">
        <v>175</v>
      </c>
      <c r="H57" s="153">
        <v>43322</v>
      </c>
      <c r="I57" s="151"/>
      <c r="J57" s="151"/>
      <c r="K57" s="151"/>
      <c r="L57" s="159"/>
      <c r="M57" s="328"/>
    </row>
    <row r="58" spans="2:13" x14ac:dyDescent="0.25">
      <c r="B58" s="17" t="s">
        <v>680</v>
      </c>
      <c r="C58" s="151">
        <v>4600045875</v>
      </c>
      <c r="D58" s="17"/>
      <c r="E58" s="17"/>
      <c r="F58" s="17" t="s">
        <v>208</v>
      </c>
      <c r="G58" s="152"/>
      <c r="H58" s="153">
        <v>43496</v>
      </c>
      <c r="I58" s="151">
        <v>30</v>
      </c>
      <c r="J58" s="151">
        <v>30</v>
      </c>
      <c r="K58" s="151">
        <v>40</v>
      </c>
      <c r="L58" s="159"/>
      <c r="M58" s="328"/>
    </row>
    <row r="59" spans="2:13" x14ac:dyDescent="0.25">
      <c r="B59" s="17" t="s">
        <v>61</v>
      </c>
      <c r="C59" s="151">
        <v>4600046881</v>
      </c>
      <c r="D59" s="17"/>
      <c r="E59" s="17"/>
      <c r="F59" s="17" t="s">
        <v>61</v>
      </c>
      <c r="G59" s="152"/>
      <c r="H59" s="153">
        <v>43409</v>
      </c>
      <c r="I59" s="151"/>
      <c r="J59" s="151"/>
      <c r="K59" s="151">
        <v>100</v>
      </c>
      <c r="L59" s="159"/>
      <c r="M59" s="328"/>
    </row>
    <row r="60" spans="2:13" x14ac:dyDescent="0.25">
      <c r="B60" s="17" t="s">
        <v>209</v>
      </c>
      <c r="C60" s="151">
        <v>4600047124</v>
      </c>
      <c r="D60" s="17"/>
      <c r="E60" s="17"/>
      <c r="F60" s="17" t="s">
        <v>209</v>
      </c>
      <c r="G60" s="152"/>
      <c r="H60" s="153">
        <v>43100</v>
      </c>
      <c r="I60" s="151"/>
      <c r="J60" s="151"/>
      <c r="K60" s="151">
        <v>100</v>
      </c>
      <c r="L60" s="159"/>
      <c r="M60" s="328"/>
    </row>
    <row r="61" spans="2:13" x14ac:dyDescent="0.25">
      <c r="B61" s="17" t="s">
        <v>689</v>
      </c>
      <c r="C61" s="151">
        <v>4600046468</v>
      </c>
      <c r="D61" s="17"/>
      <c r="E61" s="17"/>
      <c r="F61" s="17" t="s">
        <v>689</v>
      </c>
      <c r="G61" s="152"/>
      <c r="H61" s="153">
        <v>42928</v>
      </c>
      <c r="I61" s="151">
        <v>30</v>
      </c>
      <c r="J61" s="151">
        <v>30</v>
      </c>
      <c r="K61" s="151">
        <v>40</v>
      </c>
      <c r="L61" s="159"/>
      <c r="M61" s="328"/>
    </row>
    <row r="62" spans="2:13" x14ac:dyDescent="0.25">
      <c r="B62" s="17" t="s">
        <v>210</v>
      </c>
      <c r="C62" s="151">
        <v>4600043248</v>
      </c>
      <c r="D62" s="17"/>
      <c r="E62" s="17"/>
      <c r="F62" s="17" t="s">
        <v>210</v>
      </c>
      <c r="G62" s="152"/>
      <c r="H62" s="153">
        <v>43465</v>
      </c>
      <c r="I62" s="151">
        <v>30</v>
      </c>
      <c r="J62" s="151">
        <v>50</v>
      </c>
      <c r="K62" s="151">
        <v>20</v>
      </c>
      <c r="L62" s="159"/>
      <c r="M62" s="328"/>
    </row>
    <row r="63" spans="2:13" x14ac:dyDescent="0.25">
      <c r="B63" s="17" t="s">
        <v>1053</v>
      </c>
      <c r="C63" s="151">
        <v>4600048273</v>
      </c>
      <c r="D63" s="17"/>
      <c r="E63" s="17"/>
      <c r="F63" s="17" t="s">
        <v>1053</v>
      </c>
      <c r="G63" s="152"/>
      <c r="H63" s="153">
        <v>43008</v>
      </c>
      <c r="I63" s="151"/>
      <c r="J63" s="151"/>
      <c r="K63" s="151"/>
      <c r="L63" s="159"/>
      <c r="M63" s="328"/>
    </row>
    <row r="64" spans="2:13" x14ac:dyDescent="0.25">
      <c r="B64" s="17" t="s">
        <v>416</v>
      </c>
      <c r="C64" s="151">
        <v>4600044013</v>
      </c>
      <c r="D64" s="17"/>
      <c r="E64" s="17"/>
      <c r="F64" s="17" t="s">
        <v>415</v>
      </c>
      <c r="G64" s="152"/>
      <c r="H64" s="153">
        <v>43228</v>
      </c>
      <c r="I64" s="151">
        <v>30</v>
      </c>
      <c r="J64" s="151">
        <v>30</v>
      </c>
      <c r="K64" s="151">
        <v>40</v>
      </c>
      <c r="L64" s="159"/>
      <c r="M64" s="328"/>
    </row>
    <row r="65" spans="2:13" x14ac:dyDescent="0.25">
      <c r="B65" s="17" t="s">
        <v>211</v>
      </c>
      <c r="C65" s="151">
        <v>4600043041</v>
      </c>
      <c r="D65" s="17"/>
      <c r="E65" s="17"/>
      <c r="F65" s="17" t="s">
        <v>212</v>
      </c>
      <c r="G65" s="152"/>
      <c r="H65" s="153">
        <v>43090</v>
      </c>
      <c r="I65" s="151">
        <v>30</v>
      </c>
      <c r="J65" s="151">
        <v>30</v>
      </c>
      <c r="K65" s="151">
        <v>40</v>
      </c>
      <c r="L65" s="159"/>
      <c r="M65" s="328" t="s">
        <v>961</v>
      </c>
    </row>
    <row r="66" spans="2:13" x14ac:dyDescent="0.25">
      <c r="B66" s="17"/>
      <c r="C66" s="151"/>
      <c r="D66" s="17"/>
      <c r="E66" s="17"/>
      <c r="F66" s="17"/>
      <c r="G66" s="152"/>
      <c r="H66" s="153"/>
      <c r="I66" s="151"/>
      <c r="J66" s="151"/>
      <c r="K66" s="151"/>
      <c r="L66" s="159"/>
      <c r="M66" s="328"/>
    </row>
    <row r="67" spans="2:13" x14ac:dyDescent="0.25">
      <c r="B67" s="17"/>
      <c r="C67" s="151"/>
      <c r="D67" s="17"/>
      <c r="E67" s="17"/>
      <c r="F67" s="17"/>
      <c r="G67" s="152"/>
      <c r="H67" s="153"/>
      <c r="I67" s="151"/>
      <c r="J67" s="151"/>
      <c r="K67" s="151"/>
      <c r="L67" s="159"/>
      <c r="M67" s="328"/>
    </row>
    <row r="68" spans="2:13" x14ac:dyDescent="0.25">
      <c r="B68" s="17"/>
      <c r="C68" s="151"/>
      <c r="D68" s="17"/>
      <c r="E68" s="17"/>
      <c r="F68" s="17"/>
      <c r="G68" s="152"/>
      <c r="H68" s="153"/>
      <c r="I68" s="151"/>
      <c r="J68" s="151"/>
      <c r="K68" s="151"/>
      <c r="L68" s="159"/>
      <c r="M68" s="328"/>
    </row>
    <row r="69" spans="2:13" x14ac:dyDescent="0.25">
      <c r="B69" s="17"/>
      <c r="C69" s="151"/>
      <c r="D69" s="17"/>
      <c r="E69" s="17"/>
      <c r="F69" s="17"/>
      <c r="G69" s="152"/>
      <c r="H69" s="153"/>
      <c r="I69" s="151"/>
      <c r="J69" s="151"/>
      <c r="K69" s="151"/>
      <c r="L69" s="159"/>
      <c r="M69" s="328"/>
    </row>
    <row r="70" spans="2:13" x14ac:dyDescent="0.25">
      <c r="B70" s="17"/>
      <c r="C70" s="151"/>
      <c r="D70" s="17"/>
      <c r="E70" s="17"/>
      <c r="F70" s="17"/>
      <c r="G70" s="152"/>
      <c r="H70" s="153"/>
      <c r="I70" s="151"/>
      <c r="J70" s="151"/>
      <c r="K70" s="151"/>
      <c r="L70" s="159"/>
      <c r="M70" s="328"/>
    </row>
    <row r="71" spans="2:13" x14ac:dyDescent="0.25">
      <c r="B71" s="17"/>
      <c r="C71" s="151"/>
      <c r="D71" s="17"/>
      <c r="E71" s="17"/>
      <c r="F71" s="17"/>
      <c r="G71" s="152"/>
      <c r="H71" s="153"/>
      <c r="I71" s="151"/>
      <c r="J71" s="151"/>
      <c r="K71" s="151"/>
      <c r="L71" s="159"/>
      <c r="M71" s="328"/>
    </row>
    <row r="72" spans="2:13" x14ac:dyDescent="0.25">
      <c r="B72" s="17"/>
      <c r="C72" s="151"/>
      <c r="D72" s="17"/>
      <c r="E72" s="17"/>
      <c r="F72" s="17"/>
      <c r="G72" s="152"/>
      <c r="H72" s="153"/>
      <c r="I72" s="151"/>
      <c r="J72" s="151"/>
      <c r="K72" s="151"/>
      <c r="L72" s="159"/>
      <c r="M72" s="328"/>
    </row>
    <row r="73" spans="2:13" x14ac:dyDescent="0.25">
      <c r="B73" s="17"/>
      <c r="C73" s="151"/>
      <c r="D73" s="17"/>
      <c r="E73" s="17"/>
      <c r="F73" s="17"/>
      <c r="G73" s="152"/>
      <c r="H73" s="153"/>
      <c r="I73" s="151"/>
      <c r="J73" s="151"/>
      <c r="K73" s="151"/>
      <c r="L73" s="159"/>
      <c r="M73" s="328"/>
    </row>
    <row r="74" spans="2:13" x14ac:dyDescent="0.25">
      <c r="B74" s="17"/>
      <c r="C74" s="151"/>
      <c r="D74" s="17"/>
      <c r="E74" s="17"/>
      <c r="F74" s="17"/>
      <c r="G74" s="152"/>
      <c r="H74" s="153"/>
      <c r="I74" s="151"/>
      <c r="J74" s="151"/>
      <c r="K74" s="151"/>
      <c r="L74" s="159"/>
      <c r="M74" s="328"/>
    </row>
    <row r="75" spans="2:13" x14ac:dyDescent="0.25">
      <c r="B75" s="17"/>
      <c r="C75" s="151"/>
      <c r="D75" s="17"/>
      <c r="E75" s="17"/>
      <c r="F75" s="17"/>
      <c r="G75" s="152"/>
      <c r="H75" s="153"/>
      <c r="I75" s="151"/>
      <c r="J75" s="151"/>
      <c r="K75" s="151"/>
      <c r="L75" s="159"/>
      <c r="M75" s="328"/>
    </row>
    <row r="76" spans="2:13" x14ac:dyDescent="0.25">
      <c r="B76" s="17"/>
      <c r="C76" s="151"/>
      <c r="D76" s="17"/>
      <c r="E76" s="17"/>
      <c r="F76" s="17"/>
      <c r="G76" s="152"/>
      <c r="H76" s="153"/>
      <c r="I76" s="151"/>
      <c r="J76" s="151"/>
      <c r="K76" s="151"/>
      <c r="L76" s="159"/>
      <c r="M76" s="328"/>
    </row>
    <row r="77" spans="2:13" x14ac:dyDescent="0.25">
      <c r="B77" s="17"/>
      <c r="C77" s="151"/>
      <c r="D77" s="17"/>
      <c r="E77" s="17"/>
      <c r="F77" s="17"/>
      <c r="G77" s="152"/>
      <c r="H77" s="153"/>
      <c r="I77" s="151"/>
      <c r="J77" s="151"/>
      <c r="K77" s="151"/>
      <c r="L77" s="159"/>
      <c r="M77" s="328"/>
    </row>
    <row r="78" spans="2:13" x14ac:dyDescent="0.25">
      <c r="B78" s="17"/>
      <c r="C78" s="151"/>
      <c r="D78" s="17"/>
      <c r="E78" s="17"/>
      <c r="F78" s="17"/>
      <c r="G78" s="152"/>
      <c r="H78" s="153"/>
      <c r="I78" s="151"/>
      <c r="J78" s="151"/>
      <c r="K78" s="151"/>
      <c r="L78" s="159"/>
      <c r="M78" s="328"/>
    </row>
    <row r="79" spans="2:13" x14ac:dyDescent="0.25">
      <c r="B79" s="17"/>
      <c r="C79" s="151"/>
      <c r="D79" s="17"/>
      <c r="E79" s="17"/>
      <c r="F79" s="17"/>
      <c r="G79" s="152"/>
      <c r="H79" s="153"/>
      <c r="I79" s="151"/>
      <c r="J79" s="151"/>
      <c r="K79" s="151"/>
      <c r="L79" s="159"/>
      <c r="M79" s="328"/>
    </row>
    <row r="80" spans="2:13" x14ac:dyDescent="0.25">
      <c r="B80" s="17"/>
      <c r="C80" s="151"/>
      <c r="D80" s="17"/>
      <c r="E80" s="17"/>
      <c r="F80" s="17"/>
      <c r="G80" s="152"/>
      <c r="H80" s="153"/>
      <c r="I80" s="151"/>
      <c r="J80" s="151"/>
      <c r="K80" s="151"/>
      <c r="L80" s="159"/>
      <c r="M80" s="328"/>
    </row>
    <row r="81" spans="2:13" x14ac:dyDescent="0.25">
      <c r="B81" s="17"/>
      <c r="C81" s="151"/>
      <c r="D81" s="17"/>
      <c r="E81" s="17"/>
      <c r="F81" s="17"/>
      <c r="G81" s="152"/>
      <c r="H81" s="153"/>
      <c r="I81" s="151"/>
      <c r="J81" s="151"/>
      <c r="K81" s="151"/>
      <c r="L81" s="159"/>
      <c r="M81" s="328"/>
    </row>
    <row r="82" spans="2:13" x14ac:dyDescent="0.25">
      <c r="B82" s="17"/>
      <c r="C82" s="151"/>
      <c r="D82" s="17"/>
      <c r="E82" s="17"/>
      <c r="F82" s="17"/>
      <c r="G82" s="152"/>
      <c r="H82" s="153"/>
      <c r="I82" s="151"/>
      <c r="J82" s="151"/>
      <c r="K82" s="151"/>
      <c r="L82" s="159"/>
      <c r="M82" s="328"/>
    </row>
    <row r="83" spans="2:13" x14ac:dyDescent="0.25">
      <c r="B83" s="17"/>
      <c r="C83" s="151"/>
      <c r="D83" s="17"/>
      <c r="E83" s="17"/>
      <c r="F83" s="17"/>
      <c r="G83" s="152"/>
      <c r="H83" s="153"/>
      <c r="I83" s="151"/>
      <c r="J83" s="151"/>
      <c r="K83" s="151"/>
      <c r="L83" s="159"/>
      <c r="M83" s="328"/>
    </row>
    <row r="84" spans="2:13" x14ac:dyDescent="0.25">
      <c r="B84" s="17"/>
      <c r="C84" s="151"/>
      <c r="D84" s="17"/>
      <c r="E84" s="17"/>
      <c r="F84" s="17"/>
      <c r="G84" s="152"/>
      <c r="H84" s="153"/>
      <c r="I84" s="151"/>
      <c r="J84" s="151"/>
      <c r="K84" s="151"/>
      <c r="L84" s="159"/>
      <c r="M84" s="328"/>
    </row>
    <row r="85" spans="2:13" x14ac:dyDescent="0.25">
      <c r="B85" s="17"/>
      <c r="C85" s="151"/>
      <c r="D85" s="17"/>
      <c r="E85" s="17"/>
      <c r="F85" s="17"/>
      <c r="G85" s="152"/>
      <c r="H85" s="153"/>
      <c r="I85" s="151"/>
      <c r="J85" s="151"/>
      <c r="K85" s="151"/>
      <c r="L85" s="159"/>
      <c r="M85" s="328"/>
    </row>
    <row r="86" spans="2:13" x14ac:dyDescent="0.25">
      <c r="B86" s="17"/>
      <c r="C86" s="151"/>
      <c r="D86" s="17"/>
      <c r="E86" s="17"/>
      <c r="F86" s="17"/>
      <c r="G86" s="152"/>
      <c r="H86" s="153"/>
      <c r="I86" s="151"/>
      <c r="J86" s="151"/>
      <c r="K86" s="151"/>
      <c r="L86" s="159"/>
      <c r="M86" s="328"/>
    </row>
    <row r="87" spans="2:13" x14ac:dyDescent="0.25">
      <c r="B87" s="17"/>
      <c r="C87" s="151"/>
      <c r="D87" s="17"/>
      <c r="E87" s="17"/>
      <c r="F87" s="17"/>
      <c r="G87" s="152"/>
      <c r="H87" s="153"/>
      <c r="I87" s="151"/>
      <c r="J87" s="151"/>
      <c r="K87" s="151"/>
      <c r="L87" s="159"/>
      <c r="M87" s="328"/>
    </row>
    <row r="88" spans="2:13" x14ac:dyDescent="0.25">
      <c r="B88" s="17"/>
      <c r="C88" s="151"/>
      <c r="D88" s="17"/>
      <c r="E88" s="17"/>
      <c r="F88" s="17"/>
      <c r="G88" s="152"/>
      <c r="H88" s="153"/>
      <c r="I88" s="151"/>
      <c r="J88" s="151"/>
      <c r="K88" s="151"/>
      <c r="L88" s="159"/>
      <c r="M88" s="328"/>
    </row>
    <row r="89" spans="2:13" x14ac:dyDescent="0.25">
      <c r="B89" s="17"/>
      <c r="C89" s="151"/>
      <c r="D89" s="17"/>
      <c r="E89" s="17"/>
      <c r="F89" s="17"/>
      <c r="G89" s="152"/>
      <c r="H89" s="153"/>
      <c r="I89" s="151"/>
      <c r="J89" s="151"/>
      <c r="K89" s="151"/>
      <c r="L89" s="159"/>
      <c r="M89" s="328"/>
    </row>
    <row r="90" spans="2:13" x14ac:dyDescent="0.25">
      <c r="B90" s="17"/>
      <c r="C90" s="151"/>
      <c r="D90" s="17"/>
      <c r="E90" s="17"/>
      <c r="F90" s="17"/>
      <c r="G90" s="152"/>
      <c r="H90" s="153"/>
      <c r="I90" s="151"/>
      <c r="J90" s="151"/>
      <c r="K90" s="151"/>
      <c r="L90" s="159"/>
      <c r="M90" s="328"/>
    </row>
    <row r="91" spans="2:13" x14ac:dyDescent="0.25">
      <c r="B91" s="17"/>
      <c r="C91" s="151"/>
      <c r="D91" s="17"/>
      <c r="E91" s="17"/>
      <c r="F91" s="17"/>
      <c r="G91" s="152"/>
      <c r="H91" s="153"/>
      <c r="I91" s="151"/>
      <c r="J91" s="151"/>
      <c r="K91" s="151"/>
      <c r="L91" s="159"/>
      <c r="M91" s="328"/>
    </row>
    <row r="92" spans="2:13" x14ac:dyDescent="0.25">
      <c r="B92" s="17"/>
      <c r="C92" s="151"/>
      <c r="D92" s="17"/>
      <c r="E92" s="17"/>
      <c r="F92" s="17"/>
      <c r="G92" s="152"/>
      <c r="H92" s="153"/>
      <c r="I92" s="151"/>
      <c r="J92" s="151"/>
      <c r="K92" s="151"/>
      <c r="L92" s="159"/>
      <c r="M92" s="328"/>
    </row>
    <row r="93" spans="2:13" x14ac:dyDescent="0.25">
      <c r="B93" s="17"/>
      <c r="C93" s="151"/>
      <c r="D93" s="17"/>
      <c r="E93" s="17"/>
      <c r="F93" s="17"/>
      <c r="G93" s="152"/>
      <c r="H93" s="153"/>
      <c r="I93" s="151"/>
      <c r="J93" s="151"/>
      <c r="K93" s="151"/>
      <c r="L93" s="159"/>
      <c r="M93" s="328"/>
    </row>
    <row r="94" spans="2:13" x14ac:dyDescent="0.25">
      <c r="B94" s="17"/>
      <c r="C94" s="151"/>
      <c r="D94" s="17"/>
      <c r="E94" s="17"/>
      <c r="F94" s="17"/>
      <c r="G94" s="152"/>
      <c r="H94" s="153"/>
      <c r="I94" s="151"/>
      <c r="J94" s="151"/>
      <c r="K94" s="151"/>
      <c r="L94" s="159"/>
      <c r="M94" s="328"/>
    </row>
    <row r="95" spans="2:13" x14ac:dyDescent="0.25">
      <c r="B95" s="17"/>
      <c r="C95" s="151"/>
      <c r="D95" s="17"/>
      <c r="E95" s="17"/>
      <c r="F95" s="17"/>
      <c r="G95" s="152"/>
      <c r="H95" s="153"/>
      <c r="I95" s="151"/>
      <c r="J95" s="151"/>
      <c r="K95" s="151"/>
      <c r="L95" s="159"/>
      <c r="M95" s="328"/>
    </row>
    <row r="96" spans="2:13" x14ac:dyDescent="0.25">
      <c r="B96" s="17"/>
      <c r="C96" s="151"/>
      <c r="D96" s="17"/>
      <c r="E96" s="17"/>
      <c r="F96" s="17"/>
      <c r="G96" s="152"/>
      <c r="H96" s="153"/>
      <c r="I96" s="151"/>
      <c r="J96" s="151"/>
      <c r="K96" s="151"/>
      <c r="L96" s="159"/>
      <c r="M96" s="328"/>
    </row>
    <row r="97" spans="2:13" x14ac:dyDescent="0.25">
      <c r="B97" s="17"/>
      <c r="C97" s="151"/>
      <c r="D97" s="17"/>
      <c r="E97" s="17"/>
      <c r="F97" s="17"/>
      <c r="G97" s="152"/>
      <c r="H97" s="153"/>
      <c r="I97" s="151"/>
      <c r="J97" s="151"/>
      <c r="K97" s="151"/>
      <c r="L97" s="159"/>
      <c r="M97" s="328"/>
    </row>
    <row r="98" spans="2:13" x14ac:dyDescent="0.25">
      <c r="B98" s="17"/>
      <c r="C98" s="151"/>
      <c r="D98" s="17"/>
      <c r="E98" s="17"/>
      <c r="F98" s="17"/>
      <c r="G98" s="152"/>
      <c r="H98" s="153"/>
      <c r="I98" s="151"/>
      <c r="J98" s="151"/>
      <c r="K98" s="151"/>
      <c r="L98" s="159"/>
      <c r="M98" s="328"/>
    </row>
    <row r="99" spans="2:13" x14ac:dyDescent="0.25">
      <c r="B99" s="17"/>
      <c r="C99" s="151"/>
      <c r="D99" s="17"/>
      <c r="E99" s="17"/>
      <c r="F99" s="17"/>
      <c r="G99" s="152"/>
      <c r="H99" s="153"/>
      <c r="I99" s="151"/>
      <c r="J99" s="151"/>
      <c r="K99" s="151"/>
      <c r="L99" s="159"/>
      <c r="M99" s="328"/>
    </row>
    <row r="100" spans="2:13" x14ac:dyDescent="0.25">
      <c r="B100" s="17"/>
      <c r="C100" s="151"/>
      <c r="D100" s="17"/>
      <c r="E100" s="17"/>
      <c r="F100" s="17"/>
      <c r="G100" s="152"/>
      <c r="H100" s="153"/>
      <c r="I100" s="151"/>
      <c r="J100" s="151"/>
      <c r="K100" s="151"/>
      <c r="L100" s="159"/>
      <c r="M100" s="328"/>
    </row>
    <row r="101" spans="2:13" x14ac:dyDescent="0.25">
      <c r="B101" s="17"/>
      <c r="C101" s="151"/>
      <c r="D101" s="17"/>
      <c r="E101" s="17"/>
      <c r="F101" s="17"/>
      <c r="G101" s="152"/>
      <c r="H101" s="153"/>
      <c r="I101" s="151"/>
      <c r="J101" s="151"/>
      <c r="K101" s="151"/>
      <c r="L101" s="159"/>
      <c r="M101" s="328"/>
    </row>
    <row r="102" spans="2:13" x14ac:dyDescent="0.25"/>
    <row r="103" spans="2:13" x14ac:dyDescent="0.25"/>
  </sheetData>
  <sheetProtection algorithmName="SHA-512" hashValue="Vzpp3nnhoXBb9iZAvusJi3nfSysMqjgV17Ix2YSQzizktqojBy/zxRpp+/fXpFSohKk1Moqrc39OZ9IoQNDgnQ==" saltValue="khLWFJmO5lAFw6yUeTPthA==" spinCount="100000" sheet="1" objects="1" scenarios="1" autoFilter="0"/>
  <autoFilter ref="B1:L69"/>
  <conditionalFormatting sqref="B1:M1048576">
    <cfRule type="expression" dxfId="73" priority="1">
      <formula>AND($H1&lt;&gt;"", $H1&lt;TODAY())</formula>
    </cfRule>
    <cfRule type="expression" dxfId="72" priority="2">
      <formula xml:space="preserve"> UPPER($L1) = "X"</formula>
    </cfRule>
    <cfRule type="expression" dxfId="71" priority="12">
      <formula>AND( $D1 &lt;&gt; "", $B1 &lt;&gt; "Fornecedor")</formula>
    </cfRule>
    <cfRule type="expression" dxfId="70" priority="14">
      <formula xml:space="preserve"> LEFT( $B1,1) = "&lt;"</formula>
    </cfRule>
    <cfRule type="expression" dxfId="69" priority="13">
      <formula>AND( $E1 &lt;&gt; "", $B1 &lt;&gt; "Fornecedor")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81" r:id="rId4" name="cmd_Lock">
          <controlPr defaultSize="0" autoLine="0" r:id="rId5">
            <anchor moveWithCells="1">
              <from>
                <xdr:col>14</xdr:col>
                <xdr:colOff>38100</xdr:colOff>
                <xdr:row>0</xdr:row>
                <xdr:rowOff>19050</xdr:rowOff>
              </from>
              <to>
                <xdr:col>14</xdr:col>
                <xdr:colOff>352425</xdr:colOff>
                <xdr:row>0</xdr:row>
                <xdr:rowOff>333375</xdr:rowOff>
              </to>
            </anchor>
          </controlPr>
        </control>
      </mc:Choice>
      <mc:Fallback>
        <control shapeId="20481" r:id="rId4" name="cmd_Lock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B_SISTEMA">
    <tabColor rgb="FF7030A0"/>
  </sheetPr>
  <dimension ref="A1:I540"/>
  <sheetViews>
    <sheetView workbookViewId="0">
      <pane ySplit="5" topLeftCell="A6" activePane="bottomLeft" state="frozen"/>
      <selection pane="bottomLeft" activeCell="B6" sqref="B6"/>
    </sheetView>
  </sheetViews>
  <sheetFormatPr defaultColWidth="0" defaultRowHeight="15" x14ac:dyDescent="0.25"/>
  <cols>
    <col min="1" max="1" width="9.140625" customWidth="1"/>
    <col min="2" max="2" width="51.5703125" bestFit="1" customWidth="1"/>
    <col min="3" max="3" width="3.42578125" customWidth="1"/>
    <col min="4" max="4" width="9.140625" customWidth="1"/>
    <col min="5" max="5" width="38" customWidth="1"/>
    <col min="6" max="9" width="0" hidden="1" customWidth="1"/>
    <col min="10" max="16384" width="9.140625" hidden="1"/>
  </cols>
  <sheetData>
    <row r="1" spans="1:5" ht="24" customHeight="1" x14ac:dyDescent="0.25">
      <c r="A1" s="77">
        <f>COUNTA(B:B)-1</f>
        <v>496</v>
      </c>
      <c r="B1" s="78" t="s">
        <v>55</v>
      </c>
    </row>
    <row r="2" spans="1:5" x14ac:dyDescent="0.25">
      <c r="B2" s="40" t="s">
        <v>466</v>
      </c>
      <c r="D2" s="3"/>
      <c r="E2" t="s">
        <v>83</v>
      </c>
    </row>
    <row r="3" spans="1:5" x14ac:dyDescent="0.25">
      <c r="B3" s="40" t="s">
        <v>82</v>
      </c>
      <c r="D3" s="41"/>
      <c r="E3" t="s">
        <v>467</v>
      </c>
    </row>
    <row r="4" spans="1:5" x14ac:dyDescent="0.25">
      <c r="B4" s="42" t="s">
        <v>964</v>
      </c>
      <c r="D4" s="42"/>
      <c r="E4" t="s">
        <v>468</v>
      </c>
    </row>
    <row r="5" spans="1:5" x14ac:dyDescent="0.25">
      <c r="B5" s="42" t="s">
        <v>1022</v>
      </c>
    </row>
    <row r="6" spans="1:5" x14ac:dyDescent="0.25">
      <c r="B6" s="41" t="s">
        <v>469</v>
      </c>
    </row>
    <row r="7" spans="1:5" x14ac:dyDescent="0.25">
      <c r="B7" s="41" t="s">
        <v>470</v>
      </c>
    </row>
    <row r="8" spans="1:5" x14ac:dyDescent="0.25">
      <c r="B8" s="41" t="s">
        <v>765</v>
      </c>
    </row>
    <row r="9" spans="1:5" x14ac:dyDescent="0.25">
      <c r="B9" s="41" t="s">
        <v>766</v>
      </c>
    </row>
    <row r="10" spans="1:5" x14ac:dyDescent="0.25">
      <c r="B10" s="41" t="s">
        <v>767</v>
      </c>
    </row>
    <row r="11" spans="1:5" x14ac:dyDescent="0.25">
      <c r="B11" s="41" t="s">
        <v>768</v>
      </c>
    </row>
    <row r="12" spans="1:5" x14ac:dyDescent="0.25">
      <c r="B12" s="41" t="s">
        <v>84</v>
      </c>
    </row>
    <row r="13" spans="1:5" x14ac:dyDescent="0.25">
      <c r="B13" s="41" t="s">
        <v>360</v>
      </c>
    </row>
    <row r="14" spans="1:5" x14ac:dyDescent="0.25">
      <c r="B14" s="41" t="s">
        <v>354</v>
      </c>
    </row>
    <row r="15" spans="1:5" x14ac:dyDescent="0.25">
      <c r="B15" s="41" t="s">
        <v>327</v>
      </c>
    </row>
    <row r="16" spans="1:5" x14ac:dyDescent="0.25">
      <c r="B16" s="41" t="s">
        <v>471</v>
      </c>
    </row>
    <row r="17" spans="2:2" x14ac:dyDescent="0.25">
      <c r="B17" s="41" t="s">
        <v>347</v>
      </c>
    </row>
    <row r="18" spans="2:2" x14ac:dyDescent="0.25">
      <c r="B18" s="41" t="s">
        <v>355</v>
      </c>
    </row>
    <row r="19" spans="2:2" x14ac:dyDescent="0.25">
      <c r="B19" s="41" t="s">
        <v>472</v>
      </c>
    </row>
    <row r="20" spans="2:2" x14ac:dyDescent="0.25">
      <c r="B20" s="41" t="s">
        <v>473</v>
      </c>
    </row>
    <row r="21" spans="2:2" x14ac:dyDescent="0.25">
      <c r="B21" s="41" t="s">
        <v>474</v>
      </c>
    </row>
    <row r="22" spans="2:2" x14ac:dyDescent="0.25">
      <c r="B22" s="41" t="s">
        <v>475</v>
      </c>
    </row>
    <row r="23" spans="2:2" x14ac:dyDescent="0.25">
      <c r="B23" s="41" t="s">
        <v>769</v>
      </c>
    </row>
    <row r="24" spans="2:2" x14ac:dyDescent="0.25">
      <c r="B24" s="41" t="s">
        <v>301</v>
      </c>
    </row>
    <row r="25" spans="2:2" x14ac:dyDescent="0.25">
      <c r="B25" s="41" t="s">
        <v>476</v>
      </c>
    </row>
    <row r="26" spans="2:2" x14ac:dyDescent="0.25">
      <c r="B26" s="41" t="s">
        <v>477</v>
      </c>
    </row>
    <row r="27" spans="2:2" x14ac:dyDescent="0.25">
      <c r="B27" s="41" t="s">
        <v>85</v>
      </c>
    </row>
    <row r="28" spans="2:2" x14ac:dyDescent="0.25">
      <c r="B28" s="41" t="s">
        <v>478</v>
      </c>
    </row>
    <row r="29" spans="2:2" x14ac:dyDescent="0.25">
      <c r="B29" s="41" t="s">
        <v>479</v>
      </c>
    </row>
    <row r="30" spans="2:2" x14ac:dyDescent="0.25">
      <c r="B30" s="41" t="s">
        <v>480</v>
      </c>
    </row>
    <row r="31" spans="2:2" x14ac:dyDescent="0.25">
      <c r="B31" s="41" t="s">
        <v>481</v>
      </c>
    </row>
    <row r="32" spans="2:2" x14ac:dyDescent="0.25">
      <c r="B32" s="41" t="s">
        <v>328</v>
      </c>
    </row>
    <row r="33" spans="2:2" x14ac:dyDescent="0.25">
      <c r="B33" s="41" t="s">
        <v>482</v>
      </c>
    </row>
    <row r="34" spans="2:2" x14ac:dyDescent="0.25">
      <c r="B34" s="41" t="s">
        <v>329</v>
      </c>
    </row>
    <row r="35" spans="2:2" x14ac:dyDescent="0.25">
      <c r="B35" s="41" t="s">
        <v>483</v>
      </c>
    </row>
    <row r="36" spans="2:2" x14ac:dyDescent="0.25">
      <c r="B36" s="41" t="s">
        <v>330</v>
      </c>
    </row>
    <row r="37" spans="2:2" x14ac:dyDescent="0.25">
      <c r="B37" s="41" t="s">
        <v>484</v>
      </c>
    </row>
    <row r="38" spans="2:2" x14ac:dyDescent="0.25">
      <c r="B38" s="41" t="s">
        <v>485</v>
      </c>
    </row>
    <row r="39" spans="2:2" x14ac:dyDescent="0.25">
      <c r="B39" s="41" t="s">
        <v>486</v>
      </c>
    </row>
    <row r="40" spans="2:2" x14ac:dyDescent="0.25">
      <c r="B40" s="41" t="s">
        <v>770</v>
      </c>
    </row>
    <row r="41" spans="2:2" x14ac:dyDescent="0.25">
      <c r="B41" s="41" t="s">
        <v>487</v>
      </c>
    </row>
    <row r="42" spans="2:2" x14ac:dyDescent="0.25">
      <c r="B42" s="41" t="s">
        <v>86</v>
      </c>
    </row>
    <row r="43" spans="2:2" x14ac:dyDescent="0.25">
      <c r="B43" s="41" t="s">
        <v>488</v>
      </c>
    </row>
    <row r="44" spans="2:2" x14ac:dyDescent="0.25">
      <c r="B44" s="41" t="s">
        <v>771</v>
      </c>
    </row>
    <row r="45" spans="2:2" x14ac:dyDescent="0.25">
      <c r="B45" s="41" t="s">
        <v>489</v>
      </c>
    </row>
    <row r="46" spans="2:2" x14ac:dyDescent="0.25">
      <c r="B46" s="41" t="s">
        <v>87</v>
      </c>
    </row>
    <row r="47" spans="2:2" x14ac:dyDescent="0.25">
      <c r="B47" s="41" t="s">
        <v>490</v>
      </c>
    </row>
    <row r="48" spans="2:2" x14ac:dyDescent="0.25">
      <c r="B48" s="41" t="s">
        <v>331</v>
      </c>
    </row>
    <row r="49" spans="2:2" x14ac:dyDescent="0.25">
      <c r="B49" s="41" t="s">
        <v>491</v>
      </c>
    </row>
    <row r="50" spans="2:2" x14ac:dyDescent="0.25">
      <c r="B50" s="41" t="s">
        <v>88</v>
      </c>
    </row>
    <row r="51" spans="2:2" x14ac:dyDescent="0.25">
      <c r="B51" s="41" t="s">
        <v>492</v>
      </c>
    </row>
    <row r="52" spans="2:2" x14ac:dyDescent="0.25">
      <c r="B52" s="41" t="s">
        <v>493</v>
      </c>
    </row>
    <row r="53" spans="2:2" x14ac:dyDescent="0.25">
      <c r="B53" s="41" t="s">
        <v>494</v>
      </c>
    </row>
    <row r="54" spans="2:2" x14ac:dyDescent="0.25">
      <c r="B54" s="41" t="s">
        <v>495</v>
      </c>
    </row>
    <row r="55" spans="2:2" x14ac:dyDescent="0.25">
      <c r="B55" s="41" t="s">
        <v>332</v>
      </c>
    </row>
    <row r="56" spans="2:2" x14ac:dyDescent="0.25">
      <c r="B56" s="41" t="s">
        <v>333</v>
      </c>
    </row>
    <row r="57" spans="2:2" x14ac:dyDescent="0.25">
      <c r="B57" s="41" t="s">
        <v>496</v>
      </c>
    </row>
    <row r="58" spans="2:2" x14ac:dyDescent="0.25">
      <c r="B58" s="41" t="s">
        <v>497</v>
      </c>
    </row>
    <row r="59" spans="2:2" x14ac:dyDescent="0.25">
      <c r="B59" s="41" t="s">
        <v>498</v>
      </c>
    </row>
    <row r="60" spans="2:2" x14ac:dyDescent="0.25">
      <c r="B60" s="41" t="s">
        <v>357</v>
      </c>
    </row>
    <row r="61" spans="2:2" x14ac:dyDescent="0.25">
      <c r="B61" s="41" t="s">
        <v>334</v>
      </c>
    </row>
    <row r="62" spans="2:2" x14ac:dyDescent="0.25">
      <c r="B62" s="41" t="s">
        <v>335</v>
      </c>
    </row>
    <row r="63" spans="2:2" x14ac:dyDescent="0.25">
      <c r="B63" s="41" t="s">
        <v>772</v>
      </c>
    </row>
    <row r="64" spans="2:2" x14ac:dyDescent="0.25">
      <c r="B64" s="41" t="s">
        <v>361</v>
      </c>
    </row>
    <row r="65" spans="2:2" x14ac:dyDescent="0.25">
      <c r="B65" s="41" t="s">
        <v>336</v>
      </c>
    </row>
    <row r="66" spans="2:2" x14ac:dyDescent="0.25">
      <c r="B66" s="41" t="s">
        <v>499</v>
      </c>
    </row>
    <row r="67" spans="2:2" x14ac:dyDescent="0.25">
      <c r="B67" s="41" t="s">
        <v>353</v>
      </c>
    </row>
    <row r="68" spans="2:2" x14ac:dyDescent="0.25">
      <c r="B68" s="41" t="s">
        <v>500</v>
      </c>
    </row>
    <row r="69" spans="2:2" x14ac:dyDescent="0.25">
      <c r="B69" s="41" t="s">
        <v>89</v>
      </c>
    </row>
    <row r="70" spans="2:2" x14ac:dyDescent="0.25">
      <c r="B70" s="41" t="s">
        <v>356</v>
      </c>
    </row>
    <row r="71" spans="2:2" x14ac:dyDescent="0.25">
      <c r="B71" s="41" t="s">
        <v>501</v>
      </c>
    </row>
    <row r="72" spans="2:2" x14ac:dyDescent="0.25">
      <c r="B72" s="41" t="s">
        <v>502</v>
      </c>
    </row>
    <row r="73" spans="2:2" x14ac:dyDescent="0.25">
      <c r="B73" s="41" t="s">
        <v>503</v>
      </c>
    </row>
    <row r="74" spans="2:2" x14ac:dyDescent="0.25">
      <c r="B74" s="41" t="s">
        <v>773</v>
      </c>
    </row>
    <row r="75" spans="2:2" x14ac:dyDescent="0.25">
      <c r="B75" s="41" t="s">
        <v>90</v>
      </c>
    </row>
    <row r="76" spans="2:2" x14ac:dyDescent="0.25">
      <c r="B76" s="41" t="s">
        <v>504</v>
      </c>
    </row>
    <row r="77" spans="2:2" x14ac:dyDescent="0.25">
      <c r="B77" s="41" t="s">
        <v>339</v>
      </c>
    </row>
    <row r="78" spans="2:2" x14ac:dyDescent="0.25">
      <c r="B78" s="41" t="s">
        <v>340</v>
      </c>
    </row>
    <row r="79" spans="2:2" x14ac:dyDescent="0.25">
      <c r="B79" s="41" t="s">
        <v>505</v>
      </c>
    </row>
    <row r="80" spans="2:2" x14ac:dyDescent="0.25">
      <c r="B80" s="41" t="s">
        <v>506</v>
      </c>
    </row>
    <row r="81" spans="2:2" x14ac:dyDescent="0.25">
      <c r="B81" s="41" t="s">
        <v>322</v>
      </c>
    </row>
    <row r="82" spans="2:2" x14ac:dyDescent="0.25">
      <c r="B82" s="41" t="s">
        <v>341</v>
      </c>
    </row>
    <row r="83" spans="2:2" x14ac:dyDescent="0.25">
      <c r="B83" s="41" t="s">
        <v>91</v>
      </c>
    </row>
    <row r="84" spans="2:2" x14ac:dyDescent="0.25">
      <c r="B84" s="41" t="s">
        <v>350</v>
      </c>
    </row>
    <row r="85" spans="2:2" x14ac:dyDescent="0.25">
      <c r="B85" s="41" t="s">
        <v>507</v>
      </c>
    </row>
    <row r="86" spans="2:2" x14ac:dyDescent="0.25">
      <c r="B86" s="41" t="s">
        <v>508</v>
      </c>
    </row>
    <row r="87" spans="2:2" x14ac:dyDescent="0.25">
      <c r="B87" s="41" t="s">
        <v>509</v>
      </c>
    </row>
    <row r="88" spans="2:2" x14ac:dyDescent="0.25">
      <c r="B88" s="41" t="s">
        <v>1006</v>
      </c>
    </row>
    <row r="89" spans="2:2" x14ac:dyDescent="0.25">
      <c r="B89" s="41" t="s">
        <v>342</v>
      </c>
    </row>
    <row r="90" spans="2:2" x14ac:dyDescent="0.25">
      <c r="B90" s="41" t="s">
        <v>343</v>
      </c>
    </row>
    <row r="91" spans="2:2" x14ac:dyDescent="0.25">
      <c r="B91" s="41" t="s">
        <v>92</v>
      </c>
    </row>
    <row r="92" spans="2:2" x14ac:dyDescent="0.25">
      <c r="B92" s="41" t="s">
        <v>358</v>
      </c>
    </row>
    <row r="93" spans="2:2" x14ac:dyDescent="0.25">
      <c r="B93" s="41" t="s">
        <v>510</v>
      </c>
    </row>
    <row r="94" spans="2:2" x14ac:dyDescent="0.25">
      <c r="B94" s="41" t="s">
        <v>344</v>
      </c>
    </row>
    <row r="95" spans="2:2" x14ac:dyDescent="0.25">
      <c r="B95" s="41" t="s">
        <v>345</v>
      </c>
    </row>
    <row r="96" spans="2:2" x14ac:dyDescent="0.25">
      <c r="B96" s="41" t="s">
        <v>364</v>
      </c>
    </row>
    <row r="97" spans="2:2" x14ac:dyDescent="0.25">
      <c r="B97" s="41" t="s">
        <v>93</v>
      </c>
    </row>
    <row r="98" spans="2:2" x14ac:dyDescent="0.25">
      <c r="B98" s="41" t="s">
        <v>511</v>
      </c>
    </row>
    <row r="99" spans="2:2" x14ac:dyDescent="0.25">
      <c r="B99" s="41" t="s">
        <v>346</v>
      </c>
    </row>
    <row r="100" spans="2:2" x14ac:dyDescent="0.25">
      <c r="B100" s="41" t="s">
        <v>512</v>
      </c>
    </row>
    <row r="101" spans="2:2" x14ac:dyDescent="0.25">
      <c r="B101" s="41" t="s">
        <v>513</v>
      </c>
    </row>
    <row r="102" spans="2:2" x14ac:dyDescent="0.25">
      <c r="B102" s="41" t="s">
        <v>514</v>
      </c>
    </row>
    <row r="103" spans="2:2" x14ac:dyDescent="0.25">
      <c r="B103" s="41" t="s">
        <v>94</v>
      </c>
    </row>
    <row r="104" spans="2:2" x14ac:dyDescent="0.25">
      <c r="B104" s="41" t="s">
        <v>515</v>
      </c>
    </row>
    <row r="105" spans="2:2" x14ac:dyDescent="0.25">
      <c r="B105" s="41" t="s">
        <v>516</v>
      </c>
    </row>
    <row r="106" spans="2:2" x14ac:dyDescent="0.25">
      <c r="B106" s="41" t="s">
        <v>385</v>
      </c>
    </row>
    <row r="107" spans="2:2" x14ac:dyDescent="0.25">
      <c r="B107" s="41" t="s">
        <v>396</v>
      </c>
    </row>
    <row r="108" spans="2:2" x14ac:dyDescent="0.25">
      <c r="B108" s="41" t="s">
        <v>95</v>
      </c>
    </row>
    <row r="109" spans="2:2" x14ac:dyDescent="0.25">
      <c r="B109" s="41" t="s">
        <v>726</v>
      </c>
    </row>
    <row r="110" spans="2:2" x14ac:dyDescent="0.25">
      <c r="B110" s="41" t="s">
        <v>96</v>
      </c>
    </row>
    <row r="111" spans="2:2" x14ac:dyDescent="0.25">
      <c r="B111" s="41" t="s">
        <v>97</v>
      </c>
    </row>
    <row r="112" spans="2:2" x14ac:dyDescent="0.25">
      <c r="B112" s="41" t="s">
        <v>1007</v>
      </c>
    </row>
    <row r="113" spans="2:2" x14ac:dyDescent="0.25">
      <c r="B113" s="41" t="s">
        <v>517</v>
      </c>
    </row>
    <row r="114" spans="2:2" x14ac:dyDescent="0.25">
      <c r="B114" s="41" t="s">
        <v>518</v>
      </c>
    </row>
    <row r="115" spans="2:2" x14ac:dyDescent="0.25">
      <c r="B115" s="41" t="s">
        <v>519</v>
      </c>
    </row>
    <row r="116" spans="2:2" x14ac:dyDescent="0.25">
      <c r="B116" s="41" t="s">
        <v>520</v>
      </c>
    </row>
    <row r="117" spans="2:2" x14ac:dyDescent="0.25">
      <c r="B117" s="41" t="s">
        <v>521</v>
      </c>
    </row>
    <row r="118" spans="2:2" x14ac:dyDescent="0.25">
      <c r="B118" s="41" t="s">
        <v>1008</v>
      </c>
    </row>
    <row r="119" spans="2:2" x14ac:dyDescent="0.25">
      <c r="B119" s="41" t="s">
        <v>522</v>
      </c>
    </row>
    <row r="120" spans="2:2" x14ac:dyDescent="0.25">
      <c r="B120" s="41" t="s">
        <v>682</v>
      </c>
    </row>
    <row r="121" spans="2:2" x14ac:dyDescent="0.25">
      <c r="B121" s="41" t="s">
        <v>98</v>
      </c>
    </row>
    <row r="122" spans="2:2" x14ac:dyDescent="0.25">
      <c r="B122" s="41" t="s">
        <v>1009</v>
      </c>
    </row>
    <row r="123" spans="2:2" x14ac:dyDescent="0.25">
      <c r="B123" s="41" t="s">
        <v>523</v>
      </c>
    </row>
    <row r="124" spans="2:2" x14ac:dyDescent="0.25">
      <c r="B124" s="41" t="s">
        <v>99</v>
      </c>
    </row>
    <row r="125" spans="2:2" x14ac:dyDescent="0.25">
      <c r="B125" s="41" t="s">
        <v>524</v>
      </c>
    </row>
    <row r="126" spans="2:2" x14ac:dyDescent="0.25">
      <c r="B126" s="41" t="s">
        <v>100</v>
      </c>
    </row>
    <row r="127" spans="2:2" x14ac:dyDescent="0.25">
      <c r="B127" s="41" t="s">
        <v>525</v>
      </c>
    </row>
    <row r="128" spans="2:2" x14ac:dyDescent="0.25">
      <c r="B128" s="41" t="s">
        <v>526</v>
      </c>
    </row>
    <row r="129" spans="2:2" x14ac:dyDescent="0.25">
      <c r="B129" s="41" t="s">
        <v>394</v>
      </c>
    </row>
    <row r="130" spans="2:2" x14ac:dyDescent="0.25">
      <c r="B130" s="41" t="s">
        <v>527</v>
      </c>
    </row>
    <row r="131" spans="2:2" x14ac:dyDescent="0.25">
      <c r="B131" s="41" t="s">
        <v>528</v>
      </c>
    </row>
    <row r="132" spans="2:2" x14ac:dyDescent="0.25">
      <c r="B132" s="41" t="s">
        <v>529</v>
      </c>
    </row>
    <row r="133" spans="2:2" x14ac:dyDescent="0.25">
      <c r="B133" s="41" t="s">
        <v>393</v>
      </c>
    </row>
    <row r="134" spans="2:2" x14ac:dyDescent="0.25">
      <c r="B134" s="41" t="s">
        <v>530</v>
      </c>
    </row>
    <row r="135" spans="2:2" x14ac:dyDescent="0.25">
      <c r="B135" s="41" t="s">
        <v>1010</v>
      </c>
    </row>
    <row r="136" spans="2:2" x14ac:dyDescent="0.25">
      <c r="B136" s="41" t="s">
        <v>531</v>
      </c>
    </row>
    <row r="137" spans="2:2" x14ac:dyDescent="0.25">
      <c r="B137" s="41" t="s">
        <v>366</v>
      </c>
    </row>
    <row r="138" spans="2:2" x14ac:dyDescent="0.25">
      <c r="B138" s="41" t="s">
        <v>532</v>
      </c>
    </row>
    <row r="139" spans="2:2" x14ac:dyDescent="0.25">
      <c r="B139" s="41" t="s">
        <v>365</v>
      </c>
    </row>
    <row r="140" spans="2:2" x14ac:dyDescent="0.25">
      <c r="B140" s="41" t="s">
        <v>533</v>
      </c>
    </row>
    <row r="141" spans="2:2" x14ac:dyDescent="0.25">
      <c r="B141" s="41" t="s">
        <v>534</v>
      </c>
    </row>
    <row r="142" spans="2:2" x14ac:dyDescent="0.25">
      <c r="B142" s="41" t="s">
        <v>535</v>
      </c>
    </row>
    <row r="143" spans="2:2" x14ac:dyDescent="0.25">
      <c r="B143" s="41" t="s">
        <v>857</v>
      </c>
    </row>
    <row r="144" spans="2:2" x14ac:dyDescent="0.25">
      <c r="B144" s="41" t="s">
        <v>359</v>
      </c>
    </row>
    <row r="145" spans="2:2" x14ac:dyDescent="0.25">
      <c r="B145" s="41" t="s">
        <v>319</v>
      </c>
    </row>
    <row r="146" spans="2:2" x14ac:dyDescent="0.25">
      <c r="B146" s="41" t="s">
        <v>101</v>
      </c>
    </row>
    <row r="147" spans="2:2" x14ac:dyDescent="0.25">
      <c r="B147" s="41" t="s">
        <v>102</v>
      </c>
    </row>
    <row r="148" spans="2:2" x14ac:dyDescent="0.25">
      <c r="B148" s="41" t="s">
        <v>536</v>
      </c>
    </row>
    <row r="149" spans="2:2" x14ac:dyDescent="0.25">
      <c r="B149" s="41" t="s">
        <v>537</v>
      </c>
    </row>
    <row r="150" spans="2:2" x14ac:dyDescent="0.25">
      <c r="B150" s="41" t="s">
        <v>538</v>
      </c>
    </row>
    <row r="151" spans="2:2" x14ac:dyDescent="0.25">
      <c r="B151" s="41" t="s">
        <v>103</v>
      </c>
    </row>
    <row r="152" spans="2:2" x14ac:dyDescent="0.25">
      <c r="B152" s="41" t="s">
        <v>539</v>
      </c>
    </row>
    <row r="153" spans="2:2" x14ac:dyDescent="0.25">
      <c r="B153" s="41" t="s">
        <v>104</v>
      </c>
    </row>
    <row r="154" spans="2:2" x14ac:dyDescent="0.25">
      <c r="B154" s="41" t="s">
        <v>727</v>
      </c>
    </row>
    <row r="155" spans="2:2" x14ac:dyDescent="0.25">
      <c r="B155" s="41" t="s">
        <v>728</v>
      </c>
    </row>
    <row r="156" spans="2:2" x14ac:dyDescent="0.25">
      <c r="B156" s="41" t="s">
        <v>729</v>
      </c>
    </row>
    <row r="157" spans="2:2" x14ac:dyDescent="0.25">
      <c r="B157" s="41" t="s">
        <v>730</v>
      </c>
    </row>
    <row r="158" spans="2:2" x14ac:dyDescent="0.25">
      <c r="B158" s="41" t="s">
        <v>731</v>
      </c>
    </row>
    <row r="159" spans="2:2" x14ac:dyDescent="0.25">
      <c r="B159" s="41" t="s">
        <v>105</v>
      </c>
    </row>
    <row r="160" spans="2:2" x14ac:dyDescent="0.25">
      <c r="B160" s="41" t="s">
        <v>106</v>
      </c>
    </row>
    <row r="161" spans="2:2" x14ac:dyDescent="0.25">
      <c r="B161" s="41" t="s">
        <v>540</v>
      </c>
    </row>
    <row r="162" spans="2:2" x14ac:dyDescent="0.25">
      <c r="B162" s="41" t="s">
        <v>1011</v>
      </c>
    </row>
    <row r="163" spans="2:2" x14ac:dyDescent="0.25">
      <c r="B163" s="41" t="s">
        <v>541</v>
      </c>
    </row>
    <row r="164" spans="2:2" x14ac:dyDescent="0.25">
      <c r="B164" s="41" t="s">
        <v>367</v>
      </c>
    </row>
    <row r="165" spans="2:2" x14ac:dyDescent="0.25">
      <c r="B165" s="41" t="s">
        <v>285</v>
      </c>
    </row>
    <row r="166" spans="2:2" x14ac:dyDescent="0.25">
      <c r="B166" s="41" t="s">
        <v>292</v>
      </c>
    </row>
    <row r="167" spans="2:2" x14ac:dyDescent="0.25">
      <c r="B167" s="41" t="s">
        <v>107</v>
      </c>
    </row>
    <row r="168" spans="2:2" x14ac:dyDescent="0.25">
      <c r="B168" s="41" t="s">
        <v>108</v>
      </c>
    </row>
    <row r="169" spans="2:2" x14ac:dyDescent="0.25">
      <c r="B169" s="41" t="s">
        <v>109</v>
      </c>
    </row>
    <row r="170" spans="2:2" x14ac:dyDescent="0.25">
      <c r="B170" s="41" t="s">
        <v>732</v>
      </c>
    </row>
    <row r="171" spans="2:2" x14ac:dyDescent="0.25">
      <c r="B171" s="41" t="s">
        <v>289</v>
      </c>
    </row>
    <row r="172" spans="2:2" x14ac:dyDescent="0.25">
      <c r="B172" s="41" t="s">
        <v>290</v>
      </c>
    </row>
    <row r="173" spans="2:2" x14ac:dyDescent="0.25">
      <c r="B173" s="41" t="s">
        <v>291</v>
      </c>
    </row>
    <row r="174" spans="2:2" x14ac:dyDescent="0.25">
      <c r="B174" s="41" t="s">
        <v>542</v>
      </c>
    </row>
    <row r="175" spans="2:2" x14ac:dyDescent="0.25">
      <c r="B175" s="41" t="s">
        <v>293</v>
      </c>
    </row>
    <row r="176" spans="2:2" x14ac:dyDescent="0.25">
      <c r="B176" s="41" t="s">
        <v>543</v>
      </c>
    </row>
    <row r="177" spans="2:2" x14ac:dyDescent="0.25">
      <c r="B177" s="41" t="s">
        <v>733</v>
      </c>
    </row>
    <row r="178" spans="2:2" x14ac:dyDescent="0.25">
      <c r="B178" s="41" t="s">
        <v>544</v>
      </c>
    </row>
    <row r="179" spans="2:2" x14ac:dyDescent="0.25">
      <c r="B179" s="41" t="s">
        <v>734</v>
      </c>
    </row>
    <row r="180" spans="2:2" x14ac:dyDescent="0.25">
      <c r="B180" s="41" t="s">
        <v>300</v>
      </c>
    </row>
    <row r="181" spans="2:2" x14ac:dyDescent="0.25">
      <c r="B181" s="41" t="s">
        <v>545</v>
      </c>
    </row>
    <row r="182" spans="2:2" x14ac:dyDescent="0.25">
      <c r="B182" s="41" t="s">
        <v>1012</v>
      </c>
    </row>
    <row r="183" spans="2:2" x14ac:dyDescent="0.25">
      <c r="B183" s="41" t="s">
        <v>317</v>
      </c>
    </row>
    <row r="184" spans="2:2" x14ac:dyDescent="0.25">
      <c r="B184" s="41" t="s">
        <v>306</v>
      </c>
    </row>
    <row r="185" spans="2:2" x14ac:dyDescent="0.25">
      <c r="B185" s="41" t="s">
        <v>110</v>
      </c>
    </row>
    <row r="186" spans="2:2" x14ac:dyDescent="0.25">
      <c r="B186" s="41" t="s">
        <v>111</v>
      </c>
    </row>
    <row r="187" spans="2:2" x14ac:dyDescent="0.25">
      <c r="B187" s="41" t="s">
        <v>735</v>
      </c>
    </row>
    <row r="188" spans="2:2" x14ac:dyDescent="0.25">
      <c r="B188" s="41" t="s">
        <v>736</v>
      </c>
    </row>
    <row r="189" spans="2:2" x14ac:dyDescent="0.25">
      <c r="B189" s="41" t="s">
        <v>546</v>
      </c>
    </row>
    <row r="190" spans="2:2" x14ac:dyDescent="0.25">
      <c r="B190" s="41" t="s">
        <v>547</v>
      </c>
    </row>
    <row r="191" spans="2:2" x14ac:dyDescent="0.25">
      <c r="B191" s="41" t="s">
        <v>548</v>
      </c>
    </row>
    <row r="192" spans="2:2" x14ac:dyDescent="0.25">
      <c r="B192" s="41" t="s">
        <v>112</v>
      </c>
    </row>
    <row r="193" spans="2:2" x14ac:dyDescent="0.25">
      <c r="B193" s="41" t="s">
        <v>737</v>
      </c>
    </row>
    <row r="194" spans="2:2" x14ac:dyDescent="0.25">
      <c r="B194" s="41" t="s">
        <v>549</v>
      </c>
    </row>
    <row r="195" spans="2:2" x14ac:dyDescent="0.25">
      <c r="B195" s="41" t="s">
        <v>738</v>
      </c>
    </row>
    <row r="196" spans="2:2" x14ac:dyDescent="0.25">
      <c r="B196" s="41" t="s">
        <v>550</v>
      </c>
    </row>
    <row r="197" spans="2:2" x14ac:dyDescent="0.25">
      <c r="B197" s="41" t="s">
        <v>739</v>
      </c>
    </row>
    <row r="198" spans="2:2" x14ac:dyDescent="0.25">
      <c r="B198" s="41" t="s">
        <v>551</v>
      </c>
    </row>
    <row r="199" spans="2:2" x14ac:dyDescent="0.25">
      <c r="B199" s="41" t="s">
        <v>552</v>
      </c>
    </row>
    <row r="200" spans="2:2" x14ac:dyDescent="0.25">
      <c r="B200" s="41" t="s">
        <v>553</v>
      </c>
    </row>
    <row r="201" spans="2:2" x14ac:dyDescent="0.25">
      <c r="B201" s="41" t="s">
        <v>554</v>
      </c>
    </row>
    <row r="202" spans="2:2" x14ac:dyDescent="0.25">
      <c r="B202" s="41" t="s">
        <v>320</v>
      </c>
    </row>
    <row r="203" spans="2:2" x14ac:dyDescent="0.25">
      <c r="B203" s="41" t="s">
        <v>381</v>
      </c>
    </row>
    <row r="204" spans="2:2" x14ac:dyDescent="0.25">
      <c r="B204" s="41" t="s">
        <v>388</v>
      </c>
    </row>
    <row r="205" spans="2:2" x14ac:dyDescent="0.25">
      <c r="B205" s="41" t="s">
        <v>389</v>
      </c>
    </row>
    <row r="206" spans="2:2" x14ac:dyDescent="0.25">
      <c r="B206" s="41" t="s">
        <v>555</v>
      </c>
    </row>
    <row r="207" spans="2:2" x14ac:dyDescent="0.25">
      <c r="B207" s="41" t="s">
        <v>295</v>
      </c>
    </row>
    <row r="208" spans="2:2" x14ac:dyDescent="0.25">
      <c r="B208" s="41" t="s">
        <v>113</v>
      </c>
    </row>
    <row r="209" spans="2:2" x14ac:dyDescent="0.25">
      <c r="B209" s="41" t="s">
        <v>114</v>
      </c>
    </row>
    <row r="210" spans="2:2" x14ac:dyDescent="0.25">
      <c r="B210" s="41" t="s">
        <v>115</v>
      </c>
    </row>
    <row r="211" spans="2:2" x14ac:dyDescent="0.25">
      <c r="B211" s="41" t="s">
        <v>312</v>
      </c>
    </row>
    <row r="212" spans="2:2" x14ac:dyDescent="0.25">
      <c r="B212" s="41" t="s">
        <v>370</v>
      </c>
    </row>
    <row r="213" spans="2:2" x14ac:dyDescent="0.25">
      <c r="B213" s="41" t="s">
        <v>740</v>
      </c>
    </row>
    <row r="214" spans="2:2" x14ac:dyDescent="0.25">
      <c r="B214" s="41" t="s">
        <v>116</v>
      </c>
    </row>
    <row r="215" spans="2:2" x14ac:dyDescent="0.25">
      <c r="B215" s="41" t="s">
        <v>556</v>
      </c>
    </row>
    <row r="216" spans="2:2" x14ac:dyDescent="0.25">
      <c r="B216" s="41" t="s">
        <v>741</v>
      </c>
    </row>
    <row r="217" spans="2:2" x14ac:dyDescent="0.25">
      <c r="B217" s="41" t="s">
        <v>117</v>
      </c>
    </row>
    <row r="218" spans="2:2" x14ac:dyDescent="0.25">
      <c r="B218" s="41" t="s">
        <v>742</v>
      </c>
    </row>
    <row r="219" spans="2:2" x14ac:dyDescent="0.25">
      <c r="B219" s="41" t="s">
        <v>557</v>
      </c>
    </row>
    <row r="220" spans="2:2" x14ac:dyDescent="0.25">
      <c r="B220" s="41" t="s">
        <v>743</v>
      </c>
    </row>
    <row r="221" spans="2:2" x14ac:dyDescent="0.25">
      <c r="B221" s="41" t="s">
        <v>744</v>
      </c>
    </row>
    <row r="222" spans="2:2" x14ac:dyDescent="0.25">
      <c r="B222" s="41" t="s">
        <v>352</v>
      </c>
    </row>
    <row r="223" spans="2:2" x14ac:dyDescent="0.25">
      <c r="B223" s="41" t="s">
        <v>325</v>
      </c>
    </row>
    <row r="224" spans="2:2" x14ac:dyDescent="0.25">
      <c r="B224" s="41" t="s">
        <v>321</v>
      </c>
    </row>
    <row r="225" spans="2:2" x14ac:dyDescent="0.25">
      <c r="B225" s="41" t="s">
        <v>311</v>
      </c>
    </row>
    <row r="226" spans="2:2" x14ac:dyDescent="0.25">
      <c r="B226" s="41" t="s">
        <v>349</v>
      </c>
    </row>
    <row r="227" spans="2:2" x14ac:dyDescent="0.25">
      <c r="B227" s="41" t="s">
        <v>558</v>
      </c>
    </row>
    <row r="228" spans="2:2" x14ac:dyDescent="0.25">
      <c r="B228" s="41" t="s">
        <v>559</v>
      </c>
    </row>
    <row r="229" spans="2:2" x14ac:dyDescent="0.25">
      <c r="B229" s="41" t="s">
        <v>348</v>
      </c>
    </row>
    <row r="230" spans="2:2" x14ac:dyDescent="0.25">
      <c r="B230" s="41" t="s">
        <v>560</v>
      </c>
    </row>
    <row r="231" spans="2:2" x14ac:dyDescent="0.25">
      <c r="B231" s="41" t="s">
        <v>118</v>
      </c>
    </row>
    <row r="232" spans="2:2" x14ac:dyDescent="0.25">
      <c r="B232" s="41" t="s">
        <v>119</v>
      </c>
    </row>
    <row r="233" spans="2:2" x14ac:dyDescent="0.25">
      <c r="B233" s="41" t="s">
        <v>561</v>
      </c>
    </row>
    <row r="234" spans="2:2" x14ac:dyDescent="0.25">
      <c r="B234" s="41" t="s">
        <v>120</v>
      </c>
    </row>
    <row r="235" spans="2:2" x14ac:dyDescent="0.25">
      <c r="B235" s="41" t="s">
        <v>121</v>
      </c>
    </row>
    <row r="236" spans="2:2" x14ac:dyDescent="0.25">
      <c r="B236" s="41" t="s">
        <v>745</v>
      </c>
    </row>
    <row r="237" spans="2:2" x14ac:dyDescent="0.25">
      <c r="B237" s="41" t="s">
        <v>746</v>
      </c>
    </row>
    <row r="238" spans="2:2" x14ac:dyDescent="0.25">
      <c r="B238" s="41" t="s">
        <v>562</v>
      </c>
    </row>
    <row r="239" spans="2:2" x14ac:dyDescent="0.25">
      <c r="B239" s="41" t="s">
        <v>563</v>
      </c>
    </row>
    <row r="240" spans="2:2" x14ac:dyDescent="0.25">
      <c r="B240" s="41" t="s">
        <v>564</v>
      </c>
    </row>
    <row r="241" spans="2:2" x14ac:dyDescent="0.25">
      <c r="B241" s="41" t="s">
        <v>378</v>
      </c>
    </row>
    <row r="242" spans="2:2" x14ac:dyDescent="0.25">
      <c r="B242" s="41" t="s">
        <v>379</v>
      </c>
    </row>
    <row r="243" spans="2:2" x14ac:dyDescent="0.25">
      <c r="B243" s="41" t="s">
        <v>122</v>
      </c>
    </row>
    <row r="244" spans="2:2" x14ac:dyDescent="0.25">
      <c r="B244" s="41" t="s">
        <v>1044</v>
      </c>
    </row>
    <row r="245" spans="2:2" x14ac:dyDescent="0.25">
      <c r="B245" s="41" t="s">
        <v>123</v>
      </c>
    </row>
    <row r="246" spans="2:2" x14ac:dyDescent="0.25">
      <c r="B246" s="41" t="s">
        <v>565</v>
      </c>
    </row>
    <row r="247" spans="2:2" x14ac:dyDescent="0.25">
      <c r="B247" s="41" t="s">
        <v>747</v>
      </c>
    </row>
    <row r="248" spans="2:2" x14ac:dyDescent="0.25">
      <c r="B248" s="41" t="s">
        <v>566</v>
      </c>
    </row>
    <row r="249" spans="2:2" x14ac:dyDescent="0.25">
      <c r="B249" s="41" t="s">
        <v>748</v>
      </c>
    </row>
    <row r="250" spans="2:2" x14ac:dyDescent="0.25">
      <c r="B250" s="41" t="s">
        <v>368</v>
      </c>
    </row>
    <row r="251" spans="2:2" x14ac:dyDescent="0.25">
      <c r="B251" s="41" t="s">
        <v>567</v>
      </c>
    </row>
    <row r="252" spans="2:2" x14ac:dyDescent="0.25">
      <c r="B252" s="41" t="s">
        <v>568</v>
      </c>
    </row>
    <row r="253" spans="2:2" x14ac:dyDescent="0.25">
      <c r="B253" s="41" t="s">
        <v>569</v>
      </c>
    </row>
    <row r="254" spans="2:2" x14ac:dyDescent="0.25">
      <c r="B254" s="41" t="s">
        <v>749</v>
      </c>
    </row>
    <row r="255" spans="2:2" x14ac:dyDescent="0.25">
      <c r="B255" s="41" t="s">
        <v>124</v>
      </c>
    </row>
    <row r="256" spans="2:2" x14ac:dyDescent="0.25">
      <c r="B256" s="41" t="s">
        <v>570</v>
      </c>
    </row>
    <row r="257" spans="2:2" x14ac:dyDescent="0.25">
      <c r="B257" s="41" t="s">
        <v>1030</v>
      </c>
    </row>
    <row r="258" spans="2:2" x14ac:dyDescent="0.25">
      <c r="B258" s="41" t="s">
        <v>571</v>
      </c>
    </row>
    <row r="259" spans="2:2" x14ac:dyDescent="0.25">
      <c r="B259" s="41" t="s">
        <v>572</v>
      </c>
    </row>
    <row r="260" spans="2:2" x14ac:dyDescent="0.25">
      <c r="B260" s="41" t="s">
        <v>750</v>
      </c>
    </row>
    <row r="261" spans="2:2" x14ac:dyDescent="0.25">
      <c r="B261" s="41" t="s">
        <v>1013</v>
      </c>
    </row>
    <row r="262" spans="2:2" x14ac:dyDescent="0.25">
      <c r="B262" s="41" t="s">
        <v>573</v>
      </c>
    </row>
    <row r="263" spans="2:2" x14ac:dyDescent="0.25">
      <c r="B263" s="41" t="s">
        <v>1056</v>
      </c>
    </row>
    <row r="264" spans="2:2" x14ac:dyDescent="0.25">
      <c r="B264" s="41" t="s">
        <v>371</v>
      </c>
    </row>
    <row r="265" spans="2:2" x14ac:dyDescent="0.25">
      <c r="B265" s="41" t="s">
        <v>299</v>
      </c>
    </row>
    <row r="266" spans="2:2" x14ac:dyDescent="0.25">
      <c r="B266" s="41" t="s">
        <v>574</v>
      </c>
    </row>
    <row r="267" spans="2:2" x14ac:dyDescent="0.25">
      <c r="B267" s="41" t="s">
        <v>308</v>
      </c>
    </row>
    <row r="268" spans="2:2" x14ac:dyDescent="0.25">
      <c r="B268" s="41" t="s">
        <v>307</v>
      </c>
    </row>
    <row r="269" spans="2:2" x14ac:dyDescent="0.25">
      <c r="B269" s="41" t="s">
        <v>298</v>
      </c>
    </row>
    <row r="270" spans="2:2" x14ac:dyDescent="0.25">
      <c r="B270" s="41" t="s">
        <v>751</v>
      </c>
    </row>
    <row r="271" spans="2:2" x14ac:dyDescent="0.25">
      <c r="B271" s="41" t="s">
        <v>752</v>
      </c>
    </row>
    <row r="272" spans="2:2" x14ac:dyDescent="0.25">
      <c r="B272" s="41" t="s">
        <v>316</v>
      </c>
    </row>
    <row r="273" spans="2:2" x14ac:dyDescent="0.25">
      <c r="B273" s="41" t="s">
        <v>753</v>
      </c>
    </row>
    <row r="274" spans="2:2" x14ac:dyDescent="0.25">
      <c r="B274" s="41" t="s">
        <v>392</v>
      </c>
    </row>
    <row r="275" spans="2:2" x14ac:dyDescent="0.25">
      <c r="B275" s="41" t="s">
        <v>373</v>
      </c>
    </row>
    <row r="276" spans="2:2" x14ac:dyDescent="0.25">
      <c r="B276" s="41" t="s">
        <v>374</v>
      </c>
    </row>
    <row r="277" spans="2:2" x14ac:dyDescent="0.25">
      <c r="B277" s="41" t="s">
        <v>376</v>
      </c>
    </row>
    <row r="278" spans="2:2" x14ac:dyDescent="0.25">
      <c r="B278" s="41" t="s">
        <v>754</v>
      </c>
    </row>
    <row r="279" spans="2:2" x14ac:dyDescent="0.25">
      <c r="B279" s="41" t="s">
        <v>377</v>
      </c>
    </row>
    <row r="280" spans="2:2" x14ac:dyDescent="0.25">
      <c r="B280" s="41" t="s">
        <v>575</v>
      </c>
    </row>
    <row r="281" spans="2:2" x14ac:dyDescent="0.25">
      <c r="B281" s="41" t="s">
        <v>576</v>
      </c>
    </row>
    <row r="282" spans="2:2" x14ac:dyDescent="0.25">
      <c r="B282" s="41" t="s">
        <v>125</v>
      </c>
    </row>
    <row r="283" spans="2:2" x14ac:dyDescent="0.25">
      <c r="B283" s="41" t="s">
        <v>577</v>
      </c>
    </row>
    <row r="284" spans="2:2" x14ac:dyDescent="0.25">
      <c r="B284" s="41" t="s">
        <v>755</v>
      </c>
    </row>
    <row r="285" spans="2:2" x14ac:dyDescent="0.25">
      <c r="B285" s="41" t="s">
        <v>578</v>
      </c>
    </row>
    <row r="286" spans="2:2" x14ac:dyDescent="0.25">
      <c r="B286" s="41" t="s">
        <v>579</v>
      </c>
    </row>
    <row r="287" spans="2:2" x14ac:dyDescent="0.25">
      <c r="B287" s="41" t="s">
        <v>756</v>
      </c>
    </row>
    <row r="288" spans="2:2" x14ac:dyDescent="0.25">
      <c r="B288" s="41" t="s">
        <v>757</v>
      </c>
    </row>
    <row r="289" spans="2:2" x14ac:dyDescent="0.25">
      <c r="B289" s="41" t="s">
        <v>580</v>
      </c>
    </row>
    <row r="290" spans="2:2" x14ac:dyDescent="0.25">
      <c r="B290" s="41" t="s">
        <v>581</v>
      </c>
    </row>
    <row r="291" spans="2:2" x14ac:dyDescent="0.25">
      <c r="B291" s="41" t="s">
        <v>126</v>
      </c>
    </row>
    <row r="292" spans="2:2" x14ac:dyDescent="0.25">
      <c r="B292" s="41" t="s">
        <v>758</v>
      </c>
    </row>
    <row r="293" spans="2:2" x14ac:dyDescent="0.25">
      <c r="B293" s="41" t="s">
        <v>759</v>
      </c>
    </row>
    <row r="294" spans="2:2" x14ac:dyDescent="0.25">
      <c r="B294" s="41" t="s">
        <v>760</v>
      </c>
    </row>
    <row r="295" spans="2:2" x14ac:dyDescent="0.25">
      <c r="B295" s="41" t="s">
        <v>761</v>
      </c>
    </row>
    <row r="296" spans="2:2" x14ac:dyDescent="0.25">
      <c r="B296" s="41" t="s">
        <v>762</v>
      </c>
    </row>
    <row r="297" spans="2:2" x14ac:dyDescent="0.25">
      <c r="B297" s="41" t="s">
        <v>582</v>
      </c>
    </row>
    <row r="298" spans="2:2" x14ac:dyDescent="0.25">
      <c r="B298" s="41" t="s">
        <v>127</v>
      </c>
    </row>
    <row r="299" spans="2:2" x14ac:dyDescent="0.25">
      <c r="B299" s="41" t="s">
        <v>1052</v>
      </c>
    </row>
    <row r="300" spans="2:2" x14ac:dyDescent="0.25">
      <c r="B300" s="41" t="s">
        <v>763</v>
      </c>
    </row>
    <row r="301" spans="2:2" x14ac:dyDescent="0.25">
      <c r="B301" s="41" t="s">
        <v>583</v>
      </c>
    </row>
    <row r="302" spans="2:2" x14ac:dyDescent="0.25">
      <c r="B302" s="41" t="s">
        <v>1014</v>
      </c>
    </row>
    <row r="303" spans="2:2" x14ac:dyDescent="0.25">
      <c r="B303" s="41" t="s">
        <v>128</v>
      </c>
    </row>
    <row r="304" spans="2:2" x14ac:dyDescent="0.25">
      <c r="B304" s="41" t="s">
        <v>1005</v>
      </c>
    </row>
    <row r="305" spans="2:2" x14ac:dyDescent="0.25">
      <c r="B305" s="41" t="s">
        <v>584</v>
      </c>
    </row>
    <row r="306" spans="2:2" x14ac:dyDescent="0.25">
      <c r="B306" s="41" t="s">
        <v>369</v>
      </c>
    </row>
    <row r="307" spans="2:2" x14ac:dyDescent="0.25">
      <c r="B307" s="41" t="s">
        <v>764</v>
      </c>
    </row>
    <row r="308" spans="2:2" x14ac:dyDescent="0.25">
      <c r="B308" s="41" t="s">
        <v>585</v>
      </c>
    </row>
    <row r="309" spans="2:2" x14ac:dyDescent="0.25">
      <c r="B309" s="41" t="s">
        <v>586</v>
      </c>
    </row>
    <row r="310" spans="2:2" x14ac:dyDescent="0.25">
      <c r="B310" s="41" t="s">
        <v>587</v>
      </c>
    </row>
    <row r="311" spans="2:2" x14ac:dyDescent="0.25">
      <c r="B311" s="41" t="s">
        <v>588</v>
      </c>
    </row>
    <row r="312" spans="2:2" x14ac:dyDescent="0.25">
      <c r="B312" s="41" t="s">
        <v>1015</v>
      </c>
    </row>
    <row r="313" spans="2:2" x14ac:dyDescent="0.25">
      <c r="B313" s="41" t="s">
        <v>774</v>
      </c>
    </row>
    <row r="314" spans="2:2" x14ac:dyDescent="0.25">
      <c r="B314" s="41" t="s">
        <v>129</v>
      </c>
    </row>
    <row r="315" spans="2:2" x14ac:dyDescent="0.25">
      <c r="B315" s="41" t="s">
        <v>130</v>
      </c>
    </row>
    <row r="316" spans="2:2" x14ac:dyDescent="0.25">
      <c r="B316" s="41" t="s">
        <v>131</v>
      </c>
    </row>
    <row r="317" spans="2:2" x14ac:dyDescent="0.25">
      <c r="B317" s="41" t="s">
        <v>589</v>
      </c>
    </row>
    <row r="318" spans="2:2" x14ac:dyDescent="0.25">
      <c r="B318" s="41" t="s">
        <v>775</v>
      </c>
    </row>
    <row r="319" spans="2:2" x14ac:dyDescent="0.25">
      <c r="B319" s="41" t="s">
        <v>590</v>
      </c>
    </row>
    <row r="320" spans="2:2" x14ac:dyDescent="0.25">
      <c r="B320" s="41" t="s">
        <v>776</v>
      </c>
    </row>
    <row r="321" spans="2:2" x14ac:dyDescent="0.25">
      <c r="B321" s="41" t="s">
        <v>591</v>
      </c>
    </row>
    <row r="322" spans="2:2" x14ac:dyDescent="0.25">
      <c r="B322" s="41" t="s">
        <v>592</v>
      </c>
    </row>
    <row r="323" spans="2:2" x14ac:dyDescent="0.25">
      <c r="B323" s="41" t="s">
        <v>372</v>
      </c>
    </row>
    <row r="324" spans="2:2" x14ac:dyDescent="0.25">
      <c r="B324" s="41" t="s">
        <v>132</v>
      </c>
    </row>
    <row r="325" spans="2:2" x14ac:dyDescent="0.25">
      <c r="B325" s="41" t="s">
        <v>593</v>
      </c>
    </row>
    <row r="326" spans="2:2" x14ac:dyDescent="0.25">
      <c r="B326" s="41" t="s">
        <v>133</v>
      </c>
    </row>
    <row r="327" spans="2:2" x14ac:dyDescent="0.25">
      <c r="B327" s="41" t="s">
        <v>1016</v>
      </c>
    </row>
    <row r="328" spans="2:2" x14ac:dyDescent="0.25">
      <c r="B328" s="41" t="s">
        <v>594</v>
      </c>
    </row>
    <row r="329" spans="2:2" x14ac:dyDescent="0.25">
      <c r="B329" s="41" t="s">
        <v>595</v>
      </c>
    </row>
    <row r="330" spans="2:2" x14ac:dyDescent="0.25">
      <c r="B330" s="41" t="s">
        <v>380</v>
      </c>
    </row>
    <row r="331" spans="2:2" x14ac:dyDescent="0.25">
      <c r="B331" s="41" t="s">
        <v>294</v>
      </c>
    </row>
    <row r="332" spans="2:2" x14ac:dyDescent="0.25">
      <c r="B332" s="41" t="s">
        <v>326</v>
      </c>
    </row>
    <row r="333" spans="2:2" x14ac:dyDescent="0.25">
      <c r="B333" s="41" t="s">
        <v>1017</v>
      </c>
    </row>
    <row r="334" spans="2:2" x14ac:dyDescent="0.25">
      <c r="B334" s="41" t="s">
        <v>777</v>
      </c>
    </row>
    <row r="335" spans="2:2" x14ac:dyDescent="0.25">
      <c r="B335" s="41" t="s">
        <v>314</v>
      </c>
    </row>
    <row r="336" spans="2:2" x14ac:dyDescent="0.25">
      <c r="B336" s="41" t="s">
        <v>596</v>
      </c>
    </row>
    <row r="337" spans="2:2" x14ac:dyDescent="0.25">
      <c r="B337" s="41" t="s">
        <v>597</v>
      </c>
    </row>
    <row r="338" spans="2:2" x14ac:dyDescent="0.25">
      <c r="B338" s="41" t="s">
        <v>598</v>
      </c>
    </row>
    <row r="339" spans="2:2" x14ac:dyDescent="0.25">
      <c r="B339" s="41" t="s">
        <v>599</v>
      </c>
    </row>
    <row r="340" spans="2:2" x14ac:dyDescent="0.25">
      <c r="B340" s="41" t="s">
        <v>600</v>
      </c>
    </row>
    <row r="341" spans="2:2" x14ac:dyDescent="0.25">
      <c r="B341" s="41" t="s">
        <v>324</v>
      </c>
    </row>
    <row r="342" spans="2:2" x14ac:dyDescent="0.25">
      <c r="B342" s="41" t="s">
        <v>601</v>
      </c>
    </row>
    <row r="343" spans="2:2" x14ac:dyDescent="0.25">
      <c r="B343" s="41" t="s">
        <v>386</v>
      </c>
    </row>
    <row r="344" spans="2:2" x14ac:dyDescent="0.25">
      <c r="B344" s="41" t="s">
        <v>134</v>
      </c>
    </row>
    <row r="345" spans="2:2" x14ac:dyDescent="0.25">
      <c r="B345" s="41" t="s">
        <v>602</v>
      </c>
    </row>
    <row r="346" spans="2:2" x14ac:dyDescent="0.25">
      <c r="B346" s="41" t="s">
        <v>603</v>
      </c>
    </row>
    <row r="347" spans="2:2" x14ac:dyDescent="0.25">
      <c r="B347" s="41" t="s">
        <v>604</v>
      </c>
    </row>
    <row r="348" spans="2:2" x14ac:dyDescent="0.25">
      <c r="B348" s="41" t="s">
        <v>605</v>
      </c>
    </row>
    <row r="349" spans="2:2" x14ac:dyDescent="0.25">
      <c r="B349" s="41" t="s">
        <v>778</v>
      </c>
    </row>
    <row r="350" spans="2:2" x14ac:dyDescent="0.25">
      <c r="B350" s="41" t="s">
        <v>387</v>
      </c>
    </row>
    <row r="351" spans="2:2" x14ac:dyDescent="0.25">
      <c r="B351" s="41" t="s">
        <v>606</v>
      </c>
    </row>
    <row r="352" spans="2:2" x14ac:dyDescent="0.25">
      <c r="B352" s="41" t="s">
        <v>779</v>
      </c>
    </row>
    <row r="353" spans="2:2" x14ac:dyDescent="0.25">
      <c r="B353" s="41" t="s">
        <v>607</v>
      </c>
    </row>
    <row r="354" spans="2:2" x14ac:dyDescent="0.25">
      <c r="B354" s="41" t="s">
        <v>608</v>
      </c>
    </row>
    <row r="355" spans="2:2" x14ac:dyDescent="0.25">
      <c r="B355" s="41" t="s">
        <v>1018</v>
      </c>
    </row>
    <row r="356" spans="2:2" x14ac:dyDescent="0.25">
      <c r="B356" s="41" t="s">
        <v>780</v>
      </c>
    </row>
    <row r="357" spans="2:2" x14ac:dyDescent="0.25">
      <c r="B357" s="41" t="s">
        <v>609</v>
      </c>
    </row>
    <row r="358" spans="2:2" x14ac:dyDescent="0.25">
      <c r="B358" s="41" t="s">
        <v>287</v>
      </c>
    </row>
    <row r="359" spans="2:2" x14ac:dyDescent="0.25">
      <c r="B359" s="41" t="s">
        <v>286</v>
      </c>
    </row>
    <row r="360" spans="2:2" x14ac:dyDescent="0.25">
      <c r="B360" s="41" t="s">
        <v>288</v>
      </c>
    </row>
    <row r="361" spans="2:2" x14ac:dyDescent="0.25">
      <c r="B361" s="41" t="s">
        <v>610</v>
      </c>
    </row>
    <row r="362" spans="2:2" x14ac:dyDescent="0.25">
      <c r="B362" s="41" t="s">
        <v>398</v>
      </c>
    </row>
    <row r="363" spans="2:2" x14ac:dyDescent="0.25">
      <c r="B363" s="41" t="s">
        <v>337</v>
      </c>
    </row>
    <row r="364" spans="2:2" x14ac:dyDescent="0.25">
      <c r="B364" s="41" t="s">
        <v>397</v>
      </c>
    </row>
    <row r="365" spans="2:2" x14ac:dyDescent="0.25">
      <c r="B365" s="41" t="s">
        <v>135</v>
      </c>
    </row>
    <row r="366" spans="2:2" x14ac:dyDescent="0.25">
      <c r="B366" s="41" t="s">
        <v>781</v>
      </c>
    </row>
    <row r="367" spans="2:2" x14ac:dyDescent="0.25">
      <c r="B367" s="41" t="s">
        <v>304</v>
      </c>
    </row>
    <row r="368" spans="2:2" x14ac:dyDescent="0.25">
      <c r="B368" s="41" t="s">
        <v>611</v>
      </c>
    </row>
    <row r="369" spans="2:2" x14ac:dyDescent="0.25">
      <c r="B369" s="41" t="s">
        <v>399</v>
      </c>
    </row>
    <row r="370" spans="2:2" x14ac:dyDescent="0.25">
      <c r="B370" s="41" t="s">
        <v>782</v>
      </c>
    </row>
    <row r="371" spans="2:2" x14ac:dyDescent="0.25">
      <c r="B371" s="41" t="s">
        <v>783</v>
      </c>
    </row>
    <row r="372" spans="2:2" x14ac:dyDescent="0.25">
      <c r="B372" s="41" t="s">
        <v>136</v>
      </c>
    </row>
    <row r="373" spans="2:2" x14ac:dyDescent="0.25">
      <c r="B373" s="41" t="s">
        <v>612</v>
      </c>
    </row>
    <row r="374" spans="2:2" x14ac:dyDescent="0.25">
      <c r="B374" s="41" t="s">
        <v>303</v>
      </c>
    </row>
    <row r="375" spans="2:2" x14ac:dyDescent="0.25">
      <c r="B375" s="41" t="s">
        <v>613</v>
      </c>
    </row>
    <row r="376" spans="2:2" x14ac:dyDescent="0.25">
      <c r="B376" s="41" t="s">
        <v>614</v>
      </c>
    </row>
    <row r="377" spans="2:2" x14ac:dyDescent="0.25">
      <c r="B377" s="41" t="s">
        <v>137</v>
      </c>
    </row>
    <row r="378" spans="2:2" x14ac:dyDescent="0.25">
      <c r="B378" s="41" t="s">
        <v>784</v>
      </c>
    </row>
    <row r="379" spans="2:2" x14ac:dyDescent="0.25">
      <c r="B379" s="41" t="s">
        <v>615</v>
      </c>
    </row>
    <row r="380" spans="2:2" x14ac:dyDescent="0.25">
      <c r="B380" s="41" t="s">
        <v>362</v>
      </c>
    </row>
    <row r="381" spans="2:2" x14ac:dyDescent="0.25">
      <c r="B381" s="41" t="s">
        <v>616</v>
      </c>
    </row>
    <row r="382" spans="2:2" x14ac:dyDescent="0.25">
      <c r="B382" s="41" t="s">
        <v>617</v>
      </c>
    </row>
    <row r="383" spans="2:2" x14ac:dyDescent="0.25">
      <c r="B383" s="41" t="s">
        <v>618</v>
      </c>
    </row>
    <row r="384" spans="2:2" x14ac:dyDescent="0.25">
      <c r="B384" s="41" t="s">
        <v>363</v>
      </c>
    </row>
    <row r="385" spans="2:2" x14ac:dyDescent="0.25">
      <c r="B385" s="41" t="s">
        <v>395</v>
      </c>
    </row>
    <row r="386" spans="2:2" x14ac:dyDescent="0.25">
      <c r="B386" s="41" t="s">
        <v>1019</v>
      </c>
    </row>
    <row r="387" spans="2:2" x14ac:dyDescent="0.25">
      <c r="B387" s="41" t="s">
        <v>302</v>
      </c>
    </row>
    <row r="388" spans="2:2" x14ac:dyDescent="0.25">
      <c r="B388" s="41" t="s">
        <v>619</v>
      </c>
    </row>
    <row r="389" spans="2:2" x14ac:dyDescent="0.25">
      <c r="B389" s="41" t="s">
        <v>620</v>
      </c>
    </row>
    <row r="390" spans="2:2" x14ac:dyDescent="0.25">
      <c r="B390" s="41" t="s">
        <v>313</v>
      </c>
    </row>
    <row r="391" spans="2:2" x14ac:dyDescent="0.25">
      <c r="B391" s="41" t="s">
        <v>621</v>
      </c>
    </row>
    <row r="392" spans="2:2" x14ac:dyDescent="0.25">
      <c r="B392" s="41" t="s">
        <v>338</v>
      </c>
    </row>
    <row r="393" spans="2:2" x14ac:dyDescent="0.25">
      <c r="B393" s="41" t="s">
        <v>622</v>
      </c>
    </row>
    <row r="394" spans="2:2" x14ac:dyDescent="0.25">
      <c r="B394" s="41" t="s">
        <v>391</v>
      </c>
    </row>
    <row r="395" spans="2:2" x14ac:dyDescent="0.25">
      <c r="B395" s="41" t="s">
        <v>138</v>
      </c>
    </row>
    <row r="396" spans="2:2" x14ac:dyDescent="0.25">
      <c r="B396" s="41" t="s">
        <v>310</v>
      </c>
    </row>
    <row r="397" spans="2:2" x14ac:dyDescent="0.25">
      <c r="B397" s="41" t="s">
        <v>785</v>
      </c>
    </row>
    <row r="398" spans="2:2" x14ac:dyDescent="0.25">
      <c r="B398" s="41" t="s">
        <v>139</v>
      </c>
    </row>
    <row r="399" spans="2:2" x14ac:dyDescent="0.25">
      <c r="B399" s="41" t="s">
        <v>140</v>
      </c>
    </row>
    <row r="400" spans="2:2" x14ac:dyDescent="0.25">
      <c r="B400" s="41" t="s">
        <v>141</v>
      </c>
    </row>
    <row r="401" spans="2:2" x14ac:dyDescent="0.25">
      <c r="B401" s="41" t="s">
        <v>786</v>
      </c>
    </row>
    <row r="402" spans="2:2" x14ac:dyDescent="0.25">
      <c r="B402" s="41" t="s">
        <v>142</v>
      </c>
    </row>
    <row r="403" spans="2:2" x14ac:dyDescent="0.25">
      <c r="B403" s="41" t="s">
        <v>1020</v>
      </c>
    </row>
    <row r="404" spans="2:2" x14ac:dyDescent="0.25">
      <c r="B404" s="41" t="s">
        <v>143</v>
      </c>
    </row>
    <row r="405" spans="2:2" x14ac:dyDescent="0.25">
      <c r="B405" s="41" t="s">
        <v>787</v>
      </c>
    </row>
    <row r="406" spans="2:2" x14ac:dyDescent="0.25">
      <c r="B406" s="41" t="s">
        <v>375</v>
      </c>
    </row>
    <row r="407" spans="2:2" x14ac:dyDescent="0.25">
      <c r="B407" s="41" t="s">
        <v>144</v>
      </c>
    </row>
    <row r="408" spans="2:2" x14ac:dyDescent="0.25">
      <c r="B408" s="41" t="s">
        <v>811</v>
      </c>
    </row>
    <row r="409" spans="2:2" x14ac:dyDescent="0.25">
      <c r="B409" s="41" t="s">
        <v>788</v>
      </c>
    </row>
    <row r="410" spans="2:2" x14ac:dyDescent="0.25">
      <c r="B410" s="41" t="s">
        <v>145</v>
      </c>
    </row>
    <row r="411" spans="2:2" x14ac:dyDescent="0.25">
      <c r="B411" s="41" t="s">
        <v>623</v>
      </c>
    </row>
    <row r="412" spans="2:2" x14ac:dyDescent="0.25">
      <c r="B412" s="41" t="s">
        <v>146</v>
      </c>
    </row>
    <row r="413" spans="2:2" x14ac:dyDescent="0.25">
      <c r="B413" s="41" t="s">
        <v>147</v>
      </c>
    </row>
    <row r="414" spans="2:2" x14ac:dyDescent="0.25">
      <c r="B414" s="41" t="s">
        <v>323</v>
      </c>
    </row>
    <row r="415" spans="2:2" x14ac:dyDescent="0.25">
      <c r="B415" s="41" t="s">
        <v>624</v>
      </c>
    </row>
    <row r="416" spans="2:2" x14ac:dyDescent="0.25">
      <c r="B416" s="41" t="s">
        <v>625</v>
      </c>
    </row>
    <row r="417" spans="2:2" x14ac:dyDescent="0.25">
      <c r="B417" s="41" t="s">
        <v>626</v>
      </c>
    </row>
    <row r="418" spans="2:2" x14ac:dyDescent="0.25">
      <c r="B418" s="41" t="s">
        <v>1031</v>
      </c>
    </row>
    <row r="419" spans="2:2" x14ac:dyDescent="0.25">
      <c r="B419" s="41" t="s">
        <v>148</v>
      </c>
    </row>
    <row r="420" spans="2:2" x14ac:dyDescent="0.25">
      <c r="B420" s="41" t="s">
        <v>149</v>
      </c>
    </row>
    <row r="421" spans="2:2" x14ac:dyDescent="0.25">
      <c r="B421" s="41" t="s">
        <v>383</v>
      </c>
    </row>
    <row r="422" spans="2:2" x14ac:dyDescent="0.25">
      <c r="B422" s="41" t="s">
        <v>627</v>
      </c>
    </row>
    <row r="423" spans="2:2" x14ac:dyDescent="0.25">
      <c r="B423" s="41" t="s">
        <v>628</v>
      </c>
    </row>
    <row r="424" spans="2:2" x14ac:dyDescent="0.25">
      <c r="B424" s="41" t="s">
        <v>629</v>
      </c>
    </row>
    <row r="425" spans="2:2" x14ac:dyDescent="0.25">
      <c r="B425" s="41" t="s">
        <v>390</v>
      </c>
    </row>
    <row r="426" spans="2:2" x14ac:dyDescent="0.25">
      <c r="B426" s="41" t="s">
        <v>150</v>
      </c>
    </row>
    <row r="427" spans="2:2" x14ac:dyDescent="0.25">
      <c r="B427" s="41" t="s">
        <v>151</v>
      </c>
    </row>
    <row r="428" spans="2:2" x14ac:dyDescent="0.25">
      <c r="B428" s="41" t="s">
        <v>789</v>
      </c>
    </row>
    <row r="429" spans="2:2" x14ac:dyDescent="0.25">
      <c r="B429" s="41" t="s">
        <v>630</v>
      </c>
    </row>
    <row r="430" spans="2:2" x14ac:dyDescent="0.25">
      <c r="B430" s="41" t="s">
        <v>790</v>
      </c>
    </row>
    <row r="431" spans="2:2" x14ac:dyDescent="0.25">
      <c r="B431" s="41" t="s">
        <v>152</v>
      </c>
    </row>
    <row r="432" spans="2:2" x14ac:dyDescent="0.25">
      <c r="B432" s="41" t="s">
        <v>631</v>
      </c>
    </row>
    <row r="433" spans="2:2" x14ac:dyDescent="0.25">
      <c r="B433" s="41" t="s">
        <v>297</v>
      </c>
    </row>
    <row r="434" spans="2:2" x14ac:dyDescent="0.25">
      <c r="B434" s="41" t="s">
        <v>382</v>
      </c>
    </row>
    <row r="435" spans="2:2" x14ac:dyDescent="0.25">
      <c r="B435" s="41" t="s">
        <v>791</v>
      </c>
    </row>
    <row r="436" spans="2:2" x14ac:dyDescent="0.25">
      <c r="B436" s="41" t="s">
        <v>792</v>
      </c>
    </row>
    <row r="437" spans="2:2" x14ac:dyDescent="0.25">
      <c r="B437" s="41" t="s">
        <v>632</v>
      </c>
    </row>
    <row r="438" spans="2:2" x14ac:dyDescent="0.25">
      <c r="B438" s="41" t="s">
        <v>633</v>
      </c>
    </row>
    <row r="439" spans="2:2" x14ac:dyDescent="0.25">
      <c r="B439" s="41" t="s">
        <v>634</v>
      </c>
    </row>
    <row r="440" spans="2:2" x14ac:dyDescent="0.25">
      <c r="B440" s="41" t="s">
        <v>793</v>
      </c>
    </row>
    <row r="441" spans="2:2" x14ac:dyDescent="0.25">
      <c r="B441" s="41" t="s">
        <v>635</v>
      </c>
    </row>
    <row r="442" spans="2:2" x14ac:dyDescent="0.25">
      <c r="B442" s="41" t="s">
        <v>794</v>
      </c>
    </row>
    <row r="443" spans="2:2" x14ac:dyDescent="0.25">
      <c r="B443" s="41" t="s">
        <v>795</v>
      </c>
    </row>
    <row r="444" spans="2:2" x14ac:dyDescent="0.25">
      <c r="B444" s="41" t="s">
        <v>636</v>
      </c>
    </row>
    <row r="445" spans="2:2" x14ac:dyDescent="0.25">
      <c r="B445" s="41" t="s">
        <v>637</v>
      </c>
    </row>
    <row r="446" spans="2:2" x14ac:dyDescent="0.25">
      <c r="B446" s="41" t="s">
        <v>638</v>
      </c>
    </row>
    <row r="447" spans="2:2" x14ac:dyDescent="0.25">
      <c r="B447" s="41" t="s">
        <v>796</v>
      </c>
    </row>
    <row r="448" spans="2:2" x14ac:dyDescent="0.25">
      <c r="B448" s="41" t="s">
        <v>639</v>
      </c>
    </row>
    <row r="449" spans="2:2" x14ac:dyDescent="0.25">
      <c r="B449" s="41" t="s">
        <v>153</v>
      </c>
    </row>
    <row r="450" spans="2:2" x14ac:dyDescent="0.25">
      <c r="B450" s="41" t="s">
        <v>640</v>
      </c>
    </row>
    <row r="451" spans="2:2" x14ac:dyDescent="0.25">
      <c r="B451" s="41" t="s">
        <v>641</v>
      </c>
    </row>
    <row r="452" spans="2:2" x14ac:dyDescent="0.25">
      <c r="B452" s="41" t="s">
        <v>642</v>
      </c>
    </row>
    <row r="453" spans="2:2" x14ac:dyDescent="0.25">
      <c r="B453" s="41" t="s">
        <v>797</v>
      </c>
    </row>
    <row r="454" spans="2:2" x14ac:dyDescent="0.25">
      <c r="B454" s="41" t="s">
        <v>798</v>
      </c>
    </row>
    <row r="455" spans="2:2" x14ac:dyDescent="0.25">
      <c r="B455" s="41" t="s">
        <v>643</v>
      </c>
    </row>
    <row r="456" spans="2:2" x14ac:dyDescent="0.25">
      <c r="B456" s="41" t="s">
        <v>154</v>
      </c>
    </row>
    <row r="457" spans="2:2" x14ac:dyDescent="0.25">
      <c r="B457" s="41" t="s">
        <v>799</v>
      </c>
    </row>
    <row r="458" spans="2:2" x14ac:dyDescent="0.25">
      <c r="B458" s="41" t="s">
        <v>155</v>
      </c>
    </row>
    <row r="459" spans="2:2" x14ac:dyDescent="0.25">
      <c r="B459" s="41" t="s">
        <v>800</v>
      </c>
    </row>
    <row r="460" spans="2:2" x14ac:dyDescent="0.25">
      <c r="B460" s="41" t="s">
        <v>644</v>
      </c>
    </row>
    <row r="461" spans="2:2" x14ac:dyDescent="0.25">
      <c r="B461" s="41" t="s">
        <v>318</v>
      </c>
    </row>
    <row r="462" spans="2:2" x14ac:dyDescent="0.25">
      <c r="B462" s="41" t="s">
        <v>801</v>
      </c>
    </row>
    <row r="463" spans="2:2" x14ac:dyDescent="0.25">
      <c r="B463" s="41" t="s">
        <v>645</v>
      </c>
    </row>
    <row r="464" spans="2:2" x14ac:dyDescent="0.25">
      <c r="B464" s="41" t="s">
        <v>305</v>
      </c>
    </row>
    <row r="465" spans="2:2" x14ac:dyDescent="0.25">
      <c r="B465" s="41" t="s">
        <v>156</v>
      </c>
    </row>
    <row r="466" spans="2:2" x14ac:dyDescent="0.25">
      <c r="B466" s="41" t="s">
        <v>646</v>
      </c>
    </row>
    <row r="467" spans="2:2" x14ac:dyDescent="0.25">
      <c r="B467" s="41" t="s">
        <v>647</v>
      </c>
    </row>
    <row r="468" spans="2:2" x14ac:dyDescent="0.25">
      <c r="B468" s="41" t="s">
        <v>648</v>
      </c>
    </row>
    <row r="469" spans="2:2" x14ac:dyDescent="0.25">
      <c r="B469" s="41" t="s">
        <v>157</v>
      </c>
    </row>
    <row r="470" spans="2:2" x14ac:dyDescent="0.25">
      <c r="B470" s="41" t="s">
        <v>158</v>
      </c>
    </row>
    <row r="471" spans="2:2" x14ac:dyDescent="0.25">
      <c r="B471" s="41" t="s">
        <v>315</v>
      </c>
    </row>
    <row r="472" spans="2:2" x14ac:dyDescent="0.25">
      <c r="B472" s="41" t="s">
        <v>802</v>
      </c>
    </row>
    <row r="473" spans="2:2" x14ac:dyDescent="0.25">
      <c r="B473" s="41" t="s">
        <v>649</v>
      </c>
    </row>
    <row r="474" spans="2:2" x14ac:dyDescent="0.25">
      <c r="B474" s="41" t="s">
        <v>650</v>
      </c>
    </row>
    <row r="475" spans="2:2" x14ac:dyDescent="0.25">
      <c r="B475" s="41" t="s">
        <v>296</v>
      </c>
    </row>
    <row r="476" spans="2:2" x14ac:dyDescent="0.25">
      <c r="B476" s="41" t="s">
        <v>159</v>
      </c>
    </row>
    <row r="477" spans="2:2" x14ac:dyDescent="0.25">
      <c r="B477" s="41" t="s">
        <v>803</v>
      </c>
    </row>
    <row r="478" spans="2:2" x14ac:dyDescent="0.25">
      <c r="B478" s="41" t="s">
        <v>309</v>
      </c>
    </row>
    <row r="479" spans="2:2" x14ac:dyDescent="0.25">
      <c r="B479" s="41" t="s">
        <v>384</v>
      </c>
    </row>
    <row r="480" spans="2:2" x14ac:dyDescent="0.25">
      <c r="B480" s="41" t="s">
        <v>351</v>
      </c>
    </row>
    <row r="481" spans="2:2" x14ac:dyDescent="0.25">
      <c r="B481" s="41" t="s">
        <v>651</v>
      </c>
    </row>
    <row r="482" spans="2:2" x14ac:dyDescent="0.25">
      <c r="B482" s="41" t="s">
        <v>160</v>
      </c>
    </row>
    <row r="483" spans="2:2" x14ac:dyDescent="0.25">
      <c r="B483" s="41" t="s">
        <v>161</v>
      </c>
    </row>
    <row r="484" spans="2:2" x14ac:dyDescent="0.25">
      <c r="B484" s="41" t="s">
        <v>162</v>
      </c>
    </row>
    <row r="485" spans="2:2" x14ac:dyDescent="0.25">
      <c r="B485" s="41" t="s">
        <v>163</v>
      </c>
    </row>
    <row r="486" spans="2:2" x14ac:dyDescent="0.25">
      <c r="B486" s="41" t="s">
        <v>164</v>
      </c>
    </row>
    <row r="487" spans="2:2" x14ac:dyDescent="0.25">
      <c r="B487" s="41" t="s">
        <v>652</v>
      </c>
    </row>
    <row r="488" spans="2:2" x14ac:dyDescent="0.25">
      <c r="B488" s="41" t="s">
        <v>165</v>
      </c>
    </row>
    <row r="489" spans="2:2" x14ac:dyDescent="0.25">
      <c r="B489" s="41" t="s">
        <v>166</v>
      </c>
    </row>
    <row r="490" spans="2:2" x14ac:dyDescent="0.25">
      <c r="B490" s="41" t="s">
        <v>653</v>
      </c>
    </row>
    <row r="491" spans="2:2" x14ac:dyDescent="0.25">
      <c r="B491" s="41" t="s">
        <v>654</v>
      </c>
    </row>
    <row r="492" spans="2:2" x14ac:dyDescent="0.25">
      <c r="B492" s="41" t="s">
        <v>167</v>
      </c>
    </row>
    <row r="493" spans="2:2" x14ac:dyDescent="0.25">
      <c r="B493" s="41" t="s">
        <v>655</v>
      </c>
    </row>
    <row r="494" spans="2:2" x14ac:dyDescent="0.25">
      <c r="B494" s="41" t="s">
        <v>656</v>
      </c>
    </row>
    <row r="495" spans="2:2" x14ac:dyDescent="0.25">
      <c r="B495" s="41" t="s">
        <v>997</v>
      </c>
    </row>
    <row r="496" spans="2:2" x14ac:dyDescent="0.25">
      <c r="B496" s="41" t="s">
        <v>1021</v>
      </c>
    </row>
    <row r="497" spans="2:2" x14ac:dyDescent="0.25">
      <c r="B497" s="41" t="s">
        <v>1055</v>
      </c>
    </row>
    <row r="498" spans="2:2" x14ac:dyDescent="0.25">
      <c r="B498" s="41"/>
    </row>
    <row r="499" spans="2:2" x14ac:dyDescent="0.25">
      <c r="B499" s="41"/>
    </row>
    <row r="500" spans="2:2" x14ac:dyDescent="0.25">
      <c r="B500" s="41"/>
    </row>
    <row r="501" spans="2:2" x14ac:dyDescent="0.25">
      <c r="B501" s="41"/>
    </row>
    <row r="502" spans="2:2" x14ac:dyDescent="0.25">
      <c r="B502" s="41"/>
    </row>
    <row r="503" spans="2:2" x14ac:dyDescent="0.25">
      <c r="B503" s="41"/>
    </row>
    <row r="504" spans="2:2" x14ac:dyDescent="0.25">
      <c r="B504" s="41"/>
    </row>
    <row r="505" spans="2:2" x14ac:dyDescent="0.25">
      <c r="B505" s="41"/>
    </row>
    <row r="506" spans="2:2" x14ac:dyDescent="0.25">
      <c r="B506" s="41"/>
    </row>
    <row r="507" spans="2:2" x14ac:dyDescent="0.25">
      <c r="B507" s="41"/>
    </row>
    <row r="508" spans="2:2" x14ac:dyDescent="0.25">
      <c r="B508" s="41"/>
    </row>
    <row r="509" spans="2:2" x14ac:dyDescent="0.25">
      <c r="B509" s="41"/>
    </row>
    <row r="510" spans="2:2" x14ac:dyDescent="0.25">
      <c r="B510" s="41"/>
    </row>
    <row r="511" spans="2:2" x14ac:dyDescent="0.25">
      <c r="B511" s="41"/>
    </row>
    <row r="512" spans="2:2" x14ac:dyDescent="0.25">
      <c r="B512" s="41"/>
    </row>
    <row r="513" spans="2:2" x14ac:dyDescent="0.25">
      <c r="B513" s="41"/>
    </row>
    <row r="514" spans="2:2" x14ac:dyDescent="0.25">
      <c r="B514" s="41"/>
    </row>
    <row r="515" spans="2:2" x14ac:dyDescent="0.25">
      <c r="B515" s="41"/>
    </row>
    <row r="516" spans="2:2" x14ac:dyDescent="0.25">
      <c r="B516" s="41"/>
    </row>
    <row r="517" spans="2:2" x14ac:dyDescent="0.25">
      <c r="B517" s="41"/>
    </row>
    <row r="518" spans="2:2" x14ac:dyDescent="0.25">
      <c r="B518" s="41"/>
    </row>
    <row r="519" spans="2:2" x14ac:dyDescent="0.25">
      <c r="B519" s="41"/>
    </row>
    <row r="520" spans="2:2" x14ac:dyDescent="0.25">
      <c r="B520" s="41"/>
    </row>
    <row r="521" spans="2:2" x14ac:dyDescent="0.25">
      <c r="B521" s="41"/>
    </row>
    <row r="522" spans="2:2" x14ac:dyDescent="0.25">
      <c r="B522" s="41"/>
    </row>
    <row r="523" spans="2:2" x14ac:dyDescent="0.25">
      <c r="B523" s="41"/>
    </row>
    <row r="524" spans="2:2" x14ac:dyDescent="0.25">
      <c r="B524" s="41"/>
    </row>
    <row r="525" spans="2:2" x14ac:dyDescent="0.25">
      <c r="B525" s="41"/>
    </row>
    <row r="526" spans="2:2" x14ac:dyDescent="0.25">
      <c r="B526" s="41"/>
    </row>
    <row r="527" spans="2:2" x14ac:dyDescent="0.25">
      <c r="B527" s="41"/>
    </row>
    <row r="528" spans="2:2" x14ac:dyDescent="0.25">
      <c r="B528" s="41"/>
    </row>
    <row r="529" spans="2:2" x14ac:dyDescent="0.25">
      <c r="B529" s="41"/>
    </row>
    <row r="530" spans="2:2" x14ac:dyDescent="0.25">
      <c r="B530" s="41"/>
    </row>
    <row r="531" spans="2:2" x14ac:dyDescent="0.25">
      <c r="B531" s="41"/>
    </row>
    <row r="532" spans="2:2" x14ac:dyDescent="0.25">
      <c r="B532" s="41"/>
    </row>
    <row r="533" spans="2:2" x14ac:dyDescent="0.25">
      <c r="B533" s="41"/>
    </row>
    <row r="534" spans="2:2" x14ac:dyDescent="0.25">
      <c r="B534" s="41"/>
    </row>
    <row r="535" spans="2:2" x14ac:dyDescent="0.25">
      <c r="B535" s="41"/>
    </row>
    <row r="536" spans="2:2" x14ac:dyDescent="0.25">
      <c r="B536" s="41"/>
    </row>
    <row r="537" spans="2:2" x14ac:dyDescent="0.25">
      <c r="B537" s="41"/>
    </row>
    <row r="538" spans="2:2" x14ac:dyDescent="0.25">
      <c r="B538" s="41"/>
    </row>
    <row r="539" spans="2:2" x14ac:dyDescent="0.25">
      <c r="B539" s="41"/>
    </row>
    <row r="540" spans="2:2" x14ac:dyDescent="0.25">
      <c r="B540" s="41"/>
    </row>
  </sheetData>
  <sheetProtection algorithmName="SHA-512" hashValue="b1EozkBtpQ+tVuIuMByvWVZvq6wmA/++YD42C9k425CI5yzs8VayxEa9TKC1phR/QehUMM8QEw0CimntaqmDng==" saltValue="b1V9qIuIR0oYjP/NWdBPbg==" spinCount="100000" sheet="1" objects="1" scenarios="1"/>
  <autoFilter ref="A1:B492"/>
  <sortState ref="B6:B494">
    <sortCondition ref="B494"/>
  </sortState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_TABELAS">
    <tabColor rgb="FF7030A0"/>
  </sheetPr>
  <dimension ref="A1:AA28"/>
  <sheetViews>
    <sheetView workbookViewId="0">
      <selection activeCell="N25" sqref="N25"/>
    </sheetView>
  </sheetViews>
  <sheetFormatPr defaultColWidth="14.5703125" defaultRowHeight="11.25" x14ac:dyDescent="0.25"/>
  <cols>
    <col min="1" max="1" width="13.140625" style="22" bestFit="1" customWidth="1"/>
    <col min="2" max="2" width="1.28515625" style="22" customWidth="1"/>
    <col min="3" max="3" width="32.42578125" style="22" bestFit="1" customWidth="1"/>
    <col min="4" max="4" width="1.42578125" style="22" customWidth="1"/>
    <col min="5" max="5" width="22.5703125" style="22" customWidth="1"/>
    <col min="6" max="6" width="1.28515625" style="22" customWidth="1"/>
    <col min="7" max="7" width="21.85546875" style="22" bestFit="1" customWidth="1"/>
    <col min="8" max="8" width="1.42578125" style="22" customWidth="1"/>
    <col min="9" max="9" width="12.7109375" style="22" customWidth="1"/>
    <col min="10" max="10" width="1.140625" style="22" customWidth="1"/>
    <col min="11" max="11" width="15.42578125" style="22" bestFit="1" customWidth="1"/>
    <col min="12" max="12" width="1.140625" style="22" customWidth="1"/>
    <col min="13" max="13" width="32.5703125" style="22" bestFit="1" customWidth="1"/>
    <col min="14" max="14" width="24.42578125" style="22" bestFit="1" customWidth="1"/>
    <col min="15" max="15" width="12.140625" style="22" customWidth="1"/>
    <col min="16" max="16" width="1.28515625" style="22" customWidth="1"/>
    <col min="17" max="17" width="11.7109375" style="22" customWidth="1"/>
    <col min="18" max="18" width="10.28515625" style="22" customWidth="1"/>
    <col min="19" max="19" width="1.28515625" style="22" customWidth="1"/>
    <col min="20" max="20" width="16.28515625" style="22" customWidth="1"/>
    <col min="21" max="21" width="7.42578125" style="22" customWidth="1"/>
    <col min="22" max="22" width="9.42578125" style="22" customWidth="1"/>
    <col min="23" max="23" width="8" style="22" customWidth="1"/>
    <col min="24" max="24" width="1.5703125" style="22" customWidth="1"/>
    <col min="25" max="25" width="13.85546875" style="22" customWidth="1"/>
    <col min="26" max="26" width="1.7109375" style="22" customWidth="1"/>
    <col min="27" max="27" width="14.5703125" style="22"/>
    <col min="28" max="28" width="1.7109375" style="22" customWidth="1"/>
    <col min="29" max="16384" width="14.5703125" style="22"/>
  </cols>
  <sheetData>
    <row r="1" spans="1:27" ht="22.5" customHeight="1" x14ac:dyDescent="0.25">
      <c r="A1" s="16" t="s">
        <v>404</v>
      </c>
      <c r="C1" s="16" t="s">
        <v>1002</v>
      </c>
      <c r="E1" s="16" t="s">
        <v>42</v>
      </c>
      <c r="G1" s="16" t="s">
        <v>12</v>
      </c>
      <c r="I1" s="20" t="s">
        <v>39</v>
      </c>
      <c r="K1" s="16" t="s">
        <v>64</v>
      </c>
      <c r="M1" s="16" t="s">
        <v>1065</v>
      </c>
      <c r="N1" s="16" t="s">
        <v>703</v>
      </c>
      <c r="O1" s="16" t="s">
        <v>830</v>
      </c>
      <c r="Q1" s="16" t="s">
        <v>58</v>
      </c>
      <c r="R1" s="23" t="s">
        <v>66</v>
      </c>
      <c r="T1" s="16" t="s">
        <v>67</v>
      </c>
      <c r="U1" s="16" t="s">
        <v>68</v>
      </c>
      <c r="V1" s="16" t="s">
        <v>69</v>
      </c>
      <c r="W1" s="16" t="s">
        <v>820</v>
      </c>
      <c r="Y1" s="16" t="s">
        <v>70</v>
      </c>
      <c r="AA1" s="16" t="s">
        <v>71</v>
      </c>
    </row>
    <row r="2" spans="1:27" x14ac:dyDescent="0.25">
      <c r="A2" s="17" t="s">
        <v>684</v>
      </c>
      <c r="C2" s="21" t="s">
        <v>705</v>
      </c>
      <c r="E2" s="17" t="s">
        <v>417</v>
      </c>
      <c r="G2" s="17" t="s">
        <v>14</v>
      </c>
      <c r="I2" s="21" t="s">
        <v>421</v>
      </c>
      <c r="K2" s="21" t="s">
        <v>429</v>
      </c>
      <c r="M2" s="24" t="s">
        <v>979</v>
      </c>
      <c r="N2" s="27" t="s">
        <v>812</v>
      </c>
      <c r="O2" s="59" t="s">
        <v>1078</v>
      </c>
      <c r="Q2" s="142" t="str">
        <f>"JAN/" &amp; $R$2</f>
        <v>JAN/2017</v>
      </c>
      <c r="R2" s="26">
        <v>2017</v>
      </c>
      <c r="T2" s="18" t="s">
        <v>258</v>
      </c>
      <c r="U2" s="18" t="s">
        <v>72</v>
      </c>
      <c r="V2" s="18" t="s">
        <v>813</v>
      </c>
      <c r="W2" s="57" t="s">
        <v>821</v>
      </c>
      <c r="Y2" s="142" t="str">
        <f>"DEZ/" &amp; $R$2</f>
        <v>DEZ/2017</v>
      </c>
      <c r="AA2" s="25" t="s">
        <v>73</v>
      </c>
    </row>
    <row r="3" spans="1:27" x14ac:dyDescent="0.25">
      <c r="A3" s="17" t="s">
        <v>690</v>
      </c>
      <c r="C3" s="17" t="s">
        <v>706</v>
      </c>
      <c r="E3" s="17" t="s">
        <v>826</v>
      </c>
      <c r="G3" s="17" t="s">
        <v>419</v>
      </c>
      <c r="I3" s="17" t="s">
        <v>422</v>
      </c>
      <c r="K3" s="17" t="s">
        <v>14</v>
      </c>
      <c r="M3" s="27" t="s">
        <v>1023</v>
      </c>
      <c r="N3" s="27" t="s">
        <v>704</v>
      </c>
      <c r="O3" s="59" t="s">
        <v>832</v>
      </c>
      <c r="Q3" s="142" t="str">
        <f>"FEV/" &amp; $R$2</f>
        <v>FEV/2017</v>
      </c>
      <c r="T3" s="19" t="s">
        <v>259</v>
      </c>
      <c r="U3" s="19" t="s">
        <v>273</v>
      </c>
      <c r="V3" s="19" t="s">
        <v>276</v>
      </c>
      <c r="W3" s="58" t="s">
        <v>824</v>
      </c>
      <c r="Y3" s="142" t="str">
        <f>"NOV/" &amp; $R$2</f>
        <v>NOV/2017</v>
      </c>
      <c r="AA3" s="25" t="s">
        <v>75</v>
      </c>
    </row>
    <row r="4" spans="1:27" x14ac:dyDescent="0.25">
      <c r="A4" s="17" t="s">
        <v>691</v>
      </c>
      <c r="C4" s="17" t="s">
        <v>709</v>
      </c>
      <c r="E4" s="17" t="s">
        <v>969</v>
      </c>
      <c r="G4" s="17" t="s">
        <v>27</v>
      </c>
      <c r="I4" s="17" t="s">
        <v>423</v>
      </c>
      <c r="K4" s="17" t="s">
        <v>428</v>
      </c>
      <c r="M4" s="27" t="s">
        <v>980</v>
      </c>
      <c r="N4" s="27" t="s">
        <v>1063</v>
      </c>
      <c r="O4" s="59" t="s">
        <v>1064</v>
      </c>
      <c r="Q4" s="142" t="str">
        <f>"MAR/" &amp; $R$2</f>
        <v>MAR/2017</v>
      </c>
      <c r="T4" s="19" t="s">
        <v>260</v>
      </c>
      <c r="U4" s="19" t="s">
        <v>261</v>
      </c>
      <c r="V4" s="19" t="s">
        <v>814</v>
      </c>
      <c r="W4" s="58" t="s">
        <v>822</v>
      </c>
      <c r="Y4" s="142" t="str">
        <f>"OUT/" &amp; $R$2</f>
        <v>OUT/2017</v>
      </c>
      <c r="AA4" s="142" t="str">
        <f>"DEZ/" &amp; $R$2 +1</f>
        <v>DEZ/2018</v>
      </c>
    </row>
    <row r="5" spans="1:27" x14ac:dyDescent="0.25">
      <c r="A5" s="17" t="s">
        <v>692</v>
      </c>
      <c r="C5" s="17" t="s">
        <v>711</v>
      </c>
      <c r="E5" s="17" t="s">
        <v>877</v>
      </c>
      <c r="G5" s="17" t="s">
        <v>28</v>
      </c>
      <c r="I5" s="17" t="s">
        <v>40</v>
      </c>
      <c r="K5" s="17" t="s">
        <v>427</v>
      </c>
      <c r="M5" s="27" t="s">
        <v>1071</v>
      </c>
      <c r="N5" s="27" t="s">
        <v>982</v>
      </c>
      <c r="O5" s="59" t="s">
        <v>1070</v>
      </c>
      <c r="Q5" s="142" t="str">
        <f>"ABR/" &amp; $R$2</f>
        <v>ABR/2017</v>
      </c>
      <c r="T5" s="19" t="s">
        <v>76</v>
      </c>
      <c r="U5" s="19" t="s">
        <v>77</v>
      </c>
      <c r="V5" s="19" t="s">
        <v>814</v>
      </c>
      <c r="W5" s="58" t="s">
        <v>823</v>
      </c>
      <c r="Y5" s="142" t="str">
        <f>"SET/" &amp; $R$2</f>
        <v>SET/2017</v>
      </c>
      <c r="AA5" s="142" t="str">
        <f>"NOV/" &amp; $R$2 +1</f>
        <v>NOV/2018</v>
      </c>
    </row>
    <row r="6" spans="1:27" x14ac:dyDescent="0.25">
      <c r="A6" s="17"/>
      <c r="C6" s="17" t="s">
        <v>713</v>
      </c>
      <c r="E6" s="17" t="s">
        <v>970</v>
      </c>
      <c r="G6" s="17" t="s">
        <v>20</v>
      </c>
      <c r="I6" s="17" t="s">
        <v>424</v>
      </c>
      <c r="K6" s="17" t="s">
        <v>426</v>
      </c>
      <c r="M6" s="27" t="s">
        <v>988</v>
      </c>
      <c r="N6" s="27" t="s">
        <v>812</v>
      </c>
      <c r="O6" s="59" t="s">
        <v>1078</v>
      </c>
      <c r="Q6" s="142" t="str">
        <f>"MAI/" &amp; $R$2</f>
        <v>MAI/2017</v>
      </c>
      <c r="T6" s="19" t="s">
        <v>262</v>
      </c>
      <c r="U6" s="19" t="s">
        <v>78</v>
      </c>
      <c r="V6" s="19" t="s">
        <v>79</v>
      </c>
      <c r="W6" s="58" t="s">
        <v>825</v>
      </c>
      <c r="Y6" s="142" t="str">
        <f>"AGO/" &amp; $R$2</f>
        <v>AGO/2017</v>
      </c>
      <c r="AA6" s="142" t="str">
        <f>"OUT/" &amp; $R$2 +1</f>
        <v>OUT/2018</v>
      </c>
    </row>
    <row r="7" spans="1:27" x14ac:dyDescent="0.25">
      <c r="A7" s="17"/>
      <c r="C7" s="17" t="s">
        <v>707</v>
      </c>
      <c r="E7" s="17" t="s">
        <v>418</v>
      </c>
      <c r="G7" s="17" t="s">
        <v>18</v>
      </c>
      <c r="I7" s="17" t="s">
        <v>425</v>
      </c>
      <c r="K7" s="17"/>
      <c r="M7" s="27" t="s">
        <v>981</v>
      </c>
      <c r="N7" s="27" t="s">
        <v>704</v>
      </c>
      <c r="O7" s="59" t="s">
        <v>832</v>
      </c>
      <c r="Q7" s="142" t="str">
        <f>"JUN/" &amp; $R$2</f>
        <v>JUN/2017</v>
      </c>
      <c r="T7" s="19" t="s">
        <v>282</v>
      </c>
      <c r="U7" s="19" t="s">
        <v>35</v>
      </c>
      <c r="V7" s="19" t="s">
        <v>941</v>
      </c>
      <c r="W7" s="58" t="s">
        <v>282</v>
      </c>
      <c r="Y7" s="142" t="str">
        <f>"JUL/" &amp; $R$2</f>
        <v>JUL/2017</v>
      </c>
      <c r="AA7" s="142" t="str">
        <f>"SET/" &amp; $R$2 +1</f>
        <v>SET/2018</v>
      </c>
    </row>
    <row r="8" spans="1:27" x14ac:dyDescent="0.25">
      <c r="A8" s="17"/>
      <c r="C8" s="17" t="s">
        <v>714</v>
      </c>
      <c r="E8" s="17" t="s">
        <v>827</v>
      </c>
      <c r="G8" s="17" t="s">
        <v>16</v>
      </c>
      <c r="I8" s="17"/>
      <c r="K8" s="17"/>
      <c r="M8" s="27" t="s">
        <v>982</v>
      </c>
      <c r="N8" s="27" t="s">
        <v>982</v>
      </c>
      <c r="O8" s="59" t="s">
        <v>831</v>
      </c>
      <c r="Q8" s="142" t="str">
        <f>"JUL/" &amp; $R$2</f>
        <v>JUL/2017</v>
      </c>
      <c r="T8" s="19"/>
      <c r="U8" s="19"/>
      <c r="V8" s="19"/>
      <c r="W8" s="58"/>
      <c r="Y8" s="142" t="str">
        <f>"JUN/" &amp; $R$2</f>
        <v>JUN/2017</v>
      </c>
      <c r="AA8" s="142" t="str">
        <f>"AGO/" &amp; $R$2 +1</f>
        <v>AGO/2018</v>
      </c>
    </row>
    <row r="9" spans="1:27" x14ac:dyDescent="0.25">
      <c r="A9" s="17"/>
      <c r="C9" s="17" t="s">
        <v>708</v>
      </c>
      <c r="E9" s="17" t="s">
        <v>828</v>
      </c>
      <c r="G9" s="17" t="s">
        <v>420</v>
      </c>
      <c r="I9" s="17"/>
      <c r="K9" s="17"/>
      <c r="M9" s="27" t="s">
        <v>983</v>
      </c>
      <c r="N9" s="27" t="s">
        <v>704</v>
      </c>
      <c r="O9" s="59" t="s">
        <v>832</v>
      </c>
      <c r="Q9" s="142" t="str">
        <f>"AGO/" &amp; $R$2</f>
        <v>AGO/2017</v>
      </c>
      <c r="T9" s="19"/>
      <c r="U9" s="19"/>
      <c r="V9" s="19"/>
      <c r="W9" s="58"/>
      <c r="Y9" s="142" t="str">
        <f>"MAI/" &amp; $R$2</f>
        <v>MAI/2017</v>
      </c>
      <c r="AA9" s="142" t="str">
        <f>"JUL/" &amp; $R$2 +1</f>
        <v>JUL/2018</v>
      </c>
    </row>
    <row r="10" spans="1:27" x14ac:dyDescent="0.25">
      <c r="A10" s="17"/>
      <c r="C10" s="17" t="s">
        <v>710</v>
      </c>
      <c r="E10" s="17" t="s">
        <v>829</v>
      </c>
      <c r="G10" s="17" t="s">
        <v>954</v>
      </c>
      <c r="I10" s="17"/>
      <c r="K10" s="17"/>
      <c r="M10" s="27" t="s">
        <v>989</v>
      </c>
      <c r="N10" s="27" t="s">
        <v>1050</v>
      </c>
      <c r="O10" s="59" t="s">
        <v>1060</v>
      </c>
      <c r="Q10" s="142" t="str">
        <f>"SET/" &amp; $R$2</f>
        <v>SET/2017</v>
      </c>
      <c r="Y10" s="142" t="str">
        <f>"ABR/" &amp; $R$2</f>
        <v>ABR/2017</v>
      </c>
      <c r="AA10" s="142" t="str">
        <f>"JUN/" &amp; $R$2 +1</f>
        <v>JUN/2018</v>
      </c>
    </row>
    <row r="11" spans="1:27" x14ac:dyDescent="0.25">
      <c r="C11" s="17" t="s">
        <v>1059</v>
      </c>
      <c r="E11" s="17"/>
      <c r="G11" s="17" t="s">
        <v>955</v>
      </c>
      <c r="I11" s="17"/>
      <c r="M11" s="27" t="s">
        <v>984</v>
      </c>
      <c r="N11" s="27" t="s">
        <v>812</v>
      </c>
      <c r="O11" s="59" t="s">
        <v>1078</v>
      </c>
      <c r="Q11" s="142" t="str">
        <f>"OUT/" &amp; $R$2</f>
        <v>OUT/2017</v>
      </c>
      <c r="Y11" s="142" t="str">
        <f>"MAR/" &amp; $R$2</f>
        <v>MAR/2017</v>
      </c>
      <c r="AA11" s="142" t="str">
        <f>"MAI/" &amp; $R$2 +1</f>
        <v>MAI/2018</v>
      </c>
    </row>
    <row r="12" spans="1:27" x14ac:dyDescent="0.25">
      <c r="C12" s="17" t="s">
        <v>712</v>
      </c>
      <c r="E12" s="17"/>
      <c r="G12" s="17" t="s">
        <v>960</v>
      </c>
      <c r="I12" s="17"/>
      <c r="M12" s="27" t="s">
        <v>985</v>
      </c>
      <c r="N12" s="27" t="s">
        <v>812</v>
      </c>
      <c r="O12" s="59" t="s">
        <v>1078</v>
      </c>
      <c r="Q12" s="142" t="str">
        <f>"NOV/" &amp; $R$2</f>
        <v>NOV/2017</v>
      </c>
      <c r="Y12" s="142" t="str">
        <f>"FEV/" &amp; $R$2</f>
        <v>FEV/2017</v>
      </c>
      <c r="AA12" s="142" t="str">
        <f>"ABR/" &amp; $R$2 +1</f>
        <v>ABR/2018</v>
      </c>
    </row>
    <row r="13" spans="1:27" x14ac:dyDescent="0.25">
      <c r="C13" s="17" t="s">
        <v>715</v>
      </c>
      <c r="E13" s="17"/>
      <c r="G13" s="17" t="s">
        <v>22</v>
      </c>
      <c r="I13" s="17"/>
      <c r="M13" s="27" t="s">
        <v>986</v>
      </c>
      <c r="N13" s="27" t="s">
        <v>1050</v>
      </c>
      <c r="O13" s="59" t="s">
        <v>1060</v>
      </c>
      <c r="Q13" s="142" t="str">
        <f>"DEZ/" &amp; $R$2</f>
        <v>DEZ/2017</v>
      </c>
      <c r="Y13" s="142" t="str">
        <f>"JAN/" &amp; $R$2</f>
        <v>JAN/2017</v>
      </c>
      <c r="AA13" s="142" t="str">
        <f>"MAR/" &amp; $R$2 +1</f>
        <v>MAR/2018</v>
      </c>
    </row>
    <row r="14" spans="1:27" x14ac:dyDescent="0.25">
      <c r="C14" s="17" t="s">
        <v>1058</v>
      </c>
      <c r="E14" s="17"/>
      <c r="G14" s="17"/>
      <c r="I14" s="17"/>
      <c r="M14" s="27" t="s">
        <v>990</v>
      </c>
      <c r="N14" s="27" t="s">
        <v>1050</v>
      </c>
      <c r="O14" s="59" t="s">
        <v>1060</v>
      </c>
      <c r="Q14" s="142">
        <f>$R$2 + 1</f>
        <v>2018</v>
      </c>
      <c r="Y14" s="142" t="str">
        <f>"DEZ/" &amp; $R$2 -1</f>
        <v>DEZ/2016</v>
      </c>
      <c r="AA14" s="142" t="str">
        <f>"FEV/" &amp; $R$2 +1</f>
        <v>FEV/2018</v>
      </c>
    </row>
    <row r="15" spans="1:27" x14ac:dyDescent="0.25">
      <c r="C15" s="17" t="s">
        <v>424</v>
      </c>
      <c r="E15" s="17"/>
      <c r="G15" s="17"/>
      <c r="I15" s="17"/>
      <c r="M15" s="27" t="s">
        <v>991</v>
      </c>
      <c r="N15" s="27" t="s">
        <v>704</v>
      </c>
      <c r="O15" s="59" t="s">
        <v>832</v>
      </c>
      <c r="Q15" s="143" t="s">
        <v>80</v>
      </c>
      <c r="Y15" s="142" t="str">
        <f>"NOV/" &amp; $R$2-1</f>
        <v>NOV/2016</v>
      </c>
      <c r="AA15" s="142" t="str">
        <f>"JAN/" &amp; $R$2 +1</f>
        <v>JAN/2018</v>
      </c>
    </row>
    <row r="16" spans="1:27" x14ac:dyDescent="0.25">
      <c r="C16" s="17"/>
      <c r="E16" s="17"/>
      <c r="G16" s="17"/>
      <c r="I16" s="17"/>
      <c r="M16" s="27" t="s">
        <v>1051</v>
      </c>
      <c r="N16" s="27" t="s">
        <v>982</v>
      </c>
      <c r="O16" s="59" t="s">
        <v>1070</v>
      </c>
      <c r="Q16" s="143"/>
      <c r="Y16" s="142" t="str">
        <f>"OUT/" &amp; $R$2-1</f>
        <v>OUT/2016</v>
      </c>
      <c r="AA16" s="142" t="str">
        <f>"DEZ/" &amp; $R$2</f>
        <v>DEZ/2017</v>
      </c>
    </row>
    <row r="17" spans="3:27" x14ac:dyDescent="0.25">
      <c r="C17" s="17"/>
      <c r="E17" s="17"/>
      <c r="G17" s="17"/>
      <c r="I17" s="17"/>
      <c r="M17" s="27" t="s">
        <v>1024</v>
      </c>
      <c r="N17" s="27" t="s">
        <v>812</v>
      </c>
      <c r="O17" s="59" t="s">
        <v>1078</v>
      </c>
      <c r="Q17" s="143"/>
      <c r="Y17" s="142" t="str">
        <f>"SET/" &amp; $R$2-1</f>
        <v>SET/2016</v>
      </c>
      <c r="AA17" s="142" t="str">
        <f>"NOV/" &amp; $R$2</f>
        <v>NOV/2017</v>
      </c>
    </row>
    <row r="18" spans="3:27" x14ac:dyDescent="0.25">
      <c r="C18" s="17"/>
      <c r="E18" s="17"/>
      <c r="G18" s="17"/>
      <c r="I18" s="17"/>
      <c r="M18" s="27" t="s">
        <v>992</v>
      </c>
      <c r="N18" s="27" t="s">
        <v>1050</v>
      </c>
      <c r="O18" s="59" t="s">
        <v>1060</v>
      </c>
      <c r="Y18" s="142" t="str">
        <f>"AGO/" &amp; $R$2-1</f>
        <v>AGO/2016</v>
      </c>
      <c r="AA18" s="142" t="str">
        <f>"OUT/" &amp; $R$2</f>
        <v>OUT/2017</v>
      </c>
    </row>
    <row r="19" spans="3:27" x14ac:dyDescent="0.25">
      <c r="C19" s="17"/>
      <c r="E19" s="17"/>
      <c r="G19" s="17"/>
      <c r="I19" s="17"/>
      <c r="M19" s="27" t="s">
        <v>993</v>
      </c>
      <c r="N19" s="27" t="s">
        <v>1061</v>
      </c>
      <c r="O19" s="59" t="s">
        <v>1062</v>
      </c>
      <c r="Q19" s="30" t="s">
        <v>454</v>
      </c>
      <c r="Y19" s="142" t="str">
        <f>"JUL/" &amp; $R$2-1</f>
        <v>JUL/2016</v>
      </c>
      <c r="AA19" s="142" t="str">
        <f>"SET/" &amp; $R$2</f>
        <v>SET/2017</v>
      </c>
    </row>
    <row r="20" spans="3:27" x14ac:dyDescent="0.25">
      <c r="C20" s="17"/>
      <c r="E20" s="17"/>
      <c r="G20" s="17"/>
      <c r="I20" s="17"/>
      <c r="M20" s="27" t="s">
        <v>987</v>
      </c>
      <c r="N20" s="27" t="s">
        <v>982</v>
      </c>
      <c r="O20" s="59" t="s">
        <v>831</v>
      </c>
      <c r="Q20" s="30" t="s">
        <v>453</v>
      </c>
      <c r="Y20" s="142" t="str">
        <f>"JUN/" &amp; $R$2-1</f>
        <v>JUN/2016</v>
      </c>
      <c r="AA20" s="142" t="str">
        <f>"AGO/" &amp; $R$2</f>
        <v>AGO/2017</v>
      </c>
    </row>
    <row r="21" spans="3:27" x14ac:dyDescent="0.25">
      <c r="C21" s="17"/>
      <c r="E21" s="17"/>
      <c r="G21" s="17"/>
      <c r="M21" s="27" t="s">
        <v>1049</v>
      </c>
      <c r="N21" s="27" t="s">
        <v>812</v>
      </c>
      <c r="O21" s="59" t="s">
        <v>1078</v>
      </c>
      <c r="Q21" s="30" t="s">
        <v>455</v>
      </c>
      <c r="Y21" s="142" t="str">
        <f>"MAI/" &amp; $R$2-1</f>
        <v>MAI/2016</v>
      </c>
      <c r="AA21" s="142" t="str">
        <f>"JUL/" &amp; $R$2</f>
        <v>JUL/2017</v>
      </c>
    </row>
    <row r="22" spans="3:27" x14ac:dyDescent="0.25">
      <c r="C22" s="17"/>
      <c r="M22" s="27" t="s">
        <v>994</v>
      </c>
      <c r="N22" s="27" t="s">
        <v>1050</v>
      </c>
      <c r="O22" s="59" t="s">
        <v>1060</v>
      </c>
      <c r="Q22" s="30" t="s">
        <v>456</v>
      </c>
      <c r="Y22" s="142" t="str">
        <f>"ABR/" &amp; $R$2-1</f>
        <v>ABR/2016</v>
      </c>
      <c r="AA22" s="142" t="str">
        <f>"JUN/" &amp; $R$2</f>
        <v>JUN/2017</v>
      </c>
    </row>
    <row r="23" spans="3:27" x14ac:dyDescent="0.25">
      <c r="C23" s="17"/>
      <c r="M23" s="27" t="s">
        <v>1072</v>
      </c>
      <c r="N23" s="27" t="s">
        <v>982</v>
      </c>
      <c r="O23" s="59" t="s">
        <v>1070</v>
      </c>
      <c r="Q23" s="30"/>
      <c r="Y23" s="142" t="str">
        <f>"MAR/" &amp; $R$2-1</f>
        <v>MAR/2016</v>
      </c>
      <c r="AA23" s="142" t="str">
        <f>"MAI/" &amp; $R$2</f>
        <v>MAI/2017</v>
      </c>
    </row>
    <row r="24" spans="3:27" x14ac:dyDescent="0.25">
      <c r="M24" s="27" t="s">
        <v>1029</v>
      </c>
      <c r="N24" s="27" t="s">
        <v>812</v>
      </c>
      <c r="O24" s="59" t="s">
        <v>1078</v>
      </c>
      <c r="Q24" s="30" t="s">
        <v>81</v>
      </c>
      <c r="Y24" s="142" t="str">
        <f>"FEV/" &amp; $R$2-1</f>
        <v>FEV/2016</v>
      </c>
      <c r="AA24" s="142" t="str">
        <f>"ABR/" &amp; $R$2</f>
        <v>ABR/2017</v>
      </c>
    </row>
    <row r="25" spans="3:27" x14ac:dyDescent="0.25">
      <c r="M25" s="27"/>
      <c r="N25" s="27"/>
      <c r="O25" s="59"/>
      <c r="Y25" s="142" t="str">
        <f>"JAN/" &amp; $R$2-1</f>
        <v>JAN/2016</v>
      </c>
      <c r="AA25" s="142" t="str">
        <f>"MAR/" &amp; $R$2</f>
        <v>MAR/2017</v>
      </c>
    </row>
    <row r="26" spans="3:27" x14ac:dyDescent="0.25">
      <c r="M26" s="27"/>
      <c r="N26" s="27"/>
      <c r="O26" s="59"/>
      <c r="Y26" s="142" t="str">
        <f>"ANTERIOR A " &amp; $R$2-1</f>
        <v>ANTERIOR A 2016</v>
      </c>
      <c r="AA26" s="142" t="str">
        <f>"FEV/" &amp; $R$2</f>
        <v>FEV/2017</v>
      </c>
    </row>
    <row r="27" spans="3:27" x14ac:dyDescent="0.25">
      <c r="M27" s="27"/>
      <c r="N27" s="27"/>
      <c r="O27" s="59"/>
      <c r="Y27" s="25" t="s">
        <v>74</v>
      </c>
      <c r="AA27" s="142" t="str">
        <f>"JAN/" &amp; $R$2</f>
        <v>JAN/2017</v>
      </c>
    </row>
    <row r="28" spans="3:27" x14ac:dyDescent="0.25">
      <c r="Y28" s="25"/>
      <c r="AA28" s="25" t="s">
        <v>282</v>
      </c>
    </row>
  </sheetData>
  <sheetProtection algorithmName="SHA-512" hashValue="v9GuOsIPM92OkDJf6qNgNneIRuOZrhXoFXyxt8/qpp5m6l3D7HGGNvJxo+gOZ0rbBTyDIXkFjca+dxiQJT9Vgw==" saltValue="NO5xoqwPsAjJ87n8ESSYuw==" spinCount="100000" sheet="1" objects="1" scenarios="1"/>
  <autoFilter ref="M1:O24"/>
  <sortState ref="M3:O24">
    <sortCondition ref="M2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W_GO">
    <tabColor rgb="FFFFC000"/>
  </sheetPr>
  <dimension ref="A1:V11"/>
  <sheetViews>
    <sheetView zoomScale="78" zoomScaleNormal="78" workbookViewId="0">
      <pane ySplit="1" topLeftCell="A2" activePane="bottomLeft" state="frozen"/>
      <selection pane="bottomLeft" activeCell="P9" sqref="P9"/>
    </sheetView>
  </sheetViews>
  <sheetFormatPr defaultColWidth="0" defaultRowHeight="11.25" x14ac:dyDescent="0.25"/>
  <cols>
    <col min="1" max="1" width="4.5703125" style="319" customWidth="1"/>
    <col min="2" max="2" width="10" style="319" customWidth="1"/>
    <col min="3" max="3" width="15" style="319" customWidth="1"/>
    <col min="4" max="4" width="14.140625" style="319" customWidth="1"/>
    <col min="5" max="5" width="12.85546875" style="319" customWidth="1"/>
    <col min="6" max="6" width="7.140625" style="319" customWidth="1"/>
    <col min="7" max="7" width="11.140625" style="319" customWidth="1"/>
    <col min="8" max="8" width="11.42578125" style="319" customWidth="1"/>
    <col min="9" max="9" width="17.85546875" style="319" customWidth="1"/>
    <col min="10" max="10" width="15.28515625" style="319" customWidth="1"/>
    <col min="11" max="11" width="16.5703125" style="319" customWidth="1"/>
    <col min="12" max="12" width="12.5703125" style="95" customWidth="1"/>
    <col min="13" max="13" width="15" style="320" customWidth="1"/>
    <col min="14" max="14" width="9.7109375" style="321" customWidth="1"/>
    <col min="15" max="15" width="7.28515625" style="322" customWidth="1"/>
    <col min="16" max="16" width="12.85546875" style="323" customWidth="1"/>
    <col min="17" max="17" width="11.7109375" style="325" customWidth="1"/>
    <col min="18" max="18" width="9.42578125" style="323" customWidth="1"/>
    <col min="19" max="20" width="8.42578125" style="95" hidden="1" customWidth="1"/>
    <col min="21" max="21" width="9.140625" style="320" hidden="1" customWidth="1"/>
    <col min="22" max="22" width="3.140625" style="319" customWidth="1"/>
    <col min="23" max="16384" width="9.140625" style="319" hidden="1"/>
  </cols>
  <sheetData>
    <row r="1" spans="1:21" x14ac:dyDescent="0.25">
      <c r="A1" s="318">
        <f>COUNTA(C:C) -1</f>
        <v>4</v>
      </c>
      <c r="B1" s="97" t="s">
        <v>944</v>
      </c>
      <c r="C1" s="98" t="s">
        <v>240</v>
      </c>
      <c r="D1" s="98" t="s">
        <v>12</v>
      </c>
      <c r="E1" s="99" t="s">
        <v>716</v>
      </c>
      <c r="F1" s="98" t="s">
        <v>241</v>
      </c>
      <c r="G1" s="100" t="s">
        <v>847</v>
      </c>
      <c r="H1" s="98" t="s">
        <v>450</v>
      </c>
      <c r="I1" s="98" t="s">
        <v>242</v>
      </c>
      <c r="J1" s="98" t="s">
        <v>216</v>
      </c>
      <c r="K1" s="98" t="s">
        <v>55</v>
      </c>
      <c r="L1" s="98" t="s">
        <v>59</v>
      </c>
      <c r="M1" s="101" t="s">
        <v>217</v>
      </c>
      <c r="N1" s="102" t="s">
        <v>227</v>
      </c>
      <c r="O1" s="103" t="s">
        <v>882</v>
      </c>
      <c r="P1" s="94" t="s">
        <v>263</v>
      </c>
      <c r="Q1" s="94" t="s">
        <v>65</v>
      </c>
      <c r="R1" s="94" t="s">
        <v>659</v>
      </c>
      <c r="S1" s="98"/>
      <c r="T1" s="98"/>
      <c r="U1" s="101"/>
    </row>
    <row r="2" spans="1:21" x14ac:dyDescent="0.25">
      <c r="B2" s="319" t="s">
        <v>1102</v>
      </c>
      <c r="C2" s="319" t="s">
        <v>1058</v>
      </c>
      <c r="D2" s="319" t="s">
        <v>16</v>
      </c>
      <c r="E2" s="319" t="s">
        <v>1098</v>
      </c>
      <c r="F2" s="319" t="s">
        <v>691</v>
      </c>
      <c r="G2" s="319" t="s">
        <v>1090</v>
      </c>
      <c r="H2" s="319" t="s">
        <v>1091</v>
      </c>
      <c r="I2" s="319" t="s">
        <v>1092</v>
      </c>
      <c r="J2" s="319" t="s">
        <v>864</v>
      </c>
      <c r="K2" s="319" t="s">
        <v>638</v>
      </c>
      <c r="L2" s="95" t="s">
        <v>1104</v>
      </c>
      <c r="M2" s="320">
        <v>2688.63</v>
      </c>
      <c r="N2" s="321">
        <v>30.38</v>
      </c>
      <c r="O2" s="322" t="s">
        <v>831</v>
      </c>
      <c r="P2" s="323" t="s">
        <v>982</v>
      </c>
      <c r="Q2" s="324" t="s">
        <v>62</v>
      </c>
      <c r="R2" s="323" t="s">
        <v>1103</v>
      </c>
    </row>
    <row r="3" spans="1:21" x14ac:dyDescent="0.25">
      <c r="B3" s="319" t="s">
        <v>1102</v>
      </c>
      <c r="C3" s="319" t="s">
        <v>1058</v>
      </c>
      <c r="D3" s="319" t="s">
        <v>16</v>
      </c>
      <c r="E3" s="319" t="s">
        <v>1098</v>
      </c>
      <c r="F3" s="319" t="s">
        <v>691</v>
      </c>
      <c r="G3" s="319" t="s">
        <v>1090</v>
      </c>
      <c r="H3" s="319" t="s">
        <v>1091</v>
      </c>
      <c r="I3" s="319" t="s">
        <v>1092</v>
      </c>
      <c r="J3" s="319" t="s">
        <v>864</v>
      </c>
      <c r="K3" s="319" t="s">
        <v>322</v>
      </c>
      <c r="L3" s="95" t="s">
        <v>1109</v>
      </c>
      <c r="M3" s="320">
        <v>4032.95</v>
      </c>
      <c r="N3" s="321">
        <v>45.57</v>
      </c>
      <c r="O3" s="322" t="s">
        <v>831</v>
      </c>
      <c r="P3" s="323" t="s">
        <v>982</v>
      </c>
      <c r="Q3" s="325" t="s">
        <v>62</v>
      </c>
      <c r="R3" s="323" t="s">
        <v>1103</v>
      </c>
    </row>
    <row r="4" spans="1:21" x14ac:dyDescent="0.25">
      <c r="B4" s="319" t="s">
        <v>1102</v>
      </c>
      <c r="C4" s="319" t="s">
        <v>1058</v>
      </c>
      <c r="D4" s="319" t="s">
        <v>16</v>
      </c>
      <c r="E4" s="319" t="s">
        <v>1098</v>
      </c>
      <c r="F4" s="319" t="s">
        <v>691</v>
      </c>
      <c r="G4" s="319" t="s">
        <v>1090</v>
      </c>
      <c r="H4" s="319" t="s">
        <v>1091</v>
      </c>
      <c r="I4" s="319" t="s">
        <v>1092</v>
      </c>
      <c r="J4" s="319" t="s">
        <v>864</v>
      </c>
      <c r="K4" s="319" t="s">
        <v>792</v>
      </c>
      <c r="L4" s="95" t="s">
        <v>1110</v>
      </c>
      <c r="M4" s="320">
        <v>4032.95</v>
      </c>
      <c r="N4" s="321">
        <v>45.57</v>
      </c>
      <c r="O4" s="322" t="s">
        <v>831</v>
      </c>
      <c r="P4" s="323" t="s">
        <v>982</v>
      </c>
      <c r="Q4" s="325" t="s">
        <v>62</v>
      </c>
      <c r="R4" s="323" t="s">
        <v>1103</v>
      </c>
    </row>
    <row r="5" spans="1:21" x14ac:dyDescent="0.25">
      <c r="B5" s="319" t="s">
        <v>1102</v>
      </c>
      <c r="C5" s="319" t="s">
        <v>1058</v>
      </c>
      <c r="D5" s="319" t="s">
        <v>16</v>
      </c>
      <c r="E5" s="319" t="s">
        <v>1098</v>
      </c>
      <c r="F5" s="319" t="s">
        <v>691</v>
      </c>
      <c r="G5" s="319" t="s">
        <v>1090</v>
      </c>
      <c r="H5" s="319" t="s">
        <v>1091</v>
      </c>
      <c r="I5" s="319" t="s">
        <v>1092</v>
      </c>
      <c r="J5" s="319" t="s">
        <v>864</v>
      </c>
      <c r="K5" s="319" t="s">
        <v>502</v>
      </c>
      <c r="L5" s="95" t="s">
        <v>1111</v>
      </c>
      <c r="M5" s="320">
        <v>4032.95</v>
      </c>
      <c r="N5" s="321">
        <v>45.57</v>
      </c>
      <c r="O5" s="322" t="s">
        <v>831</v>
      </c>
      <c r="P5" s="323" t="s">
        <v>982</v>
      </c>
      <c r="Q5" s="324" t="s">
        <v>62</v>
      </c>
      <c r="R5" s="323" t="s">
        <v>1103</v>
      </c>
    </row>
    <row r="6" spans="1:21" x14ac:dyDescent="0.25">
      <c r="Q6" s="324"/>
    </row>
    <row r="7" spans="1:21" x14ac:dyDescent="0.25">
      <c r="Q7" s="324"/>
    </row>
    <row r="8" spans="1:21" x14ac:dyDescent="0.25">
      <c r="Q8" s="324"/>
    </row>
    <row r="9" spans="1:21" x14ac:dyDescent="0.25">
      <c r="Q9" s="324"/>
    </row>
    <row r="10" spans="1:21" x14ac:dyDescent="0.25">
      <c r="Q10" s="324"/>
    </row>
    <row r="11" spans="1:21" x14ac:dyDescent="0.25">
      <c r="Q11" s="324"/>
    </row>
  </sheetData>
  <sheetProtection algorithmName="SHA-512" hashValue="tQEFB5+2z1C8euVT1nryvofS+IyGHSujezAV+A8Bj5YjREzl3dUQKqEetRIGIi1Wl6Ee6C3XJE6g/3efJC6axw==" saltValue="8UKFSo7tflZCWA/C1htOfQ==" spinCount="100000" sheet="1" objects="1" scenarios="1"/>
  <dataValidations count="1">
    <dataValidation allowBlank="1" showInputMessage="1" showErrorMessage="1" prompt="Count do Número de Linhas preenchidos, desconsiderando linha de cabeçalho" sqref="A1"/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W_RC">
    <tabColor rgb="FFFFC000"/>
  </sheetPr>
  <dimension ref="A1:W13"/>
  <sheetViews>
    <sheetView zoomScale="80" zoomScaleNormal="80" workbookViewId="0">
      <pane ySplit="1" topLeftCell="A2" activePane="bottomLeft" state="frozen"/>
      <selection pane="bottomLeft" activeCell="H25" sqref="H25"/>
    </sheetView>
  </sheetViews>
  <sheetFormatPr defaultColWidth="0" defaultRowHeight="11.25" x14ac:dyDescent="0.2"/>
  <cols>
    <col min="1" max="1" width="5.5703125" style="43" customWidth="1"/>
    <col min="2" max="2" width="12" style="44" customWidth="1"/>
    <col min="3" max="3" width="14.28515625" style="44" customWidth="1"/>
    <col min="4" max="4" width="11.28515625" style="44" bestFit="1" customWidth="1"/>
    <col min="5" max="5" width="11" style="44" bestFit="1" customWidth="1"/>
    <col min="6" max="6" width="15.7109375" style="44" bestFit="1" customWidth="1"/>
    <col min="7" max="7" width="11.7109375" style="44" customWidth="1"/>
    <col min="8" max="8" width="10.42578125" style="91" customWidth="1"/>
    <col min="9" max="9" width="13.42578125" style="44" customWidth="1"/>
    <col min="10" max="10" width="5.140625" style="44" bestFit="1" customWidth="1"/>
    <col min="11" max="11" width="7.28515625" style="44" customWidth="1"/>
    <col min="12" max="12" width="12.5703125" style="43" customWidth="1"/>
    <col min="13" max="13" width="16.85546875" style="43" customWidth="1"/>
    <col min="14" max="14" width="11.7109375" style="43" customWidth="1"/>
    <col min="15" max="15" width="9.140625" style="45" customWidth="1"/>
    <col min="16" max="17" width="9.140625" style="46" customWidth="1"/>
    <col min="18" max="18" width="9" style="43" customWidth="1"/>
    <col min="19" max="19" width="9.140625" style="46" customWidth="1"/>
    <col min="20" max="20" width="5" style="47" customWidth="1"/>
    <col min="21" max="21" width="10.42578125" style="43" customWidth="1"/>
    <col min="22" max="22" width="12.7109375" style="43" bestFit="1" customWidth="1"/>
    <col min="23" max="23" width="0" style="43" hidden="1" customWidth="1"/>
    <col min="24" max="16384" width="9.140625" style="43" hidden="1"/>
  </cols>
  <sheetData>
    <row r="1" spans="1:22" ht="22.5" x14ac:dyDescent="0.2">
      <c r="A1" s="48">
        <f>COUNTA(B:B) -1</f>
        <v>12</v>
      </c>
      <c r="B1" s="49" t="s">
        <v>242</v>
      </c>
      <c r="C1" s="49" t="s">
        <v>661</v>
      </c>
      <c r="D1" s="49" t="s">
        <v>243</v>
      </c>
      <c r="E1" s="50" t="s">
        <v>53</v>
      </c>
      <c r="F1" s="50" t="s">
        <v>59</v>
      </c>
      <c r="G1" s="50" t="s">
        <v>54</v>
      </c>
      <c r="H1" s="90" t="s">
        <v>57</v>
      </c>
      <c r="I1" s="51" t="s">
        <v>220</v>
      </c>
      <c r="J1" s="51" t="s">
        <v>244</v>
      </c>
      <c r="K1" s="51" t="s">
        <v>245</v>
      </c>
      <c r="L1" s="52" t="s">
        <v>216</v>
      </c>
      <c r="M1" s="52" t="s">
        <v>226</v>
      </c>
      <c r="N1" s="52" t="s">
        <v>870</v>
      </c>
      <c r="O1" s="53" t="s">
        <v>227</v>
      </c>
      <c r="P1" s="54" t="s">
        <v>228</v>
      </c>
      <c r="Q1" s="54" t="s">
        <v>217</v>
      </c>
      <c r="R1" s="52" t="s">
        <v>246</v>
      </c>
      <c r="S1" s="54" t="s">
        <v>247</v>
      </c>
      <c r="T1" s="55" t="s">
        <v>229</v>
      </c>
      <c r="U1" s="52" t="s">
        <v>168</v>
      </c>
      <c r="V1" s="52" t="s">
        <v>408</v>
      </c>
    </row>
    <row r="2" spans="1:22" x14ac:dyDescent="0.2">
      <c r="B2" s="44" t="s">
        <v>1092</v>
      </c>
      <c r="C2" s="44" t="s">
        <v>1093</v>
      </c>
      <c r="D2" s="44" t="s">
        <v>1098</v>
      </c>
      <c r="E2" s="44" t="s">
        <v>1091</v>
      </c>
      <c r="F2" s="44" t="s">
        <v>1104</v>
      </c>
      <c r="G2" s="44" t="s">
        <v>60</v>
      </c>
      <c r="H2" s="91">
        <v>4600042486</v>
      </c>
      <c r="I2" s="44" t="s">
        <v>189</v>
      </c>
      <c r="J2" s="44" t="s">
        <v>190</v>
      </c>
      <c r="K2" s="44" t="s">
        <v>813</v>
      </c>
      <c r="L2" s="43" t="s">
        <v>864</v>
      </c>
      <c r="M2" s="43" t="s">
        <v>638</v>
      </c>
      <c r="O2" s="45">
        <v>30.38</v>
      </c>
      <c r="P2" s="46">
        <v>88.5</v>
      </c>
      <c r="Q2" s="46">
        <v>2688.63</v>
      </c>
      <c r="R2" s="43" t="s">
        <v>1105</v>
      </c>
      <c r="S2" s="46">
        <v>896.21</v>
      </c>
      <c r="T2" s="47">
        <v>33.333333333333329</v>
      </c>
      <c r="U2" s="43" t="s">
        <v>258</v>
      </c>
      <c r="V2" s="43" t="s">
        <v>1116</v>
      </c>
    </row>
    <row r="3" spans="1:22" x14ac:dyDescent="0.2">
      <c r="B3" s="44" t="s">
        <v>1092</v>
      </c>
      <c r="C3" s="44" t="s">
        <v>1093</v>
      </c>
      <c r="D3" s="44" t="s">
        <v>1098</v>
      </c>
      <c r="E3" s="44" t="s">
        <v>1091</v>
      </c>
      <c r="F3" s="44" t="s">
        <v>1104</v>
      </c>
      <c r="G3" s="44" t="s">
        <v>60</v>
      </c>
      <c r="H3" s="91">
        <v>4600042486</v>
      </c>
      <c r="I3" s="44" t="s">
        <v>189</v>
      </c>
      <c r="J3" s="44" t="s">
        <v>190</v>
      </c>
      <c r="K3" s="44" t="s">
        <v>813</v>
      </c>
      <c r="L3" s="43" t="s">
        <v>864</v>
      </c>
      <c r="M3" s="43" t="s">
        <v>638</v>
      </c>
      <c r="O3" s="45">
        <v>30.38</v>
      </c>
      <c r="P3" s="46">
        <v>88.5</v>
      </c>
      <c r="Q3" s="46">
        <v>2688.63</v>
      </c>
      <c r="R3" s="43" t="s">
        <v>1106</v>
      </c>
      <c r="S3" s="46">
        <v>896.21</v>
      </c>
      <c r="T3" s="47">
        <v>33.333333333333329</v>
      </c>
      <c r="U3" s="43" t="s">
        <v>258</v>
      </c>
      <c r="V3" s="43" t="s">
        <v>1116</v>
      </c>
    </row>
    <row r="4" spans="1:22" x14ac:dyDescent="0.2">
      <c r="B4" s="44" t="s">
        <v>1092</v>
      </c>
      <c r="C4" s="44" t="s">
        <v>1093</v>
      </c>
      <c r="D4" s="44" t="s">
        <v>1098</v>
      </c>
      <c r="E4" s="44" t="s">
        <v>1091</v>
      </c>
      <c r="F4" s="44" t="s">
        <v>1104</v>
      </c>
      <c r="G4" s="44" t="s">
        <v>60</v>
      </c>
      <c r="H4" s="91">
        <v>4600042486</v>
      </c>
      <c r="I4" s="44" t="s">
        <v>189</v>
      </c>
      <c r="J4" s="44" t="s">
        <v>190</v>
      </c>
      <c r="K4" s="44" t="s">
        <v>813</v>
      </c>
      <c r="L4" s="43" t="s">
        <v>864</v>
      </c>
      <c r="M4" s="43" t="s">
        <v>638</v>
      </c>
      <c r="O4" s="45">
        <v>30.38</v>
      </c>
      <c r="P4" s="46">
        <v>88.5</v>
      </c>
      <c r="Q4" s="46">
        <v>2688.63</v>
      </c>
      <c r="R4" s="43" t="s">
        <v>1107</v>
      </c>
      <c r="S4" s="46">
        <v>896.21</v>
      </c>
      <c r="T4" s="47">
        <v>33.333333333333329</v>
      </c>
      <c r="U4" s="43" t="s">
        <v>258</v>
      </c>
      <c r="V4" s="43" t="s">
        <v>1116</v>
      </c>
    </row>
    <row r="5" spans="1:22" x14ac:dyDescent="0.2">
      <c r="B5" s="44" t="s">
        <v>1092</v>
      </c>
      <c r="C5" s="44" t="s">
        <v>1093</v>
      </c>
      <c r="D5" s="44" t="s">
        <v>1098</v>
      </c>
      <c r="E5" s="44" t="s">
        <v>1091</v>
      </c>
      <c r="F5" s="44" t="s">
        <v>1109</v>
      </c>
      <c r="G5" s="44" t="s">
        <v>60</v>
      </c>
      <c r="H5" s="91">
        <v>4600042486</v>
      </c>
      <c r="I5" s="44" t="s">
        <v>189</v>
      </c>
      <c r="J5" s="44" t="s">
        <v>190</v>
      </c>
      <c r="K5" s="44" t="s">
        <v>814</v>
      </c>
      <c r="L5" s="43" t="s">
        <v>864</v>
      </c>
      <c r="M5" s="43" t="s">
        <v>322</v>
      </c>
      <c r="O5" s="45">
        <v>45.57</v>
      </c>
      <c r="P5" s="46">
        <v>88.5</v>
      </c>
      <c r="Q5" s="46">
        <v>4032.9450000000002</v>
      </c>
      <c r="R5" s="43" t="s">
        <v>1105</v>
      </c>
      <c r="S5" s="46">
        <v>1344.3150000000001</v>
      </c>
      <c r="T5" s="47">
        <v>33.333333333333329</v>
      </c>
      <c r="U5" s="43" t="s">
        <v>260</v>
      </c>
      <c r="V5" s="43" t="s">
        <v>1116</v>
      </c>
    </row>
    <row r="6" spans="1:22" x14ac:dyDescent="0.2">
      <c r="B6" s="44" t="s">
        <v>1092</v>
      </c>
      <c r="C6" s="44" t="s">
        <v>1093</v>
      </c>
      <c r="D6" s="44" t="s">
        <v>1098</v>
      </c>
      <c r="E6" s="44" t="s">
        <v>1091</v>
      </c>
      <c r="F6" s="44" t="s">
        <v>1109</v>
      </c>
      <c r="G6" s="44" t="s">
        <v>60</v>
      </c>
      <c r="H6" s="91">
        <v>4600042486</v>
      </c>
      <c r="I6" s="44" t="s">
        <v>189</v>
      </c>
      <c r="J6" s="44" t="s">
        <v>190</v>
      </c>
      <c r="K6" s="44" t="s">
        <v>814</v>
      </c>
      <c r="L6" s="43" t="s">
        <v>864</v>
      </c>
      <c r="M6" s="43" t="s">
        <v>322</v>
      </c>
      <c r="O6" s="45">
        <v>45.57</v>
      </c>
      <c r="P6" s="46">
        <v>88.5</v>
      </c>
      <c r="Q6" s="46">
        <v>4032.9450000000002</v>
      </c>
      <c r="R6" s="43" t="s">
        <v>1106</v>
      </c>
      <c r="S6" s="46">
        <v>1344.3150000000001</v>
      </c>
      <c r="T6" s="47">
        <v>33.333333333333329</v>
      </c>
      <c r="U6" s="43" t="s">
        <v>260</v>
      </c>
      <c r="V6" s="43" t="s">
        <v>1116</v>
      </c>
    </row>
    <row r="7" spans="1:22" x14ac:dyDescent="0.2">
      <c r="B7" s="44" t="s">
        <v>1092</v>
      </c>
      <c r="C7" s="44" t="s">
        <v>1093</v>
      </c>
      <c r="D7" s="44" t="s">
        <v>1098</v>
      </c>
      <c r="E7" s="44" t="s">
        <v>1091</v>
      </c>
      <c r="F7" s="44" t="s">
        <v>1109</v>
      </c>
      <c r="G7" s="44" t="s">
        <v>60</v>
      </c>
      <c r="H7" s="91">
        <v>4600042486</v>
      </c>
      <c r="I7" s="44" t="s">
        <v>189</v>
      </c>
      <c r="J7" s="44" t="s">
        <v>190</v>
      </c>
      <c r="K7" s="44" t="s">
        <v>814</v>
      </c>
      <c r="L7" s="43" t="s">
        <v>864</v>
      </c>
      <c r="M7" s="43" t="s">
        <v>322</v>
      </c>
      <c r="O7" s="45">
        <v>45.57</v>
      </c>
      <c r="P7" s="46">
        <v>88.5</v>
      </c>
      <c r="Q7" s="46">
        <v>4032.9450000000002</v>
      </c>
      <c r="R7" s="43" t="s">
        <v>1107</v>
      </c>
      <c r="S7" s="46">
        <v>1344.3150000000001</v>
      </c>
      <c r="T7" s="47">
        <v>33.333333333333329</v>
      </c>
      <c r="U7" s="43" t="s">
        <v>260</v>
      </c>
      <c r="V7" s="43" t="s">
        <v>1116</v>
      </c>
    </row>
    <row r="8" spans="1:22" x14ac:dyDescent="0.2">
      <c r="B8" s="44" t="s">
        <v>1092</v>
      </c>
      <c r="C8" s="44" t="s">
        <v>1093</v>
      </c>
      <c r="D8" s="44" t="s">
        <v>1098</v>
      </c>
      <c r="E8" s="44" t="s">
        <v>1091</v>
      </c>
      <c r="F8" s="44" t="s">
        <v>1110</v>
      </c>
      <c r="G8" s="44" t="s">
        <v>60</v>
      </c>
      <c r="H8" s="91">
        <v>4600042486</v>
      </c>
      <c r="I8" s="44" t="s">
        <v>189</v>
      </c>
      <c r="J8" s="44" t="s">
        <v>190</v>
      </c>
      <c r="K8" s="44" t="s">
        <v>813</v>
      </c>
      <c r="L8" s="43" t="s">
        <v>864</v>
      </c>
      <c r="M8" s="43" t="s">
        <v>792</v>
      </c>
      <c r="O8" s="45">
        <v>45.57</v>
      </c>
      <c r="P8" s="46">
        <v>88.5</v>
      </c>
      <c r="Q8" s="46">
        <v>4032.9450000000002</v>
      </c>
      <c r="R8" s="43" t="s">
        <v>1105</v>
      </c>
      <c r="S8" s="46">
        <v>1344.3150000000001</v>
      </c>
      <c r="T8" s="47">
        <v>33.333333333333329</v>
      </c>
      <c r="U8" s="43" t="s">
        <v>258</v>
      </c>
      <c r="V8" s="43" t="s">
        <v>1116</v>
      </c>
    </row>
    <row r="9" spans="1:22" x14ac:dyDescent="0.2">
      <c r="B9" s="44" t="s">
        <v>1092</v>
      </c>
      <c r="C9" s="44" t="s">
        <v>1093</v>
      </c>
      <c r="D9" s="44" t="s">
        <v>1098</v>
      </c>
      <c r="E9" s="44" t="s">
        <v>1091</v>
      </c>
      <c r="F9" s="44" t="s">
        <v>1110</v>
      </c>
      <c r="G9" s="44" t="s">
        <v>60</v>
      </c>
      <c r="H9" s="91">
        <v>4600042486</v>
      </c>
      <c r="I9" s="44" t="s">
        <v>189</v>
      </c>
      <c r="J9" s="44" t="s">
        <v>190</v>
      </c>
      <c r="K9" s="44" t="s">
        <v>813</v>
      </c>
      <c r="L9" s="43" t="s">
        <v>864</v>
      </c>
      <c r="M9" s="43" t="s">
        <v>792</v>
      </c>
      <c r="O9" s="45">
        <v>45.57</v>
      </c>
      <c r="P9" s="46">
        <v>88.5</v>
      </c>
      <c r="Q9" s="46">
        <v>4032.9450000000002</v>
      </c>
      <c r="R9" s="43" t="s">
        <v>1106</v>
      </c>
      <c r="S9" s="46">
        <v>1344.3150000000001</v>
      </c>
      <c r="T9" s="47">
        <v>33.333333333333329</v>
      </c>
      <c r="U9" s="43" t="s">
        <v>258</v>
      </c>
      <c r="V9" s="43" t="s">
        <v>1116</v>
      </c>
    </row>
    <row r="10" spans="1:22" x14ac:dyDescent="0.2">
      <c r="B10" s="44" t="s">
        <v>1092</v>
      </c>
      <c r="C10" s="44" t="s">
        <v>1093</v>
      </c>
      <c r="D10" s="44" t="s">
        <v>1098</v>
      </c>
      <c r="E10" s="44" t="s">
        <v>1091</v>
      </c>
      <c r="F10" s="44" t="s">
        <v>1110</v>
      </c>
      <c r="G10" s="44" t="s">
        <v>60</v>
      </c>
      <c r="H10" s="91">
        <v>4600042486</v>
      </c>
      <c r="I10" s="44" t="s">
        <v>189</v>
      </c>
      <c r="J10" s="44" t="s">
        <v>190</v>
      </c>
      <c r="K10" s="44" t="s">
        <v>813</v>
      </c>
      <c r="L10" s="43" t="s">
        <v>864</v>
      </c>
      <c r="M10" s="43" t="s">
        <v>792</v>
      </c>
      <c r="O10" s="45">
        <v>45.57</v>
      </c>
      <c r="P10" s="46">
        <v>88.5</v>
      </c>
      <c r="Q10" s="46">
        <v>4032.9450000000002</v>
      </c>
      <c r="R10" s="43" t="s">
        <v>1107</v>
      </c>
      <c r="S10" s="46">
        <v>1344.3150000000001</v>
      </c>
      <c r="T10" s="47">
        <v>33.333333333333329</v>
      </c>
      <c r="U10" s="43" t="s">
        <v>258</v>
      </c>
      <c r="V10" s="43" t="s">
        <v>1116</v>
      </c>
    </row>
    <row r="11" spans="1:22" x14ac:dyDescent="0.2">
      <c r="B11" s="44" t="s">
        <v>1092</v>
      </c>
      <c r="C11" s="44" t="s">
        <v>1093</v>
      </c>
      <c r="D11" s="44" t="s">
        <v>1098</v>
      </c>
      <c r="E11" s="44" t="s">
        <v>1091</v>
      </c>
      <c r="F11" s="44" t="s">
        <v>1111</v>
      </c>
      <c r="G11" s="44" t="s">
        <v>60</v>
      </c>
      <c r="H11" s="91">
        <v>4600042486</v>
      </c>
      <c r="I11" s="44" t="s">
        <v>189</v>
      </c>
      <c r="J11" s="44" t="s">
        <v>190</v>
      </c>
      <c r="K11" s="44" t="s">
        <v>814</v>
      </c>
      <c r="L11" s="43" t="s">
        <v>864</v>
      </c>
      <c r="M11" s="43" t="s">
        <v>502</v>
      </c>
      <c r="O11" s="45">
        <v>45.57</v>
      </c>
      <c r="P11" s="46">
        <v>88.5</v>
      </c>
      <c r="Q11" s="46">
        <v>4032.9450000000002</v>
      </c>
      <c r="R11" s="43" t="s">
        <v>1105</v>
      </c>
      <c r="S11" s="46">
        <v>1344.3150000000001</v>
      </c>
      <c r="T11" s="47">
        <v>33.333333333333329</v>
      </c>
      <c r="U11" s="43" t="s">
        <v>260</v>
      </c>
      <c r="V11" s="43" t="s">
        <v>1116</v>
      </c>
    </row>
    <row r="12" spans="1:22" x14ac:dyDescent="0.2">
      <c r="B12" s="44" t="s">
        <v>1092</v>
      </c>
      <c r="C12" s="44" t="s">
        <v>1093</v>
      </c>
      <c r="D12" s="44" t="s">
        <v>1098</v>
      </c>
      <c r="E12" s="44" t="s">
        <v>1091</v>
      </c>
      <c r="F12" s="44" t="s">
        <v>1111</v>
      </c>
      <c r="G12" s="44" t="s">
        <v>60</v>
      </c>
      <c r="H12" s="91">
        <v>4600042486</v>
      </c>
      <c r="I12" s="44" t="s">
        <v>189</v>
      </c>
      <c r="J12" s="44" t="s">
        <v>190</v>
      </c>
      <c r="K12" s="44" t="s">
        <v>814</v>
      </c>
      <c r="L12" s="43" t="s">
        <v>864</v>
      </c>
      <c r="M12" s="43" t="s">
        <v>502</v>
      </c>
      <c r="O12" s="45">
        <v>45.57</v>
      </c>
      <c r="P12" s="46">
        <v>88.5</v>
      </c>
      <c r="Q12" s="46">
        <v>4032.9450000000002</v>
      </c>
      <c r="R12" s="43" t="s">
        <v>1106</v>
      </c>
      <c r="S12" s="46">
        <v>1344.3150000000001</v>
      </c>
      <c r="T12" s="47">
        <v>33.333333333333329</v>
      </c>
      <c r="U12" s="43" t="s">
        <v>260</v>
      </c>
      <c r="V12" s="43" t="s">
        <v>1116</v>
      </c>
    </row>
    <row r="13" spans="1:22" x14ac:dyDescent="0.2">
      <c r="B13" s="44" t="s">
        <v>1092</v>
      </c>
      <c r="C13" s="44" t="s">
        <v>1093</v>
      </c>
      <c r="D13" s="44" t="s">
        <v>1098</v>
      </c>
      <c r="E13" s="44" t="s">
        <v>1091</v>
      </c>
      <c r="F13" s="44" t="s">
        <v>1111</v>
      </c>
      <c r="G13" s="44" t="s">
        <v>60</v>
      </c>
      <c r="H13" s="91">
        <v>4600042486</v>
      </c>
      <c r="I13" s="44" t="s">
        <v>189</v>
      </c>
      <c r="J13" s="44" t="s">
        <v>190</v>
      </c>
      <c r="K13" s="44" t="s">
        <v>814</v>
      </c>
      <c r="L13" s="43" t="s">
        <v>864</v>
      </c>
      <c r="M13" s="43" t="s">
        <v>502</v>
      </c>
      <c r="O13" s="45">
        <v>45.57</v>
      </c>
      <c r="P13" s="46">
        <v>88.5</v>
      </c>
      <c r="Q13" s="46">
        <v>4032.9450000000002</v>
      </c>
      <c r="R13" s="43" t="s">
        <v>1107</v>
      </c>
      <c r="S13" s="46">
        <v>1344.3150000000001</v>
      </c>
      <c r="T13" s="47">
        <v>33.333333333333329</v>
      </c>
      <c r="U13" s="43" t="s">
        <v>260</v>
      </c>
      <c r="V13" s="43" t="s">
        <v>1116</v>
      </c>
    </row>
  </sheetData>
  <dataValidations count="1">
    <dataValidation allowBlank="1" showInputMessage="1" showErrorMessage="1" prompt="Count do Número de Linhas preenchidos, desconsiderando linha de cabeçalho" sqref="A1"/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W_Projeto">
    <tabColor rgb="FFFFC000"/>
  </sheetPr>
  <dimension ref="A1:XFC21"/>
  <sheetViews>
    <sheetView workbookViewId="0">
      <selection activeCell="B2" sqref="B2"/>
    </sheetView>
  </sheetViews>
  <sheetFormatPr defaultColWidth="0" defaultRowHeight="15" x14ac:dyDescent="0.25"/>
  <cols>
    <col min="1" max="1" width="4.85546875" customWidth="1"/>
    <col min="2" max="3" width="14.42578125" customWidth="1"/>
    <col min="6" max="16383" width="9.140625" hidden="1"/>
    <col min="16384" max="16384" width="1.7109375" hidden="1" customWidth="1"/>
  </cols>
  <sheetData>
    <row r="1" spans="1:3" ht="22.5" x14ac:dyDescent="0.25">
      <c r="A1" s="85">
        <f>Defesa!B31</f>
        <v>1</v>
      </c>
      <c r="B1" s="28" t="s">
        <v>929</v>
      </c>
      <c r="C1" s="29" t="s">
        <v>930</v>
      </c>
    </row>
    <row r="2" spans="1:3" x14ac:dyDescent="0.25">
      <c r="B2" s="33" t="str">
        <f>IF(Defesa!$C8 = "", "", Defesa!$C8)</f>
        <v>PRJ00021293</v>
      </c>
      <c r="C2" s="33" t="str">
        <f>IF(Defesa!$B8 = "", "", Defesa!$B8)</f>
        <v>PRJ00021292</v>
      </c>
    </row>
    <row r="3" spans="1:3" x14ac:dyDescent="0.25">
      <c r="B3" s="33" t="str">
        <f>IF(Defesa!$C9 = "", "", Defesa!$C9)</f>
        <v/>
      </c>
      <c r="C3" s="33" t="str">
        <f>IF(Defesa!$B9 = "", "", Defesa!$B9)</f>
        <v/>
      </c>
    </row>
    <row r="4" spans="1:3" x14ac:dyDescent="0.25">
      <c r="B4" s="33" t="str">
        <f>IF(Defesa!$C10 = "", "", Defesa!$C10)</f>
        <v/>
      </c>
      <c r="C4" s="33" t="str">
        <f>IF(Defesa!$B10 = "", "", Defesa!$B10)</f>
        <v/>
      </c>
    </row>
    <row r="5" spans="1:3" x14ac:dyDescent="0.25">
      <c r="B5" s="33" t="str">
        <f>IF(Defesa!$C11 = "", "", Defesa!$C11)</f>
        <v/>
      </c>
      <c r="C5" s="33" t="str">
        <f>IF(Defesa!$B11 = "", "", Defesa!$B11)</f>
        <v/>
      </c>
    </row>
    <row r="6" spans="1:3" x14ac:dyDescent="0.25">
      <c r="B6" s="33" t="str">
        <f>IF(Defesa!$C12 = "", "", Defesa!$C12)</f>
        <v/>
      </c>
      <c r="C6" s="33" t="str">
        <f>IF(Defesa!$B12 = "", "", Defesa!$B12)</f>
        <v/>
      </c>
    </row>
    <row r="7" spans="1:3" x14ac:dyDescent="0.25">
      <c r="B7" s="33" t="str">
        <f>IF(Defesa!$C13 = "", "", Defesa!$C13)</f>
        <v/>
      </c>
      <c r="C7" s="33" t="str">
        <f>IF(Defesa!$B13 = "", "", Defesa!$B13)</f>
        <v/>
      </c>
    </row>
    <row r="8" spans="1:3" x14ac:dyDescent="0.25">
      <c r="B8" s="33" t="str">
        <f>IF(Defesa!$C14 = "", "", Defesa!$C14)</f>
        <v/>
      </c>
      <c r="C8" s="33" t="str">
        <f>IF(Defesa!$B14 = "", "", Defesa!$B14)</f>
        <v/>
      </c>
    </row>
    <row r="9" spans="1:3" x14ac:dyDescent="0.25">
      <c r="B9" s="33" t="str">
        <f>IF(Defesa!$C15 = "", "", Defesa!$C15)</f>
        <v/>
      </c>
      <c r="C9" s="33" t="str">
        <f>IF(Defesa!$B15 = "", "", Defesa!$B15)</f>
        <v/>
      </c>
    </row>
    <row r="10" spans="1:3" x14ac:dyDescent="0.25">
      <c r="B10" s="33" t="str">
        <f>IF(Defesa!$C16 = "", "", Defesa!$C16)</f>
        <v/>
      </c>
      <c r="C10" s="33" t="str">
        <f>IF(Defesa!$B16 = "", "", Defesa!$B16)</f>
        <v/>
      </c>
    </row>
    <row r="11" spans="1:3" x14ac:dyDescent="0.25">
      <c r="B11" s="33" t="str">
        <f>IF(Defesa!$C17 = "", "", Defesa!$C17)</f>
        <v/>
      </c>
      <c r="C11" s="33" t="str">
        <f>IF(Defesa!$B17 = "", "", Defesa!$B17)</f>
        <v/>
      </c>
    </row>
    <row r="12" spans="1:3" x14ac:dyDescent="0.25">
      <c r="B12" s="33" t="str">
        <f>IF(Defesa!$C18 = "", "", Defesa!$C18)</f>
        <v/>
      </c>
      <c r="C12" s="33" t="str">
        <f>IF(Defesa!$B18 = "", "", Defesa!$B18)</f>
        <v/>
      </c>
    </row>
    <row r="13" spans="1:3" x14ac:dyDescent="0.25">
      <c r="B13" s="33" t="str">
        <f>IF(Defesa!$C19 = "", "", Defesa!$C19)</f>
        <v/>
      </c>
      <c r="C13" s="33" t="str">
        <f>IF(Defesa!$B19 = "", "", Defesa!$B19)</f>
        <v/>
      </c>
    </row>
    <row r="14" spans="1:3" x14ac:dyDescent="0.25">
      <c r="B14" s="33" t="str">
        <f>IF(Defesa!$C20 = "", "", Defesa!$C20)</f>
        <v/>
      </c>
      <c r="C14" s="33" t="str">
        <f>IF(Defesa!$B20 = "", "", Defesa!$B20)</f>
        <v/>
      </c>
    </row>
    <row r="15" spans="1:3" x14ac:dyDescent="0.25">
      <c r="B15" s="33" t="str">
        <f>IF(Defesa!$C21 = "", "", Defesa!$C21)</f>
        <v/>
      </c>
      <c r="C15" s="33" t="str">
        <f>IF(Defesa!$B21 = "", "", Defesa!$B21)</f>
        <v/>
      </c>
    </row>
    <row r="16" spans="1:3" x14ac:dyDescent="0.25">
      <c r="B16" s="33" t="str">
        <f>IF(Defesa!$C22 = "", "", Defesa!$C22)</f>
        <v/>
      </c>
      <c r="C16" s="33" t="str">
        <f>IF(Defesa!$B22 = "", "", Defesa!$B22)</f>
        <v/>
      </c>
    </row>
    <row r="17" spans="2:3" x14ac:dyDescent="0.25">
      <c r="B17" s="33" t="str">
        <f>IF(Defesa!$C23 = "", "", Defesa!$C23)</f>
        <v/>
      </c>
      <c r="C17" s="33" t="str">
        <f>IF(Defesa!$B23 = "", "", Defesa!$B23)</f>
        <v/>
      </c>
    </row>
    <row r="18" spans="2:3" x14ac:dyDescent="0.25">
      <c r="B18" s="33" t="str">
        <f>IF(Defesa!$C24 = "", "", Defesa!$C24)</f>
        <v/>
      </c>
      <c r="C18" s="33" t="str">
        <f>IF(Defesa!$B24 = "", "", Defesa!$B24)</f>
        <v/>
      </c>
    </row>
    <row r="19" spans="2:3" x14ac:dyDescent="0.25">
      <c r="B19" s="33" t="str">
        <f>IF(Defesa!$C25 = "", "", Defesa!$C25)</f>
        <v/>
      </c>
      <c r="C19" s="33" t="str">
        <f>IF(Defesa!$B25 = "", "", Defesa!$B25)</f>
        <v/>
      </c>
    </row>
    <row r="20" spans="2:3" x14ac:dyDescent="0.25">
      <c r="B20" s="33" t="str">
        <f>IF(Defesa!$C26 = "", "", Defesa!$C26)</f>
        <v/>
      </c>
      <c r="C20" s="33" t="str">
        <f>IF(Defesa!$B26 = "", "", Defesa!$B26)</f>
        <v/>
      </c>
    </row>
    <row r="21" spans="2:3" x14ac:dyDescent="0.25">
      <c r="B21" s="33" t="str">
        <f>IF(Defesa!$C27 = "", "", Defesa!$C27)</f>
        <v/>
      </c>
      <c r="C21" s="33" t="str">
        <f>IF(Defesa!$B27 = "", "", Defesa!$B27)</f>
        <v/>
      </c>
    </row>
  </sheetData>
  <sheetProtection algorithmName="SHA-512" hashValue="ceZ5Chk5AxjrGs+0+YSXoUzDLvLf5ubGTBMDa5pEng/7orvduXzZ2zqP3Zkph60lB/L/fWn8YN+V5XG2fWwqTg==" saltValue="weKEuQkcHl73xaWz8n3DfQ==" spinCount="100000" sheet="1" objects="1" scenarios="1"/>
  <conditionalFormatting sqref="B1:C1">
    <cfRule type="expression" dxfId="68" priority="3">
      <formula xml:space="preserve"> #REF!&lt;&gt; $A1048576</formula>
    </cfRule>
  </conditionalFormatting>
  <conditionalFormatting sqref="B2:C21">
    <cfRule type="expression" dxfId="67" priority="4">
      <formula xml:space="preserve"> $A2&lt;&gt; #REF!</formula>
    </cfRule>
  </conditionalFormatting>
  <dataValidations count="1">
    <dataValidation allowBlank="1" showInputMessage="1" showErrorMessage="1" prompt="Count do Número de Linhas preenchidos, desconsiderando linha de cabeçalho" sqref="A1"/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B_DEFESA">
    <tabColor theme="5" tint="-0.249977111117893"/>
  </sheetPr>
  <dimension ref="A1:AJ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2" sqref="F2"/>
    </sheetView>
  </sheetViews>
  <sheetFormatPr defaultRowHeight="15" x14ac:dyDescent="0.25"/>
  <cols>
    <col min="1" max="1" width="4.28515625" customWidth="1"/>
    <col min="2" max="2" width="14.7109375" customWidth="1"/>
    <col min="3" max="3" width="10.140625" customWidth="1"/>
    <col min="4" max="4" width="11.85546875" customWidth="1"/>
    <col min="5" max="5" width="11.7109375" customWidth="1"/>
    <col min="6" max="6" width="12" customWidth="1"/>
    <col min="7" max="7" width="12.85546875" customWidth="1"/>
    <col min="8" max="8" width="12.7109375" customWidth="1"/>
    <col min="9" max="9" width="14.7109375" customWidth="1"/>
    <col min="10" max="10" width="24" customWidth="1"/>
    <col min="11" max="11" width="27.85546875" customWidth="1"/>
    <col min="12" max="12" width="20.5703125" customWidth="1"/>
    <col min="13" max="13" width="9.5703125" customWidth="1"/>
    <col min="15" max="15" width="12.42578125" customWidth="1"/>
    <col min="16" max="16" width="11.85546875" customWidth="1"/>
    <col min="17" max="17" width="13" customWidth="1"/>
    <col min="18" max="18" width="12.42578125" customWidth="1"/>
    <col min="19" max="19" width="14.7109375" customWidth="1"/>
    <col min="20" max="20" width="14.5703125" customWidth="1"/>
    <col min="21" max="21" width="14" customWidth="1"/>
    <col min="22" max="22" width="8" customWidth="1"/>
    <col min="23" max="23" width="8.28515625" customWidth="1"/>
    <col min="24" max="24" width="6.5703125" customWidth="1"/>
    <col min="25" max="25" width="13.140625" customWidth="1"/>
    <col min="26" max="26" width="9.5703125" customWidth="1"/>
    <col min="27" max="27" width="22.5703125" customWidth="1"/>
    <col min="28" max="31" width="13.42578125" customWidth="1"/>
    <col min="33" max="33" width="19.28515625" customWidth="1"/>
    <col min="34" max="34" width="21.140625" customWidth="1"/>
    <col min="35" max="35" width="24.42578125" customWidth="1"/>
    <col min="36" max="36" width="16.28515625" customWidth="1"/>
  </cols>
  <sheetData>
    <row r="1" spans="1:36" ht="31.5" customHeight="1" x14ac:dyDescent="0.25">
      <c r="A1" s="5">
        <f>COUNTA(C:C) -1</f>
        <v>1</v>
      </c>
      <c r="B1" s="28" t="s">
        <v>435</v>
      </c>
      <c r="C1" s="29" t="s">
        <v>432</v>
      </c>
      <c r="D1" s="29" t="s">
        <v>436</v>
      </c>
      <c r="E1" s="29" t="s">
        <v>437</v>
      </c>
      <c r="F1" s="29" t="s">
        <v>234</v>
      </c>
      <c r="G1" s="29" t="s">
        <v>438</v>
      </c>
      <c r="H1" s="29" t="s">
        <v>439</v>
      </c>
      <c r="I1" s="29" t="s">
        <v>272</v>
      </c>
      <c r="J1" s="29" t="s">
        <v>37</v>
      </c>
      <c r="K1" s="29" t="s">
        <v>43</v>
      </c>
      <c r="L1" s="29" t="s">
        <v>48</v>
      </c>
      <c r="M1" s="29" t="s">
        <v>440</v>
      </c>
      <c r="N1" s="29" t="s">
        <v>271</v>
      </c>
      <c r="O1" s="29" t="s">
        <v>441</v>
      </c>
      <c r="P1" s="29" t="s">
        <v>39</v>
      </c>
      <c r="Q1" s="29" t="s">
        <v>12</v>
      </c>
      <c r="R1" s="29" t="s">
        <v>858</v>
      </c>
      <c r="S1" s="29" t="s">
        <v>284</v>
      </c>
      <c r="T1" s="29" t="s">
        <v>236</v>
      </c>
      <c r="U1" s="29" t="s">
        <v>442</v>
      </c>
      <c r="V1" s="29" t="s">
        <v>46</v>
      </c>
      <c r="W1" s="29" t="s">
        <v>443</v>
      </c>
      <c r="X1" s="29" t="s">
        <v>943</v>
      </c>
      <c r="Y1" s="29" t="s">
        <v>854</v>
      </c>
      <c r="Z1" s="29" t="s">
        <v>50</v>
      </c>
      <c r="AA1" s="29" t="s">
        <v>444</v>
      </c>
      <c r="AB1" s="29" t="s">
        <v>418</v>
      </c>
      <c r="AC1" s="29" t="s">
        <v>445</v>
      </c>
      <c r="AD1" s="29" t="s">
        <v>446</v>
      </c>
      <c r="AE1" s="29" t="s">
        <v>407</v>
      </c>
      <c r="AF1" s="29" t="s">
        <v>462</v>
      </c>
      <c r="AG1" s="29" t="s">
        <v>699</v>
      </c>
      <c r="AH1" s="29" t="s">
        <v>465</v>
      </c>
      <c r="AI1" s="29" t="s">
        <v>463</v>
      </c>
      <c r="AJ1" s="29" t="s">
        <v>464</v>
      </c>
    </row>
    <row r="2" spans="1:36" ht="58.5" customHeight="1" x14ac:dyDescent="0.25">
      <c r="B2" s="83">
        <v>20170802161729</v>
      </c>
      <c r="C2" s="33" t="str">
        <f>IF(Defesa!$F$7 = "", "", Defesa!$F$7)</f>
        <v>PROJETO</v>
      </c>
      <c r="D2" s="33" t="str">
        <f>IF(Defesa!$F$5 = "", "", Defesa!$F5)</f>
        <v>Batimento Digital RAID-Cadastro Minha Oi</v>
      </c>
      <c r="E2" s="33" t="str">
        <f>IF(Defesa!$F$6 = "", "", Defesa!$F$6)</f>
        <v>Eduardo Pereira Damasceno Lima</v>
      </c>
      <c r="F2" s="33" t="str">
        <f>IF(Defesa!$J$9 = "", "", Defesa!$J$9)</f>
        <v>CRIAR</v>
      </c>
      <c r="G2" s="33" t="str">
        <f>IF(Defesa!$J$10 = "", "", Defesa!$J$10)</f>
        <v>PRJ00021293</v>
      </c>
      <c r="H2" s="33" t="str">
        <f>IF(Defesa!$J$11 = "", "", Defesa!$J$11)</f>
        <v>N/A</v>
      </c>
      <c r="I2" s="33" t="str">
        <f>IF(Defesa!$J$14 = "", "", Defesa!$J$14)</f>
        <v>FOI de Sistemas</v>
      </c>
      <c r="J2" s="33" t="str">
        <f>IF(Defesa!$E$10 = "", "", Defesa!$E$10)</f>
        <v>Utilizar a ferramenta RAID, para permitir a extração dos dados dos clientes do Portal Minha Oi, para que possam ser comparados e identificados as diferenças de cadastro, entre os CRMs (CDI, SAC, STC, SBL, SINN) e Faturamentos (Arbor, SFA e SISRAF).</v>
      </c>
      <c r="K2" s="33" t="str">
        <f>IF(Defesa!$E$15 = "", "", Defesa!$E$15)</f>
        <v>1) O que estamos aprovando? Aprovação extrabaseline, para elaboração do DSOL, das frentes SISRAF-FATURAMENTO, SISRAF-ARRECADACAO, SAG e SFA. 
2) Qual o fato motivador?  Identificar divergências de informações de cadastro entre o PORTAL OI e os CRMS e entre o PORTAL OI e os FATURAMENTOS
3) Qual a causa desse fato?  Atualmente existem casos em que os dados entre esses sistemas estão divergentes
4) Em relação à causa apontada, há responsabilidade do fornecedor?Não
5) Se estivermos aprovando extra baseline, porque não podemos aguardar espaço ? Foi solicitado prioridade, pela gerência Digital Delivery.
6) Se Prioridade Global &gt;= 200. Porque solicitar aprovação ? A prioridade global está como 49.</v>
      </c>
      <c r="L2" s="33" t="str">
        <f>IF(Defesa!$E$22 = "", "", Defesa!$E$22)</f>
        <v>Continuarão e existir divergências de informações de cadastro, entre o PORTAL OI e os CRMS e entre o PORTAL OI e os FATURAMENTOS</v>
      </c>
      <c r="M2" s="34" t="str">
        <f>IF(Defesa!$J$16 = "", "", Defesa!$J$16)</f>
        <v>AGO/2017</v>
      </c>
      <c r="N2" s="35">
        <f>IF(Defesa!$J$17 = "", "", Defesa!$J$17)</f>
        <v>49</v>
      </c>
      <c r="O2" s="34" t="str">
        <f>IF(Defesa!$J$18 = "", "", Defesa!$J$18)</f>
        <v>JAN/2018</v>
      </c>
      <c r="P2" s="33" t="str">
        <f>IF(Defesa!$J$20 = "", "", Defesa!$J$20)</f>
        <v>Corporativo</v>
      </c>
      <c r="Q2" s="33" t="str">
        <f>IF(Defesa!$J$21 = "", "", Defesa!$J$21)</f>
        <v>Evolutivas</v>
      </c>
      <c r="R2" s="56" t="s">
        <v>417</v>
      </c>
      <c r="S2" s="33" t="str">
        <f>IF(Defesa!$J$5 = "", "", Defesa!$J$5)</f>
        <v>Sistemas</v>
      </c>
      <c r="T2" s="33" t="str">
        <f>IF(Defesa!$J$6 = "", "", Defesa!$J$6)</f>
        <v>FLAVIA REGINA DA CRUZ MEIRELLES</v>
      </c>
      <c r="U2" s="33" t="str">
        <f>IF(Defesa!$J$7 = "", "", Defesa!$J$7)</f>
        <v>GUSTAVO BATOREU VALFRE</v>
      </c>
      <c r="V2" s="36" t="str">
        <f>IF(Defesa!$J$24 = "", "", Defesa!$J$24)</f>
        <v>NÃO</v>
      </c>
      <c r="W2" s="36" t="str">
        <f>IF(Defesa!$J$23 = "", "", Defesa!$J$23)</f>
        <v>NÃO</v>
      </c>
      <c r="X2" s="33" t="str">
        <f>IF(Defesa!$J$7="","",VLOOKUP(Defesa!$J$7,TABELAS!M:O,3,FALSE))</f>
        <v>DGAT</v>
      </c>
      <c r="Y2" s="80"/>
      <c r="Z2" s="33" t="str">
        <f>IF(Defesa!$F$28 = "", "", Defesa!$F$28)</f>
        <v>Melhora Qualidade</v>
      </c>
      <c r="AA2" s="33" t="str">
        <f>IF(Defesa!$F$29 = "", "", Defesa!$F$29)</f>
        <v>N/A</v>
      </c>
      <c r="AB2" s="37">
        <f>IF(Defesa!$M$9 = "", "", Defesa!$M$9)</f>
        <v>0</v>
      </c>
      <c r="AC2" s="37">
        <f>IF(Defesa!$M$10 = "", "", Defesa!$M$10)</f>
        <v>14787</v>
      </c>
      <c r="AD2" s="37">
        <f>IF(Defesa!$M$11 = "", "", Defesa!$M$11)</f>
        <v>14787</v>
      </c>
      <c r="AE2" s="37">
        <f>IF(Defesa!$M$5 = "", "", Defesa!$M$5)</f>
        <v>14787.465</v>
      </c>
      <c r="AF2" s="38">
        <f>TABELAS!$R$2</f>
        <v>2017</v>
      </c>
      <c r="AG2" s="39" t="str">
        <f>IF(Defesa!C8="","",Defesa!C8)&amp;IF(Defesa!C9="","","; "&amp;Defesa!C9)&amp;IF(Defesa!C10="","","; "&amp;Defesa!C10)&amp;IF(Defesa!C11="","","; "&amp;Defesa!C11)&amp;IF(Defesa!C12="","","; "&amp;Defesa!C12)&amp;IF(Defesa!C13="","","; "&amp;Defesa!C13)&amp;IF(Defesa!C14="","","; "&amp;Defesa!C14)&amp;IF(Defesa!C15="","","; "&amp;Defesa!C15)&amp;IF(Defesa!C16="","","; "&amp;Defesa!C16)&amp;IF(Defesa!C17="","","; "&amp;Defesa!C17)&amp;IF(Defesa!C18="","","; "&amp;Defesa!C18)&amp;IF(Defesa!C19="","","; "&amp;Defesa!C19)&amp;IF(Defesa!C20="","","; "&amp;Defesa!C20)&amp;IF(Defesa!C21="","","; "&amp;Defesa!C21)&amp;IF(Defesa!C22="","","; "&amp;Defesa!C22)&amp;IF(Defesa!C23="","","; "&amp;Defesa!C23)&amp;IF(Defesa!C24="","","; "&amp;Defesa!C24)&amp;IF(Defesa!C25="","","; "&amp;Defesa!C25)&amp;IF(Defesa!C26="","","; "&amp;Defesa!C26)&amp;IF(Defesa!C27="","","; "&amp;Defesa!C27)&amp;IF(Defesa!C28="","","; "&amp;Defesa!C28)&amp;IF(Defesa!C29="","","; "&amp;Defesa!C29)&amp;IF(Defesa!C30="","","; "&amp;Defesa!C30)</f>
        <v>PRJ00021293</v>
      </c>
      <c r="AH2" s="56" t="s">
        <v>864</v>
      </c>
      <c r="AI2" s="56" t="s">
        <v>1132</v>
      </c>
      <c r="AJ2" s="39" t="str">
        <f>IF(Defesa!B8="","",Defesa!B8)&amp;IF(Defesa!B9="","","; "&amp;Defesa!B9)&amp;IF(Defesa!B10="","","; "&amp;Defesa!B10)&amp;IF(Defesa!B11="","","; "&amp;Defesa!B11)&amp;IF(Defesa!B12="","","; "&amp;Defesa!B12)&amp;IF(Defesa!B13="","","; "&amp;Defesa!B13)&amp;IF(Defesa!B14="","","; "&amp;Defesa!B14)&amp;IF(Defesa!B15="","","; "&amp;Defesa!B15)&amp;IF(Defesa!B16="","","; "&amp;Defesa!B16)&amp;IF(Defesa!B17="","","; "&amp;Defesa!B17)&amp;IF(Defesa!B18="","","; "&amp;Defesa!B18)&amp;IF(Defesa!B19="","","; "&amp;Defesa!B19)&amp;IF(Defesa!B20="","","; "&amp;Defesa!B20)&amp;IF(Defesa!B21="","","; "&amp;Defesa!B21)&amp;IF(Defesa!B22="","","; "&amp;Defesa!B22)&amp;IF(Defesa!B23="","","; "&amp;Defesa!B23)&amp;IF(Defesa!B24="","","; "&amp;Defesa!B24)&amp;IF(Defesa!B25="","","; "&amp;Defesa!B25)&amp;IF(Defesa!B26="","","; "&amp;Defesa!B26)&amp;IF(Defesa!B27="","","; "&amp;Defesa!B27)&amp;IF(Defesa!B28="","","; "&amp;Defesa!B28)&amp;IF(Defesa!B29="","","; "&amp;Defesa!B29)&amp;IF(Defesa!B30="","","; "&amp;Defesa!B30)</f>
        <v>PRJ00021292</v>
      </c>
    </row>
  </sheetData>
  <sheetProtection algorithmName="SHA-512" hashValue="5CXTRxcr9ygu67s8B/VB5p3rKaYYXn6SYMvlRacjptJcBbe9XGsQD9zxXD7xoY5YXSAWEPHR6/Q7wk0Dex4hRw==" saltValue="vZELTw02kdirX7UFLkgotQ==" spinCount="100000" sheet="1" objects="1" scenarios="1"/>
  <conditionalFormatting sqref="B1:Q1">
    <cfRule type="expression" dxfId="66" priority="61">
      <formula xml:space="preserve"> #REF!&lt;&gt; $A1048576</formula>
    </cfRule>
  </conditionalFormatting>
  <conditionalFormatting sqref="B2:C2">
    <cfRule type="expression" dxfId="65" priority="62">
      <formula xml:space="preserve"> $A2&lt;&gt; #REF!</formula>
    </cfRule>
  </conditionalFormatting>
  <conditionalFormatting sqref="D2">
    <cfRule type="expression" dxfId="64" priority="60">
      <formula xml:space="preserve"> $A2&lt;&gt; #REF!</formula>
    </cfRule>
  </conditionalFormatting>
  <conditionalFormatting sqref="E2">
    <cfRule type="expression" dxfId="63" priority="59">
      <formula xml:space="preserve"> $A2&lt;&gt; #REF!</formula>
    </cfRule>
  </conditionalFormatting>
  <conditionalFormatting sqref="F2">
    <cfRule type="expression" dxfId="62" priority="58">
      <formula xml:space="preserve"> $A2&lt;&gt; #REF!</formula>
    </cfRule>
  </conditionalFormatting>
  <conditionalFormatting sqref="G2">
    <cfRule type="expression" dxfId="61" priority="57">
      <formula xml:space="preserve"> $A2&lt;&gt; #REF!</formula>
    </cfRule>
  </conditionalFormatting>
  <conditionalFormatting sqref="H2">
    <cfRule type="expression" dxfId="60" priority="56">
      <formula xml:space="preserve"> $A2&lt;&gt; #REF!</formula>
    </cfRule>
  </conditionalFormatting>
  <conditionalFormatting sqref="I2">
    <cfRule type="expression" dxfId="59" priority="55">
      <formula xml:space="preserve"> $A2&lt;&gt; #REF!</formula>
    </cfRule>
  </conditionalFormatting>
  <conditionalFormatting sqref="J2">
    <cfRule type="expression" dxfId="58" priority="54">
      <formula xml:space="preserve"> $A2&lt;&gt; #REF!</formula>
    </cfRule>
  </conditionalFormatting>
  <conditionalFormatting sqref="K2">
    <cfRule type="expression" dxfId="57" priority="53">
      <formula xml:space="preserve"> $A2&lt;&gt; #REF!</formula>
    </cfRule>
  </conditionalFormatting>
  <conditionalFormatting sqref="L2">
    <cfRule type="expression" dxfId="56" priority="52">
      <formula xml:space="preserve"> $A2&lt;&gt; #REF!</formula>
    </cfRule>
  </conditionalFormatting>
  <conditionalFormatting sqref="M2">
    <cfRule type="expression" dxfId="55" priority="51">
      <formula xml:space="preserve"> $A2&lt;&gt; #REF!</formula>
    </cfRule>
  </conditionalFormatting>
  <conditionalFormatting sqref="N2">
    <cfRule type="expression" dxfId="54" priority="50">
      <formula xml:space="preserve"> $A2&lt;&gt; #REF!</formula>
    </cfRule>
  </conditionalFormatting>
  <conditionalFormatting sqref="O2">
    <cfRule type="expression" dxfId="53" priority="49">
      <formula xml:space="preserve"> $A2&lt;&gt; #REF!</formula>
    </cfRule>
  </conditionalFormatting>
  <conditionalFormatting sqref="P2">
    <cfRule type="expression" dxfId="52" priority="48">
      <formula xml:space="preserve"> $A2&lt;&gt; #REF!</formula>
    </cfRule>
  </conditionalFormatting>
  <conditionalFormatting sqref="Q2">
    <cfRule type="expression" dxfId="51" priority="47">
      <formula xml:space="preserve"> $A2&lt;&gt; #REF!</formula>
    </cfRule>
  </conditionalFormatting>
  <conditionalFormatting sqref="T2">
    <cfRule type="expression" dxfId="50" priority="44">
      <formula xml:space="preserve"> $A2&lt;&gt; #REF!</formula>
    </cfRule>
  </conditionalFormatting>
  <conditionalFormatting sqref="S2">
    <cfRule type="expression" dxfId="49" priority="45">
      <formula xml:space="preserve"> $A2&lt;&gt; #REF!</formula>
    </cfRule>
  </conditionalFormatting>
  <conditionalFormatting sqref="U2">
    <cfRule type="expression" dxfId="48" priority="43">
      <formula xml:space="preserve"> $A2&lt;&gt; #REF!</formula>
    </cfRule>
  </conditionalFormatting>
  <conditionalFormatting sqref="V2">
    <cfRule type="expression" dxfId="47" priority="42">
      <formula xml:space="preserve"> $A2&lt;&gt; #REF!</formula>
    </cfRule>
  </conditionalFormatting>
  <conditionalFormatting sqref="W2">
    <cfRule type="expression" dxfId="46" priority="41">
      <formula xml:space="preserve"> $A2&lt;&gt; #REF!</formula>
    </cfRule>
  </conditionalFormatting>
  <conditionalFormatting sqref="D1">
    <cfRule type="expression" dxfId="45" priority="38">
      <formula xml:space="preserve"> #REF!&lt;&gt; $A1048576</formula>
    </cfRule>
  </conditionalFormatting>
  <conditionalFormatting sqref="E1">
    <cfRule type="expression" dxfId="44" priority="37">
      <formula xml:space="preserve"> #REF!&lt;&gt; $A1048576</formula>
    </cfRule>
  </conditionalFormatting>
  <conditionalFormatting sqref="F1">
    <cfRule type="expression" dxfId="43" priority="36">
      <formula xml:space="preserve"> #REF!&lt;&gt; $A1048576</formula>
    </cfRule>
  </conditionalFormatting>
  <conditionalFormatting sqref="G1">
    <cfRule type="expression" dxfId="42" priority="35">
      <formula xml:space="preserve"> #REF!&lt;&gt; $A1048576</formula>
    </cfRule>
  </conditionalFormatting>
  <conditionalFormatting sqref="H1">
    <cfRule type="expression" dxfId="41" priority="34">
      <formula xml:space="preserve"> #REF!&lt;&gt; $A1048576</formula>
    </cfRule>
  </conditionalFormatting>
  <conditionalFormatting sqref="I1">
    <cfRule type="expression" dxfId="40" priority="33">
      <formula xml:space="preserve"> #REF!&lt;&gt; $A1048576</formula>
    </cfRule>
  </conditionalFormatting>
  <conditionalFormatting sqref="J1">
    <cfRule type="expression" dxfId="39" priority="32">
      <formula xml:space="preserve"> #REF!&lt;&gt; $A1048576</formula>
    </cfRule>
  </conditionalFormatting>
  <conditionalFormatting sqref="K1">
    <cfRule type="expression" dxfId="38" priority="31">
      <formula xml:space="preserve"> #REF!&lt;&gt; $A1048576</formula>
    </cfRule>
  </conditionalFormatting>
  <conditionalFormatting sqref="L1">
    <cfRule type="expression" dxfId="37" priority="30">
      <formula xml:space="preserve"> #REF!&lt;&gt; $A1048576</formula>
    </cfRule>
  </conditionalFormatting>
  <conditionalFormatting sqref="R1:X1">
    <cfRule type="expression" dxfId="36" priority="29">
      <formula xml:space="preserve"> #REF!&lt;&gt; $A1048576</formula>
    </cfRule>
  </conditionalFormatting>
  <conditionalFormatting sqref="Y2:AD2">
    <cfRule type="expression" dxfId="35" priority="28">
      <formula xml:space="preserve"> $A2&lt;&gt; #REF!</formula>
    </cfRule>
  </conditionalFormatting>
  <conditionalFormatting sqref="Y1:AC1">
    <cfRule type="expression" dxfId="34" priority="27">
      <formula xml:space="preserve"> #REF!&lt;&gt; $A1048576</formula>
    </cfRule>
  </conditionalFormatting>
  <conditionalFormatting sqref="AD2">
    <cfRule type="expression" dxfId="33" priority="26">
      <formula xml:space="preserve"> $A2&lt;&gt; #REF!</formula>
    </cfRule>
  </conditionalFormatting>
  <conditionalFormatting sqref="AD1">
    <cfRule type="expression" dxfId="32" priority="25">
      <formula xml:space="preserve"> #REF!&lt;&gt; $A1048576</formula>
    </cfRule>
  </conditionalFormatting>
  <conditionalFormatting sqref="AE1">
    <cfRule type="expression" dxfId="31" priority="24">
      <formula xml:space="preserve"> #REF!&lt;&gt; $A1048576</formula>
    </cfRule>
  </conditionalFormatting>
  <conditionalFormatting sqref="AE2">
    <cfRule type="expression" dxfId="30" priority="23">
      <formula xml:space="preserve"> $A2&lt;&gt; #REF!</formula>
    </cfRule>
  </conditionalFormatting>
  <conditionalFormatting sqref="AE2">
    <cfRule type="expression" dxfId="29" priority="22">
      <formula xml:space="preserve"> $A2&lt;&gt; #REF!</formula>
    </cfRule>
  </conditionalFormatting>
  <conditionalFormatting sqref="AF1">
    <cfRule type="expression" dxfId="28" priority="21">
      <formula xml:space="preserve"> #REF!&lt;&gt; $A1048576</formula>
    </cfRule>
  </conditionalFormatting>
  <conditionalFormatting sqref="AH1">
    <cfRule type="expression" dxfId="27" priority="19">
      <formula xml:space="preserve"> #REF!&lt;&gt; $A1048576</formula>
    </cfRule>
  </conditionalFormatting>
  <conditionalFormatting sqref="AF2">
    <cfRule type="expression" dxfId="26" priority="17">
      <formula xml:space="preserve"> $A2&lt;&gt; #REF!</formula>
    </cfRule>
  </conditionalFormatting>
  <conditionalFormatting sqref="AF2">
    <cfRule type="expression" dxfId="25" priority="16">
      <formula xml:space="preserve"> $A2&lt;&gt; #REF!</formula>
    </cfRule>
  </conditionalFormatting>
  <conditionalFormatting sqref="AG2">
    <cfRule type="expression" dxfId="24" priority="15">
      <formula xml:space="preserve"> $A2&lt;&gt; #REF!</formula>
    </cfRule>
  </conditionalFormatting>
  <conditionalFormatting sqref="AG2">
    <cfRule type="expression" dxfId="23" priority="14">
      <formula xml:space="preserve"> $A2&lt;&gt; #REF!</formula>
    </cfRule>
  </conditionalFormatting>
  <conditionalFormatting sqref="AH2">
    <cfRule type="expression" dxfId="22" priority="13">
      <formula xml:space="preserve"> $A2&lt;&gt; #REF!</formula>
    </cfRule>
  </conditionalFormatting>
  <conditionalFormatting sqref="AH2">
    <cfRule type="expression" dxfId="21" priority="12">
      <formula xml:space="preserve"> $A2&lt;&gt; #REF!</formula>
    </cfRule>
  </conditionalFormatting>
  <conditionalFormatting sqref="AI2">
    <cfRule type="expression" dxfId="20" priority="11">
      <formula xml:space="preserve"> $A2&lt;&gt; #REF!</formula>
    </cfRule>
  </conditionalFormatting>
  <conditionalFormatting sqref="AI2">
    <cfRule type="expression" dxfId="19" priority="10">
      <formula xml:space="preserve"> $A2&lt;&gt; #REF!</formula>
    </cfRule>
  </conditionalFormatting>
  <conditionalFormatting sqref="AI1">
    <cfRule type="expression" dxfId="18" priority="9">
      <formula xml:space="preserve"> #REF!&lt;&gt; $A1048576</formula>
    </cfRule>
  </conditionalFormatting>
  <conditionalFormatting sqref="AG1">
    <cfRule type="expression" dxfId="17" priority="8">
      <formula xml:space="preserve"> #REF!&lt;&gt; $A1048576</formula>
    </cfRule>
  </conditionalFormatting>
  <conditionalFormatting sqref="AJ2">
    <cfRule type="expression" dxfId="16" priority="7">
      <formula xml:space="preserve"> $A2&lt;&gt; #REF!</formula>
    </cfRule>
  </conditionalFormatting>
  <conditionalFormatting sqref="AJ2">
    <cfRule type="expression" dxfId="15" priority="6">
      <formula xml:space="preserve"> $A2&lt;&gt; #REF!</formula>
    </cfRule>
  </conditionalFormatting>
  <conditionalFormatting sqref="AJ1">
    <cfRule type="expression" dxfId="14" priority="5">
      <formula xml:space="preserve"> #REF!&lt;&gt; $A1048576</formula>
    </cfRule>
  </conditionalFormatting>
  <conditionalFormatting sqref="R2">
    <cfRule type="expression" dxfId="13" priority="4">
      <formula xml:space="preserve"> $A2&lt;&gt; #REF!</formula>
    </cfRule>
  </conditionalFormatting>
  <conditionalFormatting sqref="R2">
    <cfRule type="expression" dxfId="12" priority="3">
      <formula xml:space="preserve"> $A2&lt;&gt; #REF!</formula>
    </cfRule>
  </conditionalFormatting>
  <conditionalFormatting sqref="X2">
    <cfRule type="expression" dxfId="11" priority="1">
      <formula xml:space="preserve"> $A2&lt;&gt; #REF!</formula>
    </cfRule>
  </conditionalFormatting>
  <dataValidations count="2">
    <dataValidation allowBlank="1" showInputMessage="1" showErrorMessage="1" prompt="Count do Número de Linhas preenchidos, desconsiderando linha de cabeçalho" sqref="A1"/>
    <dataValidation allowBlank="1" showInputMessage="1" showErrorMessage="1" prompt="Preenchido ao Clicar em Criar Ficha_x000a_" sqref="R1"/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B_PROPOSTA">
    <tabColor theme="5" tint="-0.249977111117893"/>
  </sheetPr>
  <dimension ref="A1:Z504"/>
  <sheetViews>
    <sheetView zoomScaleNormal="100" zoomScaleSheetLayoutView="90" workbookViewId="0">
      <pane xSplit="1" ySplit="1" topLeftCell="B469" activePane="bottomRight" state="frozen"/>
      <selection pane="topRight" activeCell="B1" sqref="B1"/>
      <selection pane="bottomLeft" activeCell="A2" sqref="A2"/>
      <selection pane="bottomRight" activeCell="J2" sqref="J2:J503"/>
    </sheetView>
  </sheetViews>
  <sheetFormatPr defaultRowHeight="11.25" zeroHeight="1" x14ac:dyDescent="0.2"/>
  <cols>
    <col min="1" max="1" width="11" style="1" customWidth="1"/>
    <col min="2" max="2" width="16.7109375" style="1" customWidth="1"/>
    <col min="3" max="3" width="8.140625" style="1" customWidth="1"/>
    <col min="4" max="4" width="6.140625" style="1" customWidth="1"/>
    <col min="5" max="5" width="6.5703125" style="1" customWidth="1"/>
    <col min="6" max="7" width="11.28515625" style="1" customWidth="1"/>
    <col min="8" max="8" width="6.140625" style="1" customWidth="1"/>
    <col min="9" max="9" width="9.140625" style="1"/>
    <col min="10" max="11" width="11.7109375" style="1" bestFit="1" customWidth="1"/>
    <col min="12" max="12" width="7.140625" style="1" customWidth="1"/>
    <col min="13" max="13" width="9.140625" style="1"/>
    <col min="14" max="14" width="9.5703125" style="1" customWidth="1"/>
    <col min="15" max="15" width="18.42578125" style="1" customWidth="1"/>
    <col min="16" max="16" width="17.140625" style="1" customWidth="1"/>
    <col min="17" max="17" width="14.85546875" style="1" customWidth="1"/>
    <col min="18" max="19" width="9.140625" style="1"/>
    <col min="20" max="20" width="12.140625" style="1" customWidth="1"/>
    <col min="21" max="21" width="9.140625" style="1"/>
    <col min="22" max="22" width="11.85546875" style="1" customWidth="1"/>
    <col min="23" max="23" width="9.140625" style="1"/>
    <col min="24" max="24" width="9.5703125" style="1" customWidth="1"/>
    <col min="25" max="25" width="16" style="1" customWidth="1"/>
    <col min="26" max="26" width="13.7109375" style="1" customWidth="1"/>
    <col min="27" max="16384" width="9.140625" style="1"/>
  </cols>
  <sheetData>
    <row r="1" spans="1:26" ht="33.75" x14ac:dyDescent="0.2">
      <c r="A1" s="5">
        <f>COUNTA(B:B) -1</f>
        <v>4</v>
      </c>
      <c r="B1" s="9" t="s">
        <v>52</v>
      </c>
      <c r="C1" s="29" t="s">
        <v>921</v>
      </c>
      <c r="D1" s="7" t="s">
        <v>222</v>
      </c>
      <c r="E1" s="7" t="s">
        <v>223</v>
      </c>
      <c r="F1" s="7" t="s">
        <v>672</v>
      </c>
      <c r="G1" s="7" t="s">
        <v>214</v>
      </c>
      <c r="H1" s="7" t="s">
        <v>224</v>
      </c>
      <c r="I1" s="7" t="s">
        <v>54</v>
      </c>
      <c r="J1" s="7" t="s">
        <v>216</v>
      </c>
      <c r="K1" s="8" t="s">
        <v>57</v>
      </c>
      <c r="L1" s="7" t="s">
        <v>923</v>
      </c>
      <c r="M1" s="7" t="s">
        <v>169</v>
      </c>
      <c r="N1" s="7" t="s">
        <v>924</v>
      </c>
      <c r="O1" s="7" t="s">
        <v>226</v>
      </c>
      <c r="P1" s="7" t="s">
        <v>870</v>
      </c>
      <c r="Q1" s="7" t="s">
        <v>67</v>
      </c>
      <c r="R1" s="7" t="s">
        <v>935</v>
      </c>
      <c r="S1" s="7" t="s">
        <v>936</v>
      </c>
      <c r="T1" s="7" t="s">
        <v>215</v>
      </c>
      <c r="U1" s="7" t="s">
        <v>671</v>
      </c>
      <c r="V1" s="7" t="s">
        <v>405</v>
      </c>
      <c r="W1" s="7" t="s">
        <v>406</v>
      </c>
      <c r="X1" s="7" t="s">
        <v>925</v>
      </c>
      <c r="Y1" s="7" t="s">
        <v>42</v>
      </c>
      <c r="Z1" s="7" t="s">
        <v>928</v>
      </c>
    </row>
    <row r="2" spans="1:26" x14ac:dyDescent="0.2">
      <c r="A2" s="31" t="s">
        <v>457</v>
      </c>
      <c r="B2" s="2" t="s">
        <v>1112</v>
      </c>
      <c r="C2" s="4" t="str">
        <f>IF($B2="","",  VLOOKUP($B2, Propostas!$B:$BE, 33, FALSE) )</f>
        <v>NÃO</v>
      </c>
      <c r="D2" s="4" t="str">
        <f>IF($B2="","",  VLOOKUP($B2, Propostas!$B:$BE, 34, FALSE) )</f>
        <v>SIM</v>
      </c>
      <c r="E2" s="4" t="str">
        <f>IF($B2="","",  VLOOKUP($B2, Propostas!$B:$BE, 35, FALSE) )</f>
        <v>SIM</v>
      </c>
      <c r="F2" s="4" t="str">
        <f>IF($B2="","",  VLOOKUP($B2, Propostas!$B:$BE, 2, FALSE) )</f>
        <v>PRJ00021293</v>
      </c>
      <c r="G2" s="4" t="str">
        <f>IF($B2="","",  VLOOKUP($B2, Propostas!$B:$BE, 3, FALSE) )</f>
        <v>PROP00020171</v>
      </c>
      <c r="H2" s="4">
        <f>IF($B2="","",  VLOOKUP($B2, Propostas!$B:$BE, 4, FALSE) )</f>
        <v>1</v>
      </c>
      <c r="I2" s="4" t="str">
        <f>IF($B2="","",  VLOOKUP($B2, Propostas!$B:$BE, 38, FALSE) )</f>
        <v>SERVIÇOS</v>
      </c>
      <c r="J2" s="13" t="str">
        <f>IF($B2="","",IF($C2="SIM", "&lt; INFRRAESTRUTURA &gt;", VLOOKUP($B2,Propostas!$B:$BE,41,FALSE)))</f>
        <v>IBM - Torre I - Faturamento e Mediação (Extrabaseline)</v>
      </c>
      <c r="K2" s="10">
        <f>IF($B2="","",  VLOOKUP($B2, Propostas!$B:$BE, 40, FALSE) )</f>
        <v>4600042486</v>
      </c>
      <c r="L2" s="10" t="str">
        <f>IF($B2="","",IF(VLOOKUP($B2,Propostas!$B:$BE,21,FALSE)=1,"B",IF(VLOOKUP($B2,Propostas!$B:$BE,21,FALSE)=2,"E","N")))</f>
        <v>E</v>
      </c>
      <c r="M2" s="32" t="str">
        <f>IF($B2 = "", "",  VLOOKUP($B2, Propostas!$B:$BE, 46, FALSE) )</f>
        <v/>
      </c>
      <c r="N2" s="32" t="str">
        <f>IF($B2 = "", "",  VLOOKUP($B2, Propostas!$B:$BE, 47, FALSE) )</f>
        <v>IBM</v>
      </c>
      <c r="O2" s="13" t="str">
        <f>IF($B2="","",IF($C2="SIM", "INFRAESTRUTURA", VLOOKUP($B2, Propostas!$B:$BE,42,FALSE)))</f>
        <v>SISRAF - FATURAMENTO</v>
      </c>
      <c r="P2" s="32" t="str">
        <f>IF($B2 = "", "",  VLOOKUP($B2, Propostas!$B:$BE, 49, FALSE) )</f>
        <v/>
      </c>
      <c r="Q2" s="13" t="str">
        <f>IF($B2="","",  VLOOKUP($B2, Propostas!$B:$BE, 39, FALSE) )</f>
        <v>Oi Fixa R1</v>
      </c>
      <c r="R2" s="81">
        <f>IF($B2="","",  VLOOKUP($B2, Propostas!$B:$BE, 43, FALSE) )</f>
        <v>30.38</v>
      </c>
      <c r="S2" s="81">
        <f>IF($B2="","",  VLOOKUP($B2, Propostas!$B:$BE, 44, FALSE) )</f>
        <v>88.5</v>
      </c>
      <c r="T2" s="81">
        <f>IF($B2="","",  VLOOKUP($B2, Propostas!$B:$BE, 45, FALSE) )</f>
        <v>2688.63</v>
      </c>
      <c r="U2" s="32" t="str">
        <f>IF($B2="","",  VLOOKUP($B2, Propostas!$B:$BE, 37, FALSE) )</f>
        <v>AF00006693</v>
      </c>
      <c r="V2" s="13" t="str">
        <f>IF($B2="","",  VLOOKUP($B2, Propostas!$B:$BE, 50, FALSE) )</f>
        <v/>
      </c>
      <c r="W2" s="13" t="str">
        <f>IF($B2="","",  VLOOKUP($B2, Propostas!$B:$BE, 51, FALSE) )</f>
        <v/>
      </c>
      <c r="X2" s="13" t="str">
        <f>IF($B2="","",  VLOOKUP($B2, Propostas!$B:$BE, 52, FALSE) )</f>
        <v/>
      </c>
      <c r="Y2" s="13" t="str">
        <f>IF($B2="","",  VLOOKUP($B2, Propostas!$B:$BE, 36, FALSE) )</f>
        <v>Custo Final</v>
      </c>
      <c r="Z2" s="13" t="str">
        <f>IF($B2="","",  VLOOKUP($F2, VW_PROJETO!B:C, 2, FALSE) )</f>
        <v>PRJ00021292</v>
      </c>
    </row>
    <row r="3" spans="1:26" x14ac:dyDescent="0.2">
      <c r="A3" s="86">
        <f>COUNTIFS(C:C, "NÃO")</f>
        <v>4</v>
      </c>
      <c r="B3" s="2" t="s">
        <v>1113</v>
      </c>
      <c r="C3" s="4" t="str">
        <f>IF($B3="","",  VLOOKUP($B3, Propostas!$B:$BE, 33, FALSE) )</f>
        <v>NÃO</v>
      </c>
      <c r="D3" s="4" t="str">
        <f>IF($B3="","",  VLOOKUP($B3, Propostas!$B:$BE, 34, FALSE) )</f>
        <v>SIM</v>
      </c>
      <c r="E3" s="4" t="str">
        <f>IF($B3="","",  VLOOKUP($B3, Propostas!$B:$BE, 35, FALSE) )</f>
        <v>SIM</v>
      </c>
      <c r="F3" s="4" t="str">
        <f>IF($B3="","",  VLOOKUP($B3, Propostas!$B:$BE, 2, FALSE) )</f>
        <v>PRJ00021293</v>
      </c>
      <c r="G3" s="4" t="str">
        <f>IF($B3="","",  VLOOKUP($B3, Propostas!$B:$BE, 3, FALSE) )</f>
        <v>PROP00020173</v>
      </c>
      <c r="H3" s="4">
        <f>IF($B3="","",  VLOOKUP($B3, Propostas!$B:$BE, 4, FALSE) )</f>
        <v>1</v>
      </c>
      <c r="I3" s="4" t="str">
        <f>IF($B3="","",  VLOOKUP($B3, Propostas!$B:$BE, 38, FALSE) )</f>
        <v>SERVIÇOS</v>
      </c>
      <c r="J3" s="13" t="str">
        <f>IF($B3="","",IF($C3="SIM", "&lt; INFRRAESTRUTURA &gt;", VLOOKUP($B3,Propostas!$B:$BE,41,FALSE)))</f>
        <v>IBM - Torre I - Faturamento e Mediação (Extrabaseline)</v>
      </c>
      <c r="K3" s="10">
        <f>IF($B3="","",  VLOOKUP($B3, Propostas!$B:$BE, 40, FALSE) )</f>
        <v>4600042486</v>
      </c>
      <c r="L3" s="10" t="str">
        <f>IF($B3="","",IF(VLOOKUP($B3,Propostas!$B:$BE,21,FALSE)=1,"B",IF(VLOOKUP($B3,Propostas!$B:$BE,21,FALSE)=2,"E","N")))</f>
        <v>E</v>
      </c>
      <c r="M3" s="32" t="str">
        <f>IF($B3 = "", "",  VLOOKUP($B3, Propostas!$B:$BE, 46, FALSE) )</f>
        <v/>
      </c>
      <c r="N3" s="32" t="str">
        <f>IF($B3 = "", "",  VLOOKUP($B3, Propostas!$B:$BE, 47, FALSE) )</f>
        <v>IBM</v>
      </c>
      <c r="O3" s="13" t="str">
        <f>IF($B3="","",IF($C3="SIM", "INFRAESTRUTURA", VLOOKUP($B3, Propostas!$B:$BE,42,FALSE)))</f>
        <v>(OI R2) SFA</v>
      </c>
      <c r="P3" s="32" t="str">
        <f>IF($B3 = "", "",  VLOOKUP($B3, Propostas!$B:$BE, 49, FALSE) )</f>
        <v/>
      </c>
      <c r="Q3" s="13" t="str">
        <f>IF($B3="","",  VLOOKUP($B3, Propostas!$B:$BE, 39, FALSE) )</f>
        <v>BTSA Fixa R2</v>
      </c>
      <c r="R3" s="81">
        <f>IF($B3="","",  VLOOKUP($B3, Propostas!$B:$BE, 43, FALSE) )</f>
        <v>45.57</v>
      </c>
      <c r="S3" s="81">
        <f>IF($B3="","",  VLOOKUP($B3, Propostas!$B:$BE, 44, FALSE) )</f>
        <v>88.5</v>
      </c>
      <c r="T3" s="81">
        <f>IF($B3="","",  VLOOKUP($B3, Propostas!$B:$BE, 45, FALSE) )</f>
        <v>4032.9450000000002</v>
      </c>
      <c r="U3" s="32" t="str">
        <f>IF($B3="","",  VLOOKUP($B3, Propostas!$B:$BE, 37, FALSE) )</f>
        <v>AF00006693</v>
      </c>
      <c r="V3" s="13" t="str">
        <f>IF($B3="","",  VLOOKUP($B3, Propostas!$B:$BE, 50, FALSE) )</f>
        <v/>
      </c>
      <c r="W3" s="13" t="str">
        <f>IF($B3="","",  VLOOKUP($B3, Propostas!$B:$BE, 51, FALSE) )</f>
        <v/>
      </c>
      <c r="X3" s="13" t="str">
        <f>IF($B3="","",  VLOOKUP($B3, Propostas!$B:$BE, 52, FALSE) )</f>
        <v/>
      </c>
      <c r="Y3" s="13" t="str">
        <f>IF($B3="","",  VLOOKUP($B3, Propostas!$B:$BE, 36, FALSE) )</f>
        <v>Custo Final</v>
      </c>
      <c r="Z3" s="13" t="str">
        <f>IF($B3="","",  VLOOKUP($F3, VW_PROJETO!B:C, 2, FALSE) )</f>
        <v>PRJ00021292</v>
      </c>
    </row>
    <row r="4" spans="1:26" x14ac:dyDescent="0.2">
      <c r="A4" s="31" t="s">
        <v>448</v>
      </c>
      <c r="B4" s="2" t="s">
        <v>1114</v>
      </c>
      <c r="C4" s="4" t="str">
        <f>IF($B4="","",  VLOOKUP($B4, Propostas!$B:$BE, 33, FALSE) )</f>
        <v>NÃO</v>
      </c>
      <c r="D4" s="4" t="str">
        <f>IF($B4="","",  VLOOKUP($B4, Propostas!$B:$BE, 34, FALSE) )</f>
        <v>SIM</v>
      </c>
      <c r="E4" s="4" t="str">
        <f>IF($B4="","",  VLOOKUP($B4, Propostas!$B:$BE, 35, FALSE) )</f>
        <v>SIM</v>
      </c>
      <c r="F4" s="4" t="str">
        <f>IF($B4="","",  VLOOKUP($B4, Propostas!$B:$BE, 2, FALSE) )</f>
        <v>PRJ00021293</v>
      </c>
      <c r="G4" s="4" t="str">
        <f>IF($B4="","",  VLOOKUP($B4, Propostas!$B:$BE, 3, FALSE) )</f>
        <v>PROP00020172</v>
      </c>
      <c r="H4" s="4">
        <f>IF($B4="","",  VLOOKUP($B4, Propostas!$B:$BE, 4, FALSE) )</f>
        <v>1</v>
      </c>
      <c r="I4" s="4" t="str">
        <f>IF($B4="","",  VLOOKUP($B4, Propostas!$B:$BE, 38, FALSE) )</f>
        <v>SERVIÇOS</v>
      </c>
      <c r="J4" s="13" t="str">
        <f>IF($B4="","",IF($C4="SIM", "&lt; INFRRAESTRUTURA &gt;", VLOOKUP($B4,Propostas!$B:$BE,41,FALSE)))</f>
        <v>IBM - Torre I - Faturamento e Mediação (Extrabaseline)</v>
      </c>
      <c r="K4" s="10">
        <f>IF($B4="","",  VLOOKUP($B4, Propostas!$B:$BE, 40, FALSE) )</f>
        <v>4600042486</v>
      </c>
      <c r="L4" s="10" t="str">
        <f>IF($B4="","",IF(VLOOKUP($B4,Propostas!$B:$BE,21,FALSE)=1,"B",IF(VLOOKUP($B4,Propostas!$B:$BE,21,FALSE)=2,"E","N")))</f>
        <v>E</v>
      </c>
      <c r="M4" s="32" t="str">
        <f>IF($B4 = "", "",  VLOOKUP($B4, Propostas!$B:$BE, 46, FALSE) )</f>
        <v/>
      </c>
      <c r="N4" s="32" t="str">
        <f>IF($B4 = "", "",  VLOOKUP($B4, Propostas!$B:$BE, 47, FALSE) )</f>
        <v>IBM</v>
      </c>
      <c r="O4" s="13" t="str">
        <f>IF($B4="","",IF($C4="SIM", "INFRAESTRUTURA", VLOOKUP($B4, Propostas!$B:$BE,42,FALSE)))</f>
        <v>SISRAF - ARRECADACAO</v>
      </c>
      <c r="P4" s="32" t="str">
        <f>IF($B4 = "", "",  VLOOKUP($B4, Propostas!$B:$BE, 49, FALSE) )</f>
        <v/>
      </c>
      <c r="Q4" s="13" t="str">
        <f>IF($B4="","",  VLOOKUP($B4, Propostas!$B:$BE, 39, FALSE) )</f>
        <v>Oi Fixa R1</v>
      </c>
      <c r="R4" s="81">
        <f>IF($B4="","",  VLOOKUP($B4, Propostas!$B:$BE, 43, FALSE) )</f>
        <v>45.57</v>
      </c>
      <c r="S4" s="81">
        <f>IF($B4="","",  VLOOKUP($B4, Propostas!$B:$BE, 44, FALSE) )</f>
        <v>88.5</v>
      </c>
      <c r="T4" s="81">
        <f>IF($B4="","",  VLOOKUP($B4, Propostas!$B:$BE, 45, FALSE) )</f>
        <v>4032.9450000000002</v>
      </c>
      <c r="U4" s="32" t="str">
        <f>IF($B4="","",  VLOOKUP($B4, Propostas!$B:$BE, 37, FALSE) )</f>
        <v>AF00006693</v>
      </c>
      <c r="V4" s="13" t="str">
        <f>IF($B4="","",  VLOOKUP($B4, Propostas!$B:$BE, 50, FALSE) )</f>
        <v/>
      </c>
      <c r="W4" s="13" t="str">
        <f>IF($B4="","",  VLOOKUP($B4, Propostas!$B:$BE, 51, FALSE) )</f>
        <v/>
      </c>
      <c r="X4" s="13" t="str">
        <f>IF($B4="","",  VLOOKUP($B4, Propostas!$B:$BE, 52, FALSE) )</f>
        <v/>
      </c>
      <c r="Y4" s="13" t="str">
        <f>IF($B4="","",  VLOOKUP($B4, Propostas!$B:$BE, 36, FALSE) )</f>
        <v>Custo Final</v>
      </c>
      <c r="Z4" s="13" t="str">
        <f>IF($B4="","",  VLOOKUP($F4, VW_PROJETO!B:C, 2, FALSE) )</f>
        <v>PRJ00021292</v>
      </c>
    </row>
    <row r="5" spans="1:26" x14ac:dyDescent="0.2">
      <c r="A5" s="86">
        <f>COUNTIFS(C:C, "SIM")</f>
        <v>0</v>
      </c>
      <c r="B5" s="2" t="s">
        <v>1115</v>
      </c>
      <c r="C5" s="4" t="str">
        <f>IF($B5="","",  VLOOKUP($B5, Propostas!$B:$BE, 33, FALSE) )</f>
        <v>NÃO</v>
      </c>
      <c r="D5" s="4" t="str">
        <f>IF($B5="","",  VLOOKUP($B5, Propostas!$B:$BE, 34, FALSE) )</f>
        <v>SIM</v>
      </c>
      <c r="E5" s="4" t="str">
        <f>IF($B5="","",  VLOOKUP($B5, Propostas!$B:$BE, 35, FALSE) )</f>
        <v>SIM</v>
      </c>
      <c r="F5" s="4" t="str">
        <f>IF($B5="","",  VLOOKUP($B5, Propostas!$B:$BE, 2, FALSE) )</f>
        <v>PRJ00021293</v>
      </c>
      <c r="G5" s="4" t="str">
        <f>IF($B5="","",  VLOOKUP($B5, Propostas!$B:$BE, 3, FALSE) )</f>
        <v>PROP00020174</v>
      </c>
      <c r="H5" s="4">
        <f>IF($B5="","",  VLOOKUP($B5, Propostas!$B:$BE, 4, FALSE) )</f>
        <v>1</v>
      </c>
      <c r="I5" s="4" t="str">
        <f>IF($B5="","",  VLOOKUP($B5, Propostas!$B:$BE, 38, FALSE) )</f>
        <v>SERVIÇOS</v>
      </c>
      <c r="J5" s="13" t="str">
        <f>IF($B5="","",IF($C5="SIM", "&lt; INFRRAESTRUTURA &gt;", VLOOKUP($B5,Propostas!$B:$BE,41,FALSE)))</f>
        <v>IBM - Torre I - Faturamento e Mediação (Extrabaseline)</v>
      </c>
      <c r="K5" s="10">
        <f>IF($B5="","",  VLOOKUP($B5, Propostas!$B:$BE, 40, FALSE) )</f>
        <v>4600042486</v>
      </c>
      <c r="L5" s="10" t="str">
        <f>IF($B5="","",IF(VLOOKUP($B5,Propostas!$B:$BE,21,FALSE)=1,"B",IF(VLOOKUP($B5,Propostas!$B:$BE,21,FALSE)=2,"E","N")))</f>
        <v>E</v>
      </c>
      <c r="M5" s="32" t="str">
        <f>IF($B5 = "", "",  VLOOKUP($B5, Propostas!$B:$BE, 46, FALSE) )</f>
        <v/>
      </c>
      <c r="N5" s="32" t="str">
        <f>IF($B5 = "", "",  VLOOKUP($B5, Propostas!$B:$BE, 47, FALSE) )</f>
        <v>IBM</v>
      </c>
      <c r="O5" s="13" t="str">
        <f>IF($B5="","",IF($C5="SIM", "INFRAESTRUTURA", VLOOKUP($B5, Propostas!$B:$BE,42,FALSE)))</f>
        <v>(OI R2) SAG</v>
      </c>
      <c r="P5" s="32" t="str">
        <f>IF($B5 = "", "",  VLOOKUP($B5, Propostas!$B:$BE, 49, FALSE) )</f>
        <v/>
      </c>
      <c r="Q5" s="13" t="str">
        <f>IF($B5="","",  VLOOKUP($B5, Propostas!$B:$BE, 39, FALSE) )</f>
        <v>BTSA Fixa R2</v>
      </c>
      <c r="R5" s="81">
        <f>IF($B5="","",  VLOOKUP($B5, Propostas!$B:$BE, 43, FALSE) )</f>
        <v>45.57</v>
      </c>
      <c r="S5" s="81">
        <f>IF($B5="","",  VLOOKUP($B5, Propostas!$B:$BE, 44, FALSE) )</f>
        <v>88.5</v>
      </c>
      <c r="T5" s="81">
        <f>IF($B5="","",  VLOOKUP($B5, Propostas!$B:$BE, 45, FALSE) )</f>
        <v>4032.9450000000002</v>
      </c>
      <c r="U5" s="32" t="str">
        <f>IF($B5="","",  VLOOKUP($B5, Propostas!$B:$BE, 37, FALSE) )</f>
        <v>AF00006693</v>
      </c>
      <c r="V5" s="13" t="str">
        <f>IF($B5="","",  VLOOKUP($B5, Propostas!$B:$BE, 50, FALSE) )</f>
        <v/>
      </c>
      <c r="W5" s="13" t="str">
        <f>IF($B5="","",  VLOOKUP($B5, Propostas!$B:$BE, 51, FALSE) )</f>
        <v/>
      </c>
      <c r="X5" s="13" t="str">
        <f>IF($B5="","",  VLOOKUP($B5, Propostas!$B:$BE, 52, FALSE) )</f>
        <v/>
      </c>
      <c r="Y5" s="13" t="str">
        <f>IF($B5="","",  VLOOKUP($B5, Propostas!$B:$BE, 36, FALSE) )</f>
        <v>Custo Final</v>
      </c>
      <c r="Z5" s="13" t="str">
        <f>IF($B5="","",  VLOOKUP($F5, VW_PROJETO!B:C, 2, FALSE) )</f>
        <v>PRJ00021292</v>
      </c>
    </row>
    <row r="6" spans="1:26" x14ac:dyDescent="0.2">
      <c r="A6" s="31" t="s">
        <v>53</v>
      </c>
      <c r="B6" s="2"/>
      <c r="C6" s="4" t="str">
        <f>IF($B6="","",  VLOOKUP($B6, Propostas!$B:$BE, 33, FALSE) )</f>
        <v/>
      </c>
      <c r="D6" s="4" t="str">
        <f>IF($B6="","",  VLOOKUP($B6, Propostas!$B:$BE, 34, FALSE) )</f>
        <v/>
      </c>
      <c r="E6" s="4" t="str">
        <f>IF($B6="","",  VLOOKUP($B6, Propostas!$B:$BE, 35, FALSE) )</f>
        <v/>
      </c>
      <c r="F6" s="4" t="str">
        <f>IF($B6="","",  VLOOKUP($B6, Propostas!$B:$BE, 2, FALSE) )</f>
        <v/>
      </c>
      <c r="G6" s="4" t="str">
        <f>IF($B6="","",  VLOOKUP($B6, Propostas!$B:$BE, 3, FALSE) )</f>
        <v/>
      </c>
      <c r="H6" s="4" t="str">
        <f>IF($B6="","",  VLOOKUP($B6, Propostas!$B:$BE, 4, FALSE) )</f>
        <v/>
      </c>
      <c r="I6" s="4" t="str">
        <f>IF($B6="","",  VLOOKUP($B6, Propostas!$B:$BE, 38, FALSE) )</f>
        <v/>
      </c>
      <c r="J6" s="13" t="str">
        <f>IF($B6="","",IF($C6="SIM", "&lt; INFRRAESTRUTURA &gt;", VLOOKUP($B6,Propostas!$B:$BE,41,FALSE)))</f>
        <v/>
      </c>
      <c r="K6" s="10" t="str">
        <f>IF($B6="","",  VLOOKUP($B6, Propostas!$B:$BE, 40, FALSE) )</f>
        <v/>
      </c>
      <c r="L6" s="10" t="str">
        <f>IF($B6="","",IF(VLOOKUP($B6,Propostas!$B:$BE,21,FALSE)=1,"B",IF(VLOOKUP($B6,Propostas!$B:$BE,21,FALSE)=2,"E","N")))</f>
        <v/>
      </c>
      <c r="M6" s="32" t="str">
        <f>IF($B6 = "", "",  VLOOKUP($B6, Propostas!$B:$BE, 46, FALSE) )</f>
        <v/>
      </c>
      <c r="N6" s="32" t="str">
        <f>IF($B6 = "", "",  VLOOKUP($B6, Propostas!$B:$BE, 47, FALSE) )</f>
        <v/>
      </c>
      <c r="O6" s="13" t="str">
        <f>IF($B6="","",IF($C6="SIM", "INFRAESTRUTURA", VLOOKUP($B6, Propostas!$B:$BE,42,FALSE)))</f>
        <v/>
      </c>
      <c r="P6" s="32" t="str">
        <f>IF($B6 = "", "",  VLOOKUP($B6, Propostas!$B:$BE, 49, FALSE) )</f>
        <v/>
      </c>
      <c r="Q6" s="13" t="str">
        <f>IF($B6="","",  VLOOKUP($B6, Propostas!$B:$BE, 39, FALSE) )</f>
        <v/>
      </c>
      <c r="R6" s="81" t="str">
        <f>IF($B6="","",  VLOOKUP($B6, Propostas!$B:$BE, 43, FALSE) )</f>
        <v/>
      </c>
      <c r="S6" s="81" t="str">
        <f>IF($B6="","",  VLOOKUP($B6, Propostas!$B:$BE, 44, FALSE) )</f>
        <v/>
      </c>
      <c r="T6" s="81" t="str">
        <f>IF($B6="","",  VLOOKUP($B6, Propostas!$B:$BE, 45, FALSE) )</f>
        <v/>
      </c>
      <c r="U6" s="32" t="str">
        <f>IF($B6="","",  VLOOKUP($B6, Propostas!$B:$BE, 37, FALSE) )</f>
        <v/>
      </c>
      <c r="V6" s="13" t="str">
        <f>IF($B6="","",  VLOOKUP($B6, Propostas!$B:$BE, 50, FALSE) )</f>
        <v/>
      </c>
      <c r="W6" s="13" t="str">
        <f>IF($B6="","",  VLOOKUP($B6, Propostas!$B:$BE, 51, FALSE) )</f>
        <v/>
      </c>
      <c r="X6" s="13" t="str">
        <f>IF($B6="","",  VLOOKUP($B6, Propostas!$B:$BE, 52, FALSE) )</f>
        <v/>
      </c>
      <c r="Y6" s="13" t="str">
        <f>IF($B6="","",  VLOOKUP($B6, Propostas!$B:$BE, 36, FALSE) )</f>
        <v/>
      </c>
      <c r="Z6" s="13" t="str">
        <f>IF($B6="","",  VLOOKUP($F6, VW_PROJETO!B:C, 2, FALSE) )</f>
        <v/>
      </c>
    </row>
    <row r="7" spans="1:26" ht="11.25" customHeight="1" x14ac:dyDescent="0.2">
      <c r="A7" s="86">
        <f>COUNTA(Defesa!$C$8:$C$30)</f>
        <v>1</v>
      </c>
      <c r="B7" s="2"/>
      <c r="C7" s="4" t="str">
        <f>IF($B7="","",  VLOOKUP($B7, Propostas!$B:$BE, 33, FALSE) )</f>
        <v/>
      </c>
      <c r="D7" s="4" t="str">
        <f>IF($B7="","",  VLOOKUP($B7, Propostas!$B:$BE, 34, FALSE) )</f>
        <v/>
      </c>
      <c r="E7" s="4" t="str">
        <f>IF($B7="","",  VLOOKUP($B7, Propostas!$B:$BE, 35, FALSE) )</f>
        <v/>
      </c>
      <c r="F7" s="4" t="str">
        <f>IF($B7="","",  VLOOKUP($B7, Propostas!$B:$BE, 2, FALSE) )</f>
        <v/>
      </c>
      <c r="G7" s="4" t="str">
        <f>IF($B7="","",  VLOOKUP($B7, Propostas!$B:$BE, 3, FALSE) )</f>
        <v/>
      </c>
      <c r="H7" s="4" t="str">
        <f>IF($B7="","",  VLOOKUP($B7, Propostas!$B:$BE, 4, FALSE) )</f>
        <v/>
      </c>
      <c r="I7" s="4" t="str">
        <f>IF($B7="","",  VLOOKUP($B7, Propostas!$B:$BE, 38, FALSE) )</f>
        <v/>
      </c>
      <c r="J7" s="13" t="str">
        <f>IF($B7="","",IF($C7="SIM", "&lt; INFRRAESTRUTURA &gt;", VLOOKUP($B7,Propostas!$B:$BE,41,FALSE)))</f>
        <v/>
      </c>
      <c r="K7" s="10" t="str">
        <f>IF($B7="","",  VLOOKUP($B7, Propostas!$B:$BE, 40, FALSE) )</f>
        <v/>
      </c>
      <c r="L7" s="10" t="str">
        <f>IF($B7="","",IF(VLOOKUP($B7,Propostas!$B:$BE,21,FALSE)=1,"B",IF(VLOOKUP($B7,Propostas!$B:$BE,21,FALSE)=2,"E","N")))</f>
        <v/>
      </c>
      <c r="M7" s="32" t="str">
        <f>IF($B7 = "", "",  VLOOKUP($B7, Propostas!$B:$BE, 46, FALSE) )</f>
        <v/>
      </c>
      <c r="N7" s="32" t="str">
        <f>IF($B7 = "", "",  VLOOKUP($B7, Propostas!$B:$BE, 47, FALSE) )</f>
        <v/>
      </c>
      <c r="O7" s="13" t="str">
        <f>IF($B7="","",IF($C7="SIM", "INFRAESTRUTURA", VLOOKUP($B7, Propostas!$B:$BE,42,FALSE)))</f>
        <v/>
      </c>
      <c r="P7" s="32" t="str">
        <f>IF($B7 = "", "",  VLOOKUP($B7, Propostas!$B:$BE, 49, FALSE) )</f>
        <v/>
      </c>
      <c r="Q7" s="13" t="str">
        <f>IF($B7="","",  VLOOKUP($B7, Propostas!$B:$BE, 39, FALSE) )</f>
        <v/>
      </c>
      <c r="R7" s="81" t="str">
        <f>IF($B7="","",  VLOOKUP($B7, Propostas!$B:$BE, 43, FALSE) )</f>
        <v/>
      </c>
      <c r="S7" s="81" t="str">
        <f>IF($B7="","",  VLOOKUP($B7, Propostas!$B:$BE, 44, FALSE) )</f>
        <v/>
      </c>
      <c r="T7" s="81" t="str">
        <f>IF($B7="","",  VLOOKUP($B7, Propostas!$B:$BE, 45, FALSE) )</f>
        <v/>
      </c>
      <c r="U7" s="32" t="str">
        <f>IF($B7="","",  VLOOKUP($B7, Propostas!$B:$BE, 37, FALSE) )</f>
        <v/>
      </c>
      <c r="V7" s="13" t="str">
        <f>IF($B7="","",  VLOOKUP($B7, Propostas!$B:$BE, 50, FALSE) )</f>
        <v/>
      </c>
      <c r="W7" s="13" t="str">
        <f>IF($B7="","",  VLOOKUP($B7, Propostas!$B:$BE, 51, FALSE) )</f>
        <v/>
      </c>
      <c r="X7" s="13" t="str">
        <f>IF($B7="","",  VLOOKUP($B7, Propostas!$B:$BE, 52, FALSE) )</f>
        <v/>
      </c>
      <c r="Y7" s="13" t="str">
        <f>IF($B7="","",  VLOOKUP($B7, Propostas!$B:$BE, 36, FALSE) )</f>
        <v/>
      </c>
      <c r="Z7" s="13" t="str">
        <f>IF($B7="","",  VLOOKUP($F7, VW_PROJETO!B:C, 2, FALSE) )</f>
        <v/>
      </c>
    </row>
    <row r="8" spans="1:26" x14ac:dyDescent="0.2">
      <c r="A8" s="31" t="s">
        <v>931</v>
      </c>
      <c r="B8" s="2"/>
      <c r="C8" s="4" t="str">
        <f>IF($B8="","",  VLOOKUP($B8, Propostas!$B:$BE, 33, FALSE) )</f>
        <v/>
      </c>
      <c r="D8" s="4" t="str">
        <f>IF($B8="","",  VLOOKUP($B8, Propostas!$B:$BE, 34, FALSE) )</f>
        <v/>
      </c>
      <c r="E8" s="4" t="str">
        <f>IF($B8="","",  VLOOKUP($B8, Propostas!$B:$BE, 35, FALSE) )</f>
        <v/>
      </c>
      <c r="F8" s="4" t="str">
        <f>IF($B8="","",  VLOOKUP($B8, Propostas!$B:$BE, 2, FALSE) )</f>
        <v/>
      </c>
      <c r="G8" s="4" t="str">
        <f>IF($B8="","",  VLOOKUP($B8, Propostas!$B:$BE, 3, FALSE) )</f>
        <v/>
      </c>
      <c r="H8" s="4" t="str">
        <f>IF($B8="","",  VLOOKUP($B8, Propostas!$B:$BE, 4, FALSE) )</f>
        <v/>
      </c>
      <c r="I8" s="4" t="str">
        <f>IF($B8="","",  VLOOKUP($B8, Propostas!$B:$BE, 38, FALSE) )</f>
        <v/>
      </c>
      <c r="J8" s="13" t="str">
        <f>IF($B8="","",IF($C8="SIM", "&lt; INFRRAESTRUTURA &gt;", VLOOKUP($B8,Propostas!$B:$BE,41,FALSE)))</f>
        <v/>
      </c>
      <c r="K8" s="10" t="str">
        <f>IF($B8="","",  VLOOKUP($B8, Propostas!$B:$BE, 40, FALSE) )</f>
        <v/>
      </c>
      <c r="L8" s="10" t="str">
        <f>IF($B8="","",IF(VLOOKUP($B8,Propostas!$B:$BE,21,FALSE)=1,"B",IF(VLOOKUP($B8,Propostas!$B:$BE,21,FALSE)=2,"E","N")))</f>
        <v/>
      </c>
      <c r="M8" s="32" t="str">
        <f>IF($B8 = "", "",  VLOOKUP($B8, Propostas!$B:$BE, 46, FALSE) )</f>
        <v/>
      </c>
      <c r="N8" s="32" t="str">
        <f>IF($B8 = "", "",  VLOOKUP($B8, Propostas!$B:$BE, 47, FALSE) )</f>
        <v/>
      </c>
      <c r="O8" s="13" t="str">
        <f>IF($B8="","",IF($C8="SIM", "INFRAESTRUTURA", VLOOKUP($B8, Propostas!$B:$BE,42,FALSE)))</f>
        <v/>
      </c>
      <c r="P8" s="32" t="str">
        <f>IF($B8 = "", "",  VLOOKUP($B8, Propostas!$B:$BE, 49, FALSE) )</f>
        <v/>
      </c>
      <c r="Q8" s="13" t="str">
        <f>IF($B8="","",  VLOOKUP($B8, Propostas!$B:$BE, 39, FALSE) )</f>
        <v/>
      </c>
      <c r="R8" s="81" t="str">
        <f>IF($B8="","",  VLOOKUP($B8, Propostas!$B:$BE, 43, FALSE) )</f>
        <v/>
      </c>
      <c r="S8" s="81" t="str">
        <f>IF($B8="","",  VLOOKUP($B8, Propostas!$B:$BE, 44, FALSE) )</f>
        <v/>
      </c>
      <c r="T8" s="81" t="str">
        <f>IF($B8="","",  VLOOKUP($B8, Propostas!$B:$BE, 45, FALSE) )</f>
        <v/>
      </c>
      <c r="U8" s="32" t="str">
        <f>IF($B8="","",  VLOOKUP($B8, Propostas!$B:$BE, 37, FALSE) )</f>
        <v/>
      </c>
      <c r="V8" s="13" t="str">
        <f>IF($B8="","",  VLOOKUP($B8, Propostas!$B:$BE, 50, FALSE) )</f>
        <v/>
      </c>
      <c r="W8" s="13" t="str">
        <f>IF($B8="","",  VLOOKUP($B8, Propostas!$B:$BE, 51, FALSE) )</f>
        <v/>
      </c>
      <c r="X8" s="13" t="str">
        <f>IF($B8="","",  VLOOKUP($B8, Propostas!$B:$BE, 52, FALSE) )</f>
        <v/>
      </c>
      <c r="Y8" s="13" t="str">
        <f>IF($B8="","",  VLOOKUP($B8, Propostas!$B:$BE, 36, FALSE) )</f>
        <v/>
      </c>
      <c r="Z8" s="13" t="str">
        <f>IF($B8="","",  VLOOKUP($F8, VW_PROJETO!B:C, 2, FALSE) )</f>
        <v/>
      </c>
    </row>
    <row r="9" spans="1:26" x14ac:dyDescent="0.2">
      <c r="A9" s="87">
        <f>SUMIFS(T:T,C:C, "NÃO")</f>
        <v>14787.465</v>
      </c>
      <c r="B9" s="2"/>
      <c r="C9" s="4" t="str">
        <f>IF($B9="","",  VLOOKUP($B9, Propostas!$B:$BE, 33, FALSE) )</f>
        <v/>
      </c>
      <c r="D9" s="4" t="str">
        <f>IF($B9="","",  VLOOKUP($B9, Propostas!$B:$BE, 34, FALSE) )</f>
        <v/>
      </c>
      <c r="E9" s="4" t="str">
        <f>IF($B9="","",  VLOOKUP($B9, Propostas!$B:$BE, 35, FALSE) )</f>
        <v/>
      </c>
      <c r="F9" s="4" t="str">
        <f>IF($B9="","",  VLOOKUP($B9, Propostas!$B:$BE, 2, FALSE) )</f>
        <v/>
      </c>
      <c r="G9" s="4" t="str">
        <f>IF($B9="","",  VLOOKUP($B9, Propostas!$B:$BE, 3, FALSE) )</f>
        <v/>
      </c>
      <c r="H9" s="4" t="str">
        <f>IF($B9="","",  VLOOKUP($B9, Propostas!$B:$BE, 4, FALSE) )</f>
        <v/>
      </c>
      <c r="I9" s="4" t="str">
        <f>IF($B9="","",  VLOOKUP($B9, Propostas!$B:$BE, 38, FALSE) )</f>
        <v/>
      </c>
      <c r="J9" s="13" t="str">
        <f>IF($B9="","",IF($C9="SIM", "&lt; INFRRAESTRUTURA &gt;", VLOOKUP($B9,Propostas!$B:$BE,41,FALSE)))</f>
        <v/>
      </c>
      <c r="K9" s="10" t="str">
        <f>IF($B9="","",  VLOOKUP($B9, Propostas!$B:$BE, 40, FALSE) )</f>
        <v/>
      </c>
      <c r="L9" s="10" t="str">
        <f>IF($B9="","",IF(VLOOKUP($B9,Propostas!$B:$BE,21,FALSE)=1,"B",IF(VLOOKUP($B9,Propostas!$B:$BE,21,FALSE)=2,"E","N")))</f>
        <v/>
      </c>
      <c r="M9" s="32" t="str">
        <f>IF($B9 = "", "",  VLOOKUP($B9, Propostas!$B:$BE, 46, FALSE) )</f>
        <v/>
      </c>
      <c r="N9" s="32" t="str">
        <f>IF($B9 = "", "",  VLOOKUP($B9, Propostas!$B:$BE, 47, FALSE) )</f>
        <v/>
      </c>
      <c r="O9" s="13" t="str">
        <f>IF($B9="","",IF($C9="SIM", "INFRAESTRUTURA", VLOOKUP($B9, Propostas!$B:$BE,42,FALSE)))</f>
        <v/>
      </c>
      <c r="P9" s="32" t="str">
        <f>IF($B9 = "", "",  VLOOKUP($B9, Propostas!$B:$BE, 49, FALSE) )</f>
        <v/>
      </c>
      <c r="Q9" s="13" t="str">
        <f>IF($B9="","",  VLOOKUP($B9, Propostas!$B:$BE, 39, FALSE) )</f>
        <v/>
      </c>
      <c r="R9" s="81" t="str">
        <f>IF($B9="","",  VLOOKUP($B9, Propostas!$B:$BE, 43, FALSE) )</f>
        <v/>
      </c>
      <c r="S9" s="81" t="str">
        <f>IF($B9="","",  VLOOKUP($B9, Propostas!$B:$BE, 44, FALSE) )</f>
        <v/>
      </c>
      <c r="T9" s="81" t="str">
        <f>IF($B9="","",  VLOOKUP($B9, Propostas!$B:$BE, 45, FALSE) )</f>
        <v/>
      </c>
      <c r="U9" s="32" t="str">
        <f>IF($B9="","",  VLOOKUP($B9, Propostas!$B:$BE, 37, FALSE) )</f>
        <v/>
      </c>
      <c r="V9" s="13" t="str">
        <f>IF($B9="","",  VLOOKUP($B9, Propostas!$B:$BE, 50, FALSE) )</f>
        <v/>
      </c>
      <c r="W9" s="13" t="str">
        <f>IF($B9="","",  VLOOKUP($B9, Propostas!$B:$BE, 51, FALSE) )</f>
        <v/>
      </c>
      <c r="X9" s="13" t="str">
        <f>IF($B9="","",  VLOOKUP($B9, Propostas!$B:$BE, 52, FALSE) )</f>
        <v/>
      </c>
      <c r="Y9" s="13" t="str">
        <f>IF($B9="","",  VLOOKUP($B9, Propostas!$B:$BE, 36, FALSE) )</f>
        <v/>
      </c>
      <c r="Z9" s="13" t="str">
        <f>IF($B9="","",  VLOOKUP($F9, VW_PROJETO!B:C, 2, FALSE) )</f>
        <v/>
      </c>
    </row>
    <row r="10" spans="1:26" x14ac:dyDescent="0.2">
      <c r="A10" s="31" t="s">
        <v>932</v>
      </c>
      <c r="B10" s="2"/>
      <c r="C10" s="4" t="str">
        <f>IF($B10="","",  VLOOKUP($B10, Propostas!$B:$BE, 33, FALSE) )</f>
        <v/>
      </c>
      <c r="D10" s="4" t="str">
        <f>IF($B10="","",  VLOOKUP($B10, Propostas!$B:$BE, 34, FALSE) )</f>
        <v/>
      </c>
      <c r="E10" s="4" t="str">
        <f>IF($B10="","",  VLOOKUP($B10, Propostas!$B:$BE, 35, FALSE) )</f>
        <v/>
      </c>
      <c r="F10" s="4" t="str">
        <f>IF($B10="","",  VLOOKUP($B10, Propostas!$B:$BE, 2, FALSE) )</f>
        <v/>
      </c>
      <c r="G10" s="4" t="str">
        <f>IF($B10="","",  VLOOKUP($B10, Propostas!$B:$BE, 3, FALSE) )</f>
        <v/>
      </c>
      <c r="H10" s="4" t="str">
        <f>IF($B10="","",  VLOOKUP($B10, Propostas!$B:$BE, 4, FALSE) )</f>
        <v/>
      </c>
      <c r="I10" s="4" t="str">
        <f>IF($B10="","",  VLOOKUP($B10, Propostas!$B:$BE, 38, FALSE) )</f>
        <v/>
      </c>
      <c r="J10" s="13" t="str">
        <f>IF($B10="","",IF($C10="SIM", "&lt; INFRRAESTRUTURA &gt;", VLOOKUP($B10,Propostas!$B:$BE,41,FALSE)))</f>
        <v/>
      </c>
      <c r="K10" s="10" t="str">
        <f>IF($B10="","",  VLOOKUP($B10, Propostas!$B:$BE, 40, FALSE) )</f>
        <v/>
      </c>
      <c r="L10" s="10" t="str">
        <f>IF($B10="","",IF(VLOOKUP($B10,Propostas!$B:$BE,21,FALSE)=1,"B",IF(VLOOKUP($B10,Propostas!$B:$BE,21,FALSE)=2,"E","N")))</f>
        <v/>
      </c>
      <c r="M10" s="32" t="str">
        <f>IF($B10 = "", "",  VLOOKUP($B10, Propostas!$B:$BE, 46, FALSE) )</f>
        <v/>
      </c>
      <c r="N10" s="32" t="str">
        <f>IF($B10 = "", "",  VLOOKUP($B10, Propostas!$B:$BE, 47, FALSE) )</f>
        <v/>
      </c>
      <c r="O10" s="13" t="str">
        <f>IF($B10="","",IF($C10="SIM", "INFRAESTRUTURA", VLOOKUP($B10, Propostas!$B:$BE,42,FALSE)))</f>
        <v/>
      </c>
      <c r="P10" s="32" t="str">
        <f>IF($B10 = "", "",  VLOOKUP($B10, Propostas!$B:$BE, 49, FALSE) )</f>
        <v/>
      </c>
      <c r="Q10" s="13" t="str">
        <f>IF($B10="","",  VLOOKUP($B10, Propostas!$B:$BE, 39, FALSE) )</f>
        <v/>
      </c>
      <c r="R10" s="81" t="str">
        <f>IF($B10="","",  VLOOKUP($B10, Propostas!$B:$BE, 43, FALSE) )</f>
        <v/>
      </c>
      <c r="S10" s="81" t="str">
        <f>IF($B10="","",  VLOOKUP($B10, Propostas!$B:$BE, 44, FALSE) )</f>
        <v/>
      </c>
      <c r="T10" s="81" t="str">
        <f>IF($B10="","",  VLOOKUP($B10, Propostas!$B:$BE, 45, FALSE) )</f>
        <v/>
      </c>
      <c r="U10" s="32" t="str">
        <f>IF($B10="","",  VLOOKUP($B10, Propostas!$B:$BE, 37, FALSE) )</f>
        <v/>
      </c>
      <c r="V10" s="13" t="str">
        <f>IF($B10="","",  VLOOKUP($B10, Propostas!$B:$BE, 50, FALSE) )</f>
        <v/>
      </c>
      <c r="W10" s="13" t="str">
        <f>IF($B10="","",  VLOOKUP($B10, Propostas!$B:$BE, 51, FALSE) )</f>
        <v/>
      </c>
      <c r="X10" s="13" t="str">
        <f>IF($B10="","",  VLOOKUP($B10, Propostas!$B:$BE, 52, FALSE) )</f>
        <v/>
      </c>
      <c r="Y10" s="13" t="str">
        <f>IF($B10="","",  VLOOKUP($B10, Propostas!$B:$BE, 36, FALSE) )</f>
        <v/>
      </c>
      <c r="Z10" s="13" t="str">
        <f>IF($B10="","",  VLOOKUP($F10, VW_PROJETO!B:C, 2, FALSE) )</f>
        <v/>
      </c>
    </row>
    <row r="11" spans="1:26" x14ac:dyDescent="0.2">
      <c r="A11" s="87">
        <f>SUMIFS(T:T,C:C, "SIM")</f>
        <v>0</v>
      </c>
      <c r="B11" s="2"/>
      <c r="C11" s="4" t="str">
        <f>IF($B11="","",  VLOOKUP($B11, Propostas!$B:$BE, 33, FALSE) )</f>
        <v/>
      </c>
      <c r="D11" s="4" t="str">
        <f>IF($B11="","",  VLOOKUP($B11, Propostas!$B:$BE, 34, FALSE) )</f>
        <v/>
      </c>
      <c r="E11" s="4" t="str">
        <f>IF($B11="","",  VLOOKUP($B11, Propostas!$B:$BE, 35, FALSE) )</f>
        <v/>
      </c>
      <c r="F11" s="4" t="str">
        <f>IF($B11="","",  VLOOKUP($B11, Propostas!$B:$BE, 2, FALSE) )</f>
        <v/>
      </c>
      <c r="G11" s="4" t="str">
        <f>IF($B11="","",  VLOOKUP($B11, Propostas!$B:$BE, 3, FALSE) )</f>
        <v/>
      </c>
      <c r="H11" s="4" t="str">
        <f>IF($B11="","",  VLOOKUP($B11, Propostas!$B:$BE, 4, FALSE) )</f>
        <v/>
      </c>
      <c r="I11" s="4" t="str">
        <f>IF($B11="","",  VLOOKUP($B11, Propostas!$B:$BE, 38, FALSE) )</f>
        <v/>
      </c>
      <c r="J11" s="13" t="str">
        <f>IF($B11="","",IF($C11="SIM", "&lt; INFRRAESTRUTURA &gt;", VLOOKUP($B11,Propostas!$B:$BE,41,FALSE)))</f>
        <v/>
      </c>
      <c r="K11" s="10" t="str">
        <f>IF($B11="","",  VLOOKUP($B11, Propostas!$B:$BE, 40, FALSE) )</f>
        <v/>
      </c>
      <c r="L11" s="10" t="str">
        <f>IF($B11="","",IF(VLOOKUP($B11,Propostas!$B:$BE,21,FALSE)=1,"B",IF(VLOOKUP($B11,Propostas!$B:$BE,21,FALSE)=2,"E","N")))</f>
        <v/>
      </c>
      <c r="M11" s="32" t="str">
        <f>IF($B11 = "", "",  VLOOKUP($B11, Propostas!$B:$BE, 46, FALSE) )</f>
        <v/>
      </c>
      <c r="N11" s="32" t="str">
        <f>IF($B11 = "", "",  VLOOKUP($B11, Propostas!$B:$BE, 47, FALSE) )</f>
        <v/>
      </c>
      <c r="O11" s="13" t="str">
        <f>IF($B11="","",IF($C11="SIM", "INFRAESTRUTURA", VLOOKUP($B11, Propostas!$B:$BE,42,FALSE)))</f>
        <v/>
      </c>
      <c r="P11" s="32" t="str">
        <f>IF($B11 = "", "",  VLOOKUP($B11, Propostas!$B:$BE, 49, FALSE) )</f>
        <v/>
      </c>
      <c r="Q11" s="13" t="str">
        <f>IF($B11="","",  VLOOKUP($B11, Propostas!$B:$BE, 39, FALSE) )</f>
        <v/>
      </c>
      <c r="R11" s="81" t="str">
        <f>IF($B11="","",  VLOOKUP($B11, Propostas!$B:$BE, 43, FALSE) )</f>
        <v/>
      </c>
      <c r="S11" s="81" t="str">
        <f>IF($B11="","",  VLOOKUP($B11, Propostas!$B:$BE, 44, FALSE) )</f>
        <v/>
      </c>
      <c r="T11" s="81" t="str">
        <f>IF($B11="","",  VLOOKUP($B11, Propostas!$B:$BE, 45, FALSE) )</f>
        <v/>
      </c>
      <c r="U11" s="32" t="str">
        <f>IF($B11="","",  VLOOKUP($B11, Propostas!$B:$BE, 37, FALSE) )</f>
        <v/>
      </c>
      <c r="V11" s="13" t="str">
        <f>IF($B11="","",  VLOOKUP($B11, Propostas!$B:$BE, 50, FALSE) )</f>
        <v/>
      </c>
      <c r="W11" s="13" t="str">
        <f>IF($B11="","",  VLOOKUP($B11, Propostas!$B:$BE, 51, FALSE) )</f>
        <v/>
      </c>
      <c r="X11" s="13" t="str">
        <f>IF($B11="","",  VLOOKUP($B11, Propostas!$B:$BE, 52, FALSE) )</f>
        <v/>
      </c>
      <c r="Y11" s="13" t="str">
        <f>IF($B11="","",  VLOOKUP($B11, Propostas!$B:$BE, 36, FALSE) )</f>
        <v/>
      </c>
      <c r="Z11" s="13" t="str">
        <f>IF($B11="","",  VLOOKUP($F11, VW_PROJETO!B:C, 2, FALSE) )</f>
        <v/>
      </c>
    </row>
    <row r="12" spans="1:26" x14ac:dyDescent="0.2">
      <c r="A12" s="31" t="s">
        <v>934</v>
      </c>
      <c r="B12" s="2"/>
      <c r="C12" s="4" t="str">
        <f>IF($B12="","",  VLOOKUP($B12, Propostas!$B:$BE, 33, FALSE) )</f>
        <v/>
      </c>
      <c r="D12" s="4" t="str">
        <f>IF($B12="","",  VLOOKUP($B12, Propostas!$B:$BE, 34, FALSE) )</f>
        <v/>
      </c>
      <c r="E12" s="4" t="str">
        <f>IF($B12="","",  VLOOKUP($B12, Propostas!$B:$BE, 35, FALSE) )</f>
        <v/>
      </c>
      <c r="F12" s="4" t="str">
        <f>IF($B12="","",  VLOOKUP($B12, Propostas!$B:$BE, 2, FALSE) )</f>
        <v/>
      </c>
      <c r="G12" s="4" t="str">
        <f>IF($B12="","",  VLOOKUP($B12, Propostas!$B:$BE, 3, FALSE) )</f>
        <v/>
      </c>
      <c r="H12" s="4" t="str">
        <f>IF($B12="","",  VLOOKUP($B12, Propostas!$B:$BE, 4, FALSE) )</f>
        <v/>
      </c>
      <c r="I12" s="4" t="str">
        <f>IF($B12="","",  VLOOKUP($B12, Propostas!$B:$BE, 38, FALSE) )</f>
        <v/>
      </c>
      <c r="J12" s="13" t="str">
        <f>IF($B12="","",IF($C12="SIM", "&lt; INFRRAESTRUTURA &gt;", VLOOKUP($B12,Propostas!$B:$BE,41,FALSE)))</f>
        <v/>
      </c>
      <c r="K12" s="10" t="str">
        <f>IF($B12="","",  VLOOKUP($B12, Propostas!$B:$BE, 40, FALSE) )</f>
        <v/>
      </c>
      <c r="L12" s="10" t="str">
        <f>IF($B12="","",IF(VLOOKUP($B12,Propostas!$B:$BE,21,FALSE)=1,"B",IF(VLOOKUP($B12,Propostas!$B:$BE,21,FALSE)=2,"E","N")))</f>
        <v/>
      </c>
      <c r="M12" s="32" t="str">
        <f>IF($B12 = "", "",  VLOOKUP($B12, Propostas!$B:$BE, 46, FALSE) )</f>
        <v/>
      </c>
      <c r="N12" s="32" t="str">
        <f>IF($B12 = "", "",  VLOOKUP($B12, Propostas!$B:$BE, 47, FALSE) )</f>
        <v/>
      </c>
      <c r="O12" s="13" t="str">
        <f>IF($B12="","",IF($C12="SIM", "INFRAESTRUTURA", VLOOKUP($B12, Propostas!$B:$BE,42,FALSE)))</f>
        <v/>
      </c>
      <c r="P12" s="32" t="str">
        <f>IF($B12 = "", "",  VLOOKUP($B12, Propostas!$B:$BE, 49, FALSE) )</f>
        <v/>
      </c>
      <c r="Q12" s="13" t="str">
        <f>IF($B12="","",  VLOOKUP($B12, Propostas!$B:$BE, 39, FALSE) )</f>
        <v/>
      </c>
      <c r="R12" s="81" t="str">
        <f>IF($B12="","",  VLOOKUP($B12, Propostas!$B:$BE, 43, FALSE) )</f>
        <v/>
      </c>
      <c r="S12" s="81" t="str">
        <f>IF($B12="","",  VLOOKUP($B12, Propostas!$B:$BE, 44, FALSE) )</f>
        <v/>
      </c>
      <c r="T12" s="81" t="str">
        <f>IF($B12="","",  VLOOKUP($B12, Propostas!$B:$BE, 45, FALSE) )</f>
        <v/>
      </c>
      <c r="U12" s="32" t="str">
        <f>IF($B12="","",  VLOOKUP($B12, Propostas!$B:$BE, 37, FALSE) )</f>
        <v/>
      </c>
      <c r="V12" s="13" t="str">
        <f>IF($B12="","",  VLOOKUP($B12, Propostas!$B:$BE, 50, FALSE) )</f>
        <v/>
      </c>
      <c r="W12" s="13" t="str">
        <f>IF($B12="","",  VLOOKUP($B12, Propostas!$B:$BE, 51, FALSE) )</f>
        <v/>
      </c>
      <c r="X12" s="13" t="str">
        <f>IF($B12="","",  VLOOKUP($B12, Propostas!$B:$BE, 52, FALSE) )</f>
        <v/>
      </c>
      <c r="Y12" s="13" t="str">
        <f>IF($B12="","",  VLOOKUP($B12, Propostas!$B:$BE, 36, FALSE) )</f>
        <v/>
      </c>
      <c r="Z12" s="13" t="str">
        <f>IF($B12="","",  VLOOKUP($F12, VW_PROJETO!B:C, 2, FALSE) )</f>
        <v/>
      </c>
    </row>
    <row r="13" spans="1:26" x14ac:dyDescent="0.2">
      <c r="A13" s="87">
        <f>SUMIFS(R:R,C:C, "Não")</f>
        <v>167.09</v>
      </c>
      <c r="B13" s="2"/>
      <c r="C13" s="4" t="str">
        <f>IF($B13="","",  VLOOKUP($B13, Propostas!$B:$BE, 33, FALSE) )</f>
        <v/>
      </c>
      <c r="D13" s="4" t="str">
        <f>IF($B13="","",  VLOOKUP($B13, Propostas!$B:$BE, 34, FALSE) )</f>
        <v/>
      </c>
      <c r="E13" s="4" t="str">
        <f>IF($B13="","",  VLOOKUP($B13, Propostas!$B:$BE, 35, FALSE) )</f>
        <v/>
      </c>
      <c r="F13" s="4" t="str">
        <f>IF($B13="","",  VLOOKUP($B13, Propostas!$B:$BE, 2, FALSE) )</f>
        <v/>
      </c>
      <c r="G13" s="4" t="str">
        <f>IF($B13="","",  VLOOKUP($B13, Propostas!$B:$BE, 3, FALSE) )</f>
        <v/>
      </c>
      <c r="H13" s="4" t="str">
        <f>IF($B13="","",  VLOOKUP($B13, Propostas!$B:$BE, 4, FALSE) )</f>
        <v/>
      </c>
      <c r="I13" s="4" t="str">
        <f>IF($B13="","",  VLOOKUP($B13, Propostas!$B:$BE, 38, FALSE) )</f>
        <v/>
      </c>
      <c r="J13" s="13" t="str">
        <f>IF($B13="","",IF($C13="SIM", "&lt; INFRRAESTRUTURA &gt;", VLOOKUP($B13,Propostas!$B:$BE,41,FALSE)))</f>
        <v/>
      </c>
      <c r="K13" s="10" t="str">
        <f>IF($B13="","",  VLOOKUP($B13, Propostas!$B:$BE, 40, FALSE) )</f>
        <v/>
      </c>
      <c r="L13" s="10" t="str">
        <f>IF($B13="","",IF(VLOOKUP($B13,Propostas!$B:$BE,21,FALSE)=1,"B",IF(VLOOKUP($B13,Propostas!$B:$BE,21,FALSE)=2,"E","N")))</f>
        <v/>
      </c>
      <c r="M13" s="32" t="str">
        <f>IF($B13 = "", "",  VLOOKUP($B13, Propostas!$B:$BE, 46, FALSE) )</f>
        <v/>
      </c>
      <c r="N13" s="32" t="str">
        <f>IF($B13 = "", "",  VLOOKUP($B13, Propostas!$B:$BE, 47, FALSE) )</f>
        <v/>
      </c>
      <c r="O13" s="13" t="str">
        <f>IF($B13="","",IF($C13="SIM", "INFRAESTRUTURA", VLOOKUP($B13, Propostas!$B:$BE,42,FALSE)))</f>
        <v/>
      </c>
      <c r="P13" s="32" t="str">
        <f>IF($B13 = "", "",  VLOOKUP($B13, Propostas!$B:$BE, 49, FALSE) )</f>
        <v/>
      </c>
      <c r="Q13" s="13" t="str">
        <f>IF($B13="","",  VLOOKUP($B13, Propostas!$B:$BE, 39, FALSE) )</f>
        <v/>
      </c>
      <c r="R13" s="81" t="str">
        <f>IF($B13="","",  VLOOKUP($B13, Propostas!$B:$BE, 43, FALSE) )</f>
        <v/>
      </c>
      <c r="S13" s="81" t="str">
        <f>IF($B13="","",  VLOOKUP($B13, Propostas!$B:$BE, 44, FALSE) )</f>
        <v/>
      </c>
      <c r="T13" s="81" t="str">
        <f>IF($B13="","",  VLOOKUP($B13, Propostas!$B:$BE, 45, FALSE) )</f>
        <v/>
      </c>
      <c r="U13" s="32" t="str">
        <f>IF($B13="","",  VLOOKUP($B13, Propostas!$B:$BE, 37, FALSE) )</f>
        <v/>
      </c>
      <c r="V13" s="13" t="str">
        <f>IF($B13="","",  VLOOKUP($B13, Propostas!$B:$BE, 50, FALSE) )</f>
        <v/>
      </c>
      <c r="W13" s="13" t="str">
        <f>IF($B13="","",  VLOOKUP($B13, Propostas!$B:$BE, 51, FALSE) )</f>
        <v/>
      </c>
      <c r="X13" s="13" t="str">
        <f>IF($B13="","",  VLOOKUP($B13, Propostas!$B:$BE, 52, FALSE) )</f>
        <v/>
      </c>
      <c r="Y13" s="13" t="str">
        <f>IF($B13="","",  VLOOKUP($B13, Propostas!$B:$BE, 36, FALSE) )</f>
        <v/>
      </c>
      <c r="Z13" s="13" t="str">
        <f>IF($B13="","",  VLOOKUP($F13, VW_PROJETO!B:C, 2, FALSE) )</f>
        <v/>
      </c>
    </row>
    <row r="14" spans="1:26" x14ac:dyDescent="0.2">
      <c r="A14" s="31" t="s">
        <v>939</v>
      </c>
      <c r="B14" s="2"/>
      <c r="C14" s="4" t="str">
        <f>IF($B14="","",  VLOOKUP($B14, Propostas!$B:$BE, 33, FALSE) )</f>
        <v/>
      </c>
      <c r="D14" s="4" t="str">
        <f>IF($B14="","",  VLOOKUP($B14, Propostas!$B:$BE, 34, FALSE) )</f>
        <v/>
      </c>
      <c r="E14" s="4" t="str">
        <f>IF($B14="","",  VLOOKUP($B14, Propostas!$B:$BE, 35, FALSE) )</f>
        <v/>
      </c>
      <c r="F14" s="4" t="str">
        <f>IF($B14="","",  VLOOKUP($B14, Propostas!$B:$BE, 2, FALSE) )</f>
        <v/>
      </c>
      <c r="G14" s="4" t="str">
        <f>IF($B14="","",  VLOOKUP($B14, Propostas!$B:$BE, 3, FALSE) )</f>
        <v/>
      </c>
      <c r="H14" s="4" t="str">
        <f>IF($B14="","",  VLOOKUP($B14, Propostas!$B:$BE, 4, FALSE) )</f>
        <v/>
      </c>
      <c r="I14" s="4" t="str">
        <f>IF($B14="","",  VLOOKUP($B14, Propostas!$B:$BE, 38, FALSE) )</f>
        <v/>
      </c>
      <c r="J14" s="13" t="str">
        <f>IF($B14="","",IF($C14="SIM", "&lt; INFRRAESTRUTURA &gt;", VLOOKUP($B14,Propostas!$B:$BE,41,FALSE)))</f>
        <v/>
      </c>
      <c r="K14" s="10" t="str">
        <f>IF($B14="","",  VLOOKUP($B14, Propostas!$B:$BE, 40, FALSE) )</f>
        <v/>
      </c>
      <c r="L14" s="10" t="str">
        <f>IF($B14="","",IF(VLOOKUP($B14,Propostas!$B:$BE,21,FALSE)=1,"B",IF(VLOOKUP($B14,Propostas!$B:$BE,21,FALSE)=2,"E","N")))</f>
        <v/>
      </c>
      <c r="M14" s="32" t="str">
        <f>IF($B14 = "", "",  VLOOKUP($B14, Propostas!$B:$BE, 46, FALSE) )</f>
        <v/>
      </c>
      <c r="N14" s="32" t="str">
        <f>IF($B14 = "", "",  VLOOKUP($B14, Propostas!$B:$BE, 47, FALSE) )</f>
        <v/>
      </c>
      <c r="O14" s="13" t="str">
        <f>IF($B14="","",IF($C14="SIM", "INFRAESTRUTURA", VLOOKUP($B14, Propostas!$B:$BE,42,FALSE)))</f>
        <v/>
      </c>
      <c r="P14" s="32" t="str">
        <f>IF($B14 = "", "",  VLOOKUP($B14, Propostas!$B:$BE, 49, FALSE) )</f>
        <v/>
      </c>
      <c r="Q14" s="13" t="str">
        <f>IF($B14="","",  VLOOKUP($B14, Propostas!$B:$BE, 39, FALSE) )</f>
        <v/>
      </c>
      <c r="R14" s="81" t="str">
        <f>IF($B14="","",  VLOOKUP($B14, Propostas!$B:$BE, 43, FALSE) )</f>
        <v/>
      </c>
      <c r="S14" s="81" t="str">
        <f>IF($B14="","",  VLOOKUP($B14, Propostas!$B:$BE, 44, FALSE) )</f>
        <v/>
      </c>
      <c r="T14" s="81" t="str">
        <f>IF($B14="","",  VLOOKUP($B14, Propostas!$B:$BE, 45, FALSE) )</f>
        <v/>
      </c>
      <c r="U14" s="32" t="str">
        <f>IF($B14="","",  VLOOKUP($B14, Propostas!$B:$BE, 37, FALSE) )</f>
        <v/>
      </c>
      <c r="V14" s="13" t="str">
        <f>IF($B14="","",  VLOOKUP($B14, Propostas!$B:$BE, 50, FALSE) )</f>
        <v/>
      </c>
      <c r="W14" s="13" t="str">
        <f>IF($B14="","",  VLOOKUP($B14, Propostas!$B:$BE, 51, FALSE) )</f>
        <v/>
      </c>
      <c r="X14" s="13" t="str">
        <f>IF($B14="","",  VLOOKUP($B14, Propostas!$B:$BE, 52, FALSE) )</f>
        <v/>
      </c>
      <c r="Y14" s="13" t="str">
        <f>IF($B14="","",  VLOOKUP($B14, Propostas!$B:$BE, 36, FALSE) )</f>
        <v/>
      </c>
      <c r="Z14" s="13" t="str">
        <f>IF($B14="","",  VLOOKUP($F14, VW_PROJETO!B:C, 2, FALSE) )</f>
        <v/>
      </c>
    </row>
    <row r="15" spans="1:26" x14ac:dyDescent="0.2">
      <c r="A15" s="87">
        <f>SUMIFS(T:T,C:C, "NÃO",L:L, "B")</f>
        <v>0</v>
      </c>
      <c r="B15" s="2"/>
      <c r="C15" s="4" t="str">
        <f>IF($B15="","",  VLOOKUP($B15, Propostas!$B:$BE, 33, FALSE) )</f>
        <v/>
      </c>
      <c r="D15" s="4" t="str">
        <f>IF($B15="","",  VLOOKUP($B15, Propostas!$B:$BE, 34, FALSE) )</f>
        <v/>
      </c>
      <c r="E15" s="4" t="str">
        <f>IF($B15="","",  VLOOKUP($B15, Propostas!$B:$BE, 35, FALSE) )</f>
        <v/>
      </c>
      <c r="F15" s="4" t="str">
        <f>IF($B15="","",  VLOOKUP($B15, Propostas!$B:$BE, 2, FALSE) )</f>
        <v/>
      </c>
      <c r="G15" s="4" t="str">
        <f>IF($B15="","",  VLOOKUP($B15, Propostas!$B:$BE, 3, FALSE) )</f>
        <v/>
      </c>
      <c r="H15" s="4" t="str">
        <f>IF($B15="","",  VLOOKUP($B15, Propostas!$B:$BE, 4, FALSE) )</f>
        <v/>
      </c>
      <c r="I15" s="4" t="str">
        <f>IF($B15="","",  VLOOKUP($B15, Propostas!$B:$BE, 38, FALSE) )</f>
        <v/>
      </c>
      <c r="J15" s="13" t="str">
        <f>IF($B15="","",IF($C15="SIM", "&lt; INFRRAESTRUTURA &gt;", VLOOKUP($B15,Propostas!$B:$BE,41,FALSE)))</f>
        <v/>
      </c>
      <c r="K15" s="10" t="str">
        <f>IF($B15="","",  VLOOKUP($B15, Propostas!$B:$BE, 40, FALSE) )</f>
        <v/>
      </c>
      <c r="L15" s="10" t="str">
        <f>IF($B15="","",IF(VLOOKUP($B15,Propostas!$B:$BE,21,FALSE)=1,"B",IF(VLOOKUP($B15,Propostas!$B:$BE,21,FALSE)=2,"E","N")))</f>
        <v/>
      </c>
      <c r="M15" s="32" t="str">
        <f>IF($B15 = "", "",  VLOOKUP($B15, Propostas!$B:$BE, 46, FALSE) )</f>
        <v/>
      </c>
      <c r="N15" s="32" t="str">
        <f>IF($B15 = "", "",  VLOOKUP($B15, Propostas!$B:$BE, 47, FALSE) )</f>
        <v/>
      </c>
      <c r="O15" s="13" t="str">
        <f>IF($B15="","",IF($C15="SIM", "INFRAESTRUTURA", VLOOKUP($B15, Propostas!$B:$BE,42,FALSE)))</f>
        <v/>
      </c>
      <c r="P15" s="32" t="str">
        <f>IF($B15 = "", "",  VLOOKUP($B15, Propostas!$B:$BE, 49, FALSE) )</f>
        <v/>
      </c>
      <c r="Q15" s="13" t="str">
        <f>IF($B15="","",  VLOOKUP($B15, Propostas!$B:$BE, 39, FALSE) )</f>
        <v/>
      </c>
      <c r="R15" s="81" t="str">
        <f>IF($B15="","",  VLOOKUP($B15, Propostas!$B:$BE, 43, FALSE) )</f>
        <v/>
      </c>
      <c r="S15" s="81" t="str">
        <f>IF($B15="","",  VLOOKUP($B15, Propostas!$B:$BE, 44, FALSE) )</f>
        <v/>
      </c>
      <c r="T15" s="81" t="str">
        <f>IF($B15="","",  VLOOKUP($B15, Propostas!$B:$BE, 45, FALSE) )</f>
        <v/>
      </c>
      <c r="U15" s="32" t="str">
        <f>IF($B15="","",  VLOOKUP($B15, Propostas!$B:$BE, 37, FALSE) )</f>
        <v/>
      </c>
      <c r="V15" s="13" t="str">
        <f>IF($B15="","",  VLOOKUP($B15, Propostas!$B:$BE, 50, FALSE) )</f>
        <v/>
      </c>
      <c r="W15" s="13" t="str">
        <f>IF($B15="","",  VLOOKUP($B15, Propostas!$B:$BE, 51, FALSE) )</f>
        <v/>
      </c>
      <c r="X15" s="13" t="str">
        <f>IF($B15="","",  VLOOKUP($B15, Propostas!$B:$BE, 52, FALSE) )</f>
        <v/>
      </c>
      <c r="Y15" s="13" t="str">
        <f>IF($B15="","",  VLOOKUP($B15, Propostas!$B:$BE, 36, FALSE) )</f>
        <v/>
      </c>
      <c r="Z15" s="13" t="str">
        <f>IF($B15="","",  VLOOKUP($F15, VW_PROJETO!B:C, 2, FALSE) )</f>
        <v/>
      </c>
    </row>
    <row r="16" spans="1:26" x14ac:dyDescent="0.2">
      <c r="B16" s="2"/>
      <c r="C16" s="4" t="str">
        <f>IF($B16="","",  VLOOKUP($B16, Propostas!$B:$BE, 33, FALSE) )</f>
        <v/>
      </c>
      <c r="D16" s="4" t="str">
        <f>IF($B16="","",  VLOOKUP($B16, Propostas!$B:$BE, 34, FALSE) )</f>
        <v/>
      </c>
      <c r="E16" s="4" t="str">
        <f>IF($B16="","",  VLOOKUP($B16, Propostas!$B:$BE, 35, FALSE) )</f>
        <v/>
      </c>
      <c r="F16" s="4" t="str">
        <f>IF($B16="","",  VLOOKUP($B16, Propostas!$B:$BE, 2, FALSE) )</f>
        <v/>
      </c>
      <c r="G16" s="4" t="str">
        <f>IF($B16="","",  VLOOKUP($B16, Propostas!$B:$BE, 3, FALSE) )</f>
        <v/>
      </c>
      <c r="H16" s="4" t="str">
        <f>IF($B16="","",  VLOOKUP($B16, Propostas!$B:$BE, 4, FALSE) )</f>
        <v/>
      </c>
      <c r="I16" s="4" t="str">
        <f>IF($B16="","",  VLOOKUP($B16, Propostas!$B:$BE, 38, FALSE) )</f>
        <v/>
      </c>
      <c r="J16" s="13" t="str">
        <f>IF($B16="","",IF($C16="SIM", "&lt; INFRRAESTRUTURA &gt;", VLOOKUP($B16,Propostas!$B:$BE,41,FALSE)))</f>
        <v/>
      </c>
      <c r="K16" s="10" t="str">
        <f>IF($B16="","",  VLOOKUP($B16, Propostas!$B:$BE, 40, FALSE) )</f>
        <v/>
      </c>
      <c r="L16" s="10" t="str">
        <f>IF($B16="","",IF(VLOOKUP($B16,Propostas!$B:$BE,21,FALSE)=1,"B",IF(VLOOKUP($B16,Propostas!$B:$BE,21,FALSE)=2,"E","N")))</f>
        <v/>
      </c>
      <c r="M16" s="32" t="str">
        <f>IF($B16 = "", "",  VLOOKUP($B16, Propostas!$B:$BE, 46, FALSE) )</f>
        <v/>
      </c>
      <c r="N16" s="32" t="str">
        <f>IF($B16 = "", "",  VLOOKUP($B16, Propostas!$B:$BE, 47, FALSE) )</f>
        <v/>
      </c>
      <c r="O16" s="13" t="str">
        <f>IF($B16="","",IF($C16="SIM", "INFRAESTRUTURA", VLOOKUP($B16, Propostas!$B:$BE,42,FALSE)))</f>
        <v/>
      </c>
      <c r="P16" s="32" t="str">
        <f>IF($B16 = "", "",  VLOOKUP($B16, Propostas!$B:$BE, 49, FALSE) )</f>
        <v/>
      </c>
      <c r="Q16" s="13" t="str">
        <f>IF($B16="","",  VLOOKUP($B16, Propostas!$B:$BE, 39, FALSE) )</f>
        <v/>
      </c>
      <c r="R16" s="81" t="str">
        <f>IF($B16="","",  VLOOKUP($B16, Propostas!$B:$BE, 43, FALSE) )</f>
        <v/>
      </c>
      <c r="S16" s="81" t="str">
        <f>IF($B16="","",  VLOOKUP($B16, Propostas!$B:$BE, 44, FALSE) )</f>
        <v/>
      </c>
      <c r="T16" s="81" t="str">
        <f>IF($B16="","",  VLOOKUP($B16, Propostas!$B:$BE, 45, FALSE) )</f>
        <v/>
      </c>
      <c r="U16" s="32" t="str">
        <f>IF($B16="","",  VLOOKUP($B16, Propostas!$B:$BE, 37, FALSE) )</f>
        <v/>
      </c>
      <c r="V16" s="13" t="str">
        <f>IF($B16="","",  VLOOKUP($B16, Propostas!$B:$BE, 50, FALSE) )</f>
        <v/>
      </c>
      <c r="W16" s="13" t="str">
        <f>IF($B16="","",  VLOOKUP($B16, Propostas!$B:$BE, 51, FALSE) )</f>
        <v/>
      </c>
      <c r="X16" s="13" t="str">
        <f>IF($B16="","",  VLOOKUP($B16, Propostas!$B:$BE, 52, FALSE) )</f>
        <v/>
      </c>
      <c r="Y16" s="13" t="str">
        <f>IF($B16="","",  VLOOKUP($B16, Propostas!$B:$BE, 36, FALSE) )</f>
        <v/>
      </c>
      <c r="Z16" s="13" t="str">
        <f>IF($B16="","",  VLOOKUP($F16, VW_PROJETO!B:C, 2, FALSE) )</f>
        <v/>
      </c>
    </row>
    <row r="17" spans="2:26" x14ac:dyDescent="0.2">
      <c r="B17" s="2"/>
      <c r="C17" s="4" t="str">
        <f>IF($B17="","",  VLOOKUP($B17, Propostas!$B:$BE, 33, FALSE) )</f>
        <v/>
      </c>
      <c r="D17" s="4" t="str">
        <f>IF($B17="","",  VLOOKUP($B17, Propostas!$B:$BE, 34, FALSE) )</f>
        <v/>
      </c>
      <c r="E17" s="4" t="str">
        <f>IF($B17="","",  VLOOKUP($B17, Propostas!$B:$BE, 35, FALSE) )</f>
        <v/>
      </c>
      <c r="F17" s="4" t="str">
        <f>IF($B17="","",  VLOOKUP($B17, Propostas!$B:$BE, 2, FALSE) )</f>
        <v/>
      </c>
      <c r="G17" s="4" t="str">
        <f>IF($B17="","",  VLOOKUP($B17, Propostas!$B:$BE, 3, FALSE) )</f>
        <v/>
      </c>
      <c r="H17" s="4" t="str">
        <f>IF($B17="","",  VLOOKUP($B17, Propostas!$B:$BE, 4, FALSE) )</f>
        <v/>
      </c>
      <c r="I17" s="4" t="str">
        <f>IF($B17="","",  VLOOKUP($B17, Propostas!$B:$BE, 38, FALSE) )</f>
        <v/>
      </c>
      <c r="J17" s="13" t="str">
        <f>IF($B17="","",IF($C17="SIM", "&lt; INFRRAESTRUTURA &gt;", VLOOKUP($B17,Propostas!$B:$BE,41,FALSE)))</f>
        <v/>
      </c>
      <c r="K17" s="10" t="str">
        <f>IF($B17="","",  VLOOKUP($B17, Propostas!$B:$BE, 40, FALSE) )</f>
        <v/>
      </c>
      <c r="L17" s="10" t="str">
        <f>IF($B17="","",IF(VLOOKUP($B17,Propostas!$B:$BE,21,FALSE)=1,"B",IF(VLOOKUP($B17,Propostas!$B:$BE,21,FALSE)=2,"E","N")))</f>
        <v/>
      </c>
      <c r="M17" s="32" t="str">
        <f>IF($B17 = "", "",  VLOOKUP($B17, Propostas!$B:$BE, 46, FALSE) )</f>
        <v/>
      </c>
      <c r="N17" s="32" t="str">
        <f>IF($B17 = "", "",  VLOOKUP($B17, Propostas!$B:$BE, 47, FALSE) )</f>
        <v/>
      </c>
      <c r="O17" s="13" t="str">
        <f>IF($B17="","",IF($C17="SIM", "INFRAESTRUTURA", VLOOKUP($B17, Propostas!$B:$BE,42,FALSE)))</f>
        <v/>
      </c>
      <c r="P17" s="32" t="str">
        <f>IF($B17 = "", "",  VLOOKUP($B17, Propostas!$B:$BE, 49, FALSE) )</f>
        <v/>
      </c>
      <c r="Q17" s="13" t="str">
        <f>IF($B17="","",  VLOOKUP($B17, Propostas!$B:$BE, 39, FALSE) )</f>
        <v/>
      </c>
      <c r="R17" s="81" t="str">
        <f>IF($B17="","",  VLOOKUP($B17, Propostas!$B:$BE, 43, FALSE) )</f>
        <v/>
      </c>
      <c r="S17" s="81" t="str">
        <f>IF($B17="","",  VLOOKUP($B17, Propostas!$B:$BE, 44, FALSE) )</f>
        <v/>
      </c>
      <c r="T17" s="81" t="str">
        <f>IF($B17="","",  VLOOKUP($B17, Propostas!$B:$BE, 45, FALSE) )</f>
        <v/>
      </c>
      <c r="U17" s="32" t="str">
        <f>IF($B17="","",  VLOOKUP($B17, Propostas!$B:$BE, 37, FALSE) )</f>
        <v/>
      </c>
      <c r="V17" s="13" t="str">
        <f>IF($B17="","",  VLOOKUP($B17, Propostas!$B:$BE, 50, FALSE) )</f>
        <v/>
      </c>
      <c r="W17" s="13" t="str">
        <f>IF($B17="","",  VLOOKUP($B17, Propostas!$B:$BE, 51, FALSE) )</f>
        <v/>
      </c>
      <c r="X17" s="13" t="str">
        <f>IF($B17="","",  VLOOKUP($B17, Propostas!$B:$BE, 52, FALSE) )</f>
        <v/>
      </c>
      <c r="Y17" s="13" t="str">
        <f>IF($B17="","",  VLOOKUP($B17, Propostas!$B:$BE, 36, FALSE) )</f>
        <v/>
      </c>
      <c r="Z17" s="13" t="str">
        <f>IF($B17="","",  VLOOKUP($F17, VW_PROJETO!B:C, 2, FALSE) )</f>
        <v/>
      </c>
    </row>
    <row r="18" spans="2:26" x14ac:dyDescent="0.2">
      <c r="B18" s="2"/>
      <c r="C18" s="4" t="str">
        <f>IF($B18="","",  VLOOKUP($B18, Propostas!$B:$BE, 33, FALSE) )</f>
        <v/>
      </c>
      <c r="D18" s="4" t="str">
        <f>IF($B18="","",  VLOOKUP($B18, Propostas!$B:$BE, 34, FALSE) )</f>
        <v/>
      </c>
      <c r="E18" s="4" t="str">
        <f>IF($B18="","",  VLOOKUP($B18, Propostas!$B:$BE, 35, FALSE) )</f>
        <v/>
      </c>
      <c r="F18" s="4" t="str">
        <f>IF($B18="","",  VLOOKUP($B18, Propostas!$B:$BE, 2, FALSE) )</f>
        <v/>
      </c>
      <c r="G18" s="4" t="str">
        <f>IF($B18="","",  VLOOKUP($B18, Propostas!$B:$BE, 3, FALSE) )</f>
        <v/>
      </c>
      <c r="H18" s="4" t="str">
        <f>IF($B18="","",  VLOOKUP($B18, Propostas!$B:$BE, 4, FALSE) )</f>
        <v/>
      </c>
      <c r="I18" s="4" t="str">
        <f>IF($B18="","",  VLOOKUP($B18, Propostas!$B:$BE, 38, FALSE) )</f>
        <v/>
      </c>
      <c r="J18" s="13" t="str">
        <f>IF($B18="","",IF($C18="SIM", "&lt; INFRRAESTRUTURA &gt;", VLOOKUP($B18,Propostas!$B:$BE,41,FALSE)))</f>
        <v/>
      </c>
      <c r="K18" s="10" t="str">
        <f>IF($B18="","",  VLOOKUP($B18, Propostas!$B:$BE, 40, FALSE) )</f>
        <v/>
      </c>
      <c r="L18" s="10" t="str">
        <f>IF($B18="","",IF(VLOOKUP($B18,Propostas!$B:$BE,21,FALSE)=1,"B",IF(VLOOKUP($B18,Propostas!$B:$BE,21,FALSE)=2,"E","N")))</f>
        <v/>
      </c>
      <c r="M18" s="32" t="str">
        <f>IF($B18 = "", "",  VLOOKUP($B18, Propostas!$B:$BE, 46, FALSE) )</f>
        <v/>
      </c>
      <c r="N18" s="32" t="str">
        <f>IF($B18 = "", "",  VLOOKUP($B18, Propostas!$B:$BE, 47, FALSE) )</f>
        <v/>
      </c>
      <c r="O18" s="13" t="str">
        <f>IF($B18="","",IF($C18="SIM", "INFRAESTRUTURA", VLOOKUP($B18, Propostas!$B:$BE,42,FALSE)))</f>
        <v/>
      </c>
      <c r="P18" s="32" t="str">
        <f>IF($B18 = "", "",  VLOOKUP($B18, Propostas!$B:$BE, 49, FALSE) )</f>
        <v/>
      </c>
      <c r="Q18" s="13" t="str">
        <f>IF($B18="","",  VLOOKUP($B18, Propostas!$B:$BE, 39, FALSE) )</f>
        <v/>
      </c>
      <c r="R18" s="81" t="str">
        <f>IF($B18="","",  VLOOKUP($B18, Propostas!$B:$BE, 43, FALSE) )</f>
        <v/>
      </c>
      <c r="S18" s="81" t="str">
        <f>IF($B18="","",  VLOOKUP($B18, Propostas!$B:$BE, 44, FALSE) )</f>
        <v/>
      </c>
      <c r="T18" s="81" t="str">
        <f>IF($B18="","",  VLOOKUP($B18, Propostas!$B:$BE, 45, FALSE) )</f>
        <v/>
      </c>
      <c r="U18" s="32" t="str">
        <f>IF($B18="","",  VLOOKUP($B18, Propostas!$B:$BE, 37, FALSE) )</f>
        <v/>
      </c>
      <c r="V18" s="13" t="str">
        <f>IF($B18="","",  VLOOKUP($B18, Propostas!$B:$BE, 50, FALSE) )</f>
        <v/>
      </c>
      <c r="W18" s="13" t="str">
        <f>IF($B18="","",  VLOOKUP($B18, Propostas!$B:$BE, 51, FALSE) )</f>
        <v/>
      </c>
      <c r="X18" s="13" t="str">
        <f>IF($B18="","",  VLOOKUP($B18, Propostas!$B:$BE, 52, FALSE) )</f>
        <v/>
      </c>
      <c r="Y18" s="13" t="str">
        <f>IF($B18="","",  VLOOKUP($B18, Propostas!$B:$BE, 36, FALSE) )</f>
        <v/>
      </c>
      <c r="Z18" s="13" t="str">
        <f>IF($B18="","",  VLOOKUP($F18, VW_PROJETO!B:C, 2, FALSE) )</f>
        <v/>
      </c>
    </row>
    <row r="19" spans="2:26" x14ac:dyDescent="0.2">
      <c r="B19" s="2"/>
      <c r="C19" s="4" t="str">
        <f>IF($B19="","",  VLOOKUP($B19, Propostas!$B:$BE, 33, FALSE) )</f>
        <v/>
      </c>
      <c r="D19" s="4" t="str">
        <f>IF($B19="","",  VLOOKUP($B19, Propostas!$B:$BE, 34, FALSE) )</f>
        <v/>
      </c>
      <c r="E19" s="4" t="str">
        <f>IF($B19="","",  VLOOKUP($B19, Propostas!$B:$BE, 35, FALSE) )</f>
        <v/>
      </c>
      <c r="F19" s="4" t="str">
        <f>IF($B19="","",  VLOOKUP($B19, Propostas!$B:$BE, 2, FALSE) )</f>
        <v/>
      </c>
      <c r="G19" s="4" t="str">
        <f>IF($B19="","",  VLOOKUP($B19, Propostas!$B:$BE, 3, FALSE) )</f>
        <v/>
      </c>
      <c r="H19" s="4" t="str">
        <f>IF($B19="","",  VLOOKUP($B19, Propostas!$B:$BE, 4, FALSE) )</f>
        <v/>
      </c>
      <c r="I19" s="4" t="str">
        <f>IF($B19="","",  VLOOKUP($B19, Propostas!$B:$BE, 38, FALSE) )</f>
        <v/>
      </c>
      <c r="J19" s="13" t="str">
        <f>IF($B19="","",IF($C19="SIM", "&lt; INFRRAESTRUTURA &gt;", VLOOKUP($B19,Propostas!$B:$BE,41,FALSE)))</f>
        <v/>
      </c>
      <c r="K19" s="10" t="str">
        <f>IF($B19="","",  VLOOKUP($B19, Propostas!$B:$BE, 40, FALSE) )</f>
        <v/>
      </c>
      <c r="L19" s="10" t="str">
        <f>IF($B19="","",IF(VLOOKUP($B19,Propostas!$B:$BE,21,FALSE)=1,"B",IF(VLOOKUP($B19,Propostas!$B:$BE,21,FALSE)=2,"E","N")))</f>
        <v/>
      </c>
      <c r="M19" s="32" t="str">
        <f>IF($B19 = "", "",  VLOOKUP($B19, Propostas!$B:$BE, 46, FALSE) )</f>
        <v/>
      </c>
      <c r="N19" s="32" t="str">
        <f>IF($B19 = "", "",  VLOOKUP($B19, Propostas!$B:$BE, 47, FALSE) )</f>
        <v/>
      </c>
      <c r="O19" s="13" t="str">
        <f>IF($B19="","",IF($C19="SIM", "INFRAESTRUTURA", VLOOKUP($B19, Propostas!$B:$BE,42,FALSE)))</f>
        <v/>
      </c>
      <c r="P19" s="32" t="str">
        <f>IF($B19 = "", "",  VLOOKUP($B19, Propostas!$B:$BE, 49, FALSE) )</f>
        <v/>
      </c>
      <c r="Q19" s="13" t="str">
        <f>IF($B19="","",  VLOOKUP($B19, Propostas!$B:$BE, 39, FALSE) )</f>
        <v/>
      </c>
      <c r="R19" s="81" t="str">
        <f>IF($B19="","",  VLOOKUP($B19, Propostas!$B:$BE, 43, FALSE) )</f>
        <v/>
      </c>
      <c r="S19" s="81" t="str">
        <f>IF($B19="","",  VLOOKUP($B19, Propostas!$B:$BE, 44, FALSE) )</f>
        <v/>
      </c>
      <c r="T19" s="81" t="str">
        <f>IF($B19="","",  VLOOKUP($B19, Propostas!$B:$BE, 45, FALSE) )</f>
        <v/>
      </c>
      <c r="U19" s="32" t="str">
        <f>IF($B19="","",  VLOOKUP($B19, Propostas!$B:$BE, 37, FALSE) )</f>
        <v/>
      </c>
      <c r="V19" s="13" t="str">
        <f>IF($B19="","",  VLOOKUP($B19, Propostas!$B:$BE, 50, FALSE) )</f>
        <v/>
      </c>
      <c r="W19" s="13" t="str">
        <f>IF($B19="","",  VLOOKUP($B19, Propostas!$B:$BE, 51, FALSE) )</f>
        <v/>
      </c>
      <c r="X19" s="13" t="str">
        <f>IF($B19="","",  VLOOKUP($B19, Propostas!$B:$BE, 52, FALSE) )</f>
        <v/>
      </c>
      <c r="Y19" s="13" t="str">
        <f>IF($B19="","",  VLOOKUP($B19, Propostas!$B:$BE, 36, FALSE) )</f>
        <v/>
      </c>
      <c r="Z19" s="13" t="str">
        <f>IF($B19="","",  VLOOKUP($F19, VW_PROJETO!B:C, 2, FALSE) )</f>
        <v/>
      </c>
    </row>
    <row r="20" spans="2:26" x14ac:dyDescent="0.2">
      <c r="B20" s="2"/>
      <c r="C20" s="4" t="str">
        <f>IF($B20="","",  VLOOKUP($B20, Propostas!$B:$BE, 33, FALSE) )</f>
        <v/>
      </c>
      <c r="D20" s="4" t="str">
        <f>IF($B20="","",  VLOOKUP($B20, Propostas!$B:$BE, 34, FALSE) )</f>
        <v/>
      </c>
      <c r="E20" s="4" t="str">
        <f>IF($B20="","",  VLOOKUP($B20, Propostas!$B:$BE, 35, FALSE) )</f>
        <v/>
      </c>
      <c r="F20" s="4" t="str">
        <f>IF($B20="","",  VLOOKUP($B20, Propostas!$B:$BE, 2, FALSE) )</f>
        <v/>
      </c>
      <c r="G20" s="4" t="str">
        <f>IF($B20="","",  VLOOKUP($B20, Propostas!$B:$BE, 3, FALSE) )</f>
        <v/>
      </c>
      <c r="H20" s="4" t="str">
        <f>IF($B20="","",  VLOOKUP($B20, Propostas!$B:$BE, 4, FALSE) )</f>
        <v/>
      </c>
      <c r="I20" s="4" t="str">
        <f>IF($B20="","",  VLOOKUP($B20, Propostas!$B:$BE, 38, FALSE) )</f>
        <v/>
      </c>
      <c r="J20" s="13" t="str">
        <f>IF($B20="","",IF($C20="SIM", "&lt; INFRRAESTRUTURA &gt;", VLOOKUP($B20,Propostas!$B:$BE,41,FALSE)))</f>
        <v/>
      </c>
      <c r="K20" s="10" t="str">
        <f>IF($B20="","",  VLOOKUP($B20, Propostas!$B:$BE, 40, FALSE) )</f>
        <v/>
      </c>
      <c r="L20" s="10" t="str">
        <f>IF($B20="","",IF(VLOOKUP($B20,Propostas!$B:$BE,21,FALSE)=1,"B",IF(VLOOKUP($B20,Propostas!$B:$BE,21,FALSE)=2,"E","N")))</f>
        <v/>
      </c>
      <c r="M20" s="32" t="str">
        <f>IF($B20 = "", "",  VLOOKUP($B20, Propostas!$B:$BE, 46, FALSE) )</f>
        <v/>
      </c>
      <c r="N20" s="32" t="str">
        <f>IF($B20 = "", "",  VLOOKUP($B20, Propostas!$B:$BE, 47, FALSE) )</f>
        <v/>
      </c>
      <c r="O20" s="13" t="str">
        <f>IF($B20="","",IF($C20="SIM", "INFRAESTRUTURA", VLOOKUP($B20, Propostas!$B:$BE,42,FALSE)))</f>
        <v/>
      </c>
      <c r="P20" s="32" t="str">
        <f>IF($B20 = "", "",  VLOOKUP($B20, Propostas!$B:$BE, 49, FALSE) )</f>
        <v/>
      </c>
      <c r="Q20" s="13" t="str">
        <f>IF($B20="","",  VLOOKUP($B20, Propostas!$B:$BE, 39, FALSE) )</f>
        <v/>
      </c>
      <c r="R20" s="81" t="str">
        <f>IF($B20="","",  VLOOKUP($B20, Propostas!$B:$BE, 43, FALSE) )</f>
        <v/>
      </c>
      <c r="S20" s="81" t="str">
        <f>IF($B20="","",  VLOOKUP($B20, Propostas!$B:$BE, 44, FALSE) )</f>
        <v/>
      </c>
      <c r="T20" s="81" t="str">
        <f>IF($B20="","",  VLOOKUP($B20, Propostas!$B:$BE, 45, FALSE) )</f>
        <v/>
      </c>
      <c r="U20" s="32" t="str">
        <f>IF($B20="","",  VLOOKUP($B20, Propostas!$B:$BE, 37, FALSE) )</f>
        <v/>
      </c>
      <c r="V20" s="13" t="str">
        <f>IF($B20="","",  VLOOKUP($B20, Propostas!$B:$BE, 50, FALSE) )</f>
        <v/>
      </c>
      <c r="W20" s="13" t="str">
        <f>IF($B20="","",  VLOOKUP($B20, Propostas!$B:$BE, 51, FALSE) )</f>
        <v/>
      </c>
      <c r="X20" s="13" t="str">
        <f>IF($B20="","",  VLOOKUP($B20, Propostas!$B:$BE, 52, FALSE) )</f>
        <v/>
      </c>
      <c r="Y20" s="13" t="str">
        <f>IF($B20="","",  VLOOKUP($B20, Propostas!$B:$BE, 36, FALSE) )</f>
        <v/>
      </c>
      <c r="Z20" s="13" t="str">
        <f>IF($B20="","",  VLOOKUP($F20, VW_PROJETO!B:C, 2, FALSE) )</f>
        <v/>
      </c>
    </row>
    <row r="21" spans="2:26" x14ac:dyDescent="0.2">
      <c r="B21" s="2"/>
      <c r="C21" s="4" t="str">
        <f>IF($B21="","",  VLOOKUP($B21, Propostas!$B:$BE, 33, FALSE) )</f>
        <v/>
      </c>
      <c r="D21" s="4" t="str">
        <f>IF($B21="","",  VLOOKUP($B21, Propostas!$B:$BE, 34, FALSE) )</f>
        <v/>
      </c>
      <c r="E21" s="4" t="str">
        <f>IF($B21="","",  VLOOKUP($B21, Propostas!$B:$BE, 35, FALSE) )</f>
        <v/>
      </c>
      <c r="F21" s="4" t="str">
        <f>IF($B21="","",  VLOOKUP($B21, Propostas!$B:$BE, 2, FALSE) )</f>
        <v/>
      </c>
      <c r="G21" s="4" t="str">
        <f>IF($B21="","",  VLOOKUP($B21, Propostas!$B:$BE, 3, FALSE) )</f>
        <v/>
      </c>
      <c r="H21" s="4" t="str">
        <f>IF($B21="","",  VLOOKUP($B21, Propostas!$B:$BE, 4, FALSE) )</f>
        <v/>
      </c>
      <c r="I21" s="4" t="str">
        <f>IF($B21="","",  VLOOKUP($B21, Propostas!$B:$BE, 38, FALSE) )</f>
        <v/>
      </c>
      <c r="J21" s="13" t="str">
        <f>IF($B21="","",IF($C21="SIM", "&lt; INFRRAESTRUTURA &gt;", VLOOKUP($B21,Propostas!$B:$BE,41,FALSE)))</f>
        <v/>
      </c>
      <c r="K21" s="10" t="str">
        <f>IF($B21="","",  VLOOKUP($B21, Propostas!$B:$BE, 40, FALSE) )</f>
        <v/>
      </c>
      <c r="L21" s="10" t="str">
        <f>IF($B21="","",IF(VLOOKUP($B21,Propostas!$B:$BE,21,FALSE)=1,"B",IF(VLOOKUP($B21,Propostas!$B:$BE,21,FALSE)=2,"E","N")))</f>
        <v/>
      </c>
      <c r="M21" s="32" t="str">
        <f>IF($B21 = "", "",  VLOOKUP($B21, Propostas!$B:$BE, 46, FALSE) )</f>
        <v/>
      </c>
      <c r="N21" s="32" t="str">
        <f>IF($B21 = "", "",  VLOOKUP($B21, Propostas!$B:$BE, 47, FALSE) )</f>
        <v/>
      </c>
      <c r="O21" s="13" t="str">
        <f>IF($B21="","",IF($C21="SIM", "INFRAESTRUTURA", VLOOKUP($B21, Propostas!$B:$BE,42,FALSE)))</f>
        <v/>
      </c>
      <c r="P21" s="32" t="str">
        <f>IF($B21 = "", "",  VLOOKUP($B21, Propostas!$B:$BE, 49, FALSE) )</f>
        <v/>
      </c>
      <c r="Q21" s="13" t="str">
        <f>IF($B21="","",  VLOOKUP($B21, Propostas!$B:$BE, 39, FALSE) )</f>
        <v/>
      </c>
      <c r="R21" s="81" t="str">
        <f>IF($B21="","",  VLOOKUP($B21, Propostas!$B:$BE, 43, FALSE) )</f>
        <v/>
      </c>
      <c r="S21" s="81" t="str">
        <f>IF($B21="","",  VLOOKUP($B21, Propostas!$B:$BE, 44, FALSE) )</f>
        <v/>
      </c>
      <c r="T21" s="81" t="str">
        <f>IF($B21="","",  VLOOKUP($B21, Propostas!$B:$BE, 45, FALSE) )</f>
        <v/>
      </c>
      <c r="U21" s="32" t="str">
        <f>IF($B21="","",  VLOOKUP($B21, Propostas!$B:$BE, 37, FALSE) )</f>
        <v/>
      </c>
      <c r="V21" s="13" t="str">
        <f>IF($B21="","",  VLOOKUP($B21, Propostas!$B:$BE, 50, FALSE) )</f>
        <v/>
      </c>
      <c r="W21" s="13" t="str">
        <f>IF($B21="","",  VLOOKUP($B21, Propostas!$B:$BE, 51, FALSE) )</f>
        <v/>
      </c>
      <c r="X21" s="13" t="str">
        <f>IF($B21="","",  VLOOKUP($B21, Propostas!$B:$BE, 52, FALSE) )</f>
        <v/>
      </c>
      <c r="Y21" s="13" t="str">
        <f>IF($B21="","",  VLOOKUP($B21, Propostas!$B:$BE, 36, FALSE) )</f>
        <v/>
      </c>
      <c r="Z21" s="13" t="str">
        <f>IF($B21="","",  VLOOKUP($F21, VW_PROJETO!B:C, 2, FALSE) )</f>
        <v/>
      </c>
    </row>
    <row r="22" spans="2:26" x14ac:dyDescent="0.2">
      <c r="B22" s="2"/>
      <c r="C22" s="4" t="str">
        <f>IF($B22="","",  VLOOKUP($B22, Propostas!$B:$BE, 33, FALSE) )</f>
        <v/>
      </c>
      <c r="D22" s="4" t="str">
        <f>IF($B22="","",  VLOOKUP($B22, Propostas!$B:$BE, 34, FALSE) )</f>
        <v/>
      </c>
      <c r="E22" s="4" t="str">
        <f>IF($B22="","",  VLOOKUP($B22, Propostas!$B:$BE, 35, FALSE) )</f>
        <v/>
      </c>
      <c r="F22" s="4" t="str">
        <f>IF($B22="","",  VLOOKUP($B22, Propostas!$B:$BE, 2, FALSE) )</f>
        <v/>
      </c>
      <c r="G22" s="4" t="str">
        <f>IF($B22="","",  VLOOKUP($B22, Propostas!$B:$BE, 3, FALSE) )</f>
        <v/>
      </c>
      <c r="H22" s="4" t="str">
        <f>IF($B22="","",  VLOOKUP($B22, Propostas!$B:$BE, 4, FALSE) )</f>
        <v/>
      </c>
      <c r="I22" s="4" t="str">
        <f>IF($B22="","",  VLOOKUP($B22, Propostas!$B:$BE, 38, FALSE) )</f>
        <v/>
      </c>
      <c r="J22" s="13" t="str">
        <f>IF($B22="","",IF($C22="SIM", "&lt; INFRRAESTRUTURA &gt;", VLOOKUP($B22,Propostas!$B:$BE,41,FALSE)))</f>
        <v/>
      </c>
      <c r="K22" s="10" t="str">
        <f>IF($B22="","",  VLOOKUP($B22, Propostas!$B:$BE, 40, FALSE) )</f>
        <v/>
      </c>
      <c r="L22" s="10" t="str">
        <f>IF($B22="","",IF(VLOOKUP($B22,Propostas!$B:$BE,21,FALSE)=1,"B",IF(VLOOKUP($B22,Propostas!$B:$BE,21,FALSE)=2,"E","N")))</f>
        <v/>
      </c>
      <c r="M22" s="32" t="str">
        <f>IF($B22 = "", "",  VLOOKUP($B22, Propostas!$B:$BE, 46, FALSE) )</f>
        <v/>
      </c>
      <c r="N22" s="32" t="str">
        <f>IF($B22 = "", "",  VLOOKUP($B22, Propostas!$B:$BE, 47, FALSE) )</f>
        <v/>
      </c>
      <c r="O22" s="13" t="str">
        <f>IF($B22="","",IF($C22="SIM", "INFRAESTRUTURA", VLOOKUP($B22, Propostas!$B:$BE,42,FALSE)))</f>
        <v/>
      </c>
      <c r="P22" s="32" t="str">
        <f>IF($B22 = "", "",  VLOOKUP($B22, Propostas!$B:$BE, 49, FALSE) )</f>
        <v/>
      </c>
      <c r="Q22" s="13" t="str">
        <f>IF($B22="","",  VLOOKUP($B22, Propostas!$B:$BE, 39, FALSE) )</f>
        <v/>
      </c>
      <c r="R22" s="81" t="str">
        <f>IF($B22="","",  VLOOKUP($B22, Propostas!$B:$BE, 43, FALSE) )</f>
        <v/>
      </c>
      <c r="S22" s="81" t="str">
        <f>IF($B22="","",  VLOOKUP($B22, Propostas!$B:$BE, 44, FALSE) )</f>
        <v/>
      </c>
      <c r="T22" s="81" t="str">
        <f>IF($B22="","",  VLOOKUP($B22, Propostas!$B:$BE, 45, FALSE) )</f>
        <v/>
      </c>
      <c r="U22" s="32" t="str">
        <f>IF($B22="","",  VLOOKUP($B22, Propostas!$B:$BE, 37, FALSE) )</f>
        <v/>
      </c>
      <c r="V22" s="13" t="str">
        <f>IF($B22="","",  VLOOKUP($B22, Propostas!$B:$BE, 50, FALSE) )</f>
        <v/>
      </c>
      <c r="W22" s="13" t="str">
        <f>IF($B22="","",  VLOOKUP($B22, Propostas!$B:$BE, 51, FALSE) )</f>
        <v/>
      </c>
      <c r="X22" s="13" t="str">
        <f>IF($B22="","",  VLOOKUP($B22, Propostas!$B:$BE, 52, FALSE) )</f>
        <v/>
      </c>
      <c r="Y22" s="13" t="str">
        <f>IF($B22="","",  VLOOKUP($B22, Propostas!$B:$BE, 36, FALSE) )</f>
        <v/>
      </c>
      <c r="Z22" s="13" t="str">
        <f>IF($B22="","",  VLOOKUP($F22, VW_PROJETO!B:C, 2, FALSE) )</f>
        <v/>
      </c>
    </row>
    <row r="23" spans="2:26" x14ac:dyDescent="0.2">
      <c r="B23" s="2"/>
      <c r="C23" s="4" t="str">
        <f>IF($B23="","",  VLOOKUP($B23, Propostas!$B:$BE, 33, FALSE) )</f>
        <v/>
      </c>
      <c r="D23" s="4" t="str">
        <f>IF($B23="","",  VLOOKUP($B23, Propostas!$B:$BE, 34, FALSE) )</f>
        <v/>
      </c>
      <c r="E23" s="4" t="str">
        <f>IF($B23="","",  VLOOKUP($B23, Propostas!$B:$BE, 35, FALSE) )</f>
        <v/>
      </c>
      <c r="F23" s="4" t="str">
        <f>IF($B23="","",  VLOOKUP($B23, Propostas!$B:$BE, 2, FALSE) )</f>
        <v/>
      </c>
      <c r="G23" s="4" t="str">
        <f>IF($B23="","",  VLOOKUP($B23, Propostas!$B:$BE, 3, FALSE) )</f>
        <v/>
      </c>
      <c r="H23" s="4" t="str">
        <f>IF($B23="","",  VLOOKUP($B23, Propostas!$B:$BE, 4, FALSE) )</f>
        <v/>
      </c>
      <c r="I23" s="4" t="str">
        <f>IF($B23="","",  VLOOKUP($B23, Propostas!$B:$BE, 38, FALSE) )</f>
        <v/>
      </c>
      <c r="J23" s="13" t="str">
        <f>IF($B23="","",IF($C23="SIM", "&lt; INFRRAESTRUTURA &gt;", VLOOKUP($B23,Propostas!$B:$BE,41,FALSE)))</f>
        <v/>
      </c>
      <c r="K23" s="10" t="str">
        <f>IF($B23="","",  VLOOKUP($B23, Propostas!$B:$BE, 40, FALSE) )</f>
        <v/>
      </c>
      <c r="L23" s="10" t="str">
        <f>IF($B23="","",IF(VLOOKUP($B23,Propostas!$B:$BE,21,FALSE)=1,"B",IF(VLOOKUP($B23,Propostas!$B:$BE,21,FALSE)=2,"E","N")))</f>
        <v/>
      </c>
      <c r="M23" s="32" t="str">
        <f>IF($B23 = "", "",  VLOOKUP($B23, Propostas!$B:$BE, 46, FALSE) )</f>
        <v/>
      </c>
      <c r="N23" s="32" t="str">
        <f>IF($B23 = "", "",  VLOOKUP($B23, Propostas!$B:$BE, 47, FALSE) )</f>
        <v/>
      </c>
      <c r="O23" s="13" t="str">
        <f>IF($B23="","",IF($C23="SIM", "INFRAESTRUTURA", VLOOKUP($B23, Propostas!$B:$BE,42,FALSE)))</f>
        <v/>
      </c>
      <c r="P23" s="32" t="str">
        <f>IF($B23 = "", "",  VLOOKUP($B23, Propostas!$B:$BE, 49, FALSE) )</f>
        <v/>
      </c>
      <c r="Q23" s="13" t="str">
        <f>IF($B23="","",  VLOOKUP($B23, Propostas!$B:$BE, 39, FALSE) )</f>
        <v/>
      </c>
      <c r="R23" s="81" t="str">
        <f>IF($B23="","",  VLOOKUP($B23, Propostas!$B:$BE, 43, FALSE) )</f>
        <v/>
      </c>
      <c r="S23" s="81" t="str">
        <f>IF($B23="","",  VLOOKUP($B23, Propostas!$B:$BE, 44, FALSE) )</f>
        <v/>
      </c>
      <c r="T23" s="81" t="str">
        <f>IF($B23="","",  VLOOKUP($B23, Propostas!$B:$BE, 45, FALSE) )</f>
        <v/>
      </c>
      <c r="U23" s="32" t="str">
        <f>IF($B23="","",  VLOOKUP($B23, Propostas!$B:$BE, 37, FALSE) )</f>
        <v/>
      </c>
      <c r="V23" s="13" t="str">
        <f>IF($B23="","",  VLOOKUP($B23, Propostas!$B:$BE, 50, FALSE) )</f>
        <v/>
      </c>
      <c r="W23" s="13" t="str">
        <f>IF($B23="","",  VLOOKUP($B23, Propostas!$B:$BE, 51, FALSE) )</f>
        <v/>
      </c>
      <c r="X23" s="13" t="str">
        <f>IF($B23="","",  VLOOKUP($B23, Propostas!$B:$BE, 52, FALSE) )</f>
        <v/>
      </c>
      <c r="Y23" s="13" t="str">
        <f>IF($B23="","",  VLOOKUP($B23, Propostas!$B:$BE, 36, FALSE) )</f>
        <v/>
      </c>
      <c r="Z23" s="13" t="str">
        <f>IF($B23="","",  VLOOKUP($F23, VW_PROJETO!B:C, 2, FALSE) )</f>
        <v/>
      </c>
    </row>
    <row r="24" spans="2:26" x14ac:dyDescent="0.2">
      <c r="B24" s="2"/>
      <c r="C24" s="4" t="str">
        <f>IF($B24="","",  VLOOKUP($B24, Propostas!$B:$BE, 33, FALSE) )</f>
        <v/>
      </c>
      <c r="D24" s="4" t="str">
        <f>IF($B24="","",  VLOOKUP($B24, Propostas!$B:$BE, 34, FALSE) )</f>
        <v/>
      </c>
      <c r="E24" s="4" t="str">
        <f>IF($B24="","",  VLOOKUP($B24, Propostas!$B:$BE, 35, FALSE) )</f>
        <v/>
      </c>
      <c r="F24" s="4" t="str">
        <f>IF($B24="","",  VLOOKUP($B24, Propostas!$B:$BE, 2, FALSE) )</f>
        <v/>
      </c>
      <c r="G24" s="4" t="str">
        <f>IF($B24="","",  VLOOKUP($B24, Propostas!$B:$BE, 3, FALSE) )</f>
        <v/>
      </c>
      <c r="H24" s="4" t="str">
        <f>IF($B24="","",  VLOOKUP($B24, Propostas!$B:$BE, 4, FALSE) )</f>
        <v/>
      </c>
      <c r="I24" s="4" t="str">
        <f>IF($B24="","",  VLOOKUP($B24, Propostas!$B:$BE, 38, FALSE) )</f>
        <v/>
      </c>
      <c r="J24" s="13" t="str">
        <f>IF($B24="","",IF($C24="SIM", "&lt; INFRRAESTRUTURA &gt;", VLOOKUP($B24,Propostas!$B:$BE,41,FALSE)))</f>
        <v/>
      </c>
      <c r="K24" s="10" t="str">
        <f>IF($B24="","",  VLOOKUP($B24, Propostas!$B:$BE, 40, FALSE) )</f>
        <v/>
      </c>
      <c r="L24" s="10" t="str">
        <f>IF($B24="","",IF(VLOOKUP($B24,Propostas!$B:$BE,21,FALSE)=1,"B",IF(VLOOKUP($B24,Propostas!$B:$BE,21,FALSE)=2,"E","N")))</f>
        <v/>
      </c>
      <c r="M24" s="32" t="str">
        <f>IF($B24 = "", "",  VLOOKUP($B24, Propostas!$B:$BE, 46, FALSE) )</f>
        <v/>
      </c>
      <c r="N24" s="32" t="str">
        <f>IF($B24 = "", "",  VLOOKUP($B24, Propostas!$B:$BE, 47, FALSE) )</f>
        <v/>
      </c>
      <c r="O24" s="13" t="str">
        <f>IF($B24="","",IF($C24="SIM", "INFRAESTRUTURA", VLOOKUP($B24, Propostas!$B:$BE,42,FALSE)))</f>
        <v/>
      </c>
      <c r="P24" s="32" t="str">
        <f>IF($B24 = "", "",  VLOOKUP($B24, Propostas!$B:$BE, 49, FALSE) )</f>
        <v/>
      </c>
      <c r="Q24" s="13" t="str">
        <f>IF($B24="","",  VLOOKUP($B24, Propostas!$B:$BE, 39, FALSE) )</f>
        <v/>
      </c>
      <c r="R24" s="81" t="str">
        <f>IF($B24="","",  VLOOKUP($B24, Propostas!$B:$BE, 43, FALSE) )</f>
        <v/>
      </c>
      <c r="S24" s="81" t="str">
        <f>IF($B24="","",  VLOOKUP($B24, Propostas!$B:$BE, 44, FALSE) )</f>
        <v/>
      </c>
      <c r="T24" s="81" t="str">
        <f>IF($B24="","",  VLOOKUP($B24, Propostas!$B:$BE, 45, FALSE) )</f>
        <v/>
      </c>
      <c r="U24" s="32" t="str">
        <f>IF($B24="","",  VLOOKUP($B24, Propostas!$B:$BE, 37, FALSE) )</f>
        <v/>
      </c>
      <c r="V24" s="13" t="str">
        <f>IF($B24="","",  VLOOKUP($B24, Propostas!$B:$BE, 50, FALSE) )</f>
        <v/>
      </c>
      <c r="W24" s="13" t="str">
        <f>IF($B24="","",  VLOOKUP($B24, Propostas!$B:$BE, 51, FALSE) )</f>
        <v/>
      </c>
      <c r="X24" s="13" t="str">
        <f>IF($B24="","",  VLOOKUP($B24, Propostas!$B:$BE, 52, FALSE) )</f>
        <v/>
      </c>
      <c r="Y24" s="13" t="str">
        <f>IF($B24="","",  VLOOKUP($B24, Propostas!$B:$BE, 36, FALSE) )</f>
        <v/>
      </c>
      <c r="Z24" s="13" t="str">
        <f>IF($B24="","",  VLOOKUP($F24, VW_PROJETO!B:C, 2, FALSE) )</f>
        <v/>
      </c>
    </row>
    <row r="25" spans="2:26" x14ac:dyDescent="0.2">
      <c r="B25" s="2"/>
      <c r="C25" s="4" t="str">
        <f>IF($B25="","",  VLOOKUP($B25, Propostas!$B:$BE, 33, FALSE) )</f>
        <v/>
      </c>
      <c r="D25" s="4" t="str">
        <f>IF($B25="","",  VLOOKUP($B25, Propostas!$B:$BE, 34, FALSE) )</f>
        <v/>
      </c>
      <c r="E25" s="4" t="str">
        <f>IF($B25="","",  VLOOKUP($B25, Propostas!$B:$BE, 35, FALSE) )</f>
        <v/>
      </c>
      <c r="F25" s="4" t="str">
        <f>IF($B25="","",  VLOOKUP($B25, Propostas!$B:$BE, 2, FALSE) )</f>
        <v/>
      </c>
      <c r="G25" s="4" t="str">
        <f>IF($B25="","",  VLOOKUP($B25, Propostas!$B:$BE, 3, FALSE) )</f>
        <v/>
      </c>
      <c r="H25" s="4" t="str">
        <f>IF($B25="","",  VLOOKUP($B25, Propostas!$B:$BE, 4, FALSE) )</f>
        <v/>
      </c>
      <c r="I25" s="4" t="str">
        <f>IF($B25="","",  VLOOKUP($B25, Propostas!$B:$BE, 38, FALSE) )</f>
        <v/>
      </c>
      <c r="J25" s="13" t="str">
        <f>IF($B25="","",IF($C25="SIM", "&lt; INFRRAESTRUTURA &gt;", VLOOKUP($B25,Propostas!$B:$BE,41,FALSE)))</f>
        <v/>
      </c>
      <c r="K25" s="10" t="str">
        <f>IF($B25="","",  VLOOKUP($B25, Propostas!$B:$BE, 40, FALSE) )</f>
        <v/>
      </c>
      <c r="L25" s="10" t="str">
        <f>IF($B25="","",IF(VLOOKUP($B25,Propostas!$B:$BE,21,FALSE)=1,"B",IF(VLOOKUP($B25,Propostas!$B:$BE,21,FALSE)=2,"E","N")))</f>
        <v/>
      </c>
      <c r="M25" s="32" t="str">
        <f>IF($B25 = "", "",  VLOOKUP($B25, Propostas!$B:$BE, 46, FALSE) )</f>
        <v/>
      </c>
      <c r="N25" s="32" t="str">
        <f>IF($B25 = "", "",  VLOOKUP($B25, Propostas!$B:$BE, 47, FALSE) )</f>
        <v/>
      </c>
      <c r="O25" s="13" t="str">
        <f>IF($B25="","",IF($C25="SIM", "INFRAESTRUTURA", VLOOKUP($B25, Propostas!$B:$BE,42,FALSE)))</f>
        <v/>
      </c>
      <c r="P25" s="32" t="str">
        <f>IF($B25 = "", "",  VLOOKUP($B25, Propostas!$B:$BE, 49, FALSE) )</f>
        <v/>
      </c>
      <c r="Q25" s="13" t="str">
        <f>IF($B25="","",  VLOOKUP($B25, Propostas!$B:$BE, 39, FALSE) )</f>
        <v/>
      </c>
      <c r="R25" s="81" t="str">
        <f>IF($B25="","",  VLOOKUP($B25, Propostas!$B:$BE, 43, FALSE) )</f>
        <v/>
      </c>
      <c r="S25" s="81" t="str">
        <f>IF($B25="","",  VLOOKUP($B25, Propostas!$B:$BE, 44, FALSE) )</f>
        <v/>
      </c>
      <c r="T25" s="81" t="str">
        <f>IF($B25="","",  VLOOKUP($B25, Propostas!$B:$BE, 45, FALSE) )</f>
        <v/>
      </c>
      <c r="U25" s="32" t="str">
        <f>IF($B25="","",  VLOOKUP($B25, Propostas!$B:$BE, 37, FALSE) )</f>
        <v/>
      </c>
      <c r="V25" s="13" t="str">
        <f>IF($B25="","",  VLOOKUP($B25, Propostas!$B:$BE, 50, FALSE) )</f>
        <v/>
      </c>
      <c r="W25" s="13" t="str">
        <f>IF($B25="","",  VLOOKUP($B25, Propostas!$B:$BE, 51, FALSE) )</f>
        <v/>
      </c>
      <c r="X25" s="13" t="str">
        <f>IF($B25="","",  VLOOKUP($B25, Propostas!$B:$BE, 52, FALSE) )</f>
        <v/>
      </c>
      <c r="Y25" s="13" t="str">
        <f>IF($B25="","",  VLOOKUP($B25, Propostas!$B:$BE, 36, FALSE) )</f>
        <v/>
      </c>
      <c r="Z25" s="13" t="str">
        <f>IF($B25="","",  VLOOKUP($F25, VW_PROJETO!B:C, 2, FALSE) )</f>
        <v/>
      </c>
    </row>
    <row r="26" spans="2:26" x14ac:dyDescent="0.2">
      <c r="B26" s="2"/>
      <c r="C26" s="4" t="str">
        <f>IF($B26="","",  VLOOKUP($B26, Propostas!$B:$BE, 33, FALSE) )</f>
        <v/>
      </c>
      <c r="D26" s="4" t="str">
        <f>IF($B26="","",  VLOOKUP($B26, Propostas!$B:$BE, 34, FALSE) )</f>
        <v/>
      </c>
      <c r="E26" s="4" t="str">
        <f>IF($B26="","",  VLOOKUP($B26, Propostas!$B:$BE, 35, FALSE) )</f>
        <v/>
      </c>
      <c r="F26" s="4" t="str">
        <f>IF($B26="","",  VLOOKUP($B26, Propostas!$B:$BE, 2, FALSE) )</f>
        <v/>
      </c>
      <c r="G26" s="4" t="str">
        <f>IF($B26="","",  VLOOKUP($B26, Propostas!$B:$BE, 3, FALSE) )</f>
        <v/>
      </c>
      <c r="H26" s="4" t="str">
        <f>IF($B26="","",  VLOOKUP($B26, Propostas!$B:$BE, 4, FALSE) )</f>
        <v/>
      </c>
      <c r="I26" s="4" t="str">
        <f>IF($B26="","",  VLOOKUP($B26, Propostas!$B:$BE, 38, FALSE) )</f>
        <v/>
      </c>
      <c r="J26" s="13" t="str">
        <f>IF($B26="","",IF($C26="SIM", "&lt; INFRRAESTRUTURA &gt;", VLOOKUP($B26,Propostas!$B:$BE,41,FALSE)))</f>
        <v/>
      </c>
      <c r="K26" s="10" t="str">
        <f>IF($B26="","",  VLOOKUP($B26, Propostas!$B:$BE, 40, FALSE) )</f>
        <v/>
      </c>
      <c r="L26" s="10" t="str">
        <f>IF($B26="","",IF(VLOOKUP($B26,Propostas!$B:$BE,21,FALSE)=1,"B",IF(VLOOKUP($B26,Propostas!$B:$BE,21,FALSE)=2,"E","N")))</f>
        <v/>
      </c>
      <c r="M26" s="32" t="str">
        <f>IF($B26 = "", "",  VLOOKUP($B26, Propostas!$B:$BE, 46, FALSE) )</f>
        <v/>
      </c>
      <c r="N26" s="32" t="str">
        <f>IF($B26 = "", "",  VLOOKUP($B26, Propostas!$B:$BE, 47, FALSE) )</f>
        <v/>
      </c>
      <c r="O26" s="13" t="str">
        <f>IF($B26="","",IF($C26="SIM", "INFRAESTRUTURA", VLOOKUP($B26, Propostas!$B:$BE,42,FALSE)))</f>
        <v/>
      </c>
      <c r="P26" s="32" t="str">
        <f>IF($B26 = "", "",  VLOOKUP($B26, Propostas!$B:$BE, 49, FALSE) )</f>
        <v/>
      </c>
      <c r="Q26" s="13" t="str">
        <f>IF($B26="","",  VLOOKUP($B26, Propostas!$B:$BE, 39, FALSE) )</f>
        <v/>
      </c>
      <c r="R26" s="81" t="str">
        <f>IF($B26="","",  VLOOKUP($B26, Propostas!$B:$BE, 43, FALSE) )</f>
        <v/>
      </c>
      <c r="S26" s="81" t="str">
        <f>IF($B26="","",  VLOOKUP($B26, Propostas!$B:$BE, 44, FALSE) )</f>
        <v/>
      </c>
      <c r="T26" s="81" t="str">
        <f>IF($B26="","",  VLOOKUP($B26, Propostas!$B:$BE, 45, FALSE) )</f>
        <v/>
      </c>
      <c r="U26" s="32" t="str">
        <f>IF($B26="","",  VLOOKUP($B26, Propostas!$B:$BE, 37, FALSE) )</f>
        <v/>
      </c>
      <c r="V26" s="13" t="str">
        <f>IF($B26="","",  VLOOKUP($B26, Propostas!$B:$BE, 50, FALSE) )</f>
        <v/>
      </c>
      <c r="W26" s="13" t="str">
        <f>IF($B26="","",  VLOOKUP($B26, Propostas!$B:$BE, 51, FALSE) )</f>
        <v/>
      </c>
      <c r="X26" s="13" t="str">
        <f>IF($B26="","",  VLOOKUP($B26, Propostas!$B:$BE, 52, FALSE) )</f>
        <v/>
      </c>
      <c r="Y26" s="13" t="str">
        <f>IF($B26="","",  VLOOKUP($B26, Propostas!$B:$BE, 36, FALSE) )</f>
        <v/>
      </c>
      <c r="Z26" s="13" t="str">
        <f>IF($B26="","",  VLOOKUP($F26, VW_PROJETO!B:C, 2, FALSE) )</f>
        <v/>
      </c>
    </row>
    <row r="27" spans="2:26" x14ac:dyDescent="0.2">
      <c r="B27" s="2"/>
      <c r="C27" s="4" t="str">
        <f>IF($B27="","",  VLOOKUP($B27, Propostas!$B:$BE, 33, FALSE) )</f>
        <v/>
      </c>
      <c r="D27" s="4" t="str">
        <f>IF($B27="","",  VLOOKUP($B27, Propostas!$B:$BE, 34, FALSE) )</f>
        <v/>
      </c>
      <c r="E27" s="4" t="str">
        <f>IF($B27="","",  VLOOKUP($B27, Propostas!$B:$BE, 35, FALSE) )</f>
        <v/>
      </c>
      <c r="F27" s="4" t="str">
        <f>IF($B27="","",  VLOOKUP($B27, Propostas!$B:$BE, 2, FALSE) )</f>
        <v/>
      </c>
      <c r="G27" s="4" t="str">
        <f>IF($B27="","",  VLOOKUP($B27, Propostas!$B:$BE, 3, FALSE) )</f>
        <v/>
      </c>
      <c r="H27" s="4" t="str">
        <f>IF($B27="","",  VLOOKUP($B27, Propostas!$B:$BE, 4, FALSE) )</f>
        <v/>
      </c>
      <c r="I27" s="4" t="str">
        <f>IF($B27="","",  VLOOKUP($B27, Propostas!$B:$BE, 38, FALSE) )</f>
        <v/>
      </c>
      <c r="J27" s="13" t="str">
        <f>IF($B27="","",IF($C27="SIM", "&lt; INFRRAESTRUTURA &gt;", VLOOKUP($B27,Propostas!$B:$BE,41,FALSE)))</f>
        <v/>
      </c>
      <c r="K27" s="10" t="str">
        <f>IF($B27="","",  VLOOKUP($B27, Propostas!$B:$BE, 40, FALSE) )</f>
        <v/>
      </c>
      <c r="L27" s="10" t="str">
        <f>IF($B27="","",IF(VLOOKUP($B27,Propostas!$B:$BE,21,FALSE)=1,"B",IF(VLOOKUP($B27,Propostas!$B:$BE,21,FALSE)=2,"E","N")))</f>
        <v/>
      </c>
      <c r="M27" s="32" t="str">
        <f>IF($B27 = "", "",  VLOOKUP($B27, Propostas!$B:$BE, 46, FALSE) )</f>
        <v/>
      </c>
      <c r="N27" s="32" t="str">
        <f>IF($B27 = "", "",  VLOOKUP($B27, Propostas!$B:$BE, 47, FALSE) )</f>
        <v/>
      </c>
      <c r="O27" s="13" t="str">
        <f>IF($B27="","",IF($C27="SIM", "INFRAESTRUTURA", VLOOKUP($B27, Propostas!$B:$BE,42,FALSE)))</f>
        <v/>
      </c>
      <c r="P27" s="32" t="str">
        <f>IF($B27 = "", "",  VLOOKUP($B27, Propostas!$B:$BE, 49, FALSE) )</f>
        <v/>
      </c>
      <c r="Q27" s="13" t="str">
        <f>IF($B27="","",  VLOOKUP($B27, Propostas!$B:$BE, 39, FALSE) )</f>
        <v/>
      </c>
      <c r="R27" s="81" t="str">
        <f>IF($B27="","",  VLOOKUP($B27, Propostas!$B:$BE, 43, FALSE) )</f>
        <v/>
      </c>
      <c r="S27" s="81" t="str">
        <f>IF($B27="","",  VLOOKUP($B27, Propostas!$B:$BE, 44, FALSE) )</f>
        <v/>
      </c>
      <c r="T27" s="81" t="str">
        <f>IF($B27="","",  VLOOKUP($B27, Propostas!$B:$BE, 45, FALSE) )</f>
        <v/>
      </c>
      <c r="U27" s="32" t="str">
        <f>IF($B27="","",  VLOOKUP($B27, Propostas!$B:$BE, 37, FALSE) )</f>
        <v/>
      </c>
      <c r="V27" s="13" t="str">
        <f>IF($B27="","",  VLOOKUP($B27, Propostas!$B:$BE, 50, FALSE) )</f>
        <v/>
      </c>
      <c r="W27" s="13" t="str">
        <f>IF($B27="","",  VLOOKUP($B27, Propostas!$B:$BE, 51, FALSE) )</f>
        <v/>
      </c>
      <c r="X27" s="13" t="str">
        <f>IF($B27="","",  VLOOKUP($B27, Propostas!$B:$BE, 52, FALSE) )</f>
        <v/>
      </c>
      <c r="Y27" s="13" t="str">
        <f>IF($B27="","",  VLOOKUP($B27, Propostas!$B:$BE, 36, FALSE) )</f>
        <v/>
      </c>
      <c r="Z27" s="13" t="str">
        <f>IF($B27="","",  VLOOKUP($F27, VW_PROJETO!B:C, 2, FALSE) )</f>
        <v/>
      </c>
    </row>
    <row r="28" spans="2:26" x14ac:dyDescent="0.2">
      <c r="B28" s="2"/>
      <c r="C28" s="4" t="str">
        <f>IF($B28="","",  VLOOKUP($B28, Propostas!$B:$BE, 33, FALSE) )</f>
        <v/>
      </c>
      <c r="D28" s="4" t="str">
        <f>IF($B28="","",  VLOOKUP($B28, Propostas!$B:$BE, 34, FALSE) )</f>
        <v/>
      </c>
      <c r="E28" s="4" t="str">
        <f>IF($B28="","",  VLOOKUP($B28, Propostas!$B:$BE, 35, FALSE) )</f>
        <v/>
      </c>
      <c r="F28" s="4" t="str">
        <f>IF($B28="","",  VLOOKUP($B28, Propostas!$B:$BE, 2, FALSE) )</f>
        <v/>
      </c>
      <c r="G28" s="4" t="str">
        <f>IF($B28="","",  VLOOKUP($B28, Propostas!$B:$BE, 3, FALSE) )</f>
        <v/>
      </c>
      <c r="H28" s="4" t="str">
        <f>IF($B28="","",  VLOOKUP($B28, Propostas!$B:$BE, 4, FALSE) )</f>
        <v/>
      </c>
      <c r="I28" s="4" t="str">
        <f>IF($B28="","",  VLOOKUP($B28, Propostas!$B:$BE, 38, FALSE) )</f>
        <v/>
      </c>
      <c r="J28" s="13" t="str">
        <f>IF($B28="","",IF($C28="SIM", "&lt; INFRRAESTRUTURA &gt;", VLOOKUP($B28,Propostas!$B:$BE,41,FALSE)))</f>
        <v/>
      </c>
      <c r="K28" s="10" t="str">
        <f>IF($B28="","",  VLOOKUP($B28, Propostas!$B:$BE, 40, FALSE) )</f>
        <v/>
      </c>
      <c r="L28" s="10" t="str">
        <f>IF($B28="","",IF(VLOOKUP($B28,Propostas!$B:$BE,21,FALSE)=1,"B",IF(VLOOKUP($B28,Propostas!$B:$BE,21,FALSE)=2,"E","N")))</f>
        <v/>
      </c>
      <c r="M28" s="32" t="str">
        <f>IF($B28 = "", "",  VLOOKUP($B28, Propostas!$B:$BE, 46, FALSE) )</f>
        <v/>
      </c>
      <c r="N28" s="32" t="str">
        <f>IF($B28 = "", "",  VLOOKUP($B28, Propostas!$B:$BE, 47, FALSE) )</f>
        <v/>
      </c>
      <c r="O28" s="13" t="str">
        <f>IF($B28="","",IF($C28="SIM", "INFRAESTRUTURA", VLOOKUP($B28, Propostas!$B:$BE,42,FALSE)))</f>
        <v/>
      </c>
      <c r="P28" s="32" t="str">
        <f>IF($B28 = "", "",  VLOOKUP($B28, Propostas!$B:$BE, 49, FALSE) )</f>
        <v/>
      </c>
      <c r="Q28" s="13" t="str">
        <f>IF($B28="","",  VLOOKUP($B28, Propostas!$B:$BE, 39, FALSE) )</f>
        <v/>
      </c>
      <c r="R28" s="81" t="str">
        <f>IF($B28="","",  VLOOKUP($B28, Propostas!$B:$BE, 43, FALSE) )</f>
        <v/>
      </c>
      <c r="S28" s="81" t="str">
        <f>IF($B28="","",  VLOOKUP($B28, Propostas!$B:$BE, 44, FALSE) )</f>
        <v/>
      </c>
      <c r="T28" s="81" t="str">
        <f>IF($B28="","",  VLOOKUP($B28, Propostas!$B:$BE, 45, FALSE) )</f>
        <v/>
      </c>
      <c r="U28" s="32" t="str">
        <f>IF($B28="","",  VLOOKUP($B28, Propostas!$B:$BE, 37, FALSE) )</f>
        <v/>
      </c>
      <c r="V28" s="13" t="str">
        <f>IF($B28="","",  VLOOKUP($B28, Propostas!$B:$BE, 50, FALSE) )</f>
        <v/>
      </c>
      <c r="W28" s="13" t="str">
        <f>IF($B28="","",  VLOOKUP($B28, Propostas!$B:$BE, 51, FALSE) )</f>
        <v/>
      </c>
      <c r="X28" s="13" t="str">
        <f>IF($B28="","",  VLOOKUP($B28, Propostas!$B:$BE, 52, FALSE) )</f>
        <v/>
      </c>
      <c r="Y28" s="13" t="str">
        <f>IF($B28="","",  VLOOKUP($B28, Propostas!$B:$BE, 36, FALSE) )</f>
        <v/>
      </c>
      <c r="Z28" s="13" t="str">
        <f>IF($B28="","",  VLOOKUP($F28, VW_PROJETO!B:C, 2, FALSE) )</f>
        <v/>
      </c>
    </row>
    <row r="29" spans="2:26" x14ac:dyDescent="0.2">
      <c r="B29" s="2"/>
      <c r="C29" s="4" t="str">
        <f>IF($B29="","",  VLOOKUP($B29, Propostas!$B:$BE, 33, FALSE) )</f>
        <v/>
      </c>
      <c r="D29" s="4" t="str">
        <f>IF($B29="","",  VLOOKUP($B29, Propostas!$B:$BE, 34, FALSE) )</f>
        <v/>
      </c>
      <c r="E29" s="4" t="str">
        <f>IF($B29="","",  VLOOKUP($B29, Propostas!$B:$BE, 35, FALSE) )</f>
        <v/>
      </c>
      <c r="F29" s="4" t="str">
        <f>IF($B29="","",  VLOOKUP($B29, Propostas!$B:$BE, 2, FALSE) )</f>
        <v/>
      </c>
      <c r="G29" s="4" t="str">
        <f>IF($B29="","",  VLOOKUP($B29, Propostas!$B:$BE, 3, FALSE) )</f>
        <v/>
      </c>
      <c r="H29" s="4" t="str">
        <f>IF($B29="","",  VLOOKUP($B29, Propostas!$B:$BE, 4, FALSE) )</f>
        <v/>
      </c>
      <c r="I29" s="4" t="str">
        <f>IF($B29="","",  VLOOKUP($B29, Propostas!$B:$BE, 38, FALSE) )</f>
        <v/>
      </c>
      <c r="J29" s="13" t="str">
        <f>IF($B29="","",IF($C29="SIM", "&lt; INFRRAESTRUTURA &gt;", VLOOKUP($B29,Propostas!$B:$BE,41,FALSE)))</f>
        <v/>
      </c>
      <c r="K29" s="10" t="str">
        <f>IF($B29="","",  VLOOKUP($B29, Propostas!$B:$BE, 40, FALSE) )</f>
        <v/>
      </c>
      <c r="L29" s="10" t="str">
        <f>IF($B29="","",IF(VLOOKUP($B29,Propostas!$B:$BE,21,FALSE)=1,"B",IF(VLOOKUP($B29,Propostas!$B:$BE,21,FALSE)=2,"E","N")))</f>
        <v/>
      </c>
      <c r="M29" s="32" t="str">
        <f>IF($B29 = "", "",  VLOOKUP($B29, Propostas!$B:$BE, 46, FALSE) )</f>
        <v/>
      </c>
      <c r="N29" s="32" t="str">
        <f>IF($B29 = "", "",  VLOOKUP($B29, Propostas!$B:$BE, 47, FALSE) )</f>
        <v/>
      </c>
      <c r="O29" s="13" t="str">
        <f>IF($B29="","",IF($C29="SIM", "INFRAESTRUTURA", VLOOKUP($B29, Propostas!$B:$BE,42,FALSE)))</f>
        <v/>
      </c>
      <c r="P29" s="32" t="str">
        <f>IF($B29 = "", "",  VLOOKUP($B29, Propostas!$B:$BE, 49, FALSE) )</f>
        <v/>
      </c>
      <c r="Q29" s="13" t="str">
        <f>IF($B29="","",  VLOOKUP($B29, Propostas!$B:$BE, 39, FALSE) )</f>
        <v/>
      </c>
      <c r="R29" s="81" t="str">
        <f>IF($B29="","",  VLOOKUP($B29, Propostas!$B:$BE, 43, FALSE) )</f>
        <v/>
      </c>
      <c r="S29" s="81" t="str">
        <f>IF($B29="","",  VLOOKUP($B29, Propostas!$B:$BE, 44, FALSE) )</f>
        <v/>
      </c>
      <c r="T29" s="81" t="str">
        <f>IF($B29="","",  VLOOKUP($B29, Propostas!$B:$BE, 45, FALSE) )</f>
        <v/>
      </c>
      <c r="U29" s="32" t="str">
        <f>IF($B29="","",  VLOOKUP($B29, Propostas!$B:$BE, 37, FALSE) )</f>
        <v/>
      </c>
      <c r="V29" s="13" t="str">
        <f>IF($B29="","",  VLOOKUP($B29, Propostas!$B:$BE, 50, FALSE) )</f>
        <v/>
      </c>
      <c r="W29" s="13" t="str">
        <f>IF($B29="","",  VLOOKUP($B29, Propostas!$B:$BE, 51, FALSE) )</f>
        <v/>
      </c>
      <c r="X29" s="13" t="str">
        <f>IF($B29="","",  VLOOKUP($B29, Propostas!$B:$BE, 52, FALSE) )</f>
        <v/>
      </c>
      <c r="Y29" s="13" t="str">
        <f>IF($B29="","",  VLOOKUP($B29, Propostas!$B:$BE, 36, FALSE) )</f>
        <v/>
      </c>
      <c r="Z29" s="13" t="str">
        <f>IF($B29="","",  VLOOKUP($F29, VW_PROJETO!B:C, 2, FALSE) )</f>
        <v/>
      </c>
    </row>
    <row r="30" spans="2:26" x14ac:dyDescent="0.2">
      <c r="B30" s="2"/>
      <c r="C30" s="4" t="str">
        <f>IF($B30="","",  VLOOKUP($B30, Propostas!$B:$BE, 33, FALSE) )</f>
        <v/>
      </c>
      <c r="D30" s="4" t="str">
        <f>IF($B30="","",  VLOOKUP($B30, Propostas!$B:$BE, 34, FALSE) )</f>
        <v/>
      </c>
      <c r="E30" s="4" t="str">
        <f>IF($B30="","",  VLOOKUP($B30, Propostas!$B:$BE, 35, FALSE) )</f>
        <v/>
      </c>
      <c r="F30" s="4" t="str">
        <f>IF($B30="","",  VLOOKUP($B30, Propostas!$B:$BE, 2, FALSE) )</f>
        <v/>
      </c>
      <c r="G30" s="4" t="str">
        <f>IF($B30="","",  VLOOKUP($B30, Propostas!$B:$BE, 3, FALSE) )</f>
        <v/>
      </c>
      <c r="H30" s="4" t="str">
        <f>IF($B30="","",  VLOOKUP($B30, Propostas!$B:$BE, 4, FALSE) )</f>
        <v/>
      </c>
      <c r="I30" s="4" t="str">
        <f>IF($B30="","",  VLOOKUP($B30, Propostas!$B:$BE, 38, FALSE) )</f>
        <v/>
      </c>
      <c r="J30" s="13" t="str">
        <f>IF($B30="","",IF($C30="SIM", "&lt; INFRRAESTRUTURA &gt;", VLOOKUP($B30,Propostas!$B:$BE,41,FALSE)))</f>
        <v/>
      </c>
      <c r="K30" s="10" t="str">
        <f>IF($B30="","",  VLOOKUP($B30, Propostas!$B:$BE, 40, FALSE) )</f>
        <v/>
      </c>
      <c r="L30" s="10" t="str">
        <f>IF($B30="","",IF(VLOOKUP($B30,Propostas!$B:$BE,21,FALSE)=1,"B",IF(VLOOKUP($B30,Propostas!$B:$BE,21,FALSE)=2,"E","N")))</f>
        <v/>
      </c>
      <c r="M30" s="32" t="str">
        <f>IF($B30 = "", "",  VLOOKUP($B30, Propostas!$B:$BE, 46, FALSE) )</f>
        <v/>
      </c>
      <c r="N30" s="32" t="str">
        <f>IF($B30 = "", "",  VLOOKUP($B30, Propostas!$B:$BE, 47, FALSE) )</f>
        <v/>
      </c>
      <c r="O30" s="13" t="str">
        <f>IF($B30="","",IF($C30="SIM", "INFRAESTRUTURA", VLOOKUP($B30, Propostas!$B:$BE,42,FALSE)))</f>
        <v/>
      </c>
      <c r="P30" s="32" t="str">
        <f>IF($B30 = "", "",  VLOOKUP($B30, Propostas!$B:$BE, 49, FALSE) )</f>
        <v/>
      </c>
      <c r="Q30" s="13" t="str">
        <f>IF($B30="","",  VLOOKUP($B30, Propostas!$B:$BE, 39, FALSE) )</f>
        <v/>
      </c>
      <c r="R30" s="81" t="str">
        <f>IF($B30="","",  VLOOKUP($B30, Propostas!$B:$BE, 43, FALSE) )</f>
        <v/>
      </c>
      <c r="S30" s="81" t="str">
        <f>IF($B30="","",  VLOOKUP($B30, Propostas!$B:$BE, 44, FALSE) )</f>
        <v/>
      </c>
      <c r="T30" s="81" t="str">
        <f>IF($B30="","",  VLOOKUP($B30, Propostas!$B:$BE, 45, FALSE) )</f>
        <v/>
      </c>
      <c r="U30" s="32" t="str">
        <f>IF($B30="","",  VLOOKUP($B30, Propostas!$B:$BE, 37, FALSE) )</f>
        <v/>
      </c>
      <c r="V30" s="13" t="str">
        <f>IF($B30="","",  VLOOKUP($B30, Propostas!$B:$BE, 50, FALSE) )</f>
        <v/>
      </c>
      <c r="W30" s="13" t="str">
        <f>IF($B30="","",  VLOOKUP($B30, Propostas!$B:$BE, 51, FALSE) )</f>
        <v/>
      </c>
      <c r="X30" s="13" t="str">
        <f>IF($B30="","",  VLOOKUP($B30, Propostas!$B:$BE, 52, FALSE) )</f>
        <v/>
      </c>
      <c r="Y30" s="13" t="str">
        <f>IF($B30="","",  VLOOKUP($B30, Propostas!$B:$BE, 36, FALSE) )</f>
        <v/>
      </c>
      <c r="Z30" s="13" t="str">
        <f>IF($B30="","",  VLOOKUP($F30, VW_PROJETO!B:C, 2, FALSE) )</f>
        <v/>
      </c>
    </row>
    <row r="31" spans="2:26" x14ac:dyDescent="0.2">
      <c r="B31" s="2"/>
      <c r="C31" s="4" t="str">
        <f>IF($B31="","",  VLOOKUP($B31, Propostas!$B:$BE, 33, FALSE) )</f>
        <v/>
      </c>
      <c r="D31" s="4" t="str">
        <f>IF($B31="","",  VLOOKUP($B31, Propostas!$B:$BE, 34, FALSE) )</f>
        <v/>
      </c>
      <c r="E31" s="4" t="str">
        <f>IF($B31="","",  VLOOKUP($B31, Propostas!$B:$BE, 35, FALSE) )</f>
        <v/>
      </c>
      <c r="F31" s="4" t="str">
        <f>IF($B31="","",  VLOOKUP($B31, Propostas!$B:$BE, 2, FALSE) )</f>
        <v/>
      </c>
      <c r="G31" s="4" t="str">
        <f>IF($B31="","",  VLOOKUP($B31, Propostas!$B:$BE, 3, FALSE) )</f>
        <v/>
      </c>
      <c r="H31" s="4" t="str">
        <f>IF($B31="","",  VLOOKUP($B31, Propostas!$B:$BE, 4, FALSE) )</f>
        <v/>
      </c>
      <c r="I31" s="4" t="str">
        <f>IF($B31="","",  VLOOKUP($B31, Propostas!$B:$BE, 38, FALSE) )</f>
        <v/>
      </c>
      <c r="J31" s="13" t="str">
        <f>IF($B31="","",IF($C31="SIM", "&lt; INFRRAESTRUTURA &gt;", VLOOKUP($B31,Propostas!$B:$BE,41,FALSE)))</f>
        <v/>
      </c>
      <c r="K31" s="10" t="str">
        <f>IF($B31="","",  VLOOKUP($B31, Propostas!$B:$BE, 40, FALSE) )</f>
        <v/>
      </c>
      <c r="L31" s="10" t="str">
        <f>IF($B31="","",IF(VLOOKUP($B31,Propostas!$B:$BE,21,FALSE)=1,"B",IF(VLOOKUP($B31,Propostas!$B:$BE,21,FALSE)=2,"E","N")))</f>
        <v/>
      </c>
      <c r="M31" s="32" t="str">
        <f>IF($B31 = "", "",  VLOOKUP($B31, Propostas!$B:$BE, 46, FALSE) )</f>
        <v/>
      </c>
      <c r="N31" s="32" t="str">
        <f>IF($B31 = "", "",  VLOOKUP($B31, Propostas!$B:$BE, 47, FALSE) )</f>
        <v/>
      </c>
      <c r="O31" s="13" t="str">
        <f>IF($B31="","",IF($C31="SIM", "INFRAESTRUTURA", VLOOKUP($B31, Propostas!$B:$BE,42,FALSE)))</f>
        <v/>
      </c>
      <c r="P31" s="32" t="str">
        <f>IF($B31 = "", "",  VLOOKUP($B31, Propostas!$B:$BE, 49, FALSE) )</f>
        <v/>
      </c>
      <c r="Q31" s="13" t="str">
        <f>IF($B31="","",  VLOOKUP($B31, Propostas!$B:$BE, 39, FALSE) )</f>
        <v/>
      </c>
      <c r="R31" s="81" t="str">
        <f>IF($B31="","",  VLOOKUP($B31, Propostas!$B:$BE, 43, FALSE) )</f>
        <v/>
      </c>
      <c r="S31" s="81" t="str">
        <f>IF($B31="","",  VLOOKUP($B31, Propostas!$B:$BE, 44, FALSE) )</f>
        <v/>
      </c>
      <c r="T31" s="81" t="str">
        <f>IF($B31="","",  VLOOKUP($B31, Propostas!$B:$BE, 45, FALSE) )</f>
        <v/>
      </c>
      <c r="U31" s="32" t="str">
        <f>IF($B31="","",  VLOOKUP($B31, Propostas!$B:$BE, 37, FALSE) )</f>
        <v/>
      </c>
      <c r="V31" s="13" t="str">
        <f>IF($B31="","",  VLOOKUP($B31, Propostas!$B:$BE, 50, FALSE) )</f>
        <v/>
      </c>
      <c r="W31" s="13" t="str">
        <f>IF($B31="","",  VLOOKUP($B31, Propostas!$B:$BE, 51, FALSE) )</f>
        <v/>
      </c>
      <c r="X31" s="13" t="str">
        <f>IF($B31="","",  VLOOKUP($B31, Propostas!$B:$BE, 52, FALSE) )</f>
        <v/>
      </c>
      <c r="Y31" s="13" t="str">
        <f>IF($B31="","",  VLOOKUP($B31, Propostas!$B:$BE, 36, FALSE) )</f>
        <v/>
      </c>
      <c r="Z31" s="13" t="str">
        <f>IF($B31="","",  VLOOKUP($F31, VW_PROJETO!B:C, 2, FALSE) )</f>
        <v/>
      </c>
    </row>
    <row r="32" spans="2:26" x14ac:dyDescent="0.2">
      <c r="B32" s="2"/>
      <c r="C32" s="4" t="str">
        <f>IF($B32="","",  VLOOKUP($B32, Propostas!$B:$BE, 33, FALSE) )</f>
        <v/>
      </c>
      <c r="D32" s="4" t="str">
        <f>IF($B32="","",  VLOOKUP($B32, Propostas!$B:$BE, 34, FALSE) )</f>
        <v/>
      </c>
      <c r="E32" s="4" t="str">
        <f>IF($B32="","",  VLOOKUP($B32, Propostas!$B:$BE, 35, FALSE) )</f>
        <v/>
      </c>
      <c r="F32" s="4" t="str">
        <f>IF($B32="","",  VLOOKUP($B32, Propostas!$B:$BE, 2, FALSE) )</f>
        <v/>
      </c>
      <c r="G32" s="4" t="str">
        <f>IF($B32="","",  VLOOKUP($B32, Propostas!$B:$BE, 3, FALSE) )</f>
        <v/>
      </c>
      <c r="H32" s="4" t="str">
        <f>IF($B32="","",  VLOOKUP($B32, Propostas!$B:$BE, 4, FALSE) )</f>
        <v/>
      </c>
      <c r="I32" s="4" t="str">
        <f>IF($B32="","",  VLOOKUP($B32, Propostas!$B:$BE, 38, FALSE) )</f>
        <v/>
      </c>
      <c r="J32" s="13" t="str">
        <f>IF($B32="","",IF($C32="SIM", "&lt; INFRRAESTRUTURA &gt;", VLOOKUP($B32,Propostas!$B:$BE,41,FALSE)))</f>
        <v/>
      </c>
      <c r="K32" s="10" t="str">
        <f>IF($B32="","",  VLOOKUP($B32, Propostas!$B:$BE, 40, FALSE) )</f>
        <v/>
      </c>
      <c r="L32" s="10" t="str">
        <f>IF($B32="","",IF(VLOOKUP($B32,Propostas!$B:$BE,21,FALSE)=1,"B",IF(VLOOKUP($B32,Propostas!$B:$BE,21,FALSE)=2,"E","N")))</f>
        <v/>
      </c>
      <c r="M32" s="32" t="str">
        <f>IF($B32 = "", "",  VLOOKUP($B32, Propostas!$B:$BE, 46, FALSE) )</f>
        <v/>
      </c>
      <c r="N32" s="32" t="str">
        <f>IF($B32 = "", "",  VLOOKUP($B32, Propostas!$B:$BE, 47, FALSE) )</f>
        <v/>
      </c>
      <c r="O32" s="13" t="str">
        <f>IF($B32="","",IF($C32="SIM", "INFRAESTRUTURA", VLOOKUP($B32, Propostas!$B:$BE,42,FALSE)))</f>
        <v/>
      </c>
      <c r="P32" s="32" t="str">
        <f>IF($B32 = "", "",  VLOOKUP($B32, Propostas!$B:$BE, 49, FALSE) )</f>
        <v/>
      </c>
      <c r="Q32" s="13" t="str">
        <f>IF($B32="","",  VLOOKUP($B32, Propostas!$B:$BE, 39, FALSE) )</f>
        <v/>
      </c>
      <c r="R32" s="81" t="str">
        <f>IF($B32="","",  VLOOKUP($B32, Propostas!$B:$BE, 43, FALSE) )</f>
        <v/>
      </c>
      <c r="S32" s="81" t="str">
        <f>IF($B32="","",  VLOOKUP($B32, Propostas!$B:$BE, 44, FALSE) )</f>
        <v/>
      </c>
      <c r="T32" s="81" t="str">
        <f>IF($B32="","",  VLOOKUP($B32, Propostas!$B:$BE, 45, FALSE) )</f>
        <v/>
      </c>
      <c r="U32" s="32" t="str">
        <f>IF($B32="","",  VLOOKUP($B32, Propostas!$B:$BE, 37, FALSE) )</f>
        <v/>
      </c>
      <c r="V32" s="13" t="str">
        <f>IF($B32="","",  VLOOKUP($B32, Propostas!$B:$BE, 50, FALSE) )</f>
        <v/>
      </c>
      <c r="W32" s="13" t="str">
        <f>IF($B32="","",  VLOOKUP($B32, Propostas!$B:$BE, 51, FALSE) )</f>
        <v/>
      </c>
      <c r="X32" s="13" t="str">
        <f>IF($B32="","",  VLOOKUP($B32, Propostas!$B:$BE, 52, FALSE) )</f>
        <v/>
      </c>
      <c r="Y32" s="13" t="str">
        <f>IF($B32="","",  VLOOKUP($B32, Propostas!$B:$BE, 36, FALSE) )</f>
        <v/>
      </c>
      <c r="Z32" s="13" t="str">
        <f>IF($B32="","",  VLOOKUP($F32, VW_PROJETO!B:C, 2, FALSE) )</f>
        <v/>
      </c>
    </row>
    <row r="33" spans="1:26" x14ac:dyDescent="0.2">
      <c r="B33" s="2"/>
      <c r="C33" s="4" t="str">
        <f>IF($B33="","",  VLOOKUP($B33, Propostas!$B:$BE, 33, FALSE) )</f>
        <v/>
      </c>
      <c r="D33" s="4" t="str">
        <f>IF($B33="","",  VLOOKUP($B33, Propostas!$B:$BE, 34, FALSE) )</f>
        <v/>
      </c>
      <c r="E33" s="4" t="str">
        <f>IF($B33="","",  VLOOKUP($B33, Propostas!$B:$BE, 35, FALSE) )</f>
        <v/>
      </c>
      <c r="F33" s="4" t="str">
        <f>IF($B33="","",  VLOOKUP($B33, Propostas!$B:$BE, 2, FALSE) )</f>
        <v/>
      </c>
      <c r="G33" s="4" t="str">
        <f>IF($B33="","",  VLOOKUP($B33, Propostas!$B:$BE, 3, FALSE) )</f>
        <v/>
      </c>
      <c r="H33" s="4" t="str">
        <f>IF($B33="","",  VLOOKUP($B33, Propostas!$B:$BE, 4, FALSE) )</f>
        <v/>
      </c>
      <c r="I33" s="4" t="str">
        <f>IF($B33="","",  VLOOKUP($B33, Propostas!$B:$BE, 38, FALSE) )</f>
        <v/>
      </c>
      <c r="J33" s="13" t="str">
        <f>IF($B33="","",IF($C33="SIM", "&lt; INFRRAESTRUTURA &gt;", VLOOKUP($B33,Propostas!$B:$BE,41,FALSE)))</f>
        <v/>
      </c>
      <c r="K33" s="10" t="str">
        <f>IF($B33="","",  VLOOKUP($B33, Propostas!$B:$BE, 40, FALSE) )</f>
        <v/>
      </c>
      <c r="L33" s="10" t="str">
        <f>IF($B33="","",IF(VLOOKUP($B33,Propostas!$B:$BE,21,FALSE)=1,"B",IF(VLOOKUP($B33,Propostas!$B:$BE,21,FALSE)=2,"E","N")))</f>
        <v/>
      </c>
      <c r="M33" s="32" t="str">
        <f>IF($B33 = "", "",  VLOOKUP($B33, Propostas!$B:$BE, 46, FALSE) )</f>
        <v/>
      </c>
      <c r="N33" s="32" t="str">
        <f>IF($B33 = "", "",  VLOOKUP($B33, Propostas!$B:$BE, 47, FALSE) )</f>
        <v/>
      </c>
      <c r="O33" s="13" t="str">
        <f>IF($B33="","",IF($C33="SIM", "INFRAESTRUTURA", VLOOKUP($B33, Propostas!$B:$BE,42,FALSE)))</f>
        <v/>
      </c>
      <c r="P33" s="32" t="str">
        <f>IF($B33 = "", "",  VLOOKUP($B33, Propostas!$B:$BE, 49, FALSE) )</f>
        <v/>
      </c>
      <c r="Q33" s="13" t="str">
        <f>IF($B33="","",  VLOOKUP($B33, Propostas!$B:$BE, 39, FALSE) )</f>
        <v/>
      </c>
      <c r="R33" s="81" t="str">
        <f>IF($B33="","",  VLOOKUP($B33, Propostas!$B:$BE, 43, FALSE) )</f>
        <v/>
      </c>
      <c r="S33" s="81" t="str">
        <f>IF($B33="","",  VLOOKUP($B33, Propostas!$B:$BE, 44, FALSE) )</f>
        <v/>
      </c>
      <c r="T33" s="81" t="str">
        <f>IF($B33="","",  VLOOKUP($B33, Propostas!$B:$BE, 45, FALSE) )</f>
        <v/>
      </c>
      <c r="U33" s="32" t="str">
        <f>IF($B33="","",  VLOOKUP($B33, Propostas!$B:$BE, 37, FALSE) )</f>
        <v/>
      </c>
      <c r="V33" s="13" t="str">
        <f>IF($B33="","",  VLOOKUP($B33, Propostas!$B:$BE, 50, FALSE) )</f>
        <v/>
      </c>
      <c r="W33" s="13" t="str">
        <f>IF($B33="","",  VLOOKUP($B33, Propostas!$B:$BE, 51, FALSE) )</f>
        <v/>
      </c>
      <c r="X33" s="13" t="str">
        <f>IF($B33="","",  VLOOKUP($B33, Propostas!$B:$BE, 52, FALSE) )</f>
        <v/>
      </c>
      <c r="Y33" s="13" t="str">
        <f>IF($B33="","",  VLOOKUP($B33, Propostas!$B:$BE, 36, FALSE) )</f>
        <v/>
      </c>
      <c r="Z33" s="13" t="str">
        <f>IF($B33="","",  VLOOKUP($F33, VW_PROJETO!B:C, 2, FALSE) )</f>
        <v/>
      </c>
    </row>
    <row r="34" spans="1:26" x14ac:dyDescent="0.2">
      <c r="B34" s="2"/>
      <c r="C34" s="4" t="str">
        <f>IF($B34="","",  VLOOKUP($B34, Propostas!$B:$BE, 33, FALSE) )</f>
        <v/>
      </c>
      <c r="D34" s="4" t="str">
        <f>IF($B34="","",  VLOOKUP($B34, Propostas!$B:$BE, 34, FALSE) )</f>
        <v/>
      </c>
      <c r="E34" s="4" t="str">
        <f>IF($B34="","",  VLOOKUP($B34, Propostas!$B:$BE, 35, FALSE) )</f>
        <v/>
      </c>
      <c r="F34" s="4" t="str">
        <f>IF($B34="","",  VLOOKUP($B34, Propostas!$B:$BE, 2, FALSE) )</f>
        <v/>
      </c>
      <c r="G34" s="4" t="str">
        <f>IF($B34="","",  VLOOKUP($B34, Propostas!$B:$BE, 3, FALSE) )</f>
        <v/>
      </c>
      <c r="H34" s="4" t="str">
        <f>IF($B34="","",  VLOOKUP($B34, Propostas!$B:$BE, 4, FALSE) )</f>
        <v/>
      </c>
      <c r="I34" s="4" t="str">
        <f>IF($B34="","",  VLOOKUP($B34, Propostas!$B:$BE, 38, FALSE) )</f>
        <v/>
      </c>
      <c r="J34" s="13" t="str">
        <f>IF($B34="","",IF($C34="SIM", "&lt; INFRRAESTRUTURA &gt;", VLOOKUP($B34,Propostas!$B:$BE,41,FALSE)))</f>
        <v/>
      </c>
      <c r="K34" s="10" t="str">
        <f>IF($B34="","",  VLOOKUP($B34, Propostas!$B:$BE, 40, FALSE) )</f>
        <v/>
      </c>
      <c r="L34" s="10" t="str">
        <f>IF($B34="","",IF(VLOOKUP($B34,Propostas!$B:$BE,21,FALSE)=1,"B",IF(VLOOKUP($B34,Propostas!$B:$BE,21,FALSE)=2,"E","N")))</f>
        <v/>
      </c>
      <c r="M34" s="32" t="str">
        <f>IF($B34 = "", "",  VLOOKUP($B34, Propostas!$B:$BE, 46, FALSE) )</f>
        <v/>
      </c>
      <c r="N34" s="32" t="str">
        <f>IF($B34 = "", "",  VLOOKUP($B34, Propostas!$B:$BE, 47, FALSE) )</f>
        <v/>
      </c>
      <c r="O34" s="13" t="str">
        <f>IF($B34="","",IF($C34="SIM", "INFRAESTRUTURA", VLOOKUP($B34, Propostas!$B:$BE,42,FALSE)))</f>
        <v/>
      </c>
      <c r="P34" s="32" t="str">
        <f>IF($B34 = "", "",  VLOOKUP($B34, Propostas!$B:$BE, 49, FALSE) )</f>
        <v/>
      </c>
      <c r="Q34" s="13" t="str">
        <f>IF($B34="","",  VLOOKUP($B34, Propostas!$B:$BE, 39, FALSE) )</f>
        <v/>
      </c>
      <c r="R34" s="81" t="str">
        <f>IF($B34="","",  VLOOKUP($B34, Propostas!$B:$BE, 43, FALSE) )</f>
        <v/>
      </c>
      <c r="S34" s="81" t="str">
        <f>IF($B34="","",  VLOOKUP($B34, Propostas!$B:$BE, 44, FALSE) )</f>
        <v/>
      </c>
      <c r="T34" s="81" t="str">
        <f>IF($B34="","",  VLOOKUP($B34, Propostas!$B:$BE, 45, FALSE) )</f>
        <v/>
      </c>
      <c r="U34" s="32" t="str">
        <f>IF($B34="","",  VLOOKUP($B34, Propostas!$B:$BE, 37, FALSE) )</f>
        <v/>
      </c>
      <c r="V34" s="13" t="str">
        <f>IF($B34="","",  VLOOKUP($B34, Propostas!$B:$BE, 50, FALSE) )</f>
        <v/>
      </c>
      <c r="W34" s="13" t="str">
        <f>IF($B34="","",  VLOOKUP($B34, Propostas!$B:$BE, 51, FALSE) )</f>
        <v/>
      </c>
      <c r="X34" s="13" t="str">
        <f>IF($B34="","",  VLOOKUP($B34, Propostas!$B:$BE, 52, FALSE) )</f>
        <v/>
      </c>
      <c r="Y34" s="13" t="str">
        <f>IF($B34="","",  VLOOKUP($B34, Propostas!$B:$BE, 36, FALSE) )</f>
        <v/>
      </c>
      <c r="Z34" s="13" t="str">
        <f>IF($B34="","",  VLOOKUP($F34, VW_PROJETO!B:C, 2, FALSE) )</f>
        <v/>
      </c>
    </row>
    <row r="35" spans="1:26" x14ac:dyDescent="0.2">
      <c r="B35" s="2"/>
      <c r="C35" s="4" t="str">
        <f>IF($B35="","",  VLOOKUP($B35, Propostas!$B:$BE, 33, FALSE) )</f>
        <v/>
      </c>
      <c r="D35" s="4" t="str">
        <f>IF($B35="","",  VLOOKUP($B35, Propostas!$B:$BE, 34, FALSE) )</f>
        <v/>
      </c>
      <c r="E35" s="4" t="str">
        <f>IF($B35="","",  VLOOKUP($B35, Propostas!$B:$BE, 35, FALSE) )</f>
        <v/>
      </c>
      <c r="F35" s="4" t="str">
        <f>IF($B35="","",  VLOOKUP($B35, Propostas!$B:$BE, 2, FALSE) )</f>
        <v/>
      </c>
      <c r="G35" s="4" t="str">
        <f>IF($B35="","",  VLOOKUP($B35, Propostas!$B:$BE, 3, FALSE) )</f>
        <v/>
      </c>
      <c r="H35" s="4" t="str">
        <f>IF($B35="","",  VLOOKUP($B35, Propostas!$B:$BE, 4, FALSE) )</f>
        <v/>
      </c>
      <c r="I35" s="4" t="str">
        <f>IF($B35="","",  VLOOKUP($B35, Propostas!$B:$BE, 38, FALSE) )</f>
        <v/>
      </c>
      <c r="J35" s="13" t="str">
        <f>IF($B35="","",IF($C35="SIM", "&lt; INFRRAESTRUTURA &gt;", VLOOKUP($B35,Propostas!$B:$BE,41,FALSE)))</f>
        <v/>
      </c>
      <c r="K35" s="10" t="str">
        <f>IF($B35="","",  VLOOKUP($B35, Propostas!$B:$BE, 40, FALSE) )</f>
        <v/>
      </c>
      <c r="L35" s="10" t="str">
        <f>IF($B35="","",IF(VLOOKUP($B35,Propostas!$B:$BE,21,FALSE)=1,"B",IF(VLOOKUP($B35,Propostas!$B:$BE,21,FALSE)=2,"E","N")))</f>
        <v/>
      </c>
      <c r="M35" s="32" t="str">
        <f>IF($B35 = "", "",  VLOOKUP($B35, Propostas!$B:$BE, 46, FALSE) )</f>
        <v/>
      </c>
      <c r="N35" s="32" t="str">
        <f>IF($B35 = "", "",  VLOOKUP($B35, Propostas!$B:$BE, 47, FALSE) )</f>
        <v/>
      </c>
      <c r="O35" s="13" t="str">
        <f>IF($B35="","",IF($C35="SIM", "INFRAESTRUTURA", VLOOKUP($B35, Propostas!$B:$BE,42,FALSE)))</f>
        <v/>
      </c>
      <c r="P35" s="32" t="str">
        <f>IF($B35 = "", "",  VLOOKUP($B35, Propostas!$B:$BE, 49, FALSE) )</f>
        <v/>
      </c>
      <c r="Q35" s="13" t="str">
        <f>IF($B35="","",  VLOOKUP($B35, Propostas!$B:$BE, 39, FALSE) )</f>
        <v/>
      </c>
      <c r="R35" s="81" t="str">
        <f>IF($B35="","",  VLOOKUP($B35, Propostas!$B:$BE, 43, FALSE) )</f>
        <v/>
      </c>
      <c r="S35" s="81" t="str">
        <f>IF($B35="","",  VLOOKUP($B35, Propostas!$B:$BE, 44, FALSE) )</f>
        <v/>
      </c>
      <c r="T35" s="81" t="str">
        <f>IF($B35="","",  VLOOKUP($B35, Propostas!$B:$BE, 45, FALSE) )</f>
        <v/>
      </c>
      <c r="U35" s="32" t="str">
        <f>IF($B35="","",  VLOOKUP($B35, Propostas!$B:$BE, 37, FALSE) )</f>
        <v/>
      </c>
      <c r="V35" s="13" t="str">
        <f>IF($B35="","",  VLOOKUP($B35, Propostas!$B:$BE, 50, FALSE) )</f>
        <v/>
      </c>
      <c r="W35" s="13" t="str">
        <f>IF($B35="","",  VLOOKUP($B35, Propostas!$B:$BE, 51, FALSE) )</f>
        <v/>
      </c>
      <c r="X35" s="13" t="str">
        <f>IF($B35="","",  VLOOKUP($B35, Propostas!$B:$BE, 52, FALSE) )</f>
        <v/>
      </c>
      <c r="Y35" s="13" t="str">
        <f>IF($B35="","",  VLOOKUP($B35, Propostas!$B:$BE, 36, FALSE) )</f>
        <v/>
      </c>
      <c r="Z35" s="13" t="str">
        <f>IF($B35="","",  VLOOKUP($F35, VW_PROJETO!B:C, 2, FALSE) )</f>
        <v/>
      </c>
    </row>
    <row r="36" spans="1:26" x14ac:dyDescent="0.2">
      <c r="B36" s="2"/>
      <c r="C36" s="4" t="str">
        <f>IF($B36="","",  VLOOKUP($B36, Propostas!$B:$BE, 33, FALSE) )</f>
        <v/>
      </c>
      <c r="D36" s="4" t="str">
        <f>IF($B36="","",  VLOOKUP($B36, Propostas!$B:$BE, 34, FALSE) )</f>
        <v/>
      </c>
      <c r="E36" s="4" t="str">
        <f>IF($B36="","",  VLOOKUP($B36, Propostas!$B:$BE, 35, FALSE) )</f>
        <v/>
      </c>
      <c r="F36" s="4" t="str">
        <f>IF($B36="","",  VLOOKUP($B36, Propostas!$B:$BE, 2, FALSE) )</f>
        <v/>
      </c>
      <c r="G36" s="4" t="str">
        <f>IF($B36="","",  VLOOKUP($B36, Propostas!$B:$BE, 3, FALSE) )</f>
        <v/>
      </c>
      <c r="H36" s="4" t="str">
        <f>IF($B36="","",  VLOOKUP($B36, Propostas!$B:$BE, 4, FALSE) )</f>
        <v/>
      </c>
      <c r="I36" s="4" t="str">
        <f>IF($B36="","",  VLOOKUP($B36, Propostas!$B:$BE, 38, FALSE) )</f>
        <v/>
      </c>
      <c r="J36" s="13" t="str">
        <f>IF($B36="","",IF($C36="SIM", "&lt; INFRRAESTRUTURA &gt;", VLOOKUP($B36,Propostas!$B:$BE,41,FALSE)))</f>
        <v/>
      </c>
      <c r="K36" s="10" t="str">
        <f>IF($B36="","",  VLOOKUP($B36, Propostas!$B:$BE, 40, FALSE) )</f>
        <v/>
      </c>
      <c r="L36" s="10" t="str">
        <f>IF($B36="","",IF(VLOOKUP($B36,Propostas!$B:$BE,21,FALSE)=1,"B",IF(VLOOKUP($B36,Propostas!$B:$BE,21,FALSE)=2,"E","N")))</f>
        <v/>
      </c>
      <c r="M36" s="32" t="str">
        <f>IF($B36 = "", "",  VLOOKUP($B36, Propostas!$B:$BE, 46, FALSE) )</f>
        <v/>
      </c>
      <c r="N36" s="32" t="str">
        <f>IF($B36 = "", "",  VLOOKUP($B36, Propostas!$B:$BE, 47, FALSE) )</f>
        <v/>
      </c>
      <c r="O36" s="13" t="str">
        <f>IF($B36="","",IF($C36="SIM", "INFRAESTRUTURA", VLOOKUP($B36, Propostas!$B:$BE,42,FALSE)))</f>
        <v/>
      </c>
      <c r="P36" s="32" t="str">
        <f>IF($B36 = "", "",  VLOOKUP($B36, Propostas!$B:$BE, 49, FALSE) )</f>
        <v/>
      </c>
      <c r="Q36" s="13" t="str">
        <f>IF($B36="","",  VLOOKUP($B36, Propostas!$B:$BE, 39, FALSE) )</f>
        <v/>
      </c>
      <c r="R36" s="81" t="str">
        <f>IF($B36="","",  VLOOKUP($B36, Propostas!$B:$BE, 43, FALSE) )</f>
        <v/>
      </c>
      <c r="S36" s="81" t="str">
        <f>IF($B36="","",  VLOOKUP($B36, Propostas!$B:$BE, 44, FALSE) )</f>
        <v/>
      </c>
      <c r="T36" s="81" t="str">
        <f>IF($B36="","",  VLOOKUP($B36, Propostas!$B:$BE, 45, FALSE) )</f>
        <v/>
      </c>
      <c r="U36" s="32" t="str">
        <f>IF($B36="","",  VLOOKUP($B36, Propostas!$B:$BE, 37, FALSE) )</f>
        <v/>
      </c>
      <c r="V36" s="13" t="str">
        <f>IF($B36="","",  VLOOKUP($B36, Propostas!$B:$BE, 50, FALSE) )</f>
        <v/>
      </c>
      <c r="W36" s="13" t="str">
        <f>IF($B36="","",  VLOOKUP($B36, Propostas!$B:$BE, 51, FALSE) )</f>
        <v/>
      </c>
      <c r="X36" s="13" t="str">
        <f>IF($B36="","",  VLOOKUP($B36, Propostas!$B:$BE, 52, FALSE) )</f>
        <v/>
      </c>
      <c r="Y36" s="13" t="str">
        <f>IF($B36="","",  VLOOKUP($B36, Propostas!$B:$BE, 36, FALSE) )</f>
        <v/>
      </c>
      <c r="Z36" s="13" t="str">
        <f>IF($B36="","",  VLOOKUP($F36, VW_PROJETO!B:C, 2, FALSE) )</f>
        <v/>
      </c>
    </row>
    <row r="37" spans="1:26" x14ac:dyDescent="0.2">
      <c r="B37" s="2"/>
      <c r="C37" s="4" t="str">
        <f>IF($B37="","",  VLOOKUP($B37, Propostas!$B:$BE, 33, FALSE) )</f>
        <v/>
      </c>
      <c r="D37" s="4" t="str">
        <f>IF($B37="","",  VLOOKUP($B37, Propostas!$B:$BE, 34, FALSE) )</f>
        <v/>
      </c>
      <c r="E37" s="4" t="str">
        <f>IF($B37="","",  VLOOKUP($B37, Propostas!$B:$BE, 35, FALSE) )</f>
        <v/>
      </c>
      <c r="F37" s="4" t="str">
        <f>IF($B37="","",  VLOOKUP($B37, Propostas!$B:$BE, 2, FALSE) )</f>
        <v/>
      </c>
      <c r="G37" s="4" t="str">
        <f>IF($B37="","",  VLOOKUP($B37, Propostas!$B:$BE, 3, FALSE) )</f>
        <v/>
      </c>
      <c r="H37" s="4" t="str">
        <f>IF($B37="","",  VLOOKUP($B37, Propostas!$B:$BE, 4, FALSE) )</f>
        <v/>
      </c>
      <c r="I37" s="4" t="str">
        <f>IF($B37="","",  VLOOKUP($B37, Propostas!$B:$BE, 38, FALSE) )</f>
        <v/>
      </c>
      <c r="J37" s="13" t="str">
        <f>IF($B37="","",IF($C37="SIM", "&lt; INFRRAESTRUTURA &gt;", VLOOKUP($B37,Propostas!$B:$BE,41,FALSE)))</f>
        <v/>
      </c>
      <c r="K37" s="10" t="str">
        <f>IF($B37="","",  VLOOKUP($B37, Propostas!$B:$BE, 40, FALSE) )</f>
        <v/>
      </c>
      <c r="L37" s="10" t="str">
        <f>IF($B37="","",IF(VLOOKUP($B37,Propostas!$B:$BE,21,FALSE)=1,"B",IF(VLOOKUP($B37,Propostas!$B:$BE,21,FALSE)=2,"E","N")))</f>
        <v/>
      </c>
      <c r="M37" s="32" t="str">
        <f>IF($B37 = "", "",  VLOOKUP($B37, Propostas!$B:$BE, 46, FALSE) )</f>
        <v/>
      </c>
      <c r="N37" s="32" t="str">
        <f>IF($B37 = "", "",  VLOOKUP($B37, Propostas!$B:$BE, 47, FALSE) )</f>
        <v/>
      </c>
      <c r="O37" s="13" t="str">
        <f>IF($B37="","",IF($C37="SIM", "INFRAESTRUTURA", VLOOKUP($B37, Propostas!$B:$BE,42,FALSE)))</f>
        <v/>
      </c>
      <c r="P37" s="32" t="str">
        <f>IF($B37 = "", "",  VLOOKUP($B37, Propostas!$B:$BE, 49, FALSE) )</f>
        <v/>
      </c>
      <c r="Q37" s="13" t="str">
        <f>IF($B37="","",  VLOOKUP($B37, Propostas!$B:$BE, 39, FALSE) )</f>
        <v/>
      </c>
      <c r="R37" s="81" t="str">
        <f>IF($B37="","",  VLOOKUP($B37, Propostas!$B:$BE, 43, FALSE) )</f>
        <v/>
      </c>
      <c r="S37" s="81" t="str">
        <f>IF($B37="","",  VLOOKUP($B37, Propostas!$B:$BE, 44, FALSE) )</f>
        <v/>
      </c>
      <c r="T37" s="81" t="str">
        <f>IF($B37="","",  VLOOKUP($B37, Propostas!$B:$BE, 45, FALSE) )</f>
        <v/>
      </c>
      <c r="U37" s="32" t="str">
        <f>IF($B37="","",  VLOOKUP($B37, Propostas!$B:$BE, 37, FALSE) )</f>
        <v/>
      </c>
      <c r="V37" s="13" t="str">
        <f>IF($B37="","",  VLOOKUP($B37, Propostas!$B:$BE, 50, FALSE) )</f>
        <v/>
      </c>
      <c r="W37" s="13" t="str">
        <f>IF($B37="","",  VLOOKUP($B37, Propostas!$B:$BE, 51, FALSE) )</f>
        <v/>
      </c>
      <c r="X37" s="13" t="str">
        <f>IF($B37="","",  VLOOKUP($B37, Propostas!$B:$BE, 52, FALSE) )</f>
        <v/>
      </c>
      <c r="Y37" s="13" t="str">
        <f>IF($B37="","",  VLOOKUP($B37, Propostas!$B:$BE, 36, FALSE) )</f>
        <v/>
      </c>
      <c r="Z37" s="13" t="str">
        <f>IF($B37="","",  VLOOKUP($F37, VW_PROJETO!B:C, 2, FALSE) )</f>
        <v/>
      </c>
    </row>
    <row r="38" spans="1:26" x14ac:dyDescent="0.2">
      <c r="B38" s="2"/>
      <c r="C38" s="4" t="str">
        <f>IF($B38="","",  VLOOKUP($B38, Propostas!$B:$BE, 33, FALSE) )</f>
        <v/>
      </c>
      <c r="D38" s="4" t="str">
        <f>IF($B38="","",  VLOOKUP($B38, Propostas!$B:$BE, 34, FALSE) )</f>
        <v/>
      </c>
      <c r="E38" s="4" t="str">
        <f>IF($B38="","",  VLOOKUP($B38, Propostas!$B:$BE, 35, FALSE) )</f>
        <v/>
      </c>
      <c r="F38" s="4" t="str">
        <f>IF($B38="","",  VLOOKUP($B38, Propostas!$B:$BE, 2, FALSE) )</f>
        <v/>
      </c>
      <c r="G38" s="4" t="str">
        <f>IF($B38="","",  VLOOKUP($B38, Propostas!$B:$BE, 3, FALSE) )</f>
        <v/>
      </c>
      <c r="H38" s="4" t="str">
        <f>IF($B38="","",  VLOOKUP($B38, Propostas!$B:$BE, 4, FALSE) )</f>
        <v/>
      </c>
      <c r="I38" s="4" t="str">
        <f>IF($B38="","",  VLOOKUP($B38, Propostas!$B:$BE, 38, FALSE) )</f>
        <v/>
      </c>
      <c r="J38" s="13" t="str">
        <f>IF($B38="","",IF($C38="SIM", "&lt; INFRRAESTRUTURA &gt;", VLOOKUP($B38,Propostas!$B:$BE,41,FALSE)))</f>
        <v/>
      </c>
      <c r="K38" s="10" t="str">
        <f>IF($B38="","",  VLOOKUP($B38, Propostas!$B:$BE, 40, FALSE) )</f>
        <v/>
      </c>
      <c r="L38" s="10" t="str">
        <f>IF($B38="","",IF(VLOOKUP($B38,Propostas!$B:$BE,21,FALSE)=1,"B",IF(VLOOKUP($B38,Propostas!$B:$BE,21,FALSE)=2,"E","N")))</f>
        <v/>
      </c>
      <c r="M38" s="32" t="str">
        <f>IF($B38 = "", "",  VLOOKUP($B38, Propostas!$B:$BE, 46, FALSE) )</f>
        <v/>
      </c>
      <c r="N38" s="32" t="str">
        <f>IF($B38 = "", "",  VLOOKUP($B38, Propostas!$B:$BE, 47, FALSE) )</f>
        <v/>
      </c>
      <c r="O38" s="13" t="str">
        <f>IF($B38="","",IF($C38="SIM", "INFRAESTRUTURA", VLOOKUP($B38, Propostas!$B:$BE,42,FALSE)))</f>
        <v/>
      </c>
      <c r="P38" s="32" t="str">
        <f>IF($B38 = "", "",  VLOOKUP($B38, Propostas!$B:$BE, 49, FALSE) )</f>
        <v/>
      </c>
      <c r="Q38" s="13" t="str">
        <f>IF($B38="","",  VLOOKUP($B38, Propostas!$B:$BE, 39, FALSE) )</f>
        <v/>
      </c>
      <c r="R38" s="81" t="str">
        <f>IF($B38="","",  VLOOKUP($B38, Propostas!$B:$BE, 43, FALSE) )</f>
        <v/>
      </c>
      <c r="S38" s="81" t="str">
        <f>IF($B38="","",  VLOOKUP($B38, Propostas!$B:$BE, 44, FALSE) )</f>
        <v/>
      </c>
      <c r="T38" s="81" t="str">
        <f>IF($B38="","",  VLOOKUP($B38, Propostas!$B:$BE, 45, FALSE) )</f>
        <v/>
      </c>
      <c r="U38" s="32" t="str">
        <f>IF($B38="","",  VLOOKUP($B38, Propostas!$B:$BE, 37, FALSE) )</f>
        <v/>
      </c>
      <c r="V38" s="13" t="str">
        <f>IF($B38="","",  VLOOKUP($B38, Propostas!$B:$BE, 50, FALSE) )</f>
        <v/>
      </c>
      <c r="W38" s="13" t="str">
        <f>IF($B38="","",  VLOOKUP($B38, Propostas!$B:$BE, 51, FALSE) )</f>
        <v/>
      </c>
      <c r="X38" s="13" t="str">
        <f>IF($B38="","",  VLOOKUP($B38, Propostas!$B:$BE, 52, FALSE) )</f>
        <v/>
      </c>
      <c r="Y38" s="13" t="str">
        <f>IF($B38="","",  VLOOKUP($B38, Propostas!$B:$BE, 36, FALSE) )</f>
        <v/>
      </c>
      <c r="Z38" s="13" t="str">
        <f>IF($B38="","",  VLOOKUP($F38, VW_PROJETO!B:C, 2, FALSE) )</f>
        <v/>
      </c>
    </row>
    <row r="39" spans="1:26" x14ac:dyDescent="0.2">
      <c r="B39" s="2"/>
      <c r="C39" s="4" t="str">
        <f>IF($B39="","",  VLOOKUP($B39, Propostas!$B:$BE, 33, FALSE) )</f>
        <v/>
      </c>
      <c r="D39" s="4" t="str">
        <f>IF($B39="","",  VLOOKUP($B39, Propostas!$B:$BE, 34, FALSE) )</f>
        <v/>
      </c>
      <c r="E39" s="4" t="str">
        <f>IF($B39="","",  VLOOKUP($B39, Propostas!$B:$BE, 35, FALSE) )</f>
        <v/>
      </c>
      <c r="F39" s="4" t="str">
        <f>IF($B39="","",  VLOOKUP($B39, Propostas!$B:$BE, 2, FALSE) )</f>
        <v/>
      </c>
      <c r="G39" s="4" t="str">
        <f>IF($B39="","",  VLOOKUP($B39, Propostas!$B:$BE, 3, FALSE) )</f>
        <v/>
      </c>
      <c r="H39" s="4" t="str">
        <f>IF($B39="","",  VLOOKUP($B39, Propostas!$B:$BE, 4, FALSE) )</f>
        <v/>
      </c>
      <c r="I39" s="4" t="str">
        <f>IF($B39="","",  VLOOKUP($B39, Propostas!$B:$BE, 38, FALSE) )</f>
        <v/>
      </c>
      <c r="J39" s="13" t="str">
        <f>IF($B39="","",IF($C39="SIM", "&lt; INFRRAESTRUTURA &gt;", VLOOKUP($B39,Propostas!$B:$BE,41,FALSE)))</f>
        <v/>
      </c>
      <c r="K39" s="10" t="str">
        <f>IF($B39="","",  VLOOKUP($B39, Propostas!$B:$BE, 40, FALSE) )</f>
        <v/>
      </c>
      <c r="L39" s="10" t="str">
        <f>IF($B39="","",IF(VLOOKUP($B39,Propostas!$B:$BE,21,FALSE)=1,"B",IF(VLOOKUP($B39,Propostas!$B:$BE,21,FALSE)=2,"E","N")))</f>
        <v/>
      </c>
      <c r="M39" s="32" t="str">
        <f>IF($B39 = "", "",  VLOOKUP($B39, Propostas!$B:$BE, 46, FALSE) )</f>
        <v/>
      </c>
      <c r="N39" s="32" t="str">
        <f>IF($B39 = "", "",  VLOOKUP($B39, Propostas!$B:$BE, 47, FALSE) )</f>
        <v/>
      </c>
      <c r="O39" s="13" t="str">
        <f>IF($B39="","",IF($C39="SIM", "INFRAESTRUTURA", VLOOKUP($B39, Propostas!$B:$BE,42,FALSE)))</f>
        <v/>
      </c>
      <c r="P39" s="32" t="str">
        <f>IF($B39 = "", "",  VLOOKUP($B39, Propostas!$B:$BE, 49, FALSE) )</f>
        <v/>
      </c>
      <c r="Q39" s="13" t="str">
        <f>IF($B39="","",  VLOOKUP($B39, Propostas!$B:$BE, 39, FALSE) )</f>
        <v/>
      </c>
      <c r="R39" s="81" t="str">
        <f>IF($B39="","",  VLOOKUP($B39, Propostas!$B:$BE, 43, FALSE) )</f>
        <v/>
      </c>
      <c r="S39" s="81" t="str">
        <f>IF($B39="","",  VLOOKUP($B39, Propostas!$B:$BE, 44, FALSE) )</f>
        <v/>
      </c>
      <c r="T39" s="81" t="str">
        <f>IF($B39="","",  VLOOKUP($B39, Propostas!$B:$BE, 45, FALSE) )</f>
        <v/>
      </c>
      <c r="U39" s="32" t="str">
        <f>IF($B39="","",  VLOOKUP($B39, Propostas!$B:$BE, 37, FALSE) )</f>
        <v/>
      </c>
      <c r="V39" s="13" t="str">
        <f>IF($B39="","",  VLOOKUP($B39, Propostas!$B:$BE, 50, FALSE) )</f>
        <v/>
      </c>
      <c r="W39" s="13" t="str">
        <f>IF($B39="","",  VLOOKUP($B39, Propostas!$B:$BE, 51, FALSE) )</f>
        <v/>
      </c>
      <c r="X39" s="13" t="str">
        <f>IF($B39="","",  VLOOKUP($B39, Propostas!$B:$BE, 52, FALSE) )</f>
        <v/>
      </c>
      <c r="Y39" s="13" t="str">
        <f>IF($B39="","",  VLOOKUP($B39, Propostas!$B:$BE, 36, FALSE) )</f>
        <v/>
      </c>
      <c r="Z39" s="13" t="str">
        <f>IF($B39="","",  VLOOKUP($F39, VW_PROJETO!B:C, 2, FALSE) )</f>
        <v/>
      </c>
    </row>
    <row r="40" spans="1:26" x14ac:dyDescent="0.2">
      <c r="B40" s="2"/>
      <c r="C40" s="4" t="str">
        <f>IF($B40="","",  VLOOKUP($B40, Propostas!$B:$BE, 33, FALSE) )</f>
        <v/>
      </c>
      <c r="D40" s="4" t="str">
        <f>IF($B40="","",  VLOOKUP($B40, Propostas!$B:$BE, 34, FALSE) )</f>
        <v/>
      </c>
      <c r="E40" s="4" t="str">
        <f>IF($B40="","",  VLOOKUP($B40, Propostas!$B:$BE, 35, FALSE) )</f>
        <v/>
      </c>
      <c r="F40" s="4" t="str">
        <f>IF($B40="","",  VLOOKUP($B40, Propostas!$B:$BE, 2, FALSE) )</f>
        <v/>
      </c>
      <c r="G40" s="4" t="str">
        <f>IF($B40="","",  VLOOKUP($B40, Propostas!$B:$BE, 3, FALSE) )</f>
        <v/>
      </c>
      <c r="H40" s="4" t="str">
        <f>IF($B40="","",  VLOOKUP($B40, Propostas!$B:$BE, 4, FALSE) )</f>
        <v/>
      </c>
      <c r="I40" s="4" t="str">
        <f>IF($B40="","",  VLOOKUP($B40, Propostas!$B:$BE, 38, FALSE) )</f>
        <v/>
      </c>
      <c r="J40" s="13" t="str">
        <f>IF($B40="","",IF($C40="SIM", "&lt; INFRRAESTRUTURA &gt;", VLOOKUP($B40,Propostas!$B:$BE,41,FALSE)))</f>
        <v/>
      </c>
      <c r="K40" s="10" t="str">
        <f>IF($B40="","",  VLOOKUP($B40, Propostas!$B:$BE, 40, FALSE) )</f>
        <v/>
      </c>
      <c r="L40" s="10" t="str">
        <f>IF($B40="","",IF(VLOOKUP($B40,Propostas!$B:$BE,21,FALSE)=1,"B",IF(VLOOKUP($B40,Propostas!$B:$BE,21,FALSE)=2,"E","N")))</f>
        <v/>
      </c>
      <c r="M40" s="32" t="str">
        <f>IF($B40 = "", "",  VLOOKUP($B40, Propostas!$B:$BE, 46, FALSE) )</f>
        <v/>
      </c>
      <c r="N40" s="32" t="str">
        <f>IF($B40 = "", "",  VLOOKUP($B40, Propostas!$B:$BE, 47, FALSE) )</f>
        <v/>
      </c>
      <c r="O40" s="13" t="str">
        <f>IF($B40="","",IF($C40="SIM", "INFRAESTRUTURA", VLOOKUP($B40, Propostas!$B:$BE,42,FALSE)))</f>
        <v/>
      </c>
      <c r="P40" s="32" t="str">
        <f>IF($B40 = "", "",  VLOOKUP($B40, Propostas!$B:$BE, 49, FALSE) )</f>
        <v/>
      </c>
      <c r="Q40" s="13" t="str">
        <f>IF($B40="","",  VLOOKUP($B40, Propostas!$B:$BE, 39, FALSE) )</f>
        <v/>
      </c>
      <c r="R40" s="81" t="str">
        <f>IF($B40="","",  VLOOKUP($B40, Propostas!$B:$BE, 43, FALSE) )</f>
        <v/>
      </c>
      <c r="S40" s="81" t="str">
        <f>IF($B40="","",  VLOOKUP($B40, Propostas!$B:$BE, 44, FALSE) )</f>
        <v/>
      </c>
      <c r="T40" s="81" t="str">
        <f>IF($B40="","",  VLOOKUP($B40, Propostas!$B:$BE, 45, FALSE) )</f>
        <v/>
      </c>
      <c r="U40" s="32" t="str">
        <f>IF($B40="","",  VLOOKUP($B40, Propostas!$B:$BE, 37, FALSE) )</f>
        <v/>
      </c>
      <c r="V40" s="13" t="str">
        <f>IF($B40="","",  VLOOKUP($B40, Propostas!$B:$BE, 50, FALSE) )</f>
        <v/>
      </c>
      <c r="W40" s="13" t="str">
        <f>IF($B40="","",  VLOOKUP($B40, Propostas!$B:$BE, 51, FALSE) )</f>
        <v/>
      </c>
      <c r="X40" s="13" t="str">
        <f>IF($B40="","",  VLOOKUP($B40, Propostas!$B:$BE, 52, FALSE) )</f>
        <v/>
      </c>
      <c r="Y40" s="13" t="str">
        <f>IF($B40="","",  VLOOKUP($B40, Propostas!$B:$BE, 36, FALSE) )</f>
        <v/>
      </c>
      <c r="Z40" s="13" t="str">
        <f>IF($B40="","",  VLOOKUP($F40, VW_PROJETO!B:C, 2, FALSE) )</f>
        <v/>
      </c>
    </row>
    <row r="41" spans="1:26" x14ac:dyDescent="0.2">
      <c r="B41" s="2"/>
      <c r="C41" s="4" t="str">
        <f>IF($B41="","",  VLOOKUP($B41, Propostas!$B:$BE, 33, FALSE) )</f>
        <v/>
      </c>
      <c r="D41" s="4" t="str">
        <f>IF($B41="","",  VLOOKUP($B41, Propostas!$B:$BE, 34, FALSE) )</f>
        <v/>
      </c>
      <c r="E41" s="4" t="str">
        <f>IF($B41="","",  VLOOKUP($B41, Propostas!$B:$BE, 35, FALSE) )</f>
        <v/>
      </c>
      <c r="F41" s="4" t="str">
        <f>IF($B41="","",  VLOOKUP($B41, Propostas!$B:$BE, 2, FALSE) )</f>
        <v/>
      </c>
      <c r="G41" s="4" t="str">
        <f>IF($B41="","",  VLOOKUP($B41, Propostas!$B:$BE, 3, FALSE) )</f>
        <v/>
      </c>
      <c r="H41" s="4" t="str">
        <f>IF($B41="","",  VLOOKUP($B41, Propostas!$B:$BE, 4, FALSE) )</f>
        <v/>
      </c>
      <c r="I41" s="4" t="str">
        <f>IF($B41="","",  VLOOKUP($B41, Propostas!$B:$BE, 38, FALSE) )</f>
        <v/>
      </c>
      <c r="J41" s="13" t="str">
        <f>IF($B41="","",IF($C41="SIM", "&lt; INFRRAESTRUTURA &gt;", VLOOKUP($B41,Propostas!$B:$BE,41,FALSE)))</f>
        <v/>
      </c>
      <c r="K41" s="10" t="str">
        <f>IF($B41="","",  VLOOKUP($B41, Propostas!$B:$BE, 40, FALSE) )</f>
        <v/>
      </c>
      <c r="L41" s="10" t="str">
        <f>IF($B41="","",IF(VLOOKUP($B41,Propostas!$B:$BE,21,FALSE)=1,"B",IF(VLOOKUP($B41,Propostas!$B:$BE,21,FALSE)=2,"E","N")))</f>
        <v/>
      </c>
      <c r="M41" s="32" t="str">
        <f>IF($B41 = "", "",  VLOOKUP($B41, Propostas!$B:$BE, 46, FALSE) )</f>
        <v/>
      </c>
      <c r="N41" s="32" t="str">
        <f>IF($B41 = "", "",  VLOOKUP($B41, Propostas!$B:$BE, 47, FALSE) )</f>
        <v/>
      </c>
      <c r="O41" s="13" t="str">
        <f>IF($B41="","",IF($C41="SIM", "INFRAESTRUTURA", VLOOKUP($B41, Propostas!$B:$BE,42,FALSE)))</f>
        <v/>
      </c>
      <c r="P41" s="32" t="str">
        <f>IF($B41 = "", "",  VLOOKUP($B41, Propostas!$B:$BE, 49, FALSE) )</f>
        <v/>
      </c>
      <c r="Q41" s="13" t="str">
        <f>IF($B41="","",  VLOOKUP($B41, Propostas!$B:$BE, 39, FALSE) )</f>
        <v/>
      </c>
      <c r="R41" s="81" t="str">
        <f>IF($B41="","",  VLOOKUP($B41, Propostas!$B:$BE, 43, FALSE) )</f>
        <v/>
      </c>
      <c r="S41" s="81" t="str">
        <f>IF($B41="","",  VLOOKUP($B41, Propostas!$B:$BE, 44, FALSE) )</f>
        <v/>
      </c>
      <c r="T41" s="81" t="str">
        <f>IF($B41="","",  VLOOKUP($B41, Propostas!$B:$BE, 45, FALSE) )</f>
        <v/>
      </c>
      <c r="U41" s="32" t="str">
        <f>IF($B41="","",  VLOOKUP($B41, Propostas!$B:$BE, 37, FALSE) )</f>
        <v/>
      </c>
      <c r="V41" s="13" t="str">
        <f>IF($B41="","",  VLOOKUP($B41, Propostas!$B:$BE, 50, FALSE) )</f>
        <v/>
      </c>
      <c r="W41" s="13" t="str">
        <f>IF($B41="","",  VLOOKUP($B41, Propostas!$B:$BE, 51, FALSE) )</f>
        <v/>
      </c>
      <c r="X41" s="13" t="str">
        <f>IF($B41="","",  VLOOKUP($B41, Propostas!$B:$BE, 52, FALSE) )</f>
        <v/>
      </c>
      <c r="Y41" s="13" t="str">
        <f>IF($B41="","",  VLOOKUP($B41, Propostas!$B:$BE, 36, FALSE) )</f>
        <v/>
      </c>
      <c r="Z41" s="13" t="str">
        <f>IF($B41="","",  VLOOKUP($F41, VW_PROJETO!B:C, 2, FALSE) )</f>
        <v/>
      </c>
    </row>
    <row r="42" spans="1:26" x14ac:dyDescent="0.2">
      <c r="A42" s="1" t="s">
        <v>270</v>
      </c>
      <c r="B42" s="2"/>
      <c r="C42" s="4" t="str">
        <f>IF($B42="","",  VLOOKUP($B42, Propostas!$B:$BE, 33, FALSE) )</f>
        <v/>
      </c>
      <c r="D42" s="4" t="str">
        <f>IF($B42="","",  VLOOKUP($B42, Propostas!$B:$BE, 34, FALSE) )</f>
        <v/>
      </c>
      <c r="E42" s="4" t="str">
        <f>IF($B42="","",  VLOOKUP($B42, Propostas!$B:$BE, 35, FALSE) )</f>
        <v/>
      </c>
      <c r="F42" s="4" t="str">
        <f>IF($B42="","",  VLOOKUP($B42, Propostas!$B:$BE, 2, FALSE) )</f>
        <v/>
      </c>
      <c r="G42" s="4" t="str">
        <f>IF($B42="","",  VLOOKUP($B42, Propostas!$B:$BE, 3, FALSE) )</f>
        <v/>
      </c>
      <c r="H42" s="4" t="str">
        <f>IF($B42="","",  VLOOKUP($B42, Propostas!$B:$BE, 4, FALSE) )</f>
        <v/>
      </c>
      <c r="I42" s="4" t="str">
        <f>IF($B42="","",  VLOOKUP($B42, Propostas!$B:$BE, 38, FALSE) )</f>
        <v/>
      </c>
      <c r="J42" s="13" t="str">
        <f>IF($B42="","",IF($C42="SIM", "&lt; INFRRAESTRUTURA &gt;", VLOOKUP($B42,Propostas!$B:$BE,41,FALSE)))</f>
        <v/>
      </c>
      <c r="K42" s="10" t="str">
        <f>IF($B42="","",  VLOOKUP($B42, Propostas!$B:$BE, 40, FALSE) )</f>
        <v/>
      </c>
      <c r="L42" s="10" t="str">
        <f>IF($B42="","",IF(VLOOKUP($B42,Propostas!$B:$BE,21,FALSE)=1,"B",IF(VLOOKUP($B42,Propostas!$B:$BE,21,FALSE)=2,"E","N")))</f>
        <v/>
      </c>
      <c r="M42" s="32" t="str">
        <f>IF($B42 = "", "",  VLOOKUP($B42, Propostas!$B:$BE, 46, FALSE) )</f>
        <v/>
      </c>
      <c r="N42" s="32" t="str">
        <f>IF($B42 = "", "",  VLOOKUP($B42, Propostas!$B:$BE, 47, FALSE) )</f>
        <v/>
      </c>
      <c r="O42" s="13" t="str">
        <f>IF($B42="","",IF($C42="SIM", "INFRAESTRUTURA", VLOOKUP($B42, Propostas!$B:$BE,42,FALSE)))</f>
        <v/>
      </c>
      <c r="P42" s="32" t="str">
        <f>IF($B42 = "", "",  VLOOKUP($B42, Propostas!$B:$BE, 49, FALSE) )</f>
        <v/>
      </c>
      <c r="Q42" s="13" t="str">
        <f>IF($B42="","",  VLOOKUP($B42, Propostas!$B:$BE, 39, FALSE) )</f>
        <v/>
      </c>
      <c r="R42" s="81" t="str">
        <f>IF($B42="","",  VLOOKUP($B42, Propostas!$B:$BE, 43, FALSE) )</f>
        <v/>
      </c>
      <c r="S42" s="81" t="str">
        <f>IF($B42="","",  VLOOKUP($B42, Propostas!$B:$BE, 44, FALSE) )</f>
        <v/>
      </c>
      <c r="T42" s="81" t="str">
        <f>IF($B42="","",  VLOOKUP($B42, Propostas!$B:$BE, 45, FALSE) )</f>
        <v/>
      </c>
      <c r="U42" s="32" t="str">
        <f>IF($B42="","",  VLOOKUP($B42, Propostas!$B:$BE, 37, FALSE) )</f>
        <v/>
      </c>
      <c r="V42" s="13" t="str">
        <f>IF($B42="","",  VLOOKUP($B42, Propostas!$B:$BE, 50, FALSE) )</f>
        <v/>
      </c>
      <c r="W42" s="13" t="str">
        <f>IF($B42="","",  VLOOKUP($B42, Propostas!$B:$BE, 51, FALSE) )</f>
        <v/>
      </c>
      <c r="X42" s="13" t="str">
        <f>IF($B42="","",  VLOOKUP($B42, Propostas!$B:$BE, 52, FALSE) )</f>
        <v/>
      </c>
      <c r="Y42" s="13" t="str">
        <f>IF($B42="","",  VLOOKUP($B42, Propostas!$B:$BE, 36, FALSE) )</f>
        <v/>
      </c>
      <c r="Z42" s="13" t="str">
        <f>IF($B42="","",  VLOOKUP($F42, VW_PROJETO!B:C, 2, FALSE) )</f>
        <v/>
      </c>
    </row>
    <row r="43" spans="1:26" x14ac:dyDescent="0.2">
      <c r="B43" s="2"/>
      <c r="C43" s="4" t="str">
        <f>IF($B43="","",  VLOOKUP($B43, Propostas!$B:$BE, 33, FALSE) )</f>
        <v/>
      </c>
      <c r="D43" s="4" t="str">
        <f>IF($B43="","",  VLOOKUP($B43, Propostas!$B:$BE, 34, FALSE) )</f>
        <v/>
      </c>
      <c r="E43" s="4" t="str">
        <f>IF($B43="","",  VLOOKUP($B43, Propostas!$B:$BE, 35, FALSE) )</f>
        <v/>
      </c>
      <c r="F43" s="4" t="str">
        <f>IF($B43="","",  VLOOKUP($B43, Propostas!$B:$BE, 2, FALSE) )</f>
        <v/>
      </c>
      <c r="G43" s="4" t="str">
        <f>IF($B43="","",  VLOOKUP($B43, Propostas!$B:$BE, 3, FALSE) )</f>
        <v/>
      </c>
      <c r="H43" s="4" t="str">
        <f>IF($B43="","",  VLOOKUP($B43, Propostas!$B:$BE, 4, FALSE) )</f>
        <v/>
      </c>
      <c r="I43" s="4" t="str">
        <f>IF($B43="","",  VLOOKUP($B43, Propostas!$B:$BE, 38, FALSE) )</f>
        <v/>
      </c>
      <c r="J43" s="13" t="str">
        <f>IF($B43="","",IF($C43="SIM", "&lt; INFRRAESTRUTURA &gt;", VLOOKUP($B43,Propostas!$B:$BE,41,FALSE)))</f>
        <v/>
      </c>
      <c r="K43" s="10" t="str">
        <f>IF($B43="","",  VLOOKUP($B43, Propostas!$B:$BE, 40, FALSE) )</f>
        <v/>
      </c>
      <c r="L43" s="10" t="str">
        <f>IF($B43="","",IF(VLOOKUP($B43,Propostas!$B:$BE,21,FALSE)=1,"B",IF(VLOOKUP($B43,Propostas!$B:$BE,21,FALSE)=2,"E","N")))</f>
        <v/>
      </c>
      <c r="M43" s="32" t="str">
        <f>IF($B43 = "", "",  VLOOKUP($B43, Propostas!$B:$BE, 46, FALSE) )</f>
        <v/>
      </c>
      <c r="N43" s="32" t="str">
        <f>IF($B43 = "", "",  VLOOKUP($B43, Propostas!$B:$BE, 47, FALSE) )</f>
        <v/>
      </c>
      <c r="O43" s="13" t="str">
        <f>IF($B43="","",IF($C43="SIM", "INFRAESTRUTURA", VLOOKUP($B43, Propostas!$B:$BE,42,FALSE)))</f>
        <v/>
      </c>
      <c r="P43" s="32" t="str">
        <f>IF($B43 = "", "",  VLOOKUP($B43, Propostas!$B:$BE, 49, FALSE) )</f>
        <v/>
      </c>
      <c r="Q43" s="13" t="str">
        <f>IF($B43="","",  VLOOKUP($B43, Propostas!$B:$BE, 39, FALSE) )</f>
        <v/>
      </c>
      <c r="R43" s="81" t="str">
        <f>IF($B43="","",  VLOOKUP($B43, Propostas!$B:$BE, 43, FALSE) )</f>
        <v/>
      </c>
      <c r="S43" s="81" t="str">
        <f>IF($B43="","",  VLOOKUP($B43, Propostas!$B:$BE, 44, FALSE) )</f>
        <v/>
      </c>
      <c r="T43" s="81" t="str">
        <f>IF($B43="","",  VLOOKUP($B43, Propostas!$B:$BE, 45, FALSE) )</f>
        <v/>
      </c>
      <c r="U43" s="32" t="str">
        <f>IF($B43="","",  VLOOKUP($B43, Propostas!$B:$BE, 37, FALSE) )</f>
        <v/>
      </c>
      <c r="V43" s="13" t="str">
        <f>IF($B43="","",  VLOOKUP($B43, Propostas!$B:$BE, 50, FALSE) )</f>
        <v/>
      </c>
      <c r="W43" s="13" t="str">
        <f>IF($B43="","",  VLOOKUP($B43, Propostas!$B:$BE, 51, FALSE) )</f>
        <v/>
      </c>
      <c r="X43" s="13" t="str">
        <f>IF($B43="","",  VLOOKUP($B43, Propostas!$B:$BE, 52, FALSE) )</f>
        <v/>
      </c>
      <c r="Y43" s="13" t="str">
        <f>IF($B43="","",  VLOOKUP($B43, Propostas!$B:$BE, 36, FALSE) )</f>
        <v/>
      </c>
      <c r="Z43" s="13" t="str">
        <f>IF($B43="","",  VLOOKUP($F43, VW_PROJETO!B:C, 2, FALSE) )</f>
        <v/>
      </c>
    </row>
    <row r="44" spans="1:26" x14ac:dyDescent="0.2">
      <c r="B44" s="2"/>
      <c r="C44" s="4" t="str">
        <f>IF($B44="","",  VLOOKUP($B44, Propostas!$B:$BE, 33, FALSE) )</f>
        <v/>
      </c>
      <c r="D44" s="4" t="str">
        <f>IF($B44="","",  VLOOKUP($B44, Propostas!$B:$BE, 34, FALSE) )</f>
        <v/>
      </c>
      <c r="E44" s="4" t="str">
        <f>IF($B44="","",  VLOOKUP($B44, Propostas!$B:$BE, 35, FALSE) )</f>
        <v/>
      </c>
      <c r="F44" s="4" t="str">
        <f>IF($B44="","",  VLOOKUP($B44, Propostas!$B:$BE, 2, FALSE) )</f>
        <v/>
      </c>
      <c r="G44" s="4" t="str">
        <f>IF($B44="","",  VLOOKUP($B44, Propostas!$B:$BE, 3, FALSE) )</f>
        <v/>
      </c>
      <c r="H44" s="4" t="str">
        <f>IF($B44="","",  VLOOKUP($B44, Propostas!$B:$BE, 4, FALSE) )</f>
        <v/>
      </c>
      <c r="I44" s="4" t="str">
        <f>IF($B44="","",  VLOOKUP($B44, Propostas!$B:$BE, 38, FALSE) )</f>
        <v/>
      </c>
      <c r="J44" s="13" t="str">
        <f>IF($B44="","",IF($C44="SIM", "&lt; INFRRAESTRUTURA &gt;", VLOOKUP($B44,Propostas!$B:$BE,41,FALSE)))</f>
        <v/>
      </c>
      <c r="K44" s="10" t="str">
        <f>IF($B44="","",  VLOOKUP($B44, Propostas!$B:$BE, 40, FALSE) )</f>
        <v/>
      </c>
      <c r="L44" s="10" t="str">
        <f>IF($B44="","",IF(VLOOKUP($B44,Propostas!$B:$BE,21,FALSE)=1,"B",IF(VLOOKUP($B44,Propostas!$B:$BE,21,FALSE)=2,"E","N")))</f>
        <v/>
      </c>
      <c r="M44" s="32" t="str">
        <f>IF($B44 = "", "",  VLOOKUP($B44, Propostas!$B:$BE, 46, FALSE) )</f>
        <v/>
      </c>
      <c r="N44" s="32" t="str">
        <f>IF($B44 = "", "",  VLOOKUP($B44, Propostas!$B:$BE, 47, FALSE) )</f>
        <v/>
      </c>
      <c r="O44" s="13" t="str">
        <f>IF($B44="","",IF($C44="SIM", "INFRAESTRUTURA", VLOOKUP($B44, Propostas!$B:$BE,42,FALSE)))</f>
        <v/>
      </c>
      <c r="P44" s="32" t="str">
        <f>IF($B44 = "", "",  VLOOKUP($B44, Propostas!$B:$BE, 49, FALSE) )</f>
        <v/>
      </c>
      <c r="Q44" s="13" t="str">
        <f>IF($B44="","",  VLOOKUP($B44, Propostas!$B:$BE, 39, FALSE) )</f>
        <v/>
      </c>
      <c r="R44" s="81" t="str">
        <f>IF($B44="","",  VLOOKUP($B44, Propostas!$B:$BE, 43, FALSE) )</f>
        <v/>
      </c>
      <c r="S44" s="81" t="str">
        <f>IF($B44="","",  VLOOKUP($B44, Propostas!$B:$BE, 44, FALSE) )</f>
        <v/>
      </c>
      <c r="T44" s="81" t="str">
        <f>IF($B44="","",  VLOOKUP($B44, Propostas!$B:$BE, 45, FALSE) )</f>
        <v/>
      </c>
      <c r="U44" s="32" t="str">
        <f>IF($B44="","",  VLOOKUP($B44, Propostas!$B:$BE, 37, FALSE) )</f>
        <v/>
      </c>
      <c r="V44" s="13" t="str">
        <f>IF($B44="","",  VLOOKUP($B44, Propostas!$B:$BE, 50, FALSE) )</f>
        <v/>
      </c>
      <c r="W44" s="13" t="str">
        <f>IF($B44="","",  VLOOKUP($B44, Propostas!$B:$BE, 51, FALSE) )</f>
        <v/>
      </c>
      <c r="X44" s="13" t="str">
        <f>IF($B44="","",  VLOOKUP($B44, Propostas!$B:$BE, 52, FALSE) )</f>
        <v/>
      </c>
      <c r="Y44" s="13" t="str">
        <f>IF($B44="","",  VLOOKUP($B44, Propostas!$B:$BE, 36, FALSE) )</f>
        <v/>
      </c>
      <c r="Z44" s="13" t="str">
        <f>IF($B44="","",  VLOOKUP($F44, VW_PROJETO!B:C, 2, FALSE) )</f>
        <v/>
      </c>
    </row>
    <row r="45" spans="1:26" x14ac:dyDescent="0.2">
      <c r="B45" s="2"/>
      <c r="C45" s="4" t="str">
        <f>IF($B45="","",  VLOOKUP($B45, Propostas!$B:$BE, 33, FALSE) )</f>
        <v/>
      </c>
      <c r="D45" s="4" t="str">
        <f>IF($B45="","",  VLOOKUP($B45, Propostas!$B:$BE, 34, FALSE) )</f>
        <v/>
      </c>
      <c r="E45" s="4" t="str">
        <f>IF($B45="","",  VLOOKUP($B45, Propostas!$B:$BE, 35, FALSE) )</f>
        <v/>
      </c>
      <c r="F45" s="4" t="str">
        <f>IF($B45="","",  VLOOKUP($B45, Propostas!$B:$BE, 2, FALSE) )</f>
        <v/>
      </c>
      <c r="G45" s="4" t="str">
        <f>IF($B45="","",  VLOOKUP($B45, Propostas!$B:$BE, 3, FALSE) )</f>
        <v/>
      </c>
      <c r="H45" s="4" t="str">
        <f>IF($B45="","",  VLOOKUP($B45, Propostas!$B:$BE, 4, FALSE) )</f>
        <v/>
      </c>
      <c r="I45" s="4" t="str">
        <f>IF($B45="","",  VLOOKUP($B45, Propostas!$B:$BE, 38, FALSE) )</f>
        <v/>
      </c>
      <c r="J45" s="13" t="str">
        <f>IF($B45="","",IF($C45="SIM", "&lt; INFRRAESTRUTURA &gt;", VLOOKUP($B45,Propostas!$B:$BE,41,FALSE)))</f>
        <v/>
      </c>
      <c r="K45" s="10" t="str">
        <f>IF($B45="","",  VLOOKUP($B45, Propostas!$B:$BE, 40, FALSE) )</f>
        <v/>
      </c>
      <c r="L45" s="10" t="str">
        <f>IF($B45="","",IF(VLOOKUP($B45,Propostas!$B:$BE,21,FALSE)=1,"B",IF(VLOOKUP($B45,Propostas!$B:$BE,21,FALSE)=2,"E","N")))</f>
        <v/>
      </c>
      <c r="M45" s="32" t="str">
        <f>IF($B45 = "", "",  VLOOKUP($B45, Propostas!$B:$BE, 46, FALSE) )</f>
        <v/>
      </c>
      <c r="N45" s="32" t="str">
        <f>IF($B45 = "", "",  VLOOKUP($B45, Propostas!$B:$BE, 47, FALSE) )</f>
        <v/>
      </c>
      <c r="O45" s="13" t="str">
        <f>IF($B45="","",IF($C45="SIM", "INFRAESTRUTURA", VLOOKUP($B45, Propostas!$B:$BE,42,FALSE)))</f>
        <v/>
      </c>
      <c r="P45" s="32" t="str">
        <f>IF($B45 = "", "",  VLOOKUP($B45, Propostas!$B:$BE, 49, FALSE) )</f>
        <v/>
      </c>
      <c r="Q45" s="13" t="str">
        <f>IF($B45="","",  VLOOKUP($B45, Propostas!$B:$BE, 39, FALSE) )</f>
        <v/>
      </c>
      <c r="R45" s="81" t="str">
        <f>IF($B45="","",  VLOOKUP($B45, Propostas!$B:$BE, 43, FALSE) )</f>
        <v/>
      </c>
      <c r="S45" s="81" t="str">
        <f>IF($B45="","",  VLOOKUP($B45, Propostas!$B:$BE, 44, FALSE) )</f>
        <v/>
      </c>
      <c r="T45" s="81" t="str">
        <f>IF($B45="","",  VLOOKUP($B45, Propostas!$B:$BE, 45, FALSE) )</f>
        <v/>
      </c>
      <c r="U45" s="32" t="str">
        <f>IF($B45="","",  VLOOKUP($B45, Propostas!$B:$BE, 37, FALSE) )</f>
        <v/>
      </c>
      <c r="V45" s="13" t="str">
        <f>IF($B45="","",  VLOOKUP($B45, Propostas!$B:$BE, 50, FALSE) )</f>
        <v/>
      </c>
      <c r="W45" s="13" t="str">
        <f>IF($B45="","",  VLOOKUP($B45, Propostas!$B:$BE, 51, FALSE) )</f>
        <v/>
      </c>
      <c r="X45" s="13" t="str">
        <f>IF($B45="","",  VLOOKUP($B45, Propostas!$B:$BE, 52, FALSE) )</f>
        <v/>
      </c>
      <c r="Y45" s="13" t="str">
        <f>IF($B45="","",  VLOOKUP($B45, Propostas!$B:$BE, 36, FALSE) )</f>
        <v/>
      </c>
      <c r="Z45" s="13" t="str">
        <f>IF($B45="","",  VLOOKUP($F45, VW_PROJETO!B:C, 2, FALSE) )</f>
        <v/>
      </c>
    </row>
    <row r="46" spans="1:26" x14ac:dyDescent="0.2">
      <c r="B46" s="2"/>
      <c r="C46" s="4" t="str">
        <f>IF($B46="","",  VLOOKUP($B46, Propostas!$B:$BE, 33, FALSE) )</f>
        <v/>
      </c>
      <c r="D46" s="4" t="str">
        <f>IF($B46="","",  VLOOKUP($B46, Propostas!$B:$BE, 34, FALSE) )</f>
        <v/>
      </c>
      <c r="E46" s="4" t="str">
        <f>IF($B46="","",  VLOOKUP($B46, Propostas!$B:$BE, 35, FALSE) )</f>
        <v/>
      </c>
      <c r="F46" s="4" t="str">
        <f>IF($B46="","",  VLOOKUP($B46, Propostas!$B:$BE, 2, FALSE) )</f>
        <v/>
      </c>
      <c r="G46" s="4" t="str">
        <f>IF($B46="","",  VLOOKUP($B46, Propostas!$B:$BE, 3, FALSE) )</f>
        <v/>
      </c>
      <c r="H46" s="4" t="str">
        <f>IF($B46="","",  VLOOKUP($B46, Propostas!$B:$BE, 4, FALSE) )</f>
        <v/>
      </c>
      <c r="I46" s="4" t="str">
        <f>IF($B46="","",  VLOOKUP($B46, Propostas!$B:$BE, 38, FALSE) )</f>
        <v/>
      </c>
      <c r="J46" s="13" t="str">
        <f>IF($B46="","",IF($C46="SIM", "&lt; INFRRAESTRUTURA &gt;", VLOOKUP($B46,Propostas!$B:$BE,41,FALSE)))</f>
        <v/>
      </c>
      <c r="K46" s="10" t="str">
        <f>IF($B46="","",  VLOOKUP($B46, Propostas!$B:$BE, 40, FALSE) )</f>
        <v/>
      </c>
      <c r="L46" s="10" t="str">
        <f>IF($B46="","",IF(VLOOKUP($B46,Propostas!$B:$BE,21,FALSE)=1,"B",IF(VLOOKUP($B46,Propostas!$B:$BE,21,FALSE)=2,"E","N")))</f>
        <v/>
      </c>
      <c r="M46" s="32" t="str">
        <f>IF($B46 = "", "",  VLOOKUP($B46, Propostas!$B:$BE, 46, FALSE) )</f>
        <v/>
      </c>
      <c r="N46" s="32" t="str">
        <f>IF($B46 = "", "",  VLOOKUP($B46, Propostas!$B:$BE, 47, FALSE) )</f>
        <v/>
      </c>
      <c r="O46" s="13" t="str">
        <f>IF($B46="","",IF($C46="SIM", "INFRAESTRUTURA", VLOOKUP($B46, Propostas!$B:$BE,42,FALSE)))</f>
        <v/>
      </c>
      <c r="P46" s="32" t="str">
        <f>IF($B46 = "", "",  VLOOKUP($B46, Propostas!$B:$BE, 49, FALSE) )</f>
        <v/>
      </c>
      <c r="Q46" s="13" t="str">
        <f>IF($B46="","",  VLOOKUP($B46, Propostas!$B:$BE, 39, FALSE) )</f>
        <v/>
      </c>
      <c r="R46" s="81" t="str">
        <f>IF($B46="","",  VLOOKUP($B46, Propostas!$B:$BE, 43, FALSE) )</f>
        <v/>
      </c>
      <c r="S46" s="81" t="str">
        <f>IF($B46="","",  VLOOKUP($B46, Propostas!$B:$BE, 44, FALSE) )</f>
        <v/>
      </c>
      <c r="T46" s="81" t="str">
        <f>IF($B46="","",  VLOOKUP($B46, Propostas!$B:$BE, 45, FALSE) )</f>
        <v/>
      </c>
      <c r="U46" s="32" t="str">
        <f>IF($B46="","",  VLOOKUP($B46, Propostas!$B:$BE, 37, FALSE) )</f>
        <v/>
      </c>
      <c r="V46" s="13" t="str">
        <f>IF($B46="","",  VLOOKUP($B46, Propostas!$B:$BE, 50, FALSE) )</f>
        <v/>
      </c>
      <c r="W46" s="13" t="str">
        <f>IF($B46="","",  VLOOKUP($B46, Propostas!$B:$BE, 51, FALSE) )</f>
        <v/>
      </c>
      <c r="X46" s="13" t="str">
        <f>IF($B46="","",  VLOOKUP($B46, Propostas!$B:$BE, 52, FALSE) )</f>
        <v/>
      </c>
      <c r="Y46" s="13" t="str">
        <f>IF($B46="","",  VLOOKUP($B46, Propostas!$B:$BE, 36, FALSE) )</f>
        <v/>
      </c>
      <c r="Z46" s="13" t="str">
        <f>IF($B46="","",  VLOOKUP($F46, VW_PROJETO!B:C, 2, FALSE) )</f>
        <v/>
      </c>
    </row>
    <row r="47" spans="1:26" x14ac:dyDescent="0.2">
      <c r="B47" s="2"/>
      <c r="C47" s="4" t="str">
        <f>IF($B47="","",  VLOOKUP($B47, Propostas!$B:$BE, 33, FALSE) )</f>
        <v/>
      </c>
      <c r="D47" s="4" t="str">
        <f>IF($B47="","",  VLOOKUP($B47, Propostas!$B:$BE, 34, FALSE) )</f>
        <v/>
      </c>
      <c r="E47" s="4" t="str">
        <f>IF($B47="","",  VLOOKUP($B47, Propostas!$B:$BE, 35, FALSE) )</f>
        <v/>
      </c>
      <c r="F47" s="4" t="str">
        <f>IF($B47="","",  VLOOKUP($B47, Propostas!$B:$BE, 2, FALSE) )</f>
        <v/>
      </c>
      <c r="G47" s="4" t="str">
        <f>IF($B47="","",  VLOOKUP($B47, Propostas!$B:$BE, 3, FALSE) )</f>
        <v/>
      </c>
      <c r="H47" s="4" t="str">
        <f>IF($B47="","",  VLOOKUP($B47, Propostas!$B:$BE, 4, FALSE) )</f>
        <v/>
      </c>
      <c r="I47" s="4" t="str">
        <f>IF($B47="","",  VLOOKUP($B47, Propostas!$B:$BE, 38, FALSE) )</f>
        <v/>
      </c>
      <c r="J47" s="13" t="str">
        <f>IF($B47="","",IF($C47="SIM", "&lt; INFRRAESTRUTURA &gt;", VLOOKUP($B47,Propostas!$B:$BE,41,FALSE)))</f>
        <v/>
      </c>
      <c r="K47" s="10" t="str">
        <f>IF($B47="","",  VLOOKUP($B47, Propostas!$B:$BE, 40, FALSE) )</f>
        <v/>
      </c>
      <c r="L47" s="10" t="str">
        <f>IF($B47="","",IF(VLOOKUP($B47,Propostas!$B:$BE,21,FALSE)=1,"B",IF(VLOOKUP($B47,Propostas!$B:$BE,21,FALSE)=2,"E","N")))</f>
        <v/>
      </c>
      <c r="M47" s="32" t="str">
        <f>IF($B47 = "", "",  VLOOKUP($B47, Propostas!$B:$BE, 46, FALSE) )</f>
        <v/>
      </c>
      <c r="N47" s="32" t="str">
        <f>IF($B47 = "", "",  VLOOKUP($B47, Propostas!$B:$BE, 47, FALSE) )</f>
        <v/>
      </c>
      <c r="O47" s="13" t="str">
        <f>IF($B47="","",IF($C47="SIM", "INFRAESTRUTURA", VLOOKUP($B47, Propostas!$B:$BE,42,FALSE)))</f>
        <v/>
      </c>
      <c r="P47" s="32" t="str">
        <f>IF($B47 = "", "",  VLOOKUP($B47, Propostas!$B:$BE, 49, FALSE) )</f>
        <v/>
      </c>
      <c r="Q47" s="13" t="str">
        <f>IF($B47="","",  VLOOKUP($B47, Propostas!$B:$BE, 39, FALSE) )</f>
        <v/>
      </c>
      <c r="R47" s="81" t="str">
        <f>IF($B47="","",  VLOOKUP($B47, Propostas!$B:$BE, 43, FALSE) )</f>
        <v/>
      </c>
      <c r="S47" s="81" t="str">
        <f>IF($B47="","",  VLOOKUP($B47, Propostas!$B:$BE, 44, FALSE) )</f>
        <v/>
      </c>
      <c r="T47" s="81" t="str">
        <f>IF($B47="","",  VLOOKUP($B47, Propostas!$B:$BE, 45, FALSE) )</f>
        <v/>
      </c>
      <c r="U47" s="32" t="str">
        <f>IF($B47="","",  VLOOKUP($B47, Propostas!$B:$BE, 37, FALSE) )</f>
        <v/>
      </c>
      <c r="V47" s="13" t="str">
        <f>IF($B47="","",  VLOOKUP($B47, Propostas!$B:$BE, 50, FALSE) )</f>
        <v/>
      </c>
      <c r="W47" s="13" t="str">
        <f>IF($B47="","",  VLOOKUP($B47, Propostas!$B:$BE, 51, FALSE) )</f>
        <v/>
      </c>
      <c r="X47" s="13" t="str">
        <f>IF($B47="","",  VLOOKUP($B47, Propostas!$B:$BE, 52, FALSE) )</f>
        <v/>
      </c>
      <c r="Y47" s="13" t="str">
        <f>IF($B47="","",  VLOOKUP($B47, Propostas!$B:$BE, 36, FALSE) )</f>
        <v/>
      </c>
      <c r="Z47" s="13" t="str">
        <f>IF($B47="","",  VLOOKUP($F47, VW_PROJETO!B:C, 2, FALSE) )</f>
        <v/>
      </c>
    </row>
    <row r="48" spans="1:26" x14ac:dyDescent="0.2">
      <c r="B48" s="2"/>
      <c r="C48" s="4" t="str">
        <f>IF($B48="","",  VLOOKUP($B48, Propostas!$B:$BE, 33, FALSE) )</f>
        <v/>
      </c>
      <c r="D48" s="4" t="str">
        <f>IF($B48="","",  VLOOKUP($B48, Propostas!$B:$BE, 34, FALSE) )</f>
        <v/>
      </c>
      <c r="E48" s="4" t="str">
        <f>IF($B48="","",  VLOOKUP($B48, Propostas!$B:$BE, 35, FALSE) )</f>
        <v/>
      </c>
      <c r="F48" s="4" t="str">
        <f>IF($B48="","",  VLOOKUP($B48, Propostas!$B:$BE, 2, FALSE) )</f>
        <v/>
      </c>
      <c r="G48" s="4" t="str">
        <f>IF($B48="","",  VLOOKUP($B48, Propostas!$B:$BE, 3, FALSE) )</f>
        <v/>
      </c>
      <c r="H48" s="4" t="str">
        <f>IF($B48="","",  VLOOKUP($B48, Propostas!$B:$BE, 4, FALSE) )</f>
        <v/>
      </c>
      <c r="I48" s="4" t="str">
        <f>IF($B48="","",  VLOOKUP($B48, Propostas!$B:$BE, 38, FALSE) )</f>
        <v/>
      </c>
      <c r="J48" s="13" t="str">
        <f>IF($B48="","",IF($C48="SIM", "&lt; INFRRAESTRUTURA &gt;", VLOOKUP($B48,Propostas!$B:$BE,41,FALSE)))</f>
        <v/>
      </c>
      <c r="K48" s="10" t="str">
        <f>IF($B48="","",  VLOOKUP($B48, Propostas!$B:$BE, 40, FALSE) )</f>
        <v/>
      </c>
      <c r="L48" s="10" t="str">
        <f>IF($B48="","",IF(VLOOKUP($B48,Propostas!$B:$BE,21,FALSE)=1,"B",IF(VLOOKUP($B48,Propostas!$B:$BE,21,FALSE)=2,"E","N")))</f>
        <v/>
      </c>
      <c r="M48" s="32" t="str">
        <f>IF($B48 = "", "",  VLOOKUP($B48, Propostas!$B:$BE, 46, FALSE) )</f>
        <v/>
      </c>
      <c r="N48" s="32" t="str">
        <f>IF($B48 = "", "",  VLOOKUP($B48, Propostas!$B:$BE, 47, FALSE) )</f>
        <v/>
      </c>
      <c r="O48" s="13" t="str">
        <f>IF($B48="","",IF($C48="SIM", "INFRAESTRUTURA", VLOOKUP($B48, Propostas!$B:$BE,42,FALSE)))</f>
        <v/>
      </c>
      <c r="P48" s="32" t="str">
        <f>IF($B48 = "", "",  VLOOKUP($B48, Propostas!$B:$BE, 49, FALSE) )</f>
        <v/>
      </c>
      <c r="Q48" s="13" t="str">
        <f>IF($B48="","",  VLOOKUP($B48, Propostas!$B:$BE, 39, FALSE) )</f>
        <v/>
      </c>
      <c r="R48" s="81" t="str">
        <f>IF($B48="","",  VLOOKUP($B48, Propostas!$B:$BE, 43, FALSE) )</f>
        <v/>
      </c>
      <c r="S48" s="81" t="str">
        <f>IF($B48="","",  VLOOKUP($B48, Propostas!$B:$BE, 44, FALSE) )</f>
        <v/>
      </c>
      <c r="T48" s="81" t="str">
        <f>IF($B48="","",  VLOOKUP($B48, Propostas!$B:$BE, 45, FALSE) )</f>
        <v/>
      </c>
      <c r="U48" s="32" t="str">
        <f>IF($B48="","",  VLOOKUP($B48, Propostas!$B:$BE, 37, FALSE) )</f>
        <v/>
      </c>
      <c r="V48" s="13" t="str">
        <f>IF($B48="","",  VLOOKUP($B48, Propostas!$B:$BE, 50, FALSE) )</f>
        <v/>
      </c>
      <c r="W48" s="13" t="str">
        <f>IF($B48="","",  VLOOKUP($B48, Propostas!$B:$BE, 51, FALSE) )</f>
        <v/>
      </c>
      <c r="X48" s="13" t="str">
        <f>IF($B48="","",  VLOOKUP($B48, Propostas!$B:$BE, 52, FALSE) )</f>
        <v/>
      </c>
      <c r="Y48" s="13" t="str">
        <f>IF($B48="","",  VLOOKUP($B48, Propostas!$B:$BE, 36, FALSE) )</f>
        <v/>
      </c>
      <c r="Z48" s="13" t="str">
        <f>IF($B48="","",  VLOOKUP($F48, VW_PROJETO!B:C, 2, FALSE) )</f>
        <v/>
      </c>
    </row>
    <row r="49" spans="2:26" x14ac:dyDescent="0.2">
      <c r="B49" s="2"/>
      <c r="C49" s="4" t="str">
        <f>IF($B49="","",  VLOOKUP($B49, Propostas!$B:$BE, 33, FALSE) )</f>
        <v/>
      </c>
      <c r="D49" s="4" t="str">
        <f>IF($B49="","",  VLOOKUP($B49, Propostas!$B:$BE, 34, FALSE) )</f>
        <v/>
      </c>
      <c r="E49" s="4" t="str">
        <f>IF($B49="","",  VLOOKUP($B49, Propostas!$B:$BE, 35, FALSE) )</f>
        <v/>
      </c>
      <c r="F49" s="4" t="str">
        <f>IF($B49="","",  VLOOKUP($B49, Propostas!$B:$BE, 2, FALSE) )</f>
        <v/>
      </c>
      <c r="G49" s="4" t="str">
        <f>IF($B49="","",  VLOOKUP($B49, Propostas!$B:$BE, 3, FALSE) )</f>
        <v/>
      </c>
      <c r="H49" s="4" t="str">
        <f>IF($B49="","",  VLOOKUP($B49, Propostas!$B:$BE, 4, FALSE) )</f>
        <v/>
      </c>
      <c r="I49" s="4" t="str">
        <f>IF($B49="","",  VLOOKUP($B49, Propostas!$B:$BE, 38, FALSE) )</f>
        <v/>
      </c>
      <c r="J49" s="13" t="str">
        <f>IF($B49="","",IF($C49="SIM", "&lt; INFRRAESTRUTURA &gt;", VLOOKUP($B49,Propostas!$B:$BE,41,FALSE)))</f>
        <v/>
      </c>
      <c r="K49" s="10" t="str">
        <f>IF($B49="","",  VLOOKUP($B49, Propostas!$B:$BE, 40, FALSE) )</f>
        <v/>
      </c>
      <c r="L49" s="10" t="str">
        <f>IF($B49="","",IF(VLOOKUP($B49,Propostas!$B:$BE,21,FALSE)=1,"B",IF(VLOOKUP($B49,Propostas!$B:$BE,21,FALSE)=2,"E","N")))</f>
        <v/>
      </c>
      <c r="M49" s="32" t="str">
        <f>IF($B49 = "", "",  VLOOKUP($B49, Propostas!$B:$BE, 46, FALSE) )</f>
        <v/>
      </c>
      <c r="N49" s="32" t="str">
        <f>IF($B49 = "", "",  VLOOKUP($B49, Propostas!$B:$BE, 47, FALSE) )</f>
        <v/>
      </c>
      <c r="O49" s="13" t="str">
        <f>IF($B49="","",IF($C49="SIM", "INFRAESTRUTURA", VLOOKUP($B49, Propostas!$B:$BE,42,FALSE)))</f>
        <v/>
      </c>
      <c r="P49" s="32" t="str">
        <f>IF($B49 = "", "",  VLOOKUP($B49, Propostas!$B:$BE, 49, FALSE) )</f>
        <v/>
      </c>
      <c r="Q49" s="13" t="str">
        <f>IF($B49="","",  VLOOKUP($B49, Propostas!$B:$BE, 39, FALSE) )</f>
        <v/>
      </c>
      <c r="R49" s="81" t="str">
        <f>IF($B49="","",  VLOOKUP($B49, Propostas!$B:$BE, 43, FALSE) )</f>
        <v/>
      </c>
      <c r="S49" s="81" t="str">
        <f>IF($B49="","",  VLOOKUP($B49, Propostas!$B:$BE, 44, FALSE) )</f>
        <v/>
      </c>
      <c r="T49" s="81" t="str">
        <f>IF($B49="","",  VLOOKUP($B49, Propostas!$B:$BE, 45, FALSE) )</f>
        <v/>
      </c>
      <c r="U49" s="32" t="str">
        <f>IF($B49="","",  VLOOKUP($B49, Propostas!$B:$BE, 37, FALSE) )</f>
        <v/>
      </c>
      <c r="V49" s="13" t="str">
        <f>IF($B49="","",  VLOOKUP($B49, Propostas!$B:$BE, 50, FALSE) )</f>
        <v/>
      </c>
      <c r="W49" s="13" t="str">
        <f>IF($B49="","",  VLOOKUP($B49, Propostas!$B:$BE, 51, FALSE) )</f>
        <v/>
      </c>
      <c r="X49" s="13" t="str">
        <f>IF($B49="","",  VLOOKUP($B49, Propostas!$B:$BE, 52, FALSE) )</f>
        <v/>
      </c>
      <c r="Y49" s="13" t="str">
        <f>IF($B49="","",  VLOOKUP($B49, Propostas!$B:$BE, 36, FALSE) )</f>
        <v/>
      </c>
      <c r="Z49" s="13" t="str">
        <f>IF($B49="","",  VLOOKUP($F49, VW_PROJETO!B:C, 2, FALSE) )</f>
        <v/>
      </c>
    </row>
    <row r="50" spans="2:26" x14ac:dyDescent="0.2">
      <c r="B50" s="2"/>
      <c r="C50" s="4" t="str">
        <f>IF($B50="","",  VLOOKUP($B50, Propostas!$B:$BE, 33, FALSE) )</f>
        <v/>
      </c>
      <c r="D50" s="4" t="str">
        <f>IF($B50="","",  VLOOKUP($B50, Propostas!$B:$BE, 34, FALSE) )</f>
        <v/>
      </c>
      <c r="E50" s="4" t="str">
        <f>IF($B50="","",  VLOOKUP($B50, Propostas!$B:$BE, 35, FALSE) )</f>
        <v/>
      </c>
      <c r="F50" s="4" t="str">
        <f>IF($B50="","",  VLOOKUP($B50, Propostas!$B:$BE, 2, FALSE) )</f>
        <v/>
      </c>
      <c r="G50" s="4" t="str">
        <f>IF($B50="","",  VLOOKUP($B50, Propostas!$B:$BE, 3, FALSE) )</f>
        <v/>
      </c>
      <c r="H50" s="4" t="str">
        <f>IF($B50="","",  VLOOKUP($B50, Propostas!$B:$BE, 4, FALSE) )</f>
        <v/>
      </c>
      <c r="I50" s="4" t="str">
        <f>IF($B50="","",  VLOOKUP($B50, Propostas!$B:$BE, 38, FALSE) )</f>
        <v/>
      </c>
      <c r="J50" s="13" t="str">
        <f>IF($B50="","",IF($C50="SIM", "&lt; INFRRAESTRUTURA &gt;", VLOOKUP($B50,Propostas!$B:$BE,41,FALSE)))</f>
        <v/>
      </c>
      <c r="K50" s="10" t="str">
        <f>IF($B50="","",  VLOOKUP($B50, Propostas!$B:$BE, 40, FALSE) )</f>
        <v/>
      </c>
      <c r="L50" s="10" t="str">
        <f>IF($B50="","",IF(VLOOKUP($B50,Propostas!$B:$BE,21,FALSE)=1,"B",IF(VLOOKUP($B50,Propostas!$B:$BE,21,FALSE)=2,"E","N")))</f>
        <v/>
      </c>
      <c r="M50" s="32" t="str">
        <f>IF($B50 = "", "",  VLOOKUP($B50, Propostas!$B:$BE, 46, FALSE) )</f>
        <v/>
      </c>
      <c r="N50" s="32" t="str">
        <f>IF($B50 = "", "",  VLOOKUP($B50, Propostas!$B:$BE, 47, FALSE) )</f>
        <v/>
      </c>
      <c r="O50" s="13" t="str">
        <f>IF($B50="","",IF($C50="SIM", "INFRAESTRUTURA", VLOOKUP($B50, Propostas!$B:$BE,42,FALSE)))</f>
        <v/>
      </c>
      <c r="P50" s="32" t="str">
        <f>IF($B50 = "", "",  VLOOKUP($B50, Propostas!$B:$BE, 49, FALSE) )</f>
        <v/>
      </c>
      <c r="Q50" s="13" t="str">
        <f>IF($B50="","",  VLOOKUP($B50, Propostas!$B:$BE, 39, FALSE) )</f>
        <v/>
      </c>
      <c r="R50" s="81" t="str">
        <f>IF($B50="","",  VLOOKUP($B50, Propostas!$B:$BE, 43, FALSE) )</f>
        <v/>
      </c>
      <c r="S50" s="81" t="str">
        <f>IF($B50="","",  VLOOKUP($B50, Propostas!$B:$BE, 44, FALSE) )</f>
        <v/>
      </c>
      <c r="T50" s="81" t="str">
        <f>IF($B50="","",  VLOOKUP($B50, Propostas!$B:$BE, 45, FALSE) )</f>
        <v/>
      </c>
      <c r="U50" s="32" t="str">
        <f>IF($B50="","",  VLOOKUP($B50, Propostas!$B:$BE, 37, FALSE) )</f>
        <v/>
      </c>
      <c r="V50" s="13" t="str">
        <f>IF($B50="","",  VLOOKUP($B50, Propostas!$B:$BE, 50, FALSE) )</f>
        <v/>
      </c>
      <c r="W50" s="13" t="str">
        <f>IF($B50="","",  VLOOKUP($B50, Propostas!$B:$BE, 51, FALSE) )</f>
        <v/>
      </c>
      <c r="X50" s="13" t="str">
        <f>IF($B50="","",  VLOOKUP($B50, Propostas!$B:$BE, 52, FALSE) )</f>
        <v/>
      </c>
      <c r="Y50" s="13" t="str">
        <f>IF($B50="","",  VLOOKUP($B50, Propostas!$B:$BE, 36, FALSE) )</f>
        <v/>
      </c>
      <c r="Z50" s="13" t="str">
        <f>IF($B50="","",  VLOOKUP($F50, VW_PROJETO!B:C, 2, FALSE) )</f>
        <v/>
      </c>
    </row>
    <row r="51" spans="2:26" x14ac:dyDescent="0.2">
      <c r="B51" s="2"/>
      <c r="C51" s="4" t="str">
        <f>IF($B51="","",  VLOOKUP($B51, Propostas!$B:$BE, 33, FALSE) )</f>
        <v/>
      </c>
      <c r="D51" s="4" t="str">
        <f>IF($B51="","",  VLOOKUP($B51, Propostas!$B:$BE, 34, FALSE) )</f>
        <v/>
      </c>
      <c r="E51" s="4" t="str">
        <f>IF($B51="","",  VLOOKUP($B51, Propostas!$B:$BE, 35, FALSE) )</f>
        <v/>
      </c>
      <c r="F51" s="4" t="str">
        <f>IF($B51="","",  VLOOKUP($B51, Propostas!$B:$BE, 2, FALSE) )</f>
        <v/>
      </c>
      <c r="G51" s="4" t="str">
        <f>IF($B51="","",  VLOOKUP($B51, Propostas!$B:$BE, 3, FALSE) )</f>
        <v/>
      </c>
      <c r="H51" s="4" t="str">
        <f>IF($B51="","",  VLOOKUP($B51, Propostas!$B:$BE, 4, FALSE) )</f>
        <v/>
      </c>
      <c r="I51" s="4" t="str">
        <f>IF($B51="","",  VLOOKUP($B51, Propostas!$B:$BE, 38, FALSE) )</f>
        <v/>
      </c>
      <c r="J51" s="13" t="str">
        <f>IF($B51="","",IF($C51="SIM", "&lt; INFRRAESTRUTURA &gt;", VLOOKUP($B51,Propostas!$B:$BE,41,FALSE)))</f>
        <v/>
      </c>
      <c r="K51" s="10" t="str">
        <f>IF($B51="","",  VLOOKUP($B51, Propostas!$B:$BE, 40, FALSE) )</f>
        <v/>
      </c>
      <c r="L51" s="10" t="str">
        <f>IF($B51="","",IF(VLOOKUP($B51,Propostas!$B:$BE,21,FALSE)=1,"B",IF(VLOOKUP($B51,Propostas!$B:$BE,21,FALSE)=2,"E","N")))</f>
        <v/>
      </c>
      <c r="M51" s="32" t="str">
        <f>IF($B51 = "", "",  VLOOKUP($B51, Propostas!$B:$BE, 46, FALSE) )</f>
        <v/>
      </c>
      <c r="N51" s="32" t="str">
        <f>IF($B51 = "", "",  VLOOKUP($B51, Propostas!$B:$BE, 47, FALSE) )</f>
        <v/>
      </c>
      <c r="O51" s="13" t="str">
        <f>IF($B51="","",IF($C51="SIM", "INFRAESTRUTURA", VLOOKUP($B51, Propostas!$B:$BE,42,FALSE)))</f>
        <v/>
      </c>
      <c r="P51" s="32" t="str">
        <f>IF($B51 = "", "",  VLOOKUP($B51, Propostas!$B:$BE, 49, FALSE) )</f>
        <v/>
      </c>
      <c r="Q51" s="13" t="str">
        <f>IF($B51="","",  VLOOKUP($B51, Propostas!$B:$BE, 39, FALSE) )</f>
        <v/>
      </c>
      <c r="R51" s="81" t="str">
        <f>IF($B51="","",  VLOOKUP($B51, Propostas!$B:$BE, 43, FALSE) )</f>
        <v/>
      </c>
      <c r="S51" s="81" t="str">
        <f>IF($B51="","",  VLOOKUP($B51, Propostas!$B:$BE, 44, FALSE) )</f>
        <v/>
      </c>
      <c r="T51" s="81" t="str">
        <f>IF($B51="","",  VLOOKUP($B51, Propostas!$B:$BE, 45, FALSE) )</f>
        <v/>
      </c>
      <c r="U51" s="32" t="str">
        <f>IF($B51="","",  VLOOKUP($B51, Propostas!$B:$BE, 37, FALSE) )</f>
        <v/>
      </c>
      <c r="V51" s="13" t="str">
        <f>IF($B51="","",  VLOOKUP($B51, Propostas!$B:$BE, 50, FALSE) )</f>
        <v/>
      </c>
      <c r="W51" s="13" t="str">
        <f>IF($B51="","",  VLOOKUP($B51, Propostas!$B:$BE, 51, FALSE) )</f>
        <v/>
      </c>
      <c r="X51" s="13" t="str">
        <f>IF($B51="","",  VLOOKUP($B51, Propostas!$B:$BE, 52, FALSE) )</f>
        <v/>
      </c>
      <c r="Y51" s="13" t="str">
        <f>IF($B51="","",  VLOOKUP($B51, Propostas!$B:$BE, 36, FALSE) )</f>
        <v/>
      </c>
      <c r="Z51" s="13" t="str">
        <f>IF($B51="","",  VLOOKUP($F51, VW_PROJETO!B:C, 2, FALSE) )</f>
        <v/>
      </c>
    </row>
    <row r="52" spans="2:26" x14ac:dyDescent="0.2">
      <c r="B52" s="2"/>
      <c r="C52" s="4" t="str">
        <f>IF($B52="","",  VLOOKUP($B52, Propostas!$B:$BE, 33, FALSE) )</f>
        <v/>
      </c>
      <c r="D52" s="4" t="str">
        <f>IF($B52="","",  VLOOKUP($B52, Propostas!$B:$BE, 34, FALSE) )</f>
        <v/>
      </c>
      <c r="E52" s="4" t="str">
        <f>IF($B52="","",  VLOOKUP($B52, Propostas!$B:$BE, 35, FALSE) )</f>
        <v/>
      </c>
      <c r="F52" s="4" t="str">
        <f>IF($B52="","",  VLOOKUP($B52, Propostas!$B:$BE, 2, FALSE) )</f>
        <v/>
      </c>
      <c r="G52" s="4" t="str">
        <f>IF($B52="","",  VLOOKUP($B52, Propostas!$B:$BE, 3, FALSE) )</f>
        <v/>
      </c>
      <c r="H52" s="4" t="str">
        <f>IF($B52="","",  VLOOKUP($B52, Propostas!$B:$BE, 4, FALSE) )</f>
        <v/>
      </c>
      <c r="I52" s="4" t="str">
        <f>IF($B52="","",  VLOOKUP($B52, Propostas!$B:$BE, 38, FALSE) )</f>
        <v/>
      </c>
      <c r="J52" s="13" t="str">
        <f>IF($B52="","",IF($C52="SIM", "&lt; INFRRAESTRUTURA &gt;", VLOOKUP($B52,Propostas!$B:$BE,41,FALSE)))</f>
        <v/>
      </c>
      <c r="K52" s="10" t="str">
        <f>IF($B52="","",  VLOOKUP($B52, Propostas!$B:$BE, 40, FALSE) )</f>
        <v/>
      </c>
      <c r="L52" s="10" t="str">
        <f>IF($B52="","",IF(VLOOKUP($B52,Propostas!$B:$BE,21,FALSE)=1,"B",IF(VLOOKUP($B52,Propostas!$B:$BE,21,FALSE)=2,"E","N")))</f>
        <v/>
      </c>
      <c r="M52" s="32" t="str">
        <f>IF($B52 = "", "",  VLOOKUP($B52, Propostas!$B:$BE, 46, FALSE) )</f>
        <v/>
      </c>
      <c r="N52" s="32" t="str">
        <f>IF($B52 = "", "",  VLOOKUP($B52, Propostas!$B:$BE, 47, FALSE) )</f>
        <v/>
      </c>
      <c r="O52" s="13" t="str">
        <f>IF($B52="","",IF($C52="SIM", "INFRAESTRUTURA", VLOOKUP($B52, Propostas!$B:$BE,42,FALSE)))</f>
        <v/>
      </c>
      <c r="P52" s="32" t="str">
        <f>IF($B52 = "", "",  VLOOKUP($B52, Propostas!$B:$BE, 49, FALSE) )</f>
        <v/>
      </c>
      <c r="Q52" s="13" t="str">
        <f>IF($B52="","",  VLOOKUP($B52, Propostas!$B:$BE, 39, FALSE) )</f>
        <v/>
      </c>
      <c r="R52" s="81" t="str">
        <f>IF($B52="","",  VLOOKUP($B52, Propostas!$B:$BE, 43, FALSE) )</f>
        <v/>
      </c>
      <c r="S52" s="81" t="str">
        <f>IF($B52="","",  VLOOKUP($B52, Propostas!$B:$BE, 44, FALSE) )</f>
        <v/>
      </c>
      <c r="T52" s="81" t="str">
        <f>IF($B52="","",  VLOOKUP($B52, Propostas!$B:$BE, 45, FALSE) )</f>
        <v/>
      </c>
      <c r="U52" s="32" t="str">
        <f>IF($B52="","",  VLOOKUP($B52, Propostas!$B:$BE, 37, FALSE) )</f>
        <v/>
      </c>
      <c r="V52" s="13" t="str">
        <f>IF($B52="","",  VLOOKUP($B52, Propostas!$B:$BE, 50, FALSE) )</f>
        <v/>
      </c>
      <c r="W52" s="13" t="str">
        <f>IF($B52="","",  VLOOKUP($B52, Propostas!$B:$BE, 51, FALSE) )</f>
        <v/>
      </c>
      <c r="X52" s="13" t="str">
        <f>IF($B52="","",  VLOOKUP($B52, Propostas!$B:$BE, 52, FALSE) )</f>
        <v/>
      </c>
      <c r="Y52" s="13" t="str">
        <f>IF($B52="","",  VLOOKUP($B52, Propostas!$B:$BE, 36, FALSE) )</f>
        <v/>
      </c>
      <c r="Z52" s="13" t="str">
        <f>IF($B52="","",  VLOOKUP($F52, VW_PROJETO!B:C, 2, FALSE) )</f>
        <v/>
      </c>
    </row>
    <row r="53" spans="2:26" x14ac:dyDescent="0.2">
      <c r="B53" s="2"/>
      <c r="C53" s="4" t="str">
        <f>IF($B53="","",  VLOOKUP($B53, Propostas!$B:$BE, 33, FALSE) )</f>
        <v/>
      </c>
      <c r="D53" s="4" t="str">
        <f>IF($B53="","",  VLOOKUP($B53, Propostas!$B:$BE, 34, FALSE) )</f>
        <v/>
      </c>
      <c r="E53" s="4" t="str">
        <f>IF($B53="","",  VLOOKUP($B53, Propostas!$B:$BE, 35, FALSE) )</f>
        <v/>
      </c>
      <c r="F53" s="4" t="str">
        <f>IF($B53="","",  VLOOKUP($B53, Propostas!$B:$BE, 2, FALSE) )</f>
        <v/>
      </c>
      <c r="G53" s="4" t="str">
        <f>IF($B53="","",  VLOOKUP($B53, Propostas!$B:$BE, 3, FALSE) )</f>
        <v/>
      </c>
      <c r="H53" s="4" t="str">
        <f>IF($B53="","",  VLOOKUP($B53, Propostas!$B:$BE, 4, FALSE) )</f>
        <v/>
      </c>
      <c r="I53" s="4" t="str">
        <f>IF($B53="","",  VLOOKUP($B53, Propostas!$B:$BE, 38, FALSE) )</f>
        <v/>
      </c>
      <c r="J53" s="13" t="str">
        <f>IF($B53="","",IF($C53="SIM", "&lt; INFRRAESTRUTURA &gt;", VLOOKUP($B53,Propostas!$B:$BE,41,FALSE)))</f>
        <v/>
      </c>
      <c r="K53" s="10" t="str">
        <f>IF($B53="","",  VLOOKUP($B53, Propostas!$B:$BE, 40, FALSE) )</f>
        <v/>
      </c>
      <c r="L53" s="10" t="str">
        <f>IF($B53="","",IF(VLOOKUP($B53,Propostas!$B:$BE,21,FALSE)=1,"B",IF(VLOOKUP($B53,Propostas!$B:$BE,21,FALSE)=2,"E","N")))</f>
        <v/>
      </c>
      <c r="M53" s="32" t="str">
        <f>IF($B53 = "", "",  VLOOKUP($B53, Propostas!$B:$BE, 46, FALSE) )</f>
        <v/>
      </c>
      <c r="N53" s="32" t="str">
        <f>IF($B53 = "", "",  VLOOKUP($B53, Propostas!$B:$BE, 47, FALSE) )</f>
        <v/>
      </c>
      <c r="O53" s="13" t="str">
        <f>IF($B53="","",IF($C53="SIM", "INFRAESTRUTURA", VLOOKUP($B53, Propostas!$B:$BE,42,FALSE)))</f>
        <v/>
      </c>
      <c r="P53" s="32" t="str">
        <f>IF($B53 = "", "",  VLOOKUP($B53, Propostas!$B:$BE, 49, FALSE) )</f>
        <v/>
      </c>
      <c r="Q53" s="13" t="str">
        <f>IF($B53="","",  VLOOKUP($B53, Propostas!$B:$BE, 39, FALSE) )</f>
        <v/>
      </c>
      <c r="R53" s="81" t="str">
        <f>IF($B53="","",  VLOOKUP($B53, Propostas!$B:$BE, 43, FALSE) )</f>
        <v/>
      </c>
      <c r="S53" s="81" t="str">
        <f>IF($B53="","",  VLOOKUP($B53, Propostas!$B:$BE, 44, FALSE) )</f>
        <v/>
      </c>
      <c r="T53" s="81" t="str">
        <f>IF($B53="","",  VLOOKUP($B53, Propostas!$B:$BE, 45, FALSE) )</f>
        <v/>
      </c>
      <c r="U53" s="32" t="str">
        <f>IF($B53="","",  VLOOKUP($B53, Propostas!$B:$BE, 37, FALSE) )</f>
        <v/>
      </c>
      <c r="V53" s="13" t="str">
        <f>IF($B53="","",  VLOOKUP($B53, Propostas!$B:$BE, 50, FALSE) )</f>
        <v/>
      </c>
      <c r="W53" s="13" t="str">
        <f>IF($B53="","",  VLOOKUP($B53, Propostas!$B:$BE, 51, FALSE) )</f>
        <v/>
      </c>
      <c r="X53" s="13" t="str">
        <f>IF($B53="","",  VLOOKUP($B53, Propostas!$B:$BE, 52, FALSE) )</f>
        <v/>
      </c>
      <c r="Y53" s="13" t="str">
        <f>IF($B53="","",  VLOOKUP($B53, Propostas!$B:$BE, 36, FALSE) )</f>
        <v/>
      </c>
      <c r="Z53" s="13" t="str">
        <f>IF($B53="","",  VLOOKUP($F53, VW_PROJETO!B:C, 2, FALSE) )</f>
        <v/>
      </c>
    </row>
    <row r="54" spans="2:26" x14ac:dyDescent="0.2">
      <c r="B54" s="2"/>
      <c r="C54" s="4" t="str">
        <f>IF($B54="","",  VLOOKUP($B54, Propostas!$B:$BE, 33, FALSE) )</f>
        <v/>
      </c>
      <c r="D54" s="4" t="str">
        <f>IF($B54="","",  VLOOKUP($B54, Propostas!$B:$BE, 34, FALSE) )</f>
        <v/>
      </c>
      <c r="E54" s="4" t="str">
        <f>IF($B54="","",  VLOOKUP($B54, Propostas!$B:$BE, 35, FALSE) )</f>
        <v/>
      </c>
      <c r="F54" s="4" t="str">
        <f>IF($B54="","",  VLOOKUP($B54, Propostas!$B:$BE, 2, FALSE) )</f>
        <v/>
      </c>
      <c r="G54" s="4" t="str">
        <f>IF($B54="","",  VLOOKUP($B54, Propostas!$B:$BE, 3, FALSE) )</f>
        <v/>
      </c>
      <c r="H54" s="4" t="str">
        <f>IF($B54="","",  VLOOKUP($B54, Propostas!$B:$BE, 4, FALSE) )</f>
        <v/>
      </c>
      <c r="I54" s="4" t="str">
        <f>IF($B54="","",  VLOOKUP($B54, Propostas!$B:$BE, 38, FALSE) )</f>
        <v/>
      </c>
      <c r="J54" s="13" t="str">
        <f>IF($B54="","",IF($C54="SIM", "&lt; INFRRAESTRUTURA &gt;", VLOOKUP($B54,Propostas!$B:$BE,41,FALSE)))</f>
        <v/>
      </c>
      <c r="K54" s="10" t="str">
        <f>IF($B54="","",  VLOOKUP($B54, Propostas!$B:$BE, 40, FALSE) )</f>
        <v/>
      </c>
      <c r="L54" s="10" t="str">
        <f>IF($B54="","",IF(VLOOKUP($B54,Propostas!$B:$BE,21,FALSE)=1,"B",IF(VLOOKUP($B54,Propostas!$B:$BE,21,FALSE)=2,"E","N")))</f>
        <v/>
      </c>
      <c r="M54" s="32" t="str">
        <f>IF($B54 = "", "",  VLOOKUP($B54, Propostas!$B:$BE, 46, FALSE) )</f>
        <v/>
      </c>
      <c r="N54" s="32" t="str">
        <f>IF($B54 = "", "",  VLOOKUP($B54, Propostas!$B:$BE, 47, FALSE) )</f>
        <v/>
      </c>
      <c r="O54" s="13" t="str">
        <f>IF($B54="","",IF($C54="SIM", "INFRAESTRUTURA", VLOOKUP($B54, Propostas!$B:$BE,42,FALSE)))</f>
        <v/>
      </c>
      <c r="P54" s="32" t="str">
        <f>IF($B54 = "", "",  VLOOKUP($B54, Propostas!$B:$BE, 49, FALSE) )</f>
        <v/>
      </c>
      <c r="Q54" s="13" t="str">
        <f>IF($B54="","",  VLOOKUP($B54, Propostas!$B:$BE, 39, FALSE) )</f>
        <v/>
      </c>
      <c r="R54" s="81" t="str">
        <f>IF($B54="","",  VLOOKUP($B54, Propostas!$B:$BE, 43, FALSE) )</f>
        <v/>
      </c>
      <c r="S54" s="81" t="str">
        <f>IF($B54="","",  VLOOKUP($B54, Propostas!$B:$BE, 44, FALSE) )</f>
        <v/>
      </c>
      <c r="T54" s="81" t="str">
        <f>IF($B54="","",  VLOOKUP($B54, Propostas!$B:$BE, 45, FALSE) )</f>
        <v/>
      </c>
      <c r="U54" s="32" t="str">
        <f>IF($B54="","",  VLOOKUP($B54, Propostas!$B:$BE, 37, FALSE) )</f>
        <v/>
      </c>
      <c r="V54" s="13" t="str">
        <f>IF($B54="","",  VLOOKUP($B54, Propostas!$B:$BE, 50, FALSE) )</f>
        <v/>
      </c>
      <c r="W54" s="13" t="str">
        <f>IF($B54="","",  VLOOKUP($B54, Propostas!$B:$BE, 51, FALSE) )</f>
        <v/>
      </c>
      <c r="X54" s="13" t="str">
        <f>IF($B54="","",  VLOOKUP($B54, Propostas!$B:$BE, 52, FALSE) )</f>
        <v/>
      </c>
      <c r="Y54" s="13" t="str">
        <f>IF($B54="","",  VLOOKUP($B54, Propostas!$B:$BE, 36, FALSE) )</f>
        <v/>
      </c>
      <c r="Z54" s="13" t="str">
        <f>IF($B54="","",  VLOOKUP($F54, VW_PROJETO!B:C, 2, FALSE) )</f>
        <v/>
      </c>
    </row>
    <row r="55" spans="2:26" x14ac:dyDescent="0.2">
      <c r="B55" s="2"/>
      <c r="C55" s="4" t="str">
        <f>IF($B55="","",  VLOOKUP($B55, Propostas!$B:$BE, 33, FALSE) )</f>
        <v/>
      </c>
      <c r="D55" s="4" t="str">
        <f>IF($B55="","",  VLOOKUP($B55, Propostas!$B:$BE, 34, FALSE) )</f>
        <v/>
      </c>
      <c r="E55" s="4" t="str">
        <f>IF($B55="","",  VLOOKUP($B55, Propostas!$B:$BE, 35, FALSE) )</f>
        <v/>
      </c>
      <c r="F55" s="4" t="str">
        <f>IF($B55="","",  VLOOKUP($B55, Propostas!$B:$BE, 2, FALSE) )</f>
        <v/>
      </c>
      <c r="G55" s="4" t="str">
        <f>IF($B55="","",  VLOOKUP($B55, Propostas!$B:$BE, 3, FALSE) )</f>
        <v/>
      </c>
      <c r="H55" s="4" t="str">
        <f>IF($B55="","",  VLOOKUP($B55, Propostas!$B:$BE, 4, FALSE) )</f>
        <v/>
      </c>
      <c r="I55" s="4" t="str">
        <f>IF($B55="","",  VLOOKUP($B55, Propostas!$B:$BE, 38, FALSE) )</f>
        <v/>
      </c>
      <c r="J55" s="13" t="str">
        <f>IF($B55="","",IF($C55="SIM", "&lt; INFRRAESTRUTURA &gt;", VLOOKUP($B55,Propostas!$B:$BE,41,FALSE)))</f>
        <v/>
      </c>
      <c r="K55" s="10" t="str">
        <f>IF($B55="","",  VLOOKUP($B55, Propostas!$B:$BE, 40, FALSE) )</f>
        <v/>
      </c>
      <c r="L55" s="10" t="str">
        <f>IF($B55="","",IF(VLOOKUP($B55,Propostas!$B:$BE,21,FALSE)=1,"B",IF(VLOOKUP($B55,Propostas!$B:$BE,21,FALSE)=2,"E","N")))</f>
        <v/>
      </c>
      <c r="M55" s="32" t="str">
        <f>IF($B55 = "", "",  VLOOKUP($B55, Propostas!$B:$BE, 46, FALSE) )</f>
        <v/>
      </c>
      <c r="N55" s="32" t="str">
        <f>IF($B55 = "", "",  VLOOKUP($B55, Propostas!$B:$BE, 47, FALSE) )</f>
        <v/>
      </c>
      <c r="O55" s="13" t="str">
        <f>IF($B55="","",IF($C55="SIM", "INFRAESTRUTURA", VLOOKUP($B55, Propostas!$B:$BE,42,FALSE)))</f>
        <v/>
      </c>
      <c r="P55" s="32" t="str">
        <f>IF($B55 = "", "",  VLOOKUP($B55, Propostas!$B:$BE, 49, FALSE) )</f>
        <v/>
      </c>
      <c r="Q55" s="13" t="str">
        <f>IF($B55="","",  VLOOKUP($B55, Propostas!$B:$BE, 39, FALSE) )</f>
        <v/>
      </c>
      <c r="R55" s="81" t="str">
        <f>IF($B55="","",  VLOOKUP($B55, Propostas!$B:$BE, 43, FALSE) )</f>
        <v/>
      </c>
      <c r="S55" s="81" t="str">
        <f>IF($B55="","",  VLOOKUP($B55, Propostas!$B:$BE, 44, FALSE) )</f>
        <v/>
      </c>
      <c r="T55" s="81" t="str">
        <f>IF($B55="","",  VLOOKUP($B55, Propostas!$B:$BE, 45, FALSE) )</f>
        <v/>
      </c>
      <c r="U55" s="32" t="str">
        <f>IF($B55="","",  VLOOKUP($B55, Propostas!$B:$BE, 37, FALSE) )</f>
        <v/>
      </c>
      <c r="V55" s="13" t="str">
        <f>IF($B55="","",  VLOOKUP($B55, Propostas!$B:$BE, 50, FALSE) )</f>
        <v/>
      </c>
      <c r="W55" s="13" t="str">
        <f>IF($B55="","",  VLOOKUP($B55, Propostas!$B:$BE, 51, FALSE) )</f>
        <v/>
      </c>
      <c r="X55" s="13" t="str">
        <f>IF($B55="","",  VLOOKUP($B55, Propostas!$B:$BE, 52, FALSE) )</f>
        <v/>
      </c>
      <c r="Y55" s="13" t="str">
        <f>IF($B55="","",  VLOOKUP($B55, Propostas!$B:$BE, 36, FALSE) )</f>
        <v/>
      </c>
      <c r="Z55" s="13" t="str">
        <f>IF($B55="","",  VLOOKUP($F55, VW_PROJETO!B:C, 2, FALSE) )</f>
        <v/>
      </c>
    </row>
    <row r="56" spans="2:26" x14ac:dyDescent="0.2">
      <c r="B56" s="2"/>
      <c r="C56" s="4" t="str">
        <f>IF($B56="","",  VLOOKUP($B56, Propostas!$B:$BE, 33, FALSE) )</f>
        <v/>
      </c>
      <c r="D56" s="4" t="str">
        <f>IF($B56="","",  VLOOKUP($B56, Propostas!$B:$BE, 34, FALSE) )</f>
        <v/>
      </c>
      <c r="E56" s="4" t="str">
        <f>IF($B56="","",  VLOOKUP($B56, Propostas!$B:$BE, 35, FALSE) )</f>
        <v/>
      </c>
      <c r="F56" s="4" t="str">
        <f>IF($B56="","",  VLOOKUP($B56, Propostas!$B:$BE, 2, FALSE) )</f>
        <v/>
      </c>
      <c r="G56" s="4" t="str">
        <f>IF($B56="","",  VLOOKUP($B56, Propostas!$B:$BE, 3, FALSE) )</f>
        <v/>
      </c>
      <c r="H56" s="4" t="str">
        <f>IF($B56="","",  VLOOKUP($B56, Propostas!$B:$BE, 4, FALSE) )</f>
        <v/>
      </c>
      <c r="I56" s="4" t="str">
        <f>IF($B56="","",  VLOOKUP($B56, Propostas!$B:$BE, 38, FALSE) )</f>
        <v/>
      </c>
      <c r="J56" s="13" t="str">
        <f>IF($B56="","",IF($C56="SIM", "&lt; INFRRAESTRUTURA &gt;", VLOOKUP($B56,Propostas!$B:$BE,41,FALSE)))</f>
        <v/>
      </c>
      <c r="K56" s="10" t="str">
        <f>IF($B56="","",  VLOOKUP($B56, Propostas!$B:$BE, 40, FALSE) )</f>
        <v/>
      </c>
      <c r="L56" s="10" t="str">
        <f>IF($B56="","",IF(VLOOKUP($B56,Propostas!$B:$BE,21,FALSE)=1,"B",IF(VLOOKUP($B56,Propostas!$B:$BE,21,FALSE)=2,"E","N")))</f>
        <v/>
      </c>
      <c r="M56" s="32" t="str">
        <f>IF($B56 = "", "",  VLOOKUP($B56, Propostas!$B:$BE, 46, FALSE) )</f>
        <v/>
      </c>
      <c r="N56" s="32" t="str">
        <f>IF($B56 = "", "",  VLOOKUP($B56, Propostas!$B:$BE, 47, FALSE) )</f>
        <v/>
      </c>
      <c r="O56" s="13" t="str">
        <f>IF($B56="","",IF($C56="SIM", "INFRAESTRUTURA", VLOOKUP($B56, Propostas!$B:$BE,42,FALSE)))</f>
        <v/>
      </c>
      <c r="P56" s="32" t="str">
        <f>IF($B56 = "", "",  VLOOKUP($B56, Propostas!$B:$BE, 49, FALSE) )</f>
        <v/>
      </c>
      <c r="Q56" s="13" t="str">
        <f>IF($B56="","",  VLOOKUP($B56, Propostas!$B:$BE, 39, FALSE) )</f>
        <v/>
      </c>
      <c r="R56" s="81" t="str">
        <f>IF($B56="","",  VLOOKUP($B56, Propostas!$B:$BE, 43, FALSE) )</f>
        <v/>
      </c>
      <c r="S56" s="81" t="str">
        <f>IF($B56="","",  VLOOKUP($B56, Propostas!$B:$BE, 44, FALSE) )</f>
        <v/>
      </c>
      <c r="T56" s="81" t="str">
        <f>IF($B56="","",  VLOOKUP($B56, Propostas!$B:$BE, 45, FALSE) )</f>
        <v/>
      </c>
      <c r="U56" s="32" t="str">
        <f>IF($B56="","",  VLOOKUP($B56, Propostas!$B:$BE, 37, FALSE) )</f>
        <v/>
      </c>
      <c r="V56" s="13" t="str">
        <f>IF($B56="","",  VLOOKUP($B56, Propostas!$B:$BE, 50, FALSE) )</f>
        <v/>
      </c>
      <c r="W56" s="13" t="str">
        <f>IF($B56="","",  VLOOKUP($B56, Propostas!$B:$BE, 51, FALSE) )</f>
        <v/>
      </c>
      <c r="X56" s="13" t="str">
        <f>IF($B56="","",  VLOOKUP($B56, Propostas!$B:$BE, 52, FALSE) )</f>
        <v/>
      </c>
      <c r="Y56" s="13" t="str">
        <f>IF($B56="","",  VLOOKUP($B56, Propostas!$B:$BE, 36, FALSE) )</f>
        <v/>
      </c>
      <c r="Z56" s="13" t="str">
        <f>IF($B56="","",  VLOOKUP($F56, VW_PROJETO!B:C, 2, FALSE) )</f>
        <v/>
      </c>
    </row>
    <row r="57" spans="2:26" x14ac:dyDescent="0.2">
      <c r="B57" s="2"/>
      <c r="C57" s="4" t="str">
        <f>IF($B57="","",  VLOOKUP($B57, Propostas!$B:$BE, 33, FALSE) )</f>
        <v/>
      </c>
      <c r="D57" s="4" t="str">
        <f>IF($B57="","",  VLOOKUP($B57, Propostas!$B:$BE, 34, FALSE) )</f>
        <v/>
      </c>
      <c r="E57" s="4" t="str">
        <f>IF($B57="","",  VLOOKUP($B57, Propostas!$B:$BE, 35, FALSE) )</f>
        <v/>
      </c>
      <c r="F57" s="4" t="str">
        <f>IF($B57="","",  VLOOKUP($B57, Propostas!$B:$BE, 2, FALSE) )</f>
        <v/>
      </c>
      <c r="G57" s="4" t="str">
        <f>IF($B57="","",  VLOOKUP($B57, Propostas!$B:$BE, 3, FALSE) )</f>
        <v/>
      </c>
      <c r="H57" s="4" t="str">
        <f>IF($B57="","",  VLOOKUP($B57, Propostas!$B:$BE, 4, FALSE) )</f>
        <v/>
      </c>
      <c r="I57" s="4" t="str">
        <f>IF($B57="","",  VLOOKUP($B57, Propostas!$B:$BE, 38, FALSE) )</f>
        <v/>
      </c>
      <c r="J57" s="13" t="str">
        <f>IF($B57="","",IF($C57="SIM", "&lt; INFRRAESTRUTURA &gt;", VLOOKUP($B57,Propostas!$B:$BE,41,FALSE)))</f>
        <v/>
      </c>
      <c r="K57" s="10" t="str">
        <f>IF($B57="","",  VLOOKUP($B57, Propostas!$B:$BE, 40, FALSE) )</f>
        <v/>
      </c>
      <c r="L57" s="10" t="str">
        <f>IF($B57="","",IF(VLOOKUP($B57,Propostas!$B:$BE,21,FALSE)=1,"B",IF(VLOOKUP($B57,Propostas!$B:$BE,21,FALSE)=2,"E","N")))</f>
        <v/>
      </c>
      <c r="M57" s="32" t="str">
        <f>IF($B57 = "", "",  VLOOKUP($B57, Propostas!$B:$BE, 46, FALSE) )</f>
        <v/>
      </c>
      <c r="N57" s="32" t="str">
        <f>IF($B57 = "", "",  VLOOKUP($B57, Propostas!$B:$BE, 47, FALSE) )</f>
        <v/>
      </c>
      <c r="O57" s="13" t="str">
        <f>IF($B57="","",IF($C57="SIM", "INFRAESTRUTURA", VLOOKUP($B57, Propostas!$B:$BE,42,FALSE)))</f>
        <v/>
      </c>
      <c r="P57" s="32" t="str">
        <f>IF($B57 = "", "",  VLOOKUP($B57, Propostas!$B:$BE, 49, FALSE) )</f>
        <v/>
      </c>
      <c r="Q57" s="13" t="str">
        <f>IF($B57="","",  VLOOKUP($B57, Propostas!$B:$BE, 39, FALSE) )</f>
        <v/>
      </c>
      <c r="R57" s="81" t="str">
        <f>IF($B57="","",  VLOOKUP($B57, Propostas!$B:$BE, 43, FALSE) )</f>
        <v/>
      </c>
      <c r="S57" s="81" t="str">
        <f>IF($B57="","",  VLOOKUP($B57, Propostas!$B:$BE, 44, FALSE) )</f>
        <v/>
      </c>
      <c r="T57" s="81" t="str">
        <f>IF($B57="","",  VLOOKUP($B57, Propostas!$B:$BE, 45, FALSE) )</f>
        <v/>
      </c>
      <c r="U57" s="32" t="str">
        <f>IF($B57="","",  VLOOKUP($B57, Propostas!$B:$BE, 37, FALSE) )</f>
        <v/>
      </c>
      <c r="V57" s="13" t="str">
        <f>IF($B57="","",  VLOOKUP($B57, Propostas!$B:$BE, 50, FALSE) )</f>
        <v/>
      </c>
      <c r="W57" s="13" t="str">
        <f>IF($B57="","",  VLOOKUP($B57, Propostas!$B:$BE, 51, FALSE) )</f>
        <v/>
      </c>
      <c r="X57" s="13" t="str">
        <f>IF($B57="","",  VLOOKUP($B57, Propostas!$B:$BE, 52, FALSE) )</f>
        <v/>
      </c>
      <c r="Y57" s="13" t="str">
        <f>IF($B57="","",  VLOOKUP($B57, Propostas!$B:$BE, 36, FALSE) )</f>
        <v/>
      </c>
      <c r="Z57" s="13" t="str">
        <f>IF($B57="","",  VLOOKUP($F57, VW_PROJETO!B:C, 2, FALSE) )</f>
        <v/>
      </c>
    </row>
    <row r="58" spans="2:26" x14ac:dyDescent="0.2">
      <c r="B58" s="2"/>
      <c r="C58" s="4" t="str">
        <f>IF($B58="","",  VLOOKUP($B58, Propostas!$B:$BE, 33, FALSE) )</f>
        <v/>
      </c>
      <c r="D58" s="4" t="str">
        <f>IF($B58="","",  VLOOKUP($B58, Propostas!$B:$BE, 34, FALSE) )</f>
        <v/>
      </c>
      <c r="E58" s="4" t="str">
        <f>IF($B58="","",  VLOOKUP($B58, Propostas!$B:$BE, 35, FALSE) )</f>
        <v/>
      </c>
      <c r="F58" s="4" t="str">
        <f>IF($B58="","",  VLOOKUP($B58, Propostas!$B:$BE, 2, FALSE) )</f>
        <v/>
      </c>
      <c r="G58" s="4" t="str">
        <f>IF($B58="","",  VLOOKUP($B58, Propostas!$B:$BE, 3, FALSE) )</f>
        <v/>
      </c>
      <c r="H58" s="4" t="str">
        <f>IF($B58="","",  VLOOKUP($B58, Propostas!$B:$BE, 4, FALSE) )</f>
        <v/>
      </c>
      <c r="I58" s="4" t="str">
        <f>IF($B58="","",  VLOOKUP($B58, Propostas!$B:$BE, 38, FALSE) )</f>
        <v/>
      </c>
      <c r="J58" s="13" t="str">
        <f>IF($B58="","",IF($C58="SIM", "&lt; INFRRAESTRUTURA &gt;", VLOOKUP($B58,Propostas!$B:$BE,41,FALSE)))</f>
        <v/>
      </c>
      <c r="K58" s="10" t="str">
        <f>IF($B58="","",  VLOOKUP($B58, Propostas!$B:$BE, 40, FALSE) )</f>
        <v/>
      </c>
      <c r="L58" s="10" t="str">
        <f>IF($B58="","",IF(VLOOKUP($B58,Propostas!$B:$BE,21,FALSE)=1,"B",IF(VLOOKUP($B58,Propostas!$B:$BE,21,FALSE)=2,"E","N")))</f>
        <v/>
      </c>
      <c r="M58" s="32" t="str">
        <f>IF($B58 = "", "",  VLOOKUP($B58, Propostas!$B:$BE, 46, FALSE) )</f>
        <v/>
      </c>
      <c r="N58" s="32" t="str">
        <f>IF($B58 = "", "",  VLOOKUP($B58, Propostas!$B:$BE, 47, FALSE) )</f>
        <v/>
      </c>
      <c r="O58" s="13" t="str">
        <f>IF($B58="","",IF($C58="SIM", "INFRAESTRUTURA", VLOOKUP($B58, Propostas!$B:$BE,42,FALSE)))</f>
        <v/>
      </c>
      <c r="P58" s="32" t="str">
        <f>IF($B58 = "", "",  VLOOKUP($B58, Propostas!$B:$BE, 49, FALSE) )</f>
        <v/>
      </c>
      <c r="Q58" s="13" t="str">
        <f>IF($B58="","",  VLOOKUP($B58, Propostas!$B:$BE, 39, FALSE) )</f>
        <v/>
      </c>
      <c r="R58" s="81" t="str">
        <f>IF($B58="","",  VLOOKUP($B58, Propostas!$B:$BE, 43, FALSE) )</f>
        <v/>
      </c>
      <c r="S58" s="81" t="str">
        <f>IF($B58="","",  VLOOKUP($B58, Propostas!$B:$BE, 44, FALSE) )</f>
        <v/>
      </c>
      <c r="T58" s="81" t="str">
        <f>IF($B58="","",  VLOOKUP($B58, Propostas!$B:$BE, 45, FALSE) )</f>
        <v/>
      </c>
      <c r="U58" s="32" t="str">
        <f>IF($B58="","",  VLOOKUP($B58, Propostas!$B:$BE, 37, FALSE) )</f>
        <v/>
      </c>
      <c r="V58" s="13" t="str">
        <f>IF($B58="","",  VLOOKUP($B58, Propostas!$B:$BE, 50, FALSE) )</f>
        <v/>
      </c>
      <c r="W58" s="13" t="str">
        <f>IF($B58="","",  VLOOKUP($B58, Propostas!$B:$BE, 51, FALSE) )</f>
        <v/>
      </c>
      <c r="X58" s="13" t="str">
        <f>IF($B58="","",  VLOOKUP($B58, Propostas!$B:$BE, 52, FALSE) )</f>
        <v/>
      </c>
      <c r="Y58" s="13" t="str">
        <f>IF($B58="","",  VLOOKUP($B58, Propostas!$B:$BE, 36, FALSE) )</f>
        <v/>
      </c>
      <c r="Z58" s="13" t="str">
        <f>IF($B58="","",  VLOOKUP($F58, VW_PROJETO!B:C, 2, FALSE) )</f>
        <v/>
      </c>
    </row>
    <row r="59" spans="2:26" x14ac:dyDescent="0.2">
      <c r="B59" s="2"/>
      <c r="C59" s="4" t="str">
        <f>IF($B59="","",  VLOOKUP($B59, Propostas!$B:$BE, 33, FALSE) )</f>
        <v/>
      </c>
      <c r="D59" s="4" t="str">
        <f>IF($B59="","",  VLOOKUP($B59, Propostas!$B:$BE, 34, FALSE) )</f>
        <v/>
      </c>
      <c r="E59" s="4" t="str">
        <f>IF($B59="","",  VLOOKUP($B59, Propostas!$B:$BE, 35, FALSE) )</f>
        <v/>
      </c>
      <c r="F59" s="4" t="str">
        <f>IF($B59="","",  VLOOKUP($B59, Propostas!$B:$BE, 2, FALSE) )</f>
        <v/>
      </c>
      <c r="G59" s="4" t="str">
        <f>IF($B59="","",  VLOOKUP($B59, Propostas!$B:$BE, 3, FALSE) )</f>
        <v/>
      </c>
      <c r="H59" s="4" t="str">
        <f>IF($B59="","",  VLOOKUP($B59, Propostas!$B:$BE, 4, FALSE) )</f>
        <v/>
      </c>
      <c r="I59" s="4" t="str">
        <f>IF($B59="","",  VLOOKUP($B59, Propostas!$B:$BE, 38, FALSE) )</f>
        <v/>
      </c>
      <c r="J59" s="13" t="str">
        <f>IF($B59="","",IF($C59="SIM", "&lt; INFRRAESTRUTURA &gt;", VLOOKUP($B59,Propostas!$B:$BE,41,FALSE)))</f>
        <v/>
      </c>
      <c r="K59" s="10" t="str">
        <f>IF($B59="","",  VLOOKUP($B59, Propostas!$B:$BE, 40, FALSE) )</f>
        <v/>
      </c>
      <c r="L59" s="10" t="str">
        <f>IF($B59="","",IF(VLOOKUP($B59,Propostas!$B:$BE,21,FALSE)=1,"B",IF(VLOOKUP($B59,Propostas!$B:$BE,21,FALSE)=2,"E","N")))</f>
        <v/>
      </c>
      <c r="M59" s="32" t="str">
        <f>IF($B59 = "", "",  VLOOKUP($B59, Propostas!$B:$BE, 46, FALSE) )</f>
        <v/>
      </c>
      <c r="N59" s="32" t="str">
        <f>IF($B59 = "", "",  VLOOKUP($B59, Propostas!$B:$BE, 47, FALSE) )</f>
        <v/>
      </c>
      <c r="O59" s="13" t="str">
        <f>IF($B59="","",IF($C59="SIM", "INFRAESTRUTURA", VLOOKUP($B59, Propostas!$B:$BE,42,FALSE)))</f>
        <v/>
      </c>
      <c r="P59" s="32" t="str">
        <f>IF($B59 = "", "",  VLOOKUP($B59, Propostas!$B:$BE, 49, FALSE) )</f>
        <v/>
      </c>
      <c r="Q59" s="13" t="str">
        <f>IF($B59="","",  VLOOKUP($B59, Propostas!$B:$BE, 39, FALSE) )</f>
        <v/>
      </c>
      <c r="R59" s="81" t="str">
        <f>IF($B59="","",  VLOOKUP($B59, Propostas!$B:$BE, 43, FALSE) )</f>
        <v/>
      </c>
      <c r="S59" s="81" t="str">
        <f>IF($B59="","",  VLOOKUP($B59, Propostas!$B:$BE, 44, FALSE) )</f>
        <v/>
      </c>
      <c r="T59" s="81" t="str">
        <f>IF($B59="","",  VLOOKUP($B59, Propostas!$B:$BE, 45, FALSE) )</f>
        <v/>
      </c>
      <c r="U59" s="32" t="str">
        <f>IF($B59="","",  VLOOKUP($B59, Propostas!$B:$BE, 37, FALSE) )</f>
        <v/>
      </c>
      <c r="V59" s="13" t="str">
        <f>IF($B59="","",  VLOOKUP($B59, Propostas!$B:$BE, 50, FALSE) )</f>
        <v/>
      </c>
      <c r="W59" s="13" t="str">
        <f>IF($B59="","",  VLOOKUP($B59, Propostas!$B:$BE, 51, FALSE) )</f>
        <v/>
      </c>
      <c r="X59" s="13" t="str">
        <f>IF($B59="","",  VLOOKUP($B59, Propostas!$B:$BE, 52, FALSE) )</f>
        <v/>
      </c>
      <c r="Y59" s="13" t="str">
        <f>IF($B59="","",  VLOOKUP($B59, Propostas!$B:$BE, 36, FALSE) )</f>
        <v/>
      </c>
      <c r="Z59" s="13" t="str">
        <f>IF($B59="","",  VLOOKUP($F59, VW_PROJETO!B:C, 2, FALSE) )</f>
        <v/>
      </c>
    </row>
    <row r="60" spans="2:26" x14ac:dyDescent="0.2">
      <c r="B60" s="2"/>
      <c r="C60" s="4" t="str">
        <f>IF($B60="","",  VLOOKUP($B60, Propostas!$B:$BE, 33, FALSE) )</f>
        <v/>
      </c>
      <c r="D60" s="4" t="str">
        <f>IF($B60="","",  VLOOKUP($B60, Propostas!$B:$BE, 34, FALSE) )</f>
        <v/>
      </c>
      <c r="E60" s="4" t="str">
        <f>IF($B60="","",  VLOOKUP($B60, Propostas!$B:$BE, 35, FALSE) )</f>
        <v/>
      </c>
      <c r="F60" s="4" t="str">
        <f>IF($B60="","",  VLOOKUP($B60, Propostas!$B:$BE, 2, FALSE) )</f>
        <v/>
      </c>
      <c r="G60" s="4" t="str">
        <f>IF($B60="","",  VLOOKUP($B60, Propostas!$B:$BE, 3, FALSE) )</f>
        <v/>
      </c>
      <c r="H60" s="4" t="str">
        <f>IF($B60="","",  VLOOKUP($B60, Propostas!$B:$BE, 4, FALSE) )</f>
        <v/>
      </c>
      <c r="I60" s="4" t="str">
        <f>IF($B60="","",  VLOOKUP($B60, Propostas!$B:$BE, 38, FALSE) )</f>
        <v/>
      </c>
      <c r="J60" s="13" t="str">
        <f>IF($B60="","",IF($C60="SIM", "&lt; INFRRAESTRUTURA &gt;", VLOOKUP($B60,Propostas!$B:$BE,41,FALSE)))</f>
        <v/>
      </c>
      <c r="K60" s="10" t="str">
        <f>IF($B60="","",  VLOOKUP($B60, Propostas!$B:$BE, 40, FALSE) )</f>
        <v/>
      </c>
      <c r="L60" s="10" t="str">
        <f>IF($B60="","",IF(VLOOKUP($B60,Propostas!$B:$BE,21,FALSE)=1,"B",IF(VLOOKUP($B60,Propostas!$B:$BE,21,FALSE)=2,"E","N")))</f>
        <v/>
      </c>
      <c r="M60" s="32" t="str">
        <f>IF($B60 = "", "",  VLOOKUP($B60, Propostas!$B:$BE, 46, FALSE) )</f>
        <v/>
      </c>
      <c r="N60" s="32" t="str">
        <f>IF($B60 = "", "",  VLOOKUP($B60, Propostas!$B:$BE, 47, FALSE) )</f>
        <v/>
      </c>
      <c r="O60" s="13" t="str">
        <f>IF($B60="","",IF($C60="SIM", "INFRAESTRUTURA", VLOOKUP($B60, Propostas!$B:$BE,42,FALSE)))</f>
        <v/>
      </c>
      <c r="P60" s="32" t="str">
        <f>IF($B60 = "", "",  VLOOKUP($B60, Propostas!$B:$BE, 49, FALSE) )</f>
        <v/>
      </c>
      <c r="Q60" s="13" t="str">
        <f>IF($B60="","",  VLOOKUP($B60, Propostas!$B:$BE, 39, FALSE) )</f>
        <v/>
      </c>
      <c r="R60" s="81" t="str">
        <f>IF($B60="","",  VLOOKUP($B60, Propostas!$B:$BE, 43, FALSE) )</f>
        <v/>
      </c>
      <c r="S60" s="81" t="str">
        <f>IF($B60="","",  VLOOKUP($B60, Propostas!$B:$BE, 44, FALSE) )</f>
        <v/>
      </c>
      <c r="T60" s="81" t="str">
        <f>IF($B60="","",  VLOOKUP($B60, Propostas!$B:$BE, 45, FALSE) )</f>
        <v/>
      </c>
      <c r="U60" s="32" t="str">
        <f>IF($B60="","",  VLOOKUP($B60, Propostas!$B:$BE, 37, FALSE) )</f>
        <v/>
      </c>
      <c r="V60" s="13" t="str">
        <f>IF($B60="","",  VLOOKUP($B60, Propostas!$B:$BE, 50, FALSE) )</f>
        <v/>
      </c>
      <c r="W60" s="13" t="str">
        <f>IF($B60="","",  VLOOKUP($B60, Propostas!$B:$BE, 51, FALSE) )</f>
        <v/>
      </c>
      <c r="X60" s="13" t="str">
        <f>IF($B60="","",  VLOOKUP($B60, Propostas!$B:$BE, 52, FALSE) )</f>
        <v/>
      </c>
      <c r="Y60" s="13" t="str">
        <f>IF($B60="","",  VLOOKUP($B60, Propostas!$B:$BE, 36, FALSE) )</f>
        <v/>
      </c>
      <c r="Z60" s="13" t="str">
        <f>IF($B60="","",  VLOOKUP($F60, VW_PROJETO!B:C, 2, FALSE) )</f>
        <v/>
      </c>
    </row>
    <row r="61" spans="2:26" x14ac:dyDescent="0.2">
      <c r="B61" s="2"/>
      <c r="C61" s="4" t="str">
        <f>IF($B61="","",  VLOOKUP($B61, Propostas!$B:$BE, 33, FALSE) )</f>
        <v/>
      </c>
      <c r="D61" s="4" t="str">
        <f>IF($B61="","",  VLOOKUP($B61, Propostas!$B:$BE, 34, FALSE) )</f>
        <v/>
      </c>
      <c r="E61" s="4" t="str">
        <f>IF($B61="","",  VLOOKUP($B61, Propostas!$B:$BE, 35, FALSE) )</f>
        <v/>
      </c>
      <c r="F61" s="4" t="str">
        <f>IF($B61="","",  VLOOKUP($B61, Propostas!$B:$BE, 2, FALSE) )</f>
        <v/>
      </c>
      <c r="G61" s="4" t="str">
        <f>IF($B61="","",  VLOOKUP($B61, Propostas!$B:$BE, 3, FALSE) )</f>
        <v/>
      </c>
      <c r="H61" s="4" t="str">
        <f>IF($B61="","",  VLOOKUP($B61, Propostas!$B:$BE, 4, FALSE) )</f>
        <v/>
      </c>
      <c r="I61" s="4" t="str">
        <f>IF($B61="","",  VLOOKUP($B61, Propostas!$B:$BE, 38, FALSE) )</f>
        <v/>
      </c>
      <c r="J61" s="13" t="str">
        <f>IF($B61="","",IF($C61="SIM", "&lt; INFRRAESTRUTURA &gt;", VLOOKUP($B61,Propostas!$B:$BE,41,FALSE)))</f>
        <v/>
      </c>
      <c r="K61" s="10" t="str">
        <f>IF($B61="","",  VLOOKUP($B61, Propostas!$B:$BE, 40, FALSE) )</f>
        <v/>
      </c>
      <c r="L61" s="10" t="str">
        <f>IF($B61="","",IF(VLOOKUP($B61,Propostas!$B:$BE,21,FALSE)=1,"B",IF(VLOOKUP($B61,Propostas!$B:$BE,21,FALSE)=2,"E","N")))</f>
        <v/>
      </c>
      <c r="M61" s="32" t="str">
        <f>IF($B61 = "", "",  VLOOKUP($B61, Propostas!$B:$BE, 46, FALSE) )</f>
        <v/>
      </c>
      <c r="N61" s="32" t="str">
        <f>IF($B61 = "", "",  VLOOKUP($B61, Propostas!$B:$BE, 47, FALSE) )</f>
        <v/>
      </c>
      <c r="O61" s="13" t="str">
        <f>IF($B61="","",IF($C61="SIM", "INFRAESTRUTURA", VLOOKUP($B61, Propostas!$B:$BE,42,FALSE)))</f>
        <v/>
      </c>
      <c r="P61" s="32" t="str">
        <f>IF($B61 = "", "",  VLOOKUP($B61, Propostas!$B:$BE, 49, FALSE) )</f>
        <v/>
      </c>
      <c r="Q61" s="13" t="str">
        <f>IF($B61="","",  VLOOKUP($B61, Propostas!$B:$BE, 39, FALSE) )</f>
        <v/>
      </c>
      <c r="R61" s="81" t="str">
        <f>IF($B61="","",  VLOOKUP($B61, Propostas!$B:$BE, 43, FALSE) )</f>
        <v/>
      </c>
      <c r="S61" s="81" t="str">
        <f>IF($B61="","",  VLOOKUP($B61, Propostas!$B:$BE, 44, FALSE) )</f>
        <v/>
      </c>
      <c r="T61" s="81" t="str">
        <f>IF($B61="","",  VLOOKUP($B61, Propostas!$B:$BE, 45, FALSE) )</f>
        <v/>
      </c>
      <c r="U61" s="32" t="str">
        <f>IF($B61="","",  VLOOKUP($B61, Propostas!$B:$BE, 37, FALSE) )</f>
        <v/>
      </c>
      <c r="V61" s="13" t="str">
        <f>IF($B61="","",  VLOOKUP($B61, Propostas!$B:$BE, 50, FALSE) )</f>
        <v/>
      </c>
      <c r="W61" s="13" t="str">
        <f>IF($B61="","",  VLOOKUP($B61, Propostas!$B:$BE, 51, FALSE) )</f>
        <v/>
      </c>
      <c r="X61" s="13" t="str">
        <f>IF($B61="","",  VLOOKUP($B61, Propostas!$B:$BE, 52, FALSE) )</f>
        <v/>
      </c>
      <c r="Y61" s="13" t="str">
        <f>IF($B61="","",  VLOOKUP($B61, Propostas!$B:$BE, 36, FALSE) )</f>
        <v/>
      </c>
      <c r="Z61" s="13" t="str">
        <f>IF($B61="","",  VLOOKUP($F61, VW_PROJETO!B:C, 2, FALSE) )</f>
        <v/>
      </c>
    </row>
    <row r="62" spans="2:26" x14ac:dyDescent="0.2">
      <c r="B62" s="2"/>
      <c r="C62" s="4" t="str">
        <f>IF($B62="","",  VLOOKUP($B62, Propostas!$B:$BE, 33, FALSE) )</f>
        <v/>
      </c>
      <c r="D62" s="4" t="str">
        <f>IF($B62="","",  VLOOKUP($B62, Propostas!$B:$BE, 34, FALSE) )</f>
        <v/>
      </c>
      <c r="E62" s="4" t="str">
        <f>IF($B62="","",  VLOOKUP($B62, Propostas!$B:$BE, 35, FALSE) )</f>
        <v/>
      </c>
      <c r="F62" s="4" t="str">
        <f>IF($B62="","",  VLOOKUP($B62, Propostas!$B:$BE, 2, FALSE) )</f>
        <v/>
      </c>
      <c r="G62" s="4" t="str">
        <f>IF($B62="","",  VLOOKUP($B62, Propostas!$B:$BE, 3, FALSE) )</f>
        <v/>
      </c>
      <c r="H62" s="4" t="str">
        <f>IF($B62="","",  VLOOKUP($B62, Propostas!$B:$BE, 4, FALSE) )</f>
        <v/>
      </c>
      <c r="I62" s="4" t="str">
        <f>IF($B62="","",  VLOOKUP($B62, Propostas!$B:$BE, 38, FALSE) )</f>
        <v/>
      </c>
      <c r="J62" s="13" t="str">
        <f>IF($B62="","",IF($C62="SIM", "&lt; INFRRAESTRUTURA &gt;", VLOOKUP($B62,Propostas!$B:$BE,41,FALSE)))</f>
        <v/>
      </c>
      <c r="K62" s="10" t="str">
        <f>IF($B62="","",  VLOOKUP($B62, Propostas!$B:$BE, 40, FALSE) )</f>
        <v/>
      </c>
      <c r="L62" s="10" t="str">
        <f>IF($B62="","",IF(VLOOKUP($B62,Propostas!$B:$BE,21,FALSE)=1,"B",IF(VLOOKUP($B62,Propostas!$B:$BE,21,FALSE)=2,"E","N")))</f>
        <v/>
      </c>
      <c r="M62" s="32" t="str">
        <f>IF($B62 = "", "",  VLOOKUP($B62, Propostas!$B:$BE, 46, FALSE) )</f>
        <v/>
      </c>
      <c r="N62" s="32" t="str">
        <f>IF($B62 = "", "",  VLOOKUP($B62, Propostas!$B:$BE, 47, FALSE) )</f>
        <v/>
      </c>
      <c r="O62" s="13" t="str">
        <f>IF($B62="","",IF($C62="SIM", "INFRAESTRUTURA", VLOOKUP($B62, Propostas!$B:$BE,42,FALSE)))</f>
        <v/>
      </c>
      <c r="P62" s="32" t="str">
        <f>IF($B62 = "", "",  VLOOKUP($B62, Propostas!$B:$BE, 49, FALSE) )</f>
        <v/>
      </c>
      <c r="Q62" s="13" t="str">
        <f>IF($B62="","",  VLOOKUP($B62, Propostas!$B:$BE, 39, FALSE) )</f>
        <v/>
      </c>
      <c r="R62" s="81" t="str">
        <f>IF($B62="","",  VLOOKUP($B62, Propostas!$B:$BE, 43, FALSE) )</f>
        <v/>
      </c>
      <c r="S62" s="81" t="str">
        <f>IF($B62="","",  VLOOKUP($B62, Propostas!$B:$BE, 44, FALSE) )</f>
        <v/>
      </c>
      <c r="T62" s="81" t="str">
        <f>IF($B62="","",  VLOOKUP($B62, Propostas!$B:$BE, 45, FALSE) )</f>
        <v/>
      </c>
      <c r="U62" s="32" t="str">
        <f>IF($B62="","",  VLOOKUP($B62, Propostas!$B:$BE, 37, FALSE) )</f>
        <v/>
      </c>
      <c r="V62" s="13" t="str">
        <f>IF($B62="","",  VLOOKUP($B62, Propostas!$B:$BE, 50, FALSE) )</f>
        <v/>
      </c>
      <c r="W62" s="13" t="str">
        <f>IF($B62="","",  VLOOKUP($B62, Propostas!$B:$BE, 51, FALSE) )</f>
        <v/>
      </c>
      <c r="X62" s="13" t="str">
        <f>IF($B62="","",  VLOOKUP($B62, Propostas!$B:$BE, 52, FALSE) )</f>
        <v/>
      </c>
      <c r="Y62" s="13" t="str">
        <f>IF($B62="","",  VLOOKUP($B62, Propostas!$B:$BE, 36, FALSE) )</f>
        <v/>
      </c>
      <c r="Z62" s="13" t="str">
        <f>IF($B62="","",  VLOOKUP($F62, VW_PROJETO!B:C, 2, FALSE) )</f>
        <v/>
      </c>
    </row>
    <row r="63" spans="2:26" x14ac:dyDescent="0.2">
      <c r="B63" s="2"/>
      <c r="C63" s="4" t="str">
        <f>IF($B63="","",  VLOOKUP($B63, Propostas!$B:$BE, 33, FALSE) )</f>
        <v/>
      </c>
      <c r="D63" s="4" t="str">
        <f>IF($B63="","",  VLOOKUP($B63, Propostas!$B:$BE, 34, FALSE) )</f>
        <v/>
      </c>
      <c r="E63" s="4" t="str">
        <f>IF($B63="","",  VLOOKUP($B63, Propostas!$B:$BE, 35, FALSE) )</f>
        <v/>
      </c>
      <c r="F63" s="4" t="str">
        <f>IF($B63="","",  VLOOKUP($B63, Propostas!$B:$BE, 2, FALSE) )</f>
        <v/>
      </c>
      <c r="G63" s="4" t="str">
        <f>IF($B63="","",  VLOOKUP($B63, Propostas!$B:$BE, 3, FALSE) )</f>
        <v/>
      </c>
      <c r="H63" s="4" t="str">
        <f>IF($B63="","",  VLOOKUP($B63, Propostas!$B:$BE, 4, FALSE) )</f>
        <v/>
      </c>
      <c r="I63" s="4" t="str">
        <f>IF($B63="","",  VLOOKUP($B63, Propostas!$B:$BE, 38, FALSE) )</f>
        <v/>
      </c>
      <c r="J63" s="13" t="str">
        <f>IF($B63="","",IF($C63="SIM", "&lt; INFRRAESTRUTURA &gt;", VLOOKUP($B63,Propostas!$B:$BE,41,FALSE)))</f>
        <v/>
      </c>
      <c r="K63" s="10" t="str">
        <f>IF($B63="","",  VLOOKUP($B63, Propostas!$B:$BE, 40, FALSE) )</f>
        <v/>
      </c>
      <c r="L63" s="10" t="str">
        <f>IF($B63="","",IF(VLOOKUP($B63,Propostas!$B:$BE,21,FALSE)=1,"B",IF(VLOOKUP($B63,Propostas!$B:$BE,21,FALSE)=2,"E","N")))</f>
        <v/>
      </c>
      <c r="M63" s="32" t="str">
        <f>IF($B63 = "", "",  VLOOKUP($B63, Propostas!$B:$BE, 46, FALSE) )</f>
        <v/>
      </c>
      <c r="N63" s="32" t="str">
        <f>IF($B63 = "", "",  VLOOKUP($B63, Propostas!$B:$BE, 47, FALSE) )</f>
        <v/>
      </c>
      <c r="O63" s="13" t="str">
        <f>IF($B63="","",IF($C63="SIM", "INFRAESTRUTURA", VLOOKUP($B63, Propostas!$B:$BE,42,FALSE)))</f>
        <v/>
      </c>
      <c r="P63" s="32" t="str">
        <f>IF($B63 = "", "",  VLOOKUP($B63, Propostas!$B:$BE, 49, FALSE) )</f>
        <v/>
      </c>
      <c r="Q63" s="13" t="str">
        <f>IF($B63="","",  VLOOKUP($B63, Propostas!$B:$BE, 39, FALSE) )</f>
        <v/>
      </c>
      <c r="R63" s="81" t="str">
        <f>IF($B63="","",  VLOOKUP($B63, Propostas!$B:$BE, 43, FALSE) )</f>
        <v/>
      </c>
      <c r="S63" s="81" t="str">
        <f>IF($B63="","",  VLOOKUP($B63, Propostas!$B:$BE, 44, FALSE) )</f>
        <v/>
      </c>
      <c r="T63" s="81" t="str">
        <f>IF($B63="","",  VLOOKUP($B63, Propostas!$B:$BE, 45, FALSE) )</f>
        <v/>
      </c>
      <c r="U63" s="32" t="str">
        <f>IF($B63="","",  VLOOKUP($B63, Propostas!$B:$BE, 37, FALSE) )</f>
        <v/>
      </c>
      <c r="V63" s="13" t="str">
        <f>IF($B63="","",  VLOOKUP($B63, Propostas!$B:$BE, 50, FALSE) )</f>
        <v/>
      </c>
      <c r="W63" s="13" t="str">
        <f>IF($B63="","",  VLOOKUP($B63, Propostas!$B:$BE, 51, FALSE) )</f>
        <v/>
      </c>
      <c r="X63" s="13" t="str">
        <f>IF($B63="","",  VLOOKUP($B63, Propostas!$B:$BE, 52, FALSE) )</f>
        <v/>
      </c>
      <c r="Y63" s="13" t="str">
        <f>IF($B63="","",  VLOOKUP($B63, Propostas!$B:$BE, 36, FALSE) )</f>
        <v/>
      </c>
      <c r="Z63" s="13" t="str">
        <f>IF($B63="","",  VLOOKUP($F63, VW_PROJETO!B:C, 2, FALSE) )</f>
        <v/>
      </c>
    </row>
    <row r="64" spans="2:26" x14ac:dyDescent="0.2">
      <c r="B64" s="2"/>
      <c r="C64" s="4" t="str">
        <f>IF($B64="","",  VLOOKUP($B64, Propostas!$B:$BE, 33, FALSE) )</f>
        <v/>
      </c>
      <c r="D64" s="4" t="str">
        <f>IF($B64="","",  VLOOKUP($B64, Propostas!$B:$BE, 34, FALSE) )</f>
        <v/>
      </c>
      <c r="E64" s="4" t="str">
        <f>IF($B64="","",  VLOOKUP($B64, Propostas!$B:$BE, 35, FALSE) )</f>
        <v/>
      </c>
      <c r="F64" s="4" t="str">
        <f>IF($B64="","",  VLOOKUP($B64, Propostas!$B:$BE, 2, FALSE) )</f>
        <v/>
      </c>
      <c r="G64" s="4" t="str">
        <f>IF($B64="","",  VLOOKUP($B64, Propostas!$B:$BE, 3, FALSE) )</f>
        <v/>
      </c>
      <c r="H64" s="4" t="str">
        <f>IF($B64="","",  VLOOKUP($B64, Propostas!$B:$BE, 4, FALSE) )</f>
        <v/>
      </c>
      <c r="I64" s="4" t="str">
        <f>IF($B64="","",  VLOOKUP($B64, Propostas!$B:$BE, 38, FALSE) )</f>
        <v/>
      </c>
      <c r="J64" s="13" t="str">
        <f>IF($B64="","",IF($C64="SIM", "&lt; INFRRAESTRUTURA &gt;", VLOOKUP($B64,Propostas!$B:$BE,41,FALSE)))</f>
        <v/>
      </c>
      <c r="K64" s="10" t="str">
        <f>IF($B64="","",  VLOOKUP($B64, Propostas!$B:$BE, 40, FALSE) )</f>
        <v/>
      </c>
      <c r="L64" s="10" t="str">
        <f>IF($B64="","",IF(VLOOKUP($B64,Propostas!$B:$BE,21,FALSE)=1,"B",IF(VLOOKUP($B64,Propostas!$B:$BE,21,FALSE)=2,"E","N")))</f>
        <v/>
      </c>
      <c r="M64" s="32" t="str">
        <f>IF($B64 = "", "",  VLOOKUP($B64, Propostas!$B:$BE, 46, FALSE) )</f>
        <v/>
      </c>
      <c r="N64" s="32" t="str">
        <f>IF($B64 = "", "",  VLOOKUP($B64, Propostas!$B:$BE, 47, FALSE) )</f>
        <v/>
      </c>
      <c r="O64" s="13" t="str">
        <f>IF($B64="","",IF($C64="SIM", "INFRAESTRUTURA", VLOOKUP($B64, Propostas!$B:$BE,42,FALSE)))</f>
        <v/>
      </c>
      <c r="P64" s="32" t="str">
        <f>IF($B64 = "", "",  VLOOKUP($B64, Propostas!$B:$BE, 49, FALSE) )</f>
        <v/>
      </c>
      <c r="Q64" s="13" t="str">
        <f>IF($B64="","",  VLOOKUP($B64, Propostas!$B:$BE, 39, FALSE) )</f>
        <v/>
      </c>
      <c r="R64" s="81" t="str">
        <f>IF($B64="","",  VLOOKUP($B64, Propostas!$B:$BE, 43, FALSE) )</f>
        <v/>
      </c>
      <c r="S64" s="81" t="str">
        <f>IF($B64="","",  VLOOKUP($B64, Propostas!$B:$BE, 44, FALSE) )</f>
        <v/>
      </c>
      <c r="T64" s="81" t="str">
        <f>IF($B64="","",  VLOOKUP($B64, Propostas!$B:$BE, 45, FALSE) )</f>
        <v/>
      </c>
      <c r="U64" s="32" t="str">
        <f>IF($B64="","",  VLOOKUP($B64, Propostas!$B:$BE, 37, FALSE) )</f>
        <v/>
      </c>
      <c r="V64" s="13" t="str">
        <f>IF($B64="","",  VLOOKUP($B64, Propostas!$B:$BE, 50, FALSE) )</f>
        <v/>
      </c>
      <c r="W64" s="13" t="str">
        <f>IF($B64="","",  VLOOKUP($B64, Propostas!$B:$BE, 51, FALSE) )</f>
        <v/>
      </c>
      <c r="X64" s="13" t="str">
        <f>IF($B64="","",  VLOOKUP($B64, Propostas!$B:$BE, 52, FALSE) )</f>
        <v/>
      </c>
      <c r="Y64" s="13" t="str">
        <f>IF($B64="","",  VLOOKUP($B64, Propostas!$B:$BE, 36, FALSE) )</f>
        <v/>
      </c>
      <c r="Z64" s="13" t="str">
        <f>IF($B64="","",  VLOOKUP($F64, VW_PROJETO!B:C, 2, FALSE) )</f>
        <v/>
      </c>
    </row>
    <row r="65" spans="2:26" x14ac:dyDescent="0.2">
      <c r="B65" s="2"/>
      <c r="C65" s="4" t="str">
        <f>IF($B65="","",  VLOOKUP($B65, Propostas!$B:$BE, 33, FALSE) )</f>
        <v/>
      </c>
      <c r="D65" s="4" t="str">
        <f>IF($B65="","",  VLOOKUP($B65, Propostas!$B:$BE, 34, FALSE) )</f>
        <v/>
      </c>
      <c r="E65" s="4" t="str">
        <f>IF($B65="","",  VLOOKUP($B65, Propostas!$B:$BE, 35, FALSE) )</f>
        <v/>
      </c>
      <c r="F65" s="4" t="str">
        <f>IF($B65="","",  VLOOKUP($B65, Propostas!$B:$BE, 2, FALSE) )</f>
        <v/>
      </c>
      <c r="G65" s="4" t="str">
        <f>IF($B65="","",  VLOOKUP($B65, Propostas!$B:$BE, 3, FALSE) )</f>
        <v/>
      </c>
      <c r="H65" s="4" t="str">
        <f>IF($B65="","",  VLOOKUP($B65, Propostas!$B:$BE, 4, FALSE) )</f>
        <v/>
      </c>
      <c r="I65" s="4" t="str">
        <f>IF($B65="","",  VLOOKUP($B65, Propostas!$B:$BE, 38, FALSE) )</f>
        <v/>
      </c>
      <c r="J65" s="13" t="str">
        <f>IF($B65="","",IF($C65="SIM", "&lt; INFRRAESTRUTURA &gt;", VLOOKUP($B65,Propostas!$B:$BE,41,FALSE)))</f>
        <v/>
      </c>
      <c r="K65" s="10" t="str">
        <f>IF($B65="","",  VLOOKUP($B65, Propostas!$B:$BE, 40, FALSE) )</f>
        <v/>
      </c>
      <c r="L65" s="10" t="str">
        <f>IF($B65="","",IF(VLOOKUP($B65,Propostas!$B:$BE,21,FALSE)=1,"B",IF(VLOOKUP($B65,Propostas!$B:$BE,21,FALSE)=2,"E","N")))</f>
        <v/>
      </c>
      <c r="M65" s="32" t="str">
        <f>IF($B65 = "", "",  VLOOKUP($B65, Propostas!$B:$BE, 46, FALSE) )</f>
        <v/>
      </c>
      <c r="N65" s="32" t="str">
        <f>IF($B65 = "", "",  VLOOKUP($B65, Propostas!$B:$BE, 47, FALSE) )</f>
        <v/>
      </c>
      <c r="O65" s="13" t="str">
        <f>IF($B65="","",IF($C65="SIM", "INFRAESTRUTURA", VLOOKUP($B65, Propostas!$B:$BE,42,FALSE)))</f>
        <v/>
      </c>
      <c r="P65" s="32" t="str">
        <f>IF($B65 = "", "",  VLOOKUP($B65, Propostas!$B:$BE, 49, FALSE) )</f>
        <v/>
      </c>
      <c r="Q65" s="13" t="str">
        <f>IF($B65="","",  VLOOKUP($B65, Propostas!$B:$BE, 39, FALSE) )</f>
        <v/>
      </c>
      <c r="R65" s="81" t="str">
        <f>IF($B65="","",  VLOOKUP($B65, Propostas!$B:$BE, 43, FALSE) )</f>
        <v/>
      </c>
      <c r="S65" s="81" t="str">
        <f>IF($B65="","",  VLOOKUP($B65, Propostas!$B:$BE, 44, FALSE) )</f>
        <v/>
      </c>
      <c r="T65" s="81" t="str">
        <f>IF($B65="","",  VLOOKUP($B65, Propostas!$B:$BE, 45, FALSE) )</f>
        <v/>
      </c>
      <c r="U65" s="32" t="str">
        <f>IF($B65="","",  VLOOKUP($B65, Propostas!$B:$BE, 37, FALSE) )</f>
        <v/>
      </c>
      <c r="V65" s="13" t="str">
        <f>IF($B65="","",  VLOOKUP($B65, Propostas!$B:$BE, 50, FALSE) )</f>
        <v/>
      </c>
      <c r="W65" s="13" t="str">
        <f>IF($B65="","",  VLOOKUP($B65, Propostas!$B:$BE, 51, FALSE) )</f>
        <v/>
      </c>
      <c r="X65" s="13" t="str">
        <f>IF($B65="","",  VLOOKUP($B65, Propostas!$B:$BE, 52, FALSE) )</f>
        <v/>
      </c>
      <c r="Y65" s="13" t="str">
        <f>IF($B65="","",  VLOOKUP($B65, Propostas!$B:$BE, 36, FALSE) )</f>
        <v/>
      </c>
      <c r="Z65" s="13" t="str">
        <f>IF($B65="","",  VLOOKUP($F65, VW_PROJETO!B:C, 2, FALSE) )</f>
        <v/>
      </c>
    </row>
    <row r="66" spans="2:26" x14ac:dyDescent="0.2">
      <c r="B66" s="2"/>
      <c r="C66" s="4" t="str">
        <f>IF($B66="","",  VLOOKUP($B66, Propostas!$B:$BE, 33, FALSE) )</f>
        <v/>
      </c>
      <c r="D66" s="4" t="str">
        <f>IF($B66="","",  VLOOKUP($B66, Propostas!$B:$BE, 34, FALSE) )</f>
        <v/>
      </c>
      <c r="E66" s="4" t="str">
        <f>IF($B66="","",  VLOOKUP($B66, Propostas!$B:$BE, 35, FALSE) )</f>
        <v/>
      </c>
      <c r="F66" s="4" t="str">
        <f>IF($B66="","",  VLOOKUP($B66, Propostas!$B:$BE, 2, FALSE) )</f>
        <v/>
      </c>
      <c r="G66" s="4" t="str">
        <f>IF($B66="","",  VLOOKUP($B66, Propostas!$B:$BE, 3, FALSE) )</f>
        <v/>
      </c>
      <c r="H66" s="4" t="str">
        <f>IF($B66="","",  VLOOKUP($B66, Propostas!$B:$BE, 4, FALSE) )</f>
        <v/>
      </c>
      <c r="I66" s="4" t="str">
        <f>IF($B66="","",  VLOOKUP($B66, Propostas!$B:$BE, 38, FALSE) )</f>
        <v/>
      </c>
      <c r="J66" s="13" t="str">
        <f>IF($B66="","",IF($C66="SIM", "&lt; INFRRAESTRUTURA &gt;", VLOOKUP($B66,Propostas!$B:$BE,41,FALSE)))</f>
        <v/>
      </c>
      <c r="K66" s="10" t="str">
        <f>IF($B66="","",  VLOOKUP($B66, Propostas!$B:$BE, 40, FALSE) )</f>
        <v/>
      </c>
      <c r="L66" s="10" t="str">
        <f>IF($B66="","",IF(VLOOKUP($B66,Propostas!$B:$BE,21,FALSE)=1,"B",IF(VLOOKUP($B66,Propostas!$B:$BE,21,FALSE)=2,"E","N")))</f>
        <v/>
      </c>
      <c r="M66" s="32" t="str">
        <f>IF($B66 = "", "",  VLOOKUP($B66, Propostas!$B:$BE, 46, FALSE) )</f>
        <v/>
      </c>
      <c r="N66" s="32" t="str">
        <f>IF($B66 = "", "",  VLOOKUP($B66, Propostas!$B:$BE, 47, FALSE) )</f>
        <v/>
      </c>
      <c r="O66" s="13" t="str">
        <f>IF($B66="","",IF($C66="SIM", "INFRAESTRUTURA", VLOOKUP($B66, Propostas!$B:$BE,42,FALSE)))</f>
        <v/>
      </c>
      <c r="P66" s="32" t="str">
        <f>IF($B66 = "", "",  VLOOKUP($B66, Propostas!$B:$BE, 49, FALSE) )</f>
        <v/>
      </c>
      <c r="Q66" s="13" t="str">
        <f>IF($B66="","",  VLOOKUP($B66, Propostas!$B:$BE, 39, FALSE) )</f>
        <v/>
      </c>
      <c r="R66" s="81" t="str">
        <f>IF($B66="","",  VLOOKUP($B66, Propostas!$B:$BE, 43, FALSE) )</f>
        <v/>
      </c>
      <c r="S66" s="81" t="str">
        <f>IF($B66="","",  VLOOKUP($B66, Propostas!$B:$BE, 44, FALSE) )</f>
        <v/>
      </c>
      <c r="T66" s="81" t="str">
        <f>IF($B66="","",  VLOOKUP($B66, Propostas!$B:$BE, 45, FALSE) )</f>
        <v/>
      </c>
      <c r="U66" s="32" t="str">
        <f>IF($B66="","",  VLOOKUP($B66, Propostas!$B:$BE, 37, FALSE) )</f>
        <v/>
      </c>
      <c r="V66" s="13" t="str">
        <f>IF($B66="","",  VLOOKUP($B66, Propostas!$B:$BE, 50, FALSE) )</f>
        <v/>
      </c>
      <c r="W66" s="13" t="str">
        <f>IF($B66="","",  VLOOKUP($B66, Propostas!$B:$BE, 51, FALSE) )</f>
        <v/>
      </c>
      <c r="X66" s="13" t="str">
        <f>IF($B66="","",  VLOOKUP($B66, Propostas!$B:$BE, 52, FALSE) )</f>
        <v/>
      </c>
      <c r="Y66" s="13" t="str">
        <f>IF($B66="","",  VLOOKUP($B66, Propostas!$B:$BE, 36, FALSE) )</f>
        <v/>
      </c>
      <c r="Z66" s="13" t="str">
        <f>IF($B66="","",  VLOOKUP($F66, VW_PROJETO!B:C, 2, FALSE) )</f>
        <v/>
      </c>
    </row>
    <row r="67" spans="2:26" x14ac:dyDescent="0.2">
      <c r="B67" s="2"/>
      <c r="C67" s="4" t="str">
        <f>IF($B67="","",  VLOOKUP($B67, Propostas!$B:$BE, 33, FALSE) )</f>
        <v/>
      </c>
      <c r="D67" s="4" t="str">
        <f>IF($B67="","",  VLOOKUP($B67, Propostas!$B:$BE, 34, FALSE) )</f>
        <v/>
      </c>
      <c r="E67" s="4" t="str">
        <f>IF($B67="","",  VLOOKUP($B67, Propostas!$B:$BE, 35, FALSE) )</f>
        <v/>
      </c>
      <c r="F67" s="4" t="str">
        <f>IF($B67="","",  VLOOKUP($B67, Propostas!$B:$BE, 2, FALSE) )</f>
        <v/>
      </c>
      <c r="G67" s="4" t="str">
        <f>IF($B67="","",  VLOOKUP($B67, Propostas!$B:$BE, 3, FALSE) )</f>
        <v/>
      </c>
      <c r="H67" s="4" t="str">
        <f>IF($B67="","",  VLOOKUP($B67, Propostas!$B:$BE, 4, FALSE) )</f>
        <v/>
      </c>
      <c r="I67" s="4" t="str">
        <f>IF($B67="","",  VLOOKUP($B67, Propostas!$B:$BE, 38, FALSE) )</f>
        <v/>
      </c>
      <c r="J67" s="13" t="str">
        <f>IF($B67="","",IF($C67="SIM", "&lt; INFRRAESTRUTURA &gt;", VLOOKUP($B67,Propostas!$B:$BE,41,FALSE)))</f>
        <v/>
      </c>
      <c r="K67" s="10" t="str">
        <f>IF($B67="","",  VLOOKUP($B67, Propostas!$B:$BE, 40, FALSE) )</f>
        <v/>
      </c>
      <c r="L67" s="10" t="str">
        <f>IF($B67="","",IF(VLOOKUP($B67,Propostas!$B:$BE,21,FALSE)=1,"B",IF(VLOOKUP($B67,Propostas!$B:$BE,21,FALSE)=2,"E","N")))</f>
        <v/>
      </c>
      <c r="M67" s="32" t="str">
        <f>IF($B67 = "", "",  VLOOKUP($B67, Propostas!$B:$BE, 46, FALSE) )</f>
        <v/>
      </c>
      <c r="N67" s="32" t="str">
        <f>IF($B67 = "", "",  VLOOKUP($B67, Propostas!$B:$BE, 47, FALSE) )</f>
        <v/>
      </c>
      <c r="O67" s="13" t="str">
        <f>IF($B67="","",IF($C67="SIM", "INFRAESTRUTURA", VLOOKUP($B67, Propostas!$B:$BE,42,FALSE)))</f>
        <v/>
      </c>
      <c r="P67" s="32" t="str">
        <f>IF($B67 = "", "",  VLOOKUP($B67, Propostas!$B:$BE, 49, FALSE) )</f>
        <v/>
      </c>
      <c r="Q67" s="13" t="str">
        <f>IF($B67="","",  VLOOKUP($B67, Propostas!$B:$BE, 39, FALSE) )</f>
        <v/>
      </c>
      <c r="R67" s="81" t="str">
        <f>IF($B67="","",  VLOOKUP($B67, Propostas!$B:$BE, 43, FALSE) )</f>
        <v/>
      </c>
      <c r="S67" s="81" t="str">
        <f>IF($B67="","",  VLOOKUP($B67, Propostas!$B:$BE, 44, FALSE) )</f>
        <v/>
      </c>
      <c r="T67" s="81" t="str">
        <f>IF($B67="","",  VLOOKUP($B67, Propostas!$B:$BE, 45, FALSE) )</f>
        <v/>
      </c>
      <c r="U67" s="32" t="str">
        <f>IF($B67="","",  VLOOKUP($B67, Propostas!$B:$BE, 37, FALSE) )</f>
        <v/>
      </c>
      <c r="V67" s="13" t="str">
        <f>IF($B67="","",  VLOOKUP($B67, Propostas!$B:$BE, 50, FALSE) )</f>
        <v/>
      </c>
      <c r="W67" s="13" t="str">
        <f>IF($B67="","",  VLOOKUP($B67, Propostas!$B:$BE, 51, FALSE) )</f>
        <v/>
      </c>
      <c r="X67" s="13" t="str">
        <f>IF($B67="","",  VLOOKUP($B67, Propostas!$B:$BE, 52, FALSE) )</f>
        <v/>
      </c>
      <c r="Y67" s="13" t="str">
        <f>IF($B67="","",  VLOOKUP($B67, Propostas!$B:$BE, 36, FALSE) )</f>
        <v/>
      </c>
      <c r="Z67" s="13" t="str">
        <f>IF($B67="","",  VLOOKUP($F67, VW_PROJETO!B:C, 2, FALSE) )</f>
        <v/>
      </c>
    </row>
    <row r="68" spans="2:26" x14ac:dyDescent="0.2">
      <c r="B68" s="2"/>
      <c r="C68" s="4" t="str">
        <f>IF($B68="","",  VLOOKUP($B68, Propostas!$B:$BE, 33, FALSE) )</f>
        <v/>
      </c>
      <c r="D68" s="4" t="str">
        <f>IF($B68="","",  VLOOKUP($B68, Propostas!$B:$BE, 34, FALSE) )</f>
        <v/>
      </c>
      <c r="E68" s="4" t="str">
        <f>IF($B68="","",  VLOOKUP($B68, Propostas!$B:$BE, 35, FALSE) )</f>
        <v/>
      </c>
      <c r="F68" s="4" t="str">
        <f>IF($B68="","",  VLOOKUP($B68, Propostas!$B:$BE, 2, FALSE) )</f>
        <v/>
      </c>
      <c r="G68" s="4" t="str">
        <f>IF($B68="","",  VLOOKUP($B68, Propostas!$B:$BE, 3, FALSE) )</f>
        <v/>
      </c>
      <c r="H68" s="4" t="str">
        <f>IF($B68="","",  VLOOKUP($B68, Propostas!$B:$BE, 4, FALSE) )</f>
        <v/>
      </c>
      <c r="I68" s="4" t="str">
        <f>IF($B68="","",  VLOOKUP($B68, Propostas!$B:$BE, 38, FALSE) )</f>
        <v/>
      </c>
      <c r="J68" s="13" t="str">
        <f>IF($B68="","",IF($C68="SIM", "&lt; INFRRAESTRUTURA &gt;", VLOOKUP($B68,Propostas!$B:$BE,41,FALSE)))</f>
        <v/>
      </c>
      <c r="K68" s="10" t="str">
        <f>IF($B68="","",  VLOOKUP($B68, Propostas!$B:$BE, 40, FALSE) )</f>
        <v/>
      </c>
      <c r="L68" s="10" t="str">
        <f>IF($B68="","",IF(VLOOKUP($B68,Propostas!$B:$BE,21,FALSE)=1,"B",IF(VLOOKUP($B68,Propostas!$B:$BE,21,FALSE)=2,"E","N")))</f>
        <v/>
      </c>
      <c r="M68" s="32" t="str">
        <f>IF($B68 = "", "",  VLOOKUP($B68, Propostas!$B:$BE, 46, FALSE) )</f>
        <v/>
      </c>
      <c r="N68" s="32" t="str">
        <f>IF($B68 = "", "",  VLOOKUP($B68, Propostas!$B:$BE, 47, FALSE) )</f>
        <v/>
      </c>
      <c r="O68" s="13" t="str">
        <f>IF($B68="","",IF($C68="SIM", "INFRAESTRUTURA", VLOOKUP($B68, Propostas!$B:$BE,42,FALSE)))</f>
        <v/>
      </c>
      <c r="P68" s="32" t="str">
        <f>IF($B68 = "", "",  VLOOKUP($B68, Propostas!$B:$BE, 49, FALSE) )</f>
        <v/>
      </c>
      <c r="Q68" s="13" t="str">
        <f>IF($B68="","",  VLOOKUP($B68, Propostas!$B:$BE, 39, FALSE) )</f>
        <v/>
      </c>
      <c r="R68" s="81" t="str">
        <f>IF($B68="","",  VLOOKUP($B68, Propostas!$B:$BE, 43, FALSE) )</f>
        <v/>
      </c>
      <c r="S68" s="81" t="str">
        <f>IF($B68="","",  VLOOKUP($B68, Propostas!$B:$BE, 44, FALSE) )</f>
        <v/>
      </c>
      <c r="T68" s="81" t="str">
        <f>IF($B68="","",  VLOOKUP($B68, Propostas!$B:$BE, 45, FALSE) )</f>
        <v/>
      </c>
      <c r="U68" s="32" t="str">
        <f>IF($B68="","",  VLOOKUP($B68, Propostas!$B:$BE, 37, FALSE) )</f>
        <v/>
      </c>
      <c r="V68" s="13" t="str">
        <f>IF($B68="","",  VLOOKUP($B68, Propostas!$B:$BE, 50, FALSE) )</f>
        <v/>
      </c>
      <c r="W68" s="13" t="str">
        <f>IF($B68="","",  VLOOKUP($B68, Propostas!$B:$BE, 51, FALSE) )</f>
        <v/>
      </c>
      <c r="X68" s="13" t="str">
        <f>IF($B68="","",  VLOOKUP($B68, Propostas!$B:$BE, 52, FALSE) )</f>
        <v/>
      </c>
      <c r="Y68" s="13" t="str">
        <f>IF($B68="","",  VLOOKUP($B68, Propostas!$B:$BE, 36, FALSE) )</f>
        <v/>
      </c>
      <c r="Z68" s="13" t="str">
        <f>IF($B68="","",  VLOOKUP($F68, VW_PROJETO!B:C, 2, FALSE) )</f>
        <v/>
      </c>
    </row>
    <row r="69" spans="2:26" x14ac:dyDescent="0.2">
      <c r="B69" s="2"/>
      <c r="C69" s="4" t="str">
        <f>IF($B69="","",  VLOOKUP($B69, Propostas!$B:$BE, 33, FALSE) )</f>
        <v/>
      </c>
      <c r="D69" s="4" t="str">
        <f>IF($B69="","",  VLOOKUP($B69, Propostas!$B:$BE, 34, FALSE) )</f>
        <v/>
      </c>
      <c r="E69" s="4" t="str">
        <f>IF($B69="","",  VLOOKUP($B69, Propostas!$B:$BE, 35, FALSE) )</f>
        <v/>
      </c>
      <c r="F69" s="4" t="str">
        <f>IF($B69="","",  VLOOKUP($B69, Propostas!$B:$BE, 2, FALSE) )</f>
        <v/>
      </c>
      <c r="G69" s="4" t="str">
        <f>IF($B69="","",  VLOOKUP($B69, Propostas!$B:$BE, 3, FALSE) )</f>
        <v/>
      </c>
      <c r="H69" s="4" t="str">
        <f>IF($B69="","",  VLOOKUP($B69, Propostas!$B:$BE, 4, FALSE) )</f>
        <v/>
      </c>
      <c r="I69" s="4" t="str">
        <f>IF($B69="","",  VLOOKUP($B69, Propostas!$B:$BE, 38, FALSE) )</f>
        <v/>
      </c>
      <c r="J69" s="13" t="str">
        <f>IF($B69="","",IF($C69="SIM", "&lt; INFRRAESTRUTURA &gt;", VLOOKUP($B69,Propostas!$B:$BE,41,FALSE)))</f>
        <v/>
      </c>
      <c r="K69" s="10" t="str">
        <f>IF($B69="","",  VLOOKUP($B69, Propostas!$B:$BE, 40, FALSE) )</f>
        <v/>
      </c>
      <c r="L69" s="10" t="str">
        <f>IF($B69="","",IF(VLOOKUP($B69,Propostas!$B:$BE,21,FALSE)=1,"B",IF(VLOOKUP($B69,Propostas!$B:$BE,21,FALSE)=2,"E","N")))</f>
        <v/>
      </c>
      <c r="M69" s="32" t="str">
        <f>IF($B69 = "", "",  VLOOKUP($B69, Propostas!$B:$BE, 46, FALSE) )</f>
        <v/>
      </c>
      <c r="N69" s="32" t="str">
        <f>IF($B69 = "", "",  VLOOKUP($B69, Propostas!$B:$BE, 47, FALSE) )</f>
        <v/>
      </c>
      <c r="O69" s="13" t="str">
        <f>IF($B69="","",IF($C69="SIM", "INFRAESTRUTURA", VLOOKUP($B69, Propostas!$B:$BE,42,FALSE)))</f>
        <v/>
      </c>
      <c r="P69" s="32" t="str">
        <f>IF($B69 = "", "",  VLOOKUP($B69, Propostas!$B:$BE, 49, FALSE) )</f>
        <v/>
      </c>
      <c r="Q69" s="13" t="str">
        <f>IF($B69="","",  VLOOKUP($B69, Propostas!$B:$BE, 39, FALSE) )</f>
        <v/>
      </c>
      <c r="R69" s="81" t="str">
        <f>IF($B69="","",  VLOOKUP($B69, Propostas!$B:$BE, 43, FALSE) )</f>
        <v/>
      </c>
      <c r="S69" s="81" t="str">
        <f>IF($B69="","",  VLOOKUP($B69, Propostas!$B:$BE, 44, FALSE) )</f>
        <v/>
      </c>
      <c r="T69" s="81" t="str">
        <f>IF($B69="","",  VLOOKUP($B69, Propostas!$B:$BE, 45, FALSE) )</f>
        <v/>
      </c>
      <c r="U69" s="32" t="str">
        <f>IF($B69="","",  VLOOKUP($B69, Propostas!$B:$BE, 37, FALSE) )</f>
        <v/>
      </c>
      <c r="V69" s="13" t="str">
        <f>IF($B69="","",  VLOOKUP($B69, Propostas!$B:$BE, 50, FALSE) )</f>
        <v/>
      </c>
      <c r="W69" s="13" t="str">
        <f>IF($B69="","",  VLOOKUP($B69, Propostas!$B:$BE, 51, FALSE) )</f>
        <v/>
      </c>
      <c r="X69" s="13" t="str">
        <f>IF($B69="","",  VLOOKUP($B69, Propostas!$B:$BE, 52, FALSE) )</f>
        <v/>
      </c>
      <c r="Y69" s="13" t="str">
        <f>IF($B69="","",  VLOOKUP($B69, Propostas!$B:$BE, 36, FALSE) )</f>
        <v/>
      </c>
      <c r="Z69" s="13" t="str">
        <f>IF($B69="","",  VLOOKUP($F69, VW_PROJETO!B:C, 2, FALSE) )</f>
        <v/>
      </c>
    </row>
    <row r="70" spans="2:26" x14ac:dyDescent="0.2">
      <c r="B70" s="2"/>
      <c r="C70" s="4" t="str">
        <f>IF($B70="","",  VLOOKUP($B70, Propostas!$B:$BE, 33, FALSE) )</f>
        <v/>
      </c>
      <c r="D70" s="4" t="str">
        <f>IF($B70="","",  VLOOKUP($B70, Propostas!$B:$BE, 34, FALSE) )</f>
        <v/>
      </c>
      <c r="E70" s="4" t="str">
        <f>IF($B70="","",  VLOOKUP($B70, Propostas!$B:$BE, 35, FALSE) )</f>
        <v/>
      </c>
      <c r="F70" s="4" t="str">
        <f>IF($B70="","",  VLOOKUP($B70, Propostas!$B:$BE, 2, FALSE) )</f>
        <v/>
      </c>
      <c r="G70" s="4" t="str">
        <f>IF($B70="","",  VLOOKUP($B70, Propostas!$B:$BE, 3, FALSE) )</f>
        <v/>
      </c>
      <c r="H70" s="4" t="str">
        <f>IF($B70="","",  VLOOKUP($B70, Propostas!$B:$BE, 4, FALSE) )</f>
        <v/>
      </c>
      <c r="I70" s="4" t="str">
        <f>IF($B70="","",  VLOOKUP($B70, Propostas!$B:$BE, 38, FALSE) )</f>
        <v/>
      </c>
      <c r="J70" s="13" t="str">
        <f>IF($B70="","",IF($C70="SIM", "&lt; INFRRAESTRUTURA &gt;", VLOOKUP($B70,Propostas!$B:$BE,41,FALSE)))</f>
        <v/>
      </c>
      <c r="K70" s="10" t="str">
        <f>IF($B70="","",  VLOOKUP($B70, Propostas!$B:$BE, 40, FALSE) )</f>
        <v/>
      </c>
      <c r="L70" s="10" t="str">
        <f>IF($B70="","",IF(VLOOKUP($B70,Propostas!$B:$BE,21,FALSE)=1,"B",IF(VLOOKUP($B70,Propostas!$B:$BE,21,FALSE)=2,"E","N")))</f>
        <v/>
      </c>
      <c r="M70" s="32" t="str">
        <f>IF($B70 = "", "",  VLOOKUP($B70, Propostas!$B:$BE, 46, FALSE) )</f>
        <v/>
      </c>
      <c r="N70" s="32" t="str">
        <f>IF($B70 = "", "",  VLOOKUP($B70, Propostas!$B:$BE, 47, FALSE) )</f>
        <v/>
      </c>
      <c r="O70" s="13" t="str">
        <f>IF($B70="","",IF($C70="SIM", "INFRAESTRUTURA", VLOOKUP($B70, Propostas!$B:$BE,42,FALSE)))</f>
        <v/>
      </c>
      <c r="P70" s="32" t="str">
        <f>IF($B70 = "", "",  VLOOKUP($B70, Propostas!$B:$BE, 49, FALSE) )</f>
        <v/>
      </c>
      <c r="Q70" s="13" t="str">
        <f>IF($B70="","",  VLOOKUP($B70, Propostas!$B:$BE, 39, FALSE) )</f>
        <v/>
      </c>
      <c r="R70" s="81" t="str">
        <f>IF($B70="","",  VLOOKUP($B70, Propostas!$B:$BE, 43, FALSE) )</f>
        <v/>
      </c>
      <c r="S70" s="81" t="str">
        <f>IF($B70="","",  VLOOKUP($B70, Propostas!$B:$BE, 44, FALSE) )</f>
        <v/>
      </c>
      <c r="T70" s="81" t="str">
        <f>IF($B70="","",  VLOOKUP($B70, Propostas!$B:$BE, 45, FALSE) )</f>
        <v/>
      </c>
      <c r="U70" s="32" t="str">
        <f>IF($B70="","",  VLOOKUP($B70, Propostas!$B:$BE, 37, FALSE) )</f>
        <v/>
      </c>
      <c r="V70" s="13" t="str">
        <f>IF($B70="","",  VLOOKUP($B70, Propostas!$B:$BE, 50, FALSE) )</f>
        <v/>
      </c>
      <c r="W70" s="13" t="str">
        <f>IF($B70="","",  VLOOKUP($B70, Propostas!$B:$BE, 51, FALSE) )</f>
        <v/>
      </c>
      <c r="X70" s="13" t="str">
        <f>IF($B70="","",  VLOOKUP($B70, Propostas!$B:$BE, 52, FALSE) )</f>
        <v/>
      </c>
      <c r="Y70" s="13" t="str">
        <f>IF($B70="","",  VLOOKUP($B70, Propostas!$B:$BE, 36, FALSE) )</f>
        <v/>
      </c>
      <c r="Z70" s="13" t="str">
        <f>IF($B70="","",  VLOOKUP($F70, VW_PROJETO!B:C, 2, FALSE) )</f>
        <v/>
      </c>
    </row>
    <row r="71" spans="2:26" x14ac:dyDescent="0.2">
      <c r="B71" s="2"/>
      <c r="C71" s="4" t="str">
        <f>IF($B71="","",  VLOOKUP($B71, Propostas!$B:$BE, 33, FALSE) )</f>
        <v/>
      </c>
      <c r="D71" s="4" t="str">
        <f>IF($B71="","",  VLOOKUP($B71, Propostas!$B:$BE, 34, FALSE) )</f>
        <v/>
      </c>
      <c r="E71" s="4" t="str">
        <f>IF($B71="","",  VLOOKUP($B71, Propostas!$B:$BE, 35, FALSE) )</f>
        <v/>
      </c>
      <c r="F71" s="4" t="str">
        <f>IF($B71="","",  VLOOKUP($B71, Propostas!$B:$BE, 2, FALSE) )</f>
        <v/>
      </c>
      <c r="G71" s="4" t="str">
        <f>IF($B71="","",  VLOOKUP($B71, Propostas!$B:$BE, 3, FALSE) )</f>
        <v/>
      </c>
      <c r="H71" s="4" t="str">
        <f>IF($B71="","",  VLOOKUP($B71, Propostas!$B:$BE, 4, FALSE) )</f>
        <v/>
      </c>
      <c r="I71" s="4" t="str">
        <f>IF($B71="","",  VLOOKUP($B71, Propostas!$B:$BE, 38, FALSE) )</f>
        <v/>
      </c>
      <c r="J71" s="13" t="str">
        <f>IF($B71="","",IF($C71="SIM", "&lt; INFRRAESTRUTURA &gt;", VLOOKUP($B71,Propostas!$B:$BE,41,FALSE)))</f>
        <v/>
      </c>
      <c r="K71" s="10" t="str">
        <f>IF($B71="","",  VLOOKUP($B71, Propostas!$B:$BE, 40, FALSE) )</f>
        <v/>
      </c>
      <c r="L71" s="10" t="str">
        <f>IF($B71="","",IF(VLOOKUP($B71,Propostas!$B:$BE,21,FALSE)=1,"B",IF(VLOOKUP($B71,Propostas!$B:$BE,21,FALSE)=2,"E","N")))</f>
        <v/>
      </c>
      <c r="M71" s="32" t="str">
        <f>IF($B71 = "", "",  VLOOKUP($B71, Propostas!$B:$BE, 46, FALSE) )</f>
        <v/>
      </c>
      <c r="N71" s="32" t="str">
        <f>IF($B71 = "", "",  VLOOKUP($B71, Propostas!$B:$BE, 47, FALSE) )</f>
        <v/>
      </c>
      <c r="O71" s="13" t="str">
        <f>IF($B71="","",IF($C71="SIM", "INFRAESTRUTURA", VLOOKUP($B71, Propostas!$B:$BE,42,FALSE)))</f>
        <v/>
      </c>
      <c r="P71" s="32" t="str">
        <f>IF($B71 = "", "",  VLOOKUP($B71, Propostas!$B:$BE, 49, FALSE) )</f>
        <v/>
      </c>
      <c r="Q71" s="13" t="str">
        <f>IF($B71="","",  VLOOKUP($B71, Propostas!$B:$BE, 39, FALSE) )</f>
        <v/>
      </c>
      <c r="R71" s="81" t="str">
        <f>IF($B71="","",  VLOOKUP($B71, Propostas!$B:$BE, 43, FALSE) )</f>
        <v/>
      </c>
      <c r="S71" s="81" t="str">
        <f>IF($B71="","",  VLOOKUP($B71, Propostas!$B:$BE, 44, FALSE) )</f>
        <v/>
      </c>
      <c r="T71" s="81" t="str">
        <f>IF($B71="","",  VLOOKUP($B71, Propostas!$B:$BE, 45, FALSE) )</f>
        <v/>
      </c>
      <c r="U71" s="32" t="str">
        <f>IF($B71="","",  VLOOKUP($B71, Propostas!$B:$BE, 37, FALSE) )</f>
        <v/>
      </c>
      <c r="V71" s="13" t="str">
        <f>IF($B71="","",  VLOOKUP($B71, Propostas!$B:$BE, 50, FALSE) )</f>
        <v/>
      </c>
      <c r="W71" s="13" t="str">
        <f>IF($B71="","",  VLOOKUP($B71, Propostas!$B:$BE, 51, FALSE) )</f>
        <v/>
      </c>
      <c r="X71" s="13" t="str">
        <f>IF($B71="","",  VLOOKUP($B71, Propostas!$B:$BE, 52, FALSE) )</f>
        <v/>
      </c>
      <c r="Y71" s="13" t="str">
        <f>IF($B71="","",  VLOOKUP($B71, Propostas!$B:$BE, 36, FALSE) )</f>
        <v/>
      </c>
      <c r="Z71" s="13" t="str">
        <f>IF($B71="","",  VLOOKUP($F71, VW_PROJETO!B:C, 2, FALSE) )</f>
        <v/>
      </c>
    </row>
    <row r="72" spans="2:26" x14ac:dyDescent="0.2">
      <c r="B72" s="2"/>
      <c r="C72" s="4" t="str">
        <f>IF($B72="","",  VLOOKUP($B72, Propostas!$B:$BE, 33, FALSE) )</f>
        <v/>
      </c>
      <c r="D72" s="4" t="str">
        <f>IF($B72="","",  VLOOKUP($B72, Propostas!$B:$BE, 34, FALSE) )</f>
        <v/>
      </c>
      <c r="E72" s="4" t="str">
        <f>IF($B72="","",  VLOOKUP($B72, Propostas!$B:$BE, 35, FALSE) )</f>
        <v/>
      </c>
      <c r="F72" s="4" t="str">
        <f>IF($B72="","",  VLOOKUP($B72, Propostas!$B:$BE, 2, FALSE) )</f>
        <v/>
      </c>
      <c r="G72" s="4" t="str">
        <f>IF($B72="","",  VLOOKUP($B72, Propostas!$B:$BE, 3, FALSE) )</f>
        <v/>
      </c>
      <c r="H72" s="4" t="str">
        <f>IF($B72="","",  VLOOKUP($B72, Propostas!$B:$BE, 4, FALSE) )</f>
        <v/>
      </c>
      <c r="I72" s="4" t="str">
        <f>IF($B72="","",  VLOOKUP($B72, Propostas!$B:$BE, 38, FALSE) )</f>
        <v/>
      </c>
      <c r="J72" s="13" t="str">
        <f>IF($B72="","",IF($C72="SIM", "&lt; INFRRAESTRUTURA &gt;", VLOOKUP($B72,Propostas!$B:$BE,41,FALSE)))</f>
        <v/>
      </c>
      <c r="K72" s="10" t="str">
        <f>IF($B72="","",  VLOOKUP($B72, Propostas!$B:$BE, 40, FALSE) )</f>
        <v/>
      </c>
      <c r="L72" s="10" t="str">
        <f>IF($B72="","",IF(VLOOKUP($B72,Propostas!$B:$BE,21,FALSE)=1,"B",IF(VLOOKUP($B72,Propostas!$B:$BE,21,FALSE)=2,"E","N")))</f>
        <v/>
      </c>
      <c r="M72" s="32" t="str">
        <f>IF($B72 = "", "",  VLOOKUP($B72, Propostas!$B:$BE, 46, FALSE) )</f>
        <v/>
      </c>
      <c r="N72" s="32" t="str">
        <f>IF($B72 = "", "",  VLOOKUP($B72, Propostas!$B:$BE, 47, FALSE) )</f>
        <v/>
      </c>
      <c r="O72" s="13" t="str">
        <f>IF($B72="","",IF($C72="SIM", "INFRAESTRUTURA", VLOOKUP($B72, Propostas!$B:$BE,42,FALSE)))</f>
        <v/>
      </c>
      <c r="P72" s="32" t="str">
        <f>IF($B72 = "", "",  VLOOKUP($B72, Propostas!$B:$BE, 49, FALSE) )</f>
        <v/>
      </c>
      <c r="Q72" s="13" t="str">
        <f>IF($B72="","",  VLOOKUP($B72, Propostas!$B:$BE, 39, FALSE) )</f>
        <v/>
      </c>
      <c r="R72" s="81" t="str">
        <f>IF($B72="","",  VLOOKUP($B72, Propostas!$B:$BE, 43, FALSE) )</f>
        <v/>
      </c>
      <c r="S72" s="81" t="str">
        <f>IF($B72="","",  VLOOKUP($B72, Propostas!$B:$BE, 44, FALSE) )</f>
        <v/>
      </c>
      <c r="T72" s="81" t="str">
        <f>IF($B72="","",  VLOOKUP($B72, Propostas!$B:$BE, 45, FALSE) )</f>
        <v/>
      </c>
      <c r="U72" s="32" t="str">
        <f>IF($B72="","",  VLOOKUP($B72, Propostas!$B:$BE, 37, FALSE) )</f>
        <v/>
      </c>
      <c r="V72" s="13" t="str">
        <f>IF($B72="","",  VLOOKUP($B72, Propostas!$B:$BE, 50, FALSE) )</f>
        <v/>
      </c>
      <c r="W72" s="13" t="str">
        <f>IF($B72="","",  VLOOKUP($B72, Propostas!$B:$BE, 51, FALSE) )</f>
        <v/>
      </c>
      <c r="X72" s="13" t="str">
        <f>IF($B72="","",  VLOOKUP($B72, Propostas!$B:$BE, 52, FALSE) )</f>
        <v/>
      </c>
      <c r="Y72" s="13" t="str">
        <f>IF($B72="","",  VLOOKUP($B72, Propostas!$B:$BE, 36, FALSE) )</f>
        <v/>
      </c>
      <c r="Z72" s="13" t="str">
        <f>IF($B72="","",  VLOOKUP($F72, VW_PROJETO!B:C, 2, FALSE) )</f>
        <v/>
      </c>
    </row>
    <row r="73" spans="2:26" x14ac:dyDescent="0.2">
      <c r="B73" s="2"/>
      <c r="C73" s="4" t="str">
        <f>IF($B73="","",  VLOOKUP($B73, Propostas!$B:$BE, 33, FALSE) )</f>
        <v/>
      </c>
      <c r="D73" s="4" t="str">
        <f>IF($B73="","",  VLOOKUP($B73, Propostas!$B:$BE, 34, FALSE) )</f>
        <v/>
      </c>
      <c r="E73" s="4" t="str">
        <f>IF($B73="","",  VLOOKUP($B73, Propostas!$B:$BE, 35, FALSE) )</f>
        <v/>
      </c>
      <c r="F73" s="4" t="str">
        <f>IF($B73="","",  VLOOKUP($B73, Propostas!$B:$BE, 2, FALSE) )</f>
        <v/>
      </c>
      <c r="G73" s="4" t="str">
        <f>IF($B73="","",  VLOOKUP($B73, Propostas!$B:$BE, 3, FALSE) )</f>
        <v/>
      </c>
      <c r="H73" s="4" t="str">
        <f>IF($B73="","",  VLOOKUP($B73, Propostas!$B:$BE, 4, FALSE) )</f>
        <v/>
      </c>
      <c r="I73" s="4" t="str">
        <f>IF($B73="","",  VLOOKUP($B73, Propostas!$B:$BE, 38, FALSE) )</f>
        <v/>
      </c>
      <c r="J73" s="13" t="str">
        <f>IF($B73="","",IF($C73="SIM", "&lt; INFRRAESTRUTURA &gt;", VLOOKUP($B73,Propostas!$B:$BE,41,FALSE)))</f>
        <v/>
      </c>
      <c r="K73" s="10" t="str">
        <f>IF($B73="","",  VLOOKUP($B73, Propostas!$B:$BE, 40, FALSE) )</f>
        <v/>
      </c>
      <c r="L73" s="10" t="str">
        <f>IF($B73="","",IF(VLOOKUP($B73,Propostas!$B:$BE,21,FALSE)=1,"B",IF(VLOOKUP($B73,Propostas!$B:$BE,21,FALSE)=2,"E","N")))</f>
        <v/>
      </c>
      <c r="M73" s="32" t="str">
        <f>IF($B73 = "", "",  VLOOKUP($B73, Propostas!$B:$BE, 46, FALSE) )</f>
        <v/>
      </c>
      <c r="N73" s="32" t="str">
        <f>IF($B73 = "", "",  VLOOKUP($B73, Propostas!$B:$BE, 47, FALSE) )</f>
        <v/>
      </c>
      <c r="O73" s="13" t="str">
        <f>IF($B73="","",IF($C73="SIM", "INFRAESTRUTURA", VLOOKUP($B73, Propostas!$B:$BE,42,FALSE)))</f>
        <v/>
      </c>
      <c r="P73" s="32" t="str">
        <f>IF($B73 = "", "",  VLOOKUP($B73, Propostas!$B:$BE, 49, FALSE) )</f>
        <v/>
      </c>
      <c r="Q73" s="13" t="str">
        <f>IF($B73="","",  VLOOKUP($B73, Propostas!$B:$BE, 39, FALSE) )</f>
        <v/>
      </c>
      <c r="R73" s="81" t="str">
        <f>IF($B73="","",  VLOOKUP($B73, Propostas!$B:$BE, 43, FALSE) )</f>
        <v/>
      </c>
      <c r="S73" s="81" t="str">
        <f>IF($B73="","",  VLOOKUP($B73, Propostas!$B:$BE, 44, FALSE) )</f>
        <v/>
      </c>
      <c r="T73" s="81" t="str">
        <f>IF($B73="","",  VLOOKUP($B73, Propostas!$B:$BE, 45, FALSE) )</f>
        <v/>
      </c>
      <c r="U73" s="32" t="str">
        <f>IF($B73="","",  VLOOKUP($B73, Propostas!$B:$BE, 37, FALSE) )</f>
        <v/>
      </c>
      <c r="V73" s="13" t="str">
        <f>IF($B73="","",  VLOOKUP($B73, Propostas!$B:$BE, 50, FALSE) )</f>
        <v/>
      </c>
      <c r="W73" s="13" t="str">
        <f>IF($B73="","",  VLOOKUP($B73, Propostas!$B:$BE, 51, FALSE) )</f>
        <v/>
      </c>
      <c r="X73" s="13" t="str">
        <f>IF($B73="","",  VLOOKUP($B73, Propostas!$B:$BE, 52, FALSE) )</f>
        <v/>
      </c>
      <c r="Y73" s="13" t="str">
        <f>IF($B73="","",  VLOOKUP($B73, Propostas!$B:$BE, 36, FALSE) )</f>
        <v/>
      </c>
      <c r="Z73" s="13" t="str">
        <f>IF($B73="","",  VLOOKUP($F73, VW_PROJETO!B:C, 2, FALSE) )</f>
        <v/>
      </c>
    </row>
    <row r="74" spans="2:26" x14ac:dyDescent="0.2">
      <c r="B74" s="2"/>
      <c r="C74" s="4" t="str">
        <f>IF($B74="","",  VLOOKUP($B74, Propostas!$B:$BE, 33, FALSE) )</f>
        <v/>
      </c>
      <c r="D74" s="4" t="str">
        <f>IF($B74="","",  VLOOKUP($B74, Propostas!$B:$BE, 34, FALSE) )</f>
        <v/>
      </c>
      <c r="E74" s="4" t="str">
        <f>IF($B74="","",  VLOOKUP($B74, Propostas!$B:$BE, 35, FALSE) )</f>
        <v/>
      </c>
      <c r="F74" s="4" t="str">
        <f>IF($B74="","",  VLOOKUP($B74, Propostas!$B:$BE, 2, FALSE) )</f>
        <v/>
      </c>
      <c r="G74" s="4" t="str">
        <f>IF($B74="","",  VLOOKUP($B74, Propostas!$B:$BE, 3, FALSE) )</f>
        <v/>
      </c>
      <c r="H74" s="4" t="str">
        <f>IF($B74="","",  VLOOKUP($B74, Propostas!$B:$BE, 4, FALSE) )</f>
        <v/>
      </c>
      <c r="I74" s="4" t="str">
        <f>IF($B74="","",  VLOOKUP($B74, Propostas!$B:$BE, 38, FALSE) )</f>
        <v/>
      </c>
      <c r="J74" s="13" t="str">
        <f>IF($B74="","",IF($C74="SIM", "&lt; INFRRAESTRUTURA &gt;", VLOOKUP($B74,Propostas!$B:$BE,41,FALSE)))</f>
        <v/>
      </c>
      <c r="K74" s="10" t="str">
        <f>IF($B74="","",  VLOOKUP($B74, Propostas!$B:$BE, 40, FALSE) )</f>
        <v/>
      </c>
      <c r="L74" s="10" t="str">
        <f>IF($B74="","",IF(VLOOKUP($B74,Propostas!$B:$BE,21,FALSE)=1,"B",IF(VLOOKUP($B74,Propostas!$B:$BE,21,FALSE)=2,"E","N")))</f>
        <v/>
      </c>
      <c r="M74" s="32" t="str">
        <f>IF($B74 = "", "",  VLOOKUP($B74, Propostas!$B:$BE, 46, FALSE) )</f>
        <v/>
      </c>
      <c r="N74" s="32" t="str">
        <f>IF($B74 = "", "",  VLOOKUP($B74, Propostas!$B:$BE, 47, FALSE) )</f>
        <v/>
      </c>
      <c r="O74" s="13" t="str">
        <f>IF($B74="","",IF($C74="SIM", "INFRAESTRUTURA", VLOOKUP($B74, Propostas!$B:$BE,42,FALSE)))</f>
        <v/>
      </c>
      <c r="P74" s="32" t="str">
        <f>IF($B74 = "", "",  VLOOKUP($B74, Propostas!$B:$BE, 49, FALSE) )</f>
        <v/>
      </c>
      <c r="Q74" s="13" t="str">
        <f>IF($B74="","",  VLOOKUP($B74, Propostas!$B:$BE, 39, FALSE) )</f>
        <v/>
      </c>
      <c r="R74" s="81" t="str">
        <f>IF($B74="","",  VLOOKUP($B74, Propostas!$B:$BE, 43, FALSE) )</f>
        <v/>
      </c>
      <c r="S74" s="81" t="str">
        <f>IF($B74="","",  VLOOKUP($B74, Propostas!$B:$BE, 44, FALSE) )</f>
        <v/>
      </c>
      <c r="T74" s="81" t="str">
        <f>IF($B74="","",  VLOOKUP($B74, Propostas!$B:$BE, 45, FALSE) )</f>
        <v/>
      </c>
      <c r="U74" s="32" t="str">
        <f>IF($B74="","",  VLOOKUP($B74, Propostas!$B:$BE, 37, FALSE) )</f>
        <v/>
      </c>
      <c r="V74" s="13" t="str">
        <f>IF($B74="","",  VLOOKUP($B74, Propostas!$B:$BE, 50, FALSE) )</f>
        <v/>
      </c>
      <c r="W74" s="13" t="str">
        <f>IF($B74="","",  VLOOKUP($B74, Propostas!$B:$BE, 51, FALSE) )</f>
        <v/>
      </c>
      <c r="X74" s="13" t="str">
        <f>IF($B74="","",  VLOOKUP($B74, Propostas!$B:$BE, 52, FALSE) )</f>
        <v/>
      </c>
      <c r="Y74" s="13" t="str">
        <f>IF($B74="","",  VLOOKUP($B74, Propostas!$B:$BE, 36, FALSE) )</f>
        <v/>
      </c>
      <c r="Z74" s="13" t="str">
        <f>IF($B74="","",  VLOOKUP($F74, VW_PROJETO!B:C, 2, FALSE) )</f>
        <v/>
      </c>
    </row>
    <row r="75" spans="2:26" x14ac:dyDescent="0.2">
      <c r="B75" s="2"/>
      <c r="C75" s="4" t="str">
        <f>IF($B75="","",  VLOOKUP($B75, Propostas!$B:$BE, 33, FALSE) )</f>
        <v/>
      </c>
      <c r="D75" s="4" t="str">
        <f>IF($B75="","",  VLOOKUP($B75, Propostas!$B:$BE, 34, FALSE) )</f>
        <v/>
      </c>
      <c r="E75" s="4" t="str">
        <f>IF($B75="","",  VLOOKUP($B75, Propostas!$B:$BE, 35, FALSE) )</f>
        <v/>
      </c>
      <c r="F75" s="4" t="str">
        <f>IF($B75="","",  VLOOKUP($B75, Propostas!$B:$BE, 2, FALSE) )</f>
        <v/>
      </c>
      <c r="G75" s="4" t="str">
        <f>IF($B75="","",  VLOOKUP($B75, Propostas!$B:$BE, 3, FALSE) )</f>
        <v/>
      </c>
      <c r="H75" s="4" t="str">
        <f>IF($B75="","",  VLOOKUP($B75, Propostas!$B:$BE, 4, FALSE) )</f>
        <v/>
      </c>
      <c r="I75" s="4" t="str">
        <f>IF($B75="","",  VLOOKUP($B75, Propostas!$B:$BE, 38, FALSE) )</f>
        <v/>
      </c>
      <c r="J75" s="13" t="str">
        <f>IF($B75="","",IF($C75="SIM", "&lt; INFRRAESTRUTURA &gt;", VLOOKUP($B75,Propostas!$B:$BE,41,FALSE)))</f>
        <v/>
      </c>
      <c r="K75" s="10" t="str">
        <f>IF($B75="","",  VLOOKUP($B75, Propostas!$B:$BE, 40, FALSE) )</f>
        <v/>
      </c>
      <c r="L75" s="10" t="str">
        <f>IF($B75="","",IF(VLOOKUP($B75,Propostas!$B:$BE,21,FALSE)=1,"B",IF(VLOOKUP($B75,Propostas!$B:$BE,21,FALSE)=2,"E","N")))</f>
        <v/>
      </c>
      <c r="M75" s="32" t="str">
        <f>IF($B75 = "", "",  VLOOKUP($B75, Propostas!$B:$BE, 46, FALSE) )</f>
        <v/>
      </c>
      <c r="N75" s="32" t="str">
        <f>IF($B75 = "", "",  VLOOKUP($B75, Propostas!$B:$BE, 47, FALSE) )</f>
        <v/>
      </c>
      <c r="O75" s="13" t="str">
        <f>IF($B75="","",IF($C75="SIM", "INFRAESTRUTURA", VLOOKUP($B75, Propostas!$B:$BE,42,FALSE)))</f>
        <v/>
      </c>
      <c r="P75" s="32" t="str">
        <f>IF($B75 = "", "",  VLOOKUP($B75, Propostas!$B:$BE, 49, FALSE) )</f>
        <v/>
      </c>
      <c r="Q75" s="13" t="str">
        <f>IF($B75="","",  VLOOKUP($B75, Propostas!$B:$BE, 39, FALSE) )</f>
        <v/>
      </c>
      <c r="R75" s="81" t="str">
        <f>IF($B75="","",  VLOOKUP($B75, Propostas!$B:$BE, 43, FALSE) )</f>
        <v/>
      </c>
      <c r="S75" s="81" t="str">
        <f>IF($B75="","",  VLOOKUP($B75, Propostas!$B:$BE, 44, FALSE) )</f>
        <v/>
      </c>
      <c r="T75" s="81" t="str">
        <f>IF($B75="","",  VLOOKUP($B75, Propostas!$B:$BE, 45, FALSE) )</f>
        <v/>
      </c>
      <c r="U75" s="32" t="str">
        <f>IF($B75="","",  VLOOKUP($B75, Propostas!$B:$BE, 37, FALSE) )</f>
        <v/>
      </c>
      <c r="V75" s="13" t="str">
        <f>IF($B75="","",  VLOOKUP($B75, Propostas!$B:$BE, 50, FALSE) )</f>
        <v/>
      </c>
      <c r="W75" s="13" t="str">
        <f>IF($B75="","",  VLOOKUP($B75, Propostas!$B:$BE, 51, FALSE) )</f>
        <v/>
      </c>
      <c r="X75" s="13" t="str">
        <f>IF($B75="","",  VLOOKUP($B75, Propostas!$B:$BE, 52, FALSE) )</f>
        <v/>
      </c>
      <c r="Y75" s="13" t="str">
        <f>IF($B75="","",  VLOOKUP($B75, Propostas!$B:$BE, 36, FALSE) )</f>
        <v/>
      </c>
      <c r="Z75" s="13" t="str">
        <f>IF($B75="","",  VLOOKUP($F75, VW_PROJETO!B:C, 2, FALSE) )</f>
        <v/>
      </c>
    </row>
    <row r="76" spans="2:26" x14ac:dyDescent="0.2">
      <c r="B76" s="2"/>
      <c r="C76" s="4" t="str">
        <f>IF($B76="","",  VLOOKUP($B76, Propostas!$B:$BE, 33, FALSE) )</f>
        <v/>
      </c>
      <c r="D76" s="4" t="str">
        <f>IF($B76="","",  VLOOKUP($B76, Propostas!$B:$BE, 34, FALSE) )</f>
        <v/>
      </c>
      <c r="E76" s="4" t="str">
        <f>IF($B76="","",  VLOOKUP($B76, Propostas!$B:$BE, 35, FALSE) )</f>
        <v/>
      </c>
      <c r="F76" s="4" t="str">
        <f>IF($B76="","",  VLOOKUP($B76, Propostas!$B:$BE, 2, FALSE) )</f>
        <v/>
      </c>
      <c r="G76" s="4" t="str">
        <f>IF($B76="","",  VLOOKUP($B76, Propostas!$B:$BE, 3, FALSE) )</f>
        <v/>
      </c>
      <c r="H76" s="4" t="str">
        <f>IF($B76="","",  VLOOKUP($B76, Propostas!$B:$BE, 4, FALSE) )</f>
        <v/>
      </c>
      <c r="I76" s="4" t="str">
        <f>IF($B76="","",  VLOOKUP($B76, Propostas!$B:$BE, 38, FALSE) )</f>
        <v/>
      </c>
      <c r="J76" s="13" t="str">
        <f>IF($B76="","",IF($C76="SIM", "&lt; INFRRAESTRUTURA &gt;", VLOOKUP($B76,Propostas!$B:$BE,41,FALSE)))</f>
        <v/>
      </c>
      <c r="K76" s="10" t="str">
        <f>IF($B76="","",  VLOOKUP($B76, Propostas!$B:$BE, 40, FALSE) )</f>
        <v/>
      </c>
      <c r="L76" s="10" t="str">
        <f>IF($B76="","",IF(VLOOKUP($B76,Propostas!$B:$BE,21,FALSE)=1,"B",IF(VLOOKUP($B76,Propostas!$B:$BE,21,FALSE)=2,"E","N")))</f>
        <v/>
      </c>
      <c r="M76" s="32" t="str">
        <f>IF($B76 = "", "",  VLOOKUP($B76, Propostas!$B:$BE, 46, FALSE) )</f>
        <v/>
      </c>
      <c r="N76" s="32" t="str">
        <f>IF($B76 = "", "",  VLOOKUP($B76, Propostas!$B:$BE, 47, FALSE) )</f>
        <v/>
      </c>
      <c r="O76" s="13" t="str">
        <f>IF($B76="","",IF($C76="SIM", "INFRAESTRUTURA", VLOOKUP($B76, Propostas!$B:$BE,42,FALSE)))</f>
        <v/>
      </c>
      <c r="P76" s="32" t="str">
        <f>IF($B76 = "", "",  VLOOKUP($B76, Propostas!$B:$BE, 49, FALSE) )</f>
        <v/>
      </c>
      <c r="Q76" s="13" t="str">
        <f>IF($B76="","",  VLOOKUP($B76, Propostas!$B:$BE, 39, FALSE) )</f>
        <v/>
      </c>
      <c r="R76" s="81" t="str">
        <f>IF($B76="","",  VLOOKUP($B76, Propostas!$B:$BE, 43, FALSE) )</f>
        <v/>
      </c>
      <c r="S76" s="81" t="str">
        <f>IF($B76="","",  VLOOKUP($B76, Propostas!$B:$BE, 44, FALSE) )</f>
        <v/>
      </c>
      <c r="T76" s="81" t="str">
        <f>IF($B76="","",  VLOOKUP($B76, Propostas!$B:$BE, 45, FALSE) )</f>
        <v/>
      </c>
      <c r="U76" s="32" t="str">
        <f>IF($B76="","",  VLOOKUP($B76, Propostas!$B:$BE, 37, FALSE) )</f>
        <v/>
      </c>
      <c r="V76" s="13" t="str">
        <f>IF($B76="","",  VLOOKUP($B76, Propostas!$B:$BE, 50, FALSE) )</f>
        <v/>
      </c>
      <c r="W76" s="13" t="str">
        <f>IF($B76="","",  VLOOKUP($B76, Propostas!$B:$BE, 51, FALSE) )</f>
        <v/>
      </c>
      <c r="X76" s="13" t="str">
        <f>IF($B76="","",  VLOOKUP($B76, Propostas!$B:$BE, 52, FALSE) )</f>
        <v/>
      </c>
      <c r="Y76" s="13" t="str">
        <f>IF($B76="","",  VLOOKUP($B76, Propostas!$B:$BE, 36, FALSE) )</f>
        <v/>
      </c>
      <c r="Z76" s="13" t="str">
        <f>IF($B76="","",  VLOOKUP($F76, VW_PROJETO!B:C, 2, FALSE) )</f>
        <v/>
      </c>
    </row>
    <row r="77" spans="2:26" x14ac:dyDescent="0.2">
      <c r="B77" s="2"/>
      <c r="C77" s="4" t="str">
        <f>IF($B77="","",  VLOOKUP($B77, Propostas!$B:$BE, 33, FALSE) )</f>
        <v/>
      </c>
      <c r="D77" s="4" t="str">
        <f>IF($B77="","",  VLOOKUP($B77, Propostas!$B:$BE, 34, FALSE) )</f>
        <v/>
      </c>
      <c r="E77" s="4" t="str">
        <f>IF($B77="","",  VLOOKUP($B77, Propostas!$B:$BE, 35, FALSE) )</f>
        <v/>
      </c>
      <c r="F77" s="4" t="str">
        <f>IF($B77="","",  VLOOKUP($B77, Propostas!$B:$BE, 2, FALSE) )</f>
        <v/>
      </c>
      <c r="G77" s="4" t="str">
        <f>IF($B77="","",  VLOOKUP($B77, Propostas!$B:$BE, 3, FALSE) )</f>
        <v/>
      </c>
      <c r="H77" s="4" t="str">
        <f>IF($B77="","",  VLOOKUP($B77, Propostas!$B:$BE, 4, FALSE) )</f>
        <v/>
      </c>
      <c r="I77" s="4" t="str">
        <f>IF($B77="","",  VLOOKUP($B77, Propostas!$B:$BE, 38, FALSE) )</f>
        <v/>
      </c>
      <c r="J77" s="13" t="str">
        <f>IF($B77="","",IF($C77="SIM", "&lt; INFRRAESTRUTURA &gt;", VLOOKUP($B77,Propostas!$B:$BE,41,FALSE)))</f>
        <v/>
      </c>
      <c r="K77" s="10" t="str">
        <f>IF($B77="","",  VLOOKUP($B77, Propostas!$B:$BE, 40, FALSE) )</f>
        <v/>
      </c>
      <c r="L77" s="10" t="str">
        <f>IF($B77="","",IF(VLOOKUP($B77,Propostas!$B:$BE,21,FALSE)=1,"B",IF(VLOOKUP($B77,Propostas!$B:$BE,21,FALSE)=2,"E","N")))</f>
        <v/>
      </c>
      <c r="M77" s="32" t="str">
        <f>IF($B77 = "", "",  VLOOKUP($B77, Propostas!$B:$BE, 46, FALSE) )</f>
        <v/>
      </c>
      <c r="N77" s="32" t="str">
        <f>IF($B77 = "", "",  VLOOKUP($B77, Propostas!$B:$BE, 47, FALSE) )</f>
        <v/>
      </c>
      <c r="O77" s="13" t="str">
        <f>IF($B77="","",IF($C77="SIM", "INFRAESTRUTURA", VLOOKUP($B77, Propostas!$B:$BE,42,FALSE)))</f>
        <v/>
      </c>
      <c r="P77" s="32" t="str">
        <f>IF($B77 = "", "",  VLOOKUP($B77, Propostas!$B:$BE, 49, FALSE) )</f>
        <v/>
      </c>
      <c r="Q77" s="13" t="str">
        <f>IF($B77="","",  VLOOKUP($B77, Propostas!$B:$BE, 39, FALSE) )</f>
        <v/>
      </c>
      <c r="R77" s="81" t="str">
        <f>IF($B77="","",  VLOOKUP($B77, Propostas!$B:$BE, 43, FALSE) )</f>
        <v/>
      </c>
      <c r="S77" s="81" t="str">
        <f>IF($B77="","",  VLOOKUP($B77, Propostas!$B:$BE, 44, FALSE) )</f>
        <v/>
      </c>
      <c r="T77" s="81" t="str">
        <f>IF($B77="","",  VLOOKUP($B77, Propostas!$B:$BE, 45, FALSE) )</f>
        <v/>
      </c>
      <c r="U77" s="32" t="str">
        <f>IF($B77="","",  VLOOKUP($B77, Propostas!$B:$BE, 37, FALSE) )</f>
        <v/>
      </c>
      <c r="V77" s="13" t="str">
        <f>IF($B77="","",  VLOOKUP($B77, Propostas!$B:$BE, 50, FALSE) )</f>
        <v/>
      </c>
      <c r="W77" s="13" t="str">
        <f>IF($B77="","",  VLOOKUP($B77, Propostas!$B:$BE, 51, FALSE) )</f>
        <v/>
      </c>
      <c r="X77" s="13" t="str">
        <f>IF($B77="","",  VLOOKUP($B77, Propostas!$B:$BE, 52, FALSE) )</f>
        <v/>
      </c>
      <c r="Y77" s="13" t="str">
        <f>IF($B77="","",  VLOOKUP($B77, Propostas!$B:$BE, 36, FALSE) )</f>
        <v/>
      </c>
      <c r="Z77" s="13" t="str">
        <f>IF($B77="","",  VLOOKUP($F77, VW_PROJETO!B:C, 2, FALSE) )</f>
        <v/>
      </c>
    </row>
    <row r="78" spans="2:26" x14ac:dyDescent="0.2">
      <c r="B78" s="2"/>
      <c r="C78" s="4" t="str">
        <f>IF($B78="","",  VLOOKUP($B78, Propostas!$B:$BE, 33, FALSE) )</f>
        <v/>
      </c>
      <c r="D78" s="4" t="str">
        <f>IF($B78="","",  VLOOKUP($B78, Propostas!$B:$BE, 34, FALSE) )</f>
        <v/>
      </c>
      <c r="E78" s="4" t="str">
        <f>IF($B78="","",  VLOOKUP($B78, Propostas!$B:$BE, 35, FALSE) )</f>
        <v/>
      </c>
      <c r="F78" s="4" t="str">
        <f>IF($B78="","",  VLOOKUP($B78, Propostas!$B:$BE, 2, FALSE) )</f>
        <v/>
      </c>
      <c r="G78" s="4" t="str">
        <f>IF($B78="","",  VLOOKUP($B78, Propostas!$B:$BE, 3, FALSE) )</f>
        <v/>
      </c>
      <c r="H78" s="4" t="str">
        <f>IF($B78="","",  VLOOKUP($B78, Propostas!$B:$BE, 4, FALSE) )</f>
        <v/>
      </c>
      <c r="I78" s="4" t="str">
        <f>IF($B78="","",  VLOOKUP($B78, Propostas!$B:$BE, 38, FALSE) )</f>
        <v/>
      </c>
      <c r="J78" s="13" t="str">
        <f>IF($B78="","",IF($C78="SIM", "&lt; INFRRAESTRUTURA &gt;", VLOOKUP($B78,Propostas!$B:$BE,41,FALSE)))</f>
        <v/>
      </c>
      <c r="K78" s="10" t="str">
        <f>IF($B78="","",  VLOOKUP($B78, Propostas!$B:$BE, 40, FALSE) )</f>
        <v/>
      </c>
      <c r="L78" s="10" t="str">
        <f>IF($B78="","",IF(VLOOKUP($B78,Propostas!$B:$BE,21,FALSE)=1,"B",IF(VLOOKUP($B78,Propostas!$B:$BE,21,FALSE)=2,"E","N")))</f>
        <v/>
      </c>
      <c r="M78" s="32" t="str">
        <f>IF($B78 = "", "",  VLOOKUP($B78, Propostas!$B:$BE, 46, FALSE) )</f>
        <v/>
      </c>
      <c r="N78" s="32" t="str">
        <f>IF($B78 = "", "",  VLOOKUP($B78, Propostas!$B:$BE, 47, FALSE) )</f>
        <v/>
      </c>
      <c r="O78" s="13" t="str">
        <f>IF($B78="","",IF($C78="SIM", "INFRAESTRUTURA", VLOOKUP($B78, Propostas!$B:$BE,42,FALSE)))</f>
        <v/>
      </c>
      <c r="P78" s="32" t="str">
        <f>IF($B78 = "", "",  VLOOKUP($B78, Propostas!$B:$BE, 49, FALSE) )</f>
        <v/>
      </c>
      <c r="Q78" s="13" t="str">
        <f>IF($B78="","",  VLOOKUP($B78, Propostas!$B:$BE, 39, FALSE) )</f>
        <v/>
      </c>
      <c r="R78" s="81" t="str">
        <f>IF($B78="","",  VLOOKUP($B78, Propostas!$B:$BE, 43, FALSE) )</f>
        <v/>
      </c>
      <c r="S78" s="81" t="str">
        <f>IF($B78="","",  VLOOKUP($B78, Propostas!$B:$BE, 44, FALSE) )</f>
        <v/>
      </c>
      <c r="T78" s="81" t="str">
        <f>IF($B78="","",  VLOOKUP($B78, Propostas!$B:$BE, 45, FALSE) )</f>
        <v/>
      </c>
      <c r="U78" s="32" t="str">
        <f>IF($B78="","",  VLOOKUP($B78, Propostas!$B:$BE, 37, FALSE) )</f>
        <v/>
      </c>
      <c r="V78" s="13" t="str">
        <f>IF($B78="","",  VLOOKUP($B78, Propostas!$B:$BE, 50, FALSE) )</f>
        <v/>
      </c>
      <c r="W78" s="13" t="str">
        <f>IF($B78="","",  VLOOKUP($B78, Propostas!$B:$BE, 51, FALSE) )</f>
        <v/>
      </c>
      <c r="X78" s="13" t="str">
        <f>IF($B78="","",  VLOOKUP($B78, Propostas!$B:$BE, 52, FALSE) )</f>
        <v/>
      </c>
      <c r="Y78" s="13" t="str">
        <f>IF($B78="","",  VLOOKUP($B78, Propostas!$B:$BE, 36, FALSE) )</f>
        <v/>
      </c>
      <c r="Z78" s="13" t="str">
        <f>IF($B78="","",  VLOOKUP($F78, VW_PROJETO!B:C, 2, FALSE) )</f>
        <v/>
      </c>
    </row>
    <row r="79" spans="2:26" x14ac:dyDescent="0.2">
      <c r="B79" s="2"/>
      <c r="C79" s="4" t="str">
        <f>IF($B79="","",  VLOOKUP($B79, Propostas!$B:$BE, 33, FALSE) )</f>
        <v/>
      </c>
      <c r="D79" s="4" t="str">
        <f>IF($B79="","",  VLOOKUP($B79, Propostas!$B:$BE, 34, FALSE) )</f>
        <v/>
      </c>
      <c r="E79" s="4" t="str">
        <f>IF($B79="","",  VLOOKUP($B79, Propostas!$B:$BE, 35, FALSE) )</f>
        <v/>
      </c>
      <c r="F79" s="4" t="str">
        <f>IF($B79="","",  VLOOKUP($B79, Propostas!$B:$BE, 2, FALSE) )</f>
        <v/>
      </c>
      <c r="G79" s="4" t="str">
        <f>IF($B79="","",  VLOOKUP($B79, Propostas!$B:$BE, 3, FALSE) )</f>
        <v/>
      </c>
      <c r="H79" s="4" t="str">
        <f>IF($B79="","",  VLOOKUP($B79, Propostas!$B:$BE, 4, FALSE) )</f>
        <v/>
      </c>
      <c r="I79" s="4" t="str">
        <f>IF($B79="","",  VLOOKUP($B79, Propostas!$B:$BE, 38, FALSE) )</f>
        <v/>
      </c>
      <c r="J79" s="13" t="str">
        <f>IF($B79="","",IF($C79="SIM", "&lt; INFRRAESTRUTURA &gt;", VLOOKUP($B79,Propostas!$B:$BE,41,FALSE)))</f>
        <v/>
      </c>
      <c r="K79" s="10" t="str">
        <f>IF($B79="","",  VLOOKUP($B79, Propostas!$B:$BE, 40, FALSE) )</f>
        <v/>
      </c>
      <c r="L79" s="10" t="str">
        <f>IF($B79="","",IF(VLOOKUP($B79,Propostas!$B:$BE,21,FALSE)=1,"B",IF(VLOOKUP($B79,Propostas!$B:$BE,21,FALSE)=2,"E","N")))</f>
        <v/>
      </c>
      <c r="M79" s="32" t="str">
        <f>IF($B79 = "", "",  VLOOKUP($B79, Propostas!$B:$BE, 46, FALSE) )</f>
        <v/>
      </c>
      <c r="N79" s="32" t="str">
        <f>IF($B79 = "", "",  VLOOKUP($B79, Propostas!$B:$BE, 47, FALSE) )</f>
        <v/>
      </c>
      <c r="O79" s="13" t="str">
        <f>IF($B79="","",IF($C79="SIM", "INFRAESTRUTURA", VLOOKUP($B79, Propostas!$B:$BE,42,FALSE)))</f>
        <v/>
      </c>
      <c r="P79" s="32" t="str">
        <f>IF($B79 = "", "",  VLOOKUP($B79, Propostas!$B:$BE, 49, FALSE) )</f>
        <v/>
      </c>
      <c r="Q79" s="13" t="str">
        <f>IF($B79="","",  VLOOKUP($B79, Propostas!$B:$BE, 39, FALSE) )</f>
        <v/>
      </c>
      <c r="R79" s="81" t="str">
        <f>IF($B79="","",  VLOOKUP($B79, Propostas!$B:$BE, 43, FALSE) )</f>
        <v/>
      </c>
      <c r="S79" s="81" t="str">
        <f>IF($B79="","",  VLOOKUP($B79, Propostas!$B:$BE, 44, FALSE) )</f>
        <v/>
      </c>
      <c r="T79" s="81" t="str">
        <f>IF($B79="","",  VLOOKUP($B79, Propostas!$B:$BE, 45, FALSE) )</f>
        <v/>
      </c>
      <c r="U79" s="32" t="str">
        <f>IF($B79="","",  VLOOKUP($B79, Propostas!$B:$BE, 37, FALSE) )</f>
        <v/>
      </c>
      <c r="V79" s="13" t="str">
        <f>IF($B79="","",  VLOOKUP($B79, Propostas!$B:$BE, 50, FALSE) )</f>
        <v/>
      </c>
      <c r="W79" s="13" t="str">
        <f>IF($B79="","",  VLOOKUP($B79, Propostas!$B:$BE, 51, FALSE) )</f>
        <v/>
      </c>
      <c r="X79" s="13" t="str">
        <f>IF($B79="","",  VLOOKUP($B79, Propostas!$B:$BE, 52, FALSE) )</f>
        <v/>
      </c>
      <c r="Y79" s="13" t="str">
        <f>IF($B79="","",  VLOOKUP($B79, Propostas!$B:$BE, 36, FALSE) )</f>
        <v/>
      </c>
      <c r="Z79" s="13" t="str">
        <f>IF($B79="","",  VLOOKUP($F79, VW_PROJETO!B:C, 2, FALSE) )</f>
        <v/>
      </c>
    </row>
    <row r="80" spans="2:26" x14ac:dyDescent="0.2">
      <c r="B80" s="2"/>
      <c r="C80" s="4" t="str">
        <f>IF($B80="","",  VLOOKUP($B80, Propostas!$B:$BE, 33, FALSE) )</f>
        <v/>
      </c>
      <c r="D80" s="4" t="str">
        <f>IF($B80="","",  VLOOKUP($B80, Propostas!$B:$BE, 34, FALSE) )</f>
        <v/>
      </c>
      <c r="E80" s="4" t="str">
        <f>IF($B80="","",  VLOOKUP($B80, Propostas!$B:$BE, 35, FALSE) )</f>
        <v/>
      </c>
      <c r="F80" s="4" t="str">
        <f>IF($B80="","",  VLOOKUP($B80, Propostas!$B:$BE, 2, FALSE) )</f>
        <v/>
      </c>
      <c r="G80" s="4" t="str">
        <f>IF($B80="","",  VLOOKUP($B80, Propostas!$B:$BE, 3, FALSE) )</f>
        <v/>
      </c>
      <c r="H80" s="4" t="str">
        <f>IF($B80="","",  VLOOKUP($B80, Propostas!$B:$BE, 4, FALSE) )</f>
        <v/>
      </c>
      <c r="I80" s="4" t="str">
        <f>IF($B80="","",  VLOOKUP($B80, Propostas!$B:$BE, 38, FALSE) )</f>
        <v/>
      </c>
      <c r="J80" s="13" t="str">
        <f>IF($B80="","",IF($C80="SIM", "&lt; INFRRAESTRUTURA &gt;", VLOOKUP($B80,Propostas!$B:$BE,41,FALSE)))</f>
        <v/>
      </c>
      <c r="K80" s="10" t="str">
        <f>IF($B80="","",  VLOOKUP($B80, Propostas!$B:$BE, 40, FALSE) )</f>
        <v/>
      </c>
      <c r="L80" s="10" t="str">
        <f>IF($B80="","",IF(VLOOKUP($B80,Propostas!$B:$BE,21,FALSE)=1,"B",IF(VLOOKUP($B80,Propostas!$B:$BE,21,FALSE)=2,"E","N")))</f>
        <v/>
      </c>
      <c r="M80" s="32" t="str">
        <f>IF($B80 = "", "",  VLOOKUP($B80, Propostas!$B:$BE, 46, FALSE) )</f>
        <v/>
      </c>
      <c r="N80" s="32" t="str">
        <f>IF($B80 = "", "",  VLOOKUP($B80, Propostas!$B:$BE, 47, FALSE) )</f>
        <v/>
      </c>
      <c r="O80" s="13" t="str">
        <f>IF($B80="","",IF($C80="SIM", "INFRAESTRUTURA", VLOOKUP($B80, Propostas!$B:$BE,42,FALSE)))</f>
        <v/>
      </c>
      <c r="P80" s="32" t="str">
        <f>IF($B80 = "", "",  VLOOKUP($B80, Propostas!$B:$BE, 49, FALSE) )</f>
        <v/>
      </c>
      <c r="Q80" s="13" t="str">
        <f>IF($B80="","",  VLOOKUP($B80, Propostas!$B:$BE, 39, FALSE) )</f>
        <v/>
      </c>
      <c r="R80" s="81" t="str">
        <f>IF($B80="","",  VLOOKUP($B80, Propostas!$B:$BE, 43, FALSE) )</f>
        <v/>
      </c>
      <c r="S80" s="81" t="str">
        <f>IF($B80="","",  VLOOKUP($B80, Propostas!$B:$BE, 44, FALSE) )</f>
        <v/>
      </c>
      <c r="T80" s="81" t="str">
        <f>IF($B80="","",  VLOOKUP($B80, Propostas!$B:$BE, 45, FALSE) )</f>
        <v/>
      </c>
      <c r="U80" s="32" t="str">
        <f>IF($B80="","",  VLOOKUP($B80, Propostas!$B:$BE, 37, FALSE) )</f>
        <v/>
      </c>
      <c r="V80" s="13" t="str">
        <f>IF($B80="","",  VLOOKUP($B80, Propostas!$B:$BE, 50, FALSE) )</f>
        <v/>
      </c>
      <c r="W80" s="13" t="str">
        <f>IF($B80="","",  VLOOKUP($B80, Propostas!$B:$BE, 51, FALSE) )</f>
        <v/>
      </c>
      <c r="X80" s="13" t="str">
        <f>IF($B80="","",  VLOOKUP($B80, Propostas!$B:$BE, 52, FALSE) )</f>
        <v/>
      </c>
      <c r="Y80" s="13" t="str">
        <f>IF($B80="","",  VLOOKUP($B80, Propostas!$B:$BE, 36, FALSE) )</f>
        <v/>
      </c>
      <c r="Z80" s="13" t="str">
        <f>IF($B80="","",  VLOOKUP($F80, VW_PROJETO!B:C, 2, FALSE) )</f>
        <v/>
      </c>
    </row>
    <row r="81" spans="2:26" x14ac:dyDescent="0.2">
      <c r="B81" s="2"/>
      <c r="C81" s="4" t="str">
        <f>IF($B81="","",  VLOOKUP($B81, Propostas!$B:$BE, 33, FALSE) )</f>
        <v/>
      </c>
      <c r="D81" s="4" t="str">
        <f>IF($B81="","",  VLOOKUP($B81, Propostas!$B:$BE, 34, FALSE) )</f>
        <v/>
      </c>
      <c r="E81" s="4" t="str">
        <f>IF($B81="","",  VLOOKUP($B81, Propostas!$B:$BE, 35, FALSE) )</f>
        <v/>
      </c>
      <c r="F81" s="4" t="str">
        <f>IF($B81="","",  VLOOKUP($B81, Propostas!$B:$BE, 2, FALSE) )</f>
        <v/>
      </c>
      <c r="G81" s="4" t="str">
        <f>IF($B81="","",  VLOOKUP($B81, Propostas!$B:$BE, 3, FALSE) )</f>
        <v/>
      </c>
      <c r="H81" s="4" t="str">
        <f>IF($B81="","",  VLOOKUP($B81, Propostas!$B:$BE, 4, FALSE) )</f>
        <v/>
      </c>
      <c r="I81" s="4" t="str">
        <f>IF($B81="","",  VLOOKUP($B81, Propostas!$B:$BE, 38, FALSE) )</f>
        <v/>
      </c>
      <c r="J81" s="13" t="str">
        <f>IF($B81="","",IF($C81="SIM", "&lt; INFRRAESTRUTURA &gt;", VLOOKUP($B81,Propostas!$B:$BE,41,FALSE)))</f>
        <v/>
      </c>
      <c r="K81" s="10" t="str">
        <f>IF($B81="","",  VLOOKUP($B81, Propostas!$B:$BE, 40, FALSE) )</f>
        <v/>
      </c>
      <c r="L81" s="10" t="str">
        <f>IF($B81="","",IF(VLOOKUP($B81,Propostas!$B:$BE,21,FALSE)=1,"B",IF(VLOOKUP($B81,Propostas!$B:$BE,21,FALSE)=2,"E","N")))</f>
        <v/>
      </c>
      <c r="M81" s="32" t="str">
        <f>IF($B81 = "", "",  VLOOKUP($B81, Propostas!$B:$BE, 46, FALSE) )</f>
        <v/>
      </c>
      <c r="N81" s="32" t="str">
        <f>IF($B81 = "", "",  VLOOKUP($B81, Propostas!$B:$BE, 47, FALSE) )</f>
        <v/>
      </c>
      <c r="O81" s="13" t="str">
        <f>IF($B81="","",IF($C81="SIM", "INFRAESTRUTURA", VLOOKUP($B81, Propostas!$B:$BE,42,FALSE)))</f>
        <v/>
      </c>
      <c r="P81" s="32" t="str">
        <f>IF($B81 = "", "",  VLOOKUP($B81, Propostas!$B:$BE, 49, FALSE) )</f>
        <v/>
      </c>
      <c r="Q81" s="13" t="str">
        <f>IF($B81="","",  VLOOKUP($B81, Propostas!$B:$BE, 39, FALSE) )</f>
        <v/>
      </c>
      <c r="R81" s="81" t="str">
        <f>IF($B81="","",  VLOOKUP($B81, Propostas!$B:$BE, 43, FALSE) )</f>
        <v/>
      </c>
      <c r="S81" s="81" t="str">
        <f>IF($B81="","",  VLOOKUP($B81, Propostas!$B:$BE, 44, FALSE) )</f>
        <v/>
      </c>
      <c r="T81" s="81" t="str">
        <f>IF($B81="","",  VLOOKUP($B81, Propostas!$B:$BE, 45, FALSE) )</f>
        <v/>
      </c>
      <c r="U81" s="32" t="str">
        <f>IF($B81="","",  VLOOKUP($B81, Propostas!$B:$BE, 37, FALSE) )</f>
        <v/>
      </c>
      <c r="V81" s="13" t="str">
        <f>IF($B81="","",  VLOOKUP($B81, Propostas!$B:$BE, 50, FALSE) )</f>
        <v/>
      </c>
      <c r="W81" s="13" t="str">
        <f>IF($B81="","",  VLOOKUP($B81, Propostas!$B:$BE, 51, FALSE) )</f>
        <v/>
      </c>
      <c r="X81" s="13" t="str">
        <f>IF($B81="","",  VLOOKUP($B81, Propostas!$B:$BE, 52, FALSE) )</f>
        <v/>
      </c>
      <c r="Y81" s="13" t="str">
        <f>IF($B81="","",  VLOOKUP($B81, Propostas!$B:$BE, 36, FALSE) )</f>
        <v/>
      </c>
      <c r="Z81" s="13" t="str">
        <f>IF($B81="","",  VLOOKUP($F81, VW_PROJETO!B:C, 2, FALSE) )</f>
        <v/>
      </c>
    </row>
    <row r="82" spans="2:26" x14ac:dyDescent="0.2">
      <c r="B82" s="2"/>
      <c r="C82" s="4" t="str">
        <f>IF($B82="","",  VLOOKUP($B82, Propostas!$B:$BE, 33, FALSE) )</f>
        <v/>
      </c>
      <c r="D82" s="4" t="str">
        <f>IF($B82="","",  VLOOKUP($B82, Propostas!$B:$BE, 34, FALSE) )</f>
        <v/>
      </c>
      <c r="E82" s="4" t="str">
        <f>IF($B82="","",  VLOOKUP($B82, Propostas!$B:$BE, 35, FALSE) )</f>
        <v/>
      </c>
      <c r="F82" s="4" t="str">
        <f>IF($B82="","",  VLOOKUP($B82, Propostas!$B:$BE, 2, FALSE) )</f>
        <v/>
      </c>
      <c r="G82" s="4" t="str">
        <f>IF($B82="","",  VLOOKUP($B82, Propostas!$B:$BE, 3, FALSE) )</f>
        <v/>
      </c>
      <c r="H82" s="4" t="str">
        <f>IF($B82="","",  VLOOKUP($B82, Propostas!$B:$BE, 4, FALSE) )</f>
        <v/>
      </c>
      <c r="I82" s="4" t="str">
        <f>IF($B82="","",  VLOOKUP($B82, Propostas!$B:$BE, 38, FALSE) )</f>
        <v/>
      </c>
      <c r="J82" s="13" t="str">
        <f>IF($B82="","",IF($C82="SIM", "&lt; INFRRAESTRUTURA &gt;", VLOOKUP($B82,Propostas!$B:$BE,41,FALSE)))</f>
        <v/>
      </c>
      <c r="K82" s="10" t="str">
        <f>IF($B82="","",  VLOOKUP($B82, Propostas!$B:$BE, 40, FALSE) )</f>
        <v/>
      </c>
      <c r="L82" s="10" t="str">
        <f>IF($B82="","",IF(VLOOKUP($B82,Propostas!$B:$BE,21,FALSE)=1,"B",IF(VLOOKUP($B82,Propostas!$B:$BE,21,FALSE)=2,"E","N")))</f>
        <v/>
      </c>
      <c r="M82" s="32" t="str">
        <f>IF($B82 = "", "",  VLOOKUP($B82, Propostas!$B:$BE, 46, FALSE) )</f>
        <v/>
      </c>
      <c r="N82" s="32" t="str">
        <f>IF($B82 = "", "",  VLOOKUP($B82, Propostas!$B:$BE, 47, FALSE) )</f>
        <v/>
      </c>
      <c r="O82" s="13" t="str">
        <f>IF($B82="","",IF($C82="SIM", "INFRAESTRUTURA", VLOOKUP($B82, Propostas!$B:$BE,42,FALSE)))</f>
        <v/>
      </c>
      <c r="P82" s="32" t="str">
        <f>IF($B82 = "", "",  VLOOKUP($B82, Propostas!$B:$BE, 49, FALSE) )</f>
        <v/>
      </c>
      <c r="Q82" s="13" t="str">
        <f>IF($B82="","",  VLOOKUP($B82, Propostas!$B:$BE, 39, FALSE) )</f>
        <v/>
      </c>
      <c r="R82" s="81" t="str">
        <f>IF($B82="","",  VLOOKUP($B82, Propostas!$B:$BE, 43, FALSE) )</f>
        <v/>
      </c>
      <c r="S82" s="81" t="str">
        <f>IF($B82="","",  VLOOKUP($B82, Propostas!$B:$BE, 44, FALSE) )</f>
        <v/>
      </c>
      <c r="T82" s="81" t="str">
        <f>IF($B82="","",  VLOOKUP($B82, Propostas!$B:$BE, 45, FALSE) )</f>
        <v/>
      </c>
      <c r="U82" s="32" t="str">
        <f>IF($B82="","",  VLOOKUP($B82, Propostas!$B:$BE, 37, FALSE) )</f>
        <v/>
      </c>
      <c r="V82" s="13" t="str">
        <f>IF($B82="","",  VLOOKUP($B82, Propostas!$B:$BE, 50, FALSE) )</f>
        <v/>
      </c>
      <c r="W82" s="13" t="str">
        <f>IF($B82="","",  VLOOKUP($B82, Propostas!$B:$BE, 51, FALSE) )</f>
        <v/>
      </c>
      <c r="X82" s="13" t="str">
        <f>IF($B82="","",  VLOOKUP($B82, Propostas!$B:$BE, 52, FALSE) )</f>
        <v/>
      </c>
      <c r="Y82" s="13" t="str">
        <f>IF($B82="","",  VLOOKUP($B82, Propostas!$B:$BE, 36, FALSE) )</f>
        <v/>
      </c>
      <c r="Z82" s="13" t="str">
        <f>IF($B82="","",  VLOOKUP($F82, VW_PROJETO!B:C, 2, FALSE) )</f>
        <v/>
      </c>
    </row>
    <row r="83" spans="2:26" x14ac:dyDescent="0.2">
      <c r="B83" s="2"/>
      <c r="C83" s="4" t="str">
        <f>IF($B83="","",  VLOOKUP($B83, Propostas!$B:$BE, 33, FALSE) )</f>
        <v/>
      </c>
      <c r="D83" s="4" t="str">
        <f>IF($B83="","",  VLOOKUP($B83, Propostas!$B:$BE, 34, FALSE) )</f>
        <v/>
      </c>
      <c r="E83" s="4" t="str">
        <f>IF($B83="","",  VLOOKUP($B83, Propostas!$B:$BE, 35, FALSE) )</f>
        <v/>
      </c>
      <c r="F83" s="4" t="str">
        <f>IF($B83="","",  VLOOKUP($B83, Propostas!$B:$BE, 2, FALSE) )</f>
        <v/>
      </c>
      <c r="G83" s="4" t="str">
        <f>IF($B83="","",  VLOOKUP($B83, Propostas!$B:$BE, 3, FALSE) )</f>
        <v/>
      </c>
      <c r="H83" s="4" t="str">
        <f>IF($B83="","",  VLOOKUP($B83, Propostas!$B:$BE, 4, FALSE) )</f>
        <v/>
      </c>
      <c r="I83" s="4" t="str">
        <f>IF($B83="","",  VLOOKUP($B83, Propostas!$B:$BE, 38, FALSE) )</f>
        <v/>
      </c>
      <c r="J83" s="13" t="str">
        <f>IF($B83="","",IF($C83="SIM", "&lt; INFRRAESTRUTURA &gt;", VLOOKUP($B83,Propostas!$B:$BE,41,FALSE)))</f>
        <v/>
      </c>
      <c r="K83" s="10" t="str">
        <f>IF($B83="","",  VLOOKUP($B83, Propostas!$B:$BE, 40, FALSE) )</f>
        <v/>
      </c>
      <c r="L83" s="10" t="str">
        <f>IF($B83="","",IF(VLOOKUP($B83,Propostas!$B:$BE,21,FALSE)=1,"B",IF(VLOOKUP($B83,Propostas!$B:$BE,21,FALSE)=2,"E","N")))</f>
        <v/>
      </c>
      <c r="M83" s="32" t="str">
        <f>IF($B83 = "", "",  VLOOKUP($B83, Propostas!$B:$BE, 46, FALSE) )</f>
        <v/>
      </c>
      <c r="N83" s="32" t="str">
        <f>IF($B83 = "", "",  VLOOKUP($B83, Propostas!$B:$BE, 47, FALSE) )</f>
        <v/>
      </c>
      <c r="O83" s="13" t="str">
        <f>IF($B83="","",IF($C83="SIM", "INFRAESTRUTURA", VLOOKUP($B83, Propostas!$B:$BE,42,FALSE)))</f>
        <v/>
      </c>
      <c r="P83" s="32" t="str">
        <f>IF($B83 = "", "",  VLOOKUP($B83, Propostas!$B:$BE, 49, FALSE) )</f>
        <v/>
      </c>
      <c r="Q83" s="13" t="str">
        <f>IF($B83="","",  VLOOKUP($B83, Propostas!$B:$BE, 39, FALSE) )</f>
        <v/>
      </c>
      <c r="R83" s="81" t="str">
        <f>IF($B83="","",  VLOOKUP($B83, Propostas!$B:$BE, 43, FALSE) )</f>
        <v/>
      </c>
      <c r="S83" s="81" t="str">
        <f>IF($B83="","",  VLOOKUP($B83, Propostas!$B:$BE, 44, FALSE) )</f>
        <v/>
      </c>
      <c r="T83" s="81" t="str">
        <f>IF($B83="","",  VLOOKUP($B83, Propostas!$B:$BE, 45, FALSE) )</f>
        <v/>
      </c>
      <c r="U83" s="32" t="str">
        <f>IF($B83="","",  VLOOKUP($B83, Propostas!$B:$BE, 37, FALSE) )</f>
        <v/>
      </c>
      <c r="V83" s="13" t="str">
        <f>IF($B83="","",  VLOOKUP($B83, Propostas!$B:$BE, 50, FALSE) )</f>
        <v/>
      </c>
      <c r="W83" s="13" t="str">
        <f>IF($B83="","",  VLOOKUP($B83, Propostas!$B:$BE, 51, FALSE) )</f>
        <v/>
      </c>
      <c r="X83" s="13" t="str">
        <f>IF($B83="","",  VLOOKUP($B83, Propostas!$B:$BE, 52, FALSE) )</f>
        <v/>
      </c>
      <c r="Y83" s="13" t="str">
        <f>IF($B83="","",  VLOOKUP($B83, Propostas!$B:$BE, 36, FALSE) )</f>
        <v/>
      </c>
      <c r="Z83" s="13" t="str">
        <f>IF($B83="","",  VLOOKUP($F83, VW_PROJETO!B:C, 2, FALSE) )</f>
        <v/>
      </c>
    </row>
    <row r="84" spans="2:26" x14ac:dyDescent="0.2">
      <c r="B84" s="2"/>
      <c r="C84" s="4" t="str">
        <f>IF($B84="","",  VLOOKUP($B84, Propostas!$B:$BE, 33, FALSE) )</f>
        <v/>
      </c>
      <c r="D84" s="4" t="str">
        <f>IF($B84="","",  VLOOKUP($B84, Propostas!$B:$BE, 34, FALSE) )</f>
        <v/>
      </c>
      <c r="E84" s="4" t="str">
        <f>IF($B84="","",  VLOOKUP($B84, Propostas!$B:$BE, 35, FALSE) )</f>
        <v/>
      </c>
      <c r="F84" s="4" t="str">
        <f>IF($B84="","",  VLOOKUP($B84, Propostas!$B:$BE, 2, FALSE) )</f>
        <v/>
      </c>
      <c r="G84" s="4" t="str">
        <f>IF($B84="","",  VLOOKUP($B84, Propostas!$B:$BE, 3, FALSE) )</f>
        <v/>
      </c>
      <c r="H84" s="4" t="str">
        <f>IF($B84="","",  VLOOKUP($B84, Propostas!$B:$BE, 4, FALSE) )</f>
        <v/>
      </c>
      <c r="I84" s="4" t="str">
        <f>IF($B84="","",  VLOOKUP($B84, Propostas!$B:$BE, 38, FALSE) )</f>
        <v/>
      </c>
      <c r="J84" s="13" t="str">
        <f>IF($B84="","",IF($C84="SIM", "&lt; INFRRAESTRUTURA &gt;", VLOOKUP($B84,Propostas!$B:$BE,41,FALSE)))</f>
        <v/>
      </c>
      <c r="K84" s="10" t="str">
        <f>IF($B84="","",  VLOOKUP($B84, Propostas!$B:$BE, 40, FALSE) )</f>
        <v/>
      </c>
      <c r="L84" s="10" t="str">
        <f>IF($B84="","",IF(VLOOKUP($B84,Propostas!$B:$BE,21,FALSE)=1,"B",IF(VLOOKUP($B84,Propostas!$B:$BE,21,FALSE)=2,"E","N")))</f>
        <v/>
      </c>
      <c r="M84" s="32" t="str">
        <f>IF($B84 = "", "",  VLOOKUP($B84, Propostas!$B:$BE, 46, FALSE) )</f>
        <v/>
      </c>
      <c r="N84" s="32" t="str">
        <f>IF($B84 = "", "",  VLOOKUP($B84, Propostas!$B:$BE, 47, FALSE) )</f>
        <v/>
      </c>
      <c r="O84" s="13" t="str">
        <f>IF($B84="","",IF($C84="SIM", "INFRAESTRUTURA", VLOOKUP($B84, Propostas!$B:$BE,42,FALSE)))</f>
        <v/>
      </c>
      <c r="P84" s="32" t="str">
        <f>IF($B84 = "", "",  VLOOKUP($B84, Propostas!$B:$BE, 49, FALSE) )</f>
        <v/>
      </c>
      <c r="Q84" s="13" t="str">
        <f>IF($B84="","",  VLOOKUP($B84, Propostas!$B:$BE, 39, FALSE) )</f>
        <v/>
      </c>
      <c r="R84" s="81" t="str">
        <f>IF($B84="","",  VLOOKUP($B84, Propostas!$B:$BE, 43, FALSE) )</f>
        <v/>
      </c>
      <c r="S84" s="81" t="str">
        <f>IF($B84="","",  VLOOKUP($B84, Propostas!$B:$BE, 44, FALSE) )</f>
        <v/>
      </c>
      <c r="T84" s="81" t="str">
        <f>IF($B84="","",  VLOOKUP($B84, Propostas!$B:$BE, 45, FALSE) )</f>
        <v/>
      </c>
      <c r="U84" s="32" t="str">
        <f>IF($B84="","",  VLOOKUP($B84, Propostas!$B:$BE, 37, FALSE) )</f>
        <v/>
      </c>
      <c r="V84" s="13" t="str">
        <f>IF($B84="","",  VLOOKUP($B84, Propostas!$B:$BE, 50, FALSE) )</f>
        <v/>
      </c>
      <c r="W84" s="13" t="str">
        <f>IF($B84="","",  VLOOKUP($B84, Propostas!$B:$BE, 51, FALSE) )</f>
        <v/>
      </c>
      <c r="X84" s="13" t="str">
        <f>IF($B84="","",  VLOOKUP($B84, Propostas!$B:$BE, 52, FALSE) )</f>
        <v/>
      </c>
      <c r="Y84" s="13" t="str">
        <f>IF($B84="","",  VLOOKUP($B84, Propostas!$B:$BE, 36, FALSE) )</f>
        <v/>
      </c>
      <c r="Z84" s="13" t="str">
        <f>IF($B84="","",  VLOOKUP($F84, VW_PROJETO!B:C, 2, FALSE) )</f>
        <v/>
      </c>
    </row>
    <row r="85" spans="2:26" x14ac:dyDescent="0.2">
      <c r="B85" s="2"/>
      <c r="C85" s="4" t="str">
        <f>IF($B85="","",  VLOOKUP($B85, Propostas!$B:$BE, 33, FALSE) )</f>
        <v/>
      </c>
      <c r="D85" s="4" t="str">
        <f>IF($B85="","",  VLOOKUP($B85, Propostas!$B:$BE, 34, FALSE) )</f>
        <v/>
      </c>
      <c r="E85" s="4" t="str">
        <f>IF($B85="","",  VLOOKUP($B85, Propostas!$B:$BE, 35, FALSE) )</f>
        <v/>
      </c>
      <c r="F85" s="4" t="str">
        <f>IF($B85="","",  VLOOKUP($B85, Propostas!$B:$BE, 2, FALSE) )</f>
        <v/>
      </c>
      <c r="G85" s="4" t="str">
        <f>IF($B85="","",  VLOOKUP($B85, Propostas!$B:$BE, 3, FALSE) )</f>
        <v/>
      </c>
      <c r="H85" s="4" t="str">
        <f>IF($B85="","",  VLOOKUP($B85, Propostas!$B:$BE, 4, FALSE) )</f>
        <v/>
      </c>
      <c r="I85" s="4" t="str">
        <f>IF($B85="","",  VLOOKUP($B85, Propostas!$B:$BE, 38, FALSE) )</f>
        <v/>
      </c>
      <c r="J85" s="13" t="str">
        <f>IF($B85="","",IF($C85="SIM", "&lt; INFRRAESTRUTURA &gt;", VLOOKUP($B85,Propostas!$B:$BE,41,FALSE)))</f>
        <v/>
      </c>
      <c r="K85" s="10" t="str">
        <f>IF($B85="","",  VLOOKUP($B85, Propostas!$B:$BE, 40, FALSE) )</f>
        <v/>
      </c>
      <c r="L85" s="10" t="str">
        <f>IF($B85="","",IF(VLOOKUP($B85,Propostas!$B:$BE,21,FALSE)=1,"B",IF(VLOOKUP($B85,Propostas!$B:$BE,21,FALSE)=2,"E","N")))</f>
        <v/>
      </c>
      <c r="M85" s="32" t="str">
        <f>IF($B85 = "", "",  VLOOKUP($B85, Propostas!$B:$BE, 46, FALSE) )</f>
        <v/>
      </c>
      <c r="N85" s="32" t="str">
        <f>IF($B85 = "", "",  VLOOKUP($B85, Propostas!$B:$BE, 47, FALSE) )</f>
        <v/>
      </c>
      <c r="O85" s="13" t="str">
        <f>IF($B85="","",IF($C85="SIM", "INFRAESTRUTURA", VLOOKUP($B85, Propostas!$B:$BE,42,FALSE)))</f>
        <v/>
      </c>
      <c r="P85" s="32" t="str">
        <f>IF($B85 = "", "",  VLOOKUP($B85, Propostas!$B:$BE, 49, FALSE) )</f>
        <v/>
      </c>
      <c r="Q85" s="13" t="str">
        <f>IF($B85="","",  VLOOKUP($B85, Propostas!$B:$BE, 39, FALSE) )</f>
        <v/>
      </c>
      <c r="R85" s="81" t="str">
        <f>IF($B85="","",  VLOOKUP($B85, Propostas!$B:$BE, 43, FALSE) )</f>
        <v/>
      </c>
      <c r="S85" s="81" t="str">
        <f>IF($B85="","",  VLOOKUP($B85, Propostas!$B:$BE, 44, FALSE) )</f>
        <v/>
      </c>
      <c r="T85" s="81" t="str">
        <f>IF($B85="","",  VLOOKUP($B85, Propostas!$B:$BE, 45, FALSE) )</f>
        <v/>
      </c>
      <c r="U85" s="32" t="str">
        <f>IF($B85="","",  VLOOKUP($B85, Propostas!$B:$BE, 37, FALSE) )</f>
        <v/>
      </c>
      <c r="V85" s="13" t="str">
        <f>IF($B85="","",  VLOOKUP($B85, Propostas!$B:$BE, 50, FALSE) )</f>
        <v/>
      </c>
      <c r="W85" s="13" t="str">
        <f>IF($B85="","",  VLOOKUP($B85, Propostas!$B:$BE, 51, FALSE) )</f>
        <v/>
      </c>
      <c r="X85" s="13" t="str">
        <f>IF($B85="","",  VLOOKUP($B85, Propostas!$B:$BE, 52, FALSE) )</f>
        <v/>
      </c>
      <c r="Y85" s="13" t="str">
        <f>IF($B85="","",  VLOOKUP($B85, Propostas!$B:$BE, 36, FALSE) )</f>
        <v/>
      </c>
      <c r="Z85" s="13" t="str">
        <f>IF($B85="","",  VLOOKUP($F85, VW_PROJETO!B:C, 2, FALSE) )</f>
        <v/>
      </c>
    </row>
    <row r="86" spans="2:26" x14ac:dyDescent="0.2">
      <c r="B86" s="2"/>
      <c r="C86" s="4" t="str">
        <f>IF($B86="","",  VLOOKUP($B86, Propostas!$B:$BE, 33, FALSE) )</f>
        <v/>
      </c>
      <c r="D86" s="4" t="str">
        <f>IF($B86="","",  VLOOKUP($B86, Propostas!$B:$BE, 34, FALSE) )</f>
        <v/>
      </c>
      <c r="E86" s="4" t="str">
        <f>IF($B86="","",  VLOOKUP($B86, Propostas!$B:$BE, 35, FALSE) )</f>
        <v/>
      </c>
      <c r="F86" s="4" t="str">
        <f>IF($B86="","",  VLOOKUP($B86, Propostas!$B:$BE, 2, FALSE) )</f>
        <v/>
      </c>
      <c r="G86" s="4" t="str">
        <f>IF($B86="","",  VLOOKUP($B86, Propostas!$B:$BE, 3, FALSE) )</f>
        <v/>
      </c>
      <c r="H86" s="4" t="str">
        <f>IF($B86="","",  VLOOKUP($B86, Propostas!$B:$BE, 4, FALSE) )</f>
        <v/>
      </c>
      <c r="I86" s="4" t="str">
        <f>IF($B86="","",  VLOOKUP($B86, Propostas!$B:$BE, 38, FALSE) )</f>
        <v/>
      </c>
      <c r="J86" s="13" t="str">
        <f>IF($B86="","",IF($C86="SIM", "&lt; INFRRAESTRUTURA &gt;", VLOOKUP($B86,Propostas!$B:$BE,41,FALSE)))</f>
        <v/>
      </c>
      <c r="K86" s="10" t="str">
        <f>IF($B86="","",  VLOOKUP($B86, Propostas!$B:$BE, 40, FALSE) )</f>
        <v/>
      </c>
      <c r="L86" s="10" t="str">
        <f>IF($B86="","",IF(VLOOKUP($B86,Propostas!$B:$BE,21,FALSE)=1,"B",IF(VLOOKUP($B86,Propostas!$B:$BE,21,FALSE)=2,"E","N")))</f>
        <v/>
      </c>
      <c r="M86" s="32" t="str">
        <f>IF($B86 = "", "",  VLOOKUP($B86, Propostas!$B:$BE, 46, FALSE) )</f>
        <v/>
      </c>
      <c r="N86" s="32" t="str">
        <f>IF($B86 = "", "",  VLOOKUP($B86, Propostas!$B:$BE, 47, FALSE) )</f>
        <v/>
      </c>
      <c r="O86" s="13" t="str">
        <f>IF($B86="","",IF($C86="SIM", "INFRAESTRUTURA", VLOOKUP($B86, Propostas!$B:$BE,42,FALSE)))</f>
        <v/>
      </c>
      <c r="P86" s="32" t="str">
        <f>IF($B86 = "", "",  VLOOKUP($B86, Propostas!$B:$BE, 49, FALSE) )</f>
        <v/>
      </c>
      <c r="Q86" s="13" t="str">
        <f>IF($B86="","",  VLOOKUP($B86, Propostas!$B:$BE, 39, FALSE) )</f>
        <v/>
      </c>
      <c r="R86" s="81" t="str">
        <f>IF($B86="","",  VLOOKUP($B86, Propostas!$B:$BE, 43, FALSE) )</f>
        <v/>
      </c>
      <c r="S86" s="81" t="str">
        <f>IF($B86="","",  VLOOKUP($B86, Propostas!$B:$BE, 44, FALSE) )</f>
        <v/>
      </c>
      <c r="T86" s="81" t="str">
        <f>IF($B86="","",  VLOOKUP($B86, Propostas!$B:$BE, 45, FALSE) )</f>
        <v/>
      </c>
      <c r="U86" s="32" t="str">
        <f>IF($B86="","",  VLOOKUP($B86, Propostas!$B:$BE, 37, FALSE) )</f>
        <v/>
      </c>
      <c r="V86" s="13" t="str">
        <f>IF($B86="","",  VLOOKUP($B86, Propostas!$B:$BE, 50, FALSE) )</f>
        <v/>
      </c>
      <c r="W86" s="13" t="str">
        <f>IF($B86="","",  VLOOKUP($B86, Propostas!$B:$BE, 51, FALSE) )</f>
        <v/>
      </c>
      <c r="X86" s="13" t="str">
        <f>IF($B86="","",  VLOOKUP($B86, Propostas!$B:$BE, 52, FALSE) )</f>
        <v/>
      </c>
      <c r="Y86" s="13" t="str">
        <f>IF($B86="","",  VLOOKUP($B86, Propostas!$B:$BE, 36, FALSE) )</f>
        <v/>
      </c>
      <c r="Z86" s="13" t="str">
        <f>IF($B86="","",  VLOOKUP($F86, VW_PROJETO!B:C, 2, FALSE) )</f>
        <v/>
      </c>
    </row>
    <row r="87" spans="2:26" x14ac:dyDescent="0.2">
      <c r="B87" s="2"/>
      <c r="C87" s="4" t="str">
        <f>IF($B87="","",  VLOOKUP($B87, Propostas!$B:$BE, 33, FALSE) )</f>
        <v/>
      </c>
      <c r="D87" s="4" t="str">
        <f>IF($B87="","",  VLOOKUP($B87, Propostas!$B:$BE, 34, FALSE) )</f>
        <v/>
      </c>
      <c r="E87" s="4" t="str">
        <f>IF($B87="","",  VLOOKUP($B87, Propostas!$B:$BE, 35, FALSE) )</f>
        <v/>
      </c>
      <c r="F87" s="4" t="str">
        <f>IF($B87="","",  VLOOKUP($B87, Propostas!$B:$BE, 2, FALSE) )</f>
        <v/>
      </c>
      <c r="G87" s="4" t="str">
        <f>IF($B87="","",  VLOOKUP($B87, Propostas!$B:$BE, 3, FALSE) )</f>
        <v/>
      </c>
      <c r="H87" s="4" t="str">
        <f>IF($B87="","",  VLOOKUP($B87, Propostas!$B:$BE, 4, FALSE) )</f>
        <v/>
      </c>
      <c r="I87" s="4" t="str">
        <f>IF($B87="","",  VLOOKUP($B87, Propostas!$B:$BE, 38, FALSE) )</f>
        <v/>
      </c>
      <c r="J87" s="13" t="str">
        <f>IF($B87="","",IF($C87="SIM", "&lt; INFRRAESTRUTURA &gt;", VLOOKUP($B87,Propostas!$B:$BE,41,FALSE)))</f>
        <v/>
      </c>
      <c r="K87" s="10" t="str">
        <f>IF($B87="","",  VLOOKUP($B87, Propostas!$B:$BE, 40, FALSE) )</f>
        <v/>
      </c>
      <c r="L87" s="10" t="str">
        <f>IF($B87="","",IF(VLOOKUP($B87,Propostas!$B:$BE,21,FALSE)=1,"B",IF(VLOOKUP($B87,Propostas!$B:$BE,21,FALSE)=2,"E","N")))</f>
        <v/>
      </c>
      <c r="M87" s="32" t="str">
        <f>IF($B87 = "", "",  VLOOKUP($B87, Propostas!$B:$BE, 46, FALSE) )</f>
        <v/>
      </c>
      <c r="N87" s="32" t="str">
        <f>IF($B87 = "", "",  VLOOKUP($B87, Propostas!$B:$BE, 47, FALSE) )</f>
        <v/>
      </c>
      <c r="O87" s="13" t="str">
        <f>IF($B87="","",IF($C87="SIM", "INFRAESTRUTURA", VLOOKUP($B87, Propostas!$B:$BE,42,FALSE)))</f>
        <v/>
      </c>
      <c r="P87" s="32" t="str">
        <f>IF($B87 = "", "",  VLOOKUP($B87, Propostas!$B:$BE, 49, FALSE) )</f>
        <v/>
      </c>
      <c r="Q87" s="13" t="str">
        <f>IF($B87="","",  VLOOKUP($B87, Propostas!$B:$BE, 39, FALSE) )</f>
        <v/>
      </c>
      <c r="R87" s="81" t="str">
        <f>IF($B87="","",  VLOOKUP($B87, Propostas!$B:$BE, 43, FALSE) )</f>
        <v/>
      </c>
      <c r="S87" s="81" t="str">
        <f>IF($B87="","",  VLOOKUP($B87, Propostas!$B:$BE, 44, FALSE) )</f>
        <v/>
      </c>
      <c r="T87" s="81" t="str">
        <f>IF($B87="","",  VLOOKUP($B87, Propostas!$B:$BE, 45, FALSE) )</f>
        <v/>
      </c>
      <c r="U87" s="32" t="str">
        <f>IF($B87="","",  VLOOKUP($B87, Propostas!$B:$BE, 37, FALSE) )</f>
        <v/>
      </c>
      <c r="V87" s="13" t="str">
        <f>IF($B87="","",  VLOOKUP($B87, Propostas!$B:$BE, 50, FALSE) )</f>
        <v/>
      </c>
      <c r="W87" s="13" t="str">
        <f>IF($B87="","",  VLOOKUP($B87, Propostas!$B:$BE, 51, FALSE) )</f>
        <v/>
      </c>
      <c r="X87" s="13" t="str">
        <f>IF($B87="","",  VLOOKUP($B87, Propostas!$B:$BE, 52, FALSE) )</f>
        <v/>
      </c>
      <c r="Y87" s="13" t="str">
        <f>IF($B87="","",  VLOOKUP($B87, Propostas!$B:$BE, 36, FALSE) )</f>
        <v/>
      </c>
      <c r="Z87" s="13" t="str">
        <f>IF($B87="","",  VLOOKUP($F87, VW_PROJETO!B:C, 2, FALSE) )</f>
        <v/>
      </c>
    </row>
    <row r="88" spans="2:26" x14ac:dyDescent="0.2">
      <c r="B88" s="2"/>
      <c r="C88" s="4" t="str">
        <f>IF($B88="","",  VLOOKUP($B88, Propostas!$B:$BE, 33, FALSE) )</f>
        <v/>
      </c>
      <c r="D88" s="4" t="str">
        <f>IF($B88="","",  VLOOKUP($B88, Propostas!$B:$BE, 34, FALSE) )</f>
        <v/>
      </c>
      <c r="E88" s="4" t="str">
        <f>IF($B88="","",  VLOOKUP($B88, Propostas!$B:$BE, 35, FALSE) )</f>
        <v/>
      </c>
      <c r="F88" s="4" t="str">
        <f>IF($B88="","",  VLOOKUP($B88, Propostas!$B:$BE, 2, FALSE) )</f>
        <v/>
      </c>
      <c r="G88" s="4" t="str">
        <f>IF($B88="","",  VLOOKUP($B88, Propostas!$B:$BE, 3, FALSE) )</f>
        <v/>
      </c>
      <c r="H88" s="4" t="str">
        <f>IF($B88="","",  VLOOKUP($B88, Propostas!$B:$BE, 4, FALSE) )</f>
        <v/>
      </c>
      <c r="I88" s="4" t="str">
        <f>IF($B88="","",  VLOOKUP($B88, Propostas!$B:$BE, 38, FALSE) )</f>
        <v/>
      </c>
      <c r="J88" s="13" t="str">
        <f>IF($B88="","",IF($C88="SIM", "&lt; INFRRAESTRUTURA &gt;", VLOOKUP($B88,Propostas!$B:$BE,41,FALSE)))</f>
        <v/>
      </c>
      <c r="K88" s="10" t="str">
        <f>IF($B88="","",  VLOOKUP($B88, Propostas!$B:$BE, 40, FALSE) )</f>
        <v/>
      </c>
      <c r="L88" s="10" t="str">
        <f>IF($B88="","",IF(VLOOKUP($B88,Propostas!$B:$BE,21,FALSE)=1,"B",IF(VLOOKUP($B88,Propostas!$B:$BE,21,FALSE)=2,"E","N")))</f>
        <v/>
      </c>
      <c r="M88" s="32" t="str">
        <f>IF($B88 = "", "",  VLOOKUP($B88, Propostas!$B:$BE, 46, FALSE) )</f>
        <v/>
      </c>
      <c r="N88" s="32" t="str">
        <f>IF($B88 = "", "",  VLOOKUP($B88, Propostas!$B:$BE, 47, FALSE) )</f>
        <v/>
      </c>
      <c r="O88" s="13" t="str">
        <f>IF($B88="","",IF($C88="SIM", "INFRAESTRUTURA", VLOOKUP($B88, Propostas!$B:$BE,42,FALSE)))</f>
        <v/>
      </c>
      <c r="P88" s="32" t="str">
        <f>IF($B88 = "", "",  VLOOKUP($B88, Propostas!$B:$BE, 49, FALSE) )</f>
        <v/>
      </c>
      <c r="Q88" s="13" t="str">
        <f>IF($B88="","",  VLOOKUP($B88, Propostas!$B:$BE, 39, FALSE) )</f>
        <v/>
      </c>
      <c r="R88" s="81" t="str">
        <f>IF($B88="","",  VLOOKUP($B88, Propostas!$B:$BE, 43, FALSE) )</f>
        <v/>
      </c>
      <c r="S88" s="81" t="str">
        <f>IF($B88="","",  VLOOKUP($B88, Propostas!$B:$BE, 44, FALSE) )</f>
        <v/>
      </c>
      <c r="T88" s="81" t="str">
        <f>IF($B88="","",  VLOOKUP($B88, Propostas!$B:$BE, 45, FALSE) )</f>
        <v/>
      </c>
      <c r="U88" s="32" t="str">
        <f>IF($B88="","",  VLOOKUP($B88, Propostas!$B:$BE, 37, FALSE) )</f>
        <v/>
      </c>
      <c r="V88" s="13" t="str">
        <f>IF($B88="","",  VLOOKUP($B88, Propostas!$B:$BE, 50, FALSE) )</f>
        <v/>
      </c>
      <c r="W88" s="13" t="str">
        <f>IF($B88="","",  VLOOKUP($B88, Propostas!$B:$BE, 51, FALSE) )</f>
        <v/>
      </c>
      <c r="X88" s="13" t="str">
        <f>IF($B88="","",  VLOOKUP($B88, Propostas!$B:$BE, 52, FALSE) )</f>
        <v/>
      </c>
      <c r="Y88" s="13" t="str">
        <f>IF($B88="","",  VLOOKUP($B88, Propostas!$B:$BE, 36, FALSE) )</f>
        <v/>
      </c>
      <c r="Z88" s="13" t="str">
        <f>IF($B88="","",  VLOOKUP($F88, VW_PROJETO!B:C, 2, FALSE) )</f>
        <v/>
      </c>
    </row>
    <row r="89" spans="2:26" x14ac:dyDescent="0.2">
      <c r="B89" s="2"/>
      <c r="C89" s="4" t="str">
        <f>IF($B89="","",  VLOOKUP($B89, Propostas!$B:$BE, 33, FALSE) )</f>
        <v/>
      </c>
      <c r="D89" s="4" t="str">
        <f>IF($B89="","",  VLOOKUP($B89, Propostas!$B:$BE, 34, FALSE) )</f>
        <v/>
      </c>
      <c r="E89" s="4" t="str">
        <f>IF($B89="","",  VLOOKUP($B89, Propostas!$B:$BE, 35, FALSE) )</f>
        <v/>
      </c>
      <c r="F89" s="4" t="str">
        <f>IF($B89="","",  VLOOKUP($B89, Propostas!$B:$BE, 2, FALSE) )</f>
        <v/>
      </c>
      <c r="G89" s="4" t="str">
        <f>IF($B89="","",  VLOOKUP($B89, Propostas!$B:$BE, 3, FALSE) )</f>
        <v/>
      </c>
      <c r="H89" s="4" t="str">
        <f>IF($B89="","",  VLOOKUP($B89, Propostas!$B:$BE, 4, FALSE) )</f>
        <v/>
      </c>
      <c r="I89" s="4" t="str">
        <f>IF($B89="","",  VLOOKUP($B89, Propostas!$B:$BE, 38, FALSE) )</f>
        <v/>
      </c>
      <c r="J89" s="13" t="str">
        <f>IF($B89="","",IF($C89="SIM", "&lt; INFRRAESTRUTURA &gt;", VLOOKUP($B89,Propostas!$B:$BE,41,FALSE)))</f>
        <v/>
      </c>
      <c r="K89" s="10" t="str">
        <f>IF($B89="","",  VLOOKUP($B89, Propostas!$B:$BE, 40, FALSE) )</f>
        <v/>
      </c>
      <c r="L89" s="10" t="str">
        <f>IF($B89="","",IF(VLOOKUP($B89,Propostas!$B:$BE,21,FALSE)=1,"B",IF(VLOOKUP($B89,Propostas!$B:$BE,21,FALSE)=2,"E","N")))</f>
        <v/>
      </c>
      <c r="M89" s="32" t="str">
        <f>IF($B89 = "", "",  VLOOKUP($B89, Propostas!$B:$BE, 46, FALSE) )</f>
        <v/>
      </c>
      <c r="N89" s="32" t="str">
        <f>IF($B89 = "", "",  VLOOKUP($B89, Propostas!$B:$BE, 47, FALSE) )</f>
        <v/>
      </c>
      <c r="O89" s="13" t="str">
        <f>IF($B89="","",IF($C89="SIM", "INFRAESTRUTURA", VLOOKUP($B89, Propostas!$B:$BE,42,FALSE)))</f>
        <v/>
      </c>
      <c r="P89" s="32" t="str">
        <f>IF($B89 = "", "",  VLOOKUP($B89, Propostas!$B:$BE, 49, FALSE) )</f>
        <v/>
      </c>
      <c r="Q89" s="13" t="str">
        <f>IF($B89="","",  VLOOKUP($B89, Propostas!$B:$BE, 39, FALSE) )</f>
        <v/>
      </c>
      <c r="R89" s="81" t="str">
        <f>IF($B89="","",  VLOOKUP($B89, Propostas!$B:$BE, 43, FALSE) )</f>
        <v/>
      </c>
      <c r="S89" s="81" t="str">
        <f>IF($B89="","",  VLOOKUP($B89, Propostas!$B:$BE, 44, FALSE) )</f>
        <v/>
      </c>
      <c r="T89" s="81" t="str">
        <f>IF($B89="","",  VLOOKUP($B89, Propostas!$B:$BE, 45, FALSE) )</f>
        <v/>
      </c>
      <c r="U89" s="32" t="str">
        <f>IF($B89="","",  VLOOKUP($B89, Propostas!$B:$BE, 37, FALSE) )</f>
        <v/>
      </c>
      <c r="V89" s="13" t="str">
        <f>IF($B89="","",  VLOOKUP($B89, Propostas!$B:$BE, 50, FALSE) )</f>
        <v/>
      </c>
      <c r="W89" s="13" t="str">
        <f>IF($B89="","",  VLOOKUP($B89, Propostas!$B:$BE, 51, FALSE) )</f>
        <v/>
      </c>
      <c r="X89" s="13" t="str">
        <f>IF($B89="","",  VLOOKUP($B89, Propostas!$B:$BE, 52, FALSE) )</f>
        <v/>
      </c>
      <c r="Y89" s="13" t="str">
        <f>IF($B89="","",  VLOOKUP($B89, Propostas!$B:$BE, 36, FALSE) )</f>
        <v/>
      </c>
      <c r="Z89" s="13" t="str">
        <f>IF($B89="","",  VLOOKUP($F89, VW_PROJETO!B:C, 2, FALSE) )</f>
        <v/>
      </c>
    </row>
    <row r="90" spans="2:26" x14ac:dyDescent="0.2">
      <c r="B90" s="2"/>
      <c r="C90" s="4" t="str">
        <f>IF($B90="","",  VLOOKUP($B90, Propostas!$B:$BE, 33, FALSE) )</f>
        <v/>
      </c>
      <c r="D90" s="4" t="str">
        <f>IF($B90="","",  VLOOKUP($B90, Propostas!$B:$BE, 34, FALSE) )</f>
        <v/>
      </c>
      <c r="E90" s="4" t="str">
        <f>IF($B90="","",  VLOOKUP($B90, Propostas!$B:$BE, 35, FALSE) )</f>
        <v/>
      </c>
      <c r="F90" s="4" t="str">
        <f>IF($B90="","",  VLOOKUP($B90, Propostas!$B:$BE, 2, FALSE) )</f>
        <v/>
      </c>
      <c r="G90" s="4" t="str">
        <f>IF($B90="","",  VLOOKUP($B90, Propostas!$B:$BE, 3, FALSE) )</f>
        <v/>
      </c>
      <c r="H90" s="4" t="str">
        <f>IF($B90="","",  VLOOKUP($B90, Propostas!$B:$BE, 4, FALSE) )</f>
        <v/>
      </c>
      <c r="I90" s="4" t="str">
        <f>IF($B90="","",  VLOOKUP($B90, Propostas!$B:$BE, 38, FALSE) )</f>
        <v/>
      </c>
      <c r="J90" s="13" t="str">
        <f>IF($B90="","",IF($C90="SIM", "&lt; INFRRAESTRUTURA &gt;", VLOOKUP($B90,Propostas!$B:$BE,41,FALSE)))</f>
        <v/>
      </c>
      <c r="K90" s="10" t="str">
        <f>IF($B90="","",  VLOOKUP($B90, Propostas!$B:$BE, 40, FALSE) )</f>
        <v/>
      </c>
      <c r="L90" s="10" t="str">
        <f>IF($B90="","",IF(VLOOKUP($B90,Propostas!$B:$BE,21,FALSE)=1,"B",IF(VLOOKUP($B90,Propostas!$B:$BE,21,FALSE)=2,"E","N")))</f>
        <v/>
      </c>
      <c r="M90" s="32" t="str">
        <f>IF($B90 = "", "",  VLOOKUP($B90, Propostas!$B:$BE, 46, FALSE) )</f>
        <v/>
      </c>
      <c r="N90" s="32" t="str">
        <f>IF($B90 = "", "",  VLOOKUP($B90, Propostas!$B:$BE, 47, FALSE) )</f>
        <v/>
      </c>
      <c r="O90" s="13" t="str">
        <f>IF($B90="","",IF($C90="SIM", "INFRAESTRUTURA", VLOOKUP($B90, Propostas!$B:$BE,42,FALSE)))</f>
        <v/>
      </c>
      <c r="P90" s="32" t="str">
        <f>IF($B90 = "", "",  VLOOKUP($B90, Propostas!$B:$BE, 49, FALSE) )</f>
        <v/>
      </c>
      <c r="Q90" s="13" t="str">
        <f>IF($B90="","",  VLOOKUP($B90, Propostas!$B:$BE, 39, FALSE) )</f>
        <v/>
      </c>
      <c r="R90" s="81" t="str">
        <f>IF($B90="","",  VLOOKUP($B90, Propostas!$B:$BE, 43, FALSE) )</f>
        <v/>
      </c>
      <c r="S90" s="81" t="str">
        <f>IF($B90="","",  VLOOKUP($B90, Propostas!$B:$BE, 44, FALSE) )</f>
        <v/>
      </c>
      <c r="T90" s="81" t="str">
        <f>IF($B90="","",  VLOOKUP($B90, Propostas!$B:$BE, 45, FALSE) )</f>
        <v/>
      </c>
      <c r="U90" s="32" t="str">
        <f>IF($B90="","",  VLOOKUP($B90, Propostas!$B:$BE, 37, FALSE) )</f>
        <v/>
      </c>
      <c r="V90" s="13" t="str">
        <f>IF($B90="","",  VLOOKUP($B90, Propostas!$B:$BE, 50, FALSE) )</f>
        <v/>
      </c>
      <c r="W90" s="13" t="str">
        <f>IF($B90="","",  VLOOKUP($B90, Propostas!$B:$BE, 51, FALSE) )</f>
        <v/>
      </c>
      <c r="X90" s="13" t="str">
        <f>IF($B90="","",  VLOOKUP($B90, Propostas!$B:$BE, 52, FALSE) )</f>
        <v/>
      </c>
      <c r="Y90" s="13" t="str">
        <f>IF($B90="","",  VLOOKUP($B90, Propostas!$B:$BE, 36, FALSE) )</f>
        <v/>
      </c>
      <c r="Z90" s="13" t="str">
        <f>IF($B90="","",  VLOOKUP($F90, VW_PROJETO!B:C, 2, FALSE) )</f>
        <v/>
      </c>
    </row>
    <row r="91" spans="2:26" x14ac:dyDescent="0.2">
      <c r="B91" s="2"/>
      <c r="C91" s="4" t="str">
        <f>IF($B91="","",  VLOOKUP($B91, Propostas!$B:$BE, 33, FALSE) )</f>
        <v/>
      </c>
      <c r="D91" s="4" t="str">
        <f>IF($B91="","",  VLOOKUP($B91, Propostas!$B:$BE, 34, FALSE) )</f>
        <v/>
      </c>
      <c r="E91" s="4" t="str">
        <f>IF($B91="","",  VLOOKUP($B91, Propostas!$B:$BE, 35, FALSE) )</f>
        <v/>
      </c>
      <c r="F91" s="4" t="str">
        <f>IF($B91="","",  VLOOKUP($B91, Propostas!$B:$BE, 2, FALSE) )</f>
        <v/>
      </c>
      <c r="G91" s="4" t="str">
        <f>IF($B91="","",  VLOOKUP($B91, Propostas!$B:$BE, 3, FALSE) )</f>
        <v/>
      </c>
      <c r="H91" s="4" t="str">
        <f>IF($B91="","",  VLOOKUP($B91, Propostas!$B:$BE, 4, FALSE) )</f>
        <v/>
      </c>
      <c r="I91" s="4" t="str">
        <f>IF($B91="","",  VLOOKUP($B91, Propostas!$B:$BE, 38, FALSE) )</f>
        <v/>
      </c>
      <c r="J91" s="13" t="str">
        <f>IF($B91="","",IF($C91="SIM", "&lt; INFRRAESTRUTURA &gt;", VLOOKUP($B91,Propostas!$B:$BE,41,FALSE)))</f>
        <v/>
      </c>
      <c r="K91" s="10" t="str">
        <f>IF($B91="","",  VLOOKUP($B91, Propostas!$B:$BE, 40, FALSE) )</f>
        <v/>
      </c>
      <c r="L91" s="10" t="str">
        <f>IF($B91="","",IF(VLOOKUP($B91,Propostas!$B:$BE,21,FALSE)=1,"B",IF(VLOOKUP($B91,Propostas!$B:$BE,21,FALSE)=2,"E","N")))</f>
        <v/>
      </c>
      <c r="M91" s="32" t="str">
        <f>IF($B91 = "", "",  VLOOKUP($B91, Propostas!$B:$BE, 46, FALSE) )</f>
        <v/>
      </c>
      <c r="N91" s="32" t="str">
        <f>IF($B91 = "", "",  VLOOKUP($B91, Propostas!$B:$BE, 47, FALSE) )</f>
        <v/>
      </c>
      <c r="O91" s="13" t="str">
        <f>IF($B91="","",IF($C91="SIM", "INFRAESTRUTURA", VLOOKUP($B91, Propostas!$B:$BE,42,FALSE)))</f>
        <v/>
      </c>
      <c r="P91" s="32" t="str">
        <f>IF($B91 = "", "",  VLOOKUP($B91, Propostas!$B:$BE, 49, FALSE) )</f>
        <v/>
      </c>
      <c r="Q91" s="13" t="str">
        <f>IF($B91="","",  VLOOKUP($B91, Propostas!$B:$BE, 39, FALSE) )</f>
        <v/>
      </c>
      <c r="R91" s="81" t="str">
        <f>IF($B91="","",  VLOOKUP($B91, Propostas!$B:$BE, 43, FALSE) )</f>
        <v/>
      </c>
      <c r="S91" s="81" t="str">
        <f>IF($B91="","",  VLOOKUP($B91, Propostas!$B:$BE, 44, FALSE) )</f>
        <v/>
      </c>
      <c r="T91" s="81" t="str">
        <f>IF($B91="","",  VLOOKUP($B91, Propostas!$B:$BE, 45, FALSE) )</f>
        <v/>
      </c>
      <c r="U91" s="32" t="str">
        <f>IF($B91="","",  VLOOKUP($B91, Propostas!$B:$BE, 37, FALSE) )</f>
        <v/>
      </c>
      <c r="V91" s="13" t="str">
        <f>IF($B91="","",  VLOOKUP($B91, Propostas!$B:$BE, 50, FALSE) )</f>
        <v/>
      </c>
      <c r="W91" s="13" t="str">
        <f>IF($B91="","",  VLOOKUP($B91, Propostas!$B:$BE, 51, FALSE) )</f>
        <v/>
      </c>
      <c r="X91" s="13" t="str">
        <f>IF($B91="","",  VLOOKUP($B91, Propostas!$B:$BE, 52, FALSE) )</f>
        <v/>
      </c>
      <c r="Y91" s="13" t="str">
        <f>IF($B91="","",  VLOOKUP($B91, Propostas!$B:$BE, 36, FALSE) )</f>
        <v/>
      </c>
      <c r="Z91" s="13" t="str">
        <f>IF($B91="","",  VLOOKUP($F91, VW_PROJETO!B:C, 2, FALSE) )</f>
        <v/>
      </c>
    </row>
    <row r="92" spans="2:26" x14ac:dyDescent="0.2">
      <c r="B92" s="2"/>
      <c r="C92" s="4" t="str">
        <f>IF($B92="","",  VLOOKUP($B92, Propostas!$B:$BE, 33, FALSE) )</f>
        <v/>
      </c>
      <c r="D92" s="4" t="str">
        <f>IF($B92="","",  VLOOKUP($B92, Propostas!$B:$BE, 34, FALSE) )</f>
        <v/>
      </c>
      <c r="E92" s="4" t="str">
        <f>IF($B92="","",  VLOOKUP($B92, Propostas!$B:$BE, 35, FALSE) )</f>
        <v/>
      </c>
      <c r="F92" s="4" t="str">
        <f>IF($B92="","",  VLOOKUP($B92, Propostas!$B:$BE, 2, FALSE) )</f>
        <v/>
      </c>
      <c r="G92" s="4" t="str">
        <f>IF($B92="","",  VLOOKUP($B92, Propostas!$B:$BE, 3, FALSE) )</f>
        <v/>
      </c>
      <c r="H92" s="4" t="str">
        <f>IF($B92="","",  VLOOKUP($B92, Propostas!$B:$BE, 4, FALSE) )</f>
        <v/>
      </c>
      <c r="I92" s="4" t="str">
        <f>IF($B92="","",  VLOOKUP($B92, Propostas!$B:$BE, 38, FALSE) )</f>
        <v/>
      </c>
      <c r="J92" s="13" t="str">
        <f>IF($B92="","",IF($C92="SIM", "&lt; INFRRAESTRUTURA &gt;", VLOOKUP($B92,Propostas!$B:$BE,41,FALSE)))</f>
        <v/>
      </c>
      <c r="K92" s="10" t="str">
        <f>IF($B92="","",  VLOOKUP($B92, Propostas!$B:$BE, 40, FALSE) )</f>
        <v/>
      </c>
      <c r="L92" s="10" t="str">
        <f>IF($B92="","",IF(VLOOKUP($B92,Propostas!$B:$BE,21,FALSE)=1,"B",IF(VLOOKUP($B92,Propostas!$B:$BE,21,FALSE)=2,"E","N")))</f>
        <v/>
      </c>
      <c r="M92" s="32" t="str">
        <f>IF($B92 = "", "",  VLOOKUP($B92, Propostas!$B:$BE, 46, FALSE) )</f>
        <v/>
      </c>
      <c r="N92" s="32" t="str">
        <f>IF($B92 = "", "",  VLOOKUP($B92, Propostas!$B:$BE, 47, FALSE) )</f>
        <v/>
      </c>
      <c r="O92" s="13" t="str">
        <f>IF($B92="","",IF($C92="SIM", "INFRAESTRUTURA", VLOOKUP($B92, Propostas!$B:$BE,42,FALSE)))</f>
        <v/>
      </c>
      <c r="P92" s="32" t="str">
        <f>IF($B92 = "", "",  VLOOKUP($B92, Propostas!$B:$BE, 49, FALSE) )</f>
        <v/>
      </c>
      <c r="Q92" s="13" t="str">
        <f>IF($B92="","",  VLOOKUP($B92, Propostas!$B:$BE, 39, FALSE) )</f>
        <v/>
      </c>
      <c r="R92" s="81" t="str">
        <f>IF($B92="","",  VLOOKUP($B92, Propostas!$B:$BE, 43, FALSE) )</f>
        <v/>
      </c>
      <c r="S92" s="81" t="str">
        <f>IF($B92="","",  VLOOKUP($B92, Propostas!$B:$BE, 44, FALSE) )</f>
        <v/>
      </c>
      <c r="T92" s="81" t="str">
        <f>IF($B92="","",  VLOOKUP($B92, Propostas!$B:$BE, 45, FALSE) )</f>
        <v/>
      </c>
      <c r="U92" s="32" t="str">
        <f>IF($B92="","",  VLOOKUP($B92, Propostas!$B:$BE, 37, FALSE) )</f>
        <v/>
      </c>
      <c r="V92" s="13" t="str">
        <f>IF($B92="","",  VLOOKUP($B92, Propostas!$B:$BE, 50, FALSE) )</f>
        <v/>
      </c>
      <c r="W92" s="13" t="str">
        <f>IF($B92="","",  VLOOKUP($B92, Propostas!$B:$BE, 51, FALSE) )</f>
        <v/>
      </c>
      <c r="X92" s="13" t="str">
        <f>IF($B92="","",  VLOOKUP($B92, Propostas!$B:$BE, 52, FALSE) )</f>
        <v/>
      </c>
      <c r="Y92" s="13" t="str">
        <f>IF($B92="","",  VLOOKUP($B92, Propostas!$B:$BE, 36, FALSE) )</f>
        <v/>
      </c>
      <c r="Z92" s="13" t="str">
        <f>IF($B92="","",  VLOOKUP($F92, VW_PROJETO!B:C, 2, FALSE) )</f>
        <v/>
      </c>
    </row>
    <row r="93" spans="2:26" x14ac:dyDescent="0.2">
      <c r="B93" s="2"/>
      <c r="C93" s="4" t="str">
        <f>IF($B93="","",  VLOOKUP($B93, Propostas!$B:$BE, 33, FALSE) )</f>
        <v/>
      </c>
      <c r="D93" s="4" t="str">
        <f>IF($B93="","",  VLOOKUP($B93, Propostas!$B:$BE, 34, FALSE) )</f>
        <v/>
      </c>
      <c r="E93" s="4" t="str">
        <f>IF($B93="","",  VLOOKUP($B93, Propostas!$B:$BE, 35, FALSE) )</f>
        <v/>
      </c>
      <c r="F93" s="4" t="str">
        <f>IF($B93="","",  VLOOKUP($B93, Propostas!$B:$BE, 2, FALSE) )</f>
        <v/>
      </c>
      <c r="G93" s="4" t="str">
        <f>IF($B93="","",  VLOOKUP($B93, Propostas!$B:$BE, 3, FALSE) )</f>
        <v/>
      </c>
      <c r="H93" s="4" t="str">
        <f>IF($B93="","",  VLOOKUP($B93, Propostas!$B:$BE, 4, FALSE) )</f>
        <v/>
      </c>
      <c r="I93" s="4" t="str">
        <f>IF($B93="","",  VLOOKUP($B93, Propostas!$B:$BE, 38, FALSE) )</f>
        <v/>
      </c>
      <c r="J93" s="13" t="str">
        <f>IF($B93="","",IF($C93="SIM", "&lt; INFRRAESTRUTURA &gt;", VLOOKUP($B93,Propostas!$B:$BE,41,FALSE)))</f>
        <v/>
      </c>
      <c r="K93" s="10" t="str">
        <f>IF($B93="","",  VLOOKUP($B93, Propostas!$B:$BE, 40, FALSE) )</f>
        <v/>
      </c>
      <c r="L93" s="10" t="str">
        <f>IF($B93="","",IF(VLOOKUP($B93,Propostas!$B:$BE,21,FALSE)=1,"B",IF(VLOOKUP($B93,Propostas!$B:$BE,21,FALSE)=2,"E","N")))</f>
        <v/>
      </c>
      <c r="M93" s="32" t="str">
        <f>IF($B93 = "", "",  VLOOKUP($B93, Propostas!$B:$BE, 46, FALSE) )</f>
        <v/>
      </c>
      <c r="N93" s="32" t="str">
        <f>IF($B93 = "", "",  VLOOKUP($B93, Propostas!$B:$BE, 47, FALSE) )</f>
        <v/>
      </c>
      <c r="O93" s="13" t="str">
        <f>IF($B93="","",IF($C93="SIM", "INFRAESTRUTURA", VLOOKUP($B93, Propostas!$B:$BE,42,FALSE)))</f>
        <v/>
      </c>
      <c r="P93" s="32" t="str">
        <f>IF($B93 = "", "",  VLOOKUP($B93, Propostas!$B:$BE, 49, FALSE) )</f>
        <v/>
      </c>
      <c r="Q93" s="13" t="str">
        <f>IF($B93="","",  VLOOKUP($B93, Propostas!$B:$BE, 39, FALSE) )</f>
        <v/>
      </c>
      <c r="R93" s="81" t="str">
        <f>IF($B93="","",  VLOOKUP($B93, Propostas!$B:$BE, 43, FALSE) )</f>
        <v/>
      </c>
      <c r="S93" s="81" t="str">
        <f>IF($B93="","",  VLOOKUP($B93, Propostas!$B:$BE, 44, FALSE) )</f>
        <v/>
      </c>
      <c r="T93" s="81" t="str">
        <f>IF($B93="","",  VLOOKUP($B93, Propostas!$B:$BE, 45, FALSE) )</f>
        <v/>
      </c>
      <c r="U93" s="32" t="str">
        <f>IF($B93="","",  VLOOKUP($B93, Propostas!$B:$BE, 37, FALSE) )</f>
        <v/>
      </c>
      <c r="V93" s="13" t="str">
        <f>IF($B93="","",  VLOOKUP($B93, Propostas!$B:$BE, 50, FALSE) )</f>
        <v/>
      </c>
      <c r="W93" s="13" t="str">
        <f>IF($B93="","",  VLOOKUP($B93, Propostas!$B:$BE, 51, FALSE) )</f>
        <v/>
      </c>
      <c r="X93" s="13" t="str">
        <f>IF($B93="","",  VLOOKUP($B93, Propostas!$B:$BE, 52, FALSE) )</f>
        <v/>
      </c>
      <c r="Y93" s="13" t="str">
        <f>IF($B93="","",  VLOOKUP($B93, Propostas!$B:$BE, 36, FALSE) )</f>
        <v/>
      </c>
      <c r="Z93" s="13" t="str">
        <f>IF($B93="","",  VLOOKUP($F93, VW_PROJETO!B:C, 2, FALSE) )</f>
        <v/>
      </c>
    </row>
    <row r="94" spans="2:26" x14ac:dyDescent="0.2">
      <c r="B94" s="2"/>
      <c r="C94" s="4" t="str">
        <f>IF($B94="","",  VLOOKUP($B94, Propostas!$B:$BE, 33, FALSE) )</f>
        <v/>
      </c>
      <c r="D94" s="4" t="str">
        <f>IF($B94="","",  VLOOKUP($B94, Propostas!$B:$BE, 34, FALSE) )</f>
        <v/>
      </c>
      <c r="E94" s="4" t="str">
        <f>IF($B94="","",  VLOOKUP($B94, Propostas!$B:$BE, 35, FALSE) )</f>
        <v/>
      </c>
      <c r="F94" s="4" t="str">
        <f>IF($B94="","",  VLOOKUP($B94, Propostas!$B:$BE, 2, FALSE) )</f>
        <v/>
      </c>
      <c r="G94" s="4" t="str">
        <f>IF($B94="","",  VLOOKUP($B94, Propostas!$B:$BE, 3, FALSE) )</f>
        <v/>
      </c>
      <c r="H94" s="4" t="str">
        <f>IF($B94="","",  VLOOKUP($B94, Propostas!$B:$BE, 4, FALSE) )</f>
        <v/>
      </c>
      <c r="I94" s="4" t="str">
        <f>IF($B94="","",  VLOOKUP($B94, Propostas!$B:$BE, 38, FALSE) )</f>
        <v/>
      </c>
      <c r="J94" s="13" t="str">
        <f>IF($B94="","",IF($C94="SIM", "&lt; INFRRAESTRUTURA &gt;", VLOOKUP($B94,Propostas!$B:$BE,41,FALSE)))</f>
        <v/>
      </c>
      <c r="K94" s="10" t="str">
        <f>IF($B94="","",  VLOOKUP($B94, Propostas!$B:$BE, 40, FALSE) )</f>
        <v/>
      </c>
      <c r="L94" s="10" t="str">
        <f>IF($B94="","",IF(VLOOKUP($B94,Propostas!$B:$BE,21,FALSE)=1,"B",IF(VLOOKUP($B94,Propostas!$B:$BE,21,FALSE)=2,"E","N")))</f>
        <v/>
      </c>
      <c r="M94" s="32" t="str">
        <f>IF($B94 = "", "",  VLOOKUP($B94, Propostas!$B:$BE, 46, FALSE) )</f>
        <v/>
      </c>
      <c r="N94" s="32" t="str">
        <f>IF($B94 = "", "",  VLOOKUP($B94, Propostas!$B:$BE, 47, FALSE) )</f>
        <v/>
      </c>
      <c r="O94" s="13" t="str">
        <f>IF($B94="","",IF($C94="SIM", "INFRAESTRUTURA", VLOOKUP($B94, Propostas!$B:$BE,42,FALSE)))</f>
        <v/>
      </c>
      <c r="P94" s="32" t="str">
        <f>IF($B94 = "", "",  VLOOKUP($B94, Propostas!$B:$BE, 49, FALSE) )</f>
        <v/>
      </c>
      <c r="Q94" s="13" t="str">
        <f>IF($B94="","",  VLOOKUP($B94, Propostas!$B:$BE, 39, FALSE) )</f>
        <v/>
      </c>
      <c r="R94" s="81" t="str">
        <f>IF($B94="","",  VLOOKUP($B94, Propostas!$B:$BE, 43, FALSE) )</f>
        <v/>
      </c>
      <c r="S94" s="81" t="str">
        <f>IF($B94="","",  VLOOKUP($B94, Propostas!$B:$BE, 44, FALSE) )</f>
        <v/>
      </c>
      <c r="T94" s="81" t="str">
        <f>IF($B94="","",  VLOOKUP($B94, Propostas!$B:$BE, 45, FALSE) )</f>
        <v/>
      </c>
      <c r="U94" s="32" t="str">
        <f>IF($B94="","",  VLOOKUP($B94, Propostas!$B:$BE, 37, FALSE) )</f>
        <v/>
      </c>
      <c r="V94" s="13" t="str">
        <f>IF($B94="","",  VLOOKUP($B94, Propostas!$B:$BE, 50, FALSE) )</f>
        <v/>
      </c>
      <c r="W94" s="13" t="str">
        <f>IF($B94="","",  VLOOKUP($B94, Propostas!$B:$BE, 51, FALSE) )</f>
        <v/>
      </c>
      <c r="X94" s="13" t="str">
        <f>IF($B94="","",  VLOOKUP($B94, Propostas!$B:$BE, 52, FALSE) )</f>
        <v/>
      </c>
      <c r="Y94" s="13" t="str">
        <f>IF($B94="","",  VLOOKUP($B94, Propostas!$B:$BE, 36, FALSE) )</f>
        <v/>
      </c>
      <c r="Z94" s="13" t="str">
        <f>IF($B94="","",  VLOOKUP($F94, VW_PROJETO!B:C, 2, FALSE) )</f>
        <v/>
      </c>
    </row>
    <row r="95" spans="2:26" x14ac:dyDescent="0.2">
      <c r="B95" s="2"/>
      <c r="C95" s="4" t="str">
        <f>IF($B95="","",  VLOOKUP($B95, Propostas!$B:$BE, 33, FALSE) )</f>
        <v/>
      </c>
      <c r="D95" s="4" t="str">
        <f>IF($B95="","",  VLOOKUP($B95, Propostas!$B:$BE, 34, FALSE) )</f>
        <v/>
      </c>
      <c r="E95" s="4" t="str">
        <f>IF($B95="","",  VLOOKUP($B95, Propostas!$B:$BE, 35, FALSE) )</f>
        <v/>
      </c>
      <c r="F95" s="4" t="str">
        <f>IF($B95="","",  VLOOKUP($B95, Propostas!$B:$BE, 2, FALSE) )</f>
        <v/>
      </c>
      <c r="G95" s="4" t="str">
        <f>IF($B95="","",  VLOOKUP($B95, Propostas!$B:$BE, 3, FALSE) )</f>
        <v/>
      </c>
      <c r="H95" s="4" t="str">
        <f>IF($B95="","",  VLOOKUP($B95, Propostas!$B:$BE, 4, FALSE) )</f>
        <v/>
      </c>
      <c r="I95" s="4" t="str">
        <f>IF($B95="","",  VLOOKUP($B95, Propostas!$B:$BE, 38, FALSE) )</f>
        <v/>
      </c>
      <c r="J95" s="13" t="str">
        <f>IF($B95="","",IF($C95="SIM", "&lt; INFRRAESTRUTURA &gt;", VLOOKUP($B95,Propostas!$B:$BE,41,FALSE)))</f>
        <v/>
      </c>
      <c r="K95" s="10" t="str">
        <f>IF($B95="","",  VLOOKUP($B95, Propostas!$B:$BE, 40, FALSE) )</f>
        <v/>
      </c>
      <c r="L95" s="10" t="str">
        <f>IF($B95="","",IF(VLOOKUP($B95,Propostas!$B:$BE,21,FALSE)=1,"B",IF(VLOOKUP($B95,Propostas!$B:$BE,21,FALSE)=2,"E","N")))</f>
        <v/>
      </c>
      <c r="M95" s="32" t="str">
        <f>IF($B95 = "", "",  VLOOKUP($B95, Propostas!$B:$BE, 46, FALSE) )</f>
        <v/>
      </c>
      <c r="N95" s="32" t="str">
        <f>IF($B95 = "", "",  VLOOKUP($B95, Propostas!$B:$BE, 47, FALSE) )</f>
        <v/>
      </c>
      <c r="O95" s="13" t="str">
        <f>IF($B95="","",IF($C95="SIM", "INFRAESTRUTURA", VLOOKUP($B95, Propostas!$B:$BE,42,FALSE)))</f>
        <v/>
      </c>
      <c r="P95" s="32" t="str">
        <f>IF($B95 = "", "",  VLOOKUP($B95, Propostas!$B:$BE, 49, FALSE) )</f>
        <v/>
      </c>
      <c r="Q95" s="13" t="str">
        <f>IF($B95="","",  VLOOKUP($B95, Propostas!$B:$BE, 39, FALSE) )</f>
        <v/>
      </c>
      <c r="R95" s="81" t="str">
        <f>IF($B95="","",  VLOOKUP($B95, Propostas!$B:$BE, 43, FALSE) )</f>
        <v/>
      </c>
      <c r="S95" s="81" t="str">
        <f>IF($B95="","",  VLOOKUP($B95, Propostas!$B:$BE, 44, FALSE) )</f>
        <v/>
      </c>
      <c r="T95" s="81" t="str">
        <f>IF($B95="","",  VLOOKUP($B95, Propostas!$B:$BE, 45, FALSE) )</f>
        <v/>
      </c>
      <c r="U95" s="32" t="str">
        <f>IF($B95="","",  VLOOKUP($B95, Propostas!$B:$BE, 37, FALSE) )</f>
        <v/>
      </c>
      <c r="V95" s="13" t="str">
        <f>IF($B95="","",  VLOOKUP($B95, Propostas!$B:$BE, 50, FALSE) )</f>
        <v/>
      </c>
      <c r="W95" s="13" t="str">
        <f>IF($B95="","",  VLOOKUP($B95, Propostas!$B:$BE, 51, FALSE) )</f>
        <v/>
      </c>
      <c r="X95" s="13" t="str">
        <f>IF($B95="","",  VLOOKUP($B95, Propostas!$B:$BE, 52, FALSE) )</f>
        <v/>
      </c>
      <c r="Y95" s="13" t="str">
        <f>IF($B95="","",  VLOOKUP($B95, Propostas!$B:$BE, 36, FALSE) )</f>
        <v/>
      </c>
      <c r="Z95" s="13" t="str">
        <f>IF($B95="","",  VLOOKUP($F95, VW_PROJETO!B:C, 2, FALSE) )</f>
        <v/>
      </c>
    </row>
    <row r="96" spans="2:26" x14ac:dyDescent="0.2">
      <c r="B96" s="2"/>
      <c r="C96" s="4" t="str">
        <f>IF($B96="","",  VLOOKUP($B96, Propostas!$B:$BE, 33, FALSE) )</f>
        <v/>
      </c>
      <c r="D96" s="4" t="str">
        <f>IF($B96="","",  VLOOKUP($B96, Propostas!$B:$BE, 34, FALSE) )</f>
        <v/>
      </c>
      <c r="E96" s="4" t="str">
        <f>IF($B96="","",  VLOOKUP($B96, Propostas!$B:$BE, 35, FALSE) )</f>
        <v/>
      </c>
      <c r="F96" s="4" t="str">
        <f>IF($B96="","",  VLOOKUP($B96, Propostas!$B:$BE, 2, FALSE) )</f>
        <v/>
      </c>
      <c r="G96" s="4" t="str">
        <f>IF($B96="","",  VLOOKUP($B96, Propostas!$B:$BE, 3, FALSE) )</f>
        <v/>
      </c>
      <c r="H96" s="4" t="str">
        <f>IF($B96="","",  VLOOKUP($B96, Propostas!$B:$BE, 4, FALSE) )</f>
        <v/>
      </c>
      <c r="I96" s="4" t="str">
        <f>IF($B96="","",  VLOOKUP($B96, Propostas!$B:$BE, 38, FALSE) )</f>
        <v/>
      </c>
      <c r="J96" s="13" t="str">
        <f>IF($B96="","",IF($C96="SIM", "&lt; INFRRAESTRUTURA &gt;", VLOOKUP($B96,Propostas!$B:$BE,41,FALSE)))</f>
        <v/>
      </c>
      <c r="K96" s="10" t="str">
        <f>IF($B96="","",  VLOOKUP($B96, Propostas!$B:$BE, 40, FALSE) )</f>
        <v/>
      </c>
      <c r="L96" s="10" t="str">
        <f>IF($B96="","",IF(VLOOKUP($B96,Propostas!$B:$BE,21,FALSE)=1,"B",IF(VLOOKUP($B96,Propostas!$B:$BE,21,FALSE)=2,"E","N")))</f>
        <v/>
      </c>
      <c r="M96" s="32" t="str">
        <f>IF($B96 = "", "",  VLOOKUP($B96, Propostas!$B:$BE, 46, FALSE) )</f>
        <v/>
      </c>
      <c r="N96" s="32" t="str">
        <f>IF($B96 = "", "",  VLOOKUP($B96, Propostas!$B:$BE, 47, FALSE) )</f>
        <v/>
      </c>
      <c r="O96" s="13" t="str">
        <f>IF($B96="","",IF($C96="SIM", "INFRAESTRUTURA", VLOOKUP($B96, Propostas!$B:$BE,42,FALSE)))</f>
        <v/>
      </c>
      <c r="P96" s="32" t="str">
        <f>IF($B96 = "", "",  VLOOKUP($B96, Propostas!$B:$BE, 49, FALSE) )</f>
        <v/>
      </c>
      <c r="Q96" s="13" t="str">
        <f>IF($B96="","",  VLOOKUP($B96, Propostas!$B:$BE, 39, FALSE) )</f>
        <v/>
      </c>
      <c r="R96" s="81" t="str">
        <f>IF($B96="","",  VLOOKUP($B96, Propostas!$B:$BE, 43, FALSE) )</f>
        <v/>
      </c>
      <c r="S96" s="81" t="str">
        <f>IF($B96="","",  VLOOKUP($B96, Propostas!$B:$BE, 44, FALSE) )</f>
        <v/>
      </c>
      <c r="T96" s="81" t="str">
        <f>IF($B96="","",  VLOOKUP($B96, Propostas!$B:$BE, 45, FALSE) )</f>
        <v/>
      </c>
      <c r="U96" s="32" t="str">
        <f>IF($B96="","",  VLOOKUP($B96, Propostas!$B:$BE, 37, FALSE) )</f>
        <v/>
      </c>
      <c r="V96" s="13" t="str">
        <f>IF($B96="","",  VLOOKUP($B96, Propostas!$B:$BE, 50, FALSE) )</f>
        <v/>
      </c>
      <c r="W96" s="13" t="str">
        <f>IF($B96="","",  VLOOKUP($B96, Propostas!$B:$BE, 51, FALSE) )</f>
        <v/>
      </c>
      <c r="X96" s="13" t="str">
        <f>IF($B96="","",  VLOOKUP($B96, Propostas!$B:$BE, 52, FALSE) )</f>
        <v/>
      </c>
      <c r="Y96" s="13" t="str">
        <f>IF($B96="","",  VLOOKUP($B96, Propostas!$B:$BE, 36, FALSE) )</f>
        <v/>
      </c>
      <c r="Z96" s="13" t="str">
        <f>IF($B96="","",  VLOOKUP($F96, VW_PROJETO!B:C, 2, FALSE) )</f>
        <v/>
      </c>
    </row>
    <row r="97" spans="2:26" x14ac:dyDescent="0.2">
      <c r="B97" s="2"/>
      <c r="C97" s="4" t="str">
        <f>IF($B97="","",  VLOOKUP($B97, Propostas!$B:$BE, 33, FALSE) )</f>
        <v/>
      </c>
      <c r="D97" s="4" t="str">
        <f>IF($B97="","",  VLOOKUP($B97, Propostas!$B:$BE, 34, FALSE) )</f>
        <v/>
      </c>
      <c r="E97" s="4" t="str">
        <f>IF($B97="","",  VLOOKUP($B97, Propostas!$B:$BE, 35, FALSE) )</f>
        <v/>
      </c>
      <c r="F97" s="4" t="str">
        <f>IF($B97="","",  VLOOKUP($B97, Propostas!$B:$BE, 2, FALSE) )</f>
        <v/>
      </c>
      <c r="G97" s="4" t="str">
        <f>IF($B97="","",  VLOOKUP($B97, Propostas!$B:$BE, 3, FALSE) )</f>
        <v/>
      </c>
      <c r="H97" s="4" t="str">
        <f>IF($B97="","",  VLOOKUP($B97, Propostas!$B:$BE, 4, FALSE) )</f>
        <v/>
      </c>
      <c r="I97" s="4" t="str">
        <f>IF($B97="","",  VLOOKUP($B97, Propostas!$B:$BE, 38, FALSE) )</f>
        <v/>
      </c>
      <c r="J97" s="13" t="str">
        <f>IF($B97="","",IF($C97="SIM", "&lt; INFRRAESTRUTURA &gt;", VLOOKUP($B97,Propostas!$B:$BE,41,FALSE)))</f>
        <v/>
      </c>
      <c r="K97" s="10" t="str">
        <f>IF($B97="","",  VLOOKUP($B97, Propostas!$B:$BE, 40, FALSE) )</f>
        <v/>
      </c>
      <c r="L97" s="10" t="str">
        <f>IF($B97="","",IF(VLOOKUP($B97,Propostas!$B:$BE,21,FALSE)=1,"B",IF(VLOOKUP($B97,Propostas!$B:$BE,21,FALSE)=2,"E","N")))</f>
        <v/>
      </c>
      <c r="M97" s="32" t="str">
        <f>IF($B97 = "", "",  VLOOKUP($B97, Propostas!$B:$BE, 46, FALSE) )</f>
        <v/>
      </c>
      <c r="N97" s="32" t="str">
        <f>IF($B97 = "", "",  VLOOKUP($B97, Propostas!$B:$BE, 47, FALSE) )</f>
        <v/>
      </c>
      <c r="O97" s="13" t="str">
        <f>IF($B97="","",IF($C97="SIM", "INFRAESTRUTURA", VLOOKUP($B97, Propostas!$B:$BE,42,FALSE)))</f>
        <v/>
      </c>
      <c r="P97" s="32" t="str">
        <f>IF($B97 = "", "",  VLOOKUP($B97, Propostas!$B:$BE, 49, FALSE) )</f>
        <v/>
      </c>
      <c r="Q97" s="13" t="str">
        <f>IF($B97="","",  VLOOKUP($B97, Propostas!$B:$BE, 39, FALSE) )</f>
        <v/>
      </c>
      <c r="R97" s="81" t="str">
        <f>IF($B97="","",  VLOOKUP($B97, Propostas!$B:$BE, 43, FALSE) )</f>
        <v/>
      </c>
      <c r="S97" s="81" t="str">
        <f>IF($B97="","",  VLOOKUP($B97, Propostas!$B:$BE, 44, FALSE) )</f>
        <v/>
      </c>
      <c r="T97" s="81" t="str">
        <f>IF($B97="","",  VLOOKUP($B97, Propostas!$B:$BE, 45, FALSE) )</f>
        <v/>
      </c>
      <c r="U97" s="32" t="str">
        <f>IF($B97="","",  VLOOKUP($B97, Propostas!$B:$BE, 37, FALSE) )</f>
        <v/>
      </c>
      <c r="V97" s="13" t="str">
        <f>IF($B97="","",  VLOOKUP($B97, Propostas!$B:$BE, 50, FALSE) )</f>
        <v/>
      </c>
      <c r="W97" s="13" t="str">
        <f>IF($B97="","",  VLOOKUP($B97, Propostas!$B:$BE, 51, FALSE) )</f>
        <v/>
      </c>
      <c r="X97" s="13" t="str">
        <f>IF($B97="","",  VLOOKUP($B97, Propostas!$B:$BE, 52, FALSE) )</f>
        <v/>
      </c>
      <c r="Y97" s="13" t="str">
        <f>IF($B97="","",  VLOOKUP($B97, Propostas!$B:$BE, 36, FALSE) )</f>
        <v/>
      </c>
      <c r="Z97" s="13" t="str">
        <f>IF($B97="","",  VLOOKUP($F97, VW_PROJETO!B:C, 2, FALSE) )</f>
        <v/>
      </c>
    </row>
    <row r="98" spans="2:26" x14ac:dyDescent="0.2">
      <c r="B98" s="2"/>
      <c r="C98" s="4" t="str">
        <f>IF($B98="","",  VLOOKUP($B98, Propostas!$B:$BE, 33, FALSE) )</f>
        <v/>
      </c>
      <c r="D98" s="4" t="str">
        <f>IF($B98="","",  VLOOKUP($B98, Propostas!$B:$BE, 34, FALSE) )</f>
        <v/>
      </c>
      <c r="E98" s="4" t="str">
        <f>IF($B98="","",  VLOOKUP($B98, Propostas!$B:$BE, 35, FALSE) )</f>
        <v/>
      </c>
      <c r="F98" s="4" t="str">
        <f>IF($B98="","",  VLOOKUP($B98, Propostas!$B:$BE, 2, FALSE) )</f>
        <v/>
      </c>
      <c r="G98" s="4" t="str">
        <f>IF($B98="","",  VLOOKUP($B98, Propostas!$B:$BE, 3, FALSE) )</f>
        <v/>
      </c>
      <c r="H98" s="4" t="str">
        <f>IF($B98="","",  VLOOKUP($B98, Propostas!$B:$BE, 4, FALSE) )</f>
        <v/>
      </c>
      <c r="I98" s="4" t="str">
        <f>IF($B98="","",  VLOOKUP($B98, Propostas!$B:$BE, 38, FALSE) )</f>
        <v/>
      </c>
      <c r="J98" s="13" t="str">
        <f>IF($B98="","",IF($C98="SIM", "&lt; INFRRAESTRUTURA &gt;", VLOOKUP($B98,Propostas!$B:$BE,41,FALSE)))</f>
        <v/>
      </c>
      <c r="K98" s="10" t="str">
        <f>IF($B98="","",  VLOOKUP($B98, Propostas!$B:$BE, 40, FALSE) )</f>
        <v/>
      </c>
      <c r="L98" s="10" t="str">
        <f>IF($B98="","",IF(VLOOKUP($B98,Propostas!$B:$BE,21,FALSE)=1,"B",IF(VLOOKUP($B98,Propostas!$B:$BE,21,FALSE)=2,"E","N")))</f>
        <v/>
      </c>
      <c r="M98" s="32" t="str">
        <f>IF($B98 = "", "",  VLOOKUP($B98, Propostas!$B:$BE, 46, FALSE) )</f>
        <v/>
      </c>
      <c r="N98" s="32" t="str">
        <f>IF($B98 = "", "",  VLOOKUP($B98, Propostas!$B:$BE, 47, FALSE) )</f>
        <v/>
      </c>
      <c r="O98" s="13" t="str">
        <f>IF($B98="","",IF($C98="SIM", "INFRAESTRUTURA", VLOOKUP($B98, Propostas!$B:$BE,42,FALSE)))</f>
        <v/>
      </c>
      <c r="P98" s="32" t="str">
        <f>IF($B98 = "", "",  VLOOKUP($B98, Propostas!$B:$BE, 49, FALSE) )</f>
        <v/>
      </c>
      <c r="Q98" s="13" t="str">
        <f>IF($B98="","",  VLOOKUP($B98, Propostas!$B:$BE, 39, FALSE) )</f>
        <v/>
      </c>
      <c r="R98" s="81" t="str">
        <f>IF($B98="","",  VLOOKUP($B98, Propostas!$B:$BE, 43, FALSE) )</f>
        <v/>
      </c>
      <c r="S98" s="81" t="str">
        <f>IF($B98="","",  VLOOKUP($B98, Propostas!$B:$BE, 44, FALSE) )</f>
        <v/>
      </c>
      <c r="T98" s="81" t="str">
        <f>IF($B98="","",  VLOOKUP($B98, Propostas!$B:$BE, 45, FALSE) )</f>
        <v/>
      </c>
      <c r="U98" s="32" t="str">
        <f>IF($B98="","",  VLOOKUP($B98, Propostas!$B:$BE, 37, FALSE) )</f>
        <v/>
      </c>
      <c r="V98" s="13" t="str">
        <f>IF($B98="","",  VLOOKUP($B98, Propostas!$B:$BE, 50, FALSE) )</f>
        <v/>
      </c>
      <c r="W98" s="13" t="str">
        <f>IF($B98="","",  VLOOKUP($B98, Propostas!$B:$BE, 51, FALSE) )</f>
        <v/>
      </c>
      <c r="X98" s="13" t="str">
        <f>IF($B98="","",  VLOOKUP($B98, Propostas!$B:$BE, 52, FALSE) )</f>
        <v/>
      </c>
      <c r="Y98" s="13" t="str">
        <f>IF($B98="","",  VLOOKUP($B98, Propostas!$B:$BE, 36, FALSE) )</f>
        <v/>
      </c>
      <c r="Z98" s="13" t="str">
        <f>IF($B98="","",  VLOOKUP($F98, VW_PROJETO!B:C, 2, FALSE) )</f>
        <v/>
      </c>
    </row>
    <row r="99" spans="2:26" x14ac:dyDescent="0.2">
      <c r="B99" s="2"/>
      <c r="C99" s="4" t="str">
        <f>IF($B99="","",  VLOOKUP($B99, Propostas!$B:$BE, 33, FALSE) )</f>
        <v/>
      </c>
      <c r="D99" s="4" t="str">
        <f>IF($B99="","",  VLOOKUP($B99, Propostas!$B:$BE, 34, FALSE) )</f>
        <v/>
      </c>
      <c r="E99" s="4" t="str">
        <f>IF($B99="","",  VLOOKUP($B99, Propostas!$B:$BE, 35, FALSE) )</f>
        <v/>
      </c>
      <c r="F99" s="4" t="str">
        <f>IF($B99="","",  VLOOKUP($B99, Propostas!$B:$BE, 2, FALSE) )</f>
        <v/>
      </c>
      <c r="G99" s="4" t="str">
        <f>IF($B99="","",  VLOOKUP($B99, Propostas!$B:$BE, 3, FALSE) )</f>
        <v/>
      </c>
      <c r="H99" s="4" t="str">
        <f>IF($B99="","",  VLOOKUP($B99, Propostas!$B:$BE, 4, FALSE) )</f>
        <v/>
      </c>
      <c r="I99" s="4" t="str">
        <f>IF($B99="","",  VLOOKUP($B99, Propostas!$B:$BE, 38, FALSE) )</f>
        <v/>
      </c>
      <c r="J99" s="13" t="str">
        <f>IF($B99="","",IF($C99="SIM", "&lt; INFRRAESTRUTURA &gt;", VLOOKUP($B99,Propostas!$B:$BE,41,FALSE)))</f>
        <v/>
      </c>
      <c r="K99" s="10" t="str">
        <f>IF($B99="","",  VLOOKUP($B99, Propostas!$B:$BE, 40, FALSE) )</f>
        <v/>
      </c>
      <c r="L99" s="10" t="str">
        <f>IF($B99="","",IF(VLOOKUP($B99,Propostas!$B:$BE,21,FALSE)=1,"B",IF(VLOOKUP($B99,Propostas!$B:$BE,21,FALSE)=2,"E","N")))</f>
        <v/>
      </c>
      <c r="M99" s="32" t="str">
        <f>IF($B99 = "", "",  VLOOKUP($B99, Propostas!$B:$BE, 46, FALSE) )</f>
        <v/>
      </c>
      <c r="N99" s="32" t="str">
        <f>IF($B99 = "", "",  VLOOKUP($B99, Propostas!$B:$BE, 47, FALSE) )</f>
        <v/>
      </c>
      <c r="O99" s="13" t="str">
        <f>IF($B99="","",IF($C99="SIM", "INFRAESTRUTURA", VLOOKUP($B99, Propostas!$B:$BE,42,FALSE)))</f>
        <v/>
      </c>
      <c r="P99" s="32" t="str">
        <f>IF($B99 = "", "",  VLOOKUP($B99, Propostas!$B:$BE, 49, FALSE) )</f>
        <v/>
      </c>
      <c r="Q99" s="13" t="str">
        <f>IF($B99="","",  VLOOKUP($B99, Propostas!$B:$BE, 39, FALSE) )</f>
        <v/>
      </c>
      <c r="R99" s="81" t="str">
        <f>IF($B99="","",  VLOOKUP($B99, Propostas!$B:$BE, 43, FALSE) )</f>
        <v/>
      </c>
      <c r="S99" s="81" t="str">
        <f>IF($B99="","",  VLOOKUP($B99, Propostas!$B:$BE, 44, FALSE) )</f>
        <v/>
      </c>
      <c r="T99" s="81" t="str">
        <f>IF($B99="","",  VLOOKUP($B99, Propostas!$B:$BE, 45, FALSE) )</f>
        <v/>
      </c>
      <c r="U99" s="32" t="str">
        <f>IF($B99="","",  VLOOKUP($B99, Propostas!$B:$BE, 37, FALSE) )</f>
        <v/>
      </c>
      <c r="V99" s="13" t="str">
        <f>IF($B99="","",  VLOOKUP($B99, Propostas!$B:$BE, 50, FALSE) )</f>
        <v/>
      </c>
      <c r="W99" s="13" t="str">
        <f>IF($B99="","",  VLOOKUP($B99, Propostas!$B:$BE, 51, FALSE) )</f>
        <v/>
      </c>
      <c r="X99" s="13" t="str">
        <f>IF($B99="","",  VLOOKUP($B99, Propostas!$B:$BE, 52, FALSE) )</f>
        <v/>
      </c>
      <c r="Y99" s="13" t="str">
        <f>IF($B99="","",  VLOOKUP($B99, Propostas!$B:$BE, 36, FALSE) )</f>
        <v/>
      </c>
      <c r="Z99" s="13" t="str">
        <f>IF($B99="","",  VLOOKUP($F99, VW_PROJETO!B:C, 2, FALSE) )</f>
        <v/>
      </c>
    </row>
    <row r="100" spans="2:26" x14ac:dyDescent="0.2">
      <c r="B100" s="2"/>
      <c r="C100" s="4" t="str">
        <f>IF($B100="","",  VLOOKUP($B100, Propostas!$B:$BE, 33, FALSE) )</f>
        <v/>
      </c>
      <c r="D100" s="4" t="str">
        <f>IF($B100="","",  VLOOKUP($B100, Propostas!$B:$BE, 34, FALSE) )</f>
        <v/>
      </c>
      <c r="E100" s="4" t="str">
        <f>IF($B100="","",  VLOOKUP($B100, Propostas!$B:$BE, 35, FALSE) )</f>
        <v/>
      </c>
      <c r="F100" s="4" t="str">
        <f>IF($B100="","",  VLOOKUP($B100, Propostas!$B:$BE, 2, FALSE) )</f>
        <v/>
      </c>
      <c r="G100" s="4" t="str">
        <f>IF($B100="","",  VLOOKUP($B100, Propostas!$B:$BE, 3, FALSE) )</f>
        <v/>
      </c>
      <c r="H100" s="4" t="str">
        <f>IF($B100="","",  VLOOKUP($B100, Propostas!$B:$BE, 4, FALSE) )</f>
        <v/>
      </c>
      <c r="I100" s="4" t="str">
        <f>IF($B100="","",  VLOOKUP($B100, Propostas!$B:$BE, 38, FALSE) )</f>
        <v/>
      </c>
      <c r="J100" s="13" t="str">
        <f>IF($B100="","",IF($C100="SIM", "&lt; INFRRAESTRUTURA &gt;", VLOOKUP($B100,Propostas!$B:$BE,41,FALSE)))</f>
        <v/>
      </c>
      <c r="K100" s="10" t="str">
        <f>IF($B100="","",  VLOOKUP($B100, Propostas!$B:$BE, 40, FALSE) )</f>
        <v/>
      </c>
      <c r="L100" s="10" t="str">
        <f>IF($B100="","",IF(VLOOKUP($B100,Propostas!$B:$BE,21,FALSE)=1,"B",IF(VLOOKUP($B100,Propostas!$B:$BE,21,FALSE)=2,"E","N")))</f>
        <v/>
      </c>
      <c r="M100" s="32" t="str">
        <f>IF($B100 = "", "",  VLOOKUP($B100, Propostas!$B:$BE, 46, FALSE) )</f>
        <v/>
      </c>
      <c r="N100" s="32" t="str">
        <f>IF($B100 = "", "",  VLOOKUP($B100, Propostas!$B:$BE, 47, FALSE) )</f>
        <v/>
      </c>
      <c r="O100" s="13" t="str">
        <f>IF($B100="","",IF($C100="SIM", "INFRAESTRUTURA", VLOOKUP($B100, Propostas!$B:$BE,42,FALSE)))</f>
        <v/>
      </c>
      <c r="P100" s="32" t="str">
        <f>IF($B100 = "", "",  VLOOKUP($B100, Propostas!$B:$BE, 49, FALSE) )</f>
        <v/>
      </c>
      <c r="Q100" s="13" t="str">
        <f>IF($B100="","",  VLOOKUP($B100, Propostas!$B:$BE, 39, FALSE) )</f>
        <v/>
      </c>
      <c r="R100" s="81" t="str">
        <f>IF($B100="","",  VLOOKUP($B100, Propostas!$B:$BE, 43, FALSE) )</f>
        <v/>
      </c>
      <c r="S100" s="81" t="str">
        <f>IF($B100="","",  VLOOKUP($B100, Propostas!$B:$BE, 44, FALSE) )</f>
        <v/>
      </c>
      <c r="T100" s="81" t="str">
        <f>IF($B100="","",  VLOOKUP($B100, Propostas!$B:$BE, 45, FALSE) )</f>
        <v/>
      </c>
      <c r="U100" s="32" t="str">
        <f>IF($B100="","",  VLOOKUP($B100, Propostas!$B:$BE, 37, FALSE) )</f>
        <v/>
      </c>
      <c r="V100" s="13" t="str">
        <f>IF($B100="","",  VLOOKUP($B100, Propostas!$B:$BE, 50, FALSE) )</f>
        <v/>
      </c>
      <c r="W100" s="13" t="str">
        <f>IF($B100="","",  VLOOKUP($B100, Propostas!$B:$BE, 51, FALSE) )</f>
        <v/>
      </c>
      <c r="X100" s="13" t="str">
        <f>IF($B100="","",  VLOOKUP($B100, Propostas!$B:$BE, 52, FALSE) )</f>
        <v/>
      </c>
      <c r="Y100" s="13" t="str">
        <f>IF($B100="","",  VLOOKUP($B100, Propostas!$B:$BE, 36, FALSE) )</f>
        <v/>
      </c>
      <c r="Z100" s="13" t="str">
        <f>IF($B100="","",  VLOOKUP($F100, VW_PROJETO!B:C, 2, FALSE) )</f>
        <v/>
      </c>
    </row>
    <row r="101" spans="2:26" x14ac:dyDescent="0.2">
      <c r="B101" s="2"/>
      <c r="C101" s="4" t="str">
        <f>IF($B101="","",  VLOOKUP($B101, Propostas!$B:$BE, 33, FALSE) )</f>
        <v/>
      </c>
      <c r="D101" s="4" t="str">
        <f>IF($B101="","",  VLOOKUP($B101, Propostas!$B:$BE, 34, FALSE) )</f>
        <v/>
      </c>
      <c r="E101" s="4" t="str">
        <f>IF($B101="","",  VLOOKUP($B101, Propostas!$B:$BE, 35, FALSE) )</f>
        <v/>
      </c>
      <c r="F101" s="4" t="str">
        <f>IF($B101="","",  VLOOKUP($B101, Propostas!$B:$BE, 2, FALSE) )</f>
        <v/>
      </c>
      <c r="G101" s="4" t="str">
        <f>IF($B101="","",  VLOOKUP($B101, Propostas!$B:$BE, 3, FALSE) )</f>
        <v/>
      </c>
      <c r="H101" s="4" t="str">
        <f>IF($B101="","",  VLOOKUP($B101, Propostas!$B:$BE, 4, FALSE) )</f>
        <v/>
      </c>
      <c r="I101" s="4" t="str">
        <f>IF($B101="","",  VLOOKUP($B101, Propostas!$B:$BE, 38, FALSE) )</f>
        <v/>
      </c>
      <c r="J101" s="13" t="str">
        <f>IF($B101="","",IF($C101="SIM", "&lt; INFRRAESTRUTURA &gt;", VLOOKUP($B101,Propostas!$B:$BE,41,FALSE)))</f>
        <v/>
      </c>
      <c r="K101" s="10" t="str">
        <f>IF($B101="","",  VLOOKUP($B101, Propostas!$B:$BE, 40, FALSE) )</f>
        <v/>
      </c>
      <c r="L101" s="10" t="str">
        <f>IF($B101="","",IF(VLOOKUP($B101,Propostas!$B:$BE,21,FALSE)=1,"B",IF(VLOOKUP($B101,Propostas!$B:$BE,21,FALSE)=2,"E","N")))</f>
        <v/>
      </c>
      <c r="M101" s="32" t="str">
        <f>IF($B101 = "", "",  VLOOKUP($B101, Propostas!$B:$BE, 46, FALSE) )</f>
        <v/>
      </c>
      <c r="N101" s="32" t="str">
        <f>IF($B101 = "", "",  VLOOKUP($B101, Propostas!$B:$BE, 47, FALSE) )</f>
        <v/>
      </c>
      <c r="O101" s="13" t="str">
        <f>IF($B101="","",IF($C101="SIM", "INFRAESTRUTURA", VLOOKUP($B101, Propostas!$B:$BE,42,FALSE)))</f>
        <v/>
      </c>
      <c r="P101" s="32" t="str">
        <f>IF($B101 = "", "",  VLOOKUP($B101, Propostas!$B:$BE, 49, FALSE) )</f>
        <v/>
      </c>
      <c r="Q101" s="13" t="str">
        <f>IF($B101="","",  VLOOKUP($B101, Propostas!$B:$BE, 39, FALSE) )</f>
        <v/>
      </c>
      <c r="R101" s="81" t="str">
        <f>IF($B101="","",  VLOOKUP($B101, Propostas!$B:$BE, 43, FALSE) )</f>
        <v/>
      </c>
      <c r="S101" s="81" t="str">
        <f>IF($B101="","",  VLOOKUP($B101, Propostas!$B:$BE, 44, FALSE) )</f>
        <v/>
      </c>
      <c r="T101" s="81" t="str">
        <f>IF($B101="","",  VLOOKUP($B101, Propostas!$B:$BE, 45, FALSE) )</f>
        <v/>
      </c>
      <c r="U101" s="32" t="str">
        <f>IF($B101="","",  VLOOKUP($B101, Propostas!$B:$BE, 37, FALSE) )</f>
        <v/>
      </c>
      <c r="V101" s="13" t="str">
        <f>IF($B101="","",  VLOOKUP($B101, Propostas!$B:$BE, 50, FALSE) )</f>
        <v/>
      </c>
      <c r="W101" s="13" t="str">
        <f>IF($B101="","",  VLOOKUP($B101, Propostas!$B:$BE, 51, FALSE) )</f>
        <v/>
      </c>
      <c r="X101" s="13" t="str">
        <f>IF($B101="","",  VLOOKUP($B101, Propostas!$B:$BE, 52, FALSE) )</f>
        <v/>
      </c>
      <c r="Y101" s="13" t="str">
        <f>IF($B101="","",  VLOOKUP($B101, Propostas!$B:$BE, 36, FALSE) )</f>
        <v/>
      </c>
      <c r="Z101" s="13" t="str">
        <f>IF($B101="","",  VLOOKUP($F101, VW_PROJETO!B:C, 2, FALSE) )</f>
        <v/>
      </c>
    </row>
    <row r="102" spans="2:26" x14ac:dyDescent="0.2">
      <c r="B102" s="2"/>
      <c r="C102" s="4" t="str">
        <f>IF($B102="","",  VLOOKUP($B102, Propostas!$B:$BE, 33, FALSE) )</f>
        <v/>
      </c>
      <c r="D102" s="4" t="str">
        <f>IF($B102="","",  VLOOKUP($B102, Propostas!$B:$BE, 34, FALSE) )</f>
        <v/>
      </c>
      <c r="E102" s="4" t="str">
        <f>IF($B102="","",  VLOOKUP($B102, Propostas!$B:$BE, 35, FALSE) )</f>
        <v/>
      </c>
      <c r="F102" s="4" t="str">
        <f>IF($B102="","",  VLOOKUP($B102, Propostas!$B:$BE, 2, FALSE) )</f>
        <v/>
      </c>
      <c r="G102" s="4" t="str">
        <f>IF($B102="","",  VLOOKUP($B102, Propostas!$B:$BE, 3, FALSE) )</f>
        <v/>
      </c>
      <c r="H102" s="4" t="str">
        <f>IF($B102="","",  VLOOKUP($B102, Propostas!$B:$BE, 4, FALSE) )</f>
        <v/>
      </c>
      <c r="I102" s="4" t="str">
        <f>IF($B102="","",  VLOOKUP($B102, Propostas!$B:$BE, 38, FALSE) )</f>
        <v/>
      </c>
      <c r="J102" s="13" t="str">
        <f>IF($B102="","",IF($C102="SIM", "&lt; INFRRAESTRUTURA &gt;", VLOOKUP($B102,Propostas!$B:$BE,41,FALSE)))</f>
        <v/>
      </c>
      <c r="K102" s="10" t="str">
        <f>IF($B102="","",  VLOOKUP($B102, Propostas!$B:$BE, 40, FALSE) )</f>
        <v/>
      </c>
      <c r="L102" s="10" t="str">
        <f>IF($B102="","",IF(VLOOKUP($B102,Propostas!$B:$BE,21,FALSE)=1,"B",IF(VLOOKUP($B102,Propostas!$B:$BE,21,FALSE)=2,"E","N")))</f>
        <v/>
      </c>
      <c r="M102" s="32" t="str">
        <f>IF($B102 = "", "",  VLOOKUP($B102, Propostas!$B:$BE, 46, FALSE) )</f>
        <v/>
      </c>
      <c r="N102" s="32" t="str">
        <f>IF($B102 = "", "",  VLOOKUP($B102, Propostas!$B:$BE, 47, FALSE) )</f>
        <v/>
      </c>
      <c r="O102" s="13" t="str">
        <f>IF($B102="","",IF($C102="SIM", "INFRAESTRUTURA", VLOOKUP($B102, Propostas!$B:$BE,42,FALSE)))</f>
        <v/>
      </c>
      <c r="P102" s="32" t="str">
        <f>IF($B102 = "", "",  VLOOKUP($B102, Propostas!$B:$BE, 49, FALSE) )</f>
        <v/>
      </c>
      <c r="Q102" s="13" t="str">
        <f>IF($B102="","",  VLOOKUP($B102, Propostas!$B:$BE, 39, FALSE) )</f>
        <v/>
      </c>
      <c r="R102" s="81" t="str">
        <f>IF($B102="","",  VLOOKUP($B102, Propostas!$B:$BE, 43, FALSE) )</f>
        <v/>
      </c>
      <c r="S102" s="81" t="str">
        <f>IF($B102="","",  VLOOKUP($B102, Propostas!$B:$BE, 44, FALSE) )</f>
        <v/>
      </c>
      <c r="T102" s="81" t="str">
        <f>IF($B102="","",  VLOOKUP($B102, Propostas!$B:$BE, 45, FALSE) )</f>
        <v/>
      </c>
      <c r="U102" s="32" t="str">
        <f>IF($B102="","",  VLOOKUP($B102, Propostas!$B:$BE, 37, FALSE) )</f>
        <v/>
      </c>
      <c r="V102" s="13" t="str">
        <f>IF($B102="","",  VLOOKUP($B102, Propostas!$B:$BE, 50, FALSE) )</f>
        <v/>
      </c>
      <c r="W102" s="13" t="str">
        <f>IF($B102="","",  VLOOKUP($B102, Propostas!$B:$BE, 51, FALSE) )</f>
        <v/>
      </c>
      <c r="X102" s="13" t="str">
        <f>IF($B102="","",  VLOOKUP($B102, Propostas!$B:$BE, 52, FALSE) )</f>
        <v/>
      </c>
      <c r="Y102" s="13" t="str">
        <f>IF($B102="","",  VLOOKUP($B102, Propostas!$B:$BE, 36, FALSE) )</f>
        <v/>
      </c>
      <c r="Z102" s="13" t="str">
        <f>IF($B102="","",  VLOOKUP($F102, VW_PROJETO!B:C, 2, FALSE) )</f>
        <v/>
      </c>
    </row>
    <row r="103" spans="2:26" x14ac:dyDescent="0.2">
      <c r="B103" s="2"/>
      <c r="C103" s="4" t="str">
        <f>IF($B103="","",  VLOOKUP($B103, Propostas!$B:$BE, 33, FALSE) )</f>
        <v/>
      </c>
      <c r="D103" s="4" t="str">
        <f>IF($B103="","",  VLOOKUP($B103, Propostas!$B:$BE, 34, FALSE) )</f>
        <v/>
      </c>
      <c r="E103" s="4" t="str">
        <f>IF($B103="","",  VLOOKUP($B103, Propostas!$B:$BE, 35, FALSE) )</f>
        <v/>
      </c>
      <c r="F103" s="4" t="str">
        <f>IF($B103="","",  VLOOKUP($B103, Propostas!$B:$BE, 2, FALSE) )</f>
        <v/>
      </c>
      <c r="G103" s="4" t="str">
        <f>IF($B103="","",  VLOOKUP($B103, Propostas!$B:$BE, 3, FALSE) )</f>
        <v/>
      </c>
      <c r="H103" s="4" t="str">
        <f>IF($B103="","",  VLOOKUP($B103, Propostas!$B:$BE, 4, FALSE) )</f>
        <v/>
      </c>
      <c r="I103" s="4" t="str">
        <f>IF($B103="","",  VLOOKUP($B103, Propostas!$B:$BE, 38, FALSE) )</f>
        <v/>
      </c>
      <c r="J103" s="13" t="str">
        <f>IF($B103="","",IF($C103="SIM", "&lt; INFRRAESTRUTURA &gt;", VLOOKUP($B103,Propostas!$B:$BE,41,FALSE)))</f>
        <v/>
      </c>
      <c r="K103" s="10" t="str">
        <f>IF($B103="","",  VLOOKUP($B103, Propostas!$B:$BE, 40, FALSE) )</f>
        <v/>
      </c>
      <c r="L103" s="10" t="str">
        <f>IF($B103="","",IF(VLOOKUP($B103,Propostas!$B:$BE,21,FALSE)=1,"B",IF(VLOOKUP($B103,Propostas!$B:$BE,21,FALSE)=2,"E","N")))</f>
        <v/>
      </c>
      <c r="M103" s="32" t="str">
        <f>IF($B103 = "", "",  VLOOKUP($B103, Propostas!$B:$BE, 46, FALSE) )</f>
        <v/>
      </c>
      <c r="N103" s="32" t="str">
        <f>IF($B103 = "", "",  VLOOKUP($B103, Propostas!$B:$BE, 47, FALSE) )</f>
        <v/>
      </c>
      <c r="O103" s="13" t="str">
        <f>IF($B103="","",IF($C103="SIM", "INFRAESTRUTURA", VLOOKUP($B103, Propostas!$B:$BE,42,FALSE)))</f>
        <v/>
      </c>
      <c r="P103" s="32" t="str">
        <f>IF($B103 = "", "",  VLOOKUP($B103, Propostas!$B:$BE, 49, FALSE) )</f>
        <v/>
      </c>
      <c r="Q103" s="13" t="str">
        <f>IF($B103="","",  VLOOKUP($B103, Propostas!$B:$BE, 39, FALSE) )</f>
        <v/>
      </c>
      <c r="R103" s="81" t="str">
        <f>IF($B103="","",  VLOOKUP($B103, Propostas!$B:$BE, 43, FALSE) )</f>
        <v/>
      </c>
      <c r="S103" s="81" t="str">
        <f>IF($B103="","",  VLOOKUP($B103, Propostas!$B:$BE, 44, FALSE) )</f>
        <v/>
      </c>
      <c r="T103" s="81" t="str">
        <f>IF($B103="","",  VLOOKUP($B103, Propostas!$B:$BE, 45, FALSE) )</f>
        <v/>
      </c>
      <c r="U103" s="32" t="str">
        <f>IF($B103="","",  VLOOKUP($B103, Propostas!$B:$BE, 37, FALSE) )</f>
        <v/>
      </c>
      <c r="V103" s="13" t="str">
        <f>IF($B103="","",  VLOOKUP($B103, Propostas!$B:$BE, 50, FALSE) )</f>
        <v/>
      </c>
      <c r="W103" s="13" t="str">
        <f>IF($B103="","",  VLOOKUP($B103, Propostas!$B:$BE, 51, FALSE) )</f>
        <v/>
      </c>
      <c r="X103" s="13" t="str">
        <f>IF($B103="","",  VLOOKUP($B103, Propostas!$B:$BE, 52, FALSE) )</f>
        <v/>
      </c>
      <c r="Y103" s="13" t="str">
        <f>IF($B103="","",  VLOOKUP($B103, Propostas!$B:$BE, 36, FALSE) )</f>
        <v/>
      </c>
      <c r="Z103" s="13" t="str">
        <f>IF($B103="","",  VLOOKUP($F103, VW_PROJETO!B:C, 2, FALSE) )</f>
        <v/>
      </c>
    </row>
    <row r="104" spans="2:26" x14ac:dyDescent="0.2">
      <c r="B104" s="2"/>
      <c r="C104" s="4" t="str">
        <f>IF($B104="","",  VLOOKUP($B104, Propostas!$B:$BE, 33, FALSE) )</f>
        <v/>
      </c>
      <c r="D104" s="4" t="str">
        <f>IF($B104="","",  VLOOKUP($B104, Propostas!$B:$BE, 34, FALSE) )</f>
        <v/>
      </c>
      <c r="E104" s="4" t="str">
        <f>IF($B104="","",  VLOOKUP($B104, Propostas!$B:$BE, 35, FALSE) )</f>
        <v/>
      </c>
      <c r="F104" s="4" t="str">
        <f>IF($B104="","",  VLOOKUP($B104, Propostas!$B:$BE, 2, FALSE) )</f>
        <v/>
      </c>
      <c r="G104" s="4" t="str">
        <f>IF($B104="","",  VLOOKUP($B104, Propostas!$B:$BE, 3, FALSE) )</f>
        <v/>
      </c>
      <c r="H104" s="4" t="str">
        <f>IF($B104="","",  VLOOKUP($B104, Propostas!$B:$BE, 4, FALSE) )</f>
        <v/>
      </c>
      <c r="I104" s="4" t="str">
        <f>IF($B104="","",  VLOOKUP($B104, Propostas!$B:$BE, 38, FALSE) )</f>
        <v/>
      </c>
      <c r="J104" s="13" t="str">
        <f>IF($B104="","",IF($C104="SIM", "&lt; INFRRAESTRUTURA &gt;", VLOOKUP($B104,Propostas!$B:$BE,41,FALSE)))</f>
        <v/>
      </c>
      <c r="K104" s="10" t="str">
        <f>IF($B104="","",  VLOOKUP($B104, Propostas!$B:$BE, 40, FALSE) )</f>
        <v/>
      </c>
      <c r="L104" s="10" t="str">
        <f>IF($B104="","",IF(VLOOKUP($B104,Propostas!$B:$BE,21,FALSE)=1,"B",IF(VLOOKUP($B104,Propostas!$B:$BE,21,FALSE)=2,"E","N")))</f>
        <v/>
      </c>
      <c r="M104" s="32" t="str">
        <f>IF($B104 = "", "",  VLOOKUP($B104, Propostas!$B:$BE, 46, FALSE) )</f>
        <v/>
      </c>
      <c r="N104" s="32" t="str">
        <f>IF($B104 = "", "",  VLOOKUP($B104, Propostas!$B:$BE, 47, FALSE) )</f>
        <v/>
      </c>
      <c r="O104" s="13" t="str">
        <f>IF($B104="","",IF($C104="SIM", "INFRAESTRUTURA", VLOOKUP($B104, Propostas!$B:$BE,42,FALSE)))</f>
        <v/>
      </c>
      <c r="P104" s="32" t="str">
        <f>IF($B104 = "", "",  VLOOKUP($B104, Propostas!$B:$BE, 49, FALSE) )</f>
        <v/>
      </c>
      <c r="Q104" s="13" t="str">
        <f>IF($B104="","",  VLOOKUP($B104, Propostas!$B:$BE, 39, FALSE) )</f>
        <v/>
      </c>
      <c r="R104" s="81" t="str">
        <f>IF($B104="","",  VLOOKUP($B104, Propostas!$B:$BE, 43, FALSE) )</f>
        <v/>
      </c>
      <c r="S104" s="81" t="str">
        <f>IF($B104="","",  VLOOKUP($B104, Propostas!$B:$BE, 44, FALSE) )</f>
        <v/>
      </c>
      <c r="T104" s="81" t="str">
        <f>IF($B104="","",  VLOOKUP($B104, Propostas!$B:$BE, 45, FALSE) )</f>
        <v/>
      </c>
      <c r="U104" s="32" t="str">
        <f>IF($B104="","",  VLOOKUP($B104, Propostas!$B:$BE, 37, FALSE) )</f>
        <v/>
      </c>
      <c r="V104" s="13" t="str">
        <f>IF($B104="","",  VLOOKUP($B104, Propostas!$B:$BE, 50, FALSE) )</f>
        <v/>
      </c>
      <c r="W104" s="13" t="str">
        <f>IF($B104="","",  VLOOKUP($B104, Propostas!$B:$BE, 51, FALSE) )</f>
        <v/>
      </c>
      <c r="X104" s="13" t="str">
        <f>IF($B104="","",  VLOOKUP($B104, Propostas!$B:$BE, 52, FALSE) )</f>
        <v/>
      </c>
      <c r="Y104" s="13" t="str">
        <f>IF($B104="","",  VLOOKUP($B104, Propostas!$B:$BE, 36, FALSE) )</f>
        <v/>
      </c>
      <c r="Z104" s="13" t="str">
        <f>IF($B104="","",  VLOOKUP($F104, VW_PROJETO!B:C, 2, FALSE) )</f>
        <v/>
      </c>
    </row>
    <row r="105" spans="2:26" x14ac:dyDescent="0.2">
      <c r="B105" s="2"/>
      <c r="C105" s="4" t="str">
        <f>IF($B105="","",  VLOOKUP($B105, Propostas!$B:$BE, 33, FALSE) )</f>
        <v/>
      </c>
      <c r="D105" s="4" t="str">
        <f>IF($B105="","",  VLOOKUP($B105, Propostas!$B:$BE, 34, FALSE) )</f>
        <v/>
      </c>
      <c r="E105" s="4" t="str">
        <f>IF($B105="","",  VLOOKUP($B105, Propostas!$B:$BE, 35, FALSE) )</f>
        <v/>
      </c>
      <c r="F105" s="4" t="str">
        <f>IF($B105="","",  VLOOKUP($B105, Propostas!$B:$BE, 2, FALSE) )</f>
        <v/>
      </c>
      <c r="G105" s="4" t="str">
        <f>IF($B105="","",  VLOOKUP($B105, Propostas!$B:$BE, 3, FALSE) )</f>
        <v/>
      </c>
      <c r="H105" s="4" t="str">
        <f>IF($B105="","",  VLOOKUP($B105, Propostas!$B:$BE, 4, FALSE) )</f>
        <v/>
      </c>
      <c r="I105" s="4" t="str">
        <f>IF($B105="","",  VLOOKUP($B105, Propostas!$B:$BE, 38, FALSE) )</f>
        <v/>
      </c>
      <c r="J105" s="13" t="str">
        <f>IF($B105="","",IF($C105="SIM", "&lt; INFRRAESTRUTURA &gt;", VLOOKUP($B105,Propostas!$B:$BE,41,FALSE)))</f>
        <v/>
      </c>
      <c r="K105" s="10" t="str">
        <f>IF($B105="","",  VLOOKUP($B105, Propostas!$B:$BE, 40, FALSE) )</f>
        <v/>
      </c>
      <c r="L105" s="10" t="str">
        <f>IF($B105="","",IF(VLOOKUP($B105,Propostas!$B:$BE,21,FALSE)=1,"B",IF(VLOOKUP($B105,Propostas!$B:$BE,21,FALSE)=2,"E","N")))</f>
        <v/>
      </c>
      <c r="M105" s="32" t="str">
        <f>IF($B105 = "", "",  VLOOKUP($B105, Propostas!$B:$BE, 46, FALSE) )</f>
        <v/>
      </c>
      <c r="N105" s="32" t="str">
        <f>IF($B105 = "", "",  VLOOKUP($B105, Propostas!$B:$BE, 47, FALSE) )</f>
        <v/>
      </c>
      <c r="O105" s="13" t="str">
        <f>IF($B105="","",IF($C105="SIM", "INFRAESTRUTURA", VLOOKUP($B105, Propostas!$B:$BE,42,FALSE)))</f>
        <v/>
      </c>
      <c r="P105" s="32" t="str">
        <f>IF($B105 = "", "",  VLOOKUP($B105, Propostas!$B:$BE, 49, FALSE) )</f>
        <v/>
      </c>
      <c r="Q105" s="13" t="str">
        <f>IF($B105="","",  VLOOKUP($B105, Propostas!$B:$BE, 39, FALSE) )</f>
        <v/>
      </c>
      <c r="R105" s="81" t="str">
        <f>IF($B105="","",  VLOOKUP($B105, Propostas!$B:$BE, 43, FALSE) )</f>
        <v/>
      </c>
      <c r="S105" s="81" t="str">
        <f>IF($B105="","",  VLOOKUP($B105, Propostas!$B:$BE, 44, FALSE) )</f>
        <v/>
      </c>
      <c r="T105" s="81" t="str">
        <f>IF($B105="","",  VLOOKUP($B105, Propostas!$B:$BE, 45, FALSE) )</f>
        <v/>
      </c>
      <c r="U105" s="32" t="str">
        <f>IF($B105="","",  VLOOKUP($B105, Propostas!$B:$BE, 37, FALSE) )</f>
        <v/>
      </c>
      <c r="V105" s="13" t="str">
        <f>IF($B105="","",  VLOOKUP($B105, Propostas!$B:$BE, 50, FALSE) )</f>
        <v/>
      </c>
      <c r="W105" s="13" t="str">
        <f>IF($B105="","",  VLOOKUP($B105, Propostas!$B:$BE, 51, FALSE) )</f>
        <v/>
      </c>
      <c r="X105" s="13" t="str">
        <f>IF($B105="","",  VLOOKUP($B105, Propostas!$B:$BE, 52, FALSE) )</f>
        <v/>
      </c>
      <c r="Y105" s="13" t="str">
        <f>IF($B105="","",  VLOOKUP($B105, Propostas!$B:$BE, 36, FALSE) )</f>
        <v/>
      </c>
      <c r="Z105" s="13" t="str">
        <f>IF($B105="","",  VLOOKUP($F105, VW_PROJETO!B:C, 2, FALSE) )</f>
        <v/>
      </c>
    </row>
    <row r="106" spans="2:26" x14ac:dyDescent="0.2">
      <c r="B106" s="2"/>
      <c r="C106" s="4" t="str">
        <f>IF($B106="","",  VLOOKUP($B106, Propostas!$B:$BE, 33, FALSE) )</f>
        <v/>
      </c>
      <c r="D106" s="4" t="str">
        <f>IF($B106="","",  VLOOKUP($B106, Propostas!$B:$BE, 34, FALSE) )</f>
        <v/>
      </c>
      <c r="E106" s="4" t="str">
        <f>IF($B106="","",  VLOOKUP($B106, Propostas!$B:$BE, 35, FALSE) )</f>
        <v/>
      </c>
      <c r="F106" s="4" t="str">
        <f>IF($B106="","",  VLOOKUP($B106, Propostas!$B:$BE, 2, FALSE) )</f>
        <v/>
      </c>
      <c r="G106" s="4" t="str">
        <f>IF($B106="","",  VLOOKUP($B106, Propostas!$B:$BE, 3, FALSE) )</f>
        <v/>
      </c>
      <c r="H106" s="4" t="str">
        <f>IF($B106="","",  VLOOKUP($B106, Propostas!$B:$BE, 4, FALSE) )</f>
        <v/>
      </c>
      <c r="I106" s="4" t="str">
        <f>IF($B106="","",  VLOOKUP($B106, Propostas!$B:$BE, 38, FALSE) )</f>
        <v/>
      </c>
      <c r="J106" s="13" t="str">
        <f>IF($B106="","",IF($C106="SIM", "&lt; INFRRAESTRUTURA &gt;", VLOOKUP($B106,Propostas!$B:$BE,41,FALSE)))</f>
        <v/>
      </c>
      <c r="K106" s="10" t="str">
        <f>IF($B106="","",  VLOOKUP($B106, Propostas!$B:$BE, 40, FALSE) )</f>
        <v/>
      </c>
      <c r="L106" s="10" t="str">
        <f>IF($B106="","",IF(VLOOKUP($B106,Propostas!$B:$BE,21,FALSE)=1,"B",IF(VLOOKUP($B106,Propostas!$B:$BE,21,FALSE)=2,"E","N")))</f>
        <v/>
      </c>
      <c r="M106" s="32" t="str">
        <f>IF($B106 = "", "",  VLOOKUP($B106, Propostas!$B:$BE, 46, FALSE) )</f>
        <v/>
      </c>
      <c r="N106" s="32" t="str">
        <f>IF($B106 = "", "",  VLOOKUP($B106, Propostas!$B:$BE, 47, FALSE) )</f>
        <v/>
      </c>
      <c r="O106" s="13" t="str">
        <f>IF($B106="","",IF($C106="SIM", "INFRAESTRUTURA", VLOOKUP($B106, Propostas!$B:$BE,42,FALSE)))</f>
        <v/>
      </c>
      <c r="P106" s="32" t="str">
        <f>IF($B106 = "", "",  VLOOKUP($B106, Propostas!$B:$BE, 49, FALSE) )</f>
        <v/>
      </c>
      <c r="Q106" s="13" t="str">
        <f>IF($B106="","",  VLOOKUP($B106, Propostas!$B:$BE, 39, FALSE) )</f>
        <v/>
      </c>
      <c r="R106" s="81" t="str">
        <f>IF($B106="","",  VLOOKUP($B106, Propostas!$B:$BE, 43, FALSE) )</f>
        <v/>
      </c>
      <c r="S106" s="81" t="str">
        <f>IF($B106="","",  VLOOKUP($B106, Propostas!$B:$BE, 44, FALSE) )</f>
        <v/>
      </c>
      <c r="T106" s="81" t="str">
        <f>IF($B106="","",  VLOOKUP($B106, Propostas!$B:$BE, 45, FALSE) )</f>
        <v/>
      </c>
      <c r="U106" s="32" t="str">
        <f>IF($B106="","",  VLOOKUP($B106, Propostas!$B:$BE, 37, FALSE) )</f>
        <v/>
      </c>
      <c r="V106" s="13" t="str">
        <f>IF($B106="","",  VLOOKUP($B106, Propostas!$B:$BE, 50, FALSE) )</f>
        <v/>
      </c>
      <c r="W106" s="13" t="str">
        <f>IF($B106="","",  VLOOKUP($B106, Propostas!$B:$BE, 51, FALSE) )</f>
        <v/>
      </c>
      <c r="X106" s="13" t="str">
        <f>IF($B106="","",  VLOOKUP($B106, Propostas!$B:$BE, 52, FALSE) )</f>
        <v/>
      </c>
      <c r="Y106" s="13" t="str">
        <f>IF($B106="","",  VLOOKUP($B106, Propostas!$B:$BE, 36, FALSE) )</f>
        <v/>
      </c>
      <c r="Z106" s="13" t="str">
        <f>IF($B106="","",  VLOOKUP($F106, VW_PROJETO!B:C, 2, FALSE) )</f>
        <v/>
      </c>
    </row>
    <row r="107" spans="2:26" x14ac:dyDescent="0.2">
      <c r="B107" s="2"/>
      <c r="C107" s="4" t="str">
        <f>IF($B107="","",  VLOOKUP($B107, Propostas!$B:$BE, 33, FALSE) )</f>
        <v/>
      </c>
      <c r="D107" s="4" t="str">
        <f>IF($B107="","",  VLOOKUP($B107, Propostas!$B:$BE, 34, FALSE) )</f>
        <v/>
      </c>
      <c r="E107" s="4" t="str">
        <f>IF($B107="","",  VLOOKUP($B107, Propostas!$B:$BE, 35, FALSE) )</f>
        <v/>
      </c>
      <c r="F107" s="4" t="str">
        <f>IF($B107="","",  VLOOKUP($B107, Propostas!$B:$BE, 2, FALSE) )</f>
        <v/>
      </c>
      <c r="G107" s="4" t="str">
        <f>IF($B107="","",  VLOOKUP($B107, Propostas!$B:$BE, 3, FALSE) )</f>
        <v/>
      </c>
      <c r="H107" s="4" t="str">
        <f>IF($B107="","",  VLOOKUP($B107, Propostas!$B:$BE, 4, FALSE) )</f>
        <v/>
      </c>
      <c r="I107" s="4" t="str">
        <f>IF($B107="","",  VLOOKUP($B107, Propostas!$B:$BE, 38, FALSE) )</f>
        <v/>
      </c>
      <c r="J107" s="13" t="str">
        <f>IF($B107="","",IF($C107="SIM", "&lt; INFRRAESTRUTURA &gt;", VLOOKUP($B107,Propostas!$B:$BE,41,FALSE)))</f>
        <v/>
      </c>
      <c r="K107" s="10" t="str">
        <f>IF($B107="","",  VLOOKUP($B107, Propostas!$B:$BE, 40, FALSE) )</f>
        <v/>
      </c>
      <c r="L107" s="10" t="str">
        <f>IF($B107="","",IF(VLOOKUP($B107,Propostas!$B:$BE,21,FALSE)=1,"B",IF(VLOOKUP($B107,Propostas!$B:$BE,21,FALSE)=2,"E","N")))</f>
        <v/>
      </c>
      <c r="M107" s="32" t="str">
        <f>IF($B107 = "", "",  VLOOKUP($B107, Propostas!$B:$BE, 46, FALSE) )</f>
        <v/>
      </c>
      <c r="N107" s="32" t="str">
        <f>IF($B107 = "", "",  VLOOKUP($B107, Propostas!$B:$BE, 47, FALSE) )</f>
        <v/>
      </c>
      <c r="O107" s="13" t="str">
        <f>IF($B107="","",IF($C107="SIM", "INFRAESTRUTURA", VLOOKUP($B107, Propostas!$B:$BE,42,FALSE)))</f>
        <v/>
      </c>
      <c r="P107" s="32" t="str">
        <f>IF($B107 = "", "",  VLOOKUP($B107, Propostas!$B:$BE, 49, FALSE) )</f>
        <v/>
      </c>
      <c r="Q107" s="13" t="str">
        <f>IF($B107="","",  VLOOKUP($B107, Propostas!$B:$BE, 39, FALSE) )</f>
        <v/>
      </c>
      <c r="R107" s="81" t="str">
        <f>IF($B107="","",  VLOOKUP($B107, Propostas!$B:$BE, 43, FALSE) )</f>
        <v/>
      </c>
      <c r="S107" s="81" t="str">
        <f>IF($B107="","",  VLOOKUP($B107, Propostas!$B:$BE, 44, FALSE) )</f>
        <v/>
      </c>
      <c r="T107" s="81" t="str">
        <f>IF($B107="","",  VLOOKUP($B107, Propostas!$B:$BE, 45, FALSE) )</f>
        <v/>
      </c>
      <c r="U107" s="32" t="str">
        <f>IF($B107="","",  VLOOKUP($B107, Propostas!$B:$BE, 37, FALSE) )</f>
        <v/>
      </c>
      <c r="V107" s="13" t="str">
        <f>IF($B107="","",  VLOOKUP($B107, Propostas!$B:$BE, 50, FALSE) )</f>
        <v/>
      </c>
      <c r="W107" s="13" t="str">
        <f>IF($B107="","",  VLOOKUP($B107, Propostas!$B:$BE, 51, FALSE) )</f>
        <v/>
      </c>
      <c r="X107" s="13" t="str">
        <f>IF($B107="","",  VLOOKUP($B107, Propostas!$B:$BE, 52, FALSE) )</f>
        <v/>
      </c>
      <c r="Y107" s="13" t="str">
        <f>IF($B107="","",  VLOOKUP($B107, Propostas!$B:$BE, 36, FALSE) )</f>
        <v/>
      </c>
      <c r="Z107" s="13" t="str">
        <f>IF($B107="","",  VLOOKUP($F107, VW_PROJETO!B:C, 2, FALSE) )</f>
        <v/>
      </c>
    </row>
    <row r="108" spans="2:26" x14ac:dyDescent="0.2">
      <c r="B108" s="2"/>
      <c r="C108" s="4" t="str">
        <f>IF($B108="","",  VLOOKUP($B108, Propostas!$B:$BE, 33, FALSE) )</f>
        <v/>
      </c>
      <c r="D108" s="4" t="str">
        <f>IF($B108="","",  VLOOKUP($B108, Propostas!$B:$BE, 34, FALSE) )</f>
        <v/>
      </c>
      <c r="E108" s="4" t="str">
        <f>IF($B108="","",  VLOOKUP($B108, Propostas!$B:$BE, 35, FALSE) )</f>
        <v/>
      </c>
      <c r="F108" s="4" t="str">
        <f>IF($B108="","",  VLOOKUP($B108, Propostas!$B:$BE, 2, FALSE) )</f>
        <v/>
      </c>
      <c r="G108" s="4" t="str">
        <f>IF($B108="","",  VLOOKUP($B108, Propostas!$B:$BE, 3, FALSE) )</f>
        <v/>
      </c>
      <c r="H108" s="4" t="str">
        <f>IF($B108="","",  VLOOKUP($B108, Propostas!$B:$BE, 4, FALSE) )</f>
        <v/>
      </c>
      <c r="I108" s="4" t="str">
        <f>IF($B108="","",  VLOOKUP($B108, Propostas!$B:$BE, 38, FALSE) )</f>
        <v/>
      </c>
      <c r="J108" s="13" t="str">
        <f>IF($B108="","",IF($C108="SIM", "&lt; INFRRAESTRUTURA &gt;", VLOOKUP($B108,Propostas!$B:$BE,41,FALSE)))</f>
        <v/>
      </c>
      <c r="K108" s="10" t="str">
        <f>IF($B108="","",  VLOOKUP($B108, Propostas!$B:$BE, 40, FALSE) )</f>
        <v/>
      </c>
      <c r="L108" s="10" t="str">
        <f>IF($B108="","",IF(VLOOKUP($B108,Propostas!$B:$BE,21,FALSE)=1,"B",IF(VLOOKUP($B108,Propostas!$B:$BE,21,FALSE)=2,"E","N")))</f>
        <v/>
      </c>
      <c r="M108" s="32" t="str">
        <f>IF($B108 = "", "",  VLOOKUP($B108, Propostas!$B:$BE, 46, FALSE) )</f>
        <v/>
      </c>
      <c r="N108" s="32" t="str">
        <f>IF($B108 = "", "",  VLOOKUP($B108, Propostas!$B:$BE, 47, FALSE) )</f>
        <v/>
      </c>
      <c r="O108" s="13" t="str">
        <f>IF($B108="","",IF($C108="SIM", "INFRAESTRUTURA", VLOOKUP($B108, Propostas!$B:$BE,42,FALSE)))</f>
        <v/>
      </c>
      <c r="P108" s="32" t="str">
        <f>IF($B108 = "", "",  VLOOKUP($B108, Propostas!$B:$BE, 49, FALSE) )</f>
        <v/>
      </c>
      <c r="Q108" s="13" t="str">
        <f>IF($B108="","",  VLOOKUP($B108, Propostas!$B:$BE, 39, FALSE) )</f>
        <v/>
      </c>
      <c r="R108" s="81" t="str">
        <f>IF($B108="","",  VLOOKUP($B108, Propostas!$B:$BE, 43, FALSE) )</f>
        <v/>
      </c>
      <c r="S108" s="81" t="str">
        <f>IF($B108="","",  VLOOKUP($B108, Propostas!$B:$BE, 44, FALSE) )</f>
        <v/>
      </c>
      <c r="T108" s="81" t="str">
        <f>IF($B108="","",  VLOOKUP($B108, Propostas!$B:$BE, 45, FALSE) )</f>
        <v/>
      </c>
      <c r="U108" s="32" t="str">
        <f>IF($B108="","",  VLOOKUP($B108, Propostas!$B:$BE, 37, FALSE) )</f>
        <v/>
      </c>
      <c r="V108" s="13" t="str">
        <f>IF($B108="","",  VLOOKUP($B108, Propostas!$B:$BE, 50, FALSE) )</f>
        <v/>
      </c>
      <c r="W108" s="13" t="str">
        <f>IF($B108="","",  VLOOKUP($B108, Propostas!$B:$BE, 51, FALSE) )</f>
        <v/>
      </c>
      <c r="X108" s="13" t="str">
        <f>IF($B108="","",  VLOOKUP($B108, Propostas!$B:$BE, 52, FALSE) )</f>
        <v/>
      </c>
      <c r="Y108" s="13" t="str">
        <f>IF($B108="","",  VLOOKUP($B108, Propostas!$B:$BE, 36, FALSE) )</f>
        <v/>
      </c>
      <c r="Z108" s="13" t="str">
        <f>IF($B108="","",  VLOOKUP($F108, VW_PROJETO!B:C, 2, FALSE) )</f>
        <v/>
      </c>
    </row>
    <row r="109" spans="2:26" x14ac:dyDescent="0.2">
      <c r="B109" s="2"/>
      <c r="C109" s="4" t="str">
        <f>IF($B109="","",  VLOOKUP($B109, Propostas!$B:$BE, 33, FALSE) )</f>
        <v/>
      </c>
      <c r="D109" s="4" t="str">
        <f>IF($B109="","",  VLOOKUP($B109, Propostas!$B:$BE, 34, FALSE) )</f>
        <v/>
      </c>
      <c r="E109" s="4" t="str">
        <f>IF($B109="","",  VLOOKUP($B109, Propostas!$B:$BE, 35, FALSE) )</f>
        <v/>
      </c>
      <c r="F109" s="4" t="str">
        <f>IF($B109="","",  VLOOKUP($B109, Propostas!$B:$BE, 2, FALSE) )</f>
        <v/>
      </c>
      <c r="G109" s="4" t="str">
        <f>IF($B109="","",  VLOOKUP($B109, Propostas!$B:$BE, 3, FALSE) )</f>
        <v/>
      </c>
      <c r="H109" s="4" t="str">
        <f>IF($B109="","",  VLOOKUP($B109, Propostas!$B:$BE, 4, FALSE) )</f>
        <v/>
      </c>
      <c r="I109" s="4" t="str">
        <f>IF($B109="","",  VLOOKUP($B109, Propostas!$B:$BE, 38, FALSE) )</f>
        <v/>
      </c>
      <c r="J109" s="13" t="str">
        <f>IF($B109="","",IF($C109="SIM", "&lt; INFRRAESTRUTURA &gt;", VLOOKUP($B109,Propostas!$B:$BE,41,FALSE)))</f>
        <v/>
      </c>
      <c r="K109" s="10" t="str">
        <f>IF($B109="","",  VLOOKUP($B109, Propostas!$B:$BE, 40, FALSE) )</f>
        <v/>
      </c>
      <c r="L109" s="10" t="str">
        <f>IF($B109="","",IF(VLOOKUP($B109,Propostas!$B:$BE,21,FALSE)=1,"B",IF(VLOOKUP($B109,Propostas!$B:$BE,21,FALSE)=2,"E","N")))</f>
        <v/>
      </c>
      <c r="M109" s="32" t="str">
        <f>IF($B109 = "", "",  VLOOKUP($B109, Propostas!$B:$BE, 46, FALSE) )</f>
        <v/>
      </c>
      <c r="N109" s="32" t="str">
        <f>IF($B109 = "", "",  VLOOKUP($B109, Propostas!$B:$BE, 47, FALSE) )</f>
        <v/>
      </c>
      <c r="O109" s="13" t="str">
        <f>IF($B109="","",IF($C109="SIM", "INFRAESTRUTURA", VLOOKUP($B109, Propostas!$B:$BE,42,FALSE)))</f>
        <v/>
      </c>
      <c r="P109" s="32" t="str">
        <f>IF($B109 = "", "",  VLOOKUP($B109, Propostas!$B:$BE, 49, FALSE) )</f>
        <v/>
      </c>
      <c r="Q109" s="13" t="str">
        <f>IF($B109="","",  VLOOKUP($B109, Propostas!$B:$BE, 39, FALSE) )</f>
        <v/>
      </c>
      <c r="R109" s="81" t="str">
        <f>IF($B109="","",  VLOOKUP($B109, Propostas!$B:$BE, 43, FALSE) )</f>
        <v/>
      </c>
      <c r="S109" s="81" t="str">
        <f>IF($B109="","",  VLOOKUP($B109, Propostas!$B:$BE, 44, FALSE) )</f>
        <v/>
      </c>
      <c r="T109" s="81" t="str">
        <f>IF($B109="","",  VLOOKUP($B109, Propostas!$B:$BE, 45, FALSE) )</f>
        <v/>
      </c>
      <c r="U109" s="32" t="str">
        <f>IF($B109="","",  VLOOKUP($B109, Propostas!$B:$BE, 37, FALSE) )</f>
        <v/>
      </c>
      <c r="V109" s="13" t="str">
        <f>IF($B109="","",  VLOOKUP($B109, Propostas!$B:$BE, 50, FALSE) )</f>
        <v/>
      </c>
      <c r="W109" s="13" t="str">
        <f>IF($B109="","",  VLOOKUP($B109, Propostas!$B:$BE, 51, FALSE) )</f>
        <v/>
      </c>
      <c r="X109" s="13" t="str">
        <f>IF($B109="","",  VLOOKUP($B109, Propostas!$B:$BE, 52, FALSE) )</f>
        <v/>
      </c>
      <c r="Y109" s="13" t="str">
        <f>IF($B109="","",  VLOOKUP($B109, Propostas!$B:$BE, 36, FALSE) )</f>
        <v/>
      </c>
      <c r="Z109" s="13" t="str">
        <f>IF($B109="","",  VLOOKUP($F109, VW_PROJETO!B:C, 2, FALSE) )</f>
        <v/>
      </c>
    </row>
    <row r="110" spans="2:26" x14ac:dyDescent="0.2">
      <c r="B110" s="2"/>
      <c r="C110" s="4" t="str">
        <f>IF($B110="","",  VLOOKUP($B110, Propostas!$B:$BE, 33, FALSE) )</f>
        <v/>
      </c>
      <c r="D110" s="4" t="str">
        <f>IF($B110="","",  VLOOKUP($B110, Propostas!$B:$BE, 34, FALSE) )</f>
        <v/>
      </c>
      <c r="E110" s="4" t="str">
        <f>IF($B110="","",  VLOOKUP($B110, Propostas!$B:$BE, 35, FALSE) )</f>
        <v/>
      </c>
      <c r="F110" s="4" t="str">
        <f>IF($B110="","",  VLOOKUP($B110, Propostas!$B:$BE, 2, FALSE) )</f>
        <v/>
      </c>
      <c r="G110" s="4" t="str">
        <f>IF($B110="","",  VLOOKUP($B110, Propostas!$B:$BE, 3, FALSE) )</f>
        <v/>
      </c>
      <c r="H110" s="4" t="str">
        <f>IF($B110="","",  VLOOKUP($B110, Propostas!$B:$BE, 4, FALSE) )</f>
        <v/>
      </c>
      <c r="I110" s="4" t="str">
        <f>IF($B110="","",  VLOOKUP($B110, Propostas!$B:$BE, 38, FALSE) )</f>
        <v/>
      </c>
      <c r="J110" s="13" t="str">
        <f>IF($B110="","",IF($C110="SIM", "&lt; INFRRAESTRUTURA &gt;", VLOOKUP($B110,Propostas!$B:$BE,41,FALSE)))</f>
        <v/>
      </c>
      <c r="K110" s="10" t="str">
        <f>IF($B110="","",  VLOOKUP($B110, Propostas!$B:$BE, 40, FALSE) )</f>
        <v/>
      </c>
      <c r="L110" s="10" t="str">
        <f>IF($B110="","",IF(VLOOKUP($B110,Propostas!$B:$BE,21,FALSE)=1,"B",IF(VLOOKUP($B110,Propostas!$B:$BE,21,FALSE)=2,"E","N")))</f>
        <v/>
      </c>
      <c r="M110" s="32" t="str">
        <f>IF($B110 = "", "",  VLOOKUP($B110, Propostas!$B:$BE, 46, FALSE) )</f>
        <v/>
      </c>
      <c r="N110" s="32" t="str">
        <f>IF($B110 = "", "",  VLOOKUP($B110, Propostas!$B:$BE, 47, FALSE) )</f>
        <v/>
      </c>
      <c r="O110" s="13" t="str">
        <f>IF($B110="","",IF($C110="SIM", "INFRAESTRUTURA", VLOOKUP($B110, Propostas!$B:$BE,42,FALSE)))</f>
        <v/>
      </c>
      <c r="P110" s="32" t="str">
        <f>IF($B110 = "", "",  VLOOKUP($B110, Propostas!$B:$BE, 49, FALSE) )</f>
        <v/>
      </c>
      <c r="Q110" s="13" t="str">
        <f>IF($B110="","",  VLOOKUP($B110, Propostas!$B:$BE, 39, FALSE) )</f>
        <v/>
      </c>
      <c r="R110" s="81" t="str">
        <f>IF($B110="","",  VLOOKUP($B110, Propostas!$B:$BE, 43, FALSE) )</f>
        <v/>
      </c>
      <c r="S110" s="81" t="str">
        <f>IF($B110="","",  VLOOKUP($B110, Propostas!$B:$BE, 44, FALSE) )</f>
        <v/>
      </c>
      <c r="T110" s="81" t="str">
        <f>IF($B110="","",  VLOOKUP($B110, Propostas!$B:$BE, 45, FALSE) )</f>
        <v/>
      </c>
      <c r="U110" s="32" t="str">
        <f>IF($B110="","",  VLOOKUP($B110, Propostas!$B:$BE, 37, FALSE) )</f>
        <v/>
      </c>
      <c r="V110" s="13" t="str">
        <f>IF($B110="","",  VLOOKUP($B110, Propostas!$B:$BE, 50, FALSE) )</f>
        <v/>
      </c>
      <c r="W110" s="13" t="str">
        <f>IF($B110="","",  VLOOKUP($B110, Propostas!$B:$BE, 51, FALSE) )</f>
        <v/>
      </c>
      <c r="X110" s="13" t="str">
        <f>IF($B110="","",  VLOOKUP($B110, Propostas!$B:$BE, 52, FALSE) )</f>
        <v/>
      </c>
      <c r="Y110" s="13" t="str">
        <f>IF($B110="","",  VLOOKUP($B110, Propostas!$B:$BE, 36, FALSE) )</f>
        <v/>
      </c>
      <c r="Z110" s="13" t="str">
        <f>IF($B110="","",  VLOOKUP($F110, VW_PROJETO!B:C, 2, FALSE) )</f>
        <v/>
      </c>
    </row>
    <row r="111" spans="2:26" x14ac:dyDescent="0.2">
      <c r="B111" s="2"/>
      <c r="C111" s="4" t="str">
        <f>IF($B111="","",  VLOOKUP($B111, Propostas!$B:$BE, 33, FALSE) )</f>
        <v/>
      </c>
      <c r="D111" s="4" t="str">
        <f>IF($B111="","",  VLOOKUP($B111, Propostas!$B:$BE, 34, FALSE) )</f>
        <v/>
      </c>
      <c r="E111" s="4" t="str">
        <f>IF($B111="","",  VLOOKUP($B111, Propostas!$B:$BE, 35, FALSE) )</f>
        <v/>
      </c>
      <c r="F111" s="4" t="str">
        <f>IF($B111="","",  VLOOKUP($B111, Propostas!$B:$BE, 2, FALSE) )</f>
        <v/>
      </c>
      <c r="G111" s="4" t="str">
        <f>IF($B111="","",  VLOOKUP($B111, Propostas!$B:$BE, 3, FALSE) )</f>
        <v/>
      </c>
      <c r="H111" s="4" t="str">
        <f>IF($B111="","",  VLOOKUP($B111, Propostas!$B:$BE, 4, FALSE) )</f>
        <v/>
      </c>
      <c r="I111" s="4" t="str">
        <f>IF($B111="","",  VLOOKUP($B111, Propostas!$B:$BE, 38, FALSE) )</f>
        <v/>
      </c>
      <c r="J111" s="13" t="str">
        <f>IF($B111="","",IF($C111="SIM", "&lt; INFRRAESTRUTURA &gt;", VLOOKUP($B111,Propostas!$B:$BE,41,FALSE)))</f>
        <v/>
      </c>
      <c r="K111" s="10" t="str">
        <f>IF($B111="","",  VLOOKUP($B111, Propostas!$B:$BE, 40, FALSE) )</f>
        <v/>
      </c>
      <c r="L111" s="10" t="str">
        <f>IF($B111="","",IF(VLOOKUP($B111,Propostas!$B:$BE,21,FALSE)=1,"B",IF(VLOOKUP($B111,Propostas!$B:$BE,21,FALSE)=2,"E","N")))</f>
        <v/>
      </c>
      <c r="M111" s="32" t="str">
        <f>IF($B111 = "", "",  VLOOKUP($B111, Propostas!$B:$BE, 46, FALSE) )</f>
        <v/>
      </c>
      <c r="N111" s="32" t="str">
        <f>IF($B111 = "", "",  VLOOKUP($B111, Propostas!$B:$BE, 47, FALSE) )</f>
        <v/>
      </c>
      <c r="O111" s="13" t="str">
        <f>IF($B111="","",IF($C111="SIM", "INFRAESTRUTURA", VLOOKUP($B111, Propostas!$B:$BE,42,FALSE)))</f>
        <v/>
      </c>
      <c r="P111" s="32" t="str">
        <f>IF($B111 = "", "",  VLOOKUP($B111, Propostas!$B:$BE, 49, FALSE) )</f>
        <v/>
      </c>
      <c r="Q111" s="13" t="str">
        <f>IF($B111="","",  VLOOKUP($B111, Propostas!$B:$BE, 39, FALSE) )</f>
        <v/>
      </c>
      <c r="R111" s="81" t="str">
        <f>IF($B111="","",  VLOOKUP($B111, Propostas!$B:$BE, 43, FALSE) )</f>
        <v/>
      </c>
      <c r="S111" s="81" t="str">
        <f>IF($B111="","",  VLOOKUP($B111, Propostas!$B:$BE, 44, FALSE) )</f>
        <v/>
      </c>
      <c r="T111" s="81" t="str">
        <f>IF($B111="","",  VLOOKUP($B111, Propostas!$B:$BE, 45, FALSE) )</f>
        <v/>
      </c>
      <c r="U111" s="32" t="str">
        <f>IF($B111="","",  VLOOKUP($B111, Propostas!$B:$BE, 37, FALSE) )</f>
        <v/>
      </c>
      <c r="V111" s="13" t="str">
        <f>IF($B111="","",  VLOOKUP($B111, Propostas!$B:$BE, 50, FALSE) )</f>
        <v/>
      </c>
      <c r="W111" s="13" t="str">
        <f>IF($B111="","",  VLOOKUP($B111, Propostas!$B:$BE, 51, FALSE) )</f>
        <v/>
      </c>
      <c r="X111" s="13" t="str">
        <f>IF($B111="","",  VLOOKUP($B111, Propostas!$B:$BE, 52, FALSE) )</f>
        <v/>
      </c>
      <c r="Y111" s="13" t="str">
        <f>IF($B111="","",  VLOOKUP($B111, Propostas!$B:$BE, 36, FALSE) )</f>
        <v/>
      </c>
      <c r="Z111" s="13" t="str">
        <f>IF($B111="","",  VLOOKUP($F111, VW_PROJETO!B:C, 2, FALSE) )</f>
        <v/>
      </c>
    </row>
    <row r="112" spans="2:26" x14ac:dyDescent="0.2">
      <c r="B112" s="2"/>
      <c r="C112" s="4" t="str">
        <f>IF($B112="","",  VLOOKUP($B112, Propostas!$B:$BE, 33, FALSE) )</f>
        <v/>
      </c>
      <c r="D112" s="4" t="str">
        <f>IF($B112="","",  VLOOKUP($B112, Propostas!$B:$BE, 34, FALSE) )</f>
        <v/>
      </c>
      <c r="E112" s="4" t="str">
        <f>IF($B112="","",  VLOOKUP($B112, Propostas!$B:$BE, 35, FALSE) )</f>
        <v/>
      </c>
      <c r="F112" s="4" t="str">
        <f>IF($B112="","",  VLOOKUP($B112, Propostas!$B:$BE, 2, FALSE) )</f>
        <v/>
      </c>
      <c r="G112" s="4" t="str">
        <f>IF($B112="","",  VLOOKUP($B112, Propostas!$B:$BE, 3, FALSE) )</f>
        <v/>
      </c>
      <c r="H112" s="4" t="str">
        <f>IF($B112="","",  VLOOKUP($B112, Propostas!$B:$BE, 4, FALSE) )</f>
        <v/>
      </c>
      <c r="I112" s="4" t="str">
        <f>IF($B112="","",  VLOOKUP($B112, Propostas!$B:$BE, 38, FALSE) )</f>
        <v/>
      </c>
      <c r="J112" s="13" t="str">
        <f>IF($B112="","",IF($C112="SIM", "&lt; INFRRAESTRUTURA &gt;", VLOOKUP($B112,Propostas!$B:$BE,41,FALSE)))</f>
        <v/>
      </c>
      <c r="K112" s="10" t="str">
        <f>IF($B112="","",  VLOOKUP($B112, Propostas!$B:$BE, 40, FALSE) )</f>
        <v/>
      </c>
      <c r="L112" s="10" t="str">
        <f>IF($B112="","",IF(VLOOKUP($B112,Propostas!$B:$BE,21,FALSE)=1,"B",IF(VLOOKUP($B112,Propostas!$B:$BE,21,FALSE)=2,"E","N")))</f>
        <v/>
      </c>
      <c r="M112" s="32" t="str">
        <f>IF($B112 = "", "",  VLOOKUP($B112, Propostas!$B:$BE, 46, FALSE) )</f>
        <v/>
      </c>
      <c r="N112" s="32" t="str">
        <f>IF($B112 = "", "",  VLOOKUP($B112, Propostas!$B:$BE, 47, FALSE) )</f>
        <v/>
      </c>
      <c r="O112" s="13" t="str">
        <f>IF($B112="","",IF($C112="SIM", "INFRAESTRUTURA", VLOOKUP($B112, Propostas!$B:$BE,42,FALSE)))</f>
        <v/>
      </c>
      <c r="P112" s="32" t="str">
        <f>IF($B112 = "", "",  VLOOKUP($B112, Propostas!$B:$BE, 49, FALSE) )</f>
        <v/>
      </c>
      <c r="Q112" s="13" t="str">
        <f>IF($B112="","",  VLOOKUP($B112, Propostas!$B:$BE, 39, FALSE) )</f>
        <v/>
      </c>
      <c r="R112" s="81" t="str">
        <f>IF($B112="","",  VLOOKUP($B112, Propostas!$B:$BE, 43, FALSE) )</f>
        <v/>
      </c>
      <c r="S112" s="81" t="str">
        <f>IF($B112="","",  VLOOKUP($B112, Propostas!$B:$BE, 44, FALSE) )</f>
        <v/>
      </c>
      <c r="T112" s="81" t="str">
        <f>IF($B112="","",  VLOOKUP($B112, Propostas!$B:$BE, 45, FALSE) )</f>
        <v/>
      </c>
      <c r="U112" s="32" t="str">
        <f>IF($B112="","",  VLOOKUP($B112, Propostas!$B:$BE, 37, FALSE) )</f>
        <v/>
      </c>
      <c r="V112" s="13" t="str">
        <f>IF($B112="","",  VLOOKUP($B112, Propostas!$B:$BE, 50, FALSE) )</f>
        <v/>
      </c>
      <c r="W112" s="13" t="str">
        <f>IF($B112="","",  VLOOKUP($B112, Propostas!$B:$BE, 51, FALSE) )</f>
        <v/>
      </c>
      <c r="X112" s="13" t="str">
        <f>IF($B112="","",  VLOOKUP($B112, Propostas!$B:$BE, 52, FALSE) )</f>
        <v/>
      </c>
      <c r="Y112" s="13" t="str">
        <f>IF($B112="","",  VLOOKUP($B112, Propostas!$B:$BE, 36, FALSE) )</f>
        <v/>
      </c>
      <c r="Z112" s="13" t="str">
        <f>IF($B112="","",  VLOOKUP($F112, VW_PROJETO!B:C, 2, FALSE) )</f>
        <v/>
      </c>
    </row>
    <row r="113" spans="2:26" x14ac:dyDescent="0.2">
      <c r="B113" s="2"/>
      <c r="C113" s="4" t="str">
        <f>IF($B113="","",  VLOOKUP($B113, Propostas!$B:$BE, 33, FALSE) )</f>
        <v/>
      </c>
      <c r="D113" s="4" t="str">
        <f>IF($B113="","",  VLOOKUP($B113, Propostas!$B:$BE, 34, FALSE) )</f>
        <v/>
      </c>
      <c r="E113" s="4" t="str">
        <f>IF($B113="","",  VLOOKUP($B113, Propostas!$B:$BE, 35, FALSE) )</f>
        <v/>
      </c>
      <c r="F113" s="4" t="str">
        <f>IF($B113="","",  VLOOKUP($B113, Propostas!$B:$BE, 2, FALSE) )</f>
        <v/>
      </c>
      <c r="G113" s="4" t="str">
        <f>IF($B113="","",  VLOOKUP($B113, Propostas!$B:$BE, 3, FALSE) )</f>
        <v/>
      </c>
      <c r="H113" s="4" t="str">
        <f>IF($B113="","",  VLOOKUP($B113, Propostas!$B:$BE, 4, FALSE) )</f>
        <v/>
      </c>
      <c r="I113" s="4" t="str">
        <f>IF($B113="","",  VLOOKUP($B113, Propostas!$B:$BE, 38, FALSE) )</f>
        <v/>
      </c>
      <c r="J113" s="13" t="str">
        <f>IF($B113="","",IF($C113="SIM", "&lt; INFRRAESTRUTURA &gt;", VLOOKUP($B113,Propostas!$B:$BE,41,FALSE)))</f>
        <v/>
      </c>
      <c r="K113" s="10" t="str">
        <f>IF($B113="","",  VLOOKUP($B113, Propostas!$B:$BE, 40, FALSE) )</f>
        <v/>
      </c>
      <c r="L113" s="10" t="str">
        <f>IF($B113="","",IF(VLOOKUP($B113,Propostas!$B:$BE,21,FALSE)=1,"B",IF(VLOOKUP($B113,Propostas!$B:$BE,21,FALSE)=2,"E","N")))</f>
        <v/>
      </c>
      <c r="M113" s="32" t="str">
        <f>IF($B113 = "", "",  VLOOKUP($B113, Propostas!$B:$BE, 46, FALSE) )</f>
        <v/>
      </c>
      <c r="N113" s="32" t="str">
        <f>IF($B113 = "", "",  VLOOKUP($B113, Propostas!$B:$BE, 47, FALSE) )</f>
        <v/>
      </c>
      <c r="O113" s="13" t="str">
        <f>IF($B113="","",IF($C113="SIM", "INFRAESTRUTURA", VLOOKUP($B113, Propostas!$B:$BE,42,FALSE)))</f>
        <v/>
      </c>
      <c r="P113" s="32" t="str">
        <f>IF($B113 = "", "",  VLOOKUP($B113, Propostas!$B:$BE, 49, FALSE) )</f>
        <v/>
      </c>
      <c r="Q113" s="13" t="str">
        <f>IF($B113="","",  VLOOKUP($B113, Propostas!$B:$BE, 39, FALSE) )</f>
        <v/>
      </c>
      <c r="R113" s="81" t="str">
        <f>IF($B113="","",  VLOOKUP($B113, Propostas!$B:$BE, 43, FALSE) )</f>
        <v/>
      </c>
      <c r="S113" s="81" t="str">
        <f>IF($B113="","",  VLOOKUP($B113, Propostas!$B:$BE, 44, FALSE) )</f>
        <v/>
      </c>
      <c r="T113" s="81" t="str">
        <f>IF($B113="","",  VLOOKUP($B113, Propostas!$B:$BE, 45, FALSE) )</f>
        <v/>
      </c>
      <c r="U113" s="32" t="str">
        <f>IF($B113="","",  VLOOKUP($B113, Propostas!$B:$BE, 37, FALSE) )</f>
        <v/>
      </c>
      <c r="V113" s="13" t="str">
        <f>IF($B113="","",  VLOOKUP($B113, Propostas!$B:$BE, 50, FALSE) )</f>
        <v/>
      </c>
      <c r="W113" s="13" t="str">
        <f>IF($B113="","",  VLOOKUP($B113, Propostas!$B:$BE, 51, FALSE) )</f>
        <v/>
      </c>
      <c r="X113" s="13" t="str">
        <f>IF($B113="","",  VLOOKUP($B113, Propostas!$B:$BE, 52, FALSE) )</f>
        <v/>
      </c>
      <c r="Y113" s="13" t="str">
        <f>IF($B113="","",  VLOOKUP($B113, Propostas!$B:$BE, 36, FALSE) )</f>
        <v/>
      </c>
      <c r="Z113" s="13" t="str">
        <f>IF($B113="","",  VLOOKUP($F113, VW_PROJETO!B:C, 2, FALSE) )</f>
        <v/>
      </c>
    </row>
    <row r="114" spans="2:26" x14ac:dyDescent="0.2">
      <c r="B114" s="2"/>
      <c r="C114" s="4" t="str">
        <f>IF($B114="","",  VLOOKUP($B114, Propostas!$B:$BE, 33, FALSE) )</f>
        <v/>
      </c>
      <c r="D114" s="4" t="str">
        <f>IF($B114="","",  VLOOKUP($B114, Propostas!$B:$BE, 34, FALSE) )</f>
        <v/>
      </c>
      <c r="E114" s="4" t="str">
        <f>IF($B114="","",  VLOOKUP($B114, Propostas!$B:$BE, 35, FALSE) )</f>
        <v/>
      </c>
      <c r="F114" s="4" t="str">
        <f>IF($B114="","",  VLOOKUP($B114, Propostas!$B:$BE, 2, FALSE) )</f>
        <v/>
      </c>
      <c r="G114" s="4" t="str">
        <f>IF($B114="","",  VLOOKUP($B114, Propostas!$B:$BE, 3, FALSE) )</f>
        <v/>
      </c>
      <c r="H114" s="4" t="str">
        <f>IF($B114="","",  VLOOKUP($B114, Propostas!$B:$BE, 4, FALSE) )</f>
        <v/>
      </c>
      <c r="I114" s="4" t="str">
        <f>IF($B114="","",  VLOOKUP($B114, Propostas!$B:$BE, 38, FALSE) )</f>
        <v/>
      </c>
      <c r="J114" s="13" t="str">
        <f>IF($B114="","",IF($C114="SIM", "&lt; INFRRAESTRUTURA &gt;", VLOOKUP($B114,Propostas!$B:$BE,41,FALSE)))</f>
        <v/>
      </c>
      <c r="K114" s="10" t="str">
        <f>IF($B114="","",  VLOOKUP($B114, Propostas!$B:$BE, 40, FALSE) )</f>
        <v/>
      </c>
      <c r="L114" s="10" t="str">
        <f>IF($B114="","",IF(VLOOKUP($B114,Propostas!$B:$BE,21,FALSE)=1,"B",IF(VLOOKUP($B114,Propostas!$B:$BE,21,FALSE)=2,"E","N")))</f>
        <v/>
      </c>
      <c r="M114" s="32" t="str">
        <f>IF($B114 = "", "",  VLOOKUP($B114, Propostas!$B:$BE, 46, FALSE) )</f>
        <v/>
      </c>
      <c r="N114" s="32" t="str">
        <f>IF($B114 = "", "",  VLOOKUP($B114, Propostas!$B:$BE, 47, FALSE) )</f>
        <v/>
      </c>
      <c r="O114" s="13" t="str">
        <f>IF($B114="","",IF($C114="SIM", "INFRAESTRUTURA", VLOOKUP($B114, Propostas!$B:$BE,42,FALSE)))</f>
        <v/>
      </c>
      <c r="P114" s="32" t="str">
        <f>IF($B114 = "", "",  VLOOKUP($B114, Propostas!$B:$BE, 49, FALSE) )</f>
        <v/>
      </c>
      <c r="Q114" s="13" t="str">
        <f>IF($B114="","",  VLOOKUP($B114, Propostas!$B:$BE, 39, FALSE) )</f>
        <v/>
      </c>
      <c r="R114" s="81" t="str">
        <f>IF($B114="","",  VLOOKUP($B114, Propostas!$B:$BE, 43, FALSE) )</f>
        <v/>
      </c>
      <c r="S114" s="81" t="str">
        <f>IF($B114="","",  VLOOKUP($B114, Propostas!$B:$BE, 44, FALSE) )</f>
        <v/>
      </c>
      <c r="T114" s="81" t="str">
        <f>IF($B114="","",  VLOOKUP($B114, Propostas!$B:$BE, 45, FALSE) )</f>
        <v/>
      </c>
      <c r="U114" s="32" t="str">
        <f>IF($B114="","",  VLOOKUP($B114, Propostas!$B:$BE, 37, FALSE) )</f>
        <v/>
      </c>
      <c r="V114" s="13" t="str">
        <f>IF($B114="","",  VLOOKUP($B114, Propostas!$B:$BE, 50, FALSE) )</f>
        <v/>
      </c>
      <c r="W114" s="13" t="str">
        <f>IF($B114="","",  VLOOKUP($B114, Propostas!$B:$BE, 51, FALSE) )</f>
        <v/>
      </c>
      <c r="X114" s="13" t="str">
        <f>IF($B114="","",  VLOOKUP($B114, Propostas!$B:$BE, 52, FALSE) )</f>
        <v/>
      </c>
      <c r="Y114" s="13" t="str">
        <f>IF($B114="","",  VLOOKUP($B114, Propostas!$B:$BE, 36, FALSE) )</f>
        <v/>
      </c>
      <c r="Z114" s="13" t="str">
        <f>IF($B114="","",  VLOOKUP($F114, VW_PROJETO!B:C, 2, FALSE) )</f>
        <v/>
      </c>
    </row>
    <row r="115" spans="2:26" x14ac:dyDescent="0.2">
      <c r="B115" s="2"/>
      <c r="C115" s="4" t="str">
        <f>IF($B115="","",  VLOOKUP($B115, Propostas!$B:$BE, 33, FALSE) )</f>
        <v/>
      </c>
      <c r="D115" s="4" t="str">
        <f>IF($B115="","",  VLOOKUP($B115, Propostas!$B:$BE, 34, FALSE) )</f>
        <v/>
      </c>
      <c r="E115" s="4" t="str">
        <f>IF($B115="","",  VLOOKUP($B115, Propostas!$B:$BE, 35, FALSE) )</f>
        <v/>
      </c>
      <c r="F115" s="4" t="str">
        <f>IF($B115="","",  VLOOKUP($B115, Propostas!$B:$BE, 2, FALSE) )</f>
        <v/>
      </c>
      <c r="G115" s="4" t="str">
        <f>IF($B115="","",  VLOOKUP($B115, Propostas!$B:$BE, 3, FALSE) )</f>
        <v/>
      </c>
      <c r="H115" s="4" t="str">
        <f>IF($B115="","",  VLOOKUP($B115, Propostas!$B:$BE, 4, FALSE) )</f>
        <v/>
      </c>
      <c r="I115" s="4" t="str">
        <f>IF($B115="","",  VLOOKUP($B115, Propostas!$B:$BE, 38, FALSE) )</f>
        <v/>
      </c>
      <c r="J115" s="13" t="str">
        <f>IF($B115="","",IF($C115="SIM", "&lt; INFRRAESTRUTURA &gt;", VLOOKUP($B115,Propostas!$B:$BE,41,FALSE)))</f>
        <v/>
      </c>
      <c r="K115" s="10" t="str">
        <f>IF($B115="","",  VLOOKUP($B115, Propostas!$B:$BE, 40, FALSE) )</f>
        <v/>
      </c>
      <c r="L115" s="10" t="str">
        <f>IF($B115="","",IF(VLOOKUP($B115,Propostas!$B:$BE,21,FALSE)=1,"B",IF(VLOOKUP($B115,Propostas!$B:$BE,21,FALSE)=2,"E","N")))</f>
        <v/>
      </c>
      <c r="M115" s="32" t="str">
        <f>IF($B115 = "", "",  VLOOKUP($B115, Propostas!$B:$BE, 46, FALSE) )</f>
        <v/>
      </c>
      <c r="N115" s="32" t="str">
        <f>IF($B115 = "", "",  VLOOKUP($B115, Propostas!$B:$BE, 47, FALSE) )</f>
        <v/>
      </c>
      <c r="O115" s="13" t="str">
        <f>IF($B115="","",IF($C115="SIM", "INFRAESTRUTURA", VLOOKUP($B115, Propostas!$B:$BE,42,FALSE)))</f>
        <v/>
      </c>
      <c r="P115" s="32" t="str">
        <f>IF($B115 = "", "",  VLOOKUP($B115, Propostas!$B:$BE, 49, FALSE) )</f>
        <v/>
      </c>
      <c r="Q115" s="13" t="str">
        <f>IF($B115="","",  VLOOKUP($B115, Propostas!$B:$BE, 39, FALSE) )</f>
        <v/>
      </c>
      <c r="R115" s="81" t="str">
        <f>IF($B115="","",  VLOOKUP($B115, Propostas!$B:$BE, 43, FALSE) )</f>
        <v/>
      </c>
      <c r="S115" s="81" t="str">
        <f>IF($B115="","",  VLOOKUP($B115, Propostas!$B:$BE, 44, FALSE) )</f>
        <v/>
      </c>
      <c r="T115" s="81" t="str">
        <f>IF($B115="","",  VLOOKUP($B115, Propostas!$B:$BE, 45, FALSE) )</f>
        <v/>
      </c>
      <c r="U115" s="32" t="str">
        <f>IF($B115="","",  VLOOKUP($B115, Propostas!$B:$BE, 37, FALSE) )</f>
        <v/>
      </c>
      <c r="V115" s="13" t="str">
        <f>IF($B115="","",  VLOOKUP($B115, Propostas!$B:$BE, 50, FALSE) )</f>
        <v/>
      </c>
      <c r="W115" s="13" t="str">
        <f>IF($B115="","",  VLOOKUP($B115, Propostas!$B:$BE, 51, FALSE) )</f>
        <v/>
      </c>
      <c r="X115" s="13" t="str">
        <f>IF($B115="","",  VLOOKUP($B115, Propostas!$B:$BE, 52, FALSE) )</f>
        <v/>
      </c>
      <c r="Y115" s="13" t="str">
        <f>IF($B115="","",  VLOOKUP($B115, Propostas!$B:$BE, 36, FALSE) )</f>
        <v/>
      </c>
      <c r="Z115" s="13" t="str">
        <f>IF($B115="","",  VLOOKUP($F115, VW_PROJETO!B:C, 2, FALSE) )</f>
        <v/>
      </c>
    </row>
    <row r="116" spans="2:26" x14ac:dyDescent="0.2">
      <c r="B116" s="2"/>
      <c r="C116" s="4" t="str">
        <f>IF($B116="","",  VLOOKUP($B116, Propostas!$B:$BE, 33, FALSE) )</f>
        <v/>
      </c>
      <c r="D116" s="4" t="str">
        <f>IF($B116="","",  VLOOKUP($B116, Propostas!$B:$BE, 34, FALSE) )</f>
        <v/>
      </c>
      <c r="E116" s="4" t="str">
        <f>IF($B116="","",  VLOOKUP($B116, Propostas!$B:$BE, 35, FALSE) )</f>
        <v/>
      </c>
      <c r="F116" s="4" t="str">
        <f>IF($B116="","",  VLOOKUP($B116, Propostas!$B:$BE, 2, FALSE) )</f>
        <v/>
      </c>
      <c r="G116" s="4" t="str">
        <f>IF($B116="","",  VLOOKUP($B116, Propostas!$B:$BE, 3, FALSE) )</f>
        <v/>
      </c>
      <c r="H116" s="4" t="str">
        <f>IF($B116="","",  VLOOKUP($B116, Propostas!$B:$BE, 4, FALSE) )</f>
        <v/>
      </c>
      <c r="I116" s="4" t="str">
        <f>IF($B116="","",  VLOOKUP($B116, Propostas!$B:$BE, 38, FALSE) )</f>
        <v/>
      </c>
      <c r="J116" s="13" t="str">
        <f>IF($B116="","",IF($C116="SIM", "&lt; INFRRAESTRUTURA &gt;", VLOOKUP($B116,Propostas!$B:$BE,41,FALSE)))</f>
        <v/>
      </c>
      <c r="K116" s="10" t="str">
        <f>IF($B116="","",  VLOOKUP($B116, Propostas!$B:$BE, 40, FALSE) )</f>
        <v/>
      </c>
      <c r="L116" s="10" t="str">
        <f>IF($B116="","",IF(VLOOKUP($B116,Propostas!$B:$BE,21,FALSE)=1,"B",IF(VLOOKUP($B116,Propostas!$B:$BE,21,FALSE)=2,"E","N")))</f>
        <v/>
      </c>
      <c r="M116" s="32" t="str">
        <f>IF($B116 = "", "",  VLOOKUP($B116, Propostas!$B:$BE, 46, FALSE) )</f>
        <v/>
      </c>
      <c r="N116" s="32" t="str">
        <f>IF($B116 = "", "",  VLOOKUP($B116, Propostas!$B:$BE, 47, FALSE) )</f>
        <v/>
      </c>
      <c r="O116" s="13" t="str">
        <f>IF($B116="","",IF($C116="SIM", "INFRAESTRUTURA", VLOOKUP($B116, Propostas!$B:$BE,42,FALSE)))</f>
        <v/>
      </c>
      <c r="P116" s="32" t="str">
        <f>IF($B116 = "", "",  VLOOKUP($B116, Propostas!$B:$BE, 49, FALSE) )</f>
        <v/>
      </c>
      <c r="Q116" s="13" t="str">
        <f>IF($B116="","",  VLOOKUP($B116, Propostas!$B:$BE, 39, FALSE) )</f>
        <v/>
      </c>
      <c r="R116" s="81" t="str">
        <f>IF($B116="","",  VLOOKUP($B116, Propostas!$B:$BE, 43, FALSE) )</f>
        <v/>
      </c>
      <c r="S116" s="81" t="str">
        <f>IF($B116="","",  VLOOKUP($B116, Propostas!$B:$BE, 44, FALSE) )</f>
        <v/>
      </c>
      <c r="T116" s="81" t="str">
        <f>IF($B116="","",  VLOOKUP($B116, Propostas!$B:$BE, 45, FALSE) )</f>
        <v/>
      </c>
      <c r="U116" s="32" t="str">
        <f>IF($B116="","",  VLOOKUP($B116, Propostas!$B:$BE, 37, FALSE) )</f>
        <v/>
      </c>
      <c r="V116" s="13" t="str">
        <f>IF($B116="","",  VLOOKUP($B116, Propostas!$B:$BE, 50, FALSE) )</f>
        <v/>
      </c>
      <c r="W116" s="13" t="str">
        <f>IF($B116="","",  VLOOKUP($B116, Propostas!$B:$BE, 51, FALSE) )</f>
        <v/>
      </c>
      <c r="X116" s="13" t="str">
        <f>IF($B116="","",  VLOOKUP($B116, Propostas!$B:$BE, 52, FALSE) )</f>
        <v/>
      </c>
      <c r="Y116" s="13" t="str">
        <f>IF($B116="","",  VLOOKUP($B116, Propostas!$B:$BE, 36, FALSE) )</f>
        <v/>
      </c>
      <c r="Z116" s="13" t="str">
        <f>IF($B116="","",  VLOOKUP($F116, VW_PROJETO!B:C, 2, FALSE) )</f>
        <v/>
      </c>
    </row>
    <row r="117" spans="2:26" x14ac:dyDescent="0.2">
      <c r="B117" s="2"/>
      <c r="C117" s="4" t="str">
        <f>IF($B117="","",  VLOOKUP($B117, Propostas!$B:$BE, 33, FALSE) )</f>
        <v/>
      </c>
      <c r="D117" s="4" t="str">
        <f>IF($B117="","",  VLOOKUP($B117, Propostas!$B:$BE, 34, FALSE) )</f>
        <v/>
      </c>
      <c r="E117" s="4" t="str">
        <f>IF($B117="","",  VLOOKUP($B117, Propostas!$B:$BE, 35, FALSE) )</f>
        <v/>
      </c>
      <c r="F117" s="4" t="str">
        <f>IF($B117="","",  VLOOKUP($B117, Propostas!$B:$BE, 2, FALSE) )</f>
        <v/>
      </c>
      <c r="G117" s="4" t="str">
        <f>IF($B117="","",  VLOOKUP($B117, Propostas!$B:$BE, 3, FALSE) )</f>
        <v/>
      </c>
      <c r="H117" s="4" t="str">
        <f>IF($B117="","",  VLOOKUP($B117, Propostas!$B:$BE, 4, FALSE) )</f>
        <v/>
      </c>
      <c r="I117" s="4" t="str">
        <f>IF($B117="","",  VLOOKUP($B117, Propostas!$B:$BE, 38, FALSE) )</f>
        <v/>
      </c>
      <c r="J117" s="13" t="str">
        <f>IF($B117="","",IF($C117="SIM", "&lt; INFRRAESTRUTURA &gt;", VLOOKUP($B117,Propostas!$B:$BE,41,FALSE)))</f>
        <v/>
      </c>
      <c r="K117" s="10" t="str">
        <f>IF($B117="","",  VLOOKUP($B117, Propostas!$B:$BE, 40, FALSE) )</f>
        <v/>
      </c>
      <c r="L117" s="10" t="str">
        <f>IF($B117="","",IF(VLOOKUP($B117,Propostas!$B:$BE,21,FALSE)=1,"B",IF(VLOOKUP($B117,Propostas!$B:$BE,21,FALSE)=2,"E","N")))</f>
        <v/>
      </c>
      <c r="M117" s="32" t="str">
        <f>IF($B117 = "", "",  VLOOKUP($B117, Propostas!$B:$BE, 46, FALSE) )</f>
        <v/>
      </c>
      <c r="N117" s="32" t="str">
        <f>IF($B117 = "", "",  VLOOKUP($B117, Propostas!$B:$BE, 47, FALSE) )</f>
        <v/>
      </c>
      <c r="O117" s="13" t="str">
        <f>IF($B117="","",IF($C117="SIM", "INFRAESTRUTURA", VLOOKUP($B117, Propostas!$B:$BE,42,FALSE)))</f>
        <v/>
      </c>
      <c r="P117" s="32" t="str">
        <f>IF($B117 = "", "",  VLOOKUP($B117, Propostas!$B:$BE, 49, FALSE) )</f>
        <v/>
      </c>
      <c r="Q117" s="13" t="str">
        <f>IF($B117="","",  VLOOKUP($B117, Propostas!$B:$BE, 39, FALSE) )</f>
        <v/>
      </c>
      <c r="R117" s="81" t="str">
        <f>IF($B117="","",  VLOOKUP($B117, Propostas!$B:$BE, 43, FALSE) )</f>
        <v/>
      </c>
      <c r="S117" s="81" t="str">
        <f>IF($B117="","",  VLOOKUP($B117, Propostas!$B:$BE, 44, FALSE) )</f>
        <v/>
      </c>
      <c r="T117" s="81" t="str">
        <f>IF($B117="","",  VLOOKUP($B117, Propostas!$B:$BE, 45, FALSE) )</f>
        <v/>
      </c>
      <c r="U117" s="32" t="str">
        <f>IF($B117="","",  VLOOKUP($B117, Propostas!$B:$BE, 37, FALSE) )</f>
        <v/>
      </c>
      <c r="V117" s="13" t="str">
        <f>IF($B117="","",  VLOOKUP($B117, Propostas!$B:$BE, 50, FALSE) )</f>
        <v/>
      </c>
      <c r="W117" s="13" t="str">
        <f>IF($B117="","",  VLOOKUP($B117, Propostas!$B:$BE, 51, FALSE) )</f>
        <v/>
      </c>
      <c r="X117" s="13" t="str">
        <f>IF($B117="","",  VLOOKUP($B117, Propostas!$B:$BE, 52, FALSE) )</f>
        <v/>
      </c>
      <c r="Y117" s="13" t="str">
        <f>IF($B117="","",  VLOOKUP($B117, Propostas!$B:$BE, 36, FALSE) )</f>
        <v/>
      </c>
      <c r="Z117" s="13" t="str">
        <f>IF($B117="","",  VLOOKUP($F117, VW_PROJETO!B:C, 2, FALSE) )</f>
        <v/>
      </c>
    </row>
    <row r="118" spans="2:26" x14ac:dyDescent="0.2">
      <c r="B118" s="2"/>
      <c r="C118" s="4" t="str">
        <f>IF($B118="","",  VLOOKUP($B118, Propostas!$B:$BE, 33, FALSE) )</f>
        <v/>
      </c>
      <c r="D118" s="4" t="str">
        <f>IF($B118="","",  VLOOKUP($B118, Propostas!$B:$BE, 34, FALSE) )</f>
        <v/>
      </c>
      <c r="E118" s="4" t="str">
        <f>IF($B118="","",  VLOOKUP($B118, Propostas!$B:$BE, 35, FALSE) )</f>
        <v/>
      </c>
      <c r="F118" s="4" t="str">
        <f>IF($B118="","",  VLOOKUP($B118, Propostas!$B:$BE, 2, FALSE) )</f>
        <v/>
      </c>
      <c r="G118" s="4" t="str">
        <f>IF($B118="","",  VLOOKUP($B118, Propostas!$B:$BE, 3, FALSE) )</f>
        <v/>
      </c>
      <c r="H118" s="4" t="str">
        <f>IF($B118="","",  VLOOKUP($B118, Propostas!$B:$BE, 4, FALSE) )</f>
        <v/>
      </c>
      <c r="I118" s="4" t="str">
        <f>IF($B118="","",  VLOOKUP($B118, Propostas!$B:$BE, 38, FALSE) )</f>
        <v/>
      </c>
      <c r="J118" s="13" t="str">
        <f>IF($B118="","",IF($C118="SIM", "&lt; INFRRAESTRUTURA &gt;", VLOOKUP($B118,Propostas!$B:$BE,41,FALSE)))</f>
        <v/>
      </c>
      <c r="K118" s="10" t="str">
        <f>IF($B118="","",  VLOOKUP($B118, Propostas!$B:$BE, 40, FALSE) )</f>
        <v/>
      </c>
      <c r="L118" s="10" t="str">
        <f>IF($B118="","",IF(VLOOKUP($B118,Propostas!$B:$BE,21,FALSE)=1,"B",IF(VLOOKUP($B118,Propostas!$B:$BE,21,FALSE)=2,"E","N")))</f>
        <v/>
      </c>
      <c r="M118" s="32" t="str">
        <f>IF($B118 = "", "",  VLOOKUP($B118, Propostas!$B:$BE, 46, FALSE) )</f>
        <v/>
      </c>
      <c r="N118" s="32" t="str">
        <f>IF($B118 = "", "",  VLOOKUP($B118, Propostas!$B:$BE, 47, FALSE) )</f>
        <v/>
      </c>
      <c r="O118" s="13" t="str">
        <f>IF($B118="","",IF($C118="SIM", "INFRAESTRUTURA", VLOOKUP($B118, Propostas!$B:$BE,42,FALSE)))</f>
        <v/>
      </c>
      <c r="P118" s="32" t="str">
        <f>IF($B118 = "", "",  VLOOKUP($B118, Propostas!$B:$BE, 49, FALSE) )</f>
        <v/>
      </c>
      <c r="Q118" s="13" t="str">
        <f>IF($B118="","",  VLOOKUP($B118, Propostas!$B:$BE, 39, FALSE) )</f>
        <v/>
      </c>
      <c r="R118" s="81" t="str">
        <f>IF($B118="","",  VLOOKUP($B118, Propostas!$B:$BE, 43, FALSE) )</f>
        <v/>
      </c>
      <c r="S118" s="81" t="str">
        <f>IF($B118="","",  VLOOKUP($B118, Propostas!$B:$BE, 44, FALSE) )</f>
        <v/>
      </c>
      <c r="T118" s="81" t="str">
        <f>IF($B118="","",  VLOOKUP($B118, Propostas!$B:$BE, 45, FALSE) )</f>
        <v/>
      </c>
      <c r="U118" s="32" t="str">
        <f>IF($B118="","",  VLOOKUP($B118, Propostas!$B:$BE, 37, FALSE) )</f>
        <v/>
      </c>
      <c r="V118" s="13" t="str">
        <f>IF($B118="","",  VLOOKUP($B118, Propostas!$B:$BE, 50, FALSE) )</f>
        <v/>
      </c>
      <c r="W118" s="13" t="str">
        <f>IF($B118="","",  VLOOKUP($B118, Propostas!$B:$BE, 51, FALSE) )</f>
        <v/>
      </c>
      <c r="X118" s="13" t="str">
        <f>IF($B118="","",  VLOOKUP($B118, Propostas!$B:$BE, 52, FALSE) )</f>
        <v/>
      </c>
      <c r="Y118" s="13" t="str">
        <f>IF($B118="","",  VLOOKUP($B118, Propostas!$B:$BE, 36, FALSE) )</f>
        <v/>
      </c>
      <c r="Z118" s="13" t="str">
        <f>IF($B118="","",  VLOOKUP($F118, VW_PROJETO!B:C, 2, FALSE) )</f>
        <v/>
      </c>
    </row>
    <row r="119" spans="2:26" x14ac:dyDescent="0.2">
      <c r="B119" s="2"/>
      <c r="C119" s="4" t="str">
        <f>IF($B119="","",  VLOOKUP($B119, Propostas!$B:$BE, 33, FALSE) )</f>
        <v/>
      </c>
      <c r="D119" s="4" t="str">
        <f>IF($B119="","",  VLOOKUP($B119, Propostas!$B:$BE, 34, FALSE) )</f>
        <v/>
      </c>
      <c r="E119" s="4" t="str">
        <f>IF($B119="","",  VLOOKUP($B119, Propostas!$B:$BE, 35, FALSE) )</f>
        <v/>
      </c>
      <c r="F119" s="4" t="str">
        <f>IF($B119="","",  VLOOKUP($B119, Propostas!$B:$BE, 2, FALSE) )</f>
        <v/>
      </c>
      <c r="G119" s="4" t="str">
        <f>IF($B119="","",  VLOOKUP($B119, Propostas!$B:$BE, 3, FALSE) )</f>
        <v/>
      </c>
      <c r="H119" s="4" t="str">
        <f>IF($B119="","",  VLOOKUP($B119, Propostas!$B:$BE, 4, FALSE) )</f>
        <v/>
      </c>
      <c r="I119" s="4" t="str">
        <f>IF($B119="","",  VLOOKUP($B119, Propostas!$B:$BE, 38, FALSE) )</f>
        <v/>
      </c>
      <c r="J119" s="13" t="str">
        <f>IF($B119="","",IF($C119="SIM", "&lt; INFRRAESTRUTURA &gt;", VLOOKUP($B119,Propostas!$B:$BE,41,FALSE)))</f>
        <v/>
      </c>
      <c r="K119" s="10" t="str">
        <f>IF($B119="","",  VLOOKUP($B119, Propostas!$B:$BE, 40, FALSE) )</f>
        <v/>
      </c>
      <c r="L119" s="10" t="str">
        <f>IF($B119="","",IF(VLOOKUP($B119,Propostas!$B:$BE,21,FALSE)=1,"B",IF(VLOOKUP($B119,Propostas!$B:$BE,21,FALSE)=2,"E","N")))</f>
        <v/>
      </c>
      <c r="M119" s="32" t="str">
        <f>IF($B119 = "", "",  VLOOKUP($B119, Propostas!$B:$BE, 46, FALSE) )</f>
        <v/>
      </c>
      <c r="N119" s="32" t="str">
        <f>IF($B119 = "", "",  VLOOKUP($B119, Propostas!$B:$BE, 47, FALSE) )</f>
        <v/>
      </c>
      <c r="O119" s="13" t="str">
        <f>IF($B119="","",IF($C119="SIM", "INFRAESTRUTURA", VLOOKUP($B119, Propostas!$B:$BE,42,FALSE)))</f>
        <v/>
      </c>
      <c r="P119" s="32" t="str">
        <f>IF($B119 = "", "",  VLOOKUP($B119, Propostas!$B:$BE, 49, FALSE) )</f>
        <v/>
      </c>
      <c r="Q119" s="13" t="str">
        <f>IF($B119="","",  VLOOKUP($B119, Propostas!$B:$BE, 39, FALSE) )</f>
        <v/>
      </c>
      <c r="R119" s="81" t="str">
        <f>IF($B119="","",  VLOOKUP($B119, Propostas!$B:$BE, 43, FALSE) )</f>
        <v/>
      </c>
      <c r="S119" s="81" t="str">
        <f>IF($B119="","",  VLOOKUP($B119, Propostas!$B:$BE, 44, FALSE) )</f>
        <v/>
      </c>
      <c r="T119" s="81" t="str">
        <f>IF($B119="","",  VLOOKUP($B119, Propostas!$B:$BE, 45, FALSE) )</f>
        <v/>
      </c>
      <c r="U119" s="32" t="str">
        <f>IF($B119="","",  VLOOKUP($B119, Propostas!$B:$BE, 37, FALSE) )</f>
        <v/>
      </c>
      <c r="V119" s="13" t="str">
        <f>IF($B119="","",  VLOOKUP($B119, Propostas!$B:$BE, 50, FALSE) )</f>
        <v/>
      </c>
      <c r="W119" s="13" t="str">
        <f>IF($B119="","",  VLOOKUP($B119, Propostas!$B:$BE, 51, FALSE) )</f>
        <v/>
      </c>
      <c r="X119" s="13" t="str">
        <f>IF($B119="","",  VLOOKUP($B119, Propostas!$B:$BE, 52, FALSE) )</f>
        <v/>
      </c>
      <c r="Y119" s="13" t="str">
        <f>IF($B119="","",  VLOOKUP($B119, Propostas!$B:$BE, 36, FALSE) )</f>
        <v/>
      </c>
      <c r="Z119" s="13" t="str">
        <f>IF($B119="","",  VLOOKUP($F119, VW_PROJETO!B:C, 2, FALSE) )</f>
        <v/>
      </c>
    </row>
    <row r="120" spans="2:26" x14ac:dyDescent="0.2">
      <c r="B120" s="2"/>
      <c r="C120" s="4" t="str">
        <f>IF($B120="","",  VLOOKUP($B120, Propostas!$B:$BE, 33, FALSE) )</f>
        <v/>
      </c>
      <c r="D120" s="4" t="str">
        <f>IF($B120="","",  VLOOKUP($B120, Propostas!$B:$BE, 34, FALSE) )</f>
        <v/>
      </c>
      <c r="E120" s="4" t="str">
        <f>IF($B120="","",  VLOOKUP($B120, Propostas!$B:$BE, 35, FALSE) )</f>
        <v/>
      </c>
      <c r="F120" s="4" t="str">
        <f>IF($B120="","",  VLOOKUP($B120, Propostas!$B:$BE, 2, FALSE) )</f>
        <v/>
      </c>
      <c r="G120" s="4" t="str">
        <f>IF($B120="","",  VLOOKUP($B120, Propostas!$B:$BE, 3, FALSE) )</f>
        <v/>
      </c>
      <c r="H120" s="4" t="str">
        <f>IF($B120="","",  VLOOKUP($B120, Propostas!$B:$BE, 4, FALSE) )</f>
        <v/>
      </c>
      <c r="I120" s="4" t="str">
        <f>IF($B120="","",  VLOOKUP($B120, Propostas!$B:$BE, 38, FALSE) )</f>
        <v/>
      </c>
      <c r="J120" s="13" t="str">
        <f>IF($B120="","",IF($C120="SIM", "&lt; INFRRAESTRUTURA &gt;", VLOOKUP($B120,Propostas!$B:$BE,41,FALSE)))</f>
        <v/>
      </c>
      <c r="K120" s="10" t="str">
        <f>IF($B120="","",  VLOOKUP($B120, Propostas!$B:$BE, 40, FALSE) )</f>
        <v/>
      </c>
      <c r="L120" s="10" t="str">
        <f>IF($B120="","",IF(VLOOKUP($B120,Propostas!$B:$BE,21,FALSE)=1,"B",IF(VLOOKUP($B120,Propostas!$B:$BE,21,FALSE)=2,"E","N")))</f>
        <v/>
      </c>
      <c r="M120" s="32" t="str">
        <f>IF($B120 = "", "",  VLOOKUP($B120, Propostas!$B:$BE, 46, FALSE) )</f>
        <v/>
      </c>
      <c r="N120" s="32" t="str">
        <f>IF($B120 = "", "",  VLOOKUP($B120, Propostas!$B:$BE, 47, FALSE) )</f>
        <v/>
      </c>
      <c r="O120" s="13" t="str">
        <f>IF($B120="","",IF($C120="SIM", "INFRAESTRUTURA", VLOOKUP($B120, Propostas!$B:$BE,42,FALSE)))</f>
        <v/>
      </c>
      <c r="P120" s="32" t="str">
        <f>IF($B120 = "", "",  VLOOKUP($B120, Propostas!$B:$BE, 49, FALSE) )</f>
        <v/>
      </c>
      <c r="Q120" s="13" t="str">
        <f>IF($B120="","",  VLOOKUP($B120, Propostas!$B:$BE, 39, FALSE) )</f>
        <v/>
      </c>
      <c r="R120" s="81" t="str">
        <f>IF($B120="","",  VLOOKUP($B120, Propostas!$B:$BE, 43, FALSE) )</f>
        <v/>
      </c>
      <c r="S120" s="81" t="str">
        <f>IF($B120="","",  VLOOKUP($B120, Propostas!$B:$BE, 44, FALSE) )</f>
        <v/>
      </c>
      <c r="T120" s="81" t="str">
        <f>IF($B120="","",  VLOOKUP($B120, Propostas!$B:$BE, 45, FALSE) )</f>
        <v/>
      </c>
      <c r="U120" s="32" t="str">
        <f>IF($B120="","",  VLOOKUP($B120, Propostas!$B:$BE, 37, FALSE) )</f>
        <v/>
      </c>
      <c r="V120" s="13" t="str">
        <f>IF($B120="","",  VLOOKUP($B120, Propostas!$B:$BE, 50, FALSE) )</f>
        <v/>
      </c>
      <c r="W120" s="13" t="str">
        <f>IF($B120="","",  VLOOKUP($B120, Propostas!$B:$BE, 51, FALSE) )</f>
        <v/>
      </c>
      <c r="X120" s="13" t="str">
        <f>IF($B120="","",  VLOOKUP($B120, Propostas!$B:$BE, 52, FALSE) )</f>
        <v/>
      </c>
      <c r="Y120" s="13" t="str">
        <f>IF($B120="","",  VLOOKUP($B120, Propostas!$B:$BE, 36, FALSE) )</f>
        <v/>
      </c>
      <c r="Z120" s="13" t="str">
        <f>IF($B120="","",  VLOOKUP($F120, VW_PROJETO!B:C, 2, FALSE) )</f>
        <v/>
      </c>
    </row>
    <row r="121" spans="2:26" x14ac:dyDescent="0.2">
      <c r="B121" s="2"/>
      <c r="C121" s="4" t="str">
        <f>IF($B121="","",  VLOOKUP($B121, Propostas!$B:$BE, 33, FALSE) )</f>
        <v/>
      </c>
      <c r="D121" s="4" t="str">
        <f>IF($B121="","",  VLOOKUP($B121, Propostas!$B:$BE, 34, FALSE) )</f>
        <v/>
      </c>
      <c r="E121" s="4" t="str">
        <f>IF($B121="","",  VLOOKUP($B121, Propostas!$B:$BE, 35, FALSE) )</f>
        <v/>
      </c>
      <c r="F121" s="4" t="str">
        <f>IF($B121="","",  VLOOKUP($B121, Propostas!$B:$BE, 2, FALSE) )</f>
        <v/>
      </c>
      <c r="G121" s="4" t="str">
        <f>IF($B121="","",  VLOOKUP($B121, Propostas!$B:$BE, 3, FALSE) )</f>
        <v/>
      </c>
      <c r="H121" s="4" t="str">
        <f>IF($B121="","",  VLOOKUP($B121, Propostas!$B:$BE, 4, FALSE) )</f>
        <v/>
      </c>
      <c r="I121" s="4" t="str">
        <f>IF($B121="","",  VLOOKUP($B121, Propostas!$B:$BE, 38, FALSE) )</f>
        <v/>
      </c>
      <c r="J121" s="13" t="str">
        <f>IF($B121="","",IF($C121="SIM", "&lt; INFRRAESTRUTURA &gt;", VLOOKUP($B121,Propostas!$B:$BE,41,FALSE)))</f>
        <v/>
      </c>
      <c r="K121" s="10" t="str">
        <f>IF($B121="","",  VLOOKUP($B121, Propostas!$B:$BE, 40, FALSE) )</f>
        <v/>
      </c>
      <c r="L121" s="10" t="str">
        <f>IF($B121="","",IF(VLOOKUP($B121,Propostas!$B:$BE,21,FALSE)=1,"B",IF(VLOOKUP($B121,Propostas!$B:$BE,21,FALSE)=2,"E","N")))</f>
        <v/>
      </c>
      <c r="M121" s="32" t="str">
        <f>IF($B121 = "", "",  VLOOKUP($B121, Propostas!$B:$BE, 46, FALSE) )</f>
        <v/>
      </c>
      <c r="N121" s="32" t="str">
        <f>IF($B121 = "", "",  VLOOKUP($B121, Propostas!$B:$BE, 47, FALSE) )</f>
        <v/>
      </c>
      <c r="O121" s="13" t="str">
        <f>IF($B121="","",IF($C121="SIM", "INFRAESTRUTURA", VLOOKUP($B121, Propostas!$B:$BE,42,FALSE)))</f>
        <v/>
      </c>
      <c r="P121" s="32" t="str">
        <f>IF($B121 = "", "",  VLOOKUP($B121, Propostas!$B:$BE, 49, FALSE) )</f>
        <v/>
      </c>
      <c r="Q121" s="13" t="str">
        <f>IF($B121="","",  VLOOKUP($B121, Propostas!$B:$BE, 39, FALSE) )</f>
        <v/>
      </c>
      <c r="R121" s="81" t="str">
        <f>IF($B121="","",  VLOOKUP($B121, Propostas!$B:$BE, 43, FALSE) )</f>
        <v/>
      </c>
      <c r="S121" s="81" t="str">
        <f>IF($B121="","",  VLOOKUP($B121, Propostas!$B:$BE, 44, FALSE) )</f>
        <v/>
      </c>
      <c r="T121" s="81" t="str">
        <f>IF($B121="","",  VLOOKUP($B121, Propostas!$B:$BE, 45, FALSE) )</f>
        <v/>
      </c>
      <c r="U121" s="32" t="str">
        <f>IF($B121="","",  VLOOKUP($B121, Propostas!$B:$BE, 37, FALSE) )</f>
        <v/>
      </c>
      <c r="V121" s="13" t="str">
        <f>IF($B121="","",  VLOOKUP($B121, Propostas!$B:$BE, 50, FALSE) )</f>
        <v/>
      </c>
      <c r="W121" s="13" t="str">
        <f>IF($B121="","",  VLOOKUP($B121, Propostas!$B:$BE, 51, FALSE) )</f>
        <v/>
      </c>
      <c r="X121" s="13" t="str">
        <f>IF($B121="","",  VLOOKUP($B121, Propostas!$B:$BE, 52, FALSE) )</f>
        <v/>
      </c>
      <c r="Y121" s="13" t="str">
        <f>IF($B121="","",  VLOOKUP($B121, Propostas!$B:$BE, 36, FALSE) )</f>
        <v/>
      </c>
      <c r="Z121" s="13" t="str">
        <f>IF($B121="","",  VLOOKUP($F121, VW_PROJETO!B:C, 2, FALSE) )</f>
        <v/>
      </c>
    </row>
    <row r="122" spans="2:26" x14ac:dyDescent="0.2">
      <c r="B122" s="2"/>
      <c r="C122" s="4" t="str">
        <f>IF($B122="","",  VLOOKUP($B122, Propostas!$B:$BE, 33, FALSE) )</f>
        <v/>
      </c>
      <c r="D122" s="4" t="str">
        <f>IF($B122="","",  VLOOKUP($B122, Propostas!$B:$BE, 34, FALSE) )</f>
        <v/>
      </c>
      <c r="E122" s="4" t="str">
        <f>IF($B122="","",  VLOOKUP($B122, Propostas!$B:$BE, 35, FALSE) )</f>
        <v/>
      </c>
      <c r="F122" s="4" t="str">
        <f>IF($B122="","",  VLOOKUP($B122, Propostas!$B:$BE, 2, FALSE) )</f>
        <v/>
      </c>
      <c r="G122" s="4" t="str">
        <f>IF($B122="","",  VLOOKUP($B122, Propostas!$B:$BE, 3, FALSE) )</f>
        <v/>
      </c>
      <c r="H122" s="4" t="str">
        <f>IF($B122="","",  VLOOKUP($B122, Propostas!$B:$BE, 4, FALSE) )</f>
        <v/>
      </c>
      <c r="I122" s="4" t="str">
        <f>IF($B122="","",  VLOOKUP($B122, Propostas!$B:$BE, 38, FALSE) )</f>
        <v/>
      </c>
      <c r="J122" s="13" t="str">
        <f>IF($B122="","",IF($C122="SIM", "&lt; INFRRAESTRUTURA &gt;", VLOOKUP($B122,Propostas!$B:$BE,41,FALSE)))</f>
        <v/>
      </c>
      <c r="K122" s="10" t="str">
        <f>IF($B122="","",  VLOOKUP($B122, Propostas!$B:$BE, 40, FALSE) )</f>
        <v/>
      </c>
      <c r="L122" s="10" t="str">
        <f>IF($B122="","",IF(VLOOKUP($B122,Propostas!$B:$BE,21,FALSE)=1,"B",IF(VLOOKUP($B122,Propostas!$B:$BE,21,FALSE)=2,"E","N")))</f>
        <v/>
      </c>
      <c r="M122" s="32" t="str">
        <f>IF($B122 = "", "",  VLOOKUP($B122, Propostas!$B:$BE, 46, FALSE) )</f>
        <v/>
      </c>
      <c r="N122" s="32" t="str">
        <f>IF($B122 = "", "",  VLOOKUP($B122, Propostas!$B:$BE, 47, FALSE) )</f>
        <v/>
      </c>
      <c r="O122" s="13" t="str">
        <f>IF($B122="","",IF($C122="SIM", "INFRAESTRUTURA", VLOOKUP($B122, Propostas!$B:$BE,42,FALSE)))</f>
        <v/>
      </c>
      <c r="P122" s="32" t="str">
        <f>IF($B122 = "", "",  VLOOKUP($B122, Propostas!$B:$BE, 49, FALSE) )</f>
        <v/>
      </c>
      <c r="Q122" s="13" t="str">
        <f>IF($B122="","",  VLOOKUP($B122, Propostas!$B:$BE, 39, FALSE) )</f>
        <v/>
      </c>
      <c r="R122" s="81" t="str">
        <f>IF($B122="","",  VLOOKUP($B122, Propostas!$B:$BE, 43, FALSE) )</f>
        <v/>
      </c>
      <c r="S122" s="81" t="str">
        <f>IF($B122="","",  VLOOKUP($B122, Propostas!$B:$BE, 44, FALSE) )</f>
        <v/>
      </c>
      <c r="T122" s="81" t="str">
        <f>IF($B122="","",  VLOOKUP($B122, Propostas!$B:$BE, 45, FALSE) )</f>
        <v/>
      </c>
      <c r="U122" s="32" t="str">
        <f>IF($B122="","",  VLOOKUP($B122, Propostas!$B:$BE, 37, FALSE) )</f>
        <v/>
      </c>
      <c r="V122" s="13" t="str">
        <f>IF($B122="","",  VLOOKUP($B122, Propostas!$B:$BE, 50, FALSE) )</f>
        <v/>
      </c>
      <c r="W122" s="13" t="str">
        <f>IF($B122="","",  VLOOKUP($B122, Propostas!$B:$BE, 51, FALSE) )</f>
        <v/>
      </c>
      <c r="X122" s="13" t="str">
        <f>IF($B122="","",  VLOOKUP($B122, Propostas!$B:$BE, 52, FALSE) )</f>
        <v/>
      </c>
      <c r="Y122" s="13" t="str">
        <f>IF($B122="","",  VLOOKUP($B122, Propostas!$B:$BE, 36, FALSE) )</f>
        <v/>
      </c>
      <c r="Z122" s="13" t="str">
        <f>IF($B122="","",  VLOOKUP($F122, VW_PROJETO!B:C, 2, FALSE) )</f>
        <v/>
      </c>
    </row>
    <row r="123" spans="2:26" x14ac:dyDescent="0.2">
      <c r="B123" s="2"/>
      <c r="C123" s="4" t="str">
        <f>IF($B123="","",  VLOOKUP($B123, Propostas!$B:$BE, 33, FALSE) )</f>
        <v/>
      </c>
      <c r="D123" s="4" t="str">
        <f>IF($B123="","",  VLOOKUP($B123, Propostas!$B:$BE, 34, FALSE) )</f>
        <v/>
      </c>
      <c r="E123" s="4" t="str">
        <f>IF($B123="","",  VLOOKUP($B123, Propostas!$B:$BE, 35, FALSE) )</f>
        <v/>
      </c>
      <c r="F123" s="4" t="str">
        <f>IF($B123="","",  VLOOKUP($B123, Propostas!$B:$BE, 2, FALSE) )</f>
        <v/>
      </c>
      <c r="G123" s="4" t="str">
        <f>IF($B123="","",  VLOOKUP($B123, Propostas!$B:$BE, 3, FALSE) )</f>
        <v/>
      </c>
      <c r="H123" s="4" t="str">
        <f>IF($B123="","",  VLOOKUP($B123, Propostas!$B:$BE, 4, FALSE) )</f>
        <v/>
      </c>
      <c r="I123" s="4" t="str">
        <f>IF($B123="","",  VLOOKUP($B123, Propostas!$B:$BE, 38, FALSE) )</f>
        <v/>
      </c>
      <c r="J123" s="13" t="str">
        <f>IF($B123="","",IF($C123="SIM", "&lt; INFRRAESTRUTURA &gt;", VLOOKUP($B123,Propostas!$B:$BE,41,FALSE)))</f>
        <v/>
      </c>
      <c r="K123" s="10" t="str">
        <f>IF($B123="","",  VLOOKUP($B123, Propostas!$B:$BE, 40, FALSE) )</f>
        <v/>
      </c>
      <c r="L123" s="10" t="str">
        <f>IF($B123="","",IF(VLOOKUP($B123,Propostas!$B:$BE,21,FALSE)=1,"B",IF(VLOOKUP($B123,Propostas!$B:$BE,21,FALSE)=2,"E","N")))</f>
        <v/>
      </c>
      <c r="M123" s="32" t="str">
        <f>IF($B123 = "", "",  VLOOKUP($B123, Propostas!$B:$BE, 46, FALSE) )</f>
        <v/>
      </c>
      <c r="N123" s="32" t="str">
        <f>IF($B123 = "", "",  VLOOKUP($B123, Propostas!$B:$BE, 47, FALSE) )</f>
        <v/>
      </c>
      <c r="O123" s="13" t="str">
        <f>IF($B123="","",IF($C123="SIM", "INFRAESTRUTURA", VLOOKUP($B123, Propostas!$B:$BE,42,FALSE)))</f>
        <v/>
      </c>
      <c r="P123" s="32" t="str">
        <f>IF($B123 = "", "",  VLOOKUP($B123, Propostas!$B:$BE, 49, FALSE) )</f>
        <v/>
      </c>
      <c r="Q123" s="13" t="str">
        <f>IF($B123="","",  VLOOKUP($B123, Propostas!$B:$BE, 39, FALSE) )</f>
        <v/>
      </c>
      <c r="R123" s="81" t="str">
        <f>IF($B123="","",  VLOOKUP($B123, Propostas!$B:$BE, 43, FALSE) )</f>
        <v/>
      </c>
      <c r="S123" s="81" t="str">
        <f>IF($B123="","",  VLOOKUP($B123, Propostas!$B:$BE, 44, FALSE) )</f>
        <v/>
      </c>
      <c r="T123" s="81" t="str">
        <f>IF($B123="","",  VLOOKUP($B123, Propostas!$B:$BE, 45, FALSE) )</f>
        <v/>
      </c>
      <c r="U123" s="32" t="str">
        <f>IF($B123="","",  VLOOKUP($B123, Propostas!$B:$BE, 37, FALSE) )</f>
        <v/>
      </c>
      <c r="V123" s="13" t="str">
        <f>IF($B123="","",  VLOOKUP($B123, Propostas!$B:$BE, 50, FALSE) )</f>
        <v/>
      </c>
      <c r="W123" s="13" t="str">
        <f>IF($B123="","",  VLOOKUP($B123, Propostas!$B:$BE, 51, FALSE) )</f>
        <v/>
      </c>
      <c r="X123" s="13" t="str">
        <f>IF($B123="","",  VLOOKUP($B123, Propostas!$B:$BE, 52, FALSE) )</f>
        <v/>
      </c>
      <c r="Y123" s="13" t="str">
        <f>IF($B123="","",  VLOOKUP($B123, Propostas!$B:$BE, 36, FALSE) )</f>
        <v/>
      </c>
      <c r="Z123" s="13" t="str">
        <f>IF($B123="","",  VLOOKUP($F123, VW_PROJETO!B:C, 2, FALSE) )</f>
        <v/>
      </c>
    </row>
    <row r="124" spans="2:26" x14ac:dyDescent="0.2">
      <c r="B124" s="2"/>
      <c r="C124" s="4" t="str">
        <f>IF($B124="","",  VLOOKUP($B124, Propostas!$B:$BE, 33, FALSE) )</f>
        <v/>
      </c>
      <c r="D124" s="4" t="str">
        <f>IF($B124="","",  VLOOKUP($B124, Propostas!$B:$BE, 34, FALSE) )</f>
        <v/>
      </c>
      <c r="E124" s="4" t="str">
        <f>IF($B124="","",  VLOOKUP($B124, Propostas!$B:$BE, 35, FALSE) )</f>
        <v/>
      </c>
      <c r="F124" s="4" t="str">
        <f>IF($B124="","",  VLOOKUP($B124, Propostas!$B:$BE, 2, FALSE) )</f>
        <v/>
      </c>
      <c r="G124" s="4" t="str">
        <f>IF($B124="","",  VLOOKUP($B124, Propostas!$B:$BE, 3, FALSE) )</f>
        <v/>
      </c>
      <c r="H124" s="4" t="str">
        <f>IF($B124="","",  VLOOKUP($B124, Propostas!$B:$BE, 4, FALSE) )</f>
        <v/>
      </c>
      <c r="I124" s="4" t="str">
        <f>IF($B124="","",  VLOOKUP($B124, Propostas!$B:$BE, 38, FALSE) )</f>
        <v/>
      </c>
      <c r="J124" s="13" t="str">
        <f>IF($B124="","",IF($C124="SIM", "&lt; INFRRAESTRUTURA &gt;", VLOOKUP($B124,Propostas!$B:$BE,41,FALSE)))</f>
        <v/>
      </c>
      <c r="K124" s="10" t="str">
        <f>IF($B124="","",  VLOOKUP($B124, Propostas!$B:$BE, 40, FALSE) )</f>
        <v/>
      </c>
      <c r="L124" s="10" t="str">
        <f>IF($B124="","",IF(VLOOKUP($B124,Propostas!$B:$BE,21,FALSE)=1,"B",IF(VLOOKUP($B124,Propostas!$B:$BE,21,FALSE)=2,"E","N")))</f>
        <v/>
      </c>
      <c r="M124" s="32" t="str">
        <f>IF($B124 = "", "",  VLOOKUP($B124, Propostas!$B:$BE, 46, FALSE) )</f>
        <v/>
      </c>
      <c r="N124" s="32" t="str">
        <f>IF($B124 = "", "",  VLOOKUP($B124, Propostas!$B:$BE, 47, FALSE) )</f>
        <v/>
      </c>
      <c r="O124" s="13" t="str">
        <f>IF($B124="","",IF($C124="SIM", "INFRAESTRUTURA", VLOOKUP($B124, Propostas!$B:$BE,42,FALSE)))</f>
        <v/>
      </c>
      <c r="P124" s="32" t="str">
        <f>IF($B124 = "", "",  VLOOKUP($B124, Propostas!$B:$BE, 49, FALSE) )</f>
        <v/>
      </c>
      <c r="Q124" s="13" t="str">
        <f>IF($B124="","",  VLOOKUP($B124, Propostas!$B:$BE, 39, FALSE) )</f>
        <v/>
      </c>
      <c r="R124" s="81" t="str">
        <f>IF($B124="","",  VLOOKUP($B124, Propostas!$B:$BE, 43, FALSE) )</f>
        <v/>
      </c>
      <c r="S124" s="81" t="str">
        <f>IF($B124="","",  VLOOKUP($B124, Propostas!$B:$BE, 44, FALSE) )</f>
        <v/>
      </c>
      <c r="T124" s="81" t="str">
        <f>IF($B124="","",  VLOOKUP($B124, Propostas!$B:$BE, 45, FALSE) )</f>
        <v/>
      </c>
      <c r="U124" s="32" t="str">
        <f>IF($B124="","",  VLOOKUP($B124, Propostas!$B:$BE, 37, FALSE) )</f>
        <v/>
      </c>
      <c r="V124" s="13" t="str">
        <f>IF($B124="","",  VLOOKUP($B124, Propostas!$B:$BE, 50, FALSE) )</f>
        <v/>
      </c>
      <c r="W124" s="13" t="str">
        <f>IF($B124="","",  VLOOKUP($B124, Propostas!$B:$BE, 51, FALSE) )</f>
        <v/>
      </c>
      <c r="X124" s="13" t="str">
        <f>IF($B124="","",  VLOOKUP($B124, Propostas!$B:$BE, 52, FALSE) )</f>
        <v/>
      </c>
      <c r="Y124" s="13" t="str">
        <f>IF($B124="","",  VLOOKUP($B124, Propostas!$B:$BE, 36, FALSE) )</f>
        <v/>
      </c>
      <c r="Z124" s="13" t="str">
        <f>IF($B124="","",  VLOOKUP($F124, VW_PROJETO!B:C, 2, FALSE) )</f>
        <v/>
      </c>
    </row>
    <row r="125" spans="2:26" x14ac:dyDescent="0.2">
      <c r="B125" s="2"/>
      <c r="C125" s="4" t="str">
        <f>IF($B125="","",  VLOOKUP($B125, Propostas!$B:$BE, 33, FALSE) )</f>
        <v/>
      </c>
      <c r="D125" s="4" t="str">
        <f>IF($B125="","",  VLOOKUP($B125, Propostas!$B:$BE, 34, FALSE) )</f>
        <v/>
      </c>
      <c r="E125" s="4" t="str">
        <f>IF($B125="","",  VLOOKUP($B125, Propostas!$B:$BE, 35, FALSE) )</f>
        <v/>
      </c>
      <c r="F125" s="4" t="str">
        <f>IF($B125="","",  VLOOKUP($B125, Propostas!$B:$BE, 2, FALSE) )</f>
        <v/>
      </c>
      <c r="G125" s="4" t="str">
        <f>IF($B125="","",  VLOOKUP($B125, Propostas!$B:$BE, 3, FALSE) )</f>
        <v/>
      </c>
      <c r="H125" s="4" t="str">
        <f>IF($B125="","",  VLOOKUP($B125, Propostas!$B:$BE, 4, FALSE) )</f>
        <v/>
      </c>
      <c r="I125" s="4" t="str">
        <f>IF($B125="","",  VLOOKUP($B125, Propostas!$B:$BE, 38, FALSE) )</f>
        <v/>
      </c>
      <c r="J125" s="13" t="str">
        <f>IF($B125="","",IF($C125="SIM", "&lt; INFRRAESTRUTURA &gt;", VLOOKUP($B125,Propostas!$B:$BE,41,FALSE)))</f>
        <v/>
      </c>
      <c r="K125" s="10" t="str">
        <f>IF($B125="","",  VLOOKUP($B125, Propostas!$B:$BE, 40, FALSE) )</f>
        <v/>
      </c>
      <c r="L125" s="10" t="str">
        <f>IF($B125="","",IF(VLOOKUP($B125,Propostas!$B:$BE,21,FALSE)=1,"B",IF(VLOOKUP($B125,Propostas!$B:$BE,21,FALSE)=2,"E","N")))</f>
        <v/>
      </c>
      <c r="M125" s="32" t="str">
        <f>IF($B125 = "", "",  VLOOKUP($B125, Propostas!$B:$BE, 46, FALSE) )</f>
        <v/>
      </c>
      <c r="N125" s="32" t="str">
        <f>IF($B125 = "", "",  VLOOKUP($B125, Propostas!$B:$BE, 47, FALSE) )</f>
        <v/>
      </c>
      <c r="O125" s="13" t="str">
        <f>IF($B125="","",IF($C125="SIM", "INFRAESTRUTURA", VLOOKUP($B125, Propostas!$B:$BE,42,FALSE)))</f>
        <v/>
      </c>
      <c r="P125" s="32" t="str">
        <f>IF($B125 = "", "",  VLOOKUP($B125, Propostas!$B:$BE, 49, FALSE) )</f>
        <v/>
      </c>
      <c r="Q125" s="13" t="str">
        <f>IF($B125="","",  VLOOKUP($B125, Propostas!$B:$BE, 39, FALSE) )</f>
        <v/>
      </c>
      <c r="R125" s="81" t="str">
        <f>IF($B125="","",  VLOOKUP($B125, Propostas!$B:$BE, 43, FALSE) )</f>
        <v/>
      </c>
      <c r="S125" s="81" t="str">
        <f>IF($B125="","",  VLOOKUP($B125, Propostas!$B:$BE, 44, FALSE) )</f>
        <v/>
      </c>
      <c r="T125" s="81" t="str">
        <f>IF($B125="","",  VLOOKUP($B125, Propostas!$B:$BE, 45, FALSE) )</f>
        <v/>
      </c>
      <c r="U125" s="32" t="str">
        <f>IF($B125="","",  VLOOKUP($B125, Propostas!$B:$BE, 37, FALSE) )</f>
        <v/>
      </c>
      <c r="V125" s="13" t="str">
        <f>IF($B125="","",  VLOOKUP($B125, Propostas!$B:$BE, 50, FALSE) )</f>
        <v/>
      </c>
      <c r="W125" s="13" t="str">
        <f>IF($B125="","",  VLOOKUP($B125, Propostas!$B:$BE, 51, FALSE) )</f>
        <v/>
      </c>
      <c r="X125" s="13" t="str">
        <f>IF($B125="","",  VLOOKUP($B125, Propostas!$B:$BE, 52, FALSE) )</f>
        <v/>
      </c>
      <c r="Y125" s="13" t="str">
        <f>IF($B125="","",  VLOOKUP($B125, Propostas!$B:$BE, 36, FALSE) )</f>
        <v/>
      </c>
      <c r="Z125" s="13" t="str">
        <f>IF($B125="","",  VLOOKUP($F125, VW_PROJETO!B:C, 2, FALSE) )</f>
        <v/>
      </c>
    </row>
    <row r="126" spans="2:26" x14ac:dyDescent="0.2">
      <c r="B126" s="2"/>
      <c r="C126" s="4" t="str">
        <f>IF($B126="","",  VLOOKUP($B126, Propostas!$B:$BE, 33, FALSE) )</f>
        <v/>
      </c>
      <c r="D126" s="4" t="str">
        <f>IF($B126="","",  VLOOKUP($B126, Propostas!$B:$BE, 34, FALSE) )</f>
        <v/>
      </c>
      <c r="E126" s="4" t="str">
        <f>IF($B126="","",  VLOOKUP($B126, Propostas!$B:$BE, 35, FALSE) )</f>
        <v/>
      </c>
      <c r="F126" s="4" t="str">
        <f>IF($B126="","",  VLOOKUP($B126, Propostas!$B:$BE, 2, FALSE) )</f>
        <v/>
      </c>
      <c r="G126" s="4" t="str">
        <f>IF($B126="","",  VLOOKUP($B126, Propostas!$B:$BE, 3, FALSE) )</f>
        <v/>
      </c>
      <c r="H126" s="4" t="str">
        <f>IF($B126="","",  VLOOKUP($B126, Propostas!$B:$BE, 4, FALSE) )</f>
        <v/>
      </c>
      <c r="I126" s="4" t="str">
        <f>IF($B126="","",  VLOOKUP($B126, Propostas!$B:$BE, 38, FALSE) )</f>
        <v/>
      </c>
      <c r="J126" s="13" t="str">
        <f>IF($B126="","",IF($C126="SIM", "&lt; INFRRAESTRUTURA &gt;", VLOOKUP($B126,Propostas!$B:$BE,41,FALSE)))</f>
        <v/>
      </c>
      <c r="K126" s="10" t="str">
        <f>IF($B126="","",  VLOOKUP($B126, Propostas!$B:$BE, 40, FALSE) )</f>
        <v/>
      </c>
      <c r="L126" s="10" t="str">
        <f>IF($B126="","",IF(VLOOKUP($B126,Propostas!$B:$BE,21,FALSE)=1,"B",IF(VLOOKUP($B126,Propostas!$B:$BE,21,FALSE)=2,"E","N")))</f>
        <v/>
      </c>
      <c r="M126" s="32" t="str">
        <f>IF($B126 = "", "",  VLOOKUP($B126, Propostas!$B:$BE, 46, FALSE) )</f>
        <v/>
      </c>
      <c r="N126" s="32" t="str">
        <f>IF($B126 = "", "",  VLOOKUP($B126, Propostas!$B:$BE, 47, FALSE) )</f>
        <v/>
      </c>
      <c r="O126" s="13" t="str">
        <f>IF($B126="","",IF($C126="SIM", "INFRAESTRUTURA", VLOOKUP($B126, Propostas!$B:$BE,42,FALSE)))</f>
        <v/>
      </c>
      <c r="P126" s="32" t="str">
        <f>IF($B126 = "", "",  VLOOKUP($B126, Propostas!$B:$BE, 49, FALSE) )</f>
        <v/>
      </c>
      <c r="Q126" s="13" t="str">
        <f>IF($B126="","",  VLOOKUP($B126, Propostas!$B:$BE, 39, FALSE) )</f>
        <v/>
      </c>
      <c r="R126" s="81" t="str">
        <f>IF($B126="","",  VLOOKUP($B126, Propostas!$B:$BE, 43, FALSE) )</f>
        <v/>
      </c>
      <c r="S126" s="81" t="str">
        <f>IF($B126="","",  VLOOKUP($B126, Propostas!$B:$BE, 44, FALSE) )</f>
        <v/>
      </c>
      <c r="T126" s="81" t="str">
        <f>IF($B126="","",  VLOOKUP($B126, Propostas!$B:$BE, 45, FALSE) )</f>
        <v/>
      </c>
      <c r="U126" s="32" t="str">
        <f>IF($B126="","",  VLOOKUP($B126, Propostas!$B:$BE, 37, FALSE) )</f>
        <v/>
      </c>
      <c r="V126" s="13" t="str">
        <f>IF($B126="","",  VLOOKUP($B126, Propostas!$B:$BE, 50, FALSE) )</f>
        <v/>
      </c>
      <c r="W126" s="13" t="str">
        <f>IF($B126="","",  VLOOKUP($B126, Propostas!$B:$BE, 51, FALSE) )</f>
        <v/>
      </c>
      <c r="X126" s="13" t="str">
        <f>IF($B126="","",  VLOOKUP($B126, Propostas!$B:$BE, 52, FALSE) )</f>
        <v/>
      </c>
      <c r="Y126" s="13" t="str">
        <f>IF($B126="","",  VLOOKUP($B126, Propostas!$B:$BE, 36, FALSE) )</f>
        <v/>
      </c>
      <c r="Z126" s="13" t="str">
        <f>IF($B126="","",  VLOOKUP($F126, VW_PROJETO!B:C, 2, FALSE) )</f>
        <v/>
      </c>
    </row>
    <row r="127" spans="2:26" x14ac:dyDescent="0.2">
      <c r="B127" s="2"/>
      <c r="C127" s="4" t="str">
        <f>IF($B127="","",  VLOOKUP($B127, Propostas!$B:$BE, 33, FALSE) )</f>
        <v/>
      </c>
      <c r="D127" s="4" t="str">
        <f>IF($B127="","",  VLOOKUP($B127, Propostas!$B:$BE, 34, FALSE) )</f>
        <v/>
      </c>
      <c r="E127" s="4" t="str">
        <f>IF($B127="","",  VLOOKUP($B127, Propostas!$B:$BE, 35, FALSE) )</f>
        <v/>
      </c>
      <c r="F127" s="4" t="str">
        <f>IF($B127="","",  VLOOKUP($B127, Propostas!$B:$BE, 2, FALSE) )</f>
        <v/>
      </c>
      <c r="G127" s="4" t="str">
        <f>IF($B127="","",  VLOOKUP($B127, Propostas!$B:$BE, 3, FALSE) )</f>
        <v/>
      </c>
      <c r="H127" s="4" t="str">
        <f>IF($B127="","",  VLOOKUP($B127, Propostas!$B:$BE, 4, FALSE) )</f>
        <v/>
      </c>
      <c r="I127" s="4" t="str">
        <f>IF($B127="","",  VLOOKUP($B127, Propostas!$B:$BE, 38, FALSE) )</f>
        <v/>
      </c>
      <c r="J127" s="13" t="str">
        <f>IF($B127="","",IF($C127="SIM", "&lt; INFRRAESTRUTURA &gt;", VLOOKUP($B127,Propostas!$B:$BE,41,FALSE)))</f>
        <v/>
      </c>
      <c r="K127" s="10" t="str">
        <f>IF($B127="","",  VLOOKUP($B127, Propostas!$B:$BE, 40, FALSE) )</f>
        <v/>
      </c>
      <c r="L127" s="10" t="str">
        <f>IF($B127="","",IF(VLOOKUP($B127,Propostas!$B:$BE,21,FALSE)=1,"B",IF(VLOOKUP($B127,Propostas!$B:$BE,21,FALSE)=2,"E","N")))</f>
        <v/>
      </c>
      <c r="M127" s="32" t="str">
        <f>IF($B127 = "", "",  VLOOKUP($B127, Propostas!$B:$BE, 46, FALSE) )</f>
        <v/>
      </c>
      <c r="N127" s="32" t="str">
        <f>IF($B127 = "", "",  VLOOKUP($B127, Propostas!$B:$BE, 47, FALSE) )</f>
        <v/>
      </c>
      <c r="O127" s="13" t="str">
        <f>IF($B127="","",IF($C127="SIM", "INFRAESTRUTURA", VLOOKUP($B127, Propostas!$B:$BE,42,FALSE)))</f>
        <v/>
      </c>
      <c r="P127" s="32" t="str">
        <f>IF($B127 = "", "",  VLOOKUP($B127, Propostas!$B:$BE, 49, FALSE) )</f>
        <v/>
      </c>
      <c r="Q127" s="13" t="str">
        <f>IF($B127="","",  VLOOKUP($B127, Propostas!$B:$BE, 39, FALSE) )</f>
        <v/>
      </c>
      <c r="R127" s="81" t="str">
        <f>IF($B127="","",  VLOOKUP($B127, Propostas!$B:$BE, 43, FALSE) )</f>
        <v/>
      </c>
      <c r="S127" s="81" t="str">
        <f>IF($B127="","",  VLOOKUP($B127, Propostas!$B:$BE, 44, FALSE) )</f>
        <v/>
      </c>
      <c r="T127" s="81" t="str">
        <f>IF($B127="","",  VLOOKUP($B127, Propostas!$B:$BE, 45, FALSE) )</f>
        <v/>
      </c>
      <c r="U127" s="32" t="str">
        <f>IF($B127="","",  VLOOKUP($B127, Propostas!$B:$BE, 37, FALSE) )</f>
        <v/>
      </c>
      <c r="V127" s="13" t="str">
        <f>IF($B127="","",  VLOOKUP($B127, Propostas!$B:$BE, 50, FALSE) )</f>
        <v/>
      </c>
      <c r="W127" s="13" t="str">
        <f>IF($B127="","",  VLOOKUP($B127, Propostas!$B:$BE, 51, FALSE) )</f>
        <v/>
      </c>
      <c r="X127" s="13" t="str">
        <f>IF($B127="","",  VLOOKUP($B127, Propostas!$B:$BE, 52, FALSE) )</f>
        <v/>
      </c>
      <c r="Y127" s="13" t="str">
        <f>IF($B127="","",  VLOOKUP($B127, Propostas!$B:$BE, 36, FALSE) )</f>
        <v/>
      </c>
      <c r="Z127" s="13" t="str">
        <f>IF($B127="","",  VLOOKUP($F127, VW_PROJETO!B:C, 2, FALSE) )</f>
        <v/>
      </c>
    </row>
    <row r="128" spans="2:26" x14ac:dyDescent="0.2">
      <c r="B128" s="2"/>
      <c r="C128" s="4" t="str">
        <f>IF($B128="","",  VLOOKUP($B128, Propostas!$B:$BE, 33, FALSE) )</f>
        <v/>
      </c>
      <c r="D128" s="4" t="str">
        <f>IF($B128="","",  VLOOKUP($B128, Propostas!$B:$BE, 34, FALSE) )</f>
        <v/>
      </c>
      <c r="E128" s="4" t="str">
        <f>IF($B128="","",  VLOOKUP($B128, Propostas!$B:$BE, 35, FALSE) )</f>
        <v/>
      </c>
      <c r="F128" s="4" t="str">
        <f>IF($B128="","",  VLOOKUP($B128, Propostas!$B:$BE, 2, FALSE) )</f>
        <v/>
      </c>
      <c r="G128" s="4" t="str">
        <f>IF($B128="","",  VLOOKUP($B128, Propostas!$B:$BE, 3, FALSE) )</f>
        <v/>
      </c>
      <c r="H128" s="4" t="str">
        <f>IF($B128="","",  VLOOKUP($B128, Propostas!$B:$BE, 4, FALSE) )</f>
        <v/>
      </c>
      <c r="I128" s="4" t="str">
        <f>IF($B128="","",  VLOOKUP($B128, Propostas!$B:$BE, 38, FALSE) )</f>
        <v/>
      </c>
      <c r="J128" s="13" t="str">
        <f>IF($B128="","",IF($C128="SIM", "&lt; INFRRAESTRUTURA &gt;", VLOOKUP($B128,Propostas!$B:$BE,41,FALSE)))</f>
        <v/>
      </c>
      <c r="K128" s="10" t="str">
        <f>IF($B128="","",  VLOOKUP($B128, Propostas!$B:$BE, 40, FALSE) )</f>
        <v/>
      </c>
      <c r="L128" s="10" t="str">
        <f>IF($B128="","",IF(VLOOKUP($B128,Propostas!$B:$BE,21,FALSE)=1,"B",IF(VLOOKUP($B128,Propostas!$B:$BE,21,FALSE)=2,"E","N")))</f>
        <v/>
      </c>
      <c r="M128" s="32" t="str">
        <f>IF($B128 = "", "",  VLOOKUP($B128, Propostas!$B:$BE, 46, FALSE) )</f>
        <v/>
      </c>
      <c r="N128" s="32" t="str">
        <f>IF($B128 = "", "",  VLOOKUP($B128, Propostas!$B:$BE, 47, FALSE) )</f>
        <v/>
      </c>
      <c r="O128" s="13" t="str">
        <f>IF($B128="","",IF($C128="SIM", "INFRAESTRUTURA", VLOOKUP($B128, Propostas!$B:$BE,42,FALSE)))</f>
        <v/>
      </c>
      <c r="P128" s="32" t="str">
        <f>IF($B128 = "", "",  VLOOKUP($B128, Propostas!$B:$BE, 49, FALSE) )</f>
        <v/>
      </c>
      <c r="Q128" s="13" t="str">
        <f>IF($B128="","",  VLOOKUP($B128, Propostas!$B:$BE, 39, FALSE) )</f>
        <v/>
      </c>
      <c r="R128" s="81" t="str">
        <f>IF($B128="","",  VLOOKUP($B128, Propostas!$B:$BE, 43, FALSE) )</f>
        <v/>
      </c>
      <c r="S128" s="81" t="str">
        <f>IF($B128="","",  VLOOKUP($B128, Propostas!$B:$BE, 44, FALSE) )</f>
        <v/>
      </c>
      <c r="T128" s="81" t="str">
        <f>IF($B128="","",  VLOOKUP($B128, Propostas!$B:$BE, 45, FALSE) )</f>
        <v/>
      </c>
      <c r="U128" s="32" t="str">
        <f>IF($B128="","",  VLOOKUP($B128, Propostas!$B:$BE, 37, FALSE) )</f>
        <v/>
      </c>
      <c r="V128" s="13" t="str">
        <f>IF($B128="","",  VLOOKUP($B128, Propostas!$B:$BE, 50, FALSE) )</f>
        <v/>
      </c>
      <c r="W128" s="13" t="str">
        <f>IF($B128="","",  VLOOKUP($B128, Propostas!$B:$BE, 51, FALSE) )</f>
        <v/>
      </c>
      <c r="X128" s="13" t="str">
        <f>IF($B128="","",  VLOOKUP($B128, Propostas!$B:$BE, 52, FALSE) )</f>
        <v/>
      </c>
      <c r="Y128" s="13" t="str">
        <f>IF($B128="","",  VLOOKUP($B128, Propostas!$B:$BE, 36, FALSE) )</f>
        <v/>
      </c>
      <c r="Z128" s="13" t="str">
        <f>IF($B128="","",  VLOOKUP($F128, VW_PROJETO!B:C, 2, FALSE) )</f>
        <v/>
      </c>
    </row>
    <row r="129" spans="2:26" x14ac:dyDescent="0.2">
      <c r="B129" s="2"/>
      <c r="C129" s="4" t="str">
        <f>IF($B129="","",  VLOOKUP($B129, Propostas!$B:$BE, 33, FALSE) )</f>
        <v/>
      </c>
      <c r="D129" s="4" t="str">
        <f>IF($B129="","",  VLOOKUP($B129, Propostas!$B:$BE, 34, FALSE) )</f>
        <v/>
      </c>
      <c r="E129" s="4" t="str">
        <f>IF($B129="","",  VLOOKUP($B129, Propostas!$B:$BE, 35, FALSE) )</f>
        <v/>
      </c>
      <c r="F129" s="4" t="str">
        <f>IF($B129="","",  VLOOKUP($B129, Propostas!$B:$BE, 2, FALSE) )</f>
        <v/>
      </c>
      <c r="G129" s="4" t="str">
        <f>IF($B129="","",  VLOOKUP($B129, Propostas!$B:$BE, 3, FALSE) )</f>
        <v/>
      </c>
      <c r="H129" s="4" t="str">
        <f>IF($B129="","",  VLOOKUP($B129, Propostas!$B:$BE, 4, FALSE) )</f>
        <v/>
      </c>
      <c r="I129" s="4" t="str">
        <f>IF($B129="","",  VLOOKUP($B129, Propostas!$B:$BE, 38, FALSE) )</f>
        <v/>
      </c>
      <c r="J129" s="13" t="str">
        <f>IF($B129="","",IF($C129="SIM", "&lt; INFRRAESTRUTURA &gt;", VLOOKUP($B129,Propostas!$B:$BE,41,FALSE)))</f>
        <v/>
      </c>
      <c r="K129" s="10" t="str">
        <f>IF($B129="","",  VLOOKUP($B129, Propostas!$B:$BE, 40, FALSE) )</f>
        <v/>
      </c>
      <c r="L129" s="10" t="str">
        <f>IF($B129="","",IF(VLOOKUP($B129,Propostas!$B:$BE,21,FALSE)=1,"B",IF(VLOOKUP($B129,Propostas!$B:$BE,21,FALSE)=2,"E","N")))</f>
        <v/>
      </c>
      <c r="M129" s="32" t="str">
        <f>IF($B129 = "", "",  VLOOKUP($B129, Propostas!$B:$BE, 46, FALSE) )</f>
        <v/>
      </c>
      <c r="N129" s="32" t="str">
        <f>IF($B129 = "", "",  VLOOKUP($B129, Propostas!$B:$BE, 47, FALSE) )</f>
        <v/>
      </c>
      <c r="O129" s="13" t="str">
        <f>IF($B129="","",IF($C129="SIM", "INFRAESTRUTURA", VLOOKUP($B129, Propostas!$B:$BE,42,FALSE)))</f>
        <v/>
      </c>
      <c r="P129" s="32" t="str">
        <f>IF($B129 = "", "",  VLOOKUP($B129, Propostas!$B:$BE, 49, FALSE) )</f>
        <v/>
      </c>
      <c r="Q129" s="13" t="str">
        <f>IF($B129="","",  VLOOKUP($B129, Propostas!$B:$BE, 39, FALSE) )</f>
        <v/>
      </c>
      <c r="R129" s="81" t="str">
        <f>IF($B129="","",  VLOOKUP($B129, Propostas!$B:$BE, 43, FALSE) )</f>
        <v/>
      </c>
      <c r="S129" s="81" t="str">
        <f>IF($B129="","",  VLOOKUP($B129, Propostas!$B:$BE, 44, FALSE) )</f>
        <v/>
      </c>
      <c r="T129" s="81" t="str">
        <f>IF($B129="","",  VLOOKUP($B129, Propostas!$B:$BE, 45, FALSE) )</f>
        <v/>
      </c>
      <c r="U129" s="32" t="str">
        <f>IF($B129="","",  VLOOKUP($B129, Propostas!$B:$BE, 37, FALSE) )</f>
        <v/>
      </c>
      <c r="V129" s="13" t="str">
        <f>IF($B129="","",  VLOOKUP($B129, Propostas!$B:$BE, 50, FALSE) )</f>
        <v/>
      </c>
      <c r="W129" s="13" t="str">
        <f>IF($B129="","",  VLOOKUP($B129, Propostas!$B:$BE, 51, FALSE) )</f>
        <v/>
      </c>
      <c r="X129" s="13" t="str">
        <f>IF($B129="","",  VLOOKUP($B129, Propostas!$B:$BE, 52, FALSE) )</f>
        <v/>
      </c>
      <c r="Y129" s="13" t="str">
        <f>IF($B129="","",  VLOOKUP($B129, Propostas!$B:$BE, 36, FALSE) )</f>
        <v/>
      </c>
      <c r="Z129" s="13" t="str">
        <f>IF($B129="","",  VLOOKUP($F129, VW_PROJETO!B:C, 2, FALSE) )</f>
        <v/>
      </c>
    </row>
    <row r="130" spans="2:26" x14ac:dyDescent="0.2">
      <c r="B130" s="2"/>
      <c r="C130" s="4" t="str">
        <f>IF($B130="","",  VLOOKUP($B130, Propostas!$B:$BE, 33, FALSE) )</f>
        <v/>
      </c>
      <c r="D130" s="4" t="str">
        <f>IF($B130="","",  VLOOKUP($B130, Propostas!$B:$BE, 34, FALSE) )</f>
        <v/>
      </c>
      <c r="E130" s="4" t="str">
        <f>IF($B130="","",  VLOOKUP($B130, Propostas!$B:$BE, 35, FALSE) )</f>
        <v/>
      </c>
      <c r="F130" s="4" t="str">
        <f>IF($B130="","",  VLOOKUP($B130, Propostas!$B:$BE, 2, FALSE) )</f>
        <v/>
      </c>
      <c r="G130" s="4" t="str">
        <f>IF($B130="","",  VLOOKUP($B130, Propostas!$B:$BE, 3, FALSE) )</f>
        <v/>
      </c>
      <c r="H130" s="4" t="str">
        <f>IF($B130="","",  VLOOKUP($B130, Propostas!$B:$BE, 4, FALSE) )</f>
        <v/>
      </c>
      <c r="I130" s="4" t="str">
        <f>IF($B130="","",  VLOOKUP($B130, Propostas!$B:$BE, 38, FALSE) )</f>
        <v/>
      </c>
      <c r="J130" s="13" t="str">
        <f>IF($B130="","",IF($C130="SIM", "&lt; INFRRAESTRUTURA &gt;", VLOOKUP($B130,Propostas!$B:$BE,41,FALSE)))</f>
        <v/>
      </c>
      <c r="K130" s="10" t="str">
        <f>IF($B130="","",  VLOOKUP($B130, Propostas!$B:$BE, 40, FALSE) )</f>
        <v/>
      </c>
      <c r="L130" s="10" t="str">
        <f>IF($B130="","",IF(VLOOKUP($B130,Propostas!$B:$BE,21,FALSE)=1,"B",IF(VLOOKUP($B130,Propostas!$B:$BE,21,FALSE)=2,"E","N")))</f>
        <v/>
      </c>
      <c r="M130" s="32" t="str">
        <f>IF($B130 = "", "",  VLOOKUP($B130, Propostas!$B:$BE, 46, FALSE) )</f>
        <v/>
      </c>
      <c r="N130" s="32" t="str">
        <f>IF($B130 = "", "",  VLOOKUP($B130, Propostas!$B:$BE, 47, FALSE) )</f>
        <v/>
      </c>
      <c r="O130" s="13" t="str">
        <f>IF($B130="","",IF($C130="SIM", "INFRAESTRUTURA", VLOOKUP($B130, Propostas!$B:$BE,42,FALSE)))</f>
        <v/>
      </c>
      <c r="P130" s="32" t="str">
        <f>IF($B130 = "", "",  VLOOKUP($B130, Propostas!$B:$BE, 49, FALSE) )</f>
        <v/>
      </c>
      <c r="Q130" s="13" t="str">
        <f>IF($B130="","",  VLOOKUP($B130, Propostas!$B:$BE, 39, FALSE) )</f>
        <v/>
      </c>
      <c r="R130" s="81" t="str">
        <f>IF($B130="","",  VLOOKUP($B130, Propostas!$B:$BE, 43, FALSE) )</f>
        <v/>
      </c>
      <c r="S130" s="81" t="str">
        <f>IF($B130="","",  VLOOKUP($B130, Propostas!$B:$BE, 44, FALSE) )</f>
        <v/>
      </c>
      <c r="T130" s="81" t="str">
        <f>IF($B130="","",  VLOOKUP($B130, Propostas!$B:$BE, 45, FALSE) )</f>
        <v/>
      </c>
      <c r="U130" s="32" t="str">
        <f>IF($B130="","",  VLOOKUP($B130, Propostas!$B:$BE, 37, FALSE) )</f>
        <v/>
      </c>
      <c r="V130" s="13" t="str">
        <f>IF($B130="","",  VLOOKUP($B130, Propostas!$B:$BE, 50, FALSE) )</f>
        <v/>
      </c>
      <c r="W130" s="13" t="str">
        <f>IF($B130="","",  VLOOKUP($B130, Propostas!$B:$BE, 51, FALSE) )</f>
        <v/>
      </c>
      <c r="X130" s="13" t="str">
        <f>IF($B130="","",  VLOOKUP($B130, Propostas!$B:$BE, 52, FALSE) )</f>
        <v/>
      </c>
      <c r="Y130" s="13" t="str">
        <f>IF($B130="","",  VLOOKUP($B130, Propostas!$B:$BE, 36, FALSE) )</f>
        <v/>
      </c>
      <c r="Z130" s="13" t="str">
        <f>IF($B130="","",  VLOOKUP($F130, VW_PROJETO!B:C, 2, FALSE) )</f>
        <v/>
      </c>
    </row>
    <row r="131" spans="2:26" x14ac:dyDescent="0.2">
      <c r="B131" s="2"/>
      <c r="C131" s="4" t="str">
        <f>IF($B131="","",  VLOOKUP($B131, Propostas!$B:$BE, 33, FALSE) )</f>
        <v/>
      </c>
      <c r="D131" s="4" t="str">
        <f>IF($B131="","",  VLOOKUP($B131, Propostas!$B:$BE, 34, FALSE) )</f>
        <v/>
      </c>
      <c r="E131" s="4" t="str">
        <f>IF($B131="","",  VLOOKUP($B131, Propostas!$B:$BE, 35, FALSE) )</f>
        <v/>
      </c>
      <c r="F131" s="4" t="str">
        <f>IF($B131="","",  VLOOKUP($B131, Propostas!$B:$BE, 2, FALSE) )</f>
        <v/>
      </c>
      <c r="G131" s="4" t="str">
        <f>IF($B131="","",  VLOOKUP($B131, Propostas!$B:$BE, 3, FALSE) )</f>
        <v/>
      </c>
      <c r="H131" s="4" t="str">
        <f>IF($B131="","",  VLOOKUP($B131, Propostas!$B:$BE, 4, FALSE) )</f>
        <v/>
      </c>
      <c r="I131" s="4" t="str">
        <f>IF($B131="","",  VLOOKUP($B131, Propostas!$B:$BE, 38, FALSE) )</f>
        <v/>
      </c>
      <c r="J131" s="13" t="str">
        <f>IF($B131="","",IF($C131="SIM", "&lt; INFRRAESTRUTURA &gt;", VLOOKUP($B131,Propostas!$B:$BE,41,FALSE)))</f>
        <v/>
      </c>
      <c r="K131" s="10" t="str">
        <f>IF($B131="","",  VLOOKUP($B131, Propostas!$B:$BE, 40, FALSE) )</f>
        <v/>
      </c>
      <c r="L131" s="10" t="str">
        <f>IF($B131="","",IF(VLOOKUP($B131,Propostas!$B:$BE,21,FALSE)=1,"B",IF(VLOOKUP($B131,Propostas!$B:$BE,21,FALSE)=2,"E","N")))</f>
        <v/>
      </c>
      <c r="M131" s="32" t="str">
        <f>IF($B131 = "", "",  VLOOKUP($B131, Propostas!$B:$BE, 46, FALSE) )</f>
        <v/>
      </c>
      <c r="N131" s="32" t="str">
        <f>IF($B131 = "", "",  VLOOKUP($B131, Propostas!$B:$BE, 47, FALSE) )</f>
        <v/>
      </c>
      <c r="O131" s="13" t="str">
        <f>IF($B131="","",IF($C131="SIM", "INFRAESTRUTURA", VLOOKUP($B131, Propostas!$B:$BE,42,FALSE)))</f>
        <v/>
      </c>
      <c r="P131" s="32" t="str">
        <f>IF($B131 = "", "",  VLOOKUP($B131, Propostas!$B:$BE, 49, FALSE) )</f>
        <v/>
      </c>
      <c r="Q131" s="13" t="str">
        <f>IF($B131="","",  VLOOKUP($B131, Propostas!$B:$BE, 39, FALSE) )</f>
        <v/>
      </c>
      <c r="R131" s="81" t="str">
        <f>IF($B131="","",  VLOOKUP($B131, Propostas!$B:$BE, 43, FALSE) )</f>
        <v/>
      </c>
      <c r="S131" s="81" t="str">
        <f>IF($B131="","",  VLOOKUP($B131, Propostas!$B:$BE, 44, FALSE) )</f>
        <v/>
      </c>
      <c r="T131" s="81" t="str">
        <f>IF($B131="","",  VLOOKUP($B131, Propostas!$B:$BE, 45, FALSE) )</f>
        <v/>
      </c>
      <c r="U131" s="32" t="str">
        <f>IF($B131="","",  VLOOKUP($B131, Propostas!$B:$BE, 37, FALSE) )</f>
        <v/>
      </c>
      <c r="V131" s="13" t="str">
        <f>IF($B131="","",  VLOOKUP($B131, Propostas!$B:$BE, 50, FALSE) )</f>
        <v/>
      </c>
      <c r="W131" s="13" t="str">
        <f>IF($B131="","",  VLOOKUP($B131, Propostas!$B:$BE, 51, FALSE) )</f>
        <v/>
      </c>
      <c r="X131" s="13" t="str">
        <f>IF($B131="","",  VLOOKUP($B131, Propostas!$B:$BE, 52, FALSE) )</f>
        <v/>
      </c>
      <c r="Y131" s="13" t="str">
        <f>IF($B131="","",  VLOOKUP($B131, Propostas!$B:$BE, 36, FALSE) )</f>
        <v/>
      </c>
      <c r="Z131" s="13" t="str">
        <f>IF($B131="","",  VLOOKUP($F131, VW_PROJETO!B:C, 2, FALSE) )</f>
        <v/>
      </c>
    </row>
    <row r="132" spans="2:26" x14ac:dyDescent="0.2">
      <c r="B132" s="2"/>
      <c r="C132" s="4" t="str">
        <f>IF($B132="","",  VLOOKUP($B132, Propostas!$B:$BE, 33, FALSE) )</f>
        <v/>
      </c>
      <c r="D132" s="4" t="str">
        <f>IF($B132="","",  VLOOKUP($B132, Propostas!$B:$BE, 34, FALSE) )</f>
        <v/>
      </c>
      <c r="E132" s="4" t="str">
        <f>IF($B132="","",  VLOOKUP($B132, Propostas!$B:$BE, 35, FALSE) )</f>
        <v/>
      </c>
      <c r="F132" s="4" t="str">
        <f>IF($B132="","",  VLOOKUP($B132, Propostas!$B:$BE, 2, FALSE) )</f>
        <v/>
      </c>
      <c r="G132" s="4" t="str">
        <f>IF($B132="","",  VLOOKUP($B132, Propostas!$B:$BE, 3, FALSE) )</f>
        <v/>
      </c>
      <c r="H132" s="4" t="str">
        <f>IF($B132="","",  VLOOKUP($B132, Propostas!$B:$BE, 4, FALSE) )</f>
        <v/>
      </c>
      <c r="I132" s="4" t="str">
        <f>IF($B132="","",  VLOOKUP($B132, Propostas!$B:$BE, 38, FALSE) )</f>
        <v/>
      </c>
      <c r="J132" s="13" t="str">
        <f>IF($B132="","",IF($C132="SIM", "&lt; INFRRAESTRUTURA &gt;", VLOOKUP($B132,Propostas!$B:$BE,41,FALSE)))</f>
        <v/>
      </c>
      <c r="K132" s="10" t="str">
        <f>IF($B132="","",  VLOOKUP($B132, Propostas!$B:$BE, 40, FALSE) )</f>
        <v/>
      </c>
      <c r="L132" s="10" t="str">
        <f>IF($B132="","",IF(VLOOKUP($B132,Propostas!$B:$BE,21,FALSE)=1,"B",IF(VLOOKUP($B132,Propostas!$B:$BE,21,FALSE)=2,"E","N")))</f>
        <v/>
      </c>
      <c r="M132" s="32" t="str">
        <f>IF($B132 = "", "",  VLOOKUP($B132, Propostas!$B:$BE, 46, FALSE) )</f>
        <v/>
      </c>
      <c r="N132" s="32" t="str">
        <f>IF($B132 = "", "",  VLOOKUP($B132, Propostas!$B:$BE, 47, FALSE) )</f>
        <v/>
      </c>
      <c r="O132" s="13" t="str">
        <f>IF($B132="","",IF($C132="SIM", "INFRAESTRUTURA", VLOOKUP($B132, Propostas!$B:$BE,42,FALSE)))</f>
        <v/>
      </c>
      <c r="P132" s="32" t="str">
        <f>IF($B132 = "", "",  VLOOKUP($B132, Propostas!$B:$BE, 49, FALSE) )</f>
        <v/>
      </c>
      <c r="Q132" s="13" t="str">
        <f>IF($B132="","",  VLOOKUP($B132, Propostas!$B:$BE, 39, FALSE) )</f>
        <v/>
      </c>
      <c r="R132" s="81" t="str">
        <f>IF($B132="","",  VLOOKUP($B132, Propostas!$B:$BE, 43, FALSE) )</f>
        <v/>
      </c>
      <c r="S132" s="81" t="str">
        <f>IF($B132="","",  VLOOKUP($B132, Propostas!$B:$BE, 44, FALSE) )</f>
        <v/>
      </c>
      <c r="T132" s="81" t="str">
        <f>IF($B132="","",  VLOOKUP($B132, Propostas!$B:$BE, 45, FALSE) )</f>
        <v/>
      </c>
      <c r="U132" s="32" t="str">
        <f>IF($B132="","",  VLOOKUP($B132, Propostas!$B:$BE, 37, FALSE) )</f>
        <v/>
      </c>
      <c r="V132" s="13" t="str">
        <f>IF($B132="","",  VLOOKUP($B132, Propostas!$B:$BE, 50, FALSE) )</f>
        <v/>
      </c>
      <c r="W132" s="13" t="str">
        <f>IF($B132="","",  VLOOKUP($B132, Propostas!$B:$BE, 51, FALSE) )</f>
        <v/>
      </c>
      <c r="X132" s="13" t="str">
        <f>IF($B132="","",  VLOOKUP($B132, Propostas!$B:$BE, 52, FALSE) )</f>
        <v/>
      </c>
      <c r="Y132" s="13" t="str">
        <f>IF($B132="","",  VLOOKUP($B132, Propostas!$B:$BE, 36, FALSE) )</f>
        <v/>
      </c>
      <c r="Z132" s="13" t="str">
        <f>IF($B132="","",  VLOOKUP($F132, VW_PROJETO!B:C, 2, FALSE) )</f>
        <v/>
      </c>
    </row>
    <row r="133" spans="2:26" x14ac:dyDescent="0.2">
      <c r="B133" s="2"/>
      <c r="C133" s="4" t="str">
        <f>IF($B133="","",  VLOOKUP($B133, Propostas!$B:$BE, 33, FALSE) )</f>
        <v/>
      </c>
      <c r="D133" s="4" t="str">
        <f>IF($B133="","",  VLOOKUP($B133, Propostas!$B:$BE, 34, FALSE) )</f>
        <v/>
      </c>
      <c r="E133" s="4" t="str">
        <f>IF($B133="","",  VLOOKUP($B133, Propostas!$B:$BE, 35, FALSE) )</f>
        <v/>
      </c>
      <c r="F133" s="4" t="str">
        <f>IF($B133="","",  VLOOKUP($B133, Propostas!$B:$BE, 2, FALSE) )</f>
        <v/>
      </c>
      <c r="G133" s="4" t="str">
        <f>IF($B133="","",  VLOOKUP($B133, Propostas!$B:$BE, 3, FALSE) )</f>
        <v/>
      </c>
      <c r="H133" s="4" t="str">
        <f>IF($B133="","",  VLOOKUP($B133, Propostas!$B:$BE, 4, FALSE) )</f>
        <v/>
      </c>
      <c r="I133" s="4" t="str">
        <f>IF($B133="","",  VLOOKUP($B133, Propostas!$B:$BE, 38, FALSE) )</f>
        <v/>
      </c>
      <c r="J133" s="13" t="str">
        <f>IF($B133="","",IF($C133="SIM", "&lt; INFRRAESTRUTURA &gt;", VLOOKUP($B133,Propostas!$B:$BE,41,FALSE)))</f>
        <v/>
      </c>
      <c r="K133" s="10" t="str">
        <f>IF($B133="","",  VLOOKUP($B133, Propostas!$B:$BE, 40, FALSE) )</f>
        <v/>
      </c>
      <c r="L133" s="10" t="str">
        <f>IF($B133="","",IF(VLOOKUP($B133,Propostas!$B:$BE,21,FALSE)=1,"B",IF(VLOOKUP($B133,Propostas!$B:$BE,21,FALSE)=2,"E","N")))</f>
        <v/>
      </c>
      <c r="M133" s="32" t="str">
        <f>IF($B133 = "", "",  VLOOKUP($B133, Propostas!$B:$BE, 46, FALSE) )</f>
        <v/>
      </c>
      <c r="N133" s="32" t="str">
        <f>IF($B133 = "", "",  VLOOKUP($B133, Propostas!$B:$BE, 47, FALSE) )</f>
        <v/>
      </c>
      <c r="O133" s="13" t="str">
        <f>IF($B133="","",IF($C133="SIM", "INFRAESTRUTURA", VLOOKUP($B133, Propostas!$B:$BE,42,FALSE)))</f>
        <v/>
      </c>
      <c r="P133" s="32" t="str">
        <f>IF($B133 = "", "",  VLOOKUP($B133, Propostas!$B:$BE, 49, FALSE) )</f>
        <v/>
      </c>
      <c r="Q133" s="13" t="str">
        <f>IF($B133="","",  VLOOKUP($B133, Propostas!$B:$BE, 39, FALSE) )</f>
        <v/>
      </c>
      <c r="R133" s="81" t="str">
        <f>IF($B133="","",  VLOOKUP($B133, Propostas!$B:$BE, 43, FALSE) )</f>
        <v/>
      </c>
      <c r="S133" s="81" t="str">
        <f>IF($B133="","",  VLOOKUP($B133, Propostas!$B:$BE, 44, FALSE) )</f>
        <v/>
      </c>
      <c r="T133" s="81" t="str">
        <f>IF($B133="","",  VLOOKUP($B133, Propostas!$B:$BE, 45, FALSE) )</f>
        <v/>
      </c>
      <c r="U133" s="32" t="str">
        <f>IF($B133="","",  VLOOKUP($B133, Propostas!$B:$BE, 37, FALSE) )</f>
        <v/>
      </c>
      <c r="V133" s="13" t="str">
        <f>IF($B133="","",  VLOOKUP($B133, Propostas!$B:$BE, 50, FALSE) )</f>
        <v/>
      </c>
      <c r="W133" s="13" t="str">
        <f>IF($B133="","",  VLOOKUP($B133, Propostas!$B:$BE, 51, FALSE) )</f>
        <v/>
      </c>
      <c r="X133" s="13" t="str">
        <f>IF($B133="","",  VLOOKUP($B133, Propostas!$B:$BE, 52, FALSE) )</f>
        <v/>
      </c>
      <c r="Y133" s="13" t="str">
        <f>IF($B133="","",  VLOOKUP($B133, Propostas!$B:$BE, 36, FALSE) )</f>
        <v/>
      </c>
      <c r="Z133" s="13" t="str">
        <f>IF($B133="","",  VLOOKUP($F133, VW_PROJETO!B:C, 2, FALSE) )</f>
        <v/>
      </c>
    </row>
    <row r="134" spans="2:26" x14ac:dyDescent="0.2">
      <c r="B134" s="2"/>
      <c r="C134" s="4" t="str">
        <f>IF($B134="","",  VLOOKUP($B134, Propostas!$B:$BE, 33, FALSE) )</f>
        <v/>
      </c>
      <c r="D134" s="4" t="str">
        <f>IF($B134="","",  VLOOKUP($B134, Propostas!$B:$BE, 34, FALSE) )</f>
        <v/>
      </c>
      <c r="E134" s="4" t="str">
        <f>IF($B134="","",  VLOOKUP($B134, Propostas!$B:$BE, 35, FALSE) )</f>
        <v/>
      </c>
      <c r="F134" s="4" t="str">
        <f>IF($B134="","",  VLOOKUP($B134, Propostas!$B:$BE, 2, FALSE) )</f>
        <v/>
      </c>
      <c r="G134" s="4" t="str">
        <f>IF($B134="","",  VLOOKUP($B134, Propostas!$B:$BE, 3, FALSE) )</f>
        <v/>
      </c>
      <c r="H134" s="4" t="str">
        <f>IF($B134="","",  VLOOKUP($B134, Propostas!$B:$BE, 4, FALSE) )</f>
        <v/>
      </c>
      <c r="I134" s="4" t="str">
        <f>IF($B134="","",  VLOOKUP($B134, Propostas!$B:$BE, 38, FALSE) )</f>
        <v/>
      </c>
      <c r="J134" s="13" t="str">
        <f>IF($B134="","",IF($C134="SIM", "&lt; INFRRAESTRUTURA &gt;", VLOOKUP($B134,Propostas!$B:$BE,41,FALSE)))</f>
        <v/>
      </c>
      <c r="K134" s="10" t="str">
        <f>IF($B134="","",  VLOOKUP($B134, Propostas!$B:$BE, 40, FALSE) )</f>
        <v/>
      </c>
      <c r="L134" s="10" t="str">
        <f>IF($B134="","",IF(VLOOKUP($B134,Propostas!$B:$BE,21,FALSE)=1,"B",IF(VLOOKUP($B134,Propostas!$B:$BE,21,FALSE)=2,"E","N")))</f>
        <v/>
      </c>
      <c r="M134" s="32" t="str">
        <f>IF($B134 = "", "",  VLOOKUP($B134, Propostas!$B:$BE, 46, FALSE) )</f>
        <v/>
      </c>
      <c r="N134" s="32" t="str">
        <f>IF($B134 = "", "",  VLOOKUP($B134, Propostas!$B:$BE, 47, FALSE) )</f>
        <v/>
      </c>
      <c r="O134" s="13" t="str">
        <f>IF($B134="","",IF($C134="SIM", "INFRAESTRUTURA", VLOOKUP($B134, Propostas!$B:$BE,42,FALSE)))</f>
        <v/>
      </c>
      <c r="P134" s="32" t="str">
        <f>IF($B134 = "", "",  VLOOKUP($B134, Propostas!$B:$BE, 49, FALSE) )</f>
        <v/>
      </c>
      <c r="Q134" s="13" t="str">
        <f>IF($B134="","",  VLOOKUP($B134, Propostas!$B:$BE, 39, FALSE) )</f>
        <v/>
      </c>
      <c r="R134" s="81" t="str">
        <f>IF($B134="","",  VLOOKUP($B134, Propostas!$B:$BE, 43, FALSE) )</f>
        <v/>
      </c>
      <c r="S134" s="81" t="str">
        <f>IF($B134="","",  VLOOKUP($B134, Propostas!$B:$BE, 44, FALSE) )</f>
        <v/>
      </c>
      <c r="T134" s="81" t="str">
        <f>IF($B134="","",  VLOOKUP($B134, Propostas!$B:$BE, 45, FALSE) )</f>
        <v/>
      </c>
      <c r="U134" s="32" t="str">
        <f>IF($B134="","",  VLOOKUP($B134, Propostas!$B:$BE, 37, FALSE) )</f>
        <v/>
      </c>
      <c r="V134" s="13" t="str">
        <f>IF($B134="","",  VLOOKUP($B134, Propostas!$B:$BE, 50, FALSE) )</f>
        <v/>
      </c>
      <c r="W134" s="13" t="str">
        <f>IF($B134="","",  VLOOKUP($B134, Propostas!$B:$BE, 51, FALSE) )</f>
        <v/>
      </c>
      <c r="X134" s="13" t="str">
        <f>IF($B134="","",  VLOOKUP($B134, Propostas!$B:$BE, 52, FALSE) )</f>
        <v/>
      </c>
      <c r="Y134" s="13" t="str">
        <f>IF($B134="","",  VLOOKUP($B134, Propostas!$B:$BE, 36, FALSE) )</f>
        <v/>
      </c>
      <c r="Z134" s="13" t="str">
        <f>IF($B134="","",  VLOOKUP($F134, VW_PROJETO!B:C, 2, FALSE) )</f>
        <v/>
      </c>
    </row>
    <row r="135" spans="2:26" x14ac:dyDescent="0.2">
      <c r="B135" s="2"/>
      <c r="C135" s="4" t="str">
        <f>IF($B135="","",  VLOOKUP($B135, Propostas!$B:$BE, 33, FALSE) )</f>
        <v/>
      </c>
      <c r="D135" s="4" t="str">
        <f>IF($B135="","",  VLOOKUP($B135, Propostas!$B:$BE, 34, FALSE) )</f>
        <v/>
      </c>
      <c r="E135" s="4" t="str">
        <f>IF($B135="","",  VLOOKUP($B135, Propostas!$B:$BE, 35, FALSE) )</f>
        <v/>
      </c>
      <c r="F135" s="4" t="str">
        <f>IF($B135="","",  VLOOKUP($B135, Propostas!$B:$BE, 2, FALSE) )</f>
        <v/>
      </c>
      <c r="G135" s="4" t="str">
        <f>IF($B135="","",  VLOOKUP($B135, Propostas!$B:$BE, 3, FALSE) )</f>
        <v/>
      </c>
      <c r="H135" s="4" t="str">
        <f>IF($B135="","",  VLOOKUP($B135, Propostas!$B:$BE, 4, FALSE) )</f>
        <v/>
      </c>
      <c r="I135" s="4" t="str">
        <f>IF($B135="","",  VLOOKUP($B135, Propostas!$B:$BE, 38, FALSE) )</f>
        <v/>
      </c>
      <c r="J135" s="13" t="str">
        <f>IF($B135="","",IF($C135="SIM", "&lt; INFRRAESTRUTURA &gt;", VLOOKUP($B135,Propostas!$B:$BE,41,FALSE)))</f>
        <v/>
      </c>
      <c r="K135" s="10" t="str">
        <f>IF($B135="","",  VLOOKUP($B135, Propostas!$B:$BE, 40, FALSE) )</f>
        <v/>
      </c>
      <c r="L135" s="10" t="str">
        <f>IF($B135="","",IF(VLOOKUP($B135,Propostas!$B:$BE,21,FALSE)=1,"B",IF(VLOOKUP($B135,Propostas!$B:$BE,21,FALSE)=2,"E","N")))</f>
        <v/>
      </c>
      <c r="M135" s="32" t="str">
        <f>IF($B135 = "", "",  VLOOKUP($B135, Propostas!$B:$BE, 46, FALSE) )</f>
        <v/>
      </c>
      <c r="N135" s="32" t="str">
        <f>IF($B135 = "", "",  VLOOKUP($B135, Propostas!$B:$BE, 47, FALSE) )</f>
        <v/>
      </c>
      <c r="O135" s="13" t="str">
        <f>IF($B135="","",IF($C135="SIM", "INFRAESTRUTURA", VLOOKUP($B135, Propostas!$B:$BE,42,FALSE)))</f>
        <v/>
      </c>
      <c r="P135" s="32" t="str">
        <f>IF($B135 = "", "",  VLOOKUP($B135, Propostas!$B:$BE, 49, FALSE) )</f>
        <v/>
      </c>
      <c r="Q135" s="13" t="str">
        <f>IF($B135="","",  VLOOKUP($B135, Propostas!$B:$BE, 39, FALSE) )</f>
        <v/>
      </c>
      <c r="R135" s="81" t="str">
        <f>IF($B135="","",  VLOOKUP($B135, Propostas!$B:$BE, 43, FALSE) )</f>
        <v/>
      </c>
      <c r="S135" s="81" t="str">
        <f>IF($B135="","",  VLOOKUP($B135, Propostas!$B:$BE, 44, FALSE) )</f>
        <v/>
      </c>
      <c r="T135" s="81" t="str">
        <f>IF($B135="","",  VLOOKUP($B135, Propostas!$B:$BE, 45, FALSE) )</f>
        <v/>
      </c>
      <c r="U135" s="32" t="str">
        <f>IF($B135="","",  VLOOKUP($B135, Propostas!$B:$BE, 37, FALSE) )</f>
        <v/>
      </c>
      <c r="V135" s="13" t="str">
        <f>IF($B135="","",  VLOOKUP($B135, Propostas!$B:$BE, 50, FALSE) )</f>
        <v/>
      </c>
      <c r="W135" s="13" t="str">
        <f>IF($B135="","",  VLOOKUP($B135, Propostas!$B:$BE, 51, FALSE) )</f>
        <v/>
      </c>
      <c r="X135" s="13" t="str">
        <f>IF($B135="","",  VLOOKUP($B135, Propostas!$B:$BE, 52, FALSE) )</f>
        <v/>
      </c>
      <c r="Y135" s="13" t="str">
        <f>IF($B135="","",  VLOOKUP($B135, Propostas!$B:$BE, 36, FALSE) )</f>
        <v/>
      </c>
      <c r="Z135" s="13" t="str">
        <f>IF($B135="","",  VLOOKUP($F135, VW_PROJETO!B:C, 2, FALSE) )</f>
        <v/>
      </c>
    </row>
    <row r="136" spans="2:26" x14ac:dyDescent="0.2">
      <c r="B136" s="2"/>
      <c r="C136" s="4" t="str">
        <f>IF($B136="","",  VLOOKUP($B136, Propostas!$B:$BE, 33, FALSE) )</f>
        <v/>
      </c>
      <c r="D136" s="4" t="str">
        <f>IF($B136="","",  VLOOKUP($B136, Propostas!$B:$BE, 34, FALSE) )</f>
        <v/>
      </c>
      <c r="E136" s="4" t="str">
        <f>IF($B136="","",  VLOOKUP($B136, Propostas!$B:$BE, 35, FALSE) )</f>
        <v/>
      </c>
      <c r="F136" s="4" t="str">
        <f>IF($B136="","",  VLOOKUP($B136, Propostas!$B:$BE, 2, FALSE) )</f>
        <v/>
      </c>
      <c r="G136" s="4" t="str">
        <f>IF($B136="","",  VLOOKUP($B136, Propostas!$B:$BE, 3, FALSE) )</f>
        <v/>
      </c>
      <c r="H136" s="4" t="str">
        <f>IF($B136="","",  VLOOKUP($B136, Propostas!$B:$BE, 4, FALSE) )</f>
        <v/>
      </c>
      <c r="I136" s="4" t="str">
        <f>IF($B136="","",  VLOOKUP($B136, Propostas!$B:$BE, 38, FALSE) )</f>
        <v/>
      </c>
      <c r="J136" s="13" t="str">
        <f>IF($B136="","",IF($C136="SIM", "&lt; INFRRAESTRUTURA &gt;", VLOOKUP($B136,Propostas!$B:$BE,41,FALSE)))</f>
        <v/>
      </c>
      <c r="K136" s="10" t="str">
        <f>IF($B136="","",  VLOOKUP($B136, Propostas!$B:$BE, 40, FALSE) )</f>
        <v/>
      </c>
      <c r="L136" s="10" t="str">
        <f>IF($B136="","",IF(VLOOKUP($B136,Propostas!$B:$BE,21,FALSE)=1,"B",IF(VLOOKUP($B136,Propostas!$B:$BE,21,FALSE)=2,"E","N")))</f>
        <v/>
      </c>
      <c r="M136" s="32" t="str">
        <f>IF($B136 = "", "",  VLOOKUP($B136, Propostas!$B:$BE, 46, FALSE) )</f>
        <v/>
      </c>
      <c r="N136" s="32" t="str">
        <f>IF($B136 = "", "",  VLOOKUP($B136, Propostas!$B:$BE, 47, FALSE) )</f>
        <v/>
      </c>
      <c r="O136" s="13" t="str">
        <f>IF($B136="","",IF($C136="SIM", "INFRAESTRUTURA", VLOOKUP($B136, Propostas!$B:$BE,42,FALSE)))</f>
        <v/>
      </c>
      <c r="P136" s="32" t="str">
        <f>IF($B136 = "", "",  VLOOKUP($B136, Propostas!$B:$BE, 49, FALSE) )</f>
        <v/>
      </c>
      <c r="Q136" s="13" t="str">
        <f>IF($B136="","",  VLOOKUP($B136, Propostas!$B:$BE, 39, FALSE) )</f>
        <v/>
      </c>
      <c r="R136" s="81" t="str">
        <f>IF($B136="","",  VLOOKUP($B136, Propostas!$B:$BE, 43, FALSE) )</f>
        <v/>
      </c>
      <c r="S136" s="81" t="str">
        <f>IF($B136="","",  VLOOKUP($B136, Propostas!$B:$BE, 44, FALSE) )</f>
        <v/>
      </c>
      <c r="T136" s="81" t="str">
        <f>IF($B136="","",  VLOOKUP($B136, Propostas!$B:$BE, 45, FALSE) )</f>
        <v/>
      </c>
      <c r="U136" s="32" t="str">
        <f>IF($B136="","",  VLOOKUP($B136, Propostas!$B:$BE, 37, FALSE) )</f>
        <v/>
      </c>
      <c r="V136" s="13" t="str">
        <f>IF($B136="","",  VLOOKUP($B136, Propostas!$B:$BE, 50, FALSE) )</f>
        <v/>
      </c>
      <c r="W136" s="13" t="str">
        <f>IF($B136="","",  VLOOKUP($B136, Propostas!$B:$BE, 51, FALSE) )</f>
        <v/>
      </c>
      <c r="X136" s="13" t="str">
        <f>IF($B136="","",  VLOOKUP($B136, Propostas!$B:$BE, 52, FALSE) )</f>
        <v/>
      </c>
      <c r="Y136" s="13" t="str">
        <f>IF($B136="","",  VLOOKUP($B136, Propostas!$B:$BE, 36, FALSE) )</f>
        <v/>
      </c>
      <c r="Z136" s="13" t="str">
        <f>IF($B136="","",  VLOOKUP($F136, VW_PROJETO!B:C, 2, FALSE) )</f>
        <v/>
      </c>
    </row>
    <row r="137" spans="2:26" x14ac:dyDescent="0.2">
      <c r="B137" s="2"/>
      <c r="C137" s="4" t="str">
        <f>IF($B137="","",  VLOOKUP($B137, Propostas!$B:$BE, 33, FALSE) )</f>
        <v/>
      </c>
      <c r="D137" s="4" t="str">
        <f>IF($B137="","",  VLOOKUP($B137, Propostas!$B:$BE, 34, FALSE) )</f>
        <v/>
      </c>
      <c r="E137" s="4" t="str">
        <f>IF($B137="","",  VLOOKUP($B137, Propostas!$B:$BE, 35, FALSE) )</f>
        <v/>
      </c>
      <c r="F137" s="4" t="str">
        <f>IF($B137="","",  VLOOKUP($B137, Propostas!$B:$BE, 2, FALSE) )</f>
        <v/>
      </c>
      <c r="G137" s="4" t="str">
        <f>IF($B137="","",  VLOOKUP($B137, Propostas!$B:$BE, 3, FALSE) )</f>
        <v/>
      </c>
      <c r="H137" s="4" t="str">
        <f>IF($B137="","",  VLOOKUP($B137, Propostas!$B:$BE, 4, FALSE) )</f>
        <v/>
      </c>
      <c r="I137" s="4" t="str">
        <f>IF($B137="","",  VLOOKUP($B137, Propostas!$B:$BE, 38, FALSE) )</f>
        <v/>
      </c>
      <c r="J137" s="13" t="str">
        <f>IF($B137="","",IF($C137="SIM", "&lt; INFRRAESTRUTURA &gt;", VLOOKUP($B137,Propostas!$B:$BE,41,FALSE)))</f>
        <v/>
      </c>
      <c r="K137" s="10" t="str">
        <f>IF($B137="","",  VLOOKUP($B137, Propostas!$B:$BE, 40, FALSE) )</f>
        <v/>
      </c>
      <c r="L137" s="10" t="str">
        <f>IF($B137="","",IF(VLOOKUP($B137,Propostas!$B:$BE,21,FALSE)=1,"B",IF(VLOOKUP($B137,Propostas!$B:$BE,21,FALSE)=2,"E","N")))</f>
        <v/>
      </c>
      <c r="M137" s="32" t="str">
        <f>IF($B137 = "", "",  VLOOKUP($B137, Propostas!$B:$BE, 46, FALSE) )</f>
        <v/>
      </c>
      <c r="N137" s="32" t="str">
        <f>IF($B137 = "", "",  VLOOKUP($B137, Propostas!$B:$BE, 47, FALSE) )</f>
        <v/>
      </c>
      <c r="O137" s="13" t="str">
        <f>IF($B137="","",IF($C137="SIM", "INFRAESTRUTURA", VLOOKUP($B137, Propostas!$B:$BE,42,FALSE)))</f>
        <v/>
      </c>
      <c r="P137" s="32" t="str">
        <f>IF($B137 = "", "",  VLOOKUP($B137, Propostas!$B:$BE, 49, FALSE) )</f>
        <v/>
      </c>
      <c r="Q137" s="13" t="str">
        <f>IF($B137="","",  VLOOKUP($B137, Propostas!$B:$BE, 39, FALSE) )</f>
        <v/>
      </c>
      <c r="R137" s="81" t="str">
        <f>IF($B137="","",  VLOOKUP($B137, Propostas!$B:$BE, 43, FALSE) )</f>
        <v/>
      </c>
      <c r="S137" s="81" t="str">
        <f>IF($B137="","",  VLOOKUP($B137, Propostas!$B:$BE, 44, FALSE) )</f>
        <v/>
      </c>
      <c r="T137" s="81" t="str">
        <f>IF($B137="","",  VLOOKUP($B137, Propostas!$B:$BE, 45, FALSE) )</f>
        <v/>
      </c>
      <c r="U137" s="32" t="str">
        <f>IF($B137="","",  VLOOKUP($B137, Propostas!$B:$BE, 37, FALSE) )</f>
        <v/>
      </c>
      <c r="V137" s="13" t="str">
        <f>IF($B137="","",  VLOOKUP($B137, Propostas!$B:$BE, 50, FALSE) )</f>
        <v/>
      </c>
      <c r="W137" s="13" t="str">
        <f>IF($B137="","",  VLOOKUP($B137, Propostas!$B:$BE, 51, FALSE) )</f>
        <v/>
      </c>
      <c r="X137" s="13" t="str">
        <f>IF($B137="","",  VLOOKUP($B137, Propostas!$B:$BE, 52, FALSE) )</f>
        <v/>
      </c>
      <c r="Y137" s="13" t="str">
        <f>IF($B137="","",  VLOOKUP($B137, Propostas!$B:$BE, 36, FALSE) )</f>
        <v/>
      </c>
      <c r="Z137" s="13" t="str">
        <f>IF($B137="","",  VLOOKUP($F137, VW_PROJETO!B:C, 2, FALSE) )</f>
        <v/>
      </c>
    </row>
    <row r="138" spans="2:26" x14ac:dyDescent="0.2">
      <c r="B138" s="2"/>
      <c r="C138" s="4" t="str">
        <f>IF($B138="","",  VLOOKUP($B138, Propostas!$B:$BE, 33, FALSE) )</f>
        <v/>
      </c>
      <c r="D138" s="4" t="str">
        <f>IF($B138="","",  VLOOKUP($B138, Propostas!$B:$BE, 34, FALSE) )</f>
        <v/>
      </c>
      <c r="E138" s="4" t="str">
        <f>IF($B138="","",  VLOOKUP($B138, Propostas!$B:$BE, 35, FALSE) )</f>
        <v/>
      </c>
      <c r="F138" s="4" t="str">
        <f>IF($B138="","",  VLOOKUP($B138, Propostas!$B:$BE, 2, FALSE) )</f>
        <v/>
      </c>
      <c r="G138" s="4" t="str">
        <f>IF($B138="","",  VLOOKUP($B138, Propostas!$B:$BE, 3, FALSE) )</f>
        <v/>
      </c>
      <c r="H138" s="4" t="str">
        <f>IF($B138="","",  VLOOKUP($B138, Propostas!$B:$BE, 4, FALSE) )</f>
        <v/>
      </c>
      <c r="I138" s="4" t="str">
        <f>IF($B138="","",  VLOOKUP($B138, Propostas!$B:$BE, 38, FALSE) )</f>
        <v/>
      </c>
      <c r="J138" s="13" t="str">
        <f>IF($B138="","",IF($C138="SIM", "&lt; INFRRAESTRUTURA &gt;", VLOOKUP($B138,Propostas!$B:$BE,41,FALSE)))</f>
        <v/>
      </c>
      <c r="K138" s="10" t="str">
        <f>IF($B138="","",  VLOOKUP($B138, Propostas!$B:$BE, 40, FALSE) )</f>
        <v/>
      </c>
      <c r="L138" s="10" t="str">
        <f>IF($B138="","",IF(VLOOKUP($B138,Propostas!$B:$BE,21,FALSE)=1,"B",IF(VLOOKUP($B138,Propostas!$B:$BE,21,FALSE)=2,"E","N")))</f>
        <v/>
      </c>
      <c r="M138" s="32" t="str">
        <f>IF($B138 = "", "",  VLOOKUP($B138, Propostas!$B:$BE, 46, FALSE) )</f>
        <v/>
      </c>
      <c r="N138" s="32" t="str">
        <f>IF($B138 = "", "",  VLOOKUP($B138, Propostas!$B:$BE, 47, FALSE) )</f>
        <v/>
      </c>
      <c r="O138" s="13" t="str">
        <f>IF($B138="","",IF($C138="SIM", "INFRAESTRUTURA", VLOOKUP($B138, Propostas!$B:$BE,42,FALSE)))</f>
        <v/>
      </c>
      <c r="P138" s="32" t="str">
        <f>IF($B138 = "", "",  VLOOKUP($B138, Propostas!$B:$BE, 49, FALSE) )</f>
        <v/>
      </c>
      <c r="Q138" s="13" t="str">
        <f>IF($B138="","",  VLOOKUP($B138, Propostas!$B:$BE, 39, FALSE) )</f>
        <v/>
      </c>
      <c r="R138" s="81" t="str">
        <f>IF($B138="","",  VLOOKUP($B138, Propostas!$B:$BE, 43, FALSE) )</f>
        <v/>
      </c>
      <c r="S138" s="81" t="str">
        <f>IF($B138="","",  VLOOKUP($B138, Propostas!$B:$BE, 44, FALSE) )</f>
        <v/>
      </c>
      <c r="T138" s="81" t="str">
        <f>IF($B138="","",  VLOOKUP($B138, Propostas!$B:$BE, 45, FALSE) )</f>
        <v/>
      </c>
      <c r="U138" s="32" t="str">
        <f>IF($B138="","",  VLOOKUP($B138, Propostas!$B:$BE, 37, FALSE) )</f>
        <v/>
      </c>
      <c r="V138" s="13" t="str">
        <f>IF($B138="","",  VLOOKUP($B138, Propostas!$B:$BE, 50, FALSE) )</f>
        <v/>
      </c>
      <c r="W138" s="13" t="str">
        <f>IF($B138="","",  VLOOKUP($B138, Propostas!$B:$BE, 51, FALSE) )</f>
        <v/>
      </c>
      <c r="X138" s="13" t="str">
        <f>IF($B138="","",  VLOOKUP($B138, Propostas!$B:$BE, 52, FALSE) )</f>
        <v/>
      </c>
      <c r="Y138" s="13" t="str">
        <f>IF($B138="","",  VLOOKUP($B138, Propostas!$B:$BE, 36, FALSE) )</f>
        <v/>
      </c>
      <c r="Z138" s="13" t="str">
        <f>IF($B138="","",  VLOOKUP($F138, VW_PROJETO!B:C, 2, FALSE) )</f>
        <v/>
      </c>
    </row>
    <row r="139" spans="2:26" x14ac:dyDescent="0.2">
      <c r="B139" s="2"/>
      <c r="C139" s="4" t="str">
        <f>IF($B139="","",  VLOOKUP($B139, Propostas!$B:$BE, 33, FALSE) )</f>
        <v/>
      </c>
      <c r="D139" s="4" t="str">
        <f>IF($B139="","",  VLOOKUP($B139, Propostas!$B:$BE, 34, FALSE) )</f>
        <v/>
      </c>
      <c r="E139" s="4" t="str">
        <f>IF($B139="","",  VLOOKUP($B139, Propostas!$B:$BE, 35, FALSE) )</f>
        <v/>
      </c>
      <c r="F139" s="4" t="str">
        <f>IF($B139="","",  VLOOKUP($B139, Propostas!$B:$BE, 2, FALSE) )</f>
        <v/>
      </c>
      <c r="G139" s="4" t="str">
        <f>IF($B139="","",  VLOOKUP($B139, Propostas!$B:$BE, 3, FALSE) )</f>
        <v/>
      </c>
      <c r="H139" s="4" t="str">
        <f>IF($B139="","",  VLOOKUP($B139, Propostas!$B:$BE, 4, FALSE) )</f>
        <v/>
      </c>
      <c r="I139" s="4" t="str">
        <f>IF($B139="","",  VLOOKUP($B139, Propostas!$B:$BE, 38, FALSE) )</f>
        <v/>
      </c>
      <c r="J139" s="13" t="str">
        <f>IF($B139="","",IF($C139="SIM", "&lt; INFRRAESTRUTURA &gt;", VLOOKUP($B139,Propostas!$B:$BE,41,FALSE)))</f>
        <v/>
      </c>
      <c r="K139" s="10" t="str">
        <f>IF($B139="","",  VLOOKUP($B139, Propostas!$B:$BE, 40, FALSE) )</f>
        <v/>
      </c>
      <c r="L139" s="10" t="str">
        <f>IF($B139="","",IF(VLOOKUP($B139,Propostas!$B:$BE,21,FALSE)=1,"B",IF(VLOOKUP($B139,Propostas!$B:$BE,21,FALSE)=2,"E","N")))</f>
        <v/>
      </c>
      <c r="M139" s="32" t="str">
        <f>IF($B139 = "", "",  VLOOKUP($B139, Propostas!$B:$BE, 46, FALSE) )</f>
        <v/>
      </c>
      <c r="N139" s="32" t="str">
        <f>IF($B139 = "", "",  VLOOKUP($B139, Propostas!$B:$BE, 47, FALSE) )</f>
        <v/>
      </c>
      <c r="O139" s="13" t="str">
        <f>IF($B139="","",IF($C139="SIM", "INFRAESTRUTURA", VLOOKUP($B139, Propostas!$B:$BE,42,FALSE)))</f>
        <v/>
      </c>
      <c r="P139" s="32" t="str">
        <f>IF($B139 = "", "",  VLOOKUP($B139, Propostas!$B:$BE, 49, FALSE) )</f>
        <v/>
      </c>
      <c r="Q139" s="13" t="str">
        <f>IF($B139="","",  VLOOKUP($B139, Propostas!$B:$BE, 39, FALSE) )</f>
        <v/>
      </c>
      <c r="R139" s="81" t="str">
        <f>IF($B139="","",  VLOOKUP($B139, Propostas!$B:$BE, 43, FALSE) )</f>
        <v/>
      </c>
      <c r="S139" s="81" t="str">
        <f>IF($B139="","",  VLOOKUP($B139, Propostas!$B:$BE, 44, FALSE) )</f>
        <v/>
      </c>
      <c r="T139" s="81" t="str">
        <f>IF($B139="","",  VLOOKUP($B139, Propostas!$B:$BE, 45, FALSE) )</f>
        <v/>
      </c>
      <c r="U139" s="32" t="str">
        <f>IF($B139="","",  VLOOKUP($B139, Propostas!$B:$BE, 37, FALSE) )</f>
        <v/>
      </c>
      <c r="V139" s="13" t="str">
        <f>IF($B139="","",  VLOOKUP($B139, Propostas!$B:$BE, 50, FALSE) )</f>
        <v/>
      </c>
      <c r="W139" s="13" t="str">
        <f>IF($B139="","",  VLOOKUP($B139, Propostas!$B:$BE, 51, FALSE) )</f>
        <v/>
      </c>
      <c r="X139" s="13" t="str">
        <f>IF($B139="","",  VLOOKUP($B139, Propostas!$B:$BE, 52, FALSE) )</f>
        <v/>
      </c>
      <c r="Y139" s="13" t="str">
        <f>IF($B139="","",  VLOOKUP($B139, Propostas!$B:$BE, 36, FALSE) )</f>
        <v/>
      </c>
      <c r="Z139" s="13" t="str">
        <f>IF($B139="","",  VLOOKUP($F139, VW_PROJETO!B:C, 2, FALSE) )</f>
        <v/>
      </c>
    </row>
    <row r="140" spans="2:26" x14ac:dyDescent="0.2">
      <c r="B140" s="2"/>
      <c r="C140" s="4" t="str">
        <f>IF($B140="","",  VLOOKUP($B140, Propostas!$B:$BE, 33, FALSE) )</f>
        <v/>
      </c>
      <c r="D140" s="4" t="str">
        <f>IF($B140="","",  VLOOKUP($B140, Propostas!$B:$BE, 34, FALSE) )</f>
        <v/>
      </c>
      <c r="E140" s="4" t="str">
        <f>IF($B140="","",  VLOOKUP($B140, Propostas!$B:$BE, 35, FALSE) )</f>
        <v/>
      </c>
      <c r="F140" s="4" t="str">
        <f>IF($B140="","",  VLOOKUP($B140, Propostas!$B:$BE, 2, FALSE) )</f>
        <v/>
      </c>
      <c r="G140" s="4" t="str">
        <f>IF($B140="","",  VLOOKUP($B140, Propostas!$B:$BE, 3, FALSE) )</f>
        <v/>
      </c>
      <c r="H140" s="4" t="str">
        <f>IF($B140="","",  VLOOKUP($B140, Propostas!$B:$BE, 4, FALSE) )</f>
        <v/>
      </c>
      <c r="I140" s="4" t="str">
        <f>IF($B140="","",  VLOOKUP($B140, Propostas!$B:$BE, 38, FALSE) )</f>
        <v/>
      </c>
      <c r="J140" s="13" t="str">
        <f>IF($B140="","",IF($C140="SIM", "&lt; INFRRAESTRUTURA &gt;", VLOOKUP($B140,Propostas!$B:$BE,41,FALSE)))</f>
        <v/>
      </c>
      <c r="K140" s="10" t="str">
        <f>IF($B140="","",  VLOOKUP($B140, Propostas!$B:$BE, 40, FALSE) )</f>
        <v/>
      </c>
      <c r="L140" s="10" t="str">
        <f>IF($B140="","",IF(VLOOKUP($B140,Propostas!$B:$BE,21,FALSE)=1,"B",IF(VLOOKUP($B140,Propostas!$B:$BE,21,FALSE)=2,"E","N")))</f>
        <v/>
      </c>
      <c r="M140" s="32" t="str">
        <f>IF($B140 = "", "",  VLOOKUP($B140, Propostas!$B:$BE, 46, FALSE) )</f>
        <v/>
      </c>
      <c r="N140" s="32" t="str">
        <f>IF($B140 = "", "",  VLOOKUP($B140, Propostas!$B:$BE, 47, FALSE) )</f>
        <v/>
      </c>
      <c r="O140" s="13" t="str">
        <f>IF($B140="","",IF($C140="SIM", "INFRAESTRUTURA", VLOOKUP($B140, Propostas!$B:$BE,42,FALSE)))</f>
        <v/>
      </c>
      <c r="P140" s="32" t="str">
        <f>IF($B140 = "", "",  VLOOKUP($B140, Propostas!$B:$BE, 49, FALSE) )</f>
        <v/>
      </c>
      <c r="Q140" s="13" t="str">
        <f>IF($B140="","",  VLOOKUP($B140, Propostas!$B:$BE, 39, FALSE) )</f>
        <v/>
      </c>
      <c r="R140" s="81" t="str">
        <f>IF($B140="","",  VLOOKUP($B140, Propostas!$B:$BE, 43, FALSE) )</f>
        <v/>
      </c>
      <c r="S140" s="81" t="str">
        <f>IF($B140="","",  VLOOKUP($B140, Propostas!$B:$BE, 44, FALSE) )</f>
        <v/>
      </c>
      <c r="T140" s="81" t="str">
        <f>IF($B140="","",  VLOOKUP($B140, Propostas!$B:$BE, 45, FALSE) )</f>
        <v/>
      </c>
      <c r="U140" s="32" t="str">
        <f>IF($B140="","",  VLOOKUP($B140, Propostas!$B:$BE, 37, FALSE) )</f>
        <v/>
      </c>
      <c r="V140" s="13" t="str">
        <f>IF($B140="","",  VLOOKUP($B140, Propostas!$B:$BE, 50, FALSE) )</f>
        <v/>
      </c>
      <c r="W140" s="13" t="str">
        <f>IF($B140="","",  VLOOKUP($B140, Propostas!$B:$BE, 51, FALSE) )</f>
        <v/>
      </c>
      <c r="X140" s="13" t="str">
        <f>IF($B140="","",  VLOOKUP($B140, Propostas!$B:$BE, 52, FALSE) )</f>
        <v/>
      </c>
      <c r="Y140" s="13" t="str">
        <f>IF($B140="","",  VLOOKUP($B140, Propostas!$B:$BE, 36, FALSE) )</f>
        <v/>
      </c>
      <c r="Z140" s="13" t="str">
        <f>IF($B140="","",  VLOOKUP($F140, VW_PROJETO!B:C, 2, FALSE) )</f>
        <v/>
      </c>
    </row>
    <row r="141" spans="2:26" x14ac:dyDescent="0.2">
      <c r="B141" s="2"/>
      <c r="C141" s="4" t="str">
        <f>IF($B141="","",  VLOOKUP($B141, Propostas!$B:$BE, 33, FALSE) )</f>
        <v/>
      </c>
      <c r="D141" s="4" t="str">
        <f>IF($B141="","",  VLOOKUP($B141, Propostas!$B:$BE, 34, FALSE) )</f>
        <v/>
      </c>
      <c r="E141" s="4" t="str">
        <f>IF($B141="","",  VLOOKUP($B141, Propostas!$B:$BE, 35, FALSE) )</f>
        <v/>
      </c>
      <c r="F141" s="4" t="str">
        <f>IF($B141="","",  VLOOKUP($B141, Propostas!$B:$BE, 2, FALSE) )</f>
        <v/>
      </c>
      <c r="G141" s="4" t="str">
        <f>IF($B141="","",  VLOOKUP($B141, Propostas!$B:$BE, 3, FALSE) )</f>
        <v/>
      </c>
      <c r="H141" s="4" t="str">
        <f>IF($B141="","",  VLOOKUP($B141, Propostas!$B:$BE, 4, FALSE) )</f>
        <v/>
      </c>
      <c r="I141" s="4" t="str">
        <f>IF($B141="","",  VLOOKUP($B141, Propostas!$B:$BE, 38, FALSE) )</f>
        <v/>
      </c>
      <c r="J141" s="13" t="str">
        <f>IF($B141="","",IF($C141="SIM", "&lt; INFRRAESTRUTURA &gt;", VLOOKUP($B141,Propostas!$B:$BE,41,FALSE)))</f>
        <v/>
      </c>
      <c r="K141" s="10" t="str">
        <f>IF($B141="","",  VLOOKUP($B141, Propostas!$B:$BE, 40, FALSE) )</f>
        <v/>
      </c>
      <c r="L141" s="10" t="str">
        <f>IF($B141="","",IF(VLOOKUP($B141,Propostas!$B:$BE,21,FALSE)=1,"B",IF(VLOOKUP($B141,Propostas!$B:$BE,21,FALSE)=2,"E","N")))</f>
        <v/>
      </c>
      <c r="M141" s="32" t="str">
        <f>IF($B141 = "", "",  VLOOKUP($B141, Propostas!$B:$BE, 46, FALSE) )</f>
        <v/>
      </c>
      <c r="N141" s="32" t="str">
        <f>IF($B141 = "", "",  VLOOKUP($B141, Propostas!$B:$BE, 47, FALSE) )</f>
        <v/>
      </c>
      <c r="O141" s="13" t="str">
        <f>IF($B141="","",IF($C141="SIM", "INFRAESTRUTURA", VLOOKUP($B141, Propostas!$B:$BE,42,FALSE)))</f>
        <v/>
      </c>
      <c r="P141" s="32" t="str">
        <f>IF($B141 = "", "",  VLOOKUP($B141, Propostas!$B:$BE, 49, FALSE) )</f>
        <v/>
      </c>
      <c r="Q141" s="13" t="str">
        <f>IF($B141="","",  VLOOKUP($B141, Propostas!$B:$BE, 39, FALSE) )</f>
        <v/>
      </c>
      <c r="R141" s="81" t="str">
        <f>IF($B141="","",  VLOOKUP($B141, Propostas!$B:$BE, 43, FALSE) )</f>
        <v/>
      </c>
      <c r="S141" s="81" t="str">
        <f>IF($B141="","",  VLOOKUP($B141, Propostas!$B:$BE, 44, FALSE) )</f>
        <v/>
      </c>
      <c r="T141" s="81" t="str">
        <f>IF($B141="","",  VLOOKUP($B141, Propostas!$B:$BE, 45, FALSE) )</f>
        <v/>
      </c>
      <c r="U141" s="32" t="str">
        <f>IF($B141="","",  VLOOKUP($B141, Propostas!$B:$BE, 37, FALSE) )</f>
        <v/>
      </c>
      <c r="V141" s="13" t="str">
        <f>IF($B141="","",  VLOOKUP($B141, Propostas!$B:$BE, 50, FALSE) )</f>
        <v/>
      </c>
      <c r="W141" s="13" t="str">
        <f>IF($B141="","",  VLOOKUP($B141, Propostas!$B:$BE, 51, FALSE) )</f>
        <v/>
      </c>
      <c r="X141" s="13" t="str">
        <f>IF($B141="","",  VLOOKUP($B141, Propostas!$B:$BE, 52, FALSE) )</f>
        <v/>
      </c>
      <c r="Y141" s="13" t="str">
        <f>IF($B141="","",  VLOOKUP($B141, Propostas!$B:$BE, 36, FALSE) )</f>
        <v/>
      </c>
      <c r="Z141" s="13" t="str">
        <f>IF($B141="","",  VLOOKUP($F141, VW_PROJETO!B:C, 2, FALSE) )</f>
        <v/>
      </c>
    </row>
    <row r="142" spans="2:26" x14ac:dyDescent="0.2">
      <c r="B142" s="2"/>
      <c r="C142" s="4" t="str">
        <f>IF($B142="","",  VLOOKUP($B142, Propostas!$B:$BE, 33, FALSE) )</f>
        <v/>
      </c>
      <c r="D142" s="4" t="str">
        <f>IF($B142="","",  VLOOKUP($B142, Propostas!$B:$BE, 34, FALSE) )</f>
        <v/>
      </c>
      <c r="E142" s="4" t="str">
        <f>IF($B142="","",  VLOOKUP($B142, Propostas!$B:$BE, 35, FALSE) )</f>
        <v/>
      </c>
      <c r="F142" s="4" t="str">
        <f>IF($B142="","",  VLOOKUP($B142, Propostas!$B:$BE, 2, FALSE) )</f>
        <v/>
      </c>
      <c r="G142" s="4" t="str">
        <f>IF($B142="","",  VLOOKUP($B142, Propostas!$B:$BE, 3, FALSE) )</f>
        <v/>
      </c>
      <c r="H142" s="4" t="str">
        <f>IF($B142="","",  VLOOKUP($B142, Propostas!$B:$BE, 4, FALSE) )</f>
        <v/>
      </c>
      <c r="I142" s="4" t="str">
        <f>IF($B142="","",  VLOOKUP($B142, Propostas!$B:$BE, 38, FALSE) )</f>
        <v/>
      </c>
      <c r="J142" s="13" t="str">
        <f>IF($B142="","",IF($C142="SIM", "&lt; INFRRAESTRUTURA &gt;", VLOOKUP($B142,Propostas!$B:$BE,41,FALSE)))</f>
        <v/>
      </c>
      <c r="K142" s="10" t="str">
        <f>IF($B142="","",  VLOOKUP($B142, Propostas!$B:$BE, 40, FALSE) )</f>
        <v/>
      </c>
      <c r="L142" s="10" t="str">
        <f>IF($B142="","",IF(VLOOKUP($B142,Propostas!$B:$BE,21,FALSE)=1,"B",IF(VLOOKUP($B142,Propostas!$B:$BE,21,FALSE)=2,"E","N")))</f>
        <v/>
      </c>
      <c r="M142" s="32" t="str">
        <f>IF($B142 = "", "",  VLOOKUP($B142, Propostas!$B:$BE, 46, FALSE) )</f>
        <v/>
      </c>
      <c r="N142" s="32" t="str">
        <f>IF($B142 = "", "",  VLOOKUP($B142, Propostas!$B:$BE, 47, FALSE) )</f>
        <v/>
      </c>
      <c r="O142" s="13" t="str">
        <f>IF($B142="","",IF($C142="SIM", "INFRAESTRUTURA", VLOOKUP($B142, Propostas!$B:$BE,42,FALSE)))</f>
        <v/>
      </c>
      <c r="P142" s="32" t="str">
        <f>IF($B142 = "", "",  VLOOKUP($B142, Propostas!$B:$BE, 49, FALSE) )</f>
        <v/>
      </c>
      <c r="Q142" s="13" t="str">
        <f>IF($B142="","",  VLOOKUP($B142, Propostas!$B:$BE, 39, FALSE) )</f>
        <v/>
      </c>
      <c r="R142" s="81" t="str">
        <f>IF($B142="","",  VLOOKUP($B142, Propostas!$B:$BE, 43, FALSE) )</f>
        <v/>
      </c>
      <c r="S142" s="81" t="str">
        <f>IF($B142="","",  VLOOKUP($B142, Propostas!$B:$BE, 44, FALSE) )</f>
        <v/>
      </c>
      <c r="T142" s="81" t="str">
        <f>IF($B142="","",  VLOOKUP($B142, Propostas!$B:$BE, 45, FALSE) )</f>
        <v/>
      </c>
      <c r="U142" s="32" t="str">
        <f>IF($B142="","",  VLOOKUP($B142, Propostas!$B:$BE, 37, FALSE) )</f>
        <v/>
      </c>
      <c r="V142" s="13" t="str">
        <f>IF($B142="","",  VLOOKUP($B142, Propostas!$B:$BE, 50, FALSE) )</f>
        <v/>
      </c>
      <c r="W142" s="13" t="str">
        <f>IF($B142="","",  VLOOKUP($B142, Propostas!$B:$BE, 51, FALSE) )</f>
        <v/>
      </c>
      <c r="X142" s="13" t="str">
        <f>IF($B142="","",  VLOOKUP($B142, Propostas!$B:$BE, 52, FALSE) )</f>
        <v/>
      </c>
      <c r="Y142" s="13" t="str">
        <f>IF($B142="","",  VLOOKUP($B142, Propostas!$B:$BE, 36, FALSE) )</f>
        <v/>
      </c>
      <c r="Z142" s="13" t="str">
        <f>IF($B142="","",  VLOOKUP($F142, VW_PROJETO!B:C, 2, FALSE) )</f>
        <v/>
      </c>
    </row>
    <row r="143" spans="2:26" x14ac:dyDescent="0.2">
      <c r="B143" s="2"/>
      <c r="C143" s="4" t="str">
        <f>IF($B143="","",  VLOOKUP($B143, Propostas!$B:$BE, 33, FALSE) )</f>
        <v/>
      </c>
      <c r="D143" s="4" t="str">
        <f>IF($B143="","",  VLOOKUP($B143, Propostas!$B:$BE, 34, FALSE) )</f>
        <v/>
      </c>
      <c r="E143" s="4" t="str">
        <f>IF($B143="","",  VLOOKUP($B143, Propostas!$B:$BE, 35, FALSE) )</f>
        <v/>
      </c>
      <c r="F143" s="4" t="str">
        <f>IF($B143="","",  VLOOKUP($B143, Propostas!$B:$BE, 2, FALSE) )</f>
        <v/>
      </c>
      <c r="G143" s="4" t="str">
        <f>IF($B143="","",  VLOOKUP($B143, Propostas!$B:$BE, 3, FALSE) )</f>
        <v/>
      </c>
      <c r="H143" s="4" t="str">
        <f>IF($B143="","",  VLOOKUP($B143, Propostas!$B:$BE, 4, FALSE) )</f>
        <v/>
      </c>
      <c r="I143" s="4" t="str">
        <f>IF($B143="","",  VLOOKUP($B143, Propostas!$B:$BE, 38, FALSE) )</f>
        <v/>
      </c>
      <c r="J143" s="13" t="str">
        <f>IF($B143="","",IF($C143="SIM", "&lt; INFRRAESTRUTURA &gt;", VLOOKUP($B143,Propostas!$B:$BE,41,FALSE)))</f>
        <v/>
      </c>
      <c r="K143" s="10" t="str">
        <f>IF($B143="","",  VLOOKUP($B143, Propostas!$B:$BE, 40, FALSE) )</f>
        <v/>
      </c>
      <c r="L143" s="10" t="str">
        <f>IF($B143="","",IF(VLOOKUP($B143,Propostas!$B:$BE,21,FALSE)=1,"B",IF(VLOOKUP($B143,Propostas!$B:$BE,21,FALSE)=2,"E","N")))</f>
        <v/>
      </c>
      <c r="M143" s="32" t="str">
        <f>IF($B143 = "", "",  VLOOKUP($B143, Propostas!$B:$BE, 46, FALSE) )</f>
        <v/>
      </c>
      <c r="N143" s="32" t="str">
        <f>IF($B143 = "", "",  VLOOKUP($B143, Propostas!$B:$BE, 47, FALSE) )</f>
        <v/>
      </c>
      <c r="O143" s="13" t="str">
        <f>IF($B143="","",IF($C143="SIM", "INFRAESTRUTURA", VLOOKUP($B143, Propostas!$B:$BE,42,FALSE)))</f>
        <v/>
      </c>
      <c r="P143" s="32" t="str">
        <f>IF($B143 = "", "",  VLOOKUP($B143, Propostas!$B:$BE, 49, FALSE) )</f>
        <v/>
      </c>
      <c r="Q143" s="13" t="str">
        <f>IF($B143="","",  VLOOKUP($B143, Propostas!$B:$BE, 39, FALSE) )</f>
        <v/>
      </c>
      <c r="R143" s="81" t="str">
        <f>IF($B143="","",  VLOOKUP($B143, Propostas!$B:$BE, 43, FALSE) )</f>
        <v/>
      </c>
      <c r="S143" s="81" t="str">
        <f>IF($B143="","",  VLOOKUP($B143, Propostas!$B:$BE, 44, FALSE) )</f>
        <v/>
      </c>
      <c r="T143" s="81" t="str">
        <f>IF($B143="","",  VLOOKUP($B143, Propostas!$B:$BE, 45, FALSE) )</f>
        <v/>
      </c>
      <c r="U143" s="32" t="str">
        <f>IF($B143="","",  VLOOKUP($B143, Propostas!$B:$BE, 37, FALSE) )</f>
        <v/>
      </c>
      <c r="V143" s="13" t="str">
        <f>IF($B143="","",  VLOOKUP($B143, Propostas!$B:$BE, 50, FALSE) )</f>
        <v/>
      </c>
      <c r="W143" s="13" t="str">
        <f>IF($B143="","",  VLOOKUP($B143, Propostas!$B:$BE, 51, FALSE) )</f>
        <v/>
      </c>
      <c r="X143" s="13" t="str">
        <f>IF($B143="","",  VLOOKUP($B143, Propostas!$B:$BE, 52, FALSE) )</f>
        <v/>
      </c>
      <c r="Y143" s="13" t="str">
        <f>IF($B143="","",  VLOOKUP($B143, Propostas!$B:$BE, 36, FALSE) )</f>
        <v/>
      </c>
      <c r="Z143" s="13" t="str">
        <f>IF($B143="","",  VLOOKUP($F143, VW_PROJETO!B:C, 2, FALSE) )</f>
        <v/>
      </c>
    </row>
    <row r="144" spans="2:26" x14ac:dyDescent="0.2">
      <c r="B144" s="2"/>
      <c r="C144" s="4" t="str">
        <f>IF($B144="","",  VLOOKUP($B144, Propostas!$B:$BE, 33, FALSE) )</f>
        <v/>
      </c>
      <c r="D144" s="4" t="str">
        <f>IF($B144="","",  VLOOKUP($B144, Propostas!$B:$BE, 34, FALSE) )</f>
        <v/>
      </c>
      <c r="E144" s="4" t="str">
        <f>IF($B144="","",  VLOOKUP($B144, Propostas!$B:$BE, 35, FALSE) )</f>
        <v/>
      </c>
      <c r="F144" s="4" t="str">
        <f>IF($B144="","",  VLOOKUP($B144, Propostas!$B:$BE, 2, FALSE) )</f>
        <v/>
      </c>
      <c r="G144" s="4" t="str">
        <f>IF($B144="","",  VLOOKUP($B144, Propostas!$B:$BE, 3, FALSE) )</f>
        <v/>
      </c>
      <c r="H144" s="4" t="str">
        <f>IF($B144="","",  VLOOKUP($B144, Propostas!$B:$BE, 4, FALSE) )</f>
        <v/>
      </c>
      <c r="I144" s="4" t="str">
        <f>IF($B144="","",  VLOOKUP($B144, Propostas!$B:$BE, 38, FALSE) )</f>
        <v/>
      </c>
      <c r="J144" s="13" t="str">
        <f>IF($B144="","",IF($C144="SIM", "&lt; INFRRAESTRUTURA &gt;", VLOOKUP($B144,Propostas!$B:$BE,41,FALSE)))</f>
        <v/>
      </c>
      <c r="K144" s="10" t="str">
        <f>IF($B144="","",  VLOOKUP($B144, Propostas!$B:$BE, 40, FALSE) )</f>
        <v/>
      </c>
      <c r="L144" s="10" t="str">
        <f>IF($B144="","",IF(VLOOKUP($B144,Propostas!$B:$BE,21,FALSE)=1,"B",IF(VLOOKUP($B144,Propostas!$B:$BE,21,FALSE)=2,"E","N")))</f>
        <v/>
      </c>
      <c r="M144" s="32" t="str">
        <f>IF($B144 = "", "",  VLOOKUP($B144, Propostas!$B:$BE, 46, FALSE) )</f>
        <v/>
      </c>
      <c r="N144" s="32" t="str">
        <f>IF($B144 = "", "",  VLOOKUP($B144, Propostas!$B:$BE, 47, FALSE) )</f>
        <v/>
      </c>
      <c r="O144" s="13" t="str">
        <f>IF($B144="","",IF($C144="SIM", "INFRAESTRUTURA", VLOOKUP($B144, Propostas!$B:$BE,42,FALSE)))</f>
        <v/>
      </c>
      <c r="P144" s="32" t="str">
        <f>IF($B144 = "", "",  VLOOKUP($B144, Propostas!$B:$BE, 49, FALSE) )</f>
        <v/>
      </c>
      <c r="Q144" s="13" t="str">
        <f>IF($B144="","",  VLOOKUP($B144, Propostas!$B:$BE, 39, FALSE) )</f>
        <v/>
      </c>
      <c r="R144" s="81" t="str">
        <f>IF($B144="","",  VLOOKUP($B144, Propostas!$B:$BE, 43, FALSE) )</f>
        <v/>
      </c>
      <c r="S144" s="81" t="str">
        <f>IF($B144="","",  VLOOKUP($B144, Propostas!$B:$BE, 44, FALSE) )</f>
        <v/>
      </c>
      <c r="T144" s="81" t="str">
        <f>IF($B144="","",  VLOOKUP($B144, Propostas!$B:$BE, 45, FALSE) )</f>
        <v/>
      </c>
      <c r="U144" s="32" t="str">
        <f>IF($B144="","",  VLOOKUP($B144, Propostas!$B:$BE, 37, FALSE) )</f>
        <v/>
      </c>
      <c r="V144" s="13" t="str">
        <f>IF($B144="","",  VLOOKUP($B144, Propostas!$B:$BE, 50, FALSE) )</f>
        <v/>
      </c>
      <c r="W144" s="13" t="str">
        <f>IF($B144="","",  VLOOKUP($B144, Propostas!$B:$BE, 51, FALSE) )</f>
        <v/>
      </c>
      <c r="X144" s="13" t="str">
        <f>IF($B144="","",  VLOOKUP($B144, Propostas!$B:$BE, 52, FALSE) )</f>
        <v/>
      </c>
      <c r="Y144" s="13" t="str">
        <f>IF($B144="","",  VLOOKUP($B144, Propostas!$B:$BE, 36, FALSE) )</f>
        <v/>
      </c>
      <c r="Z144" s="13" t="str">
        <f>IF($B144="","",  VLOOKUP($F144, VW_PROJETO!B:C, 2, FALSE) )</f>
        <v/>
      </c>
    </row>
    <row r="145" spans="2:26" x14ac:dyDescent="0.2">
      <c r="B145" s="2"/>
      <c r="C145" s="4" t="str">
        <f>IF($B145="","",  VLOOKUP($B145, Propostas!$B:$BE, 33, FALSE) )</f>
        <v/>
      </c>
      <c r="D145" s="4" t="str">
        <f>IF($B145="","",  VLOOKUP($B145, Propostas!$B:$BE, 34, FALSE) )</f>
        <v/>
      </c>
      <c r="E145" s="4" t="str">
        <f>IF($B145="","",  VLOOKUP($B145, Propostas!$B:$BE, 35, FALSE) )</f>
        <v/>
      </c>
      <c r="F145" s="4" t="str">
        <f>IF($B145="","",  VLOOKUP($B145, Propostas!$B:$BE, 2, FALSE) )</f>
        <v/>
      </c>
      <c r="G145" s="4" t="str">
        <f>IF($B145="","",  VLOOKUP($B145, Propostas!$B:$BE, 3, FALSE) )</f>
        <v/>
      </c>
      <c r="H145" s="4" t="str">
        <f>IF($B145="","",  VLOOKUP($B145, Propostas!$B:$BE, 4, FALSE) )</f>
        <v/>
      </c>
      <c r="I145" s="4" t="str">
        <f>IF($B145="","",  VLOOKUP($B145, Propostas!$B:$BE, 38, FALSE) )</f>
        <v/>
      </c>
      <c r="J145" s="13" t="str">
        <f>IF($B145="","",IF($C145="SIM", "&lt; INFRRAESTRUTURA &gt;", VLOOKUP($B145,Propostas!$B:$BE,41,FALSE)))</f>
        <v/>
      </c>
      <c r="K145" s="10" t="str">
        <f>IF($B145="","",  VLOOKUP($B145, Propostas!$B:$BE, 40, FALSE) )</f>
        <v/>
      </c>
      <c r="L145" s="10" t="str">
        <f>IF($B145="","",IF(VLOOKUP($B145,Propostas!$B:$BE,21,FALSE)=1,"B",IF(VLOOKUP($B145,Propostas!$B:$BE,21,FALSE)=2,"E","N")))</f>
        <v/>
      </c>
      <c r="M145" s="32" t="str">
        <f>IF($B145 = "", "",  VLOOKUP($B145, Propostas!$B:$BE, 46, FALSE) )</f>
        <v/>
      </c>
      <c r="N145" s="32" t="str">
        <f>IF($B145 = "", "",  VLOOKUP($B145, Propostas!$B:$BE, 47, FALSE) )</f>
        <v/>
      </c>
      <c r="O145" s="13" t="str">
        <f>IF($B145="","",IF($C145="SIM", "INFRAESTRUTURA", VLOOKUP($B145, Propostas!$B:$BE,42,FALSE)))</f>
        <v/>
      </c>
      <c r="P145" s="32" t="str">
        <f>IF($B145 = "", "",  VLOOKUP($B145, Propostas!$B:$BE, 49, FALSE) )</f>
        <v/>
      </c>
      <c r="Q145" s="13" t="str">
        <f>IF($B145="","",  VLOOKUP($B145, Propostas!$B:$BE, 39, FALSE) )</f>
        <v/>
      </c>
      <c r="R145" s="81" t="str">
        <f>IF($B145="","",  VLOOKUP($B145, Propostas!$B:$BE, 43, FALSE) )</f>
        <v/>
      </c>
      <c r="S145" s="81" t="str">
        <f>IF($B145="","",  VLOOKUP($B145, Propostas!$B:$BE, 44, FALSE) )</f>
        <v/>
      </c>
      <c r="T145" s="81" t="str">
        <f>IF($B145="","",  VLOOKUP($B145, Propostas!$B:$BE, 45, FALSE) )</f>
        <v/>
      </c>
      <c r="U145" s="32" t="str">
        <f>IF($B145="","",  VLOOKUP($B145, Propostas!$B:$BE, 37, FALSE) )</f>
        <v/>
      </c>
      <c r="V145" s="13" t="str">
        <f>IF($B145="","",  VLOOKUP($B145, Propostas!$B:$BE, 50, FALSE) )</f>
        <v/>
      </c>
      <c r="W145" s="13" t="str">
        <f>IF($B145="","",  VLOOKUP($B145, Propostas!$B:$BE, 51, FALSE) )</f>
        <v/>
      </c>
      <c r="X145" s="13" t="str">
        <f>IF($B145="","",  VLOOKUP($B145, Propostas!$B:$BE, 52, FALSE) )</f>
        <v/>
      </c>
      <c r="Y145" s="13" t="str">
        <f>IF($B145="","",  VLOOKUP($B145, Propostas!$B:$BE, 36, FALSE) )</f>
        <v/>
      </c>
      <c r="Z145" s="13" t="str">
        <f>IF($B145="","",  VLOOKUP($F145, VW_PROJETO!B:C, 2, FALSE) )</f>
        <v/>
      </c>
    </row>
    <row r="146" spans="2:26" x14ac:dyDescent="0.2">
      <c r="B146" s="2"/>
      <c r="C146" s="4" t="str">
        <f>IF($B146="","",  VLOOKUP($B146, Propostas!$B:$BE, 33, FALSE) )</f>
        <v/>
      </c>
      <c r="D146" s="4" t="str">
        <f>IF($B146="","",  VLOOKUP($B146, Propostas!$B:$BE, 34, FALSE) )</f>
        <v/>
      </c>
      <c r="E146" s="4" t="str">
        <f>IF($B146="","",  VLOOKUP($B146, Propostas!$B:$BE, 35, FALSE) )</f>
        <v/>
      </c>
      <c r="F146" s="4" t="str">
        <f>IF($B146="","",  VLOOKUP($B146, Propostas!$B:$BE, 2, FALSE) )</f>
        <v/>
      </c>
      <c r="G146" s="4" t="str">
        <f>IF($B146="","",  VLOOKUP($B146, Propostas!$B:$BE, 3, FALSE) )</f>
        <v/>
      </c>
      <c r="H146" s="4" t="str">
        <f>IF($B146="","",  VLOOKUP($B146, Propostas!$B:$BE, 4, FALSE) )</f>
        <v/>
      </c>
      <c r="I146" s="4" t="str">
        <f>IF($B146="","",  VLOOKUP($B146, Propostas!$B:$BE, 38, FALSE) )</f>
        <v/>
      </c>
      <c r="J146" s="13" t="str">
        <f>IF($B146="","",IF($C146="SIM", "&lt; INFRRAESTRUTURA &gt;", VLOOKUP($B146,Propostas!$B:$BE,41,FALSE)))</f>
        <v/>
      </c>
      <c r="K146" s="10" t="str">
        <f>IF($B146="","",  VLOOKUP($B146, Propostas!$B:$BE, 40, FALSE) )</f>
        <v/>
      </c>
      <c r="L146" s="10" t="str">
        <f>IF($B146="","",IF(VLOOKUP($B146,Propostas!$B:$BE,21,FALSE)=1,"B",IF(VLOOKUP($B146,Propostas!$B:$BE,21,FALSE)=2,"E","N")))</f>
        <v/>
      </c>
      <c r="M146" s="32" t="str">
        <f>IF($B146 = "", "",  VLOOKUP($B146, Propostas!$B:$BE, 46, FALSE) )</f>
        <v/>
      </c>
      <c r="N146" s="32" t="str">
        <f>IF($B146 = "", "",  VLOOKUP($B146, Propostas!$B:$BE, 47, FALSE) )</f>
        <v/>
      </c>
      <c r="O146" s="13" t="str">
        <f>IF($B146="","",IF($C146="SIM", "INFRAESTRUTURA", VLOOKUP($B146, Propostas!$B:$BE,42,FALSE)))</f>
        <v/>
      </c>
      <c r="P146" s="32" t="str">
        <f>IF($B146 = "", "",  VLOOKUP($B146, Propostas!$B:$BE, 49, FALSE) )</f>
        <v/>
      </c>
      <c r="Q146" s="13" t="str">
        <f>IF($B146="","",  VLOOKUP($B146, Propostas!$B:$BE, 39, FALSE) )</f>
        <v/>
      </c>
      <c r="R146" s="81" t="str">
        <f>IF($B146="","",  VLOOKUP($B146, Propostas!$B:$BE, 43, FALSE) )</f>
        <v/>
      </c>
      <c r="S146" s="81" t="str">
        <f>IF($B146="","",  VLOOKUP($B146, Propostas!$B:$BE, 44, FALSE) )</f>
        <v/>
      </c>
      <c r="T146" s="81" t="str">
        <f>IF($B146="","",  VLOOKUP($B146, Propostas!$B:$BE, 45, FALSE) )</f>
        <v/>
      </c>
      <c r="U146" s="32" t="str">
        <f>IF($B146="","",  VLOOKUP($B146, Propostas!$B:$BE, 37, FALSE) )</f>
        <v/>
      </c>
      <c r="V146" s="13" t="str">
        <f>IF($B146="","",  VLOOKUP($B146, Propostas!$B:$BE, 50, FALSE) )</f>
        <v/>
      </c>
      <c r="W146" s="13" t="str">
        <f>IF($B146="","",  VLOOKUP($B146, Propostas!$B:$BE, 51, FALSE) )</f>
        <v/>
      </c>
      <c r="X146" s="13" t="str">
        <f>IF($B146="","",  VLOOKUP($B146, Propostas!$B:$BE, 52, FALSE) )</f>
        <v/>
      </c>
      <c r="Y146" s="13" t="str">
        <f>IF($B146="","",  VLOOKUP($B146, Propostas!$B:$BE, 36, FALSE) )</f>
        <v/>
      </c>
      <c r="Z146" s="13" t="str">
        <f>IF($B146="","",  VLOOKUP($F146, VW_PROJETO!B:C, 2, FALSE) )</f>
        <v/>
      </c>
    </row>
    <row r="147" spans="2:26" x14ac:dyDescent="0.2">
      <c r="B147" s="2"/>
      <c r="C147" s="4" t="str">
        <f>IF($B147="","",  VLOOKUP($B147, Propostas!$B:$BE, 33, FALSE) )</f>
        <v/>
      </c>
      <c r="D147" s="4" t="str">
        <f>IF($B147="","",  VLOOKUP($B147, Propostas!$B:$BE, 34, FALSE) )</f>
        <v/>
      </c>
      <c r="E147" s="4" t="str">
        <f>IF($B147="","",  VLOOKUP($B147, Propostas!$B:$BE, 35, FALSE) )</f>
        <v/>
      </c>
      <c r="F147" s="4" t="str">
        <f>IF($B147="","",  VLOOKUP($B147, Propostas!$B:$BE, 2, FALSE) )</f>
        <v/>
      </c>
      <c r="G147" s="4" t="str">
        <f>IF($B147="","",  VLOOKUP($B147, Propostas!$B:$BE, 3, FALSE) )</f>
        <v/>
      </c>
      <c r="H147" s="4" t="str">
        <f>IF($B147="","",  VLOOKUP($B147, Propostas!$B:$BE, 4, FALSE) )</f>
        <v/>
      </c>
      <c r="I147" s="4" t="str">
        <f>IF($B147="","",  VLOOKUP($B147, Propostas!$B:$BE, 38, FALSE) )</f>
        <v/>
      </c>
      <c r="J147" s="13" t="str">
        <f>IF($B147="","",IF($C147="SIM", "&lt; INFRRAESTRUTURA &gt;", VLOOKUP($B147,Propostas!$B:$BE,41,FALSE)))</f>
        <v/>
      </c>
      <c r="K147" s="10" t="str">
        <f>IF($B147="","",  VLOOKUP($B147, Propostas!$B:$BE, 40, FALSE) )</f>
        <v/>
      </c>
      <c r="L147" s="10" t="str">
        <f>IF($B147="","",IF(VLOOKUP($B147,Propostas!$B:$BE,21,FALSE)=1,"B",IF(VLOOKUP($B147,Propostas!$B:$BE,21,FALSE)=2,"E","N")))</f>
        <v/>
      </c>
      <c r="M147" s="32" t="str">
        <f>IF($B147 = "", "",  VLOOKUP($B147, Propostas!$B:$BE, 46, FALSE) )</f>
        <v/>
      </c>
      <c r="N147" s="32" t="str">
        <f>IF($B147 = "", "",  VLOOKUP($B147, Propostas!$B:$BE, 47, FALSE) )</f>
        <v/>
      </c>
      <c r="O147" s="13" t="str">
        <f>IF($B147="","",IF($C147="SIM", "INFRAESTRUTURA", VLOOKUP($B147, Propostas!$B:$BE,42,FALSE)))</f>
        <v/>
      </c>
      <c r="P147" s="32" t="str">
        <f>IF($B147 = "", "",  VLOOKUP($B147, Propostas!$B:$BE, 49, FALSE) )</f>
        <v/>
      </c>
      <c r="Q147" s="13" t="str">
        <f>IF($B147="","",  VLOOKUP($B147, Propostas!$B:$BE, 39, FALSE) )</f>
        <v/>
      </c>
      <c r="R147" s="81" t="str">
        <f>IF($B147="","",  VLOOKUP($B147, Propostas!$B:$BE, 43, FALSE) )</f>
        <v/>
      </c>
      <c r="S147" s="81" t="str">
        <f>IF($B147="","",  VLOOKUP($B147, Propostas!$B:$BE, 44, FALSE) )</f>
        <v/>
      </c>
      <c r="T147" s="81" t="str">
        <f>IF($B147="","",  VLOOKUP($B147, Propostas!$B:$BE, 45, FALSE) )</f>
        <v/>
      </c>
      <c r="U147" s="32" t="str">
        <f>IF($B147="","",  VLOOKUP($B147, Propostas!$B:$BE, 37, FALSE) )</f>
        <v/>
      </c>
      <c r="V147" s="13" t="str">
        <f>IF($B147="","",  VLOOKUP($B147, Propostas!$B:$BE, 50, FALSE) )</f>
        <v/>
      </c>
      <c r="W147" s="13" t="str">
        <f>IF($B147="","",  VLOOKUP($B147, Propostas!$B:$BE, 51, FALSE) )</f>
        <v/>
      </c>
      <c r="X147" s="13" t="str">
        <f>IF($B147="","",  VLOOKUP($B147, Propostas!$B:$BE, 52, FALSE) )</f>
        <v/>
      </c>
      <c r="Y147" s="13" t="str">
        <f>IF($B147="","",  VLOOKUP($B147, Propostas!$B:$BE, 36, FALSE) )</f>
        <v/>
      </c>
      <c r="Z147" s="13" t="str">
        <f>IF($B147="","",  VLOOKUP($F147, VW_PROJETO!B:C, 2, FALSE) )</f>
        <v/>
      </c>
    </row>
    <row r="148" spans="2:26" x14ac:dyDescent="0.2">
      <c r="B148" s="2"/>
      <c r="C148" s="4" t="str">
        <f>IF($B148="","",  VLOOKUP($B148, Propostas!$B:$BE, 33, FALSE) )</f>
        <v/>
      </c>
      <c r="D148" s="4" t="str">
        <f>IF($B148="","",  VLOOKUP($B148, Propostas!$B:$BE, 34, FALSE) )</f>
        <v/>
      </c>
      <c r="E148" s="4" t="str">
        <f>IF($B148="","",  VLOOKUP($B148, Propostas!$B:$BE, 35, FALSE) )</f>
        <v/>
      </c>
      <c r="F148" s="4" t="str">
        <f>IF($B148="","",  VLOOKUP($B148, Propostas!$B:$BE, 2, FALSE) )</f>
        <v/>
      </c>
      <c r="G148" s="4" t="str">
        <f>IF($B148="","",  VLOOKUP($B148, Propostas!$B:$BE, 3, FALSE) )</f>
        <v/>
      </c>
      <c r="H148" s="4" t="str">
        <f>IF($B148="","",  VLOOKUP($B148, Propostas!$B:$BE, 4, FALSE) )</f>
        <v/>
      </c>
      <c r="I148" s="4" t="str">
        <f>IF($B148="","",  VLOOKUP($B148, Propostas!$B:$BE, 38, FALSE) )</f>
        <v/>
      </c>
      <c r="J148" s="13" t="str">
        <f>IF($B148="","",IF($C148="SIM", "&lt; INFRRAESTRUTURA &gt;", VLOOKUP($B148,Propostas!$B:$BE,41,FALSE)))</f>
        <v/>
      </c>
      <c r="K148" s="10" t="str">
        <f>IF($B148="","",  VLOOKUP($B148, Propostas!$B:$BE, 40, FALSE) )</f>
        <v/>
      </c>
      <c r="L148" s="10" t="str">
        <f>IF($B148="","",IF(VLOOKUP($B148,Propostas!$B:$BE,21,FALSE)=1,"B",IF(VLOOKUP($B148,Propostas!$B:$BE,21,FALSE)=2,"E","N")))</f>
        <v/>
      </c>
      <c r="M148" s="32" t="str">
        <f>IF($B148 = "", "",  VLOOKUP($B148, Propostas!$B:$BE, 46, FALSE) )</f>
        <v/>
      </c>
      <c r="N148" s="32" t="str">
        <f>IF($B148 = "", "",  VLOOKUP($B148, Propostas!$B:$BE, 47, FALSE) )</f>
        <v/>
      </c>
      <c r="O148" s="13" t="str">
        <f>IF($B148="","",IF($C148="SIM", "INFRAESTRUTURA", VLOOKUP($B148, Propostas!$B:$BE,42,FALSE)))</f>
        <v/>
      </c>
      <c r="P148" s="32" t="str">
        <f>IF($B148 = "", "",  VLOOKUP($B148, Propostas!$B:$BE, 49, FALSE) )</f>
        <v/>
      </c>
      <c r="Q148" s="13" t="str">
        <f>IF($B148="","",  VLOOKUP($B148, Propostas!$B:$BE, 39, FALSE) )</f>
        <v/>
      </c>
      <c r="R148" s="81" t="str">
        <f>IF($B148="","",  VLOOKUP($B148, Propostas!$B:$BE, 43, FALSE) )</f>
        <v/>
      </c>
      <c r="S148" s="81" t="str">
        <f>IF($B148="","",  VLOOKUP($B148, Propostas!$B:$BE, 44, FALSE) )</f>
        <v/>
      </c>
      <c r="T148" s="81" t="str">
        <f>IF($B148="","",  VLOOKUP($B148, Propostas!$B:$BE, 45, FALSE) )</f>
        <v/>
      </c>
      <c r="U148" s="32" t="str">
        <f>IF($B148="","",  VLOOKUP($B148, Propostas!$B:$BE, 37, FALSE) )</f>
        <v/>
      </c>
      <c r="V148" s="13" t="str">
        <f>IF($B148="","",  VLOOKUP($B148, Propostas!$B:$BE, 50, FALSE) )</f>
        <v/>
      </c>
      <c r="W148" s="13" t="str">
        <f>IF($B148="","",  VLOOKUP($B148, Propostas!$B:$BE, 51, FALSE) )</f>
        <v/>
      </c>
      <c r="X148" s="13" t="str">
        <f>IF($B148="","",  VLOOKUP($B148, Propostas!$B:$BE, 52, FALSE) )</f>
        <v/>
      </c>
      <c r="Y148" s="13" t="str">
        <f>IF($B148="","",  VLOOKUP($B148, Propostas!$B:$BE, 36, FALSE) )</f>
        <v/>
      </c>
      <c r="Z148" s="13" t="str">
        <f>IF($B148="","",  VLOOKUP($F148, VW_PROJETO!B:C, 2, FALSE) )</f>
        <v/>
      </c>
    </row>
    <row r="149" spans="2:26" x14ac:dyDescent="0.2">
      <c r="B149" s="2"/>
      <c r="C149" s="4" t="str">
        <f>IF($B149="","",  VLOOKUP($B149, Propostas!$B:$BE, 33, FALSE) )</f>
        <v/>
      </c>
      <c r="D149" s="4" t="str">
        <f>IF($B149="","",  VLOOKUP($B149, Propostas!$B:$BE, 34, FALSE) )</f>
        <v/>
      </c>
      <c r="E149" s="4" t="str">
        <f>IF($B149="","",  VLOOKUP($B149, Propostas!$B:$BE, 35, FALSE) )</f>
        <v/>
      </c>
      <c r="F149" s="4" t="str">
        <f>IF($B149="","",  VLOOKUP($B149, Propostas!$B:$BE, 2, FALSE) )</f>
        <v/>
      </c>
      <c r="G149" s="4" t="str">
        <f>IF($B149="","",  VLOOKUP($B149, Propostas!$B:$BE, 3, FALSE) )</f>
        <v/>
      </c>
      <c r="H149" s="4" t="str">
        <f>IF($B149="","",  VLOOKUP($B149, Propostas!$B:$BE, 4, FALSE) )</f>
        <v/>
      </c>
      <c r="I149" s="4" t="str">
        <f>IF($B149="","",  VLOOKUP($B149, Propostas!$B:$BE, 38, FALSE) )</f>
        <v/>
      </c>
      <c r="J149" s="13" t="str">
        <f>IF($B149="","",IF($C149="SIM", "&lt; INFRRAESTRUTURA &gt;", VLOOKUP($B149,Propostas!$B:$BE,41,FALSE)))</f>
        <v/>
      </c>
      <c r="K149" s="10" t="str">
        <f>IF($B149="","",  VLOOKUP($B149, Propostas!$B:$BE, 40, FALSE) )</f>
        <v/>
      </c>
      <c r="L149" s="10" t="str">
        <f>IF($B149="","",IF(VLOOKUP($B149,Propostas!$B:$BE,21,FALSE)=1,"B",IF(VLOOKUP($B149,Propostas!$B:$BE,21,FALSE)=2,"E","N")))</f>
        <v/>
      </c>
      <c r="M149" s="32" t="str">
        <f>IF($B149 = "", "",  VLOOKUP($B149, Propostas!$B:$BE, 46, FALSE) )</f>
        <v/>
      </c>
      <c r="N149" s="32" t="str">
        <f>IF($B149 = "", "",  VLOOKUP($B149, Propostas!$B:$BE, 47, FALSE) )</f>
        <v/>
      </c>
      <c r="O149" s="13" t="str">
        <f>IF($B149="","",IF($C149="SIM", "INFRAESTRUTURA", VLOOKUP($B149, Propostas!$B:$BE,42,FALSE)))</f>
        <v/>
      </c>
      <c r="P149" s="32" t="str">
        <f>IF($B149 = "", "",  VLOOKUP($B149, Propostas!$B:$BE, 49, FALSE) )</f>
        <v/>
      </c>
      <c r="Q149" s="13" t="str">
        <f>IF($B149="","",  VLOOKUP($B149, Propostas!$B:$BE, 39, FALSE) )</f>
        <v/>
      </c>
      <c r="R149" s="81" t="str">
        <f>IF($B149="","",  VLOOKUP($B149, Propostas!$B:$BE, 43, FALSE) )</f>
        <v/>
      </c>
      <c r="S149" s="81" t="str">
        <f>IF($B149="","",  VLOOKUP($B149, Propostas!$B:$BE, 44, FALSE) )</f>
        <v/>
      </c>
      <c r="T149" s="81" t="str">
        <f>IF($B149="","",  VLOOKUP($B149, Propostas!$B:$BE, 45, FALSE) )</f>
        <v/>
      </c>
      <c r="U149" s="32" t="str">
        <f>IF($B149="","",  VLOOKUP($B149, Propostas!$B:$BE, 37, FALSE) )</f>
        <v/>
      </c>
      <c r="V149" s="13" t="str">
        <f>IF($B149="","",  VLOOKUP($B149, Propostas!$B:$BE, 50, FALSE) )</f>
        <v/>
      </c>
      <c r="W149" s="13" t="str">
        <f>IF($B149="","",  VLOOKUP($B149, Propostas!$B:$BE, 51, FALSE) )</f>
        <v/>
      </c>
      <c r="X149" s="13" t="str">
        <f>IF($B149="","",  VLOOKUP($B149, Propostas!$B:$BE, 52, FALSE) )</f>
        <v/>
      </c>
      <c r="Y149" s="13" t="str">
        <f>IF($B149="","",  VLOOKUP($B149, Propostas!$B:$BE, 36, FALSE) )</f>
        <v/>
      </c>
      <c r="Z149" s="13" t="str">
        <f>IF($B149="","",  VLOOKUP($F149, VW_PROJETO!B:C, 2, FALSE) )</f>
        <v/>
      </c>
    </row>
    <row r="150" spans="2:26" x14ac:dyDescent="0.2">
      <c r="B150" s="2"/>
      <c r="C150" s="4" t="str">
        <f>IF($B150="","",  VLOOKUP($B150, Propostas!$B:$BE, 33, FALSE) )</f>
        <v/>
      </c>
      <c r="D150" s="4" t="str">
        <f>IF($B150="","",  VLOOKUP($B150, Propostas!$B:$BE, 34, FALSE) )</f>
        <v/>
      </c>
      <c r="E150" s="4" t="str">
        <f>IF($B150="","",  VLOOKUP($B150, Propostas!$B:$BE, 35, FALSE) )</f>
        <v/>
      </c>
      <c r="F150" s="4" t="str">
        <f>IF($B150="","",  VLOOKUP($B150, Propostas!$B:$BE, 2, FALSE) )</f>
        <v/>
      </c>
      <c r="G150" s="4" t="str">
        <f>IF($B150="","",  VLOOKUP($B150, Propostas!$B:$BE, 3, FALSE) )</f>
        <v/>
      </c>
      <c r="H150" s="4" t="str">
        <f>IF($B150="","",  VLOOKUP($B150, Propostas!$B:$BE, 4, FALSE) )</f>
        <v/>
      </c>
      <c r="I150" s="4" t="str">
        <f>IF($B150="","",  VLOOKUP($B150, Propostas!$B:$BE, 38, FALSE) )</f>
        <v/>
      </c>
      <c r="J150" s="13" t="str">
        <f>IF($B150="","",IF($C150="SIM", "&lt; INFRRAESTRUTURA &gt;", VLOOKUP($B150,Propostas!$B:$BE,41,FALSE)))</f>
        <v/>
      </c>
      <c r="K150" s="10" t="str">
        <f>IF($B150="","",  VLOOKUP($B150, Propostas!$B:$BE, 40, FALSE) )</f>
        <v/>
      </c>
      <c r="L150" s="10" t="str">
        <f>IF($B150="","",IF(VLOOKUP($B150,Propostas!$B:$BE,21,FALSE)=1,"B",IF(VLOOKUP($B150,Propostas!$B:$BE,21,FALSE)=2,"E","N")))</f>
        <v/>
      </c>
      <c r="M150" s="32" t="str">
        <f>IF($B150 = "", "",  VLOOKUP($B150, Propostas!$B:$BE, 46, FALSE) )</f>
        <v/>
      </c>
      <c r="N150" s="32" t="str">
        <f>IF($B150 = "", "",  VLOOKUP($B150, Propostas!$B:$BE, 47, FALSE) )</f>
        <v/>
      </c>
      <c r="O150" s="13" t="str">
        <f>IF($B150="","",IF($C150="SIM", "INFRAESTRUTURA", VLOOKUP($B150, Propostas!$B:$BE,42,FALSE)))</f>
        <v/>
      </c>
      <c r="P150" s="32" t="str">
        <f>IF($B150 = "", "",  VLOOKUP($B150, Propostas!$B:$BE, 49, FALSE) )</f>
        <v/>
      </c>
      <c r="Q150" s="13" t="str">
        <f>IF($B150="","",  VLOOKUP($B150, Propostas!$B:$BE, 39, FALSE) )</f>
        <v/>
      </c>
      <c r="R150" s="81" t="str">
        <f>IF($B150="","",  VLOOKUP($B150, Propostas!$B:$BE, 43, FALSE) )</f>
        <v/>
      </c>
      <c r="S150" s="81" t="str">
        <f>IF($B150="","",  VLOOKUP($B150, Propostas!$B:$BE, 44, FALSE) )</f>
        <v/>
      </c>
      <c r="T150" s="81" t="str">
        <f>IF($B150="","",  VLOOKUP($B150, Propostas!$B:$BE, 45, FALSE) )</f>
        <v/>
      </c>
      <c r="U150" s="32" t="str">
        <f>IF($B150="","",  VLOOKUP($B150, Propostas!$B:$BE, 37, FALSE) )</f>
        <v/>
      </c>
      <c r="V150" s="13" t="str">
        <f>IF($B150="","",  VLOOKUP($B150, Propostas!$B:$BE, 50, FALSE) )</f>
        <v/>
      </c>
      <c r="W150" s="13" t="str">
        <f>IF($B150="","",  VLOOKUP($B150, Propostas!$B:$BE, 51, FALSE) )</f>
        <v/>
      </c>
      <c r="X150" s="13" t="str">
        <f>IF($B150="","",  VLOOKUP($B150, Propostas!$B:$BE, 52, FALSE) )</f>
        <v/>
      </c>
      <c r="Y150" s="13" t="str">
        <f>IF($B150="","",  VLOOKUP($B150, Propostas!$B:$BE, 36, FALSE) )</f>
        <v/>
      </c>
      <c r="Z150" s="13" t="str">
        <f>IF($B150="","",  VLOOKUP($F150, VW_PROJETO!B:C, 2, FALSE) )</f>
        <v/>
      </c>
    </row>
    <row r="151" spans="2:26" x14ac:dyDescent="0.2">
      <c r="B151" s="2"/>
      <c r="C151" s="4" t="str">
        <f>IF($B151="","",  VLOOKUP($B151, Propostas!$B:$BE, 33, FALSE) )</f>
        <v/>
      </c>
      <c r="D151" s="4" t="str">
        <f>IF($B151="","",  VLOOKUP($B151, Propostas!$B:$BE, 34, FALSE) )</f>
        <v/>
      </c>
      <c r="E151" s="4" t="str">
        <f>IF($B151="","",  VLOOKUP($B151, Propostas!$B:$BE, 35, FALSE) )</f>
        <v/>
      </c>
      <c r="F151" s="4" t="str">
        <f>IF($B151="","",  VLOOKUP($B151, Propostas!$B:$BE, 2, FALSE) )</f>
        <v/>
      </c>
      <c r="G151" s="4" t="str">
        <f>IF($B151="","",  VLOOKUP($B151, Propostas!$B:$BE, 3, FALSE) )</f>
        <v/>
      </c>
      <c r="H151" s="4" t="str">
        <f>IF($B151="","",  VLOOKUP($B151, Propostas!$B:$BE, 4, FALSE) )</f>
        <v/>
      </c>
      <c r="I151" s="4" t="str">
        <f>IF($B151="","",  VLOOKUP($B151, Propostas!$B:$BE, 38, FALSE) )</f>
        <v/>
      </c>
      <c r="J151" s="13" t="str">
        <f>IF($B151="","",IF($C151="SIM", "&lt; INFRRAESTRUTURA &gt;", VLOOKUP($B151,Propostas!$B:$BE,41,FALSE)))</f>
        <v/>
      </c>
      <c r="K151" s="10" t="str">
        <f>IF($B151="","",  VLOOKUP($B151, Propostas!$B:$BE, 40, FALSE) )</f>
        <v/>
      </c>
      <c r="L151" s="10" t="str">
        <f>IF($B151="","",IF(VLOOKUP($B151,Propostas!$B:$BE,21,FALSE)=1,"B",IF(VLOOKUP($B151,Propostas!$B:$BE,21,FALSE)=2,"E","N")))</f>
        <v/>
      </c>
      <c r="M151" s="32" t="str">
        <f>IF($B151 = "", "",  VLOOKUP($B151, Propostas!$B:$BE, 46, FALSE) )</f>
        <v/>
      </c>
      <c r="N151" s="32" t="str">
        <f>IF($B151 = "", "",  VLOOKUP($B151, Propostas!$B:$BE, 47, FALSE) )</f>
        <v/>
      </c>
      <c r="O151" s="13" t="str">
        <f>IF($B151="","",IF($C151="SIM", "INFRAESTRUTURA", VLOOKUP($B151, Propostas!$B:$BE,42,FALSE)))</f>
        <v/>
      </c>
      <c r="P151" s="32" t="str">
        <f>IF($B151 = "", "",  VLOOKUP($B151, Propostas!$B:$BE, 49, FALSE) )</f>
        <v/>
      </c>
      <c r="Q151" s="13" t="str">
        <f>IF($B151="","",  VLOOKUP($B151, Propostas!$B:$BE, 39, FALSE) )</f>
        <v/>
      </c>
      <c r="R151" s="81" t="str">
        <f>IF($B151="","",  VLOOKUP($B151, Propostas!$B:$BE, 43, FALSE) )</f>
        <v/>
      </c>
      <c r="S151" s="81" t="str">
        <f>IF($B151="","",  VLOOKUP($B151, Propostas!$B:$BE, 44, FALSE) )</f>
        <v/>
      </c>
      <c r="T151" s="81" t="str">
        <f>IF($B151="","",  VLOOKUP($B151, Propostas!$B:$BE, 45, FALSE) )</f>
        <v/>
      </c>
      <c r="U151" s="32" t="str">
        <f>IF($B151="","",  VLOOKUP($B151, Propostas!$B:$BE, 37, FALSE) )</f>
        <v/>
      </c>
      <c r="V151" s="13" t="str">
        <f>IF($B151="","",  VLOOKUP($B151, Propostas!$B:$BE, 50, FALSE) )</f>
        <v/>
      </c>
      <c r="W151" s="13" t="str">
        <f>IF($B151="","",  VLOOKUP($B151, Propostas!$B:$BE, 51, FALSE) )</f>
        <v/>
      </c>
      <c r="X151" s="13" t="str">
        <f>IF($B151="","",  VLOOKUP($B151, Propostas!$B:$BE, 52, FALSE) )</f>
        <v/>
      </c>
      <c r="Y151" s="13" t="str">
        <f>IF($B151="","",  VLOOKUP($B151, Propostas!$B:$BE, 36, FALSE) )</f>
        <v/>
      </c>
      <c r="Z151" s="13" t="str">
        <f>IF($B151="","",  VLOOKUP($F151, VW_PROJETO!B:C, 2, FALSE) )</f>
        <v/>
      </c>
    </row>
    <row r="152" spans="2:26" x14ac:dyDescent="0.2">
      <c r="B152" s="2"/>
      <c r="C152" s="4" t="str">
        <f>IF($B152="","",  VLOOKUP($B152, Propostas!$B:$BE, 33, FALSE) )</f>
        <v/>
      </c>
      <c r="D152" s="4" t="str">
        <f>IF($B152="","",  VLOOKUP($B152, Propostas!$B:$BE, 34, FALSE) )</f>
        <v/>
      </c>
      <c r="E152" s="4" t="str">
        <f>IF($B152="","",  VLOOKUP($B152, Propostas!$B:$BE, 35, FALSE) )</f>
        <v/>
      </c>
      <c r="F152" s="4" t="str">
        <f>IF($B152="","",  VLOOKUP($B152, Propostas!$B:$BE, 2, FALSE) )</f>
        <v/>
      </c>
      <c r="G152" s="4" t="str">
        <f>IF($B152="","",  VLOOKUP($B152, Propostas!$B:$BE, 3, FALSE) )</f>
        <v/>
      </c>
      <c r="H152" s="4" t="str">
        <f>IF($B152="","",  VLOOKUP($B152, Propostas!$B:$BE, 4, FALSE) )</f>
        <v/>
      </c>
      <c r="I152" s="4" t="str">
        <f>IF($B152="","",  VLOOKUP($B152, Propostas!$B:$BE, 38, FALSE) )</f>
        <v/>
      </c>
      <c r="J152" s="13" t="str">
        <f>IF($B152="","",IF($C152="SIM", "&lt; INFRRAESTRUTURA &gt;", VLOOKUP($B152,Propostas!$B:$BE,41,FALSE)))</f>
        <v/>
      </c>
      <c r="K152" s="10" t="str">
        <f>IF($B152="","",  VLOOKUP($B152, Propostas!$B:$BE, 40, FALSE) )</f>
        <v/>
      </c>
      <c r="L152" s="10" t="str">
        <f>IF($B152="","",IF(VLOOKUP($B152,Propostas!$B:$BE,21,FALSE)=1,"B",IF(VLOOKUP($B152,Propostas!$B:$BE,21,FALSE)=2,"E","N")))</f>
        <v/>
      </c>
      <c r="M152" s="32" t="str">
        <f>IF($B152 = "", "",  VLOOKUP($B152, Propostas!$B:$BE, 46, FALSE) )</f>
        <v/>
      </c>
      <c r="N152" s="32" t="str">
        <f>IF($B152 = "", "",  VLOOKUP($B152, Propostas!$B:$BE, 47, FALSE) )</f>
        <v/>
      </c>
      <c r="O152" s="13" t="str">
        <f>IF($B152="","",IF($C152="SIM", "INFRAESTRUTURA", VLOOKUP($B152, Propostas!$B:$BE,42,FALSE)))</f>
        <v/>
      </c>
      <c r="P152" s="32" t="str">
        <f>IF($B152 = "", "",  VLOOKUP($B152, Propostas!$B:$BE, 49, FALSE) )</f>
        <v/>
      </c>
      <c r="Q152" s="13" t="str">
        <f>IF($B152="","",  VLOOKUP($B152, Propostas!$B:$BE, 39, FALSE) )</f>
        <v/>
      </c>
      <c r="R152" s="81" t="str">
        <f>IF($B152="","",  VLOOKUP($B152, Propostas!$B:$BE, 43, FALSE) )</f>
        <v/>
      </c>
      <c r="S152" s="81" t="str">
        <f>IF($B152="","",  VLOOKUP($B152, Propostas!$B:$BE, 44, FALSE) )</f>
        <v/>
      </c>
      <c r="T152" s="81" t="str">
        <f>IF($B152="","",  VLOOKUP($B152, Propostas!$B:$BE, 45, FALSE) )</f>
        <v/>
      </c>
      <c r="U152" s="32" t="str">
        <f>IF($B152="","",  VLOOKUP($B152, Propostas!$B:$BE, 37, FALSE) )</f>
        <v/>
      </c>
      <c r="V152" s="13" t="str">
        <f>IF($B152="","",  VLOOKUP($B152, Propostas!$B:$BE, 50, FALSE) )</f>
        <v/>
      </c>
      <c r="W152" s="13" t="str">
        <f>IF($B152="","",  VLOOKUP($B152, Propostas!$B:$BE, 51, FALSE) )</f>
        <v/>
      </c>
      <c r="X152" s="13" t="str">
        <f>IF($B152="","",  VLOOKUP($B152, Propostas!$B:$BE, 52, FALSE) )</f>
        <v/>
      </c>
      <c r="Y152" s="13" t="str">
        <f>IF($B152="","",  VLOOKUP($B152, Propostas!$B:$BE, 36, FALSE) )</f>
        <v/>
      </c>
      <c r="Z152" s="13" t="str">
        <f>IF($B152="","",  VLOOKUP($F152, VW_PROJETO!B:C, 2, FALSE) )</f>
        <v/>
      </c>
    </row>
    <row r="153" spans="2:26" x14ac:dyDescent="0.2">
      <c r="B153" s="2"/>
      <c r="C153" s="4" t="str">
        <f>IF($B153="","",  VLOOKUP($B153, Propostas!$B:$BE, 33, FALSE) )</f>
        <v/>
      </c>
      <c r="D153" s="4" t="str">
        <f>IF($B153="","",  VLOOKUP($B153, Propostas!$B:$BE, 34, FALSE) )</f>
        <v/>
      </c>
      <c r="E153" s="4" t="str">
        <f>IF($B153="","",  VLOOKUP($B153, Propostas!$B:$BE, 35, FALSE) )</f>
        <v/>
      </c>
      <c r="F153" s="4" t="str">
        <f>IF($B153="","",  VLOOKUP($B153, Propostas!$B:$BE, 2, FALSE) )</f>
        <v/>
      </c>
      <c r="G153" s="4" t="str">
        <f>IF($B153="","",  VLOOKUP($B153, Propostas!$B:$BE, 3, FALSE) )</f>
        <v/>
      </c>
      <c r="H153" s="4" t="str">
        <f>IF($B153="","",  VLOOKUP($B153, Propostas!$B:$BE, 4, FALSE) )</f>
        <v/>
      </c>
      <c r="I153" s="4" t="str">
        <f>IF($B153="","",  VLOOKUP($B153, Propostas!$B:$BE, 38, FALSE) )</f>
        <v/>
      </c>
      <c r="J153" s="13" t="str">
        <f>IF($B153="","",IF($C153="SIM", "&lt; INFRRAESTRUTURA &gt;", VLOOKUP($B153,Propostas!$B:$BE,41,FALSE)))</f>
        <v/>
      </c>
      <c r="K153" s="10" t="str">
        <f>IF($B153="","",  VLOOKUP($B153, Propostas!$B:$BE, 40, FALSE) )</f>
        <v/>
      </c>
      <c r="L153" s="10" t="str">
        <f>IF($B153="","",IF(VLOOKUP($B153,Propostas!$B:$BE,21,FALSE)=1,"B",IF(VLOOKUP($B153,Propostas!$B:$BE,21,FALSE)=2,"E","N")))</f>
        <v/>
      </c>
      <c r="M153" s="32" t="str">
        <f>IF($B153 = "", "",  VLOOKUP($B153, Propostas!$B:$BE, 46, FALSE) )</f>
        <v/>
      </c>
      <c r="N153" s="32" t="str">
        <f>IF($B153 = "", "",  VLOOKUP($B153, Propostas!$B:$BE, 47, FALSE) )</f>
        <v/>
      </c>
      <c r="O153" s="13" t="str">
        <f>IF($B153="","",IF($C153="SIM", "INFRAESTRUTURA", VLOOKUP($B153, Propostas!$B:$BE,42,FALSE)))</f>
        <v/>
      </c>
      <c r="P153" s="32" t="str">
        <f>IF($B153 = "", "",  VLOOKUP($B153, Propostas!$B:$BE, 49, FALSE) )</f>
        <v/>
      </c>
      <c r="Q153" s="13" t="str">
        <f>IF($B153="","",  VLOOKUP($B153, Propostas!$B:$BE, 39, FALSE) )</f>
        <v/>
      </c>
      <c r="R153" s="81" t="str">
        <f>IF($B153="","",  VLOOKUP($B153, Propostas!$B:$BE, 43, FALSE) )</f>
        <v/>
      </c>
      <c r="S153" s="81" t="str">
        <f>IF($B153="","",  VLOOKUP($B153, Propostas!$B:$BE, 44, FALSE) )</f>
        <v/>
      </c>
      <c r="T153" s="81" t="str">
        <f>IF($B153="","",  VLOOKUP($B153, Propostas!$B:$BE, 45, FALSE) )</f>
        <v/>
      </c>
      <c r="U153" s="32" t="str">
        <f>IF($B153="","",  VLOOKUP($B153, Propostas!$B:$BE, 37, FALSE) )</f>
        <v/>
      </c>
      <c r="V153" s="13" t="str">
        <f>IF($B153="","",  VLOOKUP($B153, Propostas!$B:$BE, 50, FALSE) )</f>
        <v/>
      </c>
      <c r="W153" s="13" t="str">
        <f>IF($B153="","",  VLOOKUP($B153, Propostas!$B:$BE, 51, FALSE) )</f>
        <v/>
      </c>
      <c r="X153" s="13" t="str">
        <f>IF($B153="","",  VLOOKUP($B153, Propostas!$B:$BE, 52, FALSE) )</f>
        <v/>
      </c>
      <c r="Y153" s="13" t="str">
        <f>IF($B153="","",  VLOOKUP($B153, Propostas!$B:$BE, 36, FALSE) )</f>
        <v/>
      </c>
      <c r="Z153" s="13" t="str">
        <f>IF($B153="","",  VLOOKUP($F153, VW_PROJETO!B:C, 2, FALSE) )</f>
        <v/>
      </c>
    </row>
    <row r="154" spans="2:26" x14ac:dyDescent="0.2">
      <c r="B154" s="2"/>
      <c r="C154" s="4" t="str">
        <f>IF($B154="","",  VLOOKUP($B154, Propostas!$B:$BE, 33, FALSE) )</f>
        <v/>
      </c>
      <c r="D154" s="4" t="str">
        <f>IF($B154="","",  VLOOKUP($B154, Propostas!$B:$BE, 34, FALSE) )</f>
        <v/>
      </c>
      <c r="E154" s="4" t="str">
        <f>IF($B154="","",  VLOOKUP($B154, Propostas!$B:$BE, 35, FALSE) )</f>
        <v/>
      </c>
      <c r="F154" s="4" t="str">
        <f>IF($B154="","",  VLOOKUP($B154, Propostas!$B:$BE, 2, FALSE) )</f>
        <v/>
      </c>
      <c r="G154" s="4" t="str">
        <f>IF($B154="","",  VLOOKUP($B154, Propostas!$B:$BE, 3, FALSE) )</f>
        <v/>
      </c>
      <c r="H154" s="4" t="str">
        <f>IF($B154="","",  VLOOKUP($B154, Propostas!$B:$BE, 4, FALSE) )</f>
        <v/>
      </c>
      <c r="I154" s="4" t="str">
        <f>IF($B154="","",  VLOOKUP($B154, Propostas!$B:$BE, 38, FALSE) )</f>
        <v/>
      </c>
      <c r="J154" s="13" t="str">
        <f>IF($B154="","",IF($C154="SIM", "&lt; INFRRAESTRUTURA &gt;", VLOOKUP($B154,Propostas!$B:$BE,41,FALSE)))</f>
        <v/>
      </c>
      <c r="K154" s="10" t="str">
        <f>IF($B154="","",  VLOOKUP($B154, Propostas!$B:$BE, 40, FALSE) )</f>
        <v/>
      </c>
      <c r="L154" s="10" t="str">
        <f>IF($B154="","",IF(VLOOKUP($B154,Propostas!$B:$BE,21,FALSE)=1,"B",IF(VLOOKUP($B154,Propostas!$B:$BE,21,FALSE)=2,"E","N")))</f>
        <v/>
      </c>
      <c r="M154" s="32" t="str">
        <f>IF($B154 = "", "",  VLOOKUP($B154, Propostas!$B:$BE, 46, FALSE) )</f>
        <v/>
      </c>
      <c r="N154" s="32" t="str">
        <f>IF($B154 = "", "",  VLOOKUP($B154, Propostas!$B:$BE, 47, FALSE) )</f>
        <v/>
      </c>
      <c r="O154" s="13" t="str">
        <f>IF($B154="","",IF($C154="SIM", "INFRAESTRUTURA", VLOOKUP($B154, Propostas!$B:$BE,42,FALSE)))</f>
        <v/>
      </c>
      <c r="P154" s="32" t="str">
        <f>IF($B154 = "", "",  VLOOKUP($B154, Propostas!$B:$BE, 49, FALSE) )</f>
        <v/>
      </c>
      <c r="Q154" s="13" t="str">
        <f>IF($B154="","",  VLOOKUP($B154, Propostas!$B:$BE, 39, FALSE) )</f>
        <v/>
      </c>
      <c r="R154" s="81" t="str">
        <f>IF($B154="","",  VLOOKUP($B154, Propostas!$B:$BE, 43, FALSE) )</f>
        <v/>
      </c>
      <c r="S154" s="81" t="str">
        <f>IF($B154="","",  VLOOKUP($B154, Propostas!$B:$BE, 44, FALSE) )</f>
        <v/>
      </c>
      <c r="T154" s="81" t="str">
        <f>IF($B154="","",  VLOOKUP($B154, Propostas!$B:$BE, 45, FALSE) )</f>
        <v/>
      </c>
      <c r="U154" s="32" t="str">
        <f>IF($B154="","",  VLOOKUP($B154, Propostas!$B:$BE, 37, FALSE) )</f>
        <v/>
      </c>
      <c r="V154" s="13" t="str">
        <f>IF($B154="","",  VLOOKUP($B154, Propostas!$B:$BE, 50, FALSE) )</f>
        <v/>
      </c>
      <c r="W154" s="13" t="str">
        <f>IF($B154="","",  VLOOKUP($B154, Propostas!$B:$BE, 51, FALSE) )</f>
        <v/>
      </c>
      <c r="X154" s="13" t="str">
        <f>IF($B154="","",  VLOOKUP($B154, Propostas!$B:$BE, 52, FALSE) )</f>
        <v/>
      </c>
      <c r="Y154" s="13" t="str">
        <f>IF($B154="","",  VLOOKUP($B154, Propostas!$B:$BE, 36, FALSE) )</f>
        <v/>
      </c>
      <c r="Z154" s="13" t="str">
        <f>IF($B154="","",  VLOOKUP($F154, VW_PROJETO!B:C, 2, FALSE) )</f>
        <v/>
      </c>
    </row>
    <row r="155" spans="2:26" x14ac:dyDescent="0.2">
      <c r="B155" s="2"/>
      <c r="C155" s="4" t="str">
        <f>IF($B155="","",  VLOOKUP($B155, Propostas!$B:$BE, 33, FALSE) )</f>
        <v/>
      </c>
      <c r="D155" s="4" t="str">
        <f>IF($B155="","",  VLOOKUP($B155, Propostas!$B:$BE, 34, FALSE) )</f>
        <v/>
      </c>
      <c r="E155" s="4" t="str">
        <f>IF($B155="","",  VLOOKUP($B155, Propostas!$B:$BE, 35, FALSE) )</f>
        <v/>
      </c>
      <c r="F155" s="4" t="str">
        <f>IF($B155="","",  VLOOKUP($B155, Propostas!$B:$BE, 2, FALSE) )</f>
        <v/>
      </c>
      <c r="G155" s="4" t="str">
        <f>IF($B155="","",  VLOOKUP($B155, Propostas!$B:$BE, 3, FALSE) )</f>
        <v/>
      </c>
      <c r="H155" s="4" t="str">
        <f>IF($B155="","",  VLOOKUP($B155, Propostas!$B:$BE, 4, FALSE) )</f>
        <v/>
      </c>
      <c r="I155" s="4" t="str">
        <f>IF($B155="","",  VLOOKUP($B155, Propostas!$B:$BE, 38, FALSE) )</f>
        <v/>
      </c>
      <c r="J155" s="13" t="str">
        <f>IF($B155="","",IF($C155="SIM", "&lt; INFRRAESTRUTURA &gt;", VLOOKUP($B155,Propostas!$B:$BE,41,FALSE)))</f>
        <v/>
      </c>
      <c r="K155" s="10" t="str">
        <f>IF($B155="","",  VLOOKUP($B155, Propostas!$B:$BE, 40, FALSE) )</f>
        <v/>
      </c>
      <c r="L155" s="10" t="str">
        <f>IF($B155="","",IF(VLOOKUP($B155,Propostas!$B:$BE,21,FALSE)=1,"B",IF(VLOOKUP($B155,Propostas!$B:$BE,21,FALSE)=2,"E","N")))</f>
        <v/>
      </c>
      <c r="M155" s="32" t="str">
        <f>IF($B155 = "", "",  VLOOKUP($B155, Propostas!$B:$BE, 46, FALSE) )</f>
        <v/>
      </c>
      <c r="N155" s="32" t="str">
        <f>IF($B155 = "", "",  VLOOKUP($B155, Propostas!$B:$BE, 47, FALSE) )</f>
        <v/>
      </c>
      <c r="O155" s="13" t="str">
        <f>IF($B155="","",IF($C155="SIM", "INFRAESTRUTURA", VLOOKUP($B155, Propostas!$B:$BE,42,FALSE)))</f>
        <v/>
      </c>
      <c r="P155" s="32" t="str">
        <f>IF($B155 = "", "",  VLOOKUP($B155, Propostas!$B:$BE, 49, FALSE) )</f>
        <v/>
      </c>
      <c r="Q155" s="13" t="str">
        <f>IF($B155="","",  VLOOKUP($B155, Propostas!$B:$BE, 39, FALSE) )</f>
        <v/>
      </c>
      <c r="R155" s="81" t="str">
        <f>IF($B155="","",  VLOOKUP($B155, Propostas!$B:$BE, 43, FALSE) )</f>
        <v/>
      </c>
      <c r="S155" s="81" t="str">
        <f>IF($B155="","",  VLOOKUP($B155, Propostas!$B:$BE, 44, FALSE) )</f>
        <v/>
      </c>
      <c r="T155" s="81" t="str">
        <f>IF($B155="","",  VLOOKUP($B155, Propostas!$B:$BE, 45, FALSE) )</f>
        <v/>
      </c>
      <c r="U155" s="32" t="str">
        <f>IF($B155="","",  VLOOKUP($B155, Propostas!$B:$BE, 37, FALSE) )</f>
        <v/>
      </c>
      <c r="V155" s="13" t="str">
        <f>IF($B155="","",  VLOOKUP($B155, Propostas!$B:$BE, 50, FALSE) )</f>
        <v/>
      </c>
      <c r="W155" s="13" t="str">
        <f>IF($B155="","",  VLOOKUP($B155, Propostas!$B:$BE, 51, FALSE) )</f>
        <v/>
      </c>
      <c r="X155" s="13" t="str">
        <f>IF($B155="","",  VLOOKUP($B155, Propostas!$B:$BE, 52, FALSE) )</f>
        <v/>
      </c>
      <c r="Y155" s="13" t="str">
        <f>IF($B155="","",  VLOOKUP($B155, Propostas!$B:$BE, 36, FALSE) )</f>
        <v/>
      </c>
      <c r="Z155" s="13" t="str">
        <f>IF($B155="","",  VLOOKUP($F155, VW_PROJETO!B:C, 2, FALSE) )</f>
        <v/>
      </c>
    </row>
    <row r="156" spans="2:26" x14ac:dyDescent="0.2">
      <c r="B156" s="2"/>
      <c r="C156" s="4" t="str">
        <f>IF($B156="","",  VLOOKUP($B156, Propostas!$B:$BE, 33, FALSE) )</f>
        <v/>
      </c>
      <c r="D156" s="4" t="str">
        <f>IF($B156="","",  VLOOKUP($B156, Propostas!$B:$BE, 34, FALSE) )</f>
        <v/>
      </c>
      <c r="E156" s="4" t="str">
        <f>IF($B156="","",  VLOOKUP($B156, Propostas!$B:$BE, 35, FALSE) )</f>
        <v/>
      </c>
      <c r="F156" s="4" t="str">
        <f>IF($B156="","",  VLOOKUP($B156, Propostas!$B:$BE, 2, FALSE) )</f>
        <v/>
      </c>
      <c r="G156" s="4" t="str">
        <f>IF($B156="","",  VLOOKUP($B156, Propostas!$B:$BE, 3, FALSE) )</f>
        <v/>
      </c>
      <c r="H156" s="4" t="str">
        <f>IF($B156="","",  VLOOKUP($B156, Propostas!$B:$BE, 4, FALSE) )</f>
        <v/>
      </c>
      <c r="I156" s="4" t="str">
        <f>IF($B156="","",  VLOOKUP($B156, Propostas!$B:$BE, 38, FALSE) )</f>
        <v/>
      </c>
      <c r="J156" s="13" t="str">
        <f>IF($B156="","",IF($C156="SIM", "&lt; INFRRAESTRUTURA &gt;", VLOOKUP($B156,Propostas!$B:$BE,41,FALSE)))</f>
        <v/>
      </c>
      <c r="K156" s="10" t="str">
        <f>IF($B156="","",  VLOOKUP($B156, Propostas!$B:$BE, 40, FALSE) )</f>
        <v/>
      </c>
      <c r="L156" s="10" t="str">
        <f>IF($B156="","",IF(VLOOKUP($B156,Propostas!$B:$BE,21,FALSE)=1,"B",IF(VLOOKUP($B156,Propostas!$B:$BE,21,FALSE)=2,"E","N")))</f>
        <v/>
      </c>
      <c r="M156" s="32" t="str">
        <f>IF($B156 = "", "",  VLOOKUP($B156, Propostas!$B:$BE, 46, FALSE) )</f>
        <v/>
      </c>
      <c r="N156" s="32" t="str">
        <f>IF($B156 = "", "",  VLOOKUP($B156, Propostas!$B:$BE, 47, FALSE) )</f>
        <v/>
      </c>
      <c r="O156" s="13" t="str">
        <f>IF($B156="","",IF($C156="SIM", "INFRAESTRUTURA", VLOOKUP($B156, Propostas!$B:$BE,42,FALSE)))</f>
        <v/>
      </c>
      <c r="P156" s="32" t="str">
        <f>IF($B156 = "", "",  VLOOKUP($B156, Propostas!$B:$BE, 49, FALSE) )</f>
        <v/>
      </c>
      <c r="Q156" s="13" t="str">
        <f>IF($B156="","",  VLOOKUP($B156, Propostas!$B:$BE, 39, FALSE) )</f>
        <v/>
      </c>
      <c r="R156" s="81" t="str">
        <f>IF($B156="","",  VLOOKUP($B156, Propostas!$B:$BE, 43, FALSE) )</f>
        <v/>
      </c>
      <c r="S156" s="81" t="str">
        <f>IF($B156="","",  VLOOKUP($B156, Propostas!$B:$BE, 44, FALSE) )</f>
        <v/>
      </c>
      <c r="T156" s="81" t="str">
        <f>IF($B156="","",  VLOOKUP($B156, Propostas!$B:$BE, 45, FALSE) )</f>
        <v/>
      </c>
      <c r="U156" s="32" t="str">
        <f>IF($B156="","",  VLOOKUP($B156, Propostas!$B:$BE, 37, FALSE) )</f>
        <v/>
      </c>
      <c r="V156" s="13" t="str">
        <f>IF($B156="","",  VLOOKUP($B156, Propostas!$B:$BE, 50, FALSE) )</f>
        <v/>
      </c>
      <c r="W156" s="13" t="str">
        <f>IF($B156="","",  VLOOKUP($B156, Propostas!$B:$BE, 51, FALSE) )</f>
        <v/>
      </c>
      <c r="X156" s="13" t="str">
        <f>IF($B156="","",  VLOOKUP($B156, Propostas!$B:$BE, 52, FALSE) )</f>
        <v/>
      </c>
      <c r="Y156" s="13" t="str">
        <f>IF($B156="","",  VLOOKUP($B156, Propostas!$B:$BE, 36, FALSE) )</f>
        <v/>
      </c>
      <c r="Z156" s="13" t="str">
        <f>IF($B156="","",  VLOOKUP($F156, VW_PROJETO!B:C, 2, FALSE) )</f>
        <v/>
      </c>
    </row>
    <row r="157" spans="2:26" x14ac:dyDescent="0.2">
      <c r="B157" s="2"/>
      <c r="C157" s="4" t="str">
        <f>IF($B157="","",  VLOOKUP($B157, Propostas!$B:$BE, 33, FALSE) )</f>
        <v/>
      </c>
      <c r="D157" s="4" t="str">
        <f>IF($B157="","",  VLOOKUP($B157, Propostas!$B:$BE, 34, FALSE) )</f>
        <v/>
      </c>
      <c r="E157" s="4" t="str">
        <f>IF($B157="","",  VLOOKUP($B157, Propostas!$B:$BE, 35, FALSE) )</f>
        <v/>
      </c>
      <c r="F157" s="4" t="str">
        <f>IF($B157="","",  VLOOKUP($B157, Propostas!$B:$BE, 2, FALSE) )</f>
        <v/>
      </c>
      <c r="G157" s="4" t="str">
        <f>IF($B157="","",  VLOOKUP($B157, Propostas!$B:$BE, 3, FALSE) )</f>
        <v/>
      </c>
      <c r="H157" s="4" t="str">
        <f>IF($B157="","",  VLOOKUP($B157, Propostas!$B:$BE, 4, FALSE) )</f>
        <v/>
      </c>
      <c r="I157" s="4" t="str">
        <f>IF($B157="","",  VLOOKUP($B157, Propostas!$B:$BE, 38, FALSE) )</f>
        <v/>
      </c>
      <c r="J157" s="13" t="str">
        <f>IF($B157="","",IF($C157="SIM", "&lt; INFRRAESTRUTURA &gt;", VLOOKUP($B157,Propostas!$B:$BE,41,FALSE)))</f>
        <v/>
      </c>
      <c r="K157" s="10" t="str">
        <f>IF($B157="","",  VLOOKUP($B157, Propostas!$B:$BE, 40, FALSE) )</f>
        <v/>
      </c>
      <c r="L157" s="10" t="str">
        <f>IF($B157="","",IF(VLOOKUP($B157,Propostas!$B:$BE,21,FALSE)=1,"B",IF(VLOOKUP($B157,Propostas!$B:$BE,21,FALSE)=2,"E","N")))</f>
        <v/>
      </c>
      <c r="M157" s="32" t="str">
        <f>IF($B157 = "", "",  VLOOKUP($B157, Propostas!$B:$BE, 46, FALSE) )</f>
        <v/>
      </c>
      <c r="N157" s="32" t="str">
        <f>IF($B157 = "", "",  VLOOKUP($B157, Propostas!$B:$BE, 47, FALSE) )</f>
        <v/>
      </c>
      <c r="O157" s="13" t="str">
        <f>IF($B157="","",IF($C157="SIM", "INFRAESTRUTURA", VLOOKUP($B157, Propostas!$B:$BE,42,FALSE)))</f>
        <v/>
      </c>
      <c r="P157" s="32" t="str">
        <f>IF($B157 = "", "",  VLOOKUP($B157, Propostas!$B:$BE, 49, FALSE) )</f>
        <v/>
      </c>
      <c r="Q157" s="13" t="str">
        <f>IF($B157="","",  VLOOKUP($B157, Propostas!$B:$BE, 39, FALSE) )</f>
        <v/>
      </c>
      <c r="R157" s="81" t="str">
        <f>IF($B157="","",  VLOOKUP($B157, Propostas!$B:$BE, 43, FALSE) )</f>
        <v/>
      </c>
      <c r="S157" s="81" t="str">
        <f>IF($B157="","",  VLOOKUP($B157, Propostas!$B:$BE, 44, FALSE) )</f>
        <v/>
      </c>
      <c r="T157" s="81" t="str">
        <f>IF($B157="","",  VLOOKUP($B157, Propostas!$B:$BE, 45, FALSE) )</f>
        <v/>
      </c>
      <c r="U157" s="32" t="str">
        <f>IF($B157="","",  VLOOKUP($B157, Propostas!$B:$BE, 37, FALSE) )</f>
        <v/>
      </c>
      <c r="V157" s="13" t="str">
        <f>IF($B157="","",  VLOOKUP($B157, Propostas!$B:$BE, 50, FALSE) )</f>
        <v/>
      </c>
      <c r="W157" s="13" t="str">
        <f>IF($B157="","",  VLOOKUP($B157, Propostas!$B:$BE, 51, FALSE) )</f>
        <v/>
      </c>
      <c r="X157" s="13" t="str">
        <f>IF($B157="","",  VLOOKUP($B157, Propostas!$B:$BE, 52, FALSE) )</f>
        <v/>
      </c>
      <c r="Y157" s="13" t="str">
        <f>IF($B157="","",  VLOOKUP($B157, Propostas!$B:$BE, 36, FALSE) )</f>
        <v/>
      </c>
      <c r="Z157" s="13" t="str">
        <f>IF($B157="","",  VLOOKUP($F157, VW_PROJETO!B:C, 2, FALSE) )</f>
        <v/>
      </c>
    </row>
    <row r="158" spans="2:26" x14ac:dyDescent="0.2">
      <c r="B158" s="2"/>
      <c r="C158" s="4" t="str">
        <f>IF($B158="","",  VLOOKUP($B158, Propostas!$B:$BE, 33, FALSE) )</f>
        <v/>
      </c>
      <c r="D158" s="4" t="str">
        <f>IF($B158="","",  VLOOKUP($B158, Propostas!$B:$BE, 34, FALSE) )</f>
        <v/>
      </c>
      <c r="E158" s="4" t="str">
        <f>IF($B158="","",  VLOOKUP($B158, Propostas!$B:$BE, 35, FALSE) )</f>
        <v/>
      </c>
      <c r="F158" s="4" t="str">
        <f>IF($B158="","",  VLOOKUP($B158, Propostas!$B:$BE, 2, FALSE) )</f>
        <v/>
      </c>
      <c r="G158" s="4" t="str">
        <f>IF($B158="","",  VLOOKUP($B158, Propostas!$B:$BE, 3, FALSE) )</f>
        <v/>
      </c>
      <c r="H158" s="4" t="str">
        <f>IF($B158="","",  VLOOKUP($B158, Propostas!$B:$BE, 4, FALSE) )</f>
        <v/>
      </c>
      <c r="I158" s="4" t="str">
        <f>IF($B158="","",  VLOOKUP($B158, Propostas!$B:$BE, 38, FALSE) )</f>
        <v/>
      </c>
      <c r="J158" s="13" t="str">
        <f>IF($B158="","",IF($C158="SIM", "&lt; INFRRAESTRUTURA &gt;", VLOOKUP($B158,Propostas!$B:$BE,41,FALSE)))</f>
        <v/>
      </c>
      <c r="K158" s="10" t="str">
        <f>IF($B158="","",  VLOOKUP($B158, Propostas!$B:$BE, 40, FALSE) )</f>
        <v/>
      </c>
      <c r="L158" s="10" t="str">
        <f>IF($B158="","",IF(VLOOKUP($B158,Propostas!$B:$BE,21,FALSE)=1,"B",IF(VLOOKUP($B158,Propostas!$B:$BE,21,FALSE)=2,"E","N")))</f>
        <v/>
      </c>
      <c r="M158" s="32" t="str">
        <f>IF($B158 = "", "",  VLOOKUP($B158, Propostas!$B:$BE, 46, FALSE) )</f>
        <v/>
      </c>
      <c r="N158" s="32" t="str">
        <f>IF($B158 = "", "",  VLOOKUP($B158, Propostas!$B:$BE, 47, FALSE) )</f>
        <v/>
      </c>
      <c r="O158" s="13" t="str">
        <f>IF($B158="","",IF($C158="SIM", "INFRAESTRUTURA", VLOOKUP($B158, Propostas!$B:$BE,42,FALSE)))</f>
        <v/>
      </c>
      <c r="P158" s="32" t="str">
        <f>IF($B158 = "", "",  VLOOKUP($B158, Propostas!$B:$BE, 49, FALSE) )</f>
        <v/>
      </c>
      <c r="Q158" s="13" t="str">
        <f>IF($B158="","",  VLOOKUP($B158, Propostas!$B:$BE, 39, FALSE) )</f>
        <v/>
      </c>
      <c r="R158" s="81" t="str">
        <f>IF($B158="","",  VLOOKUP($B158, Propostas!$B:$BE, 43, FALSE) )</f>
        <v/>
      </c>
      <c r="S158" s="81" t="str">
        <f>IF($B158="","",  VLOOKUP($B158, Propostas!$B:$BE, 44, FALSE) )</f>
        <v/>
      </c>
      <c r="T158" s="81" t="str">
        <f>IF($B158="","",  VLOOKUP($B158, Propostas!$B:$BE, 45, FALSE) )</f>
        <v/>
      </c>
      <c r="U158" s="32" t="str">
        <f>IF($B158="","",  VLOOKUP($B158, Propostas!$B:$BE, 37, FALSE) )</f>
        <v/>
      </c>
      <c r="V158" s="13" t="str">
        <f>IF($B158="","",  VLOOKUP($B158, Propostas!$B:$BE, 50, FALSE) )</f>
        <v/>
      </c>
      <c r="W158" s="13" t="str">
        <f>IF($B158="","",  VLOOKUP($B158, Propostas!$B:$BE, 51, FALSE) )</f>
        <v/>
      </c>
      <c r="X158" s="13" t="str">
        <f>IF($B158="","",  VLOOKUP($B158, Propostas!$B:$BE, 52, FALSE) )</f>
        <v/>
      </c>
      <c r="Y158" s="13" t="str">
        <f>IF($B158="","",  VLOOKUP($B158, Propostas!$B:$BE, 36, FALSE) )</f>
        <v/>
      </c>
      <c r="Z158" s="13" t="str">
        <f>IF($B158="","",  VLOOKUP($F158, VW_PROJETO!B:C, 2, FALSE) )</f>
        <v/>
      </c>
    </row>
    <row r="159" spans="2:26" x14ac:dyDescent="0.2">
      <c r="B159" s="2"/>
      <c r="C159" s="4" t="str">
        <f>IF($B159="","",  VLOOKUP($B159, Propostas!$B:$BE, 33, FALSE) )</f>
        <v/>
      </c>
      <c r="D159" s="4" t="str">
        <f>IF($B159="","",  VLOOKUP($B159, Propostas!$B:$BE, 34, FALSE) )</f>
        <v/>
      </c>
      <c r="E159" s="4" t="str">
        <f>IF($B159="","",  VLOOKUP($B159, Propostas!$B:$BE, 35, FALSE) )</f>
        <v/>
      </c>
      <c r="F159" s="4" t="str">
        <f>IF($B159="","",  VLOOKUP($B159, Propostas!$B:$BE, 2, FALSE) )</f>
        <v/>
      </c>
      <c r="G159" s="4" t="str">
        <f>IF($B159="","",  VLOOKUP($B159, Propostas!$B:$BE, 3, FALSE) )</f>
        <v/>
      </c>
      <c r="H159" s="4" t="str">
        <f>IF($B159="","",  VLOOKUP($B159, Propostas!$B:$BE, 4, FALSE) )</f>
        <v/>
      </c>
      <c r="I159" s="4" t="str">
        <f>IF($B159="","",  VLOOKUP($B159, Propostas!$B:$BE, 38, FALSE) )</f>
        <v/>
      </c>
      <c r="J159" s="13" t="str">
        <f>IF($B159="","",IF($C159="SIM", "&lt; INFRRAESTRUTURA &gt;", VLOOKUP($B159,Propostas!$B:$BE,41,FALSE)))</f>
        <v/>
      </c>
      <c r="K159" s="10" t="str">
        <f>IF($B159="","",  VLOOKUP($B159, Propostas!$B:$BE, 40, FALSE) )</f>
        <v/>
      </c>
      <c r="L159" s="10" t="str">
        <f>IF($B159="","",IF(VLOOKUP($B159,Propostas!$B:$BE,21,FALSE)=1,"B",IF(VLOOKUP($B159,Propostas!$B:$BE,21,FALSE)=2,"E","N")))</f>
        <v/>
      </c>
      <c r="M159" s="32" t="str">
        <f>IF($B159 = "", "",  VLOOKUP($B159, Propostas!$B:$BE, 46, FALSE) )</f>
        <v/>
      </c>
      <c r="N159" s="32" t="str">
        <f>IF($B159 = "", "",  VLOOKUP($B159, Propostas!$B:$BE, 47, FALSE) )</f>
        <v/>
      </c>
      <c r="O159" s="13" t="str">
        <f>IF($B159="","",IF($C159="SIM", "INFRAESTRUTURA", VLOOKUP($B159, Propostas!$B:$BE,42,FALSE)))</f>
        <v/>
      </c>
      <c r="P159" s="32" t="str">
        <f>IF($B159 = "", "",  VLOOKUP($B159, Propostas!$B:$BE, 49, FALSE) )</f>
        <v/>
      </c>
      <c r="Q159" s="13" t="str">
        <f>IF($B159="","",  VLOOKUP($B159, Propostas!$B:$BE, 39, FALSE) )</f>
        <v/>
      </c>
      <c r="R159" s="81" t="str">
        <f>IF($B159="","",  VLOOKUP($B159, Propostas!$B:$BE, 43, FALSE) )</f>
        <v/>
      </c>
      <c r="S159" s="81" t="str">
        <f>IF($B159="","",  VLOOKUP($B159, Propostas!$B:$BE, 44, FALSE) )</f>
        <v/>
      </c>
      <c r="T159" s="81" t="str">
        <f>IF($B159="","",  VLOOKUP($B159, Propostas!$B:$BE, 45, FALSE) )</f>
        <v/>
      </c>
      <c r="U159" s="32" t="str">
        <f>IF($B159="","",  VLOOKUP($B159, Propostas!$B:$BE, 37, FALSE) )</f>
        <v/>
      </c>
      <c r="V159" s="13" t="str">
        <f>IF($B159="","",  VLOOKUP($B159, Propostas!$B:$BE, 50, FALSE) )</f>
        <v/>
      </c>
      <c r="W159" s="13" t="str">
        <f>IF($B159="","",  VLOOKUP($B159, Propostas!$B:$BE, 51, FALSE) )</f>
        <v/>
      </c>
      <c r="X159" s="13" t="str">
        <f>IF($B159="","",  VLOOKUP($B159, Propostas!$B:$BE, 52, FALSE) )</f>
        <v/>
      </c>
      <c r="Y159" s="13" t="str">
        <f>IF($B159="","",  VLOOKUP($B159, Propostas!$B:$BE, 36, FALSE) )</f>
        <v/>
      </c>
      <c r="Z159" s="13" t="str">
        <f>IF($B159="","",  VLOOKUP($F159, VW_PROJETO!B:C, 2, FALSE) )</f>
        <v/>
      </c>
    </row>
    <row r="160" spans="2:26" x14ac:dyDescent="0.2">
      <c r="B160" s="2"/>
      <c r="C160" s="4" t="str">
        <f>IF($B160="","",  VLOOKUP($B160, Propostas!$B:$BE, 33, FALSE) )</f>
        <v/>
      </c>
      <c r="D160" s="4" t="str">
        <f>IF($B160="","",  VLOOKUP($B160, Propostas!$B:$BE, 34, FALSE) )</f>
        <v/>
      </c>
      <c r="E160" s="4" t="str">
        <f>IF($B160="","",  VLOOKUP($B160, Propostas!$B:$BE, 35, FALSE) )</f>
        <v/>
      </c>
      <c r="F160" s="4" t="str">
        <f>IF($B160="","",  VLOOKUP($B160, Propostas!$B:$BE, 2, FALSE) )</f>
        <v/>
      </c>
      <c r="G160" s="4" t="str">
        <f>IF($B160="","",  VLOOKUP($B160, Propostas!$B:$BE, 3, FALSE) )</f>
        <v/>
      </c>
      <c r="H160" s="4" t="str">
        <f>IF($B160="","",  VLOOKUP($B160, Propostas!$B:$BE, 4, FALSE) )</f>
        <v/>
      </c>
      <c r="I160" s="4" t="str">
        <f>IF($B160="","",  VLOOKUP($B160, Propostas!$B:$BE, 38, FALSE) )</f>
        <v/>
      </c>
      <c r="J160" s="13" t="str">
        <f>IF($B160="","",IF($C160="SIM", "&lt; INFRRAESTRUTURA &gt;", VLOOKUP($B160,Propostas!$B:$BE,41,FALSE)))</f>
        <v/>
      </c>
      <c r="K160" s="10" t="str">
        <f>IF($B160="","",  VLOOKUP($B160, Propostas!$B:$BE, 40, FALSE) )</f>
        <v/>
      </c>
      <c r="L160" s="10" t="str">
        <f>IF($B160="","",IF(VLOOKUP($B160,Propostas!$B:$BE,21,FALSE)=1,"B",IF(VLOOKUP($B160,Propostas!$B:$BE,21,FALSE)=2,"E","N")))</f>
        <v/>
      </c>
      <c r="M160" s="32" t="str">
        <f>IF($B160 = "", "",  VLOOKUP($B160, Propostas!$B:$BE, 46, FALSE) )</f>
        <v/>
      </c>
      <c r="N160" s="32" t="str">
        <f>IF($B160 = "", "",  VLOOKUP($B160, Propostas!$B:$BE, 47, FALSE) )</f>
        <v/>
      </c>
      <c r="O160" s="13" t="str">
        <f>IF($B160="","",IF($C160="SIM", "INFRAESTRUTURA", VLOOKUP($B160, Propostas!$B:$BE,42,FALSE)))</f>
        <v/>
      </c>
      <c r="P160" s="32" t="str">
        <f>IF($B160 = "", "",  VLOOKUP($B160, Propostas!$B:$BE, 49, FALSE) )</f>
        <v/>
      </c>
      <c r="Q160" s="13" t="str">
        <f>IF($B160="","",  VLOOKUP($B160, Propostas!$B:$BE, 39, FALSE) )</f>
        <v/>
      </c>
      <c r="R160" s="81" t="str">
        <f>IF($B160="","",  VLOOKUP($B160, Propostas!$B:$BE, 43, FALSE) )</f>
        <v/>
      </c>
      <c r="S160" s="81" t="str">
        <f>IF($B160="","",  VLOOKUP($B160, Propostas!$B:$BE, 44, FALSE) )</f>
        <v/>
      </c>
      <c r="T160" s="81" t="str">
        <f>IF($B160="","",  VLOOKUP($B160, Propostas!$B:$BE, 45, FALSE) )</f>
        <v/>
      </c>
      <c r="U160" s="32" t="str">
        <f>IF($B160="","",  VLOOKUP($B160, Propostas!$B:$BE, 37, FALSE) )</f>
        <v/>
      </c>
      <c r="V160" s="13" t="str">
        <f>IF($B160="","",  VLOOKUP($B160, Propostas!$B:$BE, 50, FALSE) )</f>
        <v/>
      </c>
      <c r="W160" s="13" t="str">
        <f>IF($B160="","",  VLOOKUP($B160, Propostas!$B:$BE, 51, FALSE) )</f>
        <v/>
      </c>
      <c r="X160" s="13" t="str">
        <f>IF($B160="","",  VLOOKUP($B160, Propostas!$B:$BE, 52, FALSE) )</f>
        <v/>
      </c>
      <c r="Y160" s="13" t="str">
        <f>IF($B160="","",  VLOOKUP($B160, Propostas!$B:$BE, 36, FALSE) )</f>
        <v/>
      </c>
      <c r="Z160" s="13" t="str">
        <f>IF($B160="","",  VLOOKUP($F160, VW_PROJETO!B:C, 2, FALSE) )</f>
        <v/>
      </c>
    </row>
    <row r="161" spans="2:26" x14ac:dyDescent="0.2">
      <c r="B161" s="2"/>
      <c r="C161" s="4" t="str">
        <f>IF($B161="","",  VLOOKUP($B161, Propostas!$B:$BE, 33, FALSE) )</f>
        <v/>
      </c>
      <c r="D161" s="4" t="str">
        <f>IF($B161="","",  VLOOKUP($B161, Propostas!$B:$BE, 34, FALSE) )</f>
        <v/>
      </c>
      <c r="E161" s="4" t="str">
        <f>IF($B161="","",  VLOOKUP($B161, Propostas!$B:$BE, 35, FALSE) )</f>
        <v/>
      </c>
      <c r="F161" s="4" t="str">
        <f>IF($B161="","",  VLOOKUP($B161, Propostas!$B:$BE, 2, FALSE) )</f>
        <v/>
      </c>
      <c r="G161" s="4" t="str">
        <f>IF($B161="","",  VLOOKUP($B161, Propostas!$B:$BE, 3, FALSE) )</f>
        <v/>
      </c>
      <c r="H161" s="4" t="str">
        <f>IF($B161="","",  VLOOKUP($B161, Propostas!$B:$BE, 4, FALSE) )</f>
        <v/>
      </c>
      <c r="I161" s="4" t="str">
        <f>IF($B161="","",  VLOOKUP($B161, Propostas!$B:$BE, 38, FALSE) )</f>
        <v/>
      </c>
      <c r="J161" s="13" t="str">
        <f>IF($B161="","",IF($C161="SIM", "&lt; INFRRAESTRUTURA &gt;", VLOOKUP($B161,Propostas!$B:$BE,41,FALSE)))</f>
        <v/>
      </c>
      <c r="K161" s="10" t="str">
        <f>IF($B161="","",  VLOOKUP($B161, Propostas!$B:$BE, 40, FALSE) )</f>
        <v/>
      </c>
      <c r="L161" s="10" t="str">
        <f>IF($B161="","",IF(VLOOKUP($B161,Propostas!$B:$BE,21,FALSE)=1,"B",IF(VLOOKUP($B161,Propostas!$B:$BE,21,FALSE)=2,"E","N")))</f>
        <v/>
      </c>
      <c r="M161" s="32" t="str">
        <f>IF($B161 = "", "",  VLOOKUP($B161, Propostas!$B:$BE, 46, FALSE) )</f>
        <v/>
      </c>
      <c r="N161" s="32" t="str">
        <f>IF($B161 = "", "",  VLOOKUP($B161, Propostas!$B:$BE, 47, FALSE) )</f>
        <v/>
      </c>
      <c r="O161" s="13" t="str">
        <f>IF($B161="","",IF($C161="SIM", "INFRAESTRUTURA", VLOOKUP($B161, Propostas!$B:$BE,42,FALSE)))</f>
        <v/>
      </c>
      <c r="P161" s="32" t="str">
        <f>IF($B161 = "", "",  VLOOKUP($B161, Propostas!$B:$BE, 49, FALSE) )</f>
        <v/>
      </c>
      <c r="Q161" s="13" t="str">
        <f>IF($B161="","",  VLOOKUP($B161, Propostas!$B:$BE, 39, FALSE) )</f>
        <v/>
      </c>
      <c r="R161" s="81" t="str">
        <f>IF($B161="","",  VLOOKUP($B161, Propostas!$B:$BE, 43, FALSE) )</f>
        <v/>
      </c>
      <c r="S161" s="81" t="str">
        <f>IF($B161="","",  VLOOKUP($B161, Propostas!$B:$BE, 44, FALSE) )</f>
        <v/>
      </c>
      <c r="T161" s="81" t="str">
        <f>IF($B161="","",  VLOOKUP($B161, Propostas!$B:$BE, 45, FALSE) )</f>
        <v/>
      </c>
      <c r="U161" s="32" t="str">
        <f>IF($B161="","",  VLOOKUP($B161, Propostas!$B:$BE, 37, FALSE) )</f>
        <v/>
      </c>
      <c r="V161" s="13" t="str">
        <f>IF($B161="","",  VLOOKUP($B161, Propostas!$B:$BE, 50, FALSE) )</f>
        <v/>
      </c>
      <c r="W161" s="13" t="str">
        <f>IF($B161="","",  VLOOKUP($B161, Propostas!$B:$BE, 51, FALSE) )</f>
        <v/>
      </c>
      <c r="X161" s="13" t="str">
        <f>IF($B161="","",  VLOOKUP($B161, Propostas!$B:$BE, 52, FALSE) )</f>
        <v/>
      </c>
      <c r="Y161" s="13" t="str">
        <f>IF($B161="","",  VLOOKUP($B161, Propostas!$B:$BE, 36, FALSE) )</f>
        <v/>
      </c>
      <c r="Z161" s="13" t="str">
        <f>IF($B161="","",  VLOOKUP($F161, VW_PROJETO!B:C, 2, FALSE) )</f>
        <v/>
      </c>
    </row>
    <row r="162" spans="2:26" x14ac:dyDescent="0.2">
      <c r="B162" s="2"/>
      <c r="C162" s="4" t="str">
        <f>IF($B162="","",  VLOOKUP($B162, Propostas!$B:$BE, 33, FALSE) )</f>
        <v/>
      </c>
      <c r="D162" s="4" t="str">
        <f>IF($B162="","",  VLOOKUP($B162, Propostas!$B:$BE, 34, FALSE) )</f>
        <v/>
      </c>
      <c r="E162" s="4" t="str">
        <f>IF($B162="","",  VLOOKUP($B162, Propostas!$B:$BE, 35, FALSE) )</f>
        <v/>
      </c>
      <c r="F162" s="4" t="str">
        <f>IF($B162="","",  VLOOKUP($B162, Propostas!$B:$BE, 2, FALSE) )</f>
        <v/>
      </c>
      <c r="G162" s="4" t="str">
        <f>IF($B162="","",  VLOOKUP($B162, Propostas!$B:$BE, 3, FALSE) )</f>
        <v/>
      </c>
      <c r="H162" s="4" t="str">
        <f>IF($B162="","",  VLOOKUP($B162, Propostas!$B:$BE, 4, FALSE) )</f>
        <v/>
      </c>
      <c r="I162" s="4" t="str">
        <f>IF($B162="","",  VLOOKUP($B162, Propostas!$B:$BE, 38, FALSE) )</f>
        <v/>
      </c>
      <c r="J162" s="13" t="str">
        <f>IF($B162="","",IF($C162="SIM", "&lt; INFRRAESTRUTURA &gt;", VLOOKUP($B162,Propostas!$B:$BE,41,FALSE)))</f>
        <v/>
      </c>
      <c r="K162" s="10" t="str">
        <f>IF($B162="","",  VLOOKUP($B162, Propostas!$B:$BE, 40, FALSE) )</f>
        <v/>
      </c>
      <c r="L162" s="10" t="str">
        <f>IF($B162="","",IF(VLOOKUP($B162,Propostas!$B:$BE,21,FALSE)=1,"B",IF(VLOOKUP($B162,Propostas!$B:$BE,21,FALSE)=2,"E","N")))</f>
        <v/>
      </c>
      <c r="M162" s="32" t="str">
        <f>IF($B162 = "", "",  VLOOKUP($B162, Propostas!$B:$BE, 46, FALSE) )</f>
        <v/>
      </c>
      <c r="N162" s="32" t="str">
        <f>IF($B162 = "", "",  VLOOKUP($B162, Propostas!$B:$BE, 47, FALSE) )</f>
        <v/>
      </c>
      <c r="O162" s="13" t="str">
        <f>IF($B162="","",IF($C162="SIM", "INFRAESTRUTURA", VLOOKUP($B162, Propostas!$B:$BE,42,FALSE)))</f>
        <v/>
      </c>
      <c r="P162" s="32" t="str">
        <f>IF($B162 = "", "",  VLOOKUP($B162, Propostas!$B:$BE, 49, FALSE) )</f>
        <v/>
      </c>
      <c r="Q162" s="13" t="str">
        <f>IF($B162="","",  VLOOKUP($B162, Propostas!$B:$BE, 39, FALSE) )</f>
        <v/>
      </c>
      <c r="R162" s="81" t="str">
        <f>IF($B162="","",  VLOOKUP($B162, Propostas!$B:$BE, 43, FALSE) )</f>
        <v/>
      </c>
      <c r="S162" s="81" t="str">
        <f>IF($B162="","",  VLOOKUP($B162, Propostas!$B:$BE, 44, FALSE) )</f>
        <v/>
      </c>
      <c r="T162" s="81" t="str">
        <f>IF($B162="","",  VLOOKUP($B162, Propostas!$B:$BE, 45, FALSE) )</f>
        <v/>
      </c>
      <c r="U162" s="32" t="str">
        <f>IF($B162="","",  VLOOKUP($B162, Propostas!$B:$BE, 37, FALSE) )</f>
        <v/>
      </c>
      <c r="V162" s="13" t="str">
        <f>IF($B162="","",  VLOOKUP($B162, Propostas!$B:$BE, 50, FALSE) )</f>
        <v/>
      </c>
      <c r="W162" s="13" t="str">
        <f>IF($B162="","",  VLOOKUP($B162, Propostas!$B:$BE, 51, FALSE) )</f>
        <v/>
      </c>
      <c r="X162" s="13" t="str">
        <f>IF($B162="","",  VLOOKUP($B162, Propostas!$B:$BE, 52, FALSE) )</f>
        <v/>
      </c>
      <c r="Y162" s="13" t="str">
        <f>IF($B162="","",  VLOOKUP($B162, Propostas!$B:$BE, 36, FALSE) )</f>
        <v/>
      </c>
      <c r="Z162" s="13" t="str">
        <f>IF($B162="","",  VLOOKUP($F162, VW_PROJETO!B:C, 2, FALSE) )</f>
        <v/>
      </c>
    </row>
    <row r="163" spans="2:26" x14ac:dyDescent="0.2">
      <c r="B163" s="2"/>
      <c r="C163" s="4" t="str">
        <f>IF($B163="","",  VLOOKUP($B163, Propostas!$B:$BE, 33, FALSE) )</f>
        <v/>
      </c>
      <c r="D163" s="4" t="str">
        <f>IF($B163="","",  VLOOKUP($B163, Propostas!$B:$BE, 34, FALSE) )</f>
        <v/>
      </c>
      <c r="E163" s="4" t="str">
        <f>IF($B163="","",  VLOOKUP($B163, Propostas!$B:$BE, 35, FALSE) )</f>
        <v/>
      </c>
      <c r="F163" s="4" t="str">
        <f>IF($B163="","",  VLOOKUP($B163, Propostas!$B:$BE, 2, FALSE) )</f>
        <v/>
      </c>
      <c r="G163" s="4" t="str">
        <f>IF($B163="","",  VLOOKUP($B163, Propostas!$B:$BE, 3, FALSE) )</f>
        <v/>
      </c>
      <c r="H163" s="4" t="str">
        <f>IF($B163="","",  VLOOKUP($B163, Propostas!$B:$BE, 4, FALSE) )</f>
        <v/>
      </c>
      <c r="I163" s="4" t="str">
        <f>IF($B163="","",  VLOOKUP($B163, Propostas!$B:$BE, 38, FALSE) )</f>
        <v/>
      </c>
      <c r="J163" s="13" t="str">
        <f>IF($B163="","",IF($C163="SIM", "&lt; INFRRAESTRUTURA &gt;", VLOOKUP($B163,Propostas!$B:$BE,41,FALSE)))</f>
        <v/>
      </c>
      <c r="K163" s="10" t="str">
        <f>IF($B163="","",  VLOOKUP($B163, Propostas!$B:$BE, 40, FALSE) )</f>
        <v/>
      </c>
      <c r="L163" s="10" t="str">
        <f>IF($B163="","",IF(VLOOKUP($B163,Propostas!$B:$BE,21,FALSE)=1,"B",IF(VLOOKUP($B163,Propostas!$B:$BE,21,FALSE)=2,"E","N")))</f>
        <v/>
      </c>
      <c r="M163" s="32" t="str">
        <f>IF($B163 = "", "",  VLOOKUP($B163, Propostas!$B:$BE, 46, FALSE) )</f>
        <v/>
      </c>
      <c r="N163" s="32" t="str">
        <f>IF($B163 = "", "",  VLOOKUP($B163, Propostas!$B:$BE, 47, FALSE) )</f>
        <v/>
      </c>
      <c r="O163" s="13" t="str">
        <f>IF($B163="","",IF($C163="SIM", "INFRAESTRUTURA", VLOOKUP($B163, Propostas!$B:$BE,42,FALSE)))</f>
        <v/>
      </c>
      <c r="P163" s="32" t="str">
        <f>IF($B163 = "", "",  VLOOKUP($B163, Propostas!$B:$BE, 49, FALSE) )</f>
        <v/>
      </c>
      <c r="Q163" s="13" t="str">
        <f>IF($B163="","",  VLOOKUP($B163, Propostas!$B:$BE, 39, FALSE) )</f>
        <v/>
      </c>
      <c r="R163" s="81" t="str">
        <f>IF($B163="","",  VLOOKUP($B163, Propostas!$B:$BE, 43, FALSE) )</f>
        <v/>
      </c>
      <c r="S163" s="81" t="str">
        <f>IF($B163="","",  VLOOKUP($B163, Propostas!$B:$BE, 44, FALSE) )</f>
        <v/>
      </c>
      <c r="T163" s="81" t="str">
        <f>IF($B163="","",  VLOOKUP($B163, Propostas!$B:$BE, 45, FALSE) )</f>
        <v/>
      </c>
      <c r="U163" s="32" t="str">
        <f>IF($B163="","",  VLOOKUP($B163, Propostas!$B:$BE, 37, FALSE) )</f>
        <v/>
      </c>
      <c r="V163" s="13" t="str">
        <f>IF($B163="","",  VLOOKUP($B163, Propostas!$B:$BE, 50, FALSE) )</f>
        <v/>
      </c>
      <c r="W163" s="13" t="str">
        <f>IF($B163="","",  VLOOKUP($B163, Propostas!$B:$BE, 51, FALSE) )</f>
        <v/>
      </c>
      <c r="X163" s="13" t="str">
        <f>IF($B163="","",  VLOOKUP($B163, Propostas!$B:$BE, 52, FALSE) )</f>
        <v/>
      </c>
      <c r="Y163" s="13" t="str">
        <f>IF($B163="","",  VLOOKUP($B163, Propostas!$B:$BE, 36, FALSE) )</f>
        <v/>
      </c>
      <c r="Z163" s="13" t="str">
        <f>IF($B163="","",  VLOOKUP($F163, VW_PROJETO!B:C, 2, FALSE) )</f>
        <v/>
      </c>
    </row>
    <row r="164" spans="2:26" x14ac:dyDescent="0.2">
      <c r="B164" s="2"/>
      <c r="C164" s="4" t="str">
        <f>IF($B164="","",  VLOOKUP($B164, Propostas!$B:$BE, 33, FALSE) )</f>
        <v/>
      </c>
      <c r="D164" s="4" t="str">
        <f>IF($B164="","",  VLOOKUP($B164, Propostas!$B:$BE, 34, FALSE) )</f>
        <v/>
      </c>
      <c r="E164" s="4" t="str">
        <f>IF($B164="","",  VLOOKUP($B164, Propostas!$B:$BE, 35, FALSE) )</f>
        <v/>
      </c>
      <c r="F164" s="4" t="str">
        <f>IF($B164="","",  VLOOKUP($B164, Propostas!$B:$BE, 2, FALSE) )</f>
        <v/>
      </c>
      <c r="G164" s="4" t="str">
        <f>IF($B164="","",  VLOOKUP($B164, Propostas!$B:$BE, 3, FALSE) )</f>
        <v/>
      </c>
      <c r="H164" s="4" t="str">
        <f>IF($B164="","",  VLOOKUP($B164, Propostas!$B:$BE, 4, FALSE) )</f>
        <v/>
      </c>
      <c r="I164" s="4" t="str">
        <f>IF($B164="","",  VLOOKUP($B164, Propostas!$B:$BE, 38, FALSE) )</f>
        <v/>
      </c>
      <c r="J164" s="13" t="str">
        <f>IF($B164="","",IF($C164="SIM", "&lt; INFRRAESTRUTURA &gt;", VLOOKUP($B164,Propostas!$B:$BE,41,FALSE)))</f>
        <v/>
      </c>
      <c r="K164" s="10" t="str">
        <f>IF($B164="","",  VLOOKUP($B164, Propostas!$B:$BE, 40, FALSE) )</f>
        <v/>
      </c>
      <c r="L164" s="10" t="str">
        <f>IF($B164="","",IF(VLOOKUP($B164,Propostas!$B:$BE,21,FALSE)=1,"B",IF(VLOOKUP($B164,Propostas!$B:$BE,21,FALSE)=2,"E","N")))</f>
        <v/>
      </c>
      <c r="M164" s="32" t="str">
        <f>IF($B164 = "", "",  VLOOKUP($B164, Propostas!$B:$BE, 46, FALSE) )</f>
        <v/>
      </c>
      <c r="N164" s="32" t="str">
        <f>IF($B164 = "", "",  VLOOKUP($B164, Propostas!$B:$BE, 47, FALSE) )</f>
        <v/>
      </c>
      <c r="O164" s="13" t="str">
        <f>IF($B164="","",IF($C164="SIM", "INFRAESTRUTURA", VLOOKUP($B164, Propostas!$B:$BE,42,FALSE)))</f>
        <v/>
      </c>
      <c r="P164" s="32" t="str">
        <f>IF($B164 = "", "",  VLOOKUP($B164, Propostas!$B:$BE, 49, FALSE) )</f>
        <v/>
      </c>
      <c r="Q164" s="13" t="str">
        <f>IF($B164="","",  VLOOKUP($B164, Propostas!$B:$BE, 39, FALSE) )</f>
        <v/>
      </c>
      <c r="R164" s="81" t="str">
        <f>IF($B164="","",  VLOOKUP($B164, Propostas!$B:$BE, 43, FALSE) )</f>
        <v/>
      </c>
      <c r="S164" s="81" t="str">
        <f>IF($B164="","",  VLOOKUP($B164, Propostas!$B:$BE, 44, FALSE) )</f>
        <v/>
      </c>
      <c r="T164" s="81" t="str">
        <f>IF($B164="","",  VLOOKUP($B164, Propostas!$B:$BE, 45, FALSE) )</f>
        <v/>
      </c>
      <c r="U164" s="32" t="str">
        <f>IF($B164="","",  VLOOKUP($B164, Propostas!$B:$BE, 37, FALSE) )</f>
        <v/>
      </c>
      <c r="V164" s="13" t="str">
        <f>IF($B164="","",  VLOOKUP($B164, Propostas!$B:$BE, 50, FALSE) )</f>
        <v/>
      </c>
      <c r="W164" s="13" t="str">
        <f>IF($B164="","",  VLOOKUP($B164, Propostas!$B:$BE, 51, FALSE) )</f>
        <v/>
      </c>
      <c r="X164" s="13" t="str">
        <f>IF($B164="","",  VLOOKUP($B164, Propostas!$B:$BE, 52, FALSE) )</f>
        <v/>
      </c>
      <c r="Y164" s="13" t="str">
        <f>IF($B164="","",  VLOOKUP($B164, Propostas!$B:$BE, 36, FALSE) )</f>
        <v/>
      </c>
      <c r="Z164" s="13" t="str">
        <f>IF($B164="","",  VLOOKUP($F164, VW_PROJETO!B:C, 2, FALSE) )</f>
        <v/>
      </c>
    </row>
    <row r="165" spans="2:26" x14ac:dyDescent="0.2">
      <c r="B165" s="2"/>
      <c r="C165" s="4" t="str">
        <f>IF($B165="","",  VLOOKUP($B165, Propostas!$B:$BE, 33, FALSE) )</f>
        <v/>
      </c>
      <c r="D165" s="4" t="str">
        <f>IF($B165="","",  VLOOKUP($B165, Propostas!$B:$BE, 34, FALSE) )</f>
        <v/>
      </c>
      <c r="E165" s="4" t="str">
        <f>IF($B165="","",  VLOOKUP($B165, Propostas!$B:$BE, 35, FALSE) )</f>
        <v/>
      </c>
      <c r="F165" s="4" t="str">
        <f>IF($B165="","",  VLOOKUP($B165, Propostas!$B:$BE, 2, FALSE) )</f>
        <v/>
      </c>
      <c r="G165" s="4" t="str">
        <f>IF($B165="","",  VLOOKUP($B165, Propostas!$B:$BE, 3, FALSE) )</f>
        <v/>
      </c>
      <c r="H165" s="4" t="str">
        <f>IF($B165="","",  VLOOKUP($B165, Propostas!$B:$BE, 4, FALSE) )</f>
        <v/>
      </c>
      <c r="I165" s="4" t="str">
        <f>IF($B165="","",  VLOOKUP($B165, Propostas!$B:$BE, 38, FALSE) )</f>
        <v/>
      </c>
      <c r="J165" s="13" t="str">
        <f>IF($B165="","",IF($C165="SIM", "&lt; INFRRAESTRUTURA &gt;", VLOOKUP($B165,Propostas!$B:$BE,41,FALSE)))</f>
        <v/>
      </c>
      <c r="K165" s="10" t="str">
        <f>IF($B165="","",  VLOOKUP($B165, Propostas!$B:$BE, 40, FALSE) )</f>
        <v/>
      </c>
      <c r="L165" s="10" t="str">
        <f>IF($B165="","",IF(VLOOKUP($B165,Propostas!$B:$BE,21,FALSE)=1,"B",IF(VLOOKUP($B165,Propostas!$B:$BE,21,FALSE)=2,"E","N")))</f>
        <v/>
      </c>
      <c r="M165" s="32" t="str">
        <f>IF($B165 = "", "",  VLOOKUP($B165, Propostas!$B:$BE, 46, FALSE) )</f>
        <v/>
      </c>
      <c r="N165" s="32" t="str">
        <f>IF($B165 = "", "",  VLOOKUP($B165, Propostas!$B:$BE, 47, FALSE) )</f>
        <v/>
      </c>
      <c r="O165" s="13" t="str">
        <f>IF($B165="","",IF($C165="SIM", "INFRAESTRUTURA", VLOOKUP($B165, Propostas!$B:$BE,42,FALSE)))</f>
        <v/>
      </c>
      <c r="P165" s="32" t="str">
        <f>IF($B165 = "", "",  VLOOKUP($B165, Propostas!$B:$BE, 49, FALSE) )</f>
        <v/>
      </c>
      <c r="Q165" s="13" t="str">
        <f>IF($B165="","",  VLOOKUP($B165, Propostas!$B:$BE, 39, FALSE) )</f>
        <v/>
      </c>
      <c r="R165" s="81" t="str">
        <f>IF($B165="","",  VLOOKUP($B165, Propostas!$B:$BE, 43, FALSE) )</f>
        <v/>
      </c>
      <c r="S165" s="81" t="str">
        <f>IF($B165="","",  VLOOKUP($B165, Propostas!$B:$BE, 44, FALSE) )</f>
        <v/>
      </c>
      <c r="T165" s="81" t="str">
        <f>IF($B165="","",  VLOOKUP($B165, Propostas!$B:$BE, 45, FALSE) )</f>
        <v/>
      </c>
      <c r="U165" s="32" t="str">
        <f>IF($B165="","",  VLOOKUP($B165, Propostas!$B:$BE, 37, FALSE) )</f>
        <v/>
      </c>
      <c r="V165" s="13" t="str">
        <f>IF($B165="","",  VLOOKUP($B165, Propostas!$B:$BE, 50, FALSE) )</f>
        <v/>
      </c>
      <c r="W165" s="13" t="str">
        <f>IF($B165="","",  VLOOKUP($B165, Propostas!$B:$BE, 51, FALSE) )</f>
        <v/>
      </c>
      <c r="X165" s="13" t="str">
        <f>IF($B165="","",  VLOOKUP($B165, Propostas!$B:$BE, 52, FALSE) )</f>
        <v/>
      </c>
      <c r="Y165" s="13" t="str">
        <f>IF($B165="","",  VLOOKUP($B165, Propostas!$B:$BE, 36, FALSE) )</f>
        <v/>
      </c>
      <c r="Z165" s="13" t="str">
        <f>IF($B165="","",  VLOOKUP($F165, VW_PROJETO!B:C, 2, FALSE) )</f>
        <v/>
      </c>
    </row>
    <row r="166" spans="2:26" x14ac:dyDescent="0.2">
      <c r="B166" s="2"/>
      <c r="C166" s="4" t="str">
        <f>IF($B166="","",  VLOOKUP($B166, Propostas!$B:$BE, 33, FALSE) )</f>
        <v/>
      </c>
      <c r="D166" s="4" t="str">
        <f>IF($B166="","",  VLOOKUP($B166, Propostas!$B:$BE, 34, FALSE) )</f>
        <v/>
      </c>
      <c r="E166" s="4" t="str">
        <f>IF($B166="","",  VLOOKUP($B166, Propostas!$B:$BE, 35, FALSE) )</f>
        <v/>
      </c>
      <c r="F166" s="4" t="str">
        <f>IF($B166="","",  VLOOKUP($B166, Propostas!$B:$BE, 2, FALSE) )</f>
        <v/>
      </c>
      <c r="G166" s="4" t="str">
        <f>IF($B166="","",  VLOOKUP($B166, Propostas!$B:$BE, 3, FALSE) )</f>
        <v/>
      </c>
      <c r="H166" s="4" t="str">
        <f>IF($B166="","",  VLOOKUP($B166, Propostas!$B:$BE, 4, FALSE) )</f>
        <v/>
      </c>
      <c r="I166" s="4" t="str">
        <f>IF($B166="","",  VLOOKUP($B166, Propostas!$B:$BE, 38, FALSE) )</f>
        <v/>
      </c>
      <c r="J166" s="13" t="str">
        <f>IF($B166="","",IF($C166="SIM", "&lt; INFRRAESTRUTURA &gt;", VLOOKUP($B166,Propostas!$B:$BE,41,FALSE)))</f>
        <v/>
      </c>
      <c r="K166" s="10" t="str">
        <f>IF($B166="","",  VLOOKUP($B166, Propostas!$B:$BE, 40, FALSE) )</f>
        <v/>
      </c>
      <c r="L166" s="10" t="str">
        <f>IF($B166="","",IF(VLOOKUP($B166,Propostas!$B:$BE,21,FALSE)=1,"B",IF(VLOOKUP($B166,Propostas!$B:$BE,21,FALSE)=2,"E","N")))</f>
        <v/>
      </c>
      <c r="M166" s="32" t="str">
        <f>IF($B166 = "", "",  VLOOKUP($B166, Propostas!$B:$BE, 46, FALSE) )</f>
        <v/>
      </c>
      <c r="N166" s="32" t="str">
        <f>IF($B166 = "", "",  VLOOKUP($B166, Propostas!$B:$BE, 47, FALSE) )</f>
        <v/>
      </c>
      <c r="O166" s="13" t="str">
        <f>IF($B166="","",IF($C166="SIM", "INFRAESTRUTURA", VLOOKUP($B166, Propostas!$B:$BE,42,FALSE)))</f>
        <v/>
      </c>
      <c r="P166" s="32" t="str">
        <f>IF($B166 = "", "",  VLOOKUP($B166, Propostas!$B:$BE, 49, FALSE) )</f>
        <v/>
      </c>
      <c r="Q166" s="13" t="str">
        <f>IF($B166="","",  VLOOKUP($B166, Propostas!$B:$BE, 39, FALSE) )</f>
        <v/>
      </c>
      <c r="R166" s="81" t="str">
        <f>IF($B166="","",  VLOOKUP($B166, Propostas!$B:$BE, 43, FALSE) )</f>
        <v/>
      </c>
      <c r="S166" s="81" t="str">
        <f>IF($B166="","",  VLOOKUP($B166, Propostas!$B:$BE, 44, FALSE) )</f>
        <v/>
      </c>
      <c r="T166" s="81" t="str">
        <f>IF($B166="","",  VLOOKUP($B166, Propostas!$B:$BE, 45, FALSE) )</f>
        <v/>
      </c>
      <c r="U166" s="32" t="str">
        <f>IF($B166="","",  VLOOKUP($B166, Propostas!$B:$BE, 37, FALSE) )</f>
        <v/>
      </c>
      <c r="V166" s="13" t="str">
        <f>IF($B166="","",  VLOOKUP($B166, Propostas!$B:$BE, 50, FALSE) )</f>
        <v/>
      </c>
      <c r="W166" s="13" t="str">
        <f>IF($B166="","",  VLOOKUP($B166, Propostas!$B:$BE, 51, FALSE) )</f>
        <v/>
      </c>
      <c r="X166" s="13" t="str">
        <f>IF($B166="","",  VLOOKUP($B166, Propostas!$B:$BE, 52, FALSE) )</f>
        <v/>
      </c>
      <c r="Y166" s="13" t="str">
        <f>IF($B166="","",  VLOOKUP($B166, Propostas!$B:$BE, 36, FALSE) )</f>
        <v/>
      </c>
      <c r="Z166" s="13" t="str">
        <f>IF($B166="","",  VLOOKUP($F166, VW_PROJETO!B:C, 2, FALSE) )</f>
        <v/>
      </c>
    </row>
    <row r="167" spans="2:26" x14ac:dyDescent="0.2">
      <c r="B167" s="2"/>
      <c r="C167" s="4" t="str">
        <f>IF($B167="","",  VLOOKUP($B167, Propostas!$B:$BE, 33, FALSE) )</f>
        <v/>
      </c>
      <c r="D167" s="4" t="str">
        <f>IF($B167="","",  VLOOKUP($B167, Propostas!$B:$BE, 34, FALSE) )</f>
        <v/>
      </c>
      <c r="E167" s="4" t="str">
        <f>IF($B167="","",  VLOOKUP($B167, Propostas!$B:$BE, 35, FALSE) )</f>
        <v/>
      </c>
      <c r="F167" s="4" t="str">
        <f>IF($B167="","",  VLOOKUP($B167, Propostas!$B:$BE, 2, FALSE) )</f>
        <v/>
      </c>
      <c r="G167" s="4" t="str">
        <f>IF($B167="","",  VLOOKUP($B167, Propostas!$B:$BE, 3, FALSE) )</f>
        <v/>
      </c>
      <c r="H167" s="4" t="str">
        <f>IF($B167="","",  VLOOKUP($B167, Propostas!$B:$BE, 4, FALSE) )</f>
        <v/>
      </c>
      <c r="I167" s="4" t="str">
        <f>IF($B167="","",  VLOOKUP($B167, Propostas!$B:$BE, 38, FALSE) )</f>
        <v/>
      </c>
      <c r="J167" s="13" t="str">
        <f>IF($B167="","",IF($C167="SIM", "&lt; INFRRAESTRUTURA &gt;", VLOOKUP($B167,Propostas!$B:$BE,41,FALSE)))</f>
        <v/>
      </c>
      <c r="K167" s="10" t="str">
        <f>IF($B167="","",  VLOOKUP($B167, Propostas!$B:$BE, 40, FALSE) )</f>
        <v/>
      </c>
      <c r="L167" s="10" t="str">
        <f>IF($B167="","",IF(VLOOKUP($B167,Propostas!$B:$BE,21,FALSE)=1,"B",IF(VLOOKUP($B167,Propostas!$B:$BE,21,FALSE)=2,"E","N")))</f>
        <v/>
      </c>
      <c r="M167" s="32" t="str">
        <f>IF($B167 = "", "",  VLOOKUP($B167, Propostas!$B:$BE, 46, FALSE) )</f>
        <v/>
      </c>
      <c r="N167" s="32" t="str">
        <f>IF($B167 = "", "",  VLOOKUP($B167, Propostas!$B:$BE, 47, FALSE) )</f>
        <v/>
      </c>
      <c r="O167" s="13" t="str">
        <f>IF($B167="","",IF($C167="SIM", "INFRAESTRUTURA", VLOOKUP($B167, Propostas!$B:$BE,42,FALSE)))</f>
        <v/>
      </c>
      <c r="P167" s="32" t="str">
        <f>IF($B167 = "", "",  VLOOKUP($B167, Propostas!$B:$BE, 49, FALSE) )</f>
        <v/>
      </c>
      <c r="Q167" s="13" t="str">
        <f>IF($B167="","",  VLOOKUP($B167, Propostas!$B:$BE, 39, FALSE) )</f>
        <v/>
      </c>
      <c r="R167" s="81" t="str">
        <f>IF($B167="","",  VLOOKUP($B167, Propostas!$B:$BE, 43, FALSE) )</f>
        <v/>
      </c>
      <c r="S167" s="81" t="str">
        <f>IF($B167="","",  VLOOKUP($B167, Propostas!$B:$BE, 44, FALSE) )</f>
        <v/>
      </c>
      <c r="T167" s="81" t="str">
        <f>IF($B167="","",  VLOOKUP($B167, Propostas!$B:$BE, 45, FALSE) )</f>
        <v/>
      </c>
      <c r="U167" s="32" t="str">
        <f>IF($B167="","",  VLOOKUP($B167, Propostas!$B:$BE, 37, FALSE) )</f>
        <v/>
      </c>
      <c r="V167" s="13" t="str">
        <f>IF($B167="","",  VLOOKUP($B167, Propostas!$B:$BE, 50, FALSE) )</f>
        <v/>
      </c>
      <c r="W167" s="13" t="str">
        <f>IF($B167="","",  VLOOKUP($B167, Propostas!$B:$BE, 51, FALSE) )</f>
        <v/>
      </c>
      <c r="X167" s="13" t="str">
        <f>IF($B167="","",  VLOOKUP($B167, Propostas!$B:$BE, 52, FALSE) )</f>
        <v/>
      </c>
      <c r="Y167" s="13" t="str">
        <f>IF($B167="","",  VLOOKUP($B167, Propostas!$B:$BE, 36, FALSE) )</f>
        <v/>
      </c>
      <c r="Z167" s="13" t="str">
        <f>IF($B167="","",  VLOOKUP($F167, VW_PROJETO!B:C, 2, FALSE) )</f>
        <v/>
      </c>
    </row>
    <row r="168" spans="2:26" x14ac:dyDescent="0.2">
      <c r="B168" s="2"/>
      <c r="C168" s="4" t="str">
        <f>IF($B168="","",  VLOOKUP($B168, Propostas!$B:$BE, 33, FALSE) )</f>
        <v/>
      </c>
      <c r="D168" s="4" t="str">
        <f>IF($B168="","",  VLOOKUP($B168, Propostas!$B:$BE, 34, FALSE) )</f>
        <v/>
      </c>
      <c r="E168" s="4" t="str">
        <f>IF($B168="","",  VLOOKUP($B168, Propostas!$B:$BE, 35, FALSE) )</f>
        <v/>
      </c>
      <c r="F168" s="4" t="str">
        <f>IF($B168="","",  VLOOKUP($B168, Propostas!$B:$BE, 2, FALSE) )</f>
        <v/>
      </c>
      <c r="G168" s="4" t="str">
        <f>IF($B168="","",  VLOOKUP($B168, Propostas!$B:$BE, 3, FALSE) )</f>
        <v/>
      </c>
      <c r="H168" s="4" t="str">
        <f>IF($B168="","",  VLOOKUP($B168, Propostas!$B:$BE, 4, FALSE) )</f>
        <v/>
      </c>
      <c r="I168" s="4" t="str">
        <f>IF($B168="","",  VLOOKUP($B168, Propostas!$B:$BE, 38, FALSE) )</f>
        <v/>
      </c>
      <c r="J168" s="13" t="str">
        <f>IF($B168="","",IF($C168="SIM", "&lt; INFRRAESTRUTURA &gt;", VLOOKUP($B168,Propostas!$B:$BE,41,FALSE)))</f>
        <v/>
      </c>
      <c r="K168" s="10" t="str">
        <f>IF($B168="","",  VLOOKUP($B168, Propostas!$B:$BE, 40, FALSE) )</f>
        <v/>
      </c>
      <c r="L168" s="10" t="str">
        <f>IF($B168="","",IF(VLOOKUP($B168,Propostas!$B:$BE,21,FALSE)=1,"B",IF(VLOOKUP($B168,Propostas!$B:$BE,21,FALSE)=2,"E","N")))</f>
        <v/>
      </c>
      <c r="M168" s="32" t="str">
        <f>IF($B168 = "", "",  VLOOKUP($B168, Propostas!$B:$BE, 46, FALSE) )</f>
        <v/>
      </c>
      <c r="N168" s="32" t="str">
        <f>IF($B168 = "", "",  VLOOKUP($B168, Propostas!$B:$BE, 47, FALSE) )</f>
        <v/>
      </c>
      <c r="O168" s="13" t="str">
        <f>IF($B168="","",IF($C168="SIM", "INFRAESTRUTURA", VLOOKUP($B168, Propostas!$B:$BE,42,FALSE)))</f>
        <v/>
      </c>
      <c r="P168" s="32" t="str">
        <f>IF($B168 = "", "",  VLOOKUP($B168, Propostas!$B:$BE, 49, FALSE) )</f>
        <v/>
      </c>
      <c r="Q168" s="13" t="str">
        <f>IF($B168="","",  VLOOKUP($B168, Propostas!$B:$BE, 39, FALSE) )</f>
        <v/>
      </c>
      <c r="R168" s="81" t="str">
        <f>IF($B168="","",  VLOOKUP($B168, Propostas!$B:$BE, 43, FALSE) )</f>
        <v/>
      </c>
      <c r="S168" s="81" t="str">
        <f>IF($B168="","",  VLOOKUP($B168, Propostas!$B:$BE, 44, FALSE) )</f>
        <v/>
      </c>
      <c r="T168" s="81" t="str">
        <f>IF($B168="","",  VLOOKUP($B168, Propostas!$B:$BE, 45, FALSE) )</f>
        <v/>
      </c>
      <c r="U168" s="32" t="str">
        <f>IF($B168="","",  VLOOKUP($B168, Propostas!$B:$BE, 37, FALSE) )</f>
        <v/>
      </c>
      <c r="V168" s="13" t="str">
        <f>IF($B168="","",  VLOOKUP($B168, Propostas!$B:$BE, 50, FALSE) )</f>
        <v/>
      </c>
      <c r="W168" s="13" t="str">
        <f>IF($B168="","",  VLOOKUP($B168, Propostas!$B:$BE, 51, FALSE) )</f>
        <v/>
      </c>
      <c r="X168" s="13" t="str">
        <f>IF($B168="","",  VLOOKUP($B168, Propostas!$B:$BE, 52, FALSE) )</f>
        <v/>
      </c>
      <c r="Y168" s="13" t="str">
        <f>IF($B168="","",  VLOOKUP($B168, Propostas!$B:$BE, 36, FALSE) )</f>
        <v/>
      </c>
      <c r="Z168" s="13" t="str">
        <f>IF($B168="","",  VLOOKUP($F168, VW_PROJETO!B:C, 2, FALSE) )</f>
        <v/>
      </c>
    </row>
    <row r="169" spans="2:26" x14ac:dyDescent="0.2">
      <c r="B169" s="2"/>
      <c r="C169" s="4" t="str">
        <f>IF($B169="","",  VLOOKUP($B169, Propostas!$B:$BE, 33, FALSE) )</f>
        <v/>
      </c>
      <c r="D169" s="4" t="str">
        <f>IF($B169="","",  VLOOKUP($B169, Propostas!$B:$BE, 34, FALSE) )</f>
        <v/>
      </c>
      <c r="E169" s="4" t="str">
        <f>IF($B169="","",  VLOOKUP($B169, Propostas!$B:$BE, 35, FALSE) )</f>
        <v/>
      </c>
      <c r="F169" s="4" t="str">
        <f>IF($B169="","",  VLOOKUP($B169, Propostas!$B:$BE, 2, FALSE) )</f>
        <v/>
      </c>
      <c r="G169" s="4" t="str">
        <f>IF($B169="","",  VLOOKUP($B169, Propostas!$B:$BE, 3, FALSE) )</f>
        <v/>
      </c>
      <c r="H169" s="4" t="str">
        <f>IF($B169="","",  VLOOKUP($B169, Propostas!$B:$BE, 4, FALSE) )</f>
        <v/>
      </c>
      <c r="I169" s="4" t="str">
        <f>IF($B169="","",  VLOOKUP($B169, Propostas!$B:$BE, 38, FALSE) )</f>
        <v/>
      </c>
      <c r="J169" s="13" t="str">
        <f>IF($B169="","",IF($C169="SIM", "&lt; INFRRAESTRUTURA &gt;", VLOOKUP($B169,Propostas!$B:$BE,41,FALSE)))</f>
        <v/>
      </c>
      <c r="K169" s="10" t="str">
        <f>IF($B169="","",  VLOOKUP($B169, Propostas!$B:$BE, 40, FALSE) )</f>
        <v/>
      </c>
      <c r="L169" s="10" t="str">
        <f>IF($B169="","",IF(VLOOKUP($B169,Propostas!$B:$BE,21,FALSE)=1,"B",IF(VLOOKUP($B169,Propostas!$B:$BE,21,FALSE)=2,"E","N")))</f>
        <v/>
      </c>
      <c r="M169" s="32" t="str">
        <f>IF($B169 = "", "",  VLOOKUP($B169, Propostas!$B:$BE, 46, FALSE) )</f>
        <v/>
      </c>
      <c r="N169" s="32" t="str">
        <f>IF($B169 = "", "",  VLOOKUP($B169, Propostas!$B:$BE, 47, FALSE) )</f>
        <v/>
      </c>
      <c r="O169" s="13" t="str">
        <f>IF($B169="","",IF($C169="SIM", "INFRAESTRUTURA", VLOOKUP($B169, Propostas!$B:$BE,42,FALSE)))</f>
        <v/>
      </c>
      <c r="P169" s="32" t="str">
        <f>IF($B169 = "", "",  VLOOKUP($B169, Propostas!$B:$BE, 49, FALSE) )</f>
        <v/>
      </c>
      <c r="Q169" s="13" t="str">
        <f>IF($B169="","",  VLOOKUP($B169, Propostas!$B:$BE, 39, FALSE) )</f>
        <v/>
      </c>
      <c r="R169" s="81" t="str">
        <f>IF($B169="","",  VLOOKUP($B169, Propostas!$B:$BE, 43, FALSE) )</f>
        <v/>
      </c>
      <c r="S169" s="81" t="str">
        <f>IF($B169="","",  VLOOKUP($B169, Propostas!$B:$BE, 44, FALSE) )</f>
        <v/>
      </c>
      <c r="T169" s="81" t="str">
        <f>IF($B169="","",  VLOOKUP($B169, Propostas!$B:$BE, 45, FALSE) )</f>
        <v/>
      </c>
      <c r="U169" s="32" t="str">
        <f>IF($B169="","",  VLOOKUP($B169, Propostas!$B:$BE, 37, FALSE) )</f>
        <v/>
      </c>
      <c r="V169" s="13" t="str">
        <f>IF($B169="","",  VLOOKUP($B169, Propostas!$B:$BE, 50, FALSE) )</f>
        <v/>
      </c>
      <c r="W169" s="13" t="str">
        <f>IF($B169="","",  VLOOKUP($B169, Propostas!$B:$BE, 51, FALSE) )</f>
        <v/>
      </c>
      <c r="X169" s="13" t="str">
        <f>IF($B169="","",  VLOOKUP($B169, Propostas!$B:$BE, 52, FALSE) )</f>
        <v/>
      </c>
      <c r="Y169" s="13" t="str">
        <f>IF($B169="","",  VLOOKUP($B169, Propostas!$B:$BE, 36, FALSE) )</f>
        <v/>
      </c>
      <c r="Z169" s="13" t="str">
        <f>IF($B169="","",  VLOOKUP($F169, VW_PROJETO!B:C, 2, FALSE) )</f>
        <v/>
      </c>
    </row>
    <row r="170" spans="2:26" x14ac:dyDescent="0.2">
      <c r="B170" s="2"/>
      <c r="C170" s="4" t="str">
        <f>IF($B170="","",  VLOOKUP($B170, Propostas!$B:$BE, 33, FALSE) )</f>
        <v/>
      </c>
      <c r="D170" s="4" t="str">
        <f>IF($B170="","",  VLOOKUP($B170, Propostas!$B:$BE, 34, FALSE) )</f>
        <v/>
      </c>
      <c r="E170" s="4" t="str">
        <f>IF($B170="","",  VLOOKUP($B170, Propostas!$B:$BE, 35, FALSE) )</f>
        <v/>
      </c>
      <c r="F170" s="4" t="str">
        <f>IF($B170="","",  VLOOKUP($B170, Propostas!$B:$BE, 2, FALSE) )</f>
        <v/>
      </c>
      <c r="G170" s="4" t="str">
        <f>IF($B170="","",  VLOOKUP($B170, Propostas!$B:$BE, 3, FALSE) )</f>
        <v/>
      </c>
      <c r="H170" s="4" t="str">
        <f>IF($B170="","",  VLOOKUP($B170, Propostas!$B:$BE, 4, FALSE) )</f>
        <v/>
      </c>
      <c r="I170" s="4" t="str">
        <f>IF($B170="","",  VLOOKUP($B170, Propostas!$B:$BE, 38, FALSE) )</f>
        <v/>
      </c>
      <c r="J170" s="13" t="str">
        <f>IF($B170="","",IF($C170="SIM", "&lt; INFRRAESTRUTURA &gt;", VLOOKUP($B170,Propostas!$B:$BE,41,FALSE)))</f>
        <v/>
      </c>
      <c r="K170" s="10" t="str">
        <f>IF($B170="","",  VLOOKUP($B170, Propostas!$B:$BE, 40, FALSE) )</f>
        <v/>
      </c>
      <c r="L170" s="10" t="str">
        <f>IF($B170="","",IF(VLOOKUP($B170,Propostas!$B:$BE,21,FALSE)=1,"B",IF(VLOOKUP($B170,Propostas!$B:$BE,21,FALSE)=2,"E","N")))</f>
        <v/>
      </c>
      <c r="M170" s="32" t="str">
        <f>IF($B170 = "", "",  VLOOKUP($B170, Propostas!$B:$BE, 46, FALSE) )</f>
        <v/>
      </c>
      <c r="N170" s="32" t="str">
        <f>IF($B170 = "", "",  VLOOKUP($B170, Propostas!$B:$BE, 47, FALSE) )</f>
        <v/>
      </c>
      <c r="O170" s="13" t="str">
        <f>IF($B170="","",IF($C170="SIM", "INFRAESTRUTURA", VLOOKUP($B170, Propostas!$B:$BE,42,FALSE)))</f>
        <v/>
      </c>
      <c r="P170" s="32" t="str">
        <f>IF($B170 = "", "",  VLOOKUP($B170, Propostas!$B:$BE, 49, FALSE) )</f>
        <v/>
      </c>
      <c r="Q170" s="13" t="str">
        <f>IF($B170="","",  VLOOKUP($B170, Propostas!$B:$BE, 39, FALSE) )</f>
        <v/>
      </c>
      <c r="R170" s="81" t="str">
        <f>IF($B170="","",  VLOOKUP($B170, Propostas!$B:$BE, 43, FALSE) )</f>
        <v/>
      </c>
      <c r="S170" s="81" t="str">
        <f>IF($B170="","",  VLOOKUP($B170, Propostas!$B:$BE, 44, FALSE) )</f>
        <v/>
      </c>
      <c r="T170" s="81" t="str">
        <f>IF($B170="","",  VLOOKUP($B170, Propostas!$B:$BE, 45, FALSE) )</f>
        <v/>
      </c>
      <c r="U170" s="32" t="str">
        <f>IF($B170="","",  VLOOKUP($B170, Propostas!$B:$BE, 37, FALSE) )</f>
        <v/>
      </c>
      <c r="V170" s="13" t="str">
        <f>IF($B170="","",  VLOOKUP($B170, Propostas!$B:$BE, 50, FALSE) )</f>
        <v/>
      </c>
      <c r="W170" s="13" t="str">
        <f>IF($B170="","",  VLOOKUP($B170, Propostas!$B:$BE, 51, FALSE) )</f>
        <v/>
      </c>
      <c r="X170" s="13" t="str">
        <f>IF($B170="","",  VLOOKUP($B170, Propostas!$B:$BE, 52, FALSE) )</f>
        <v/>
      </c>
      <c r="Y170" s="13" t="str">
        <f>IF($B170="","",  VLOOKUP($B170, Propostas!$B:$BE, 36, FALSE) )</f>
        <v/>
      </c>
      <c r="Z170" s="13" t="str">
        <f>IF($B170="","",  VLOOKUP($F170, VW_PROJETO!B:C, 2, FALSE) )</f>
        <v/>
      </c>
    </row>
    <row r="171" spans="2:26" x14ac:dyDescent="0.2">
      <c r="B171" s="2"/>
      <c r="C171" s="4" t="str">
        <f>IF($B171="","",  VLOOKUP($B171, Propostas!$B:$BE, 33, FALSE) )</f>
        <v/>
      </c>
      <c r="D171" s="4" t="str">
        <f>IF($B171="","",  VLOOKUP($B171, Propostas!$B:$BE, 34, FALSE) )</f>
        <v/>
      </c>
      <c r="E171" s="4" t="str">
        <f>IF($B171="","",  VLOOKUP($B171, Propostas!$B:$BE, 35, FALSE) )</f>
        <v/>
      </c>
      <c r="F171" s="4" t="str">
        <f>IF($B171="","",  VLOOKUP($B171, Propostas!$B:$BE, 2, FALSE) )</f>
        <v/>
      </c>
      <c r="G171" s="4" t="str">
        <f>IF($B171="","",  VLOOKUP($B171, Propostas!$B:$BE, 3, FALSE) )</f>
        <v/>
      </c>
      <c r="H171" s="4" t="str">
        <f>IF($B171="","",  VLOOKUP($B171, Propostas!$B:$BE, 4, FALSE) )</f>
        <v/>
      </c>
      <c r="I171" s="4" t="str">
        <f>IF($B171="","",  VLOOKUP($B171, Propostas!$B:$BE, 38, FALSE) )</f>
        <v/>
      </c>
      <c r="J171" s="13" t="str">
        <f>IF($B171="","",IF($C171="SIM", "&lt; INFRRAESTRUTURA &gt;", VLOOKUP($B171,Propostas!$B:$BE,41,FALSE)))</f>
        <v/>
      </c>
      <c r="K171" s="10" t="str">
        <f>IF($B171="","",  VLOOKUP($B171, Propostas!$B:$BE, 40, FALSE) )</f>
        <v/>
      </c>
      <c r="L171" s="10" t="str">
        <f>IF($B171="","",IF(VLOOKUP($B171,Propostas!$B:$BE,21,FALSE)=1,"B",IF(VLOOKUP($B171,Propostas!$B:$BE,21,FALSE)=2,"E","N")))</f>
        <v/>
      </c>
      <c r="M171" s="32" t="str">
        <f>IF($B171 = "", "",  VLOOKUP($B171, Propostas!$B:$BE, 46, FALSE) )</f>
        <v/>
      </c>
      <c r="N171" s="32" t="str">
        <f>IF($B171 = "", "",  VLOOKUP($B171, Propostas!$B:$BE, 47, FALSE) )</f>
        <v/>
      </c>
      <c r="O171" s="13" t="str">
        <f>IF($B171="","",IF($C171="SIM", "INFRAESTRUTURA", VLOOKUP($B171, Propostas!$B:$BE,42,FALSE)))</f>
        <v/>
      </c>
      <c r="P171" s="32" t="str">
        <f>IF($B171 = "", "",  VLOOKUP($B171, Propostas!$B:$BE, 49, FALSE) )</f>
        <v/>
      </c>
      <c r="Q171" s="13" t="str">
        <f>IF($B171="","",  VLOOKUP($B171, Propostas!$B:$BE, 39, FALSE) )</f>
        <v/>
      </c>
      <c r="R171" s="81" t="str">
        <f>IF($B171="","",  VLOOKUP($B171, Propostas!$B:$BE, 43, FALSE) )</f>
        <v/>
      </c>
      <c r="S171" s="81" t="str">
        <f>IF($B171="","",  VLOOKUP($B171, Propostas!$B:$BE, 44, FALSE) )</f>
        <v/>
      </c>
      <c r="T171" s="81" t="str">
        <f>IF($B171="","",  VLOOKUP($B171, Propostas!$B:$BE, 45, FALSE) )</f>
        <v/>
      </c>
      <c r="U171" s="32" t="str">
        <f>IF($B171="","",  VLOOKUP($B171, Propostas!$B:$BE, 37, FALSE) )</f>
        <v/>
      </c>
      <c r="V171" s="13" t="str">
        <f>IF($B171="","",  VLOOKUP($B171, Propostas!$B:$BE, 50, FALSE) )</f>
        <v/>
      </c>
      <c r="W171" s="13" t="str">
        <f>IF($B171="","",  VLOOKUP($B171, Propostas!$B:$BE, 51, FALSE) )</f>
        <v/>
      </c>
      <c r="X171" s="13" t="str">
        <f>IF($B171="","",  VLOOKUP($B171, Propostas!$B:$BE, 52, FALSE) )</f>
        <v/>
      </c>
      <c r="Y171" s="13" t="str">
        <f>IF($B171="","",  VLOOKUP($B171, Propostas!$B:$BE, 36, FALSE) )</f>
        <v/>
      </c>
      <c r="Z171" s="13" t="str">
        <f>IF($B171="","",  VLOOKUP($F171, VW_PROJETO!B:C, 2, FALSE) )</f>
        <v/>
      </c>
    </row>
    <row r="172" spans="2:26" x14ac:dyDescent="0.2">
      <c r="B172" s="2"/>
      <c r="C172" s="4" t="str">
        <f>IF($B172="","",  VLOOKUP($B172, Propostas!$B:$BE, 33, FALSE) )</f>
        <v/>
      </c>
      <c r="D172" s="4" t="str">
        <f>IF($B172="","",  VLOOKUP($B172, Propostas!$B:$BE, 34, FALSE) )</f>
        <v/>
      </c>
      <c r="E172" s="4" t="str">
        <f>IF($B172="","",  VLOOKUP($B172, Propostas!$B:$BE, 35, FALSE) )</f>
        <v/>
      </c>
      <c r="F172" s="4" t="str">
        <f>IF($B172="","",  VLOOKUP($B172, Propostas!$B:$BE, 2, FALSE) )</f>
        <v/>
      </c>
      <c r="G172" s="4" t="str">
        <f>IF($B172="","",  VLOOKUP($B172, Propostas!$B:$BE, 3, FALSE) )</f>
        <v/>
      </c>
      <c r="H172" s="4" t="str">
        <f>IF($B172="","",  VLOOKUP($B172, Propostas!$B:$BE, 4, FALSE) )</f>
        <v/>
      </c>
      <c r="I172" s="4" t="str">
        <f>IF($B172="","",  VLOOKUP($B172, Propostas!$B:$BE, 38, FALSE) )</f>
        <v/>
      </c>
      <c r="J172" s="13" t="str">
        <f>IF($B172="","",IF($C172="SIM", "&lt; INFRRAESTRUTURA &gt;", VLOOKUP($B172,Propostas!$B:$BE,41,FALSE)))</f>
        <v/>
      </c>
      <c r="K172" s="10" t="str">
        <f>IF($B172="","",  VLOOKUP($B172, Propostas!$B:$BE, 40, FALSE) )</f>
        <v/>
      </c>
      <c r="L172" s="10" t="str">
        <f>IF($B172="","",IF(VLOOKUP($B172,Propostas!$B:$BE,21,FALSE)=1,"B",IF(VLOOKUP($B172,Propostas!$B:$BE,21,FALSE)=2,"E","N")))</f>
        <v/>
      </c>
      <c r="M172" s="32" t="str">
        <f>IF($B172 = "", "",  VLOOKUP($B172, Propostas!$B:$BE, 46, FALSE) )</f>
        <v/>
      </c>
      <c r="N172" s="32" t="str">
        <f>IF($B172 = "", "",  VLOOKUP($B172, Propostas!$B:$BE, 47, FALSE) )</f>
        <v/>
      </c>
      <c r="O172" s="13" t="str">
        <f>IF($B172="","",IF($C172="SIM", "INFRAESTRUTURA", VLOOKUP($B172, Propostas!$B:$BE,42,FALSE)))</f>
        <v/>
      </c>
      <c r="P172" s="32" t="str">
        <f>IF($B172 = "", "",  VLOOKUP($B172, Propostas!$B:$BE, 49, FALSE) )</f>
        <v/>
      </c>
      <c r="Q172" s="13" t="str">
        <f>IF($B172="","",  VLOOKUP($B172, Propostas!$B:$BE, 39, FALSE) )</f>
        <v/>
      </c>
      <c r="R172" s="81" t="str">
        <f>IF($B172="","",  VLOOKUP($B172, Propostas!$B:$BE, 43, FALSE) )</f>
        <v/>
      </c>
      <c r="S172" s="81" t="str">
        <f>IF($B172="","",  VLOOKUP($B172, Propostas!$B:$BE, 44, FALSE) )</f>
        <v/>
      </c>
      <c r="T172" s="81" t="str">
        <f>IF($B172="","",  VLOOKUP($B172, Propostas!$B:$BE, 45, FALSE) )</f>
        <v/>
      </c>
      <c r="U172" s="32" t="str">
        <f>IF($B172="","",  VLOOKUP($B172, Propostas!$B:$BE, 37, FALSE) )</f>
        <v/>
      </c>
      <c r="V172" s="13" t="str">
        <f>IF($B172="","",  VLOOKUP($B172, Propostas!$B:$BE, 50, FALSE) )</f>
        <v/>
      </c>
      <c r="W172" s="13" t="str">
        <f>IF($B172="","",  VLOOKUP($B172, Propostas!$B:$BE, 51, FALSE) )</f>
        <v/>
      </c>
      <c r="X172" s="13" t="str">
        <f>IF($B172="","",  VLOOKUP($B172, Propostas!$B:$BE, 52, FALSE) )</f>
        <v/>
      </c>
      <c r="Y172" s="13" t="str">
        <f>IF($B172="","",  VLOOKUP($B172, Propostas!$B:$BE, 36, FALSE) )</f>
        <v/>
      </c>
      <c r="Z172" s="13" t="str">
        <f>IF($B172="","",  VLOOKUP($F172, VW_PROJETO!B:C, 2, FALSE) )</f>
        <v/>
      </c>
    </row>
    <row r="173" spans="2:26" x14ac:dyDescent="0.2">
      <c r="B173" s="2"/>
      <c r="C173" s="4" t="str">
        <f>IF($B173="","",  VLOOKUP($B173, Propostas!$B:$BE, 33, FALSE) )</f>
        <v/>
      </c>
      <c r="D173" s="4" t="str">
        <f>IF($B173="","",  VLOOKUP($B173, Propostas!$B:$BE, 34, FALSE) )</f>
        <v/>
      </c>
      <c r="E173" s="4" t="str">
        <f>IF($B173="","",  VLOOKUP($B173, Propostas!$B:$BE, 35, FALSE) )</f>
        <v/>
      </c>
      <c r="F173" s="4" t="str">
        <f>IF($B173="","",  VLOOKUP($B173, Propostas!$B:$BE, 2, FALSE) )</f>
        <v/>
      </c>
      <c r="G173" s="4" t="str">
        <f>IF($B173="","",  VLOOKUP($B173, Propostas!$B:$BE, 3, FALSE) )</f>
        <v/>
      </c>
      <c r="H173" s="4" t="str">
        <f>IF($B173="","",  VLOOKUP($B173, Propostas!$B:$BE, 4, FALSE) )</f>
        <v/>
      </c>
      <c r="I173" s="4" t="str">
        <f>IF($B173="","",  VLOOKUP($B173, Propostas!$B:$BE, 38, FALSE) )</f>
        <v/>
      </c>
      <c r="J173" s="13" t="str">
        <f>IF($B173="","",IF($C173="SIM", "&lt; INFRRAESTRUTURA &gt;", VLOOKUP($B173,Propostas!$B:$BE,41,FALSE)))</f>
        <v/>
      </c>
      <c r="K173" s="10" t="str">
        <f>IF($B173="","",  VLOOKUP($B173, Propostas!$B:$BE, 40, FALSE) )</f>
        <v/>
      </c>
      <c r="L173" s="10" t="str">
        <f>IF($B173="","",IF(VLOOKUP($B173,Propostas!$B:$BE,21,FALSE)=1,"B",IF(VLOOKUP($B173,Propostas!$B:$BE,21,FALSE)=2,"E","N")))</f>
        <v/>
      </c>
      <c r="M173" s="32" t="str">
        <f>IF($B173 = "", "",  VLOOKUP($B173, Propostas!$B:$BE, 46, FALSE) )</f>
        <v/>
      </c>
      <c r="N173" s="32" t="str">
        <f>IF($B173 = "", "",  VLOOKUP($B173, Propostas!$B:$BE, 47, FALSE) )</f>
        <v/>
      </c>
      <c r="O173" s="13" t="str">
        <f>IF($B173="","",IF($C173="SIM", "INFRAESTRUTURA", VLOOKUP($B173, Propostas!$B:$BE,42,FALSE)))</f>
        <v/>
      </c>
      <c r="P173" s="32" t="str">
        <f>IF($B173 = "", "",  VLOOKUP($B173, Propostas!$B:$BE, 49, FALSE) )</f>
        <v/>
      </c>
      <c r="Q173" s="13" t="str">
        <f>IF($B173="","",  VLOOKUP($B173, Propostas!$B:$BE, 39, FALSE) )</f>
        <v/>
      </c>
      <c r="R173" s="81" t="str">
        <f>IF($B173="","",  VLOOKUP($B173, Propostas!$B:$BE, 43, FALSE) )</f>
        <v/>
      </c>
      <c r="S173" s="81" t="str">
        <f>IF($B173="","",  VLOOKUP($B173, Propostas!$B:$BE, 44, FALSE) )</f>
        <v/>
      </c>
      <c r="T173" s="81" t="str">
        <f>IF($B173="","",  VLOOKUP($B173, Propostas!$B:$BE, 45, FALSE) )</f>
        <v/>
      </c>
      <c r="U173" s="32" t="str">
        <f>IF($B173="","",  VLOOKUP($B173, Propostas!$B:$BE, 37, FALSE) )</f>
        <v/>
      </c>
      <c r="V173" s="13" t="str">
        <f>IF($B173="","",  VLOOKUP($B173, Propostas!$B:$BE, 50, FALSE) )</f>
        <v/>
      </c>
      <c r="W173" s="13" t="str">
        <f>IF($B173="","",  VLOOKUP($B173, Propostas!$B:$BE, 51, FALSE) )</f>
        <v/>
      </c>
      <c r="X173" s="13" t="str">
        <f>IF($B173="","",  VLOOKUP($B173, Propostas!$B:$BE, 52, FALSE) )</f>
        <v/>
      </c>
      <c r="Y173" s="13" t="str">
        <f>IF($B173="","",  VLOOKUP($B173, Propostas!$B:$BE, 36, FALSE) )</f>
        <v/>
      </c>
      <c r="Z173" s="13" t="str">
        <f>IF($B173="","",  VLOOKUP($F173, VW_PROJETO!B:C, 2, FALSE) )</f>
        <v/>
      </c>
    </row>
    <row r="174" spans="2:26" x14ac:dyDescent="0.2">
      <c r="B174" s="2"/>
      <c r="C174" s="4" t="str">
        <f>IF($B174="","",  VLOOKUP($B174, Propostas!$B:$BE, 33, FALSE) )</f>
        <v/>
      </c>
      <c r="D174" s="4" t="str">
        <f>IF($B174="","",  VLOOKUP($B174, Propostas!$B:$BE, 34, FALSE) )</f>
        <v/>
      </c>
      <c r="E174" s="4" t="str">
        <f>IF($B174="","",  VLOOKUP($B174, Propostas!$B:$BE, 35, FALSE) )</f>
        <v/>
      </c>
      <c r="F174" s="4" t="str">
        <f>IF($B174="","",  VLOOKUP($B174, Propostas!$B:$BE, 2, FALSE) )</f>
        <v/>
      </c>
      <c r="G174" s="4" t="str">
        <f>IF($B174="","",  VLOOKUP($B174, Propostas!$B:$BE, 3, FALSE) )</f>
        <v/>
      </c>
      <c r="H174" s="4" t="str">
        <f>IF($B174="","",  VLOOKUP($B174, Propostas!$B:$BE, 4, FALSE) )</f>
        <v/>
      </c>
      <c r="I174" s="4" t="str">
        <f>IF($B174="","",  VLOOKUP($B174, Propostas!$B:$BE, 38, FALSE) )</f>
        <v/>
      </c>
      <c r="J174" s="13" t="str">
        <f>IF($B174="","",IF($C174="SIM", "&lt; INFRRAESTRUTURA &gt;", VLOOKUP($B174,Propostas!$B:$BE,41,FALSE)))</f>
        <v/>
      </c>
      <c r="K174" s="10" t="str">
        <f>IF($B174="","",  VLOOKUP($B174, Propostas!$B:$BE, 40, FALSE) )</f>
        <v/>
      </c>
      <c r="L174" s="10" t="str">
        <f>IF($B174="","",IF(VLOOKUP($B174,Propostas!$B:$BE,21,FALSE)=1,"B",IF(VLOOKUP($B174,Propostas!$B:$BE,21,FALSE)=2,"E","N")))</f>
        <v/>
      </c>
      <c r="M174" s="32" t="str">
        <f>IF($B174 = "", "",  VLOOKUP($B174, Propostas!$B:$BE, 46, FALSE) )</f>
        <v/>
      </c>
      <c r="N174" s="32" t="str">
        <f>IF($B174 = "", "",  VLOOKUP($B174, Propostas!$B:$BE, 47, FALSE) )</f>
        <v/>
      </c>
      <c r="O174" s="13" t="str">
        <f>IF($B174="","",IF($C174="SIM", "INFRAESTRUTURA", VLOOKUP($B174, Propostas!$B:$BE,42,FALSE)))</f>
        <v/>
      </c>
      <c r="P174" s="32" t="str">
        <f>IF($B174 = "", "",  VLOOKUP($B174, Propostas!$B:$BE, 49, FALSE) )</f>
        <v/>
      </c>
      <c r="Q174" s="13" t="str">
        <f>IF($B174="","",  VLOOKUP($B174, Propostas!$B:$BE, 39, FALSE) )</f>
        <v/>
      </c>
      <c r="R174" s="81" t="str">
        <f>IF($B174="","",  VLOOKUP($B174, Propostas!$B:$BE, 43, FALSE) )</f>
        <v/>
      </c>
      <c r="S174" s="81" t="str">
        <f>IF($B174="","",  VLOOKUP($B174, Propostas!$B:$BE, 44, FALSE) )</f>
        <v/>
      </c>
      <c r="T174" s="81" t="str">
        <f>IF($B174="","",  VLOOKUP($B174, Propostas!$B:$BE, 45, FALSE) )</f>
        <v/>
      </c>
      <c r="U174" s="32" t="str">
        <f>IF($B174="","",  VLOOKUP($B174, Propostas!$B:$BE, 37, FALSE) )</f>
        <v/>
      </c>
      <c r="V174" s="13" t="str">
        <f>IF($B174="","",  VLOOKUP($B174, Propostas!$B:$BE, 50, FALSE) )</f>
        <v/>
      </c>
      <c r="W174" s="13" t="str">
        <f>IF($B174="","",  VLOOKUP($B174, Propostas!$B:$BE, 51, FALSE) )</f>
        <v/>
      </c>
      <c r="X174" s="13" t="str">
        <f>IF($B174="","",  VLOOKUP($B174, Propostas!$B:$BE, 52, FALSE) )</f>
        <v/>
      </c>
      <c r="Y174" s="13" t="str">
        <f>IF($B174="","",  VLOOKUP($B174, Propostas!$B:$BE, 36, FALSE) )</f>
        <v/>
      </c>
      <c r="Z174" s="13" t="str">
        <f>IF($B174="","",  VLOOKUP($F174, VW_PROJETO!B:C, 2, FALSE) )</f>
        <v/>
      </c>
    </row>
    <row r="175" spans="2:26" x14ac:dyDescent="0.2">
      <c r="B175" s="2"/>
      <c r="C175" s="4" t="str">
        <f>IF($B175="","",  VLOOKUP($B175, Propostas!$B:$BE, 33, FALSE) )</f>
        <v/>
      </c>
      <c r="D175" s="4" t="str">
        <f>IF($B175="","",  VLOOKUP($B175, Propostas!$B:$BE, 34, FALSE) )</f>
        <v/>
      </c>
      <c r="E175" s="4" t="str">
        <f>IF($B175="","",  VLOOKUP($B175, Propostas!$B:$BE, 35, FALSE) )</f>
        <v/>
      </c>
      <c r="F175" s="4" t="str">
        <f>IF($B175="","",  VLOOKUP($B175, Propostas!$B:$BE, 2, FALSE) )</f>
        <v/>
      </c>
      <c r="G175" s="4" t="str">
        <f>IF($B175="","",  VLOOKUP($B175, Propostas!$B:$BE, 3, FALSE) )</f>
        <v/>
      </c>
      <c r="H175" s="4" t="str">
        <f>IF($B175="","",  VLOOKUP($B175, Propostas!$B:$BE, 4, FALSE) )</f>
        <v/>
      </c>
      <c r="I175" s="4" t="str">
        <f>IF($B175="","",  VLOOKUP($B175, Propostas!$B:$BE, 38, FALSE) )</f>
        <v/>
      </c>
      <c r="J175" s="13" t="str">
        <f>IF($B175="","",IF($C175="SIM", "&lt; INFRRAESTRUTURA &gt;", VLOOKUP($B175,Propostas!$B:$BE,41,FALSE)))</f>
        <v/>
      </c>
      <c r="K175" s="10" t="str">
        <f>IF($B175="","",  VLOOKUP($B175, Propostas!$B:$BE, 40, FALSE) )</f>
        <v/>
      </c>
      <c r="L175" s="10" t="str">
        <f>IF($B175="","",IF(VLOOKUP($B175,Propostas!$B:$BE,21,FALSE)=1,"B",IF(VLOOKUP($B175,Propostas!$B:$BE,21,FALSE)=2,"E","N")))</f>
        <v/>
      </c>
      <c r="M175" s="32" t="str">
        <f>IF($B175 = "", "",  VLOOKUP($B175, Propostas!$B:$BE, 46, FALSE) )</f>
        <v/>
      </c>
      <c r="N175" s="32" t="str">
        <f>IF($B175 = "", "",  VLOOKUP($B175, Propostas!$B:$BE, 47, FALSE) )</f>
        <v/>
      </c>
      <c r="O175" s="13" t="str">
        <f>IF($B175="","",IF($C175="SIM", "INFRAESTRUTURA", VLOOKUP($B175, Propostas!$B:$BE,42,FALSE)))</f>
        <v/>
      </c>
      <c r="P175" s="32" t="str">
        <f>IF($B175 = "", "",  VLOOKUP($B175, Propostas!$B:$BE, 49, FALSE) )</f>
        <v/>
      </c>
      <c r="Q175" s="13" t="str">
        <f>IF($B175="","",  VLOOKUP($B175, Propostas!$B:$BE, 39, FALSE) )</f>
        <v/>
      </c>
      <c r="R175" s="81" t="str">
        <f>IF($B175="","",  VLOOKUP($B175, Propostas!$B:$BE, 43, FALSE) )</f>
        <v/>
      </c>
      <c r="S175" s="81" t="str">
        <f>IF($B175="","",  VLOOKUP($B175, Propostas!$B:$BE, 44, FALSE) )</f>
        <v/>
      </c>
      <c r="T175" s="81" t="str">
        <f>IF($B175="","",  VLOOKUP($B175, Propostas!$B:$BE, 45, FALSE) )</f>
        <v/>
      </c>
      <c r="U175" s="32" t="str">
        <f>IF($B175="","",  VLOOKUP($B175, Propostas!$B:$BE, 37, FALSE) )</f>
        <v/>
      </c>
      <c r="V175" s="13" t="str">
        <f>IF($B175="","",  VLOOKUP($B175, Propostas!$B:$BE, 50, FALSE) )</f>
        <v/>
      </c>
      <c r="W175" s="13" t="str">
        <f>IF($B175="","",  VLOOKUP($B175, Propostas!$B:$BE, 51, FALSE) )</f>
        <v/>
      </c>
      <c r="X175" s="13" t="str">
        <f>IF($B175="","",  VLOOKUP($B175, Propostas!$B:$BE, 52, FALSE) )</f>
        <v/>
      </c>
      <c r="Y175" s="13" t="str">
        <f>IF($B175="","",  VLOOKUP($B175, Propostas!$B:$BE, 36, FALSE) )</f>
        <v/>
      </c>
      <c r="Z175" s="13" t="str">
        <f>IF($B175="","",  VLOOKUP($F175, VW_PROJETO!B:C, 2, FALSE) )</f>
        <v/>
      </c>
    </row>
    <row r="176" spans="2:26" x14ac:dyDescent="0.2">
      <c r="B176" s="2"/>
      <c r="C176" s="4" t="str">
        <f>IF($B176="","",  VLOOKUP($B176, Propostas!$B:$BE, 33, FALSE) )</f>
        <v/>
      </c>
      <c r="D176" s="4" t="str">
        <f>IF($B176="","",  VLOOKUP($B176, Propostas!$B:$BE, 34, FALSE) )</f>
        <v/>
      </c>
      <c r="E176" s="4" t="str">
        <f>IF($B176="","",  VLOOKUP($B176, Propostas!$B:$BE, 35, FALSE) )</f>
        <v/>
      </c>
      <c r="F176" s="4" t="str">
        <f>IF($B176="","",  VLOOKUP($B176, Propostas!$B:$BE, 2, FALSE) )</f>
        <v/>
      </c>
      <c r="G176" s="4" t="str">
        <f>IF($B176="","",  VLOOKUP($B176, Propostas!$B:$BE, 3, FALSE) )</f>
        <v/>
      </c>
      <c r="H176" s="4" t="str">
        <f>IF($B176="","",  VLOOKUP($B176, Propostas!$B:$BE, 4, FALSE) )</f>
        <v/>
      </c>
      <c r="I176" s="4" t="str">
        <f>IF($B176="","",  VLOOKUP($B176, Propostas!$B:$BE, 38, FALSE) )</f>
        <v/>
      </c>
      <c r="J176" s="13" t="str">
        <f>IF($B176="","",IF($C176="SIM", "&lt; INFRRAESTRUTURA &gt;", VLOOKUP($B176,Propostas!$B:$BE,41,FALSE)))</f>
        <v/>
      </c>
      <c r="K176" s="10" t="str">
        <f>IF($B176="","",  VLOOKUP($B176, Propostas!$B:$BE, 40, FALSE) )</f>
        <v/>
      </c>
      <c r="L176" s="10" t="str">
        <f>IF($B176="","",IF(VLOOKUP($B176,Propostas!$B:$BE,21,FALSE)=1,"B",IF(VLOOKUP($B176,Propostas!$B:$BE,21,FALSE)=2,"E","N")))</f>
        <v/>
      </c>
      <c r="M176" s="32" t="str">
        <f>IF($B176 = "", "",  VLOOKUP($B176, Propostas!$B:$BE, 46, FALSE) )</f>
        <v/>
      </c>
      <c r="N176" s="32" t="str">
        <f>IF($B176 = "", "",  VLOOKUP($B176, Propostas!$B:$BE, 47, FALSE) )</f>
        <v/>
      </c>
      <c r="O176" s="13" t="str">
        <f>IF($B176="","",IF($C176="SIM", "INFRAESTRUTURA", VLOOKUP($B176, Propostas!$B:$BE,42,FALSE)))</f>
        <v/>
      </c>
      <c r="P176" s="32" t="str">
        <f>IF($B176 = "", "",  VLOOKUP($B176, Propostas!$B:$BE, 49, FALSE) )</f>
        <v/>
      </c>
      <c r="Q176" s="13" t="str">
        <f>IF($B176="","",  VLOOKUP($B176, Propostas!$B:$BE, 39, FALSE) )</f>
        <v/>
      </c>
      <c r="R176" s="81" t="str">
        <f>IF($B176="","",  VLOOKUP($B176, Propostas!$B:$BE, 43, FALSE) )</f>
        <v/>
      </c>
      <c r="S176" s="81" t="str">
        <f>IF($B176="","",  VLOOKUP($B176, Propostas!$B:$BE, 44, FALSE) )</f>
        <v/>
      </c>
      <c r="T176" s="81" t="str">
        <f>IF($B176="","",  VLOOKUP($B176, Propostas!$B:$BE, 45, FALSE) )</f>
        <v/>
      </c>
      <c r="U176" s="32" t="str">
        <f>IF($B176="","",  VLOOKUP($B176, Propostas!$B:$BE, 37, FALSE) )</f>
        <v/>
      </c>
      <c r="V176" s="13" t="str">
        <f>IF($B176="","",  VLOOKUP($B176, Propostas!$B:$BE, 50, FALSE) )</f>
        <v/>
      </c>
      <c r="W176" s="13" t="str">
        <f>IF($B176="","",  VLOOKUP($B176, Propostas!$B:$BE, 51, FALSE) )</f>
        <v/>
      </c>
      <c r="X176" s="13" t="str">
        <f>IF($B176="","",  VLOOKUP($B176, Propostas!$B:$BE, 52, FALSE) )</f>
        <v/>
      </c>
      <c r="Y176" s="13" t="str">
        <f>IF($B176="","",  VLOOKUP($B176, Propostas!$B:$BE, 36, FALSE) )</f>
        <v/>
      </c>
      <c r="Z176" s="13" t="str">
        <f>IF($B176="","",  VLOOKUP($F176, VW_PROJETO!B:C, 2, FALSE) )</f>
        <v/>
      </c>
    </row>
    <row r="177" spans="2:26" x14ac:dyDescent="0.2">
      <c r="B177" s="2"/>
      <c r="C177" s="4" t="str">
        <f>IF($B177="","",  VLOOKUP($B177, Propostas!$B:$BE, 33, FALSE) )</f>
        <v/>
      </c>
      <c r="D177" s="4" t="str">
        <f>IF($B177="","",  VLOOKUP($B177, Propostas!$B:$BE, 34, FALSE) )</f>
        <v/>
      </c>
      <c r="E177" s="4" t="str">
        <f>IF($B177="","",  VLOOKUP($B177, Propostas!$B:$BE, 35, FALSE) )</f>
        <v/>
      </c>
      <c r="F177" s="4" t="str">
        <f>IF($B177="","",  VLOOKUP($B177, Propostas!$B:$BE, 2, FALSE) )</f>
        <v/>
      </c>
      <c r="G177" s="4" t="str">
        <f>IF($B177="","",  VLOOKUP($B177, Propostas!$B:$BE, 3, FALSE) )</f>
        <v/>
      </c>
      <c r="H177" s="4" t="str">
        <f>IF($B177="","",  VLOOKUP($B177, Propostas!$B:$BE, 4, FALSE) )</f>
        <v/>
      </c>
      <c r="I177" s="4" t="str">
        <f>IF($B177="","",  VLOOKUP($B177, Propostas!$B:$BE, 38, FALSE) )</f>
        <v/>
      </c>
      <c r="J177" s="13" t="str">
        <f>IF($B177="","",IF($C177="SIM", "&lt; INFRRAESTRUTURA &gt;", VLOOKUP($B177,Propostas!$B:$BE,41,FALSE)))</f>
        <v/>
      </c>
      <c r="K177" s="10" t="str">
        <f>IF($B177="","",  VLOOKUP($B177, Propostas!$B:$BE, 40, FALSE) )</f>
        <v/>
      </c>
      <c r="L177" s="10" t="str">
        <f>IF($B177="","",IF(VLOOKUP($B177,Propostas!$B:$BE,21,FALSE)=1,"B",IF(VLOOKUP($B177,Propostas!$B:$BE,21,FALSE)=2,"E","N")))</f>
        <v/>
      </c>
      <c r="M177" s="32" t="str">
        <f>IF($B177 = "", "",  VLOOKUP($B177, Propostas!$B:$BE, 46, FALSE) )</f>
        <v/>
      </c>
      <c r="N177" s="32" t="str">
        <f>IF($B177 = "", "",  VLOOKUP($B177, Propostas!$B:$BE, 47, FALSE) )</f>
        <v/>
      </c>
      <c r="O177" s="13" t="str">
        <f>IF($B177="","",IF($C177="SIM", "INFRAESTRUTURA", VLOOKUP($B177, Propostas!$B:$BE,42,FALSE)))</f>
        <v/>
      </c>
      <c r="P177" s="32" t="str">
        <f>IF($B177 = "", "",  VLOOKUP($B177, Propostas!$B:$BE, 49, FALSE) )</f>
        <v/>
      </c>
      <c r="Q177" s="13" t="str">
        <f>IF($B177="","",  VLOOKUP($B177, Propostas!$B:$BE, 39, FALSE) )</f>
        <v/>
      </c>
      <c r="R177" s="81" t="str">
        <f>IF($B177="","",  VLOOKUP($B177, Propostas!$B:$BE, 43, FALSE) )</f>
        <v/>
      </c>
      <c r="S177" s="81" t="str">
        <f>IF($B177="","",  VLOOKUP($B177, Propostas!$B:$BE, 44, FALSE) )</f>
        <v/>
      </c>
      <c r="T177" s="81" t="str">
        <f>IF($B177="","",  VLOOKUP($B177, Propostas!$B:$BE, 45, FALSE) )</f>
        <v/>
      </c>
      <c r="U177" s="32" t="str">
        <f>IF($B177="","",  VLOOKUP($B177, Propostas!$B:$BE, 37, FALSE) )</f>
        <v/>
      </c>
      <c r="V177" s="13" t="str">
        <f>IF($B177="","",  VLOOKUP($B177, Propostas!$B:$BE, 50, FALSE) )</f>
        <v/>
      </c>
      <c r="W177" s="13" t="str">
        <f>IF($B177="","",  VLOOKUP($B177, Propostas!$B:$BE, 51, FALSE) )</f>
        <v/>
      </c>
      <c r="X177" s="13" t="str">
        <f>IF($B177="","",  VLOOKUP($B177, Propostas!$B:$BE, 52, FALSE) )</f>
        <v/>
      </c>
      <c r="Y177" s="13" t="str">
        <f>IF($B177="","",  VLOOKUP($B177, Propostas!$B:$BE, 36, FALSE) )</f>
        <v/>
      </c>
      <c r="Z177" s="13" t="str">
        <f>IF($B177="","",  VLOOKUP($F177, VW_PROJETO!B:C, 2, FALSE) )</f>
        <v/>
      </c>
    </row>
    <row r="178" spans="2:26" x14ac:dyDescent="0.2">
      <c r="B178" s="2"/>
      <c r="C178" s="4" t="str">
        <f>IF($B178="","",  VLOOKUP($B178, Propostas!$B:$BE, 33, FALSE) )</f>
        <v/>
      </c>
      <c r="D178" s="4" t="str">
        <f>IF($B178="","",  VLOOKUP($B178, Propostas!$B:$BE, 34, FALSE) )</f>
        <v/>
      </c>
      <c r="E178" s="4" t="str">
        <f>IF($B178="","",  VLOOKUP($B178, Propostas!$B:$BE, 35, FALSE) )</f>
        <v/>
      </c>
      <c r="F178" s="4" t="str">
        <f>IF($B178="","",  VLOOKUP($B178, Propostas!$B:$BE, 2, FALSE) )</f>
        <v/>
      </c>
      <c r="G178" s="4" t="str">
        <f>IF($B178="","",  VLOOKUP($B178, Propostas!$B:$BE, 3, FALSE) )</f>
        <v/>
      </c>
      <c r="H178" s="4" t="str">
        <f>IF($B178="","",  VLOOKUP($B178, Propostas!$B:$BE, 4, FALSE) )</f>
        <v/>
      </c>
      <c r="I178" s="4" t="str">
        <f>IF($B178="","",  VLOOKUP($B178, Propostas!$B:$BE, 38, FALSE) )</f>
        <v/>
      </c>
      <c r="J178" s="13" t="str">
        <f>IF($B178="","",IF($C178="SIM", "&lt; INFRRAESTRUTURA &gt;", VLOOKUP($B178,Propostas!$B:$BE,41,FALSE)))</f>
        <v/>
      </c>
      <c r="K178" s="10" t="str">
        <f>IF($B178="","",  VLOOKUP($B178, Propostas!$B:$BE, 40, FALSE) )</f>
        <v/>
      </c>
      <c r="L178" s="10" t="str">
        <f>IF($B178="","",IF(VLOOKUP($B178,Propostas!$B:$BE,21,FALSE)=1,"B",IF(VLOOKUP($B178,Propostas!$B:$BE,21,FALSE)=2,"E","N")))</f>
        <v/>
      </c>
      <c r="M178" s="32" t="str">
        <f>IF($B178 = "", "",  VLOOKUP($B178, Propostas!$B:$BE, 46, FALSE) )</f>
        <v/>
      </c>
      <c r="N178" s="32" t="str">
        <f>IF($B178 = "", "",  VLOOKUP($B178, Propostas!$B:$BE, 47, FALSE) )</f>
        <v/>
      </c>
      <c r="O178" s="13" t="str">
        <f>IF($B178="","",IF($C178="SIM", "INFRAESTRUTURA", VLOOKUP($B178, Propostas!$B:$BE,42,FALSE)))</f>
        <v/>
      </c>
      <c r="P178" s="32" t="str">
        <f>IF($B178 = "", "",  VLOOKUP($B178, Propostas!$B:$BE, 49, FALSE) )</f>
        <v/>
      </c>
      <c r="Q178" s="13" t="str">
        <f>IF($B178="","",  VLOOKUP($B178, Propostas!$B:$BE, 39, FALSE) )</f>
        <v/>
      </c>
      <c r="R178" s="81" t="str">
        <f>IF($B178="","",  VLOOKUP($B178, Propostas!$B:$BE, 43, FALSE) )</f>
        <v/>
      </c>
      <c r="S178" s="81" t="str">
        <f>IF($B178="","",  VLOOKUP($B178, Propostas!$B:$BE, 44, FALSE) )</f>
        <v/>
      </c>
      <c r="T178" s="81" t="str">
        <f>IF($B178="","",  VLOOKUP($B178, Propostas!$B:$BE, 45, FALSE) )</f>
        <v/>
      </c>
      <c r="U178" s="32" t="str">
        <f>IF($B178="","",  VLOOKUP($B178, Propostas!$B:$BE, 37, FALSE) )</f>
        <v/>
      </c>
      <c r="V178" s="13" t="str">
        <f>IF($B178="","",  VLOOKUP($B178, Propostas!$B:$BE, 50, FALSE) )</f>
        <v/>
      </c>
      <c r="W178" s="13" t="str">
        <f>IF($B178="","",  VLOOKUP($B178, Propostas!$B:$BE, 51, FALSE) )</f>
        <v/>
      </c>
      <c r="X178" s="13" t="str">
        <f>IF($B178="","",  VLOOKUP($B178, Propostas!$B:$BE, 52, FALSE) )</f>
        <v/>
      </c>
      <c r="Y178" s="13" t="str">
        <f>IF($B178="","",  VLOOKUP($B178, Propostas!$B:$BE, 36, FALSE) )</f>
        <v/>
      </c>
      <c r="Z178" s="13" t="str">
        <f>IF($B178="","",  VLOOKUP($F178, VW_PROJETO!B:C, 2, FALSE) )</f>
        <v/>
      </c>
    </row>
    <row r="179" spans="2:26" x14ac:dyDescent="0.2">
      <c r="B179" s="2"/>
      <c r="C179" s="4" t="str">
        <f>IF($B179="","",  VLOOKUP($B179, Propostas!$B:$BE, 33, FALSE) )</f>
        <v/>
      </c>
      <c r="D179" s="4" t="str">
        <f>IF($B179="","",  VLOOKUP($B179, Propostas!$B:$BE, 34, FALSE) )</f>
        <v/>
      </c>
      <c r="E179" s="4" t="str">
        <f>IF($B179="","",  VLOOKUP($B179, Propostas!$B:$BE, 35, FALSE) )</f>
        <v/>
      </c>
      <c r="F179" s="4" t="str">
        <f>IF($B179="","",  VLOOKUP($B179, Propostas!$B:$BE, 2, FALSE) )</f>
        <v/>
      </c>
      <c r="G179" s="4" t="str">
        <f>IF($B179="","",  VLOOKUP($B179, Propostas!$B:$BE, 3, FALSE) )</f>
        <v/>
      </c>
      <c r="H179" s="4" t="str">
        <f>IF($B179="","",  VLOOKUP($B179, Propostas!$B:$BE, 4, FALSE) )</f>
        <v/>
      </c>
      <c r="I179" s="4" t="str">
        <f>IF($B179="","",  VLOOKUP($B179, Propostas!$B:$BE, 38, FALSE) )</f>
        <v/>
      </c>
      <c r="J179" s="13" t="str">
        <f>IF($B179="","",IF($C179="SIM", "&lt; INFRRAESTRUTURA &gt;", VLOOKUP($B179,Propostas!$B:$BE,41,FALSE)))</f>
        <v/>
      </c>
      <c r="K179" s="10" t="str">
        <f>IF($B179="","",  VLOOKUP($B179, Propostas!$B:$BE, 40, FALSE) )</f>
        <v/>
      </c>
      <c r="L179" s="10" t="str">
        <f>IF($B179="","",IF(VLOOKUP($B179,Propostas!$B:$BE,21,FALSE)=1,"B",IF(VLOOKUP($B179,Propostas!$B:$BE,21,FALSE)=2,"E","N")))</f>
        <v/>
      </c>
      <c r="M179" s="32" t="str">
        <f>IF($B179 = "", "",  VLOOKUP($B179, Propostas!$B:$BE, 46, FALSE) )</f>
        <v/>
      </c>
      <c r="N179" s="32" t="str">
        <f>IF($B179 = "", "",  VLOOKUP($B179, Propostas!$B:$BE, 47, FALSE) )</f>
        <v/>
      </c>
      <c r="O179" s="13" t="str">
        <f>IF($B179="","",IF($C179="SIM", "INFRAESTRUTURA", VLOOKUP($B179, Propostas!$B:$BE,42,FALSE)))</f>
        <v/>
      </c>
      <c r="P179" s="32" t="str">
        <f>IF($B179 = "", "",  VLOOKUP($B179, Propostas!$B:$BE, 49, FALSE) )</f>
        <v/>
      </c>
      <c r="Q179" s="13" t="str">
        <f>IF($B179="","",  VLOOKUP($B179, Propostas!$B:$BE, 39, FALSE) )</f>
        <v/>
      </c>
      <c r="R179" s="81" t="str">
        <f>IF($B179="","",  VLOOKUP($B179, Propostas!$B:$BE, 43, FALSE) )</f>
        <v/>
      </c>
      <c r="S179" s="81" t="str">
        <f>IF($B179="","",  VLOOKUP($B179, Propostas!$B:$BE, 44, FALSE) )</f>
        <v/>
      </c>
      <c r="T179" s="81" t="str">
        <f>IF($B179="","",  VLOOKUP($B179, Propostas!$B:$BE, 45, FALSE) )</f>
        <v/>
      </c>
      <c r="U179" s="32" t="str">
        <f>IF($B179="","",  VLOOKUP($B179, Propostas!$B:$BE, 37, FALSE) )</f>
        <v/>
      </c>
      <c r="V179" s="13" t="str">
        <f>IF($B179="","",  VLOOKUP($B179, Propostas!$B:$BE, 50, FALSE) )</f>
        <v/>
      </c>
      <c r="W179" s="13" t="str">
        <f>IF($B179="","",  VLOOKUP($B179, Propostas!$B:$BE, 51, FALSE) )</f>
        <v/>
      </c>
      <c r="X179" s="13" t="str">
        <f>IF($B179="","",  VLOOKUP($B179, Propostas!$B:$BE, 52, FALSE) )</f>
        <v/>
      </c>
      <c r="Y179" s="13" t="str">
        <f>IF($B179="","",  VLOOKUP($B179, Propostas!$B:$BE, 36, FALSE) )</f>
        <v/>
      </c>
      <c r="Z179" s="13" t="str">
        <f>IF($B179="","",  VLOOKUP($F179, VW_PROJETO!B:C, 2, FALSE) )</f>
        <v/>
      </c>
    </row>
    <row r="180" spans="2:26" x14ac:dyDescent="0.2">
      <c r="B180" s="2"/>
      <c r="C180" s="4" t="str">
        <f>IF($B180="","",  VLOOKUP($B180, Propostas!$B:$BE, 33, FALSE) )</f>
        <v/>
      </c>
      <c r="D180" s="4" t="str">
        <f>IF($B180="","",  VLOOKUP($B180, Propostas!$B:$BE, 34, FALSE) )</f>
        <v/>
      </c>
      <c r="E180" s="4" t="str">
        <f>IF($B180="","",  VLOOKUP($B180, Propostas!$B:$BE, 35, FALSE) )</f>
        <v/>
      </c>
      <c r="F180" s="4" t="str">
        <f>IF($B180="","",  VLOOKUP($B180, Propostas!$B:$BE, 2, FALSE) )</f>
        <v/>
      </c>
      <c r="G180" s="4" t="str">
        <f>IF($B180="","",  VLOOKUP($B180, Propostas!$B:$BE, 3, FALSE) )</f>
        <v/>
      </c>
      <c r="H180" s="4" t="str">
        <f>IF($B180="","",  VLOOKUP($B180, Propostas!$B:$BE, 4, FALSE) )</f>
        <v/>
      </c>
      <c r="I180" s="4" t="str">
        <f>IF($B180="","",  VLOOKUP($B180, Propostas!$B:$BE, 38, FALSE) )</f>
        <v/>
      </c>
      <c r="J180" s="13" t="str">
        <f>IF($B180="","",IF($C180="SIM", "&lt; INFRRAESTRUTURA &gt;", VLOOKUP($B180,Propostas!$B:$BE,41,FALSE)))</f>
        <v/>
      </c>
      <c r="K180" s="10" t="str">
        <f>IF($B180="","",  VLOOKUP($B180, Propostas!$B:$BE, 40, FALSE) )</f>
        <v/>
      </c>
      <c r="L180" s="10" t="str">
        <f>IF($B180="","",IF(VLOOKUP($B180,Propostas!$B:$BE,21,FALSE)=1,"B",IF(VLOOKUP($B180,Propostas!$B:$BE,21,FALSE)=2,"E","N")))</f>
        <v/>
      </c>
      <c r="M180" s="32" t="str">
        <f>IF($B180 = "", "",  VLOOKUP($B180, Propostas!$B:$BE, 46, FALSE) )</f>
        <v/>
      </c>
      <c r="N180" s="32" t="str">
        <f>IF($B180 = "", "",  VLOOKUP($B180, Propostas!$B:$BE, 47, FALSE) )</f>
        <v/>
      </c>
      <c r="O180" s="13" t="str">
        <f>IF($B180="","",IF($C180="SIM", "INFRAESTRUTURA", VLOOKUP($B180, Propostas!$B:$BE,42,FALSE)))</f>
        <v/>
      </c>
      <c r="P180" s="32" t="str">
        <f>IF($B180 = "", "",  VLOOKUP($B180, Propostas!$B:$BE, 49, FALSE) )</f>
        <v/>
      </c>
      <c r="Q180" s="13" t="str">
        <f>IF($B180="","",  VLOOKUP($B180, Propostas!$B:$BE, 39, FALSE) )</f>
        <v/>
      </c>
      <c r="R180" s="81" t="str">
        <f>IF($B180="","",  VLOOKUP($B180, Propostas!$B:$BE, 43, FALSE) )</f>
        <v/>
      </c>
      <c r="S180" s="81" t="str">
        <f>IF($B180="","",  VLOOKUP($B180, Propostas!$B:$BE, 44, FALSE) )</f>
        <v/>
      </c>
      <c r="T180" s="81" t="str">
        <f>IF($B180="","",  VLOOKUP($B180, Propostas!$B:$BE, 45, FALSE) )</f>
        <v/>
      </c>
      <c r="U180" s="32" t="str">
        <f>IF($B180="","",  VLOOKUP($B180, Propostas!$B:$BE, 37, FALSE) )</f>
        <v/>
      </c>
      <c r="V180" s="13" t="str">
        <f>IF($B180="","",  VLOOKUP($B180, Propostas!$B:$BE, 50, FALSE) )</f>
        <v/>
      </c>
      <c r="W180" s="13" t="str">
        <f>IF($B180="","",  VLOOKUP($B180, Propostas!$B:$BE, 51, FALSE) )</f>
        <v/>
      </c>
      <c r="X180" s="13" t="str">
        <f>IF($B180="","",  VLOOKUP($B180, Propostas!$B:$BE, 52, FALSE) )</f>
        <v/>
      </c>
      <c r="Y180" s="13" t="str">
        <f>IF($B180="","",  VLOOKUP($B180, Propostas!$B:$BE, 36, FALSE) )</f>
        <v/>
      </c>
      <c r="Z180" s="13" t="str">
        <f>IF($B180="","",  VLOOKUP($F180, VW_PROJETO!B:C, 2, FALSE) )</f>
        <v/>
      </c>
    </row>
    <row r="181" spans="2:26" x14ac:dyDescent="0.2">
      <c r="B181" s="2"/>
      <c r="C181" s="4" t="str">
        <f>IF($B181="","",  VLOOKUP($B181, Propostas!$B:$BE, 33, FALSE) )</f>
        <v/>
      </c>
      <c r="D181" s="4" t="str">
        <f>IF($B181="","",  VLOOKUP($B181, Propostas!$B:$BE, 34, FALSE) )</f>
        <v/>
      </c>
      <c r="E181" s="4" t="str">
        <f>IF($B181="","",  VLOOKUP($B181, Propostas!$B:$BE, 35, FALSE) )</f>
        <v/>
      </c>
      <c r="F181" s="4" t="str">
        <f>IF($B181="","",  VLOOKUP($B181, Propostas!$B:$BE, 2, FALSE) )</f>
        <v/>
      </c>
      <c r="G181" s="4" t="str">
        <f>IF($B181="","",  VLOOKUP($B181, Propostas!$B:$BE, 3, FALSE) )</f>
        <v/>
      </c>
      <c r="H181" s="4" t="str">
        <f>IF($B181="","",  VLOOKUP($B181, Propostas!$B:$BE, 4, FALSE) )</f>
        <v/>
      </c>
      <c r="I181" s="4" t="str">
        <f>IF($B181="","",  VLOOKUP($B181, Propostas!$B:$BE, 38, FALSE) )</f>
        <v/>
      </c>
      <c r="J181" s="13" t="str">
        <f>IF($B181="","",IF($C181="SIM", "&lt; INFRRAESTRUTURA &gt;", VLOOKUP($B181,Propostas!$B:$BE,41,FALSE)))</f>
        <v/>
      </c>
      <c r="K181" s="10" t="str">
        <f>IF($B181="","",  VLOOKUP($B181, Propostas!$B:$BE, 40, FALSE) )</f>
        <v/>
      </c>
      <c r="L181" s="10" t="str">
        <f>IF($B181="","",IF(VLOOKUP($B181,Propostas!$B:$BE,21,FALSE)=1,"B",IF(VLOOKUP($B181,Propostas!$B:$BE,21,FALSE)=2,"E","N")))</f>
        <v/>
      </c>
      <c r="M181" s="32" t="str">
        <f>IF($B181 = "", "",  VLOOKUP($B181, Propostas!$B:$BE, 46, FALSE) )</f>
        <v/>
      </c>
      <c r="N181" s="32" t="str">
        <f>IF($B181 = "", "",  VLOOKUP($B181, Propostas!$B:$BE, 47, FALSE) )</f>
        <v/>
      </c>
      <c r="O181" s="13" t="str">
        <f>IF($B181="","",IF($C181="SIM", "INFRAESTRUTURA", VLOOKUP($B181, Propostas!$B:$BE,42,FALSE)))</f>
        <v/>
      </c>
      <c r="P181" s="32" t="str">
        <f>IF($B181 = "", "",  VLOOKUP($B181, Propostas!$B:$BE, 49, FALSE) )</f>
        <v/>
      </c>
      <c r="Q181" s="13" t="str">
        <f>IF($B181="","",  VLOOKUP($B181, Propostas!$B:$BE, 39, FALSE) )</f>
        <v/>
      </c>
      <c r="R181" s="81" t="str">
        <f>IF($B181="","",  VLOOKUP($B181, Propostas!$B:$BE, 43, FALSE) )</f>
        <v/>
      </c>
      <c r="S181" s="81" t="str">
        <f>IF($B181="","",  VLOOKUP($B181, Propostas!$B:$BE, 44, FALSE) )</f>
        <v/>
      </c>
      <c r="T181" s="81" t="str">
        <f>IF($B181="","",  VLOOKUP($B181, Propostas!$B:$BE, 45, FALSE) )</f>
        <v/>
      </c>
      <c r="U181" s="32" t="str">
        <f>IF($B181="","",  VLOOKUP($B181, Propostas!$B:$BE, 37, FALSE) )</f>
        <v/>
      </c>
      <c r="V181" s="13" t="str">
        <f>IF($B181="","",  VLOOKUP($B181, Propostas!$B:$BE, 50, FALSE) )</f>
        <v/>
      </c>
      <c r="W181" s="13" t="str">
        <f>IF($B181="","",  VLOOKUP($B181, Propostas!$B:$BE, 51, FALSE) )</f>
        <v/>
      </c>
      <c r="X181" s="13" t="str">
        <f>IF($B181="","",  VLOOKUP($B181, Propostas!$B:$BE, 52, FALSE) )</f>
        <v/>
      </c>
      <c r="Y181" s="13" t="str">
        <f>IF($B181="","",  VLOOKUP($B181, Propostas!$B:$BE, 36, FALSE) )</f>
        <v/>
      </c>
      <c r="Z181" s="13" t="str">
        <f>IF($B181="","",  VLOOKUP($F181, VW_PROJETO!B:C, 2, FALSE) )</f>
        <v/>
      </c>
    </row>
    <row r="182" spans="2:26" x14ac:dyDescent="0.2">
      <c r="B182" s="2"/>
      <c r="C182" s="4" t="str">
        <f>IF($B182="","",  VLOOKUP($B182, Propostas!$B:$BE, 33, FALSE) )</f>
        <v/>
      </c>
      <c r="D182" s="4" t="str">
        <f>IF($B182="","",  VLOOKUP($B182, Propostas!$B:$BE, 34, FALSE) )</f>
        <v/>
      </c>
      <c r="E182" s="4" t="str">
        <f>IF($B182="","",  VLOOKUP($B182, Propostas!$B:$BE, 35, FALSE) )</f>
        <v/>
      </c>
      <c r="F182" s="4" t="str">
        <f>IF($B182="","",  VLOOKUP($B182, Propostas!$B:$BE, 2, FALSE) )</f>
        <v/>
      </c>
      <c r="G182" s="4" t="str">
        <f>IF($B182="","",  VLOOKUP($B182, Propostas!$B:$BE, 3, FALSE) )</f>
        <v/>
      </c>
      <c r="H182" s="4" t="str">
        <f>IF($B182="","",  VLOOKUP($B182, Propostas!$B:$BE, 4, FALSE) )</f>
        <v/>
      </c>
      <c r="I182" s="4" t="str">
        <f>IF($B182="","",  VLOOKUP($B182, Propostas!$B:$BE, 38, FALSE) )</f>
        <v/>
      </c>
      <c r="J182" s="13" t="str">
        <f>IF($B182="","",IF($C182="SIM", "&lt; INFRRAESTRUTURA &gt;", VLOOKUP($B182,Propostas!$B:$BE,41,FALSE)))</f>
        <v/>
      </c>
      <c r="K182" s="10" t="str">
        <f>IF($B182="","",  VLOOKUP($B182, Propostas!$B:$BE, 40, FALSE) )</f>
        <v/>
      </c>
      <c r="L182" s="10" t="str">
        <f>IF($B182="","",IF(VLOOKUP($B182,Propostas!$B:$BE,21,FALSE)=1,"B",IF(VLOOKUP($B182,Propostas!$B:$BE,21,FALSE)=2,"E","N")))</f>
        <v/>
      </c>
      <c r="M182" s="32" t="str">
        <f>IF($B182 = "", "",  VLOOKUP($B182, Propostas!$B:$BE, 46, FALSE) )</f>
        <v/>
      </c>
      <c r="N182" s="32" t="str">
        <f>IF($B182 = "", "",  VLOOKUP($B182, Propostas!$B:$BE, 47, FALSE) )</f>
        <v/>
      </c>
      <c r="O182" s="13" t="str">
        <f>IF($B182="","",IF($C182="SIM", "INFRAESTRUTURA", VLOOKUP($B182, Propostas!$B:$BE,42,FALSE)))</f>
        <v/>
      </c>
      <c r="P182" s="32" t="str">
        <f>IF($B182 = "", "",  VLOOKUP($B182, Propostas!$B:$BE, 49, FALSE) )</f>
        <v/>
      </c>
      <c r="Q182" s="13" t="str">
        <f>IF($B182="","",  VLOOKUP($B182, Propostas!$B:$BE, 39, FALSE) )</f>
        <v/>
      </c>
      <c r="R182" s="81" t="str">
        <f>IF($B182="","",  VLOOKUP($B182, Propostas!$B:$BE, 43, FALSE) )</f>
        <v/>
      </c>
      <c r="S182" s="81" t="str">
        <f>IF($B182="","",  VLOOKUP($B182, Propostas!$B:$BE, 44, FALSE) )</f>
        <v/>
      </c>
      <c r="T182" s="81" t="str">
        <f>IF($B182="","",  VLOOKUP($B182, Propostas!$B:$BE, 45, FALSE) )</f>
        <v/>
      </c>
      <c r="U182" s="32" t="str">
        <f>IF($B182="","",  VLOOKUP($B182, Propostas!$B:$BE, 37, FALSE) )</f>
        <v/>
      </c>
      <c r="V182" s="13" t="str">
        <f>IF($B182="","",  VLOOKUP($B182, Propostas!$B:$BE, 50, FALSE) )</f>
        <v/>
      </c>
      <c r="W182" s="13" t="str">
        <f>IF($B182="","",  VLOOKUP($B182, Propostas!$B:$BE, 51, FALSE) )</f>
        <v/>
      </c>
      <c r="X182" s="13" t="str">
        <f>IF($B182="","",  VLOOKUP($B182, Propostas!$B:$BE, 52, FALSE) )</f>
        <v/>
      </c>
      <c r="Y182" s="13" t="str">
        <f>IF($B182="","",  VLOOKUP($B182, Propostas!$B:$BE, 36, FALSE) )</f>
        <v/>
      </c>
      <c r="Z182" s="13" t="str">
        <f>IF($B182="","",  VLOOKUP($F182, VW_PROJETO!B:C, 2, FALSE) )</f>
        <v/>
      </c>
    </row>
    <row r="183" spans="2:26" x14ac:dyDescent="0.2">
      <c r="B183" s="2"/>
      <c r="C183" s="4" t="str">
        <f>IF($B183="","",  VLOOKUP($B183, Propostas!$B:$BE, 33, FALSE) )</f>
        <v/>
      </c>
      <c r="D183" s="4" t="str">
        <f>IF($B183="","",  VLOOKUP($B183, Propostas!$B:$BE, 34, FALSE) )</f>
        <v/>
      </c>
      <c r="E183" s="4" t="str">
        <f>IF($B183="","",  VLOOKUP($B183, Propostas!$B:$BE, 35, FALSE) )</f>
        <v/>
      </c>
      <c r="F183" s="4" t="str">
        <f>IF($B183="","",  VLOOKUP($B183, Propostas!$B:$BE, 2, FALSE) )</f>
        <v/>
      </c>
      <c r="G183" s="4" t="str">
        <f>IF($B183="","",  VLOOKUP($B183, Propostas!$B:$BE, 3, FALSE) )</f>
        <v/>
      </c>
      <c r="H183" s="4" t="str">
        <f>IF($B183="","",  VLOOKUP($B183, Propostas!$B:$BE, 4, FALSE) )</f>
        <v/>
      </c>
      <c r="I183" s="4" t="str">
        <f>IF($B183="","",  VLOOKUP($B183, Propostas!$B:$BE, 38, FALSE) )</f>
        <v/>
      </c>
      <c r="J183" s="13" t="str">
        <f>IF($B183="","",IF($C183="SIM", "&lt; INFRRAESTRUTURA &gt;", VLOOKUP($B183,Propostas!$B:$BE,41,FALSE)))</f>
        <v/>
      </c>
      <c r="K183" s="10" t="str">
        <f>IF($B183="","",  VLOOKUP($B183, Propostas!$B:$BE, 40, FALSE) )</f>
        <v/>
      </c>
      <c r="L183" s="10" t="str">
        <f>IF($B183="","",IF(VLOOKUP($B183,Propostas!$B:$BE,21,FALSE)=1,"B",IF(VLOOKUP($B183,Propostas!$B:$BE,21,FALSE)=2,"E","N")))</f>
        <v/>
      </c>
      <c r="M183" s="32" t="str">
        <f>IF($B183 = "", "",  VLOOKUP($B183, Propostas!$B:$BE, 46, FALSE) )</f>
        <v/>
      </c>
      <c r="N183" s="32" t="str">
        <f>IF($B183 = "", "",  VLOOKUP($B183, Propostas!$B:$BE, 47, FALSE) )</f>
        <v/>
      </c>
      <c r="O183" s="13" t="str">
        <f>IF($B183="","",IF($C183="SIM", "INFRAESTRUTURA", VLOOKUP($B183, Propostas!$B:$BE,42,FALSE)))</f>
        <v/>
      </c>
      <c r="P183" s="32" t="str">
        <f>IF($B183 = "", "",  VLOOKUP($B183, Propostas!$B:$BE, 49, FALSE) )</f>
        <v/>
      </c>
      <c r="Q183" s="13" t="str">
        <f>IF($B183="","",  VLOOKUP($B183, Propostas!$B:$BE, 39, FALSE) )</f>
        <v/>
      </c>
      <c r="R183" s="81" t="str">
        <f>IF($B183="","",  VLOOKUP($B183, Propostas!$B:$BE, 43, FALSE) )</f>
        <v/>
      </c>
      <c r="S183" s="81" t="str">
        <f>IF($B183="","",  VLOOKUP($B183, Propostas!$B:$BE, 44, FALSE) )</f>
        <v/>
      </c>
      <c r="T183" s="81" t="str">
        <f>IF($B183="","",  VLOOKUP($B183, Propostas!$B:$BE, 45, FALSE) )</f>
        <v/>
      </c>
      <c r="U183" s="32" t="str">
        <f>IF($B183="","",  VLOOKUP($B183, Propostas!$B:$BE, 37, FALSE) )</f>
        <v/>
      </c>
      <c r="V183" s="13" t="str">
        <f>IF($B183="","",  VLOOKUP($B183, Propostas!$B:$BE, 50, FALSE) )</f>
        <v/>
      </c>
      <c r="W183" s="13" t="str">
        <f>IF($B183="","",  VLOOKUP($B183, Propostas!$B:$BE, 51, FALSE) )</f>
        <v/>
      </c>
      <c r="X183" s="13" t="str">
        <f>IF($B183="","",  VLOOKUP($B183, Propostas!$B:$BE, 52, FALSE) )</f>
        <v/>
      </c>
      <c r="Y183" s="13" t="str">
        <f>IF($B183="","",  VLOOKUP($B183, Propostas!$B:$BE, 36, FALSE) )</f>
        <v/>
      </c>
      <c r="Z183" s="13" t="str">
        <f>IF($B183="","",  VLOOKUP($F183, VW_PROJETO!B:C, 2, FALSE) )</f>
        <v/>
      </c>
    </row>
    <row r="184" spans="2:26" x14ac:dyDescent="0.2">
      <c r="B184" s="2"/>
      <c r="C184" s="4" t="str">
        <f>IF($B184="","",  VLOOKUP($B184, Propostas!$B:$BE, 33, FALSE) )</f>
        <v/>
      </c>
      <c r="D184" s="4" t="str">
        <f>IF($B184="","",  VLOOKUP($B184, Propostas!$B:$BE, 34, FALSE) )</f>
        <v/>
      </c>
      <c r="E184" s="4" t="str">
        <f>IF($B184="","",  VLOOKUP($B184, Propostas!$B:$BE, 35, FALSE) )</f>
        <v/>
      </c>
      <c r="F184" s="4" t="str">
        <f>IF($B184="","",  VLOOKUP($B184, Propostas!$B:$BE, 2, FALSE) )</f>
        <v/>
      </c>
      <c r="G184" s="4" t="str">
        <f>IF($B184="","",  VLOOKUP($B184, Propostas!$B:$BE, 3, FALSE) )</f>
        <v/>
      </c>
      <c r="H184" s="4" t="str">
        <f>IF($B184="","",  VLOOKUP($B184, Propostas!$B:$BE, 4, FALSE) )</f>
        <v/>
      </c>
      <c r="I184" s="4" t="str">
        <f>IF($B184="","",  VLOOKUP($B184, Propostas!$B:$BE, 38, FALSE) )</f>
        <v/>
      </c>
      <c r="J184" s="13" t="str">
        <f>IF($B184="","",IF($C184="SIM", "&lt; INFRRAESTRUTURA &gt;", VLOOKUP($B184,Propostas!$B:$BE,41,FALSE)))</f>
        <v/>
      </c>
      <c r="K184" s="10" t="str">
        <f>IF($B184="","",  VLOOKUP($B184, Propostas!$B:$BE, 40, FALSE) )</f>
        <v/>
      </c>
      <c r="L184" s="10" t="str">
        <f>IF($B184="","",IF(VLOOKUP($B184,Propostas!$B:$BE,21,FALSE)=1,"B",IF(VLOOKUP($B184,Propostas!$B:$BE,21,FALSE)=2,"E","N")))</f>
        <v/>
      </c>
      <c r="M184" s="32" t="str">
        <f>IF($B184 = "", "",  VLOOKUP($B184, Propostas!$B:$BE, 46, FALSE) )</f>
        <v/>
      </c>
      <c r="N184" s="32" t="str">
        <f>IF($B184 = "", "",  VLOOKUP($B184, Propostas!$B:$BE, 47, FALSE) )</f>
        <v/>
      </c>
      <c r="O184" s="13" t="str">
        <f>IF($B184="","",IF($C184="SIM", "INFRAESTRUTURA", VLOOKUP($B184, Propostas!$B:$BE,42,FALSE)))</f>
        <v/>
      </c>
      <c r="P184" s="32" t="str">
        <f>IF($B184 = "", "",  VLOOKUP($B184, Propostas!$B:$BE, 49, FALSE) )</f>
        <v/>
      </c>
      <c r="Q184" s="13" t="str">
        <f>IF($B184="","",  VLOOKUP($B184, Propostas!$B:$BE, 39, FALSE) )</f>
        <v/>
      </c>
      <c r="R184" s="81" t="str">
        <f>IF($B184="","",  VLOOKUP($B184, Propostas!$B:$BE, 43, FALSE) )</f>
        <v/>
      </c>
      <c r="S184" s="81" t="str">
        <f>IF($B184="","",  VLOOKUP($B184, Propostas!$B:$BE, 44, FALSE) )</f>
        <v/>
      </c>
      <c r="T184" s="81" t="str">
        <f>IF($B184="","",  VLOOKUP($B184, Propostas!$B:$BE, 45, FALSE) )</f>
        <v/>
      </c>
      <c r="U184" s="32" t="str">
        <f>IF($B184="","",  VLOOKUP($B184, Propostas!$B:$BE, 37, FALSE) )</f>
        <v/>
      </c>
      <c r="V184" s="13" t="str">
        <f>IF($B184="","",  VLOOKUP($B184, Propostas!$B:$BE, 50, FALSE) )</f>
        <v/>
      </c>
      <c r="W184" s="13" t="str">
        <f>IF($B184="","",  VLOOKUP($B184, Propostas!$B:$BE, 51, FALSE) )</f>
        <v/>
      </c>
      <c r="X184" s="13" t="str">
        <f>IF($B184="","",  VLOOKUP($B184, Propostas!$B:$BE, 52, FALSE) )</f>
        <v/>
      </c>
      <c r="Y184" s="13" t="str">
        <f>IF($B184="","",  VLOOKUP($B184, Propostas!$B:$BE, 36, FALSE) )</f>
        <v/>
      </c>
      <c r="Z184" s="13" t="str">
        <f>IF($B184="","",  VLOOKUP($F184, VW_PROJETO!B:C, 2, FALSE) )</f>
        <v/>
      </c>
    </row>
    <row r="185" spans="2:26" x14ac:dyDescent="0.2">
      <c r="B185" s="2"/>
      <c r="C185" s="4" t="str">
        <f>IF($B185="","",  VLOOKUP($B185, Propostas!$B:$BE, 33, FALSE) )</f>
        <v/>
      </c>
      <c r="D185" s="4" t="str">
        <f>IF($B185="","",  VLOOKUP($B185, Propostas!$B:$BE, 34, FALSE) )</f>
        <v/>
      </c>
      <c r="E185" s="4" t="str">
        <f>IF($B185="","",  VLOOKUP($B185, Propostas!$B:$BE, 35, FALSE) )</f>
        <v/>
      </c>
      <c r="F185" s="4" t="str">
        <f>IF($B185="","",  VLOOKUP($B185, Propostas!$B:$BE, 2, FALSE) )</f>
        <v/>
      </c>
      <c r="G185" s="4" t="str">
        <f>IF($B185="","",  VLOOKUP($B185, Propostas!$B:$BE, 3, FALSE) )</f>
        <v/>
      </c>
      <c r="H185" s="4" t="str">
        <f>IF($B185="","",  VLOOKUP($B185, Propostas!$B:$BE, 4, FALSE) )</f>
        <v/>
      </c>
      <c r="I185" s="4" t="str">
        <f>IF($B185="","",  VLOOKUP($B185, Propostas!$B:$BE, 38, FALSE) )</f>
        <v/>
      </c>
      <c r="J185" s="13" t="str">
        <f>IF($B185="","",IF($C185="SIM", "&lt; INFRRAESTRUTURA &gt;", VLOOKUP($B185,Propostas!$B:$BE,41,FALSE)))</f>
        <v/>
      </c>
      <c r="K185" s="10" t="str">
        <f>IF($B185="","",  VLOOKUP($B185, Propostas!$B:$BE, 40, FALSE) )</f>
        <v/>
      </c>
      <c r="L185" s="10" t="str">
        <f>IF($B185="","",IF(VLOOKUP($B185,Propostas!$B:$BE,21,FALSE)=1,"B",IF(VLOOKUP($B185,Propostas!$B:$BE,21,FALSE)=2,"E","N")))</f>
        <v/>
      </c>
      <c r="M185" s="32" t="str">
        <f>IF($B185 = "", "",  VLOOKUP($B185, Propostas!$B:$BE, 46, FALSE) )</f>
        <v/>
      </c>
      <c r="N185" s="32" t="str">
        <f>IF($B185 = "", "",  VLOOKUP($B185, Propostas!$B:$BE, 47, FALSE) )</f>
        <v/>
      </c>
      <c r="O185" s="13" t="str">
        <f>IF($B185="","",IF($C185="SIM", "INFRAESTRUTURA", VLOOKUP($B185, Propostas!$B:$BE,42,FALSE)))</f>
        <v/>
      </c>
      <c r="P185" s="32" t="str">
        <f>IF($B185 = "", "",  VLOOKUP($B185, Propostas!$B:$BE, 49, FALSE) )</f>
        <v/>
      </c>
      <c r="Q185" s="13" t="str">
        <f>IF($B185="","",  VLOOKUP($B185, Propostas!$B:$BE, 39, FALSE) )</f>
        <v/>
      </c>
      <c r="R185" s="81" t="str">
        <f>IF($B185="","",  VLOOKUP($B185, Propostas!$B:$BE, 43, FALSE) )</f>
        <v/>
      </c>
      <c r="S185" s="81" t="str">
        <f>IF($B185="","",  VLOOKUP($B185, Propostas!$B:$BE, 44, FALSE) )</f>
        <v/>
      </c>
      <c r="T185" s="81" t="str">
        <f>IF($B185="","",  VLOOKUP($B185, Propostas!$B:$BE, 45, FALSE) )</f>
        <v/>
      </c>
      <c r="U185" s="32" t="str">
        <f>IF($B185="","",  VLOOKUP($B185, Propostas!$B:$BE, 37, FALSE) )</f>
        <v/>
      </c>
      <c r="V185" s="13" t="str">
        <f>IF($B185="","",  VLOOKUP($B185, Propostas!$B:$BE, 50, FALSE) )</f>
        <v/>
      </c>
      <c r="W185" s="13" t="str">
        <f>IF($B185="","",  VLOOKUP($B185, Propostas!$B:$BE, 51, FALSE) )</f>
        <v/>
      </c>
      <c r="X185" s="13" t="str">
        <f>IF($B185="","",  VLOOKUP($B185, Propostas!$B:$BE, 52, FALSE) )</f>
        <v/>
      </c>
      <c r="Y185" s="13" t="str">
        <f>IF($B185="","",  VLOOKUP($B185, Propostas!$B:$BE, 36, FALSE) )</f>
        <v/>
      </c>
      <c r="Z185" s="13" t="str">
        <f>IF($B185="","",  VLOOKUP($F185, VW_PROJETO!B:C, 2, FALSE) )</f>
        <v/>
      </c>
    </row>
    <row r="186" spans="2:26" x14ac:dyDescent="0.2">
      <c r="B186" s="2"/>
      <c r="C186" s="4" t="str">
        <f>IF($B186="","",  VLOOKUP($B186, Propostas!$B:$BE, 33, FALSE) )</f>
        <v/>
      </c>
      <c r="D186" s="4" t="str">
        <f>IF($B186="","",  VLOOKUP($B186, Propostas!$B:$BE, 34, FALSE) )</f>
        <v/>
      </c>
      <c r="E186" s="4" t="str">
        <f>IF($B186="","",  VLOOKUP($B186, Propostas!$B:$BE, 35, FALSE) )</f>
        <v/>
      </c>
      <c r="F186" s="4" t="str">
        <f>IF($B186="","",  VLOOKUP($B186, Propostas!$B:$BE, 2, FALSE) )</f>
        <v/>
      </c>
      <c r="G186" s="4" t="str">
        <f>IF($B186="","",  VLOOKUP($B186, Propostas!$B:$BE, 3, FALSE) )</f>
        <v/>
      </c>
      <c r="H186" s="4" t="str">
        <f>IF($B186="","",  VLOOKUP($B186, Propostas!$B:$BE, 4, FALSE) )</f>
        <v/>
      </c>
      <c r="I186" s="4" t="str">
        <f>IF($B186="","",  VLOOKUP($B186, Propostas!$B:$BE, 38, FALSE) )</f>
        <v/>
      </c>
      <c r="J186" s="13" t="str">
        <f>IF($B186="","",IF($C186="SIM", "&lt; INFRRAESTRUTURA &gt;", VLOOKUP($B186,Propostas!$B:$BE,41,FALSE)))</f>
        <v/>
      </c>
      <c r="K186" s="10" t="str">
        <f>IF($B186="","",  VLOOKUP($B186, Propostas!$B:$BE, 40, FALSE) )</f>
        <v/>
      </c>
      <c r="L186" s="10" t="str">
        <f>IF($B186="","",IF(VLOOKUP($B186,Propostas!$B:$BE,21,FALSE)=1,"B",IF(VLOOKUP($B186,Propostas!$B:$BE,21,FALSE)=2,"E","N")))</f>
        <v/>
      </c>
      <c r="M186" s="32" t="str">
        <f>IF($B186 = "", "",  VLOOKUP($B186, Propostas!$B:$BE, 46, FALSE) )</f>
        <v/>
      </c>
      <c r="N186" s="32" t="str">
        <f>IF($B186 = "", "",  VLOOKUP($B186, Propostas!$B:$BE, 47, FALSE) )</f>
        <v/>
      </c>
      <c r="O186" s="13" t="str">
        <f>IF($B186="","",IF($C186="SIM", "INFRAESTRUTURA", VLOOKUP($B186, Propostas!$B:$BE,42,FALSE)))</f>
        <v/>
      </c>
      <c r="P186" s="32" t="str">
        <f>IF($B186 = "", "",  VLOOKUP($B186, Propostas!$B:$BE, 49, FALSE) )</f>
        <v/>
      </c>
      <c r="Q186" s="13" t="str">
        <f>IF($B186="","",  VLOOKUP($B186, Propostas!$B:$BE, 39, FALSE) )</f>
        <v/>
      </c>
      <c r="R186" s="81" t="str">
        <f>IF($B186="","",  VLOOKUP($B186, Propostas!$B:$BE, 43, FALSE) )</f>
        <v/>
      </c>
      <c r="S186" s="81" t="str">
        <f>IF($B186="","",  VLOOKUP($B186, Propostas!$B:$BE, 44, FALSE) )</f>
        <v/>
      </c>
      <c r="T186" s="81" t="str">
        <f>IF($B186="","",  VLOOKUP($B186, Propostas!$B:$BE, 45, FALSE) )</f>
        <v/>
      </c>
      <c r="U186" s="32" t="str">
        <f>IF($B186="","",  VLOOKUP($B186, Propostas!$B:$BE, 37, FALSE) )</f>
        <v/>
      </c>
      <c r="V186" s="13" t="str">
        <f>IF($B186="","",  VLOOKUP($B186, Propostas!$B:$BE, 50, FALSE) )</f>
        <v/>
      </c>
      <c r="W186" s="13" t="str">
        <f>IF($B186="","",  VLOOKUP($B186, Propostas!$B:$BE, 51, FALSE) )</f>
        <v/>
      </c>
      <c r="X186" s="13" t="str">
        <f>IF($B186="","",  VLOOKUP($B186, Propostas!$B:$BE, 52, FALSE) )</f>
        <v/>
      </c>
      <c r="Y186" s="13" t="str">
        <f>IF($B186="","",  VLOOKUP($B186, Propostas!$B:$BE, 36, FALSE) )</f>
        <v/>
      </c>
      <c r="Z186" s="13" t="str">
        <f>IF($B186="","",  VLOOKUP($F186, VW_PROJETO!B:C, 2, FALSE) )</f>
        <v/>
      </c>
    </row>
    <row r="187" spans="2:26" x14ac:dyDescent="0.2">
      <c r="B187" s="2"/>
      <c r="C187" s="4" t="str">
        <f>IF($B187="","",  VLOOKUP($B187, Propostas!$B:$BE, 33, FALSE) )</f>
        <v/>
      </c>
      <c r="D187" s="4" t="str">
        <f>IF($B187="","",  VLOOKUP($B187, Propostas!$B:$BE, 34, FALSE) )</f>
        <v/>
      </c>
      <c r="E187" s="4" t="str">
        <f>IF($B187="","",  VLOOKUP($B187, Propostas!$B:$BE, 35, FALSE) )</f>
        <v/>
      </c>
      <c r="F187" s="4" t="str">
        <f>IF($B187="","",  VLOOKUP($B187, Propostas!$B:$BE, 2, FALSE) )</f>
        <v/>
      </c>
      <c r="G187" s="4" t="str">
        <f>IF($B187="","",  VLOOKUP($B187, Propostas!$B:$BE, 3, FALSE) )</f>
        <v/>
      </c>
      <c r="H187" s="4" t="str">
        <f>IF($B187="","",  VLOOKUP($B187, Propostas!$B:$BE, 4, FALSE) )</f>
        <v/>
      </c>
      <c r="I187" s="4" t="str">
        <f>IF($B187="","",  VLOOKUP($B187, Propostas!$B:$BE, 38, FALSE) )</f>
        <v/>
      </c>
      <c r="J187" s="13" t="str">
        <f>IF($B187="","",IF($C187="SIM", "&lt; INFRRAESTRUTURA &gt;", VLOOKUP($B187,Propostas!$B:$BE,41,FALSE)))</f>
        <v/>
      </c>
      <c r="K187" s="10" t="str">
        <f>IF($B187="","",  VLOOKUP($B187, Propostas!$B:$BE, 40, FALSE) )</f>
        <v/>
      </c>
      <c r="L187" s="10" t="str">
        <f>IF($B187="","",IF(VLOOKUP($B187,Propostas!$B:$BE,21,FALSE)=1,"B",IF(VLOOKUP($B187,Propostas!$B:$BE,21,FALSE)=2,"E","N")))</f>
        <v/>
      </c>
      <c r="M187" s="32" t="str">
        <f>IF($B187 = "", "",  VLOOKUP($B187, Propostas!$B:$BE, 46, FALSE) )</f>
        <v/>
      </c>
      <c r="N187" s="32" t="str">
        <f>IF($B187 = "", "",  VLOOKUP($B187, Propostas!$B:$BE, 47, FALSE) )</f>
        <v/>
      </c>
      <c r="O187" s="13" t="str">
        <f>IF($B187="","",IF($C187="SIM", "INFRAESTRUTURA", VLOOKUP($B187, Propostas!$B:$BE,42,FALSE)))</f>
        <v/>
      </c>
      <c r="P187" s="32" t="str">
        <f>IF($B187 = "", "",  VLOOKUP($B187, Propostas!$B:$BE, 49, FALSE) )</f>
        <v/>
      </c>
      <c r="Q187" s="13" t="str">
        <f>IF($B187="","",  VLOOKUP($B187, Propostas!$B:$BE, 39, FALSE) )</f>
        <v/>
      </c>
      <c r="R187" s="81" t="str">
        <f>IF($B187="","",  VLOOKUP($B187, Propostas!$B:$BE, 43, FALSE) )</f>
        <v/>
      </c>
      <c r="S187" s="81" t="str">
        <f>IF($B187="","",  VLOOKUP($B187, Propostas!$B:$BE, 44, FALSE) )</f>
        <v/>
      </c>
      <c r="T187" s="81" t="str">
        <f>IF($B187="","",  VLOOKUP($B187, Propostas!$B:$BE, 45, FALSE) )</f>
        <v/>
      </c>
      <c r="U187" s="32" t="str">
        <f>IF($B187="","",  VLOOKUP($B187, Propostas!$B:$BE, 37, FALSE) )</f>
        <v/>
      </c>
      <c r="V187" s="13" t="str">
        <f>IF($B187="","",  VLOOKUP($B187, Propostas!$B:$BE, 50, FALSE) )</f>
        <v/>
      </c>
      <c r="W187" s="13" t="str">
        <f>IF($B187="","",  VLOOKUP($B187, Propostas!$B:$BE, 51, FALSE) )</f>
        <v/>
      </c>
      <c r="X187" s="13" t="str">
        <f>IF($B187="","",  VLOOKUP($B187, Propostas!$B:$BE, 52, FALSE) )</f>
        <v/>
      </c>
      <c r="Y187" s="13" t="str">
        <f>IF($B187="","",  VLOOKUP($B187, Propostas!$B:$BE, 36, FALSE) )</f>
        <v/>
      </c>
      <c r="Z187" s="13" t="str">
        <f>IF($B187="","",  VLOOKUP($F187, VW_PROJETO!B:C, 2, FALSE) )</f>
        <v/>
      </c>
    </row>
    <row r="188" spans="2:26" x14ac:dyDescent="0.2">
      <c r="B188" s="2"/>
      <c r="C188" s="4" t="str">
        <f>IF($B188="","",  VLOOKUP($B188, Propostas!$B:$BE, 33, FALSE) )</f>
        <v/>
      </c>
      <c r="D188" s="4" t="str">
        <f>IF($B188="","",  VLOOKUP($B188, Propostas!$B:$BE, 34, FALSE) )</f>
        <v/>
      </c>
      <c r="E188" s="4" t="str">
        <f>IF($B188="","",  VLOOKUP($B188, Propostas!$B:$BE, 35, FALSE) )</f>
        <v/>
      </c>
      <c r="F188" s="4" t="str">
        <f>IF($B188="","",  VLOOKUP($B188, Propostas!$B:$BE, 2, FALSE) )</f>
        <v/>
      </c>
      <c r="G188" s="4" t="str">
        <f>IF($B188="","",  VLOOKUP($B188, Propostas!$B:$BE, 3, FALSE) )</f>
        <v/>
      </c>
      <c r="H188" s="4" t="str">
        <f>IF($B188="","",  VLOOKUP($B188, Propostas!$B:$BE, 4, FALSE) )</f>
        <v/>
      </c>
      <c r="I188" s="4" t="str">
        <f>IF($B188="","",  VLOOKUP($B188, Propostas!$B:$BE, 38, FALSE) )</f>
        <v/>
      </c>
      <c r="J188" s="13" t="str">
        <f>IF($B188="","",IF($C188="SIM", "&lt; INFRRAESTRUTURA &gt;", VLOOKUP($B188,Propostas!$B:$BE,41,FALSE)))</f>
        <v/>
      </c>
      <c r="K188" s="10" t="str">
        <f>IF($B188="","",  VLOOKUP($B188, Propostas!$B:$BE, 40, FALSE) )</f>
        <v/>
      </c>
      <c r="L188" s="10" t="str">
        <f>IF($B188="","",IF(VLOOKUP($B188,Propostas!$B:$BE,21,FALSE)=1,"B",IF(VLOOKUP($B188,Propostas!$B:$BE,21,FALSE)=2,"E","N")))</f>
        <v/>
      </c>
      <c r="M188" s="32" t="str">
        <f>IF($B188 = "", "",  VLOOKUP($B188, Propostas!$B:$BE, 46, FALSE) )</f>
        <v/>
      </c>
      <c r="N188" s="32" t="str">
        <f>IF($B188 = "", "",  VLOOKUP($B188, Propostas!$B:$BE, 47, FALSE) )</f>
        <v/>
      </c>
      <c r="O188" s="13" t="str">
        <f>IF($B188="","",IF($C188="SIM", "INFRAESTRUTURA", VLOOKUP($B188, Propostas!$B:$BE,42,FALSE)))</f>
        <v/>
      </c>
      <c r="P188" s="32" t="str">
        <f>IF($B188 = "", "",  VLOOKUP($B188, Propostas!$B:$BE, 49, FALSE) )</f>
        <v/>
      </c>
      <c r="Q188" s="13" t="str">
        <f>IF($B188="","",  VLOOKUP($B188, Propostas!$B:$BE, 39, FALSE) )</f>
        <v/>
      </c>
      <c r="R188" s="81" t="str">
        <f>IF($B188="","",  VLOOKUP($B188, Propostas!$B:$BE, 43, FALSE) )</f>
        <v/>
      </c>
      <c r="S188" s="81" t="str">
        <f>IF($B188="","",  VLOOKUP($B188, Propostas!$B:$BE, 44, FALSE) )</f>
        <v/>
      </c>
      <c r="T188" s="81" t="str">
        <f>IF($B188="","",  VLOOKUP($B188, Propostas!$B:$BE, 45, FALSE) )</f>
        <v/>
      </c>
      <c r="U188" s="32" t="str">
        <f>IF($B188="","",  VLOOKUP($B188, Propostas!$B:$BE, 37, FALSE) )</f>
        <v/>
      </c>
      <c r="V188" s="13" t="str">
        <f>IF($B188="","",  VLOOKUP($B188, Propostas!$B:$BE, 50, FALSE) )</f>
        <v/>
      </c>
      <c r="W188" s="13" t="str">
        <f>IF($B188="","",  VLOOKUP($B188, Propostas!$B:$BE, 51, FALSE) )</f>
        <v/>
      </c>
      <c r="X188" s="13" t="str">
        <f>IF($B188="","",  VLOOKUP($B188, Propostas!$B:$BE, 52, FALSE) )</f>
        <v/>
      </c>
      <c r="Y188" s="13" t="str">
        <f>IF($B188="","",  VLOOKUP($B188, Propostas!$B:$BE, 36, FALSE) )</f>
        <v/>
      </c>
      <c r="Z188" s="13" t="str">
        <f>IF($B188="","",  VLOOKUP($F188, VW_PROJETO!B:C, 2, FALSE) )</f>
        <v/>
      </c>
    </row>
    <row r="189" spans="2:26" x14ac:dyDescent="0.2">
      <c r="B189" s="2"/>
      <c r="C189" s="4" t="str">
        <f>IF($B189="","",  VLOOKUP($B189, Propostas!$B:$BE, 33, FALSE) )</f>
        <v/>
      </c>
      <c r="D189" s="4" t="str">
        <f>IF($B189="","",  VLOOKUP($B189, Propostas!$B:$BE, 34, FALSE) )</f>
        <v/>
      </c>
      <c r="E189" s="4" t="str">
        <f>IF($B189="","",  VLOOKUP($B189, Propostas!$B:$BE, 35, FALSE) )</f>
        <v/>
      </c>
      <c r="F189" s="4" t="str">
        <f>IF($B189="","",  VLOOKUP($B189, Propostas!$B:$BE, 2, FALSE) )</f>
        <v/>
      </c>
      <c r="G189" s="4" t="str">
        <f>IF($B189="","",  VLOOKUP($B189, Propostas!$B:$BE, 3, FALSE) )</f>
        <v/>
      </c>
      <c r="H189" s="4" t="str">
        <f>IF($B189="","",  VLOOKUP($B189, Propostas!$B:$BE, 4, FALSE) )</f>
        <v/>
      </c>
      <c r="I189" s="4" t="str">
        <f>IF($B189="","",  VLOOKUP($B189, Propostas!$B:$BE, 38, FALSE) )</f>
        <v/>
      </c>
      <c r="J189" s="13" t="str">
        <f>IF($B189="","",IF($C189="SIM", "&lt; INFRRAESTRUTURA &gt;", VLOOKUP($B189,Propostas!$B:$BE,41,FALSE)))</f>
        <v/>
      </c>
      <c r="K189" s="10" t="str">
        <f>IF($B189="","",  VLOOKUP($B189, Propostas!$B:$BE, 40, FALSE) )</f>
        <v/>
      </c>
      <c r="L189" s="10" t="str">
        <f>IF($B189="","",IF(VLOOKUP($B189,Propostas!$B:$BE,21,FALSE)=1,"B",IF(VLOOKUP($B189,Propostas!$B:$BE,21,FALSE)=2,"E","N")))</f>
        <v/>
      </c>
      <c r="M189" s="32" t="str">
        <f>IF($B189 = "", "",  VLOOKUP($B189, Propostas!$B:$BE, 46, FALSE) )</f>
        <v/>
      </c>
      <c r="N189" s="32" t="str">
        <f>IF($B189 = "", "",  VLOOKUP($B189, Propostas!$B:$BE, 47, FALSE) )</f>
        <v/>
      </c>
      <c r="O189" s="13" t="str">
        <f>IF($B189="","",IF($C189="SIM", "INFRAESTRUTURA", VLOOKUP($B189, Propostas!$B:$BE,42,FALSE)))</f>
        <v/>
      </c>
      <c r="P189" s="32" t="str">
        <f>IF($B189 = "", "",  VLOOKUP($B189, Propostas!$B:$BE, 49, FALSE) )</f>
        <v/>
      </c>
      <c r="Q189" s="13" t="str">
        <f>IF($B189="","",  VLOOKUP($B189, Propostas!$B:$BE, 39, FALSE) )</f>
        <v/>
      </c>
      <c r="R189" s="81" t="str">
        <f>IF($B189="","",  VLOOKUP($B189, Propostas!$B:$BE, 43, FALSE) )</f>
        <v/>
      </c>
      <c r="S189" s="81" t="str">
        <f>IF($B189="","",  VLOOKUP($B189, Propostas!$B:$BE, 44, FALSE) )</f>
        <v/>
      </c>
      <c r="T189" s="81" t="str">
        <f>IF($B189="","",  VLOOKUP($B189, Propostas!$B:$BE, 45, FALSE) )</f>
        <v/>
      </c>
      <c r="U189" s="32" t="str">
        <f>IF($B189="","",  VLOOKUP($B189, Propostas!$B:$BE, 37, FALSE) )</f>
        <v/>
      </c>
      <c r="V189" s="13" t="str">
        <f>IF($B189="","",  VLOOKUP($B189, Propostas!$B:$BE, 50, FALSE) )</f>
        <v/>
      </c>
      <c r="W189" s="13" t="str">
        <f>IF($B189="","",  VLOOKUP($B189, Propostas!$B:$BE, 51, FALSE) )</f>
        <v/>
      </c>
      <c r="X189" s="13" t="str">
        <f>IF($B189="","",  VLOOKUP($B189, Propostas!$B:$BE, 52, FALSE) )</f>
        <v/>
      </c>
      <c r="Y189" s="13" t="str">
        <f>IF($B189="","",  VLOOKUP($B189, Propostas!$B:$BE, 36, FALSE) )</f>
        <v/>
      </c>
      <c r="Z189" s="13" t="str">
        <f>IF($B189="","",  VLOOKUP($F189, VW_PROJETO!B:C, 2, FALSE) )</f>
        <v/>
      </c>
    </row>
    <row r="190" spans="2:26" x14ac:dyDescent="0.2">
      <c r="B190" s="2"/>
      <c r="C190" s="4" t="str">
        <f>IF($B190="","",  VLOOKUP($B190, Propostas!$B:$BE, 33, FALSE) )</f>
        <v/>
      </c>
      <c r="D190" s="4" t="str">
        <f>IF($B190="","",  VLOOKUP($B190, Propostas!$B:$BE, 34, FALSE) )</f>
        <v/>
      </c>
      <c r="E190" s="4" t="str">
        <f>IF($B190="","",  VLOOKUP($B190, Propostas!$B:$BE, 35, FALSE) )</f>
        <v/>
      </c>
      <c r="F190" s="4" t="str">
        <f>IF($B190="","",  VLOOKUP($B190, Propostas!$B:$BE, 2, FALSE) )</f>
        <v/>
      </c>
      <c r="G190" s="4" t="str">
        <f>IF($B190="","",  VLOOKUP($B190, Propostas!$B:$BE, 3, FALSE) )</f>
        <v/>
      </c>
      <c r="H190" s="4" t="str">
        <f>IF($B190="","",  VLOOKUP($B190, Propostas!$B:$BE, 4, FALSE) )</f>
        <v/>
      </c>
      <c r="I190" s="4" t="str">
        <f>IF($B190="","",  VLOOKUP($B190, Propostas!$B:$BE, 38, FALSE) )</f>
        <v/>
      </c>
      <c r="J190" s="13" t="str">
        <f>IF($B190="","",IF($C190="SIM", "&lt; INFRRAESTRUTURA &gt;", VLOOKUP($B190,Propostas!$B:$BE,41,FALSE)))</f>
        <v/>
      </c>
      <c r="K190" s="10" t="str">
        <f>IF($B190="","",  VLOOKUP($B190, Propostas!$B:$BE, 40, FALSE) )</f>
        <v/>
      </c>
      <c r="L190" s="10" t="str">
        <f>IF($B190="","",IF(VLOOKUP($B190,Propostas!$B:$BE,21,FALSE)=1,"B",IF(VLOOKUP($B190,Propostas!$B:$BE,21,FALSE)=2,"E","N")))</f>
        <v/>
      </c>
      <c r="M190" s="32" t="str">
        <f>IF($B190 = "", "",  VLOOKUP($B190, Propostas!$B:$BE, 46, FALSE) )</f>
        <v/>
      </c>
      <c r="N190" s="32" t="str">
        <f>IF($B190 = "", "",  VLOOKUP($B190, Propostas!$B:$BE, 47, FALSE) )</f>
        <v/>
      </c>
      <c r="O190" s="13" t="str">
        <f>IF($B190="","",IF($C190="SIM", "INFRAESTRUTURA", VLOOKUP($B190, Propostas!$B:$BE,42,FALSE)))</f>
        <v/>
      </c>
      <c r="P190" s="32" t="str">
        <f>IF($B190 = "", "",  VLOOKUP($B190, Propostas!$B:$BE, 49, FALSE) )</f>
        <v/>
      </c>
      <c r="Q190" s="13" t="str">
        <f>IF($B190="","",  VLOOKUP($B190, Propostas!$B:$BE, 39, FALSE) )</f>
        <v/>
      </c>
      <c r="R190" s="81" t="str">
        <f>IF($B190="","",  VLOOKUP($B190, Propostas!$B:$BE, 43, FALSE) )</f>
        <v/>
      </c>
      <c r="S190" s="81" t="str">
        <f>IF($B190="","",  VLOOKUP($B190, Propostas!$B:$BE, 44, FALSE) )</f>
        <v/>
      </c>
      <c r="T190" s="81" t="str">
        <f>IF($B190="","",  VLOOKUP($B190, Propostas!$B:$BE, 45, FALSE) )</f>
        <v/>
      </c>
      <c r="U190" s="32" t="str">
        <f>IF($B190="","",  VLOOKUP($B190, Propostas!$B:$BE, 37, FALSE) )</f>
        <v/>
      </c>
      <c r="V190" s="13" t="str">
        <f>IF($B190="","",  VLOOKUP($B190, Propostas!$B:$BE, 50, FALSE) )</f>
        <v/>
      </c>
      <c r="W190" s="13" t="str">
        <f>IF($B190="","",  VLOOKUP($B190, Propostas!$B:$BE, 51, FALSE) )</f>
        <v/>
      </c>
      <c r="X190" s="13" t="str">
        <f>IF($B190="","",  VLOOKUP($B190, Propostas!$B:$BE, 52, FALSE) )</f>
        <v/>
      </c>
      <c r="Y190" s="13" t="str">
        <f>IF($B190="","",  VLOOKUP($B190, Propostas!$B:$BE, 36, FALSE) )</f>
        <v/>
      </c>
      <c r="Z190" s="13" t="str">
        <f>IF($B190="","",  VLOOKUP($F190, VW_PROJETO!B:C, 2, FALSE) )</f>
        <v/>
      </c>
    </row>
    <row r="191" spans="2:26" x14ac:dyDescent="0.2">
      <c r="B191" s="2"/>
      <c r="C191" s="4" t="str">
        <f>IF($B191="","",  VLOOKUP($B191, Propostas!$B:$BE, 33, FALSE) )</f>
        <v/>
      </c>
      <c r="D191" s="4" t="str">
        <f>IF($B191="","",  VLOOKUP($B191, Propostas!$B:$BE, 34, FALSE) )</f>
        <v/>
      </c>
      <c r="E191" s="4" t="str">
        <f>IF($B191="","",  VLOOKUP($B191, Propostas!$B:$BE, 35, FALSE) )</f>
        <v/>
      </c>
      <c r="F191" s="4" t="str">
        <f>IF($B191="","",  VLOOKUP($B191, Propostas!$B:$BE, 2, FALSE) )</f>
        <v/>
      </c>
      <c r="G191" s="4" t="str">
        <f>IF($B191="","",  VLOOKUP($B191, Propostas!$B:$BE, 3, FALSE) )</f>
        <v/>
      </c>
      <c r="H191" s="4" t="str">
        <f>IF($B191="","",  VLOOKUP($B191, Propostas!$B:$BE, 4, FALSE) )</f>
        <v/>
      </c>
      <c r="I191" s="4" t="str">
        <f>IF($B191="","",  VLOOKUP($B191, Propostas!$B:$BE, 38, FALSE) )</f>
        <v/>
      </c>
      <c r="J191" s="13" t="str">
        <f>IF($B191="","",IF($C191="SIM", "&lt; INFRRAESTRUTURA &gt;", VLOOKUP($B191,Propostas!$B:$BE,41,FALSE)))</f>
        <v/>
      </c>
      <c r="K191" s="10" t="str">
        <f>IF($B191="","",  VLOOKUP($B191, Propostas!$B:$BE, 40, FALSE) )</f>
        <v/>
      </c>
      <c r="L191" s="10" t="str">
        <f>IF($B191="","",IF(VLOOKUP($B191,Propostas!$B:$BE,21,FALSE)=1,"B",IF(VLOOKUP($B191,Propostas!$B:$BE,21,FALSE)=2,"E","N")))</f>
        <v/>
      </c>
      <c r="M191" s="32" t="str">
        <f>IF($B191 = "", "",  VLOOKUP($B191, Propostas!$B:$BE, 46, FALSE) )</f>
        <v/>
      </c>
      <c r="N191" s="32" t="str">
        <f>IF($B191 = "", "",  VLOOKUP($B191, Propostas!$B:$BE, 47, FALSE) )</f>
        <v/>
      </c>
      <c r="O191" s="13" t="str">
        <f>IF($B191="","",IF($C191="SIM", "INFRAESTRUTURA", VLOOKUP($B191, Propostas!$B:$BE,42,FALSE)))</f>
        <v/>
      </c>
      <c r="P191" s="32" t="str">
        <f>IF($B191 = "", "",  VLOOKUP($B191, Propostas!$B:$BE, 49, FALSE) )</f>
        <v/>
      </c>
      <c r="Q191" s="13" t="str">
        <f>IF($B191="","",  VLOOKUP($B191, Propostas!$B:$BE, 39, FALSE) )</f>
        <v/>
      </c>
      <c r="R191" s="81" t="str">
        <f>IF($B191="","",  VLOOKUP($B191, Propostas!$B:$BE, 43, FALSE) )</f>
        <v/>
      </c>
      <c r="S191" s="81" t="str">
        <f>IF($B191="","",  VLOOKUP($B191, Propostas!$B:$BE, 44, FALSE) )</f>
        <v/>
      </c>
      <c r="T191" s="81" t="str">
        <f>IF($B191="","",  VLOOKUP($B191, Propostas!$B:$BE, 45, FALSE) )</f>
        <v/>
      </c>
      <c r="U191" s="32" t="str">
        <f>IF($B191="","",  VLOOKUP($B191, Propostas!$B:$BE, 37, FALSE) )</f>
        <v/>
      </c>
      <c r="V191" s="13" t="str">
        <f>IF($B191="","",  VLOOKUP($B191, Propostas!$B:$BE, 50, FALSE) )</f>
        <v/>
      </c>
      <c r="W191" s="13" t="str">
        <f>IF($B191="","",  VLOOKUP($B191, Propostas!$B:$BE, 51, FALSE) )</f>
        <v/>
      </c>
      <c r="X191" s="13" t="str">
        <f>IF($B191="","",  VLOOKUP($B191, Propostas!$B:$BE, 52, FALSE) )</f>
        <v/>
      </c>
      <c r="Y191" s="13" t="str">
        <f>IF($B191="","",  VLOOKUP($B191, Propostas!$B:$BE, 36, FALSE) )</f>
        <v/>
      </c>
      <c r="Z191" s="13" t="str">
        <f>IF($B191="","",  VLOOKUP($F191, VW_PROJETO!B:C, 2, FALSE) )</f>
        <v/>
      </c>
    </row>
    <row r="192" spans="2:26" x14ac:dyDescent="0.2">
      <c r="B192" s="2"/>
      <c r="C192" s="4" t="str">
        <f>IF($B192="","",  VLOOKUP($B192, Propostas!$B:$BE, 33, FALSE) )</f>
        <v/>
      </c>
      <c r="D192" s="4" t="str">
        <f>IF($B192="","",  VLOOKUP($B192, Propostas!$B:$BE, 34, FALSE) )</f>
        <v/>
      </c>
      <c r="E192" s="4" t="str">
        <f>IF($B192="","",  VLOOKUP($B192, Propostas!$B:$BE, 35, FALSE) )</f>
        <v/>
      </c>
      <c r="F192" s="4" t="str">
        <f>IF($B192="","",  VLOOKUP($B192, Propostas!$B:$BE, 2, FALSE) )</f>
        <v/>
      </c>
      <c r="G192" s="4" t="str">
        <f>IF($B192="","",  VLOOKUP($B192, Propostas!$B:$BE, 3, FALSE) )</f>
        <v/>
      </c>
      <c r="H192" s="4" t="str">
        <f>IF($B192="","",  VLOOKUP($B192, Propostas!$B:$BE, 4, FALSE) )</f>
        <v/>
      </c>
      <c r="I192" s="4" t="str">
        <f>IF($B192="","",  VLOOKUP($B192, Propostas!$B:$BE, 38, FALSE) )</f>
        <v/>
      </c>
      <c r="J192" s="13" t="str">
        <f>IF($B192="","",IF($C192="SIM", "&lt; INFRRAESTRUTURA &gt;", VLOOKUP($B192,Propostas!$B:$BE,41,FALSE)))</f>
        <v/>
      </c>
      <c r="K192" s="10" t="str">
        <f>IF($B192="","",  VLOOKUP($B192, Propostas!$B:$BE, 40, FALSE) )</f>
        <v/>
      </c>
      <c r="L192" s="10" t="str">
        <f>IF($B192="","",IF(VLOOKUP($B192,Propostas!$B:$BE,21,FALSE)=1,"B",IF(VLOOKUP($B192,Propostas!$B:$BE,21,FALSE)=2,"E","N")))</f>
        <v/>
      </c>
      <c r="M192" s="32" t="str">
        <f>IF($B192 = "", "",  VLOOKUP($B192, Propostas!$B:$BE, 46, FALSE) )</f>
        <v/>
      </c>
      <c r="N192" s="32" t="str">
        <f>IF($B192 = "", "",  VLOOKUP($B192, Propostas!$B:$BE, 47, FALSE) )</f>
        <v/>
      </c>
      <c r="O192" s="13" t="str">
        <f>IF($B192="","",IF($C192="SIM", "INFRAESTRUTURA", VLOOKUP($B192, Propostas!$B:$BE,42,FALSE)))</f>
        <v/>
      </c>
      <c r="P192" s="32" t="str">
        <f>IF($B192 = "", "",  VLOOKUP($B192, Propostas!$B:$BE, 49, FALSE) )</f>
        <v/>
      </c>
      <c r="Q192" s="13" t="str">
        <f>IF($B192="","",  VLOOKUP($B192, Propostas!$B:$BE, 39, FALSE) )</f>
        <v/>
      </c>
      <c r="R192" s="81" t="str">
        <f>IF($B192="","",  VLOOKUP($B192, Propostas!$B:$BE, 43, FALSE) )</f>
        <v/>
      </c>
      <c r="S192" s="81" t="str">
        <f>IF($B192="","",  VLOOKUP($B192, Propostas!$B:$BE, 44, FALSE) )</f>
        <v/>
      </c>
      <c r="T192" s="81" t="str">
        <f>IF($B192="","",  VLOOKUP($B192, Propostas!$B:$BE, 45, FALSE) )</f>
        <v/>
      </c>
      <c r="U192" s="32" t="str">
        <f>IF($B192="","",  VLOOKUP($B192, Propostas!$B:$BE, 37, FALSE) )</f>
        <v/>
      </c>
      <c r="V192" s="13" t="str">
        <f>IF($B192="","",  VLOOKUP($B192, Propostas!$B:$BE, 50, FALSE) )</f>
        <v/>
      </c>
      <c r="W192" s="13" t="str">
        <f>IF($B192="","",  VLOOKUP($B192, Propostas!$B:$BE, 51, FALSE) )</f>
        <v/>
      </c>
      <c r="X192" s="13" t="str">
        <f>IF($B192="","",  VLOOKUP($B192, Propostas!$B:$BE, 52, FALSE) )</f>
        <v/>
      </c>
      <c r="Y192" s="13" t="str">
        <f>IF($B192="","",  VLOOKUP($B192, Propostas!$B:$BE, 36, FALSE) )</f>
        <v/>
      </c>
      <c r="Z192" s="13" t="str">
        <f>IF($B192="","",  VLOOKUP($F192, VW_PROJETO!B:C, 2, FALSE) )</f>
        <v/>
      </c>
    </row>
    <row r="193" spans="2:26" x14ac:dyDescent="0.2">
      <c r="B193" s="2"/>
      <c r="C193" s="4" t="str">
        <f>IF($B193="","",  VLOOKUP($B193, Propostas!$B:$BE, 33, FALSE) )</f>
        <v/>
      </c>
      <c r="D193" s="4" t="str">
        <f>IF($B193="","",  VLOOKUP($B193, Propostas!$B:$BE, 34, FALSE) )</f>
        <v/>
      </c>
      <c r="E193" s="4" t="str">
        <f>IF($B193="","",  VLOOKUP($B193, Propostas!$B:$BE, 35, FALSE) )</f>
        <v/>
      </c>
      <c r="F193" s="4" t="str">
        <f>IF($B193="","",  VLOOKUP($B193, Propostas!$B:$BE, 2, FALSE) )</f>
        <v/>
      </c>
      <c r="G193" s="4" t="str">
        <f>IF($B193="","",  VLOOKUP($B193, Propostas!$B:$BE, 3, FALSE) )</f>
        <v/>
      </c>
      <c r="H193" s="4" t="str">
        <f>IF($B193="","",  VLOOKUP($B193, Propostas!$B:$BE, 4, FALSE) )</f>
        <v/>
      </c>
      <c r="I193" s="4" t="str">
        <f>IF($B193="","",  VLOOKUP($B193, Propostas!$B:$BE, 38, FALSE) )</f>
        <v/>
      </c>
      <c r="J193" s="13" t="str">
        <f>IF($B193="","",IF($C193="SIM", "&lt; INFRRAESTRUTURA &gt;", VLOOKUP($B193,Propostas!$B:$BE,41,FALSE)))</f>
        <v/>
      </c>
      <c r="K193" s="10" t="str">
        <f>IF($B193="","",  VLOOKUP($B193, Propostas!$B:$BE, 40, FALSE) )</f>
        <v/>
      </c>
      <c r="L193" s="10" t="str">
        <f>IF($B193="","",IF(VLOOKUP($B193,Propostas!$B:$BE,21,FALSE)=1,"B",IF(VLOOKUP($B193,Propostas!$B:$BE,21,FALSE)=2,"E","N")))</f>
        <v/>
      </c>
      <c r="M193" s="32" t="str">
        <f>IF($B193 = "", "",  VLOOKUP($B193, Propostas!$B:$BE, 46, FALSE) )</f>
        <v/>
      </c>
      <c r="N193" s="32" t="str">
        <f>IF($B193 = "", "",  VLOOKUP($B193, Propostas!$B:$BE, 47, FALSE) )</f>
        <v/>
      </c>
      <c r="O193" s="13" t="str">
        <f>IF($B193="","",IF($C193="SIM", "INFRAESTRUTURA", VLOOKUP($B193, Propostas!$B:$BE,42,FALSE)))</f>
        <v/>
      </c>
      <c r="P193" s="32" t="str">
        <f>IF($B193 = "", "",  VLOOKUP($B193, Propostas!$B:$BE, 49, FALSE) )</f>
        <v/>
      </c>
      <c r="Q193" s="13" t="str">
        <f>IF($B193="","",  VLOOKUP($B193, Propostas!$B:$BE, 39, FALSE) )</f>
        <v/>
      </c>
      <c r="R193" s="81" t="str">
        <f>IF($B193="","",  VLOOKUP($B193, Propostas!$B:$BE, 43, FALSE) )</f>
        <v/>
      </c>
      <c r="S193" s="81" t="str">
        <f>IF($B193="","",  VLOOKUP($B193, Propostas!$B:$BE, 44, FALSE) )</f>
        <v/>
      </c>
      <c r="T193" s="81" t="str">
        <f>IF($B193="","",  VLOOKUP($B193, Propostas!$B:$BE, 45, FALSE) )</f>
        <v/>
      </c>
      <c r="U193" s="32" t="str">
        <f>IF($B193="","",  VLOOKUP($B193, Propostas!$B:$BE, 37, FALSE) )</f>
        <v/>
      </c>
      <c r="V193" s="13" t="str">
        <f>IF($B193="","",  VLOOKUP($B193, Propostas!$B:$BE, 50, FALSE) )</f>
        <v/>
      </c>
      <c r="W193" s="13" t="str">
        <f>IF($B193="","",  VLOOKUP($B193, Propostas!$B:$BE, 51, FALSE) )</f>
        <v/>
      </c>
      <c r="X193" s="13" t="str">
        <f>IF($B193="","",  VLOOKUP($B193, Propostas!$B:$BE, 52, FALSE) )</f>
        <v/>
      </c>
      <c r="Y193" s="13" t="str">
        <f>IF($B193="","",  VLOOKUP($B193, Propostas!$B:$BE, 36, FALSE) )</f>
        <v/>
      </c>
      <c r="Z193" s="13" t="str">
        <f>IF($B193="","",  VLOOKUP($F193, VW_PROJETO!B:C, 2, FALSE) )</f>
        <v/>
      </c>
    </row>
    <row r="194" spans="2:26" x14ac:dyDescent="0.2">
      <c r="B194" s="2"/>
      <c r="C194" s="4" t="str">
        <f>IF($B194="","",  VLOOKUP($B194, Propostas!$B:$BE, 33, FALSE) )</f>
        <v/>
      </c>
      <c r="D194" s="4" t="str">
        <f>IF($B194="","",  VLOOKUP($B194, Propostas!$B:$BE, 34, FALSE) )</f>
        <v/>
      </c>
      <c r="E194" s="4" t="str">
        <f>IF($B194="","",  VLOOKUP($B194, Propostas!$B:$BE, 35, FALSE) )</f>
        <v/>
      </c>
      <c r="F194" s="4" t="str">
        <f>IF($B194="","",  VLOOKUP($B194, Propostas!$B:$BE, 2, FALSE) )</f>
        <v/>
      </c>
      <c r="G194" s="4" t="str">
        <f>IF($B194="","",  VLOOKUP($B194, Propostas!$B:$BE, 3, FALSE) )</f>
        <v/>
      </c>
      <c r="H194" s="4" t="str">
        <f>IF($B194="","",  VLOOKUP($B194, Propostas!$B:$BE, 4, FALSE) )</f>
        <v/>
      </c>
      <c r="I194" s="4" t="str">
        <f>IF($B194="","",  VLOOKUP($B194, Propostas!$B:$BE, 38, FALSE) )</f>
        <v/>
      </c>
      <c r="J194" s="13" t="str">
        <f>IF($B194="","",IF($C194="SIM", "&lt; INFRRAESTRUTURA &gt;", VLOOKUP($B194,Propostas!$B:$BE,41,FALSE)))</f>
        <v/>
      </c>
      <c r="K194" s="10" t="str">
        <f>IF($B194="","",  VLOOKUP($B194, Propostas!$B:$BE, 40, FALSE) )</f>
        <v/>
      </c>
      <c r="L194" s="10" t="str">
        <f>IF($B194="","",IF(VLOOKUP($B194,Propostas!$B:$BE,21,FALSE)=1,"B",IF(VLOOKUP($B194,Propostas!$B:$BE,21,FALSE)=2,"E","N")))</f>
        <v/>
      </c>
      <c r="M194" s="32" t="str">
        <f>IF($B194 = "", "",  VLOOKUP($B194, Propostas!$B:$BE, 46, FALSE) )</f>
        <v/>
      </c>
      <c r="N194" s="32" t="str">
        <f>IF($B194 = "", "",  VLOOKUP($B194, Propostas!$B:$BE, 47, FALSE) )</f>
        <v/>
      </c>
      <c r="O194" s="13" t="str">
        <f>IF($B194="","",IF($C194="SIM", "INFRAESTRUTURA", VLOOKUP($B194, Propostas!$B:$BE,42,FALSE)))</f>
        <v/>
      </c>
      <c r="P194" s="32" t="str">
        <f>IF($B194 = "", "",  VLOOKUP($B194, Propostas!$B:$BE, 49, FALSE) )</f>
        <v/>
      </c>
      <c r="Q194" s="13" t="str">
        <f>IF($B194="","",  VLOOKUP($B194, Propostas!$B:$BE, 39, FALSE) )</f>
        <v/>
      </c>
      <c r="R194" s="81" t="str">
        <f>IF($B194="","",  VLOOKUP($B194, Propostas!$B:$BE, 43, FALSE) )</f>
        <v/>
      </c>
      <c r="S194" s="81" t="str">
        <f>IF($B194="","",  VLOOKUP($B194, Propostas!$B:$BE, 44, FALSE) )</f>
        <v/>
      </c>
      <c r="T194" s="81" t="str">
        <f>IF($B194="","",  VLOOKUP($B194, Propostas!$B:$BE, 45, FALSE) )</f>
        <v/>
      </c>
      <c r="U194" s="32" t="str">
        <f>IF($B194="","",  VLOOKUP($B194, Propostas!$B:$BE, 37, FALSE) )</f>
        <v/>
      </c>
      <c r="V194" s="13" t="str">
        <f>IF($B194="","",  VLOOKUP($B194, Propostas!$B:$BE, 50, FALSE) )</f>
        <v/>
      </c>
      <c r="W194" s="13" t="str">
        <f>IF($B194="","",  VLOOKUP($B194, Propostas!$B:$BE, 51, FALSE) )</f>
        <v/>
      </c>
      <c r="X194" s="13" t="str">
        <f>IF($B194="","",  VLOOKUP($B194, Propostas!$B:$BE, 52, FALSE) )</f>
        <v/>
      </c>
      <c r="Y194" s="13" t="str">
        <f>IF($B194="","",  VLOOKUP($B194, Propostas!$B:$BE, 36, FALSE) )</f>
        <v/>
      </c>
      <c r="Z194" s="13" t="str">
        <f>IF($B194="","",  VLOOKUP($F194, VW_PROJETO!B:C, 2, FALSE) )</f>
        <v/>
      </c>
    </row>
    <row r="195" spans="2:26" x14ac:dyDescent="0.2">
      <c r="B195" s="2"/>
      <c r="C195" s="4" t="str">
        <f>IF($B195="","",  VLOOKUP($B195, Propostas!$B:$BE, 33, FALSE) )</f>
        <v/>
      </c>
      <c r="D195" s="4" t="str">
        <f>IF($B195="","",  VLOOKUP($B195, Propostas!$B:$BE, 34, FALSE) )</f>
        <v/>
      </c>
      <c r="E195" s="4" t="str">
        <f>IF($B195="","",  VLOOKUP($B195, Propostas!$B:$BE, 35, FALSE) )</f>
        <v/>
      </c>
      <c r="F195" s="4" t="str">
        <f>IF($B195="","",  VLOOKUP($B195, Propostas!$B:$BE, 2, FALSE) )</f>
        <v/>
      </c>
      <c r="G195" s="4" t="str">
        <f>IF($B195="","",  VLOOKUP($B195, Propostas!$B:$BE, 3, FALSE) )</f>
        <v/>
      </c>
      <c r="H195" s="4" t="str">
        <f>IF($B195="","",  VLOOKUP($B195, Propostas!$B:$BE, 4, FALSE) )</f>
        <v/>
      </c>
      <c r="I195" s="4" t="str">
        <f>IF($B195="","",  VLOOKUP($B195, Propostas!$B:$BE, 38, FALSE) )</f>
        <v/>
      </c>
      <c r="J195" s="13" t="str">
        <f>IF($B195="","",IF($C195="SIM", "&lt; INFRRAESTRUTURA &gt;", VLOOKUP($B195,Propostas!$B:$BE,41,FALSE)))</f>
        <v/>
      </c>
      <c r="K195" s="10" t="str">
        <f>IF($B195="","",  VLOOKUP($B195, Propostas!$B:$BE, 40, FALSE) )</f>
        <v/>
      </c>
      <c r="L195" s="10" t="str">
        <f>IF($B195="","",IF(VLOOKUP($B195,Propostas!$B:$BE,21,FALSE)=1,"B",IF(VLOOKUP($B195,Propostas!$B:$BE,21,FALSE)=2,"E","N")))</f>
        <v/>
      </c>
      <c r="M195" s="32" t="str">
        <f>IF($B195 = "", "",  VLOOKUP($B195, Propostas!$B:$BE, 46, FALSE) )</f>
        <v/>
      </c>
      <c r="N195" s="32" t="str">
        <f>IF($B195 = "", "",  VLOOKUP($B195, Propostas!$B:$BE, 47, FALSE) )</f>
        <v/>
      </c>
      <c r="O195" s="13" t="str">
        <f>IF($B195="","",IF($C195="SIM", "INFRAESTRUTURA", VLOOKUP($B195, Propostas!$B:$BE,42,FALSE)))</f>
        <v/>
      </c>
      <c r="P195" s="32" t="str">
        <f>IF($B195 = "", "",  VLOOKUP($B195, Propostas!$B:$BE, 49, FALSE) )</f>
        <v/>
      </c>
      <c r="Q195" s="13" t="str">
        <f>IF($B195="","",  VLOOKUP($B195, Propostas!$B:$BE, 39, FALSE) )</f>
        <v/>
      </c>
      <c r="R195" s="81" t="str">
        <f>IF($B195="","",  VLOOKUP($B195, Propostas!$B:$BE, 43, FALSE) )</f>
        <v/>
      </c>
      <c r="S195" s="81" t="str">
        <f>IF($B195="","",  VLOOKUP($B195, Propostas!$B:$BE, 44, FALSE) )</f>
        <v/>
      </c>
      <c r="T195" s="81" t="str">
        <f>IF($B195="","",  VLOOKUP($B195, Propostas!$B:$BE, 45, FALSE) )</f>
        <v/>
      </c>
      <c r="U195" s="32" t="str">
        <f>IF($B195="","",  VLOOKUP($B195, Propostas!$B:$BE, 37, FALSE) )</f>
        <v/>
      </c>
      <c r="V195" s="13" t="str">
        <f>IF($B195="","",  VLOOKUP($B195, Propostas!$B:$BE, 50, FALSE) )</f>
        <v/>
      </c>
      <c r="W195" s="13" t="str">
        <f>IF($B195="","",  VLOOKUP($B195, Propostas!$B:$BE, 51, FALSE) )</f>
        <v/>
      </c>
      <c r="X195" s="13" t="str">
        <f>IF($B195="","",  VLOOKUP($B195, Propostas!$B:$BE, 52, FALSE) )</f>
        <v/>
      </c>
      <c r="Y195" s="13" t="str">
        <f>IF($B195="","",  VLOOKUP($B195, Propostas!$B:$BE, 36, FALSE) )</f>
        <v/>
      </c>
      <c r="Z195" s="13" t="str">
        <f>IF($B195="","",  VLOOKUP($F195, VW_PROJETO!B:C, 2, FALSE) )</f>
        <v/>
      </c>
    </row>
    <row r="196" spans="2:26" x14ac:dyDescent="0.2">
      <c r="B196" s="2"/>
      <c r="C196" s="4" t="str">
        <f>IF($B196="","",  VLOOKUP($B196, Propostas!$B:$BE, 33, FALSE) )</f>
        <v/>
      </c>
      <c r="D196" s="4" t="str">
        <f>IF($B196="","",  VLOOKUP($B196, Propostas!$B:$BE, 34, FALSE) )</f>
        <v/>
      </c>
      <c r="E196" s="4" t="str">
        <f>IF($B196="","",  VLOOKUP($B196, Propostas!$B:$BE, 35, FALSE) )</f>
        <v/>
      </c>
      <c r="F196" s="4" t="str">
        <f>IF($B196="","",  VLOOKUP($B196, Propostas!$B:$BE, 2, FALSE) )</f>
        <v/>
      </c>
      <c r="G196" s="4" t="str">
        <f>IF($B196="","",  VLOOKUP($B196, Propostas!$B:$BE, 3, FALSE) )</f>
        <v/>
      </c>
      <c r="H196" s="4" t="str">
        <f>IF($B196="","",  VLOOKUP($B196, Propostas!$B:$BE, 4, FALSE) )</f>
        <v/>
      </c>
      <c r="I196" s="4" t="str">
        <f>IF($B196="","",  VLOOKUP($B196, Propostas!$B:$BE, 38, FALSE) )</f>
        <v/>
      </c>
      <c r="J196" s="13" t="str">
        <f>IF($B196="","",IF($C196="SIM", "&lt; INFRRAESTRUTURA &gt;", VLOOKUP($B196,Propostas!$B:$BE,41,FALSE)))</f>
        <v/>
      </c>
      <c r="K196" s="10" t="str">
        <f>IF($B196="","",  VLOOKUP($B196, Propostas!$B:$BE, 40, FALSE) )</f>
        <v/>
      </c>
      <c r="L196" s="10" t="str">
        <f>IF($B196="","",IF(VLOOKUP($B196,Propostas!$B:$BE,21,FALSE)=1,"B",IF(VLOOKUP($B196,Propostas!$B:$BE,21,FALSE)=2,"E","N")))</f>
        <v/>
      </c>
      <c r="M196" s="32" t="str">
        <f>IF($B196 = "", "",  VLOOKUP($B196, Propostas!$B:$BE, 46, FALSE) )</f>
        <v/>
      </c>
      <c r="N196" s="32" t="str">
        <f>IF($B196 = "", "",  VLOOKUP($B196, Propostas!$B:$BE, 47, FALSE) )</f>
        <v/>
      </c>
      <c r="O196" s="13" t="str">
        <f>IF($B196="","",IF($C196="SIM", "INFRAESTRUTURA", VLOOKUP($B196, Propostas!$B:$BE,42,FALSE)))</f>
        <v/>
      </c>
      <c r="P196" s="32" t="str">
        <f>IF($B196 = "", "",  VLOOKUP($B196, Propostas!$B:$BE, 49, FALSE) )</f>
        <v/>
      </c>
      <c r="Q196" s="13" t="str">
        <f>IF($B196="","",  VLOOKUP($B196, Propostas!$B:$BE, 39, FALSE) )</f>
        <v/>
      </c>
      <c r="R196" s="81" t="str">
        <f>IF($B196="","",  VLOOKUP($B196, Propostas!$B:$BE, 43, FALSE) )</f>
        <v/>
      </c>
      <c r="S196" s="81" t="str">
        <f>IF($B196="","",  VLOOKUP($B196, Propostas!$B:$BE, 44, FALSE) )</f>
        <v/>
      </c>
      <c r="T196" s="81" t="str">
        <f>IF($B196="","",  VLOOKUP($B196, Propostas!$B:$BE, 45, FALSE) )</f>
        <v/>
      </c>
      <c r="U196" s="32" t="str">
        <f>IF($B196="","",  VLOOKUP($B196, Propostas!$B:$BE, 37, FALSE) )</f>
        <v/>
      </c>
      <c r="V196" s="13" t="str">
        <f>IF($B196="","",  VLOOKUP($B196, Propostas!$B:$BE, 50, FALSE) )</f>
        <v/>
      </c>
      <c r="W196" s="13" t="str">
        <f>IF($B196="","",  VLOOKUP($B196, Propostas!$B:$BE, 51, FALSE) )</f>
        <v/>
      </c>
      <c r="X196" s="13" t="str">
        <f>IF($B196="","",  VLOOKUP($B196, Propostas!$B:$BE, 52, FALSE) )</f>
        <v/>
      </c>
      <c r="Y196" s="13" t="str">
        <f>IF($B196="","",  VLOOKUP($B196, Propostas!$B:$BE, 36, FALSE) )</f>
        <v/>
      </c>
      <c r="Z196" s="13" t="str">
        <f>IF($B196="","",  VLOOKUP($F196, VW_PROJETO!B:C, 2, FALSE) )</f>
        <v/>
      </c>
    </row>
    <row r="197" spans="2:26" x14ac:dyDescent="0.2">
      <c r="B197" s="2"/>
      <c r="C197" s="4" t="str">
        <f>IF($B197="","",  VLOOKUP($B197, Propostas!$B:$BE, 33, FALSE) )</f>
        <v/>
      </c>
      <c r="D197" s="4" t="str">
        <f>IF($B197="","",  VLOOKUP($B197, Propostas!$B:$BE, 34, FALSE) )</f>
        <v/>
      </c>
      <c r="E197" s="4" t="str">
        <f>IF($B197="","",  VLOOKUP($B197, Propostas!$B:$BE, 35, FALSE) )</f>
        <v/>
      </c>
      <c r="F197" s="4" t="str">
        <f>IF($B197="","",  VLOOKUP($B197, Propostas!$B:$BE, 2, FALSE) )</f>
        <v/>
      </c>
      <c r="G197" s="4" t="str">
        <f>IF($B197="","",  VLOOKUP($B197, Propostas!$B:$BE, 3, FALSE) )</f>
        <v/>
      </c>
      <c r="H197" s="4" t="str">
        <f>IF($B197="","",  VLOOKUP($B197, Propostas!$B:$BE, 4, FALSE) )</f>
        <v/>
      </c>
      <c r="I197" s="4" t="str">
        <f>IF($B197="","",  VLOOKUP($B197, Propostas!$B:$BE, 38, FALSE) )</f>
        <v/>
      </c>
      <c r="J197" s="13" t="str">
        <f>IF($B197="","",IF($C197="SIM", "&lt; INFRRAESTRUTURA &gt;", VLOOKUP($B197,Propostas!$B:$BE,41,FALSE)))</f>
        <v/>
      </c>
      <c r="K197" s="10" t="str">
        <f>IF($B197="","",  VLOOKUP($B197, Propostas!$B:$BE, 40, FALSE) )</f>
        <v/>
      </c>
      <c r="L197" s="10" t="str">
        <f>IF($B197="","",IF(VLOOKUP($B197,Propostas!$B:$BE,21,FALSE)=1,"B",IF(VLOOKUP($B197,Propostas!$B:$BE,21,FALSE)=2,"E","N")))</f>
        <v/>
      </c>
      <c r="M197" s="32" t="str">
        <f>IF($B197 = "", "",  VLOOKUP($B197, Propostas!$B:$BE, 46, FALSE) )</f>
        <v/>
      </c>
      <c r="N197" s="32" t="str">
        <f>IF($B197 = "", "",  VLOOKUP($B197, Propostas!$B:$BE, 47, FALSE) )</f>
        <v/>
      </c>
      <c r="O197" s="13" t="str">
        <f>IF($B197="","",IF($C197="SIM", "INFRAESTRUTURA", VLOOKUP($B197, Propostas!$B:$BE,42,FALSE)))</f>
        <v/>
      </c>
      <c r="P197" s="32" t="str">
        <f>IF($B197 = "", "",  VLOOKUP($B197, Propostas!$B:$BE, 49, FALSE) )</f>
        <v/>
      </c>
      <c r="Q197" s="13" t="str">
        <f>IF($B197="","",  VLOOKUP($B197, Propostas!$B:$BE, 39, FALSE) )</f>
        <v/>
      </c>
      <c r="R197" s="81" t="str">
        <f>IF($B197="","",  VLOOKUP($B197, Propostas!$B:$BE, 43, FALSE) )</f>
        <v/>
      </c>
      <c r="S197" s="81" t="str">
        <f>IF($B197="","",  VLOOKUP($B197, Propostas!$B:$BE, 44, FALSE) )</f>
        <v/>
      </c>
      <c r="T197" s="81" t="str">
        <f>IF($B197="","",  VLOOKUP($B197, Propostas!$B:$BE, 45, FALSE) )</f>
        <v/>
      </c>
      <c r="U197" s="32" t="str">
        <f>IF($B197="","",  VLOOKUP($B197, Propostas!$B:$BE, 37, FALSE) )</f>
        <v/>
      </c>
      <c r="V197" s="13" t="str">
        <f>IF($B197="","",  VLOOKUP($B197, Propostas!$B:$BE, 50, FALSE) )</f>
        <v/>
      </c>
      <c r="W197" s="13" t="str">
        <f>IF($B197="","",  VLOOKUP($B197, Propostas!$B:$BE, 51, FALSE) )</f>
        <v/>
      </c>
      <c r="X197" s="13" t="str">
        <f>IF($B197="","",  VLOOKUP($B197, Propostas!$B:$BE, 52, FALSE) )</f>
        <v/>
      </c>
      <c r="Y197" s="13" t="str">
        <f>IF($B197="","",  VLOOKUP($B197, Propostas!$B:$BE, 36, FALSE) )</f>
        <v/>
      </c>
      <c r="Z197" s="13" t="str">
        <f>IF($B197="","",  VLOOKUP($F197, VW_PROJETO!B:C, 2, FALSE) )</f>
        <v/>
      </c>
    </row>
    <row r="198" spans="2:26" x14ac:dyDescent="0.2">
      <c r="B198" s="2"/>
      <c r="C198" s="4" t="str">
        <f>IF($B198="","",  VLOOKUP($B198, Propostas!$B:$BE, 33, FALSE) )</f>
        <v/>
      </c>
      <c r="D198" s="4" t="str">
        <f>IF($B198="","",  VLOOKUP($B198, Propostas!$B:$BE, 34, FALSE) )</f>
        <v/>
      </c>
      <c r="E198" s="4" t="str">
        <f>IF($B198="","",  VLOOKUP($B198, Propostas!$B:$BE, 35, FALSE) )</f>
        <v/>
      </c>
      <c r="F198" s="4" t="str">
        <f>IF($B198="","",  VLOOKUP($B198, Propostas!$B:$BE, 2, FALSE) )</f>
        <v/>
      </c>
      <c r="G198" s="4" t="str">
        <f>IF($B198="","",  VLOOKUP($B198, Propostas!$B:$BE, 3, FALSE) )</f>
        <v/>
      </c>
      <c r="H198" s="4" t="str">
        <f>IF($B198="","",  VLOOKUP($B198, Propostas!$B:$BE, 4, FALSE) )</f>
        <v/>
      </c>
      <c r="I198" s="4" t="str">
        <f>IF($B198="","",  VLOOKUP($B198, Propostas!$B:$BE, 38, FALSE) )</f>
        <v/>
      </c>
      <c r="J198" s="13" t="str">
        <f>IF($B198="","",IF($C198="SIM", "&lt; INFRRAESTRUTURA &gt;", VLOOKUP($B198,Propostas!$B:$BE,41,FALSE)))</f>
        <v/>
      </c>
      <c r="K198" s="10" t="str">
        <f>IF($B198="","",  VLOOKUP($B198, Propostas!$B:$BE, 40, FALSE) )</f>
        <v/>
      </c>
      <c r="L198" s="10" t="str">
        <f>IF($B198="","",IF(VLOOKUP($B198,Propostas!$B:$BE,21,FALSE)=1,"B",IF(VLOOKUP($B198,Propostas!$B:$BE,21,FALSE)=2,"E","N")))</f>
        <v/>
      </c>
      <c r="M198" s="32" t="str">
        <f>IF($B198 = "", "",  VLOOKUP($B198, Propostas!$B:$BE, 46, FALSE) )</f>
        <v/>
      </c>
      <c r="N198" s="32" t="str">
        <f>IF($B198 = "", "",  VLOOKUP($B198, Propostas!$B:$BE, 47, FALSE) )</f>
        <v/>
      </c>
      <c r="O198" s="13" t="str">
        <f>IF($B198="","",IF($C198="SIM", "INFRAESTRUTURA", VLOOKUP($B198, Propostas!$B:$BE,42,FALSE)))</f>
        <v/>
      </c>
      <c r="P198" s="32" t="str">
        <f>IF($B198 = "", "",  VLOOKUP($B198, Propostas!$B:$BE, 49, FALSE) )</f>
        <v/>
      </c>
      <c r="Q198" s="13" t="str">
        <f>IF($B198="","",  VLOOKUP($B198, Propostas!$B:$BE, 39, FALSE) )</f>
        <v/>
      </c>
      <c r="R198" s="81" t="str">
        <f>IF($B198="","",  VLOOKUP($B198, Propostas!$B:$BE, 43, FALSE) )</f>
        <v/>
      </c>
      <c r="S198" s="81" t="str">
        <f>IF($B198="","",  VLOOKUP($B198, Propostas!$B:$BE, 44, FALSE) )</f>
        <v/>
      </c>
      <c r="T198" s="81" t="str">
        <f>IF($B198="","",  VLOOKUP($B198, Propostas!$B:$BE, 45, FALSE) )</f>
        <v/>
      </c>
      <c r="U198" s="32" t="str">
        <f>IF($B198="","",  VLOOKUP($B198, Propostas!$B:$BE, 37, FALSE) )</f>
        <v/>
      </c>
      <c r="V198" s="13" t="str">
        <f>IF($B198="","",  VLOOKUP($B198, Propostas!$B:$BE, 50, FALSE) )</f>
        <v/>
      </c>
      <c r="W198" s="13" t="str">
        <f>IF($B198="","",  VLOOKUP($B198, Propostas!$B:$BE, 51, FALSE) )</f>
        <v/>
      </c>
      <c r="X198" s="13" t="str">
        <f>IF($B198="","",  VLOOKUP($B198, Propostas!$B:$BE, 52, FALSE) )</f>
        <v/>
      </c>
      <c r="Y198" s="13" t="str">
        <f>IF($B198="","",  VLOOKUP($B198, Propostas!$B:$BE, 36, FALSE) )</f>
        <v/>
      </c>
      <c r="Z198" s="13" t="str">
        <f>IF($B198="","",  VLOOKUP($F198, VW_PROJETO!B:C, 2, FALSE) )</f>
        <v/>
      </c>
    </row>
    <row r="199" spans="2:26" x14ac:dyDescent="0.2">
      <c r="B199" s="2"/>
      <c r="C199" s="4" t="str">
        <f>IF($B199="","",  VLOOKUP($B199, Propostas!$B:$BE, 33, FALSE) )</f>
        <v/>
      </c>
      <c r="D199" s="4" t="str">
        <f>IF($B199="","",  VLOOKUP($B199, Propostas!$B:$BE, 34, FALSE) )</f>
        <v/>
      </c>
      <c r="E199" s="4" t="str">
        <f>IF($B199="","",  VLOOKUP($B199, Propostas!$B:$BE, 35, FALSE) )</f>
        <v/>
      </c>
      <c r="F199" s="4" t="str">
        <f>IF($B199="","",  VLOOKUP($B199, Propostas!$B:$BE, 2, FALSE) )</f>
        <v/>
      </c>
      <c r="G199" s="4" t="str">
        <f>IF($B199="","",  VLOOKUP($B199, Propostas!$B:$BE, 3, FALSE) )</f>
        <v/>
      </c>
      <c r="H199" s="4" t="str">
        <f>IF($B199="","",  VLOOKUP($B199, Propostas!$B:$BE, 4, FALSE) )</f>
        <v/>
      </c>
      <c r="I199" s="4" t="str">
        <f>IF($B199="","",  VLOOKUP($B199, Propostas!$B:$BE, 38, FALSE) )</f>
        <v/>
      </c>
      <c r="J199" s="13" t="str">
        <f>IF($B199="","",IF($C199="SIM", "&lt; INFRRAESTRUTURA &gt;", VLOOKUP($B199,Propostas!$B:$BE,41,FALSE)))</f>
        <v/>
      </c>
      <c r="K199" s="10" t="str">
        <f>IF($B199="","",  VLOOKUP($B199, Propostas!$B:$BE, 40, FALSE) )</f>
        <v/>
      </c>
      <c r="L199" s="10" t="str">
        <f>IF($B199="","",IF(VLOOKUP($B199,Propostas!$B:$BE,21,FALSE)=1,"B",IF(VLOOKUP($B199,Propostas!$B:$BE,21,FALSE)=2,"E","N")))</f>
        <v/>
      </c>
      <c r="M199" s="32" t="str">
        <f>IF($B199 = "", "",  VLOOKUP($B199, Propostas!$B:$BE, 46, FALSE) )</f>
        <v/>
      </c>
      <c r="N199" s="32" t="str">
        <f>IF($B199 = "", "",  VLOOKUP($B199, Propostas!$B:$BE, 47, FALSE) )</f>
        <v/>
      </c>
      <c r="O199" s="13" t="str">
        <f>IF($B199="","",IF($C199="SIM", "INFRAESTRUTURA", VLOOKUP($B199, Propostas!$B:$BE,42,FALSE)))</f>
        <v/>
      </c>
      <c r="P199" s="32" t="str">
        <f>IF($B199 = "", "",  VLOOKUP($B199, Propostas!$B:$BE, 49, FALSE) )</f>
        <v/>
      </c>
      <c r="Q199" s="13" t="str">
        <f>IF($B199="","",  VLOOKUP($B199, Propostas!$B:$BE, 39, FALSE) )</f>
        <v/>
      </c>
      <c r="R199" s="81" t="str">
        <f>IF($B199="","",  VLOOKUP($B199, Propostas!$B:$BE, 43, FALSE) )</f>
        <v/>
      </c>
      <c r="S199" s="81" t="str">
        <f>IF($B199="","",  VLOOKUP($B199, Propostas!$B:$BE, 44, FALSE) )</f>
        <v/>
      </c>
      <c r="T199" s="81" t="str">
        <f>IF($B199="","",  VLOOKUP($B199, Propostas!$B:$BE, 45, FALSE) )</f>
        <v/>
      </c>
      <c r="U199" s="32" t="str">
        <f>IF($B199="","",  VLOOKUP($B199, Propostas!$B:$BE, 37, FALSE) )</f>
        <v/>
      </c>
      <c r="V199" s="13" t="str">
        <f>IF($B199="","",  VLOOKUP($B199, Propostas!$B:$BE, 50, FALSE) )</f>
        <v/>
      </c>
      <c r="W199" s="13" t="str">
        <f>IF($B199="","",  VLOOKUP($B199, Propostas!$B:$BE, 51, FALSE) )</f>
        <v/>
      </c>
      <c r="X199" s="13" t="str">
        <f>IF($B199="","",  VLOOKUP($B199, Propostas!$B:$BE, 52, FALSE) )</f>
        <v/>
      </c>
      <c r="Y199" s="13" t="str">
        <f>IF($B199="","",  VLOOKUP($B199, Propostas!$B:$BE, 36, FALSE) )</f>
        <v/>
      </c>
      <c r="Z199" s="13" t="str">
        <f>IF($B199="","",  VLOOKUP($F199, VW_PROJETO!B:C, 2, FALSE) )</f>
        <v/>
      </c>
    </row>
    <row r="200" spans="2:26" x14ac:dyDescent="0.2">
      <c r="B200" s="2"/>
      <c r="C200" s="4" t="str">
        <f>IF($B200="","",  VLOOKUP($B200, Propostas!$B:$BE, 33, FALSE) )</f>
        <v/>
      </c>
      <c r="D200" s="4" t="str">
        <f>IF($B200="","",  VLOOKUP($B200, Propostas!$B:$BE, 34, FALSE) )</f>
        <v/>
      </c>
      <c r="E200" s="4" t="str">
        <f>IF($B200="","",  VLOOKUP($B200, Propostas!$B:$BE, 35, FALSE) )</f>
        <v/>
      </c>
      <c r="F200" s="4" t="str">
        <f>IF($B200="","",  VLOOKUP($B200, Propostas!$B:$BE, 2, FALSE) )</f>
        <v/>
      </c>
      <c r="G200" s="4" t="str">
        <f>IF($B200="","",  VLOOKUP($B200, Propostas!$B:$BE, 3, FALSE) )</f>
        <v/>
      </c>
      <c r="H200" s="4" t="str">
        <f>IF($B200="","",  VLOOKUP($B200, Propostas!$B:$BE, 4, FALSE) )</f>
        <v/>
      </c>
      <c r="I200" s="4" t="str">
        <f>IF($B200="","",  VLOOKUP($B200, Propostas!$B:$BE, 38, FALSE) )</f>
        <v/>
      </c>
      <c r="J200" s="13" t="str">
        <f>IF($B200="","",IF($C200="SIM", "&lt; INFRRAESTRUTURA &gt;", VLOOKUP($B200,Propostas!$B:$BE,41,FALSE)))</f>
        <v/>
      </c>
      <c r="K200" s="10" t="str">
        <f>IF($B200="","",  VLOOKUP($B200, Propostas!$B:$BE, 40, FALSE) )</f>
        <v/>
      </c>
      <c r="L200" s="10" t="str">
        <f>IF($B200="","",IF(VLOOKUP($B200,Propostas!$B:$BE,21,FALSE)=1,"B",IF(VLOOKUP($B200,Propostas!$B:$BE,21,FALSE)=2,"E","N")))</f>
        <v/>
      </c>
      <c r="M200" s="32" t="str">
        <f>IF($B200 = "", "",  VLOOKUP($B200, Propostas!$B:$BE, 46, FALSE) )</f>
        <v/>
      </c>
      <c r="N200" s="32" t="str">
        <f>IF($B200 = "", "",  VLOOKUP($B200, Propostas!$B:$BE, 47, FALSE) )</f>
        <v/>
      </c>
      <c r="O200" s="13" t="str">
        <f>IF($B200="","",IF($C200="SIM", "INFRAESTRUTURA", VLOOKUP($B200, Propostas!$B:$BE,42,FALSE)))</f>
        <v/>
      </c>
      <c r="P200" s="32" t="str">
        <f>IF($B200 = "", "",  VLOOKUP($B200, Propostas!$B:$BE, 49, FALSE) )</f>
        <v/>
      </c>
      <c r="Q200" s="13" t="str">
        <f>IF($B200="","",  VLOOKUP($B200, Propostas!$B:$BE, 39, FALSE) )</f>
        <v/>
      </c>
      <c r="R200" s="81" t="str">
        <f>IF($B200="","",  VLOOKUP($B200, Propostas!$B:$BE, 43, FALSE) )</f>
        <v/>
      </c>
      <c r="S200" s="81" t="str">
        <f>IF($B200="","",  VLOOKUP($B200, Propostas!$B:$BE, 44, FALSE) )</f>
        <v/>
      </c>
      <c r="T200" s="81" t="str">
        <f>IF($B200="","",  VLOOKUP($B200, Propostas!$B:$BE, 45, FALSE) )</f>
        <v/>
      </c>
      <c r="U200" s="32" t="str">
        <f>IF($B200="","",  VLOOKUP($B200, Propostas!$B:$BE, 37, FALSE) )</f>
        <v/>
      </c>
      <c r="V200" s="13" t="str">
        <f>IF($B200="","",  VLOOKUP($B200, Propostas!$B:$BE, 50, FALSE) )</f>
        <v/>
      </c>
      <c r="W200" s="13" t="str">
        <f>IF($B200="","",  VLOOKUP($B200, Propostas!$B:$BE, 51, FALSE) )</f>
        <v/>
      </c>
      <c r="X200" s="13" t="str">
        <f>IF($B200="","",  VLOOKUP($B200, Propostas!$B:$BE, 52, FALSE) )</f>
        <v/>
      </c>
      <c r="Y200" s="13" t="str">
        <f>IF($B200="","",  VLOOKUP($B200, Propostas!$B:$BE, 36, FALSE) )</f>
        <v/>
      </c>
      <c r="Z200" s="13" t="str">
        <f>IF($B200="","",  VLOOKUP($F200, VW_PROJETO!B:C, 2, FALSE) )</f>
        <v/>
      </c>
    </row>
    <row r="201" spans="2:26" x14ac:dyDescent="0.2">
      <c r="B201" s="2"/>
      <c r="C201" s="4" t="str">
        <f>IF($B201="","",  VLOOKUP($B201, Propostas!$B:$BE, 33, FALSE) )</f>
        <v/>
      </c>
      <c r="D201" s="4" t="str">
        <f>IF($B201="","",  VLOOKUP($B201, Propostas!$B:$BE, 34, FALSE) )</f>
        <v/>
      </c>
      <c r="E201" s="4" t="str">
        <f>IF($B201="","",  VLOOKUP($B201, Propostas!$B:$BE, 35, FALSE) )</f>
        <v/>
      </c>
      <c r="F201" s="4" t="str">
        <f>IF($B201="","",  VLOOKUP($B201, Propostas!$B:$BE, 2, FALSE) )</f>
        <v/>
      </c>
      <c r="G201" s="4" t="str">
        <f>IF($B201="","",  VLOOKUP($B201, Propostas!$B:$BE, 3, FALSE) )</f>
        <v/>
      </c>
      <c r="H201" s="4" t="str">
        <f>IF($B201="","",  VLOOKUP($B201, Propostas!$B:$BE, 4, FALSE) )</f>
        <v/>
      </c>
      <c r="I201" s="4" t="str">
        <f>IF($B201="","",  VLOOKUP($B201, Propostas!$B:$BE, 38, FALSE) )</f>
        <v/>
      </c>
      <c r="J201" s="13" t="str">
        <f>IF($B201="","",IF($C201="SIM", "&lt; INFRRAESTRUTURA &gt;", VLOOKUP($B201,Propostas!$B:$BE,41,FALSE)))</f>
        <v/>
      </c>
      <c r="K201" s="10" t="str">
        <f>IF($B201="","",  VLOOKUP($B201, Propostas!$B:$BE, 40, FALSE) )</f>
        <v/>
      </c>
      <c r="L201" s="10" t="str">
        <f>IF($B201="","",IF(VLOOKUP($B201,Propostas!$B:$BE,21,FALSE)=1,"B",IF(VLOOKUP($B201,Propostas!$B:$BE,21,FALSE)=2,"E","N")))</f>
        <v/>
      </c>
      <c r="M201" s="32" t="str">
        <f>IF($B201 = "", "",  VLOOKUP($B201, Propostas!$B:$BE, 46, FALSE) )</f>
        <v/>
      </c>
      <c r="N201" s="32" t="str">
        <f>IF($B201 = "", "",  VLOOKUP($B201, Propostas!$B:$BE, 47, FALSE) )</f>
        <v/>
      </c>
      <c r="O201" s="13" t="str">
        <f>IF($B201="","",IF($C201="SIM", "INFRAESTRUTURA", VLOOKUP($B201, Propostas!$B:$BE,42,FALSE)))</f>
        <v/>
      </c>
      <c r="P201" s="32" t="str">
        <f>IF($B201 = "", "",  VLOOKUP($B201, Propostas!$B:$BE, 49, FALSE) )</f>
        <v/>
      </c>
      <c r="Q201" s="13" t="str">
        <f>IF($B201="","",  VLOOKUP($B201, Propostas!$B:$BE, 39, FALSE) )</f>
        <v/>
      </c>
      <c r="R201" s="81" t="str">
        <f>IF($B201="","",  VLOOKUP($B201, Propostas!$B:$BE, 43, FALSE) )</f>
        <v/>
      </c>
      <c r="S201" s="81" t="str">
        <f>IF($B201="","",  VLOOKUP($B201, Propostas!$B:$BE, 44, FALSE) )</f>
        <v/>
      </c>
      <c r="T201" s="81" t="str">
        <f>IF($B201="","",  VLOOKUP($B201, Propostas!$B:$BE, 45, FALSE) )</f>
        <v/>
      </c>
      <c r="U201" s="32" t="str">
        <f>IF($B201="","",  VLOOKUP($B201, Propostas!$B:$BE, 37, FALSE) )</f>
        <v/>
      </c>
      <c r="V201" s="13" t="str">
        <f>IF($B201="","",  VLOOKUP($B201, Propostas!$B:$BE, 50, FALSE) )</f>
        <v/>
      </c>
      <c r="W201" s="13" t="str">
        <f>IF($B201="","",  VLOOKUP($B201, Propostas!$B:$BE, 51, FALSE) )</f>
        <v/>
      </c>
      <c r="X201" s="13" t="str">
        <f>IF($B201="","",  VLOOKUP($B201, Propostas!$B:$BE, 52, FALSE) )</f>
        <v/>
      </c>
      <c r="Y201" s="13" t="str">
        <f>IF($B201="","",  VLOOKUP($B201, Propostas!$B:$BE, 36, FALSE) )</f>
        <v/>
      </c>
      <c r="Z201" s="13" t="str">
        <f>IF($B201="","",  VLOOKUP($F201, VW_PROJETO!B:C, 2, FALSE) )</f>
        <v/>
      </c>
    </row>
    <row r="202" spans="2:26" x14ac:dyDescent="0.2">
      <c r="B202" s="2"/>
      <c r="C202" s="4" t="str">
        <f>IF($B202="","",  VLOOKUP($B202, Propostas!$B:$BE, 33, FALSE) )</f>
        <v/>
      </c>
      <c r="D202" s="4" t="str">
        <f>IF($B202="","",  VLOOKUP($B202, Propostas!$B:$BE, 34, FALSE) )</f>
        <v/>
      </c>
      <c r="E202" s="4" t="str">
        <f>IF($B202="","",  VLOOKUP($B202, Propostas!$B:$BE, 35, FALSE) )</f>
        <v/>
      </c>
      <c r="F202" s="4" t="str">
        <f>IF($B202="","",  VLOOKUP($B202, Propostas!$B:$BE, 2, FALSE) )</f>
        <v/>
      </c>
      <c r="G202" s="4" t="str">
        <f>IF($B202="","",  VLOOKUP($B202, Propostas!$B:$BE, 3, FALSE) )</f>
        <v/>
      </c>
      <c r="H202" s="4" t="str">
        <f>IF($B202="","",  VLOOKUP($B202, Propostas!$B:$BE, 4, FALSE) )</f>
        <v/>
      </c>
      <c r="I202" s="4" t="str">
        <f>IF($B202="","",  VLOOKUP($B202, Propostas!$B:$BE, 38, FALSE) )</f>
        <v/>
      </c>
      <c r="J202" s="13" t="str">
        <f>IF($B202="","",IF($C202="SIM", "&lt; INFRRAESTRUTURA &gt;", VLOOKUP($B202,Propostas!$B:$BE,41,FALSE)))</f>
        <v/>
      </c>
      <c r="K202" s="10" t="str">
        <f>IF($B202="","",  VLOOKUP($B202, Propostas!$B:$BE, 40, FALSE) )</f>
        <v/>
      </c>
      <c r="L202" s="10" t="str">
        <f>IF($B202="","",IF(VLOOKUP($B202,Propostas!$B:$BE,21,FALSE)=1,"B",IF(VLOOKUP($B202,Propostas!$B:$BE,21,FALSE)=2,"E","N")))</f>
        <v/>
      </c>
      <c r="M202" s="32" t="str">
        <f>IF($B202 = "", "",  VLOOKUP($B202, Propostas!$B:$BE, 46, FALSE) )</f>
        <v/>
      </c>
      <c r="N202" s="32" t="str">
        <f>IF($B202 = "", "",  VLOOKUP($B202, Propostas!$B:$BE, 47, FALSE) )</f>
        <v/>
      </c>
      <c r="O202" s="13" t="str">
        <f>IF($B202="","",IF($C202="SIM", "INFRAESTRUTURA", VLOOKUP($B202, Propostas!$B:$BE,42,FALSE)))</f>
        <v/>
      </c>
      <c r="P202" s="32" t="str">
        <f>IF($B202 = "", "",  VLOOKUP($B202, Propostas!$B:$BE, 49, FALSE) )</f>
        <v/>
      </c>
      <c r="Q202" s="13" t="str">
        <f>IF($B202="","",  VLOOKUP($B202, Propostas!$B:$BE, 39, FALSE) )</f>
        <v/>
      </c>
      <c r="R202" s="81" t="str">
        <f>IF($B202="","",  VLOOKUP($B202, Propostas!$B:$BE, 43, FALSE) )</f>
        <v/>
      </c>
      <c r="S202" s="81" t="str">
        <f>IF($B202="","",  VLOOKUP($B202, Propostas!$B:$BE, 44, FALSE) )</f>
        <v/>
      </c>
      <c r="T202" s="81" t="str">
        <f>IF($B202="","",  VLOOKUP($B202, Propostas!$B:$BE, 45, FALSE) )</f>
        <v/>
      </c>
      <c r="U202" s="32" t="str">
        <f>IF($B202="","",  VLOOKUP($B202, Propostas!$B:$BE, 37, FALSE) )</f>
        <v/>
      </c>
      <c r="V202" s="13" t="str">
        <f>IF($B202="","",  VLOOKUP($B202, Propostas!$B:$BE, 50, FALSE) )</f>
        <v/>
      </c>
      <c r="W202" s="13" t="str">
        <f>IF($B202="","",  VLOOKUP($B202, Propostas!$B:$BE, 51, FALSE) )</f>
        <v/>
      </c>
      <c r="X202" s="13" t="str">
        <f>IF($B202="","",  VLOOKUP($B202, Propostas!$B:$BE, 52, FALSE) )</f>
        <v/>
      </c>
      <c r="Y202" s="13" t="str">
        <f>IF($B202="","",  VLOOKUP($B202, Propostas!$B:$BE, 36, FALSE) )</f>
        <v/>
      </c>
      <c r="Z202" s="13" t="str">
        <f>IF($B202="","",  VLOOKUP($F202, VW_PROJETO!B:C, 2, FALSE) )</f>
        <v/>
      </c>
    </row>
    <row r="203" spans="2:26" x14ac:dyDescent="0.2">
      <c r="B203" s="2"/>
      <c r="C203" s="4" t="str">
        <f>IF($B203="","",  VLOOKUP($B203, Propostas!$B:$BE, 33, FALSE) )</f>
        <v/>
      </c>
      <c r="D203" s="4" t="str">
        <f>IF($B203="","",  VLOOKUP($B203, Propostas!$B:$BE, 34, FALSE) )</f>
        <v/>
      </c>
      <c r="E203" s="4" t="str">
        <f>IF($B203="","",  VLOOKUP($B203, Propostas!$B:$BE, 35, FALSE) )</f>
        <v/>
      </c>
      <c r="F203" s="4" t="str">
        <f>IF($B203="","",  VLOOKUP($B203, Propostas!$B:$BE, 2, FALSE) )</f>
        <v/>
      </c>
      <c r="G203" s="4" t="str">
        <f>IF($B203="","",  VLOOKUP($B203, Propostas!$B:$BE, 3, FALSE) )</f>
        <v/>
      </c>
      <c r="H203" s="4" t="str">
        <f>IF($B203="","",  VLOOKUP($B203, Propostas!$B:$BE, 4, FALSE) )</f>
        <v/>
      </c>
      <c r="I203" s="4" t="str">
        <f>IF($B203="","",  VLOOKUP($B203, Propostas!$B:$BE, 38, FALSE) )</f>
        <v/>
      </c>
      <c r="J203" s="13" t="str">
        <f>IF($B203="","",IF($C203="SIM", "&lt; INFRRAESTRUTURA &gt;", VLOOKUP($B203,Propostas!$B:$BE,41,FALSE)))</f>
        <v/>
      </c>
      <c r="K203" s="10" t="str">
        <f>IF($B203="","",  VLOOKUP($B203, Propostas!$B:$BE, 40, FALSE) )</f>
        <v/>
      </c>
      <c r="L203" s="10" t="str">
        <f>IF($B203="","",IF(VLOOKUP($B203,Propostas!$B:$BE,21,FALSE)=1,"B",IF(VLOOKUP($B203,Propostas!$B:$BE,21,FALSE)=2,"E","N")))</f>
        <v/>
      </c>
      <c r="M203" s="32" t="str">
        <f>IF($B203 = "", "",  VLOOKUP($B203, Propostas!$B:$BE, 46, FALSE) )</f>
        <v/>
      </c>
      <c r="N203" s="32" t="str">
        <f>IF($B203 = "", "",  VLOOKUP($B203, Propostas!$B:$BE, 47, FALSE) )</f>
        <v/>
      </c>
      <c r="O203" s="13" t="str">
        <f>IF($B203="","",IF($C203="SIM", "INFRAESTRUTURA", VLOOKUP($B203, Propostas!$B:$BE,42,FALSE)))</f>
        <v/>
      </c>
      <c r="P203" s="32" t="str">
        <f>IF($B203 = "", "",  VLOOKUP($B203, Propostas!$B:$BE, 49, FALSE) )</f>
        <v/>
      </c>
      <c r="Q203" s="13" t="str">
        <f>IF($B203="","",  VLOOKUP($B203, Propostas!$B:$BE, 39, FALSE) )</f>
        <v/>
      </c>
      <c r="R203" s="81" t="str">
        <f>IF($B203="","",  VLOOKUP($B203, Propostas!$B:$BE, 43, FALSE) )</f>
        <v/>
      </c>
      <c r="S203" s="81" t="str">
        <f>IF($B203="","",  VLOOKUP($B203, Propostas!$B:$BE, 44, FALSE) )</f>
        <v/>
      </c>
      <c r="T203" s="81" t="str">
        <f>IF($B203="","",  VLOOKUP($B203, Propostas!$B:$BE, 45, FALSE) )</f>
        <v/>
      </c>
      <c r="U203" s="32" t="str">
        <f>IF($B203="","",  VLOOKUP($B203, Propostas!$B:$BE, 37, FALSE) )</f>
        <v/>
      </c>
      <c r="V203" s="13" t="str">
        <f>IF($B203="","",  VLOOKUP($B203, Propostas!$B:$BE, 50, FALSE) )</f>
        <v/>
      </c>
      <c r="W203" s="13" t="str">
        <f>IF($B203="","",  VLOOKUP($B203, Propostas!$B:$BE, 51, FALSE) )</f>
        <v/>
      </c>
      <c r="X203" s="13" t="str">
        <f>IF($B203="","",  VLOOKUP($B203, Propostas!$B:$BE, 52, FALSE) )</f>
        <v/>
      </c>
      <c r="Y203" s="13" t="str">
        <f>IF($B203="","",  VLOOKUP($B203, Propostas!$B:$BE, 36, FALSE) )</f>
        <v/>
      </c>
      <c r="Z203" s="13" t="str">
        <f>IF($B203="","",  VLOOKUP($F203, VW_PROJETO!B:C, 2, FALSE) )</f>
        <v/>
      </c>
    </row>
    <row r="204" spans="2:26" x14ac:dyDescent="0.2">
      <c r="B204" s="2"/>
      <c r="C204" s="4" t="str">
        <f>IF($B204="","",  VLOOKUP($B204, Propostas!$B:$BE, 33, FALSE) )</f>
        <v/>
      </c>
      <c r="D204" s="4" t="str">
        <f>IF($B204="","",  VLOOKUP($B204, Propostas!$B:$BE, 34, FALSE) )</f>
        <v/>
      </c>
      <c r="E204" s="4" t="str">
        <f>IF($B204="","",  VLOOKUP($B204, Propostas!$B:$BE, 35, FALSE) )</f>
        <v/>
      </c>
      <c r="F204" s="4" t="str">
        <f>IF($B204="","",  VLOOKUP($B204, Propostas!$B:$BE, 2, FALSE) )</f>
        <v/>
      </c>
      <c r="G204" s="4" t="str">
        <f>IF($B204="","",  VLOOKUP($B204, Propostas!$B:$BE, 3, FALSE) )</f>
        <v/>
      </c>
      <c r="H204" s="4" t="str">
        <f>IF($B204="","",  VLOOKUP($B204, Propostas!$B:$BE, 4, FALSE) )</f>
        <v/>
      </c>
      <c r="I204" s="4" t="str">
        <f>IF($B204="","",  VLOOKUP($B204, Propostas!$B:$BE, 38, FALSE) )</f>
        <v/>
      </c>
      <c r="J204" s="13" t="str">
        <f>IF($B204="","",IF($C204="SIM", "&lt; INFRRAESTRUTURA &gt;", VLOOKUP($B204,Propostas!$B:$BE,41,FALSE)))</f>
        <v/>
      </c>
      <c r="K204" s="10" t="str">
        <f>IF($B204="","",  VLOOKUP($B204, Propostas!$B:$BE, 40, FALSE) )</f>
        <v/>
      </c>
      <c r="L204" s="10" t="str">
        <f>IF($B204="","",IF(VLOOKUP($B204,Propostas!$B:$BE,21,FALSE)=1,"B",IF(VLOOKUP($B204,Propostas!$B:$BE,21,FALSE)=2,"E","N")))</f>
        <v/>
      </c>
      <c r="M204" s="32" t="str">
        <f>IF($B204 = "", "",  VLOOKUP($B204, Propostas!$B:$BE, 46, FALSE) )</f>
        <v/>
      </c>
      <c r="N204" s="32" t="str">
        <f>IF($B204 = "", "",  VLOOKUP($B204, Propostas!$B:$BE, 47, FALSE) )</f>
        <v/>
      </c>
      <c r="O204" s="13" t="str">
        <f>IF($B204="","",IF($C204="SIM", "INFRAESTRUTURA", VLOOKUP($B204, Propostas!$B:$BE,42,FALSE)))</f>
        <v/>
      </c>
      <c r="P204" s="32" t="str">
        <f>IF($B204 = "", "",  VLOOKUP($B204, Propostas!$B:$BE, 49, FALSE) )</f>
        <v/>
      </c>
      <c r="Q204" s="13" t="str">
        <f>IF($B204="","",  VLOOKUP($B204, Propostas!$B:$BE, 39, FALSE) )</f>
        <v/>
      </c>
      <c r="R204" s="81" t="str">
        <f>IF($B204="","",  VLOOKUP($B204, Propostas!$B:$BE, 43, FALSE) )</f>
        <v/>
      </c>
      <c r="S204" s="81" t="str">
        <f>IF($B204="","",  VLOOKUP($B204, Propostas!$B:$BE, 44, FALSE) )</f>
        <v/>
      </c>
      <c r="T204" s="81" t="str">
        <f>IF($B204="","",  VLOOKUP($B204, Propostas!$B:$BE, 45, FALSE) )</f>
        <v/>
      </c>
      <c r="U204" s="32" t="str">
        <f>IF($B204="","",  VLOOKUP($B204, Propostas!$B:$BE, 37, FALSE) )</f>
        <v/>
      </c>
      <c r="V204" s="13" t="str">
        <f>IF($B204="","",  VLOOKUP($B204, Propostas!$B:$BE, 50, FALSE) )</f>
        <v/>
      </c>
      <c r="W204" s="13" t="str">
        <f>IF($B204="","",  VLOOKUP($B204, Propostas!$B:$BE, 51, FALSE) )</f>
        <v/>
      </c>
      <c r="X204" s="13" t="str">
        <f>IF($B204="","",  VLOOKUP($B204, Propostas!$B:$BE, 52, FALSE) )</f>
        <v/>
      </c>
      <c r="Y204" s="13" t="str">
        <f>IF($B204="","",  VLOOKUP($B204, Propostas!$B:$BE, 36, FALSE) )</f>
        <v/>
      </c>
      <c r="Z204" s="13" t="str">
        <f>IF($B204="","",  VLOOKUP($F204, VW_PROJETO!B:C, 2, FALSE) )</f>
        <v/>
      </c>
    </row>
    <row r="205" spans="2:26" x14ac:dyDescent="0.2">
      <c r="B205" s="2"/>
      <c r="C205" s="4" t="str">
        <f>IF($B205="","",  VLOOKUP($B205, Propostas!$B:$BE, 33, FALSE) )</f>
        <v/>
      </c>
      <c r="D205" s="4" t="str">
        <f>IF($B205="","",  VLOOKUP($B205, Propostas!$B:$BE, 34, FALSE) )</f>
        <v/>
      </c>
      <c r="E205" s="4" t="str">
        <f>IF($B205="","",  VLOOKUP($B205, Propostas!$B:$BE, 35, FALSE) )</f>
        <v/>
      </c>
      <c r="F205" s="4" t="str">
        <f>IF($B205="","",  VLOOKUP($B205, Propostas!$B:$BE, 2, FALSE) )</f>
        <v/>
      </c>
      <c r="G205" s="4" t="str">
        <f>IF($B205="","",  VLOOKUP($B205, Propostas!$B:$BE, 3, FALSE) )</f>
        <v/>
      </c>
      <c r="H205" s="4" t="str">
        <f>IF($B205="","",  VLOOKUP($B205, Propostas!$B:$BE, 4, FALSE) )</f>
        <v/>
      </c>
      <c r="I205" s="4" t="str">
        <f>IF($B205="","",  VLOOKUP($B205, Propostas!$B:$BE, 38, FALSE) )</f>
        <v/>
      </c>
      <c r="J205" s="13" t="str">
        <f>IF($B205="","",IF($C205="SIM", "&lt; INFRRAESTRUTURA &gt;", VLOOKUP($B205,Propostas!$B:$BE,41,FALSE)))</f>
        <v/>
      </c>
      <c r="K205" s="10" t="str">
        <f>IF($B205="","",  VLOOKUP($B205, Propostas!$B:$BE, 40, FALSE) )</f>
        <v/>
      </c>
      <c r="L205" s="10" t="str">
        <f>IF($B205="","",IF(VLOOKUP($B205,Propostas!$B:$BE,21,FALSE)=1,"B",IF(VLOOKUP($B205,Propostas!$B:$BE,21,FALSE)=2,"E","N")))</f>
        <v/>
      </c>
      <c r="M205" s="32" t="str">
        <f>IF($B205 = "", "",  VLOOKUP($B205, Propostas!$B:$BE, 46, FALSE) )</f>
        <v/>
      </c>
      <c r="N205" s="32" t="str">
        <f>IF($B205 = "", "",  VLOOKUP($B205, Propostas!$B:$BE, 47, FALSE) )</f>
        <v/>
      </c>
      <c r="O205" s="13" t="str">
        <f>IF($B205="","",IF($C205="SIM", "INFRAESTRUTURA", VLOOKUP($B205, Propostas!$B:$BE,42,FALSE)))</f>
        <v/>
      </c>
      <c r="P205" s="32" t="str">
        <f>IF($B205 = "", "",  VLOOKUP($B205, Propostas!$B:$BE, 49, FALSE) )</f>
        <v/>
      </c>
      <c r="Q205" s="13" t="str">
        <f>IF($B205="","",  VLOOKUP($B205, Propostas!$B:$BE, 39, FALSE) )</f>
        <v/>
      </c>
      <c r="R205" s="81" t="str">
        <f>IF($B205="","",  VLOOKUP($B205, Propostas!$B:$BE, 43, FALSE) )</f>
        <v/>
      </c>
      <c r="S205" s="81" t="str">
        <f>IF($B205="","",  VLOOKUP($B205, Propostas!$B:$BE, 44, FALSE) )</f>
        <v/>
      </c>
      <c r="T205" s="81" t="str">
        <f>IF($B205="","",  VLOOKUP($B205, Propostas!$B:$BE, 45, FALSE) )</f>
        <v/>
      </c>
      <c r="U205" s="32" t="str">
        <f>IF($B205="","",  VLOOKUP($B205, Propostas!$B:$BE, 37, FALSE) )</f>
        <v/>
      </c>
      <c r="V205" s="13" t="str">
        <f>IF($B205="","",  VLOOKUP($B205, Propostas!$B:$BE, 50, FALSE) )</f>
        <v/>
      </c>
      <c r="W205" s="13" t="str">
        <f>IF($B205="","",  VLOOKUP($B205, Propostas!$B:$BE, 51, FALSE) )</f>
        <v/>
      </c>
      <c r="X205" s="13" t="str">
        <f>IF($B205="","",  VLOOKUP($B205, Propostas!$B:$BE, 52, FALSE) )</f>
        <v/>
      </c>
      <c r="Y205" s="13" t="str">
        <f>IF($B205="","",  VLOOKUP($B205, Propostas!$B:$BE, 36, FALSE) )</f>
        <v/>
      </c>
      <c r="Z205" s="13" t="str">
        <f>IF($B205="","",  VLOOKUP($F205, VW_PROJETO!B:C, 2, FALSE) )</f>
        <v/>
      </c>
    </row>
    <row r="206" spans="2:26" x14ac:dyDescent="0.2">
      <c r="B206" s="2"/>
      <c r="C206" s="4" t="str">
        <f>IF($B206="","",  VLOOKUP($B206, Propostas!$B:$BE, 33, FALSE) )</f>
        <v/>
      </c>
      <c r="D206" s="4" t="str">
        <f>IF($B206="","",  VLOOKUP($B206, Propostas!$B:$BE, 34, FALSE) )</f>
        <v/>
      </c>
      <c r="E206" s="4" t="str">
        <f>IF($B206="","",  VLOOKUP($B206, Propostas!$B:$BE, 35, FALSE) )</f>
        <v/>
      </c>
      <c r="F206" s="4" t="str">
        <f>IF($B206="","",  VLOOKUP($B206, Propostas!$B:$BE, 2, FALSE) )</f>
        <v/>
      </c>
      <c r="G206" s="4" t="str">
        <f>IF($B206="","",  VLOOKUP($B206, Propostas!$B:$BE, 3, FALSE) )</f>
        <v/>
      </c>
      <c r="H206" s="4" t="str">
        <f>IF($B206="","",  VLOOKUP($B206, Propostas!$B:$BE, 4, FALSE) )</f>
        <v/>
      </c>
      <c r="I206" s="4" t="str">
        <f>IF($B206="","",  VLOOKUP($B206, Propostas!$B:$BE, 38, FALSE) )</f>
        <v/>
      </c>
      <c r="J206" s="13" t="str">
        <f>IF($B206="","",IF($C206="SIM", "&lt; INFRRAESTRUTURA &gt;", VLOOKUP($B206,Propostas!$B:$BE,41,FALSE)))</f>
        <v/>
      </c>
      <c r="K206" s="10" t="str">
        <f>IF($B206="","",  VLOOKUP($B206, Propostas!$B:$BE, 40, FALSE) )</f>
        <v/>
      </c>
      <c r="L206" s="10" t="str">
        <f>IF($B206="","",IF(VLOOKUP($B206,Propostas!$B:$BE,21,FALSE)=1,"B",IF(VLOOKUP($B206,Propostas!$B:$BE,21,FALSE)=2,"E","N")))</f>
        <v/>
      </c>
      <c r="M206" s="32" t="str">
        <f>IF($B206 = "", "",  VLOOKUP($B206, Propostas!$B:$BE, 46, FALSE) )</f>
        <v/>
      </c>
      <c r="N206" s="32" t="str">
        <f>IF($B206 = "", "",  VLOOKUP($B206, Propostas!$B:$BE, 47, FALSE) )</f>
        <v/>
      </c>
      <c r="O206" s="13" t="str">
        <f>IF($B206="","",IF($C206="SIM", "INFRAESTRUTURA", VLOOKUP($B206, Propostas!$B:$BE,42,FALSE)))</f>
        <v/>
      </c>
      <c r="P206" s="32" t="str">
        <f>IF($B206 = "", "",  VLOOKUP($B206, Propostas!$B:$BE, 49, FALSE) )</f>
        <v/>
      </c>
      <c r="Q206" s="13" t="str">
        <f>IF($B206="","",  VLOOKUP($B206, Propostas!$B:$BE, 39, FALSE) )</f>
        <v/>
      </c>
      <c r="R206" s="81" t="str">
        <f>IF($B206="","",  VLOOKUP($B206, Propostas!$B:$BE, 43, FALSE) )</f>
        <v/>
      </c>
      <c r="S206" s="81" t="str">
        <f>IF($B206="","",  VLOOKUP($B206, Propostas!$B:$BE, 44, FALSE) )</f>
        <v/>
      </c>
      <c r="T206" s="81" t="str">
        <f>IF($B206="","",  VLOOKUP($B206, Propostas!$B:$BE, 45, FALSE) )</f>
        <v/>
      </c>
      <c r="U206" s="32" t="str">
        <f>IF($B206="","",  VLOOKUP($B206, Propostas!$B:$BE, 37, FALSE) )</f>
        <v/>
      </c>
      <c r="V206" s="13" t="str">
        <f>IF($B206="","",  VLOOKUP($B206, Propostas!$B:$BE, 50, FALSE) )</f>
        <v/>
      </c>
      <c r="W206" s="13" t="str">
        <f>IF($B206="","",  VLOOKUP($B206, Propostas!$B:$BE, 51, FALSE) )</f>
        <v/>
      </c>
      <c r="X206" s="13" t="str">
        <f>IF($B206="","",  VLOOKUP($B206, Propostas!$B:$BE, 52, FALSE) )</f>
        <v/>
      </c>
      <c r="Y206" s="13" t="str">
        <f>IF($B206="","",  VLOOKUP($B206, Propostas!$B:$BE, 36, FALSE) )</f>
        <v/>
      </c>
      <c r="Z206" s="13" t="str">
        <f>IF($B206="","",  VLOOKUP($F206, VW_PROJETO!B:C, 2, FALSE) )</f>
        <v/>
      </c>
    </row>
    <row r="207" spans="2:26" x14ac:dyDescent="0.2">
      <c r="B207" s="2"/>
      <c r="C207" s="4" t="str">
        <f>IF($B207="","",  VLOOKUP($B207, Propostas!$B:$BE, 33, FALSE) )</f>
        <v/>
      </c>
      <c r="D207" s="4" t="str">
        <f>IF($B207="","",  VLOOKUP($B207, Propostas!$B:$BE, 34, FALSE) )</f>
        <v/>
      </c>
      <c r="E207" s="4" t="str">
        <f>IF($B207="","",  VLOOKUP($B207, Propostas!$B:$BE, 35, FALSE) )</f>
        <v/>
      </c>
      <c r="F207" s="4" t="str">
        <f>IF($B207="","",  VLOOKUP($B207, Propostas!$B:$BE, 2, FALSE) )</f>
        <v/>
      </c>
      <c r="G207" s="4" t="str">
        <f>IF($B207="","",  VLOOKUP($B207, Propostas!$B:$BE, 3, FALSE) )</f>
        <v/>
      </c>
      <c r="H207" s="4" t="str">
        <f>IF($B207="","",  VLOOKUP($B207, Propostas!$B:$BE, 4, FALSE) )</f>
        <v/>
      </c>
      <c r="I207" s="4" t="str">
        <f>IF($B207="","",  VLOOKUP($B207, Propostas!$B:$BE, 38, FALSE) )</f>
        <v/>
      </c>
      <c r="J207" s="13" t="str">
        <f>IF($B207="","",IF($C207="SIM", "&lt; INFRRAESTRUTURA &gt;", VLOOKUP($B207,Propostas!$B:$BE,41,FALSE)))</f>
        <v/>
      </c>
      <c r="K207" s="10" t="str">
        <f>IF($B207="","",  VLOOKUP($B207, Propostas!$B:$BE, 40, FALSE) )</f>
        <v/>
      </c>
      <c r="L207" s="10" t="str">
        <f>IF($B207="","",IF(VLOOKUP($B207,Propostas!$B:$BE,21,FALSE)=1,"B",IF(VLOOKUP($B207,Propostas!$B:$BE,21,FALSE)=2,"E","N")))</f>
        <v/>
      </c>
      <c r="M207" s="32" t="str">
        <f>IF($B207 = "", "",  VLOOKUP($B207, Propostas!$B:$BE, 46, FALSE) )</f>
        <v/>
      </c>
      <c r="N207" s="32" t="str">
        <f>IF($B207 = "", "",  VLOOKUP($B207, Propostas!$B:$BE, 47, FALSE) )</f>
        <v/>
      </c>
      <c r="O207" s="13" t="str">
        <f>IF($B207="","",IF($C207="SIM", "INFRAESTRUTURA", VLOOKUP($B207, Propostas!$B:$BE,42,FALSE)))</f>
        <v/>
      </c>
      <c r="P207" s="32" t="str">
        <f>IF($B207 = "", "",  VLOOKUP($B207, Propostas!$B:$BE, 49, FALSE) )</f>
        <v/>
      </c>
      <c r="Q207" s="13" t="str">
        <f>IF($B207="","",  VLOOKUP($B207, Propostas!$B:$BE, 39, FALSE) )</f>
        <v/>
      </c>
      <c r="R207" s="81" t="str">
        <f>IF($B207="","",  VLOOKUP($B207, Propostas!$B:$BE, 43, FALSE) )</f>
        <v/>
      </c>
      <c r="S207" s="81" t="str">
        <f>IF($B207="","",  VLOOKUP($B207, Propostas!$B:$BE, 44, FALSE) )</f>
        <v/>
      </c>
      <c r="T207" s="81" t="str">
        <f>IF($B207="","",  VLOOKUP($B207, Propostas!$B:$BE, 45, FALSE) )</f>
        <v/>
      </c>
      <c r="U207" s="32" t="str">
        <f>IF($B207="","",  VLOOKUP($B207, Propostas!$B:$BE, 37, FALSE) )</f>
        <v/>
      </c>
      <c r="V207" s="13" t="str">
        <f>IF($B207="","",  VLOOKUP($B207, Propostas!$B:$BE, 50, FALSE) )</f>
        <v/>
      </c>
      <c r="W207" s="13" t="str">
        <f>IF($B207="","",  VLOOKUP($B207, Propostas!$B:$BE, 51, FALSE) )</f>
        <v/>
      </c>
      <c r="X207" s="13" t="str">
        <f>IF($B207="","",  VLOOKUP($B207, Propostas!$B:$BE, 52, FALSE) )</f>
        <v/>
      </c>
      <c r="Y207" s="13" t="str">
        <f>IF($B207="","",  VLOOKUP($B207, Propostas!$B:$BE, 36, FALSE) )</f>
        <v/>
      </c>
      <c r="Z207" s="13" t="str">
        <f>IF($B207="","",  VLOOKUP($F207, VW_PROJETO!B:C, 2, FALSE) )</f>
        <v/>
      </c>
    </row>
    <row r="208" spans="2:26" x14ac:dyDescent="0.2">
      <c r="B208" s="2"/>
      <c r="C208" s="4" t="str">
        <f>IF($B208="","",  VLOOKUP($B208, Propostas!$B:$BE, 33, FALSE) )</f>
        <v/>
      </c>
      <c r="D208" s="4" t="str">
        <f>IF($B208="","",  VLOOKUP($B208, Propostas!$B:$BE, 34, FALSE) )</f>
        <v/>
      </c>
      <c r="E208" s="4" t="str">
        <f>IF($B208="","",  VLOOKUP($B208, Propostas!$B:$BE, 35, FALSE) )</f>
        <v/>
      </c>
      <c r="F208" s="4" t="str">
        <f>IF($B208="","",  VLOOKUP($B208, Propostas!$B:$BE, 2, FALSE) )</f>
        <v/>
      </c>
      <c r="G208" s="4" t="str">
        <f>IF($B208="","",  VLOOKUP($B208, Propostas!$B:$BE, 3, FALSE) )</f>
        <v/>
      </c>
      <c r="H208" s="4" t="str">
        <f>IF($B208="","",  VLOOKUP($B208, Propostas!$B:$BE, 4, FALSE) )</f>
        <v/>
      </c>
      <c r="I208" s="4" t="str">
        <f>IF($B208="","",  VLOOKUP($B208, Propostas!$B:$BE, 38, FALSE) )</f>
        <v/>
      </c>
      <c r="J208" s="13" t="str">
        <f>IF($B208="","",IF($C208="SIM", "&lt; INFRRAESTRUTURA &gt;", VLOOKUP($B208,Propostas!$B:$BE,41,FALSE)))</f>
        <v/>
      </c>
      <c r="K208" s="10" t="str">
        <f>IF($B208="","",  VLOOKUP($B208, Propostas!$B:$BE, 40, FALSE) )</f>
        <v/>
      </c>
      <c r="L208" s="10" t="str">
        <f>IF($B208="","",IF(VLOOKUP($B208,Propostas!$B:$BE,21,FALSE)=1,"B",IF(VLOOKUP($B208,Propostas!$B:$BE,21,FALSE)=2,"E","N")))</f>
        <v/>
      </c>
      <c r="M208" s="32" t="str">
        <f>IF($B208 = "", "",  VLOOKUP($B208, Propostas!$B:$BE, 46, FALSE) )</f>
        <v/>
      </c>
      <c r="N208" s="32" t="str">
        <f>IF($B208 = "", "",  VLOOKUP($B208, Propostas!$B:$BE, 47, FALSE) )</f>
        <v/>
      </c>
      <c r="O208" s="13" t="str">
        <f>IF($B208="","",IF($C208="SIM", "INFRAESTRUTURA", VLOOKUP($B208, Propostas!$B:$BE,42,FALSE)))</f>
        <v/>
      </c>
      <c r="P208" s="32" t="str">
        <f>IF($B208 = "", "",  VLOOKUP($B208, Propostas!$B:$BE, 49, FALSE) )</f>
        <v/>
      </c>
      <c r="Q208" s="13" t="str">
        <f>IF($B208="","",  VLOOKUP($B208, Propostas!$B:$BE, 39, FALSE) )</f>
        <v/>
      </c>
      <c r="R208" s="81" t="str">
        <f>IF($B208="","",  VLOOKUP($B208, Propostas!$B:$BE, 43, FALSE) )</f>
        <v/>
      </c>
      <c r="S208" s="81" t="str">
        <f>IF($B208="","",  VLOOKUP($B208, Propostas!$B:$BE, 44, FALSE) )</f>
        <v/>
      </c>
      <c r="T208" s="81" t="str">
        <f>IF($B208="","",  VLOOKUP($B208, Propostas!$B:$BE, 45, FALSE) )</f>
        <v/>
      </c>
      <c r="U208" s="32" t="str">
        <f>IF($B208="","",  VLOOKUP($B208, Propostas!$B:$BE, 37, FALSE) )</f>
        <v/>
      </c>
      <c r="V208" s="13" t="str">
        <f>IF($B208="","",  VLOOKUP($B208, Propostas!$B:$BE, 50, FALSE) )</f>
        <v/>
      </c>
      <c r="W208" s="13" t="str">
        <f>IF($B208="","",  VLOOKUP($B208, Propostas!$B:$BE, 51, FALSE) )</f>
        <v/>
      </c>
      <c r="X208" s="13" t="str">
        <f>IF($B208="","",  VLOOKUP($B208, Propostas!$B:$BE, 52, FALSE) )</f>
        <v/>
      </c>
      <c r="Y208" s="13" t="str">
        <f>IF($B208="","",  VLOOKUP($B208, Propostas!$B:$BE, 36, FALSE) )</f>
        <v/>
      </c>
      <c r="Z208" s="13" t="str">
        <f>IF($B208="","",  VLOOKUP($F208, VW_PROJETO!B:C, 2, FALSE) )</f>
        <v/>
      </c>
    </row>
    <row r="209" spans="2:26" x14ac:dyDescent="0.2">
      <c r="B209" s="2"/>
      <c r="C209" s="4" t="str">
        <f>IF($B209="","",  VLOOKUP($B209, Propostas!$B:$BE, 33, FALSE) )</f>
        <v/>
      </c>
      <c r="D209" s="4" t="str">
        <f>IF($B209="","",  VLOOKUP($B209, Propostas!$B:$BE, 34, FALSE) )</f>
        <v/>
      </c>
      <c r="E209" s="4" t="str">
        <f>IF($B209="","",  VLOOKUP($B209, Propostas!$B:$BE, 35, FALSE) )</f>
        <v/>
      </c>
      <c r="F209" s="4" t="str">
        <f>IF($B209="","",  VLOOKUP($B209, Propostas!$B:$BE, 2, FALSE) )</f>
        <v/>
      </c>
      <c r="G209" s="4" t="str">
        <f>IF($B209="","",  VLOOKUP($B209, Propostas!$B:$BE, 3, FALSE) )</f>
        <v/>
      </c>
      <c r="H209" s="4" t="str">
        <f>IF($B209="","",  VLOOKUP($B209, Propostas!$B:$BE, 4, FALSE) )</f>
        <v/>
      </c>
      <c r="I209" s="4" t="str">
        <f>IF($B209="","",  VLOOKUP($B209, Propostas!$B:$BE, 38, FALSE) )</f>
        <v/>
      </c>
      <c r="J209" s="13" t="str">
        <f>IF($B209="","",IF($C209="SIM", "&lt; INFRRAESTRUTURA &gt;", VLOOKUP($B209,Propostas!$B:$BE,41,FALSE)))</f>
        <v/>
      </c>
      <c r="K209" s="10" t="str">
        <f>IF($B209="","",  VLOOKUP($B209, Propostas!$B:$BE, 40, FALSE) )</f>
        <v/>
      </c>
      <c r="L209" s="10" t="str">
        <f>IF($B209="","",IF(VLOOKUP($B209,Propostas!$B:$BE,21,FALSE)=1,"B",IF(VLOOKUP($B209,Propostas!$B:$BE,21,FALSE)=2,"E","N")))</f>
        <v/>
      </c>
      <c r="M209" s="32" t="str">
        <f>IF($B209 = "", "",  VLOOKUP($B209, Propostas!$B:$BE, 46, FALSE) )</f>
        <v/>
      </c>
      <c r="N209" s="32" t="str">
        <f>IF($B209 = "", "",  VLOOKUP($B209, Propostas!$B:$BE, 47, FALSE) )</f>
        <v/>
      </c>
      <c r="O209" s="13" t="str">
        <f>IF($B209="","",IF($C209="SIM", "INFRAESTRUTURA", VLOOKUP($B209, Propostas!$B:$BE,42,FALSE)))</f>
        <v/>
      </c>
      <c r="P209" s="32" t="str">
        <f>IF($B209 = "", "",  VLOOKUP($B209, Propostas!$B:$BE, 49, FALSE) )</f>
        <v/>
      </c>
      <c r="Q209" s="13" t="str">
        <f>IF($B209="","",  VLOOKUP($B209, Propostas!$B:$BE, 39, FALSE) )</f>
        <v/>
      </c>
      <c r="R209" s="81" t="str">
        <f>IF($B209="","",  VLOOKUP($B209, Propostas!$B:$BE, 43, FALSE) )</f>
        <v/>
      </c>
      <c r="S209" s="81" t="str">
        <f>IF($B209="","",  VLOOKUP($B209, Propostas!$B:$BE, 44, FALSE) )</f>
        <v/>
      </c>
      <c r="T209" s="81" t="str">
        <f>IF($B209="","",  VLOOKUP($B209, Propostas!$B:$BE, 45, FALSE) )</f>
        <v/>
      </c>
      <c r="U209" s="32" t="str">
        <f>IF($B209="","",  VLOOKUP($B209, Propostas!$B:$BE, 37, FALSE) )</f>
        <v/>
      </c>
      <c r="V209" s="13" t="str">
        <f>IF($B209="","",  VLOOKUP($B209, Propostas!$B:$BE, 50, FALSE) )</f>
        <v/>
      </c>
      <c r="W209" s="13" t="str">
        <f>IF($B209="","",  VLOOKUP($B209, Propostas!$B:$BE, 51, FALSE) )</f>
        <v/>
      </c>
      <c r="X209" s="13" t="str">
        <f>IF($B209="","",  VLOOKUP($B209, Propostas!$B:$BE, 52, FALSE) )</f>
        <v/>
      </c>
      <c r="Y209" s="13" t="str">
        <f>IF($B209="","",  VLOOKUP($B209, Propostas!$B:$BE, 36, FALSE) )</f>
        <v/>
      </c>
      <c r="Z209" s="13" t="str">
        <f>IF($B209="","",  VLOOKUP($F209, VW_PROJETO!B:C, 2, FALSE) )</f>
        <v/>
      </c>
    </row>
    <row r="210" spans="2:26" x14ac:dyDescent="0.2">
      <c r="B210" s="2"/>
      <c r="C210" s="4" t="str">
        <f>IF($B210="","",  VLOOKUP($B210, Propostas!$B:$BE, 33, FALSE) )</f>
        <v/>
      </c>
      <c r="D210" s="4" t="str">
        <f>IF($B210="","",  VLOOKUP($B210, Propostas!$B:$BE, 34, FALSE) )</f>
        <v/>
      </c>
      <c r="E210" s="4" t="str">
        <f>IF($B210="","",  VLOOKUP($B210, Propostas!$B:$BE, 35, FALSE) )</f>
        <v/>
      </c>
      <c r="F210" s="4" t="str">
        <f>IF($B210="","",  VLOOKUP($B210, Propostas!$B:$BE, 2, FALSE) )</f>
        <v/>
      </c>
      <c r="G210" s="4" t="str">
        <f>IF($B210="","",  VLOOKUP($B210, Propostas!$B:$BE, 3, FALSE) )</f>
        <v/>
      </c>
      <c r="H210" s="4" t="str">
        <f>IF($B210="","",  VLOOKUP($B210, Propostas!$B:$BE, 4, FALSE) )</f>
        <v/>
      </c>
      <c r="I210" s="4" t="str">
        <f>IF($B210="","",  VLOOKUP($B210, Propostas!$B:$BE, 38, FALSE) )</f>
        <v/>
      </c>
      <c r="J210" s="13" t="str">
        <f>IF($B210="","",IF($C210="SIM", "&lt; INFRRAESTRUTURA &gt;", VLOOKUP($B210,Propostas!$B:$BE,41,FALSE)))</f>
        <v/>
      </c>
      <c r="K210" s="10" t="str">
        <f>IF($B210="","",  VLOOKUP($B210, Propostas!$B:$BE, 40, FALSE) )</f>
        <v/>
      </c>
      <c r="L210" s="10" t="str">
        <f>IF($B210="","",IF(VLOOKUP($B210,Propostas!$B:$BE,21,FALSE)=1,"B",IF(VLOOKUP($B210,Propostas!$B:$BE,21,FALSE)=2,"E","N")))</f>
        <v/>
      </c>
      <c r="M210" s="32" t="str">
        <f>IF($B210 = "", "",  VLOOKUP($B210, Propostas!$B:$BE, 46, FALSE) )</f>
        <v/>
      </c>
      <c r="N210" s="32" t="str">
        <f>IF($B210 = "", "",  VLOOKUP($B210, Propostas!$B:$BE, 47, FALSE) )</f>
        <v/>
      </c>
      <c r="O210" s="13" t="str">
        <f>IF($B210="","",IF($C210="SIM", "INFRAESTRUTURA", VLOOKUP($B210, Propostas!$B:$BE,42,FALSE)))</f>
        <v/>
      </c>
      <c r="P210" s="32" t="str">
        <f>IF($B210 = "", "",  VLOOKUP($B210, Propostas!$B:$BE, 49, FALSE) )</f>
        <v/>
      </c>
      <c r="Q210" s="13" t="str">
        <f>IF($B210="","",  VLOOKUP($B210, Propostas!$B:$BE, 39, FALSE) )</f>
        <v/>
      </c>
      <c r="R210" s="81" t="str">
        <f>IF($B210="","",  VLOOKUP($B210, Propostas!$B:$BE, 43, FALSE) )</f>
        <v/>
      </c>
      <c r="S210" s="81" t="str">
        <f>IF($B210="","",  VLOOKUP($B210, Propostas!$B:$BE, 44, FALSE) )</f>
        <v/>
      </c>
      <c r="T210" s="81" t="str">
        <f>IF($B210="","",  VLOOKUP($B210, Propostas!$B:$BE, 45, FALSE) )</f>
        <v/>
      </c>
      <c r="U210" s="32" t="str">
        <f>IF($B210="","",  VLOOKUP($B210, Propostas!$B:$BE, 37, FALSE) )</f>
        <v/>
      </c>
      <c r="V210" s="13" t="str">
        <f>IF($B210="","",  VLOOKUP($B210, Propostas!$B:$BE, 50, FALSE) )</f>
        <v/>
      </c>
      <c r="W210" s="13" t="str">
        <f>IF($B210="","",  VLOOKUP($B210, Propostas!$B:$BE, 51, FALSE) )</f>
        <v/>
      </c>
      <c r="X210" s="13" t="str">
        <f>IF($B210="","",  VLOOKUP($B210, Propostas!$B:$BE, 52, FALSE) )</f>
        <v/>
      </c>
      <c r="Y210" s="13" t="str">
        <f>IF($B210="","",  VLOOKUP($B210, Propostas!$B:$BE, 36, FALSE) )</f>
        <v/>
      </c>
      <c r="Z210" s="13" t="str">
        <f>IF($B210="","",  VLOOKUP($F210, VW_PROJETO!B:C, 2, FALSE) )</f>
        <v/>
      </c>
    </row>
    <row r="211" spans="2:26" x14ac:dyDescent="0.2">
      <c r="B211" s="2"/>
      <c r="C211" s="4" t="str">
        <f>IF($B211="","",  VLOOKUP($B211, Propostas!$B:$BE, 33, FALSE) )</f>
        <v/>
      </c>
      <c r="D211" s="4" t="str">
        <f>IF($B211="","",  VLOOKUP($B211, Propostas!$B:$BE, 34, FALSE) )</f>
        <v/>
      </c>
      <c r="E211" s="4" t="str">
        <f>IF($B211="","",  VLOOKUP($B211, Propostas!$B:$BE, 35, FALSE) )</f>
        <v/>
      </c>
      <c r="F211" s="4" t="str">
        <f>IF($B211="","",  VLOOKUP($B211, Propostas!$B:$BE, 2, FALSE) )</f>
        <v/>
      </c>
      <c r="G211" s="4" t="str">
        <f>IF($B211="","",  VLOOKUP($B211, Propostas!$B:$BE, 3, FALSE) )</f>
        <v/>
      </c>
      <c r="H211" s="4" t="str">
        <f>IF($B211="","",  VLOOKUP($B211, Propostas!$B:$BE, 4, FALSE) )</f>
        <v/>
      </c>
      <c r="I211" s="4" t="str">
        <f>IF($B211="","",  VLOOKUP($B211, Propostas!$B:$BE, 38, FALSE) )</f>
        <v/>
      </c>
      <c r="J211" s="13" t="str">
        <f>IF($B211="","",IF($C211="SIM", "&lt; INFRRAESTRUTURA &gt;", VLOOKUP($B211,Propostas!$B:$BE,41,FALSE)))</f>
        <v/>
      </c>
      <c r="K211" s="10" t="str">
        <f>IF($B211="","",  VLOOKUP($B211, Propostas!$B:$BE, 40, FALSE) )</f>
        <v/>
      </c>
      <c r="L211" s="10" t="str">
        <f>IF($B211="","",IF(VLOOKUP($B211,Propostas!$B:$BE,21,FALSE)=1,"B",IF(VLOOKUP($B211,Propostas!$B:$BE,21,FALSE)=2,"E","N")))</f>
        <v/>
      </c>
      <c r="M211" s="32" t="str">
        <f>IF($B211 = "", "",  VLOOKUP($B211, Propostas!$B:$BE, 46, FALSE) )</f>
        <v/>
      </c>
      <c r="N211" s="32" t="str">
        <f>IF($B211 = "", "",  VLOOKUP($B211, Propostas!$B:$BE, 47, FALSE) )</f>
        <v/>
      </c>
      <c r="O211" s="13" t="str">
        <f>IF($B211="","",IF($C211="SIM", "INFRAESTRUTURA", VLOOKUP($B211, Propostas!$B:$BE,42,FALSE)))</f>
        <v/>
      </c>
      <c r="P211" s="32" t="str">
        <f>IF($B211 = "", "",  VLOOKUP($B211, Propostas!$B:$BE, 49, FALSE) )</f>
        <v/>
      </c>
      <c r="Q211" s="13" t="str">
        <f>IF($B211="","",  VLOOKUP($B211, Propostas!$B:$BE, 39, FALSE) )</f>
        <v/>
      </c>
      <c r="R211" s="81" t="str">
        <f>IF($B211="","",  VLOOKUP($B211, Propostas!$B:$BE, 43, FALSE) )</f>
        <v/>
      </c>
      <c r="S211" s="81" t="str">
        <f>IF($B211="","",  VLOOKUP($B211, Propostas!$B:$BE, 44, FALSE) )</f>
        <v/>
      </c>
      <c r="T211" s="81" t="str">
        <f>IF($B211="","",  VLOOKUP($B211, Propostas!$B:$BE, 45, FALSE) )</f>
        <v/>
      </c>
      <c r="U211" s="32" t="str">
        <f>IF($B211="","",  VLOOKUP($B211, Propostas!$B:$BE, 37, FALSE) )</f>
        <v/>
      </c>
      <c r="V211" s="13" t="str">
        <f>IF($B211="","",  VLOOKUP($B211, Propostas!$B:$BE, 50, FALSE) )</f>
        <v/>
      </c>
      <c r="W211" s="13" t="str">
        <f>IF($B211="","",  VLOOKUP($B211, Propostas!$B:$BE, 51, FALSE) )</f>
        <v/>
      </c>
      <c r="X211" s="13" t="str">
        <f>IF($B211="","",  VLOOKUP($B211, Propostas!$B:$BE, 52, FALSE) )</f>
        <v/>
      </c>
      <c r="Y211" s="13" t="str">
        <f>IF($B211="","",  VLOOKUP($B211, Propostas!$B:$BE, 36, FALSE) )</f>
        <v/>
      </c>
      <c r="Z211" s="13" t="str">
        <f>IF($B211="","",  VLOOKUP($F211, VW_PROJETO!B:C, 2, FALSE) )</f>
        <v/>
      </c>
    </row>
    <row r="212" spans="2:26" x14ac:dyDescent="0.2">
      <c r="B212" s="2"/>
      <c r="C212" s="4" t="str">
        <f>IF($B212="","",  VLOOKUP($B212, Propostas!$B:$BE, 33, FALSE) )</f>
        <v/>
      </c>
      <c r="D212" s="4" t="str">
        <f>IF($B212="","",  VLOOKUP($B212, Propostas!$B:$BE, 34, FALSE) )</f>
        <v/>
      </c>
      <c r="E212" s="4" t="str">
        <f>IF($B212="","",  VLOOKUP($B212, Propostas!$B:$BE, 35, FALSE) )</f>
        <v/>
      </c>
      <c r="F212" s="4" t="str">
        <f>IF($B212="","",  VLOOKUP($B212, Propostas!$B:$BE, 2, FALSE) )</f>
        <v/>
      </c>
      <c r="G212" s="4" t="str">
        <f>IF($B212="","",  VLOOKUP($B212, Propostas!$B:$BE, 3, FALSE) )</f>
        <v/>
      </c>
      <c r="H212" s="4" t="str">
        <f>IF($B212="","",  VLOOKUP($B212, Propostas!$B:$BE, 4, FALSE) )</f>
        <v/>
      </c>
      <c r="I212" s="4" t="str">
        <f>IF($B212="","",  VLOOKUP($B212, Propostas!$B:$BE, 38, FALSE) )</f>
        <v/>
      </c>
      <c r="J212" s="13" t="str">
        <f>IF($B212="","",IF($C212="SIM", "&lt; INFRRAESTRUTURA &gt;", VLOOKUP($B212,Propostas!$B:$BE,41,FALSE)))</f>
        <v/>
      </c>
      <c r="K212" s="10" t="str">
        <f>IF($B212="","",  VLOOKUP($B212, Propostas!$B:$BE, 40, FALSE) )</f>
        <v/>
      </c>
      <c r="L212" s="10" t="str">
        <f>IF($B212="","",IF(VLOOKUP($B212,Propostas!$B:$BE,21,FALSE)=1,"B",IF(VLOOKUP($B212,Propostas!$B:$BE,21,FALSE)=2,"E","N")))</f>
        <v/>
      </c>
      <c r="M212" s="32" t="str">
        <f>IF($B212 = "", "",  VLOOKUP($B212, Propostas!$B:$BE, 46, FALSE) )</f>
        <v/>
      </c>
      <c r="N212" s="32" t="str">
        <f>IF($B212 = "", "",  VLOOKUP($B212, Propostas!$B:$BE, 47, FALSE) )</f>
        <v/>
      </c>
      <c r="O212" s="13" t="str">
        <f>IF($B212="","",IF($C212="SIM", "INFRAESTRUTURA", VLOOKUP($B212, Propostas!$B:$BE,42,FALSE)))</f>
        <v/>
      </c>
      <c r="P212" s="32" t="str">
        <f>IF($B212 = "", "",  VLOOKUP($B212, Propostas!$B:$BE, 49, FALSE) )</f>
        <v/>
      </c>
      <c r="Q212" s="13" t="str">
        <f>IF($B212="","",  VLOOKUP($B212, Propostas!$B:$BE, 39, FALSE) )</f>
        <v/>
      </c>
      <c r="R212" s="81" t="str">
        <f>IF($B212="","",  VLOOKUP($B212, Propostas!$B:$BE, 43, FALSE) )</f>
        <v/>
      </c>
      <c r="S212" s="81" t="str">
        <f>IF($B212="","",  VLOOKUP($B212, Propostas!$B:$BE, 44, FALSE) )</f>
        <v/>
      </c>
      <c r="T212" s="81" t="str">
        <f>IF($B212="","",  VLOOKUP($B212, Propostas!$B:$BE, 45, FALSE) )</f>
        <v/>
      </c>
      <c r="U212" s="32" t="str">
        <f>IF($B212="","",  VLOOKUP($B212, Propostas!$B:$BE, 37, FALSE) )</f>
        <v/>
      </c>
      <c r="V212" s="13" t="str">
        <f>IF($B212="","",  VLOOKUP($B212, Propostas!$B:$BE, 50, FALSE) )</f>
        <v/>
      </c>
      <c r="W212" s="13" t="str">
        <f>IF($B212="","",  VLOOKUP($B212, Propostas!$B:$BE, 51, FALSE) )</f>
        <v/>
      </c>
      <c r="X212" s="13" t="str">
        <f>IF($B212="","",  VLOOKUP($B212, Propostas!$B:$BE, 52, FALSE) )</f>
        <v/>
      </c>
      <c r="Y212" s="13" t="str">
        <f>IF($B212="","",  VLOOKUP($B212, Propostas!$B:$BE, 36, FALSE) )</f>
        <v/>
      </c>
      <c r="Z212" s="13" t="str">
        <f>IF($B212="","",  VLOOKUP($F212, VW_PROJETO!B:C, 2, FALSE) )</f>
        <v/>
      </c>
    </row>
    <row r="213" spans="2:26" x14ac:dyDescent="0.2">
      <c r="B213" s="2"/>
      <c r="C213" s="4" t="str">
        <f>IF($B213="","",  VLOOKUP($B213, Propostas!$B:$BE, 33, FALSE) )</f>
        <v/>
      </c>
      <c r="D213" s="4" t="str">
        <f>IF($B213="","",  VLOOKUP($B213, Propostas!$B:$BE, 34, FALSE) )</f>
        <v/>
      </c>
      <c r="E213" s="4" t="str">
        <f>IF($B213="","",  VLOOKUP($B213, Propostas!$B:$BE, 35, FALSE) )</f>
        <v/>
      </c>
      <c r="F213" s="4" t="str">
        <f>IF($B213="","",  VLOOKUP($B213, Propostas!$B:$BE, 2, FALSE) )</f>
        <v/>
      </c>
      <c r="G213" s="4" t="str">
        <f>IF($B213="","",  VLOOKUP($B213, Propostas!$B:$BE, 3, FALSE) )</f>
        <v/>
      </c>
      <c r="H213" s="4" t="str">
        <f>IF($B213="","",  VLOOKUP($B213, Propostas!$B:$BE, 4, FALSE) )</f>
        <v/>
      </c>
      <c r="I213" s="4" t="str">
        <f>IF($B213="","",  VLOOKUP($B213, Propostas!$B:$BE, 38, FALSE) )</f>
        <v/>
      </c>
      <c r="J213" s="13" t="str">
        <f>IF($B213="","",IF($C213="SIM", "&lt; INFRRAESTRUTURA &gt;", VLOOKUP($B213,Propostas!$B:$BE,41,FALSE)))</f>
        <v/>
      </c>
      <c r="K213" s="10" t="str">
        <f>IF($B213="","",  VLOOKUP($B213, Propostas!$B:$BE, 40, FALSE) )</f>
        <v/>
      </c>
      <c r="L213" s="10" t="str">
        <f>IF($B213="","",IF(VLOOKUP($B213,Propostas!$B:$BE,21,FALSE)=1,"B",IF(VLOOKUP($B213,Propostas!$B:$BE,21,FALSE)=2,"E","N")))</f>
        <v/>
      </c>
      <c r="M213" s="32" t="str">
        <f>IF($B213 = "", "",  VLOOKUP($B213, Propostas!$B:$BE, 46, FALSE) )</f>
        <v/>
      </c>
      <c r="N213" s="32" t="str">
        <f>IF($B213 = "", "",  VLOOKUP($B213, Propostas!$B:$BE, 47, FALSE) )</f>
        <v/>
      </c>
      <c r="O213" s="13" t="str">
        <f>IF($B213="","",IF($C213="SIM", "INFRAESTRUTURA", VLOOKUP($B213, Propostas!$B:$BE,42,FALSE)))</f>
        <v/>
      </c>
      <c r="P213" s="32" t="str">
        <f>IF($B213 = "", "",  VLOOKUP($B213, Propostas!$B:$BE, 49, FALSE) )</f>
        <v/>
      </c>
      <c r="Q213" s="13" t="str">
        <f>IF($B213="","",  VLOOKUP($B213, Propostas!$B:$BE, 39, FALSE) )</f>
        <v/>
      </c>
      <c r="R213" s="81" t="str">
        <f>IF($B213="","",  VLOOKUP($B213, Propostas!$B:$BE, 43, FALSE) )</f>
        <v/>
      </c>
      <c r="S213" s="81" t="str">
        <f>IF($B213="","",  VLOOKUP($B213, Propostas!$B:$BE, 44, FALSE) )</f>
        <v/>
      </c>
      <c r="T213" s="81" t="str">
        <f>IF($B213="","",  VLOOKUP($B213, Propostas!$B:$BE, 45, FALSE) )</f>
        <v/>
      </c>
      <c r="U213" s="32" t="str">
        <f>IF($B213="","",  VLOOKUP($B213, Propostas!$B:$BE, 37, FALSE) )</f>
        <v/>
      </c>
      <c r="V213" s="13" t="str">
        <f>IF($B213="","",  VLOOKUP($B213, Propostas!$B:$BE, 50, FALSE) )</f>
        <v/>
      </c>
      <c r="W213" s="13" t="str">
        <f>IF($B213="","",  VLOOKUP($B213, Propostas!$B:$BE, 51, FALSE) )</f>
        <v/>
      </c>
      <c r="X213" s="13" t="str">
        <f>IF($B213="","",  VLOOKUP($B213, Propostas!$B:$BE, 52, FALSE) )</f>
        <v/>
      </c>
      <c r="Y213" s="13" t="str">
        <f>IF($B213="","",  VLOOKUP($B213, Propostas!$B:$BE, 36, FALSE) )</f>
        <v/>
      </c>
      <c r="Z213" s="13" t="str">
        <f>IF($B213="","",  VLOOKUP($F213, VW_PROJETO!B:C, 2, FALSE) )</f>
        <v/>
      </c>
    </row>
    <row r="214" spans="2:26" x14ac:dyDescent="0.2">
      <c r="B214" s="2"/>
      <c r="C214" s="4" t="str">
        <f>IF($B214="","",  VLOOKUP($B214, Propostas!$B:$BE, 33, FALSE) )</f>
        <v/>
      </c>
      <c r="D214" s="4" t="str">
        <f>IF($B214="","",  VLOOKUP($B214, Propostas!$B:$BE, 34, FALSE) )</f>
        <v/>
      </c>
      <c r="E214" s="4" t="str">
        <f>IF($B214="","",  VLOOKUP($B214, Propostas!$B:$BE, 35, FALSE) )</f>
        <v/>
      </c>
      <c r="F214" s="4" t="str">
        <f>IF($B214="","",  VLOOKUP($B214, Propostas!$B:$BE, 2, FALSE) )</f>
        <v/>
      </c>
      <c r="G214" s="4" t="str">
        <f>IF($B214="","",  VLOOKUP($B214, Propostas!$B:$BE, 3, FALSE) )</f>
        <v/>
      </c>
      <c r="H214" s="4" t="str">
        <f>IF($B214="","",  VLOOKUP($B214, Propostas!$B:$BE, 4, FALSE) )</f>
        <v/>
      </c>
      <c r="I214" s="4" t="str">
        <f>IF($B214="","",  VLOOKUP($B214, Propostas!$B:$BE, 38, FALSE) )</f>
        <v/>
      </c>
      <c r="J214" s="13" t="str">
        <f>IF($B214="","",IF($C214="SIM", "&lt; INFRRAESTRUTURA &gt;", VLOOKUP($B214,Propostas!$B:$BE,41,FALSE)))</f>
        <v/>
      </c>
      <c r="K214" s="10" t="str">
        <f>IF($B214="","",  VLOOKUP($B214, Propostas!$B:$BE, 40, FALSE) )</f>
        <v/>
      </c>
      <c r="L214" s="10" t="str">
        <f>IF($B214="","",IF(VLOOKUP($B214,Propostas!$B:$BE,21,FALSE)=1,"B",IF(VLOOKUP($B214,Propostas!$B:$BE,21,FALSE)=2,"E","N")))</f>
        <v/>
      </c>
      <c r="M214" s="32" t="str">
        <f>IF($B214 = "", "",  VLOOKUP($B214, Propostas!$B:$BE, 46, FALSE) )</f>
        <v/>
      </c>
      <c r="N214" s="32" t="str">
        <f>IF($B214 = "", "",  VLOOKUP($B214, Propostas!$B:$BE, 47, FALSE) )</f>
        <v/>
      </c>
      <c r="O214" s="13" t="str">
        <f>IF($B214="","",IF($C214="SIM", "INFRAESTRUTURA", VLOOKUP($B214, Propostas!$B:$BE,42,FALSE)))</f>
        <v/>
      </c>
      <c r="P214" s="32" t="str">
        <f>IF($B214 = "", "",  VLOOKUP($B214, Propostas!$B:$BE, 49, FALSE) )</f>
        <v/>
      </c>
      <c r="Q214" s="13" t="str">
        <f>IF($B214="","",  VLOOKUP($B214, Propostas!$B:$BE, 39, FALSE) )</f>
        <v/>
      </c>
      <c r="R214" s="81" t="str">
        <f>IF($B214="","",  VLOOKUP($B214, Propostas!$B:$BE, 43, FALSE) )</f>
        <v/>
      </c>
      <c r="S214" s="81" t="str">
        <f>IF($B214="","",  VLOOKUP($B214, Propostas!$B:$BE, 44, FALSE) )</f>
        <v/>
      </c>
      <c r="T214" s="81" t="str">
        <f>IF($B214="","",  VLOOKUP($B214, Propostas!$B:$BE, 45, FALSE) )</f>
        <v/>
      </c>
      <c r="U214" s="32" t="str">
        <f>IF($B214="","",  VLOOKUP($B214, Propostas!$B:$BE, 37, FALSE) )</f>
        <v/>
      </c>
      <c r="V214" s="13" t="str">
        <f>IF($B214="","",  VLOOKUP($B214, Propostas!$B:$BE, 50, FALSE) )</f>
        <v/>
      </c>
      <c r="W214" s="13" t="str">
        <f>IF($B214="","",  VLOOKUP($B214, Propostas!$B:$BE, 51, FALSE) )</f>
        <v/>
      </c>
      <c r="X214" s="13" t="str">
        <f>IF($B214="","",  VLOOKUP($B214, Propostas!$B:$BE, 52, FALSE) )</f>
        <v/>
      </c>
      <c r="Y214" s="13" t="str">
        <f>IF($B214="","",  VLOOKUP($B214, Propostas!$B:$BE, 36, FALSE) )</f>
        <v/>
      </c>
      <c r="Z214" s="13" t="str">
        <f>IF($B214="","",  VLOOKUP($F214, VW_PROJETO!B:C, 2, FALSE) )</f>
        <v/>
      </c>
    </row>
    <row r="215" spans="2:26" x14ac:dyDescent="0.2">
      <c r="B215" s="2"/>
      <c r="C215" s="4" t="str">
        <f>IF($B215="","",  VLOOKUP($B215, Propostas!$B:$BE, 33, FALSE) )</f>
        <v/>
      </c>
      <c r="D215" s="4" t="str">
        <f>IF($B215="","",  VLOOKUP($B215, Propostas!$B:$BE, 34, FALSE) )</f>
        <v/>
      </c>
      <c r="E215" s="4" t="str">
        <f>IF($B215="","",  VLOOKUP($B215, Propostas!$B:$BE, 35, FALSE) )</f>
        <v/>
      </c>
      <c r="F215" s="4" t="str">
        <f>IF($B215="","",  VLOOKUP($B215, Propostas!$B:$BE, 2, FALSE) )</f>
        <v/>
      </c>
      <c r="G215" s="4" t="str">
        <f>IF($B215="","",  VLOOKUP($B215, Propostas!$B:$BE, 3, FALSE) )</f>
        <v/>
      </c>
      <c r="H215" s="4" t="str">
        <f>IF($B215="","",  VLOOKUP($B215, Propostas!$B:$BE, 4, FALSE) )</f>
        <v/>
      </c>
      <c r="I215" s="4" t="str">
        <f>IF($B215="","",  VLOOKUP($B215, Propostas!$B:$BE, 38, FALSE) )</f>
        <v/>
      </c>
      <c r="J215" s="13" t="str">
        <f>IF($B215="","",IF($C215="SIM", "&lt; INFRRAESTRUTURA &gt;", VLOOKUP($B215,Propostas!$B:$BE,41,FALSE)))</f>
        <v/>
      </c>
      <c r="K215" s="10" t="str">
        <f>IF($B215="","",  VLOOKUP($B215, Propostas!$B:$BE, 40, FALSE) )</f>
        <v/>
      </c>
      <c r="L215" s="10" t="str">
        <f>IF($B215="","",IF(VLOOKUP($B215,Propostas!$B:$BE,21,FALSE)=1,"B",IF(VLOOKUP($B215,Propostas!$B:$BE,21,FALSE)=2,"E","N")))</f>
        <v/>
      </c>
      <c r="M215" s="32" t="str">
        <f>IF($B215 = "", "",  VLOOKUP($B215, Propostas!$B:$BE, 46, FALSE) )</f>
        <v/>
      </c>
      <c r="N215" s="32" t="str">
        <f>IF($B215 = "", "",  VLOOKUP($B215, Propostas!$B:$BE, 47, FALSE) )</f>
        <v/>
      </c>
      <c r="O215" s="13" t="str">
        <f>IF($B215="","",IF($C215="SIM", "INFRAESTRUTURA", VLOOKUP($B215, Propostas!$B:$BE,42,FALSE)))</f>
        <v/>
      </c>
      <c r="P215" s="32" t="str">
        <f>IF($B215 = "", "",  VLOOKUP($B215, Propostas!$B:$BE, 49, FALSE) )</f>
        <v/>
      </c>
      <c r="Q215" s="13" t="str">
        <f>IF($B215="","",  VLOOKUP($B215, Propostas!$B:$BE, 39, FALSE) )</f>
        <v/>
      </c>
      <c r="R215" s="81" t="str">
        <f>IF($B215="","",  VLOOKUP($B215, Propostas!$B:$BE, 43, FALSE) )</f>
        <v/>
      </c>
      <c r="S215" s="81" t="str">
        <f>IF($B215="","",  VLOOKUP($B215, Propostas!$B:$BE, 44, FALSE) )</f>
        <v/>
      </c>
      <c r="T215" s="81" t="str">
        <f>IF($B215="","",  VLOOKUP($B215, Propostas!$B:$BE, 45, FALSE) )</f>
        <v/>
      </c>
      <c r="U215" s="32" t="str">
        <f>IF($B215="","",  VLOOKUP($B215, Propostas!$B:$BE, 37, FALSE) )</f>
        <v/>
      </c>
      <c r="V215" s="13" t="str">
        <f>IF($B215="","",  VLOOKUP($B215, Propostas!$B:$BE, 50, FALSE) )</f>
        <v/>
      </c>
      <c r="W215" s="13" t="str">
        <f>IF($B215="","",  VLOOKUP($B215, Propostas!$B:$BE, 51, FALSE) )</f>
        <v/>
      </c>
      <c r="X215" s="13" t="str">
        <f>IF($B215="","",  VLOOKUP($B215, Propostas!$B:$BE, 52, FALSE) )</f>
        <v/>
      </c>
      <c r="Y215" s="13" t="str">
        <f>IF($B215="","",  VLOOKUP($B215, Propostas!$B:$BE, 36, FALSE) )</f>
        <v/>
      </c>
      <c r="Z215" s="13" t="str">
        <f>IF($B215="","",  VLOOKUP($F215, VW_PROJETO!B:C, 2, FALSE) )</f>
        <v/>
      </c>
    </row>
    <row r="216" spans="2:26" x14ac:dyDescent="0.2">
      <c r="B216" s="2"/>
      <c r="C216" s="4" t="str">
        <f>IF($B216="","",  VLOOKUP($B216, Propostas!$B:$BE, 33, FALSE) )</f>
        <v/>
      </c>
      <c r="D216" s="4" t="str">
        <f>IF($B216="","",  VLOOKUP($B216, Propostas!$B:$BE, 34, FALSE) )</f>
        <v/>
      </c>
      <c r="E216" s="4" t="str">
        <f>IF($B216="","",  VLOOKUP($B216, Propostas!$B:$BE, 35, FALSE) )</f>
        <v/>
      </c>
      <c r="F216" s="4" t="str">
        <f>IF($B216="","",  VLOOKUP($B216, Propostas!$B:$BE, 2, FALSE) )</f>
        <v/>
      </c>
      <c r="G216" s="4" t="str">
        <f>IF($B216="","",  VLOOKUP($B216, Propostas!$B:$BE, 3, FALSE) )</f>
        <v/>
      </c>
      <c r="H216" s="4" t="str">
        <f>IF($B216="","",  VLOOKUP($B216, Propostas!$B:$BE, 4, FALSE) )</f>
        <v/>
      </c>
      <c r="I216" s="4" t="str">
        <f>IF($B216="","",  VLOOKUP($B216, Propostas!$B:$BE, 38, FALSE) )</f>
        <v/>
      </c>
      <c r="J216" s="13" t="str">
        <f>IF($B216="","",IF($C216="SIM", "&lt; INFRRAESTRUTURA &gt;", VLOOKUP($B216,Propostas!$B:$BE,41,FALSE)))</f>
        <v/>
      </c>
      <c r="K216" s="10" t="str">
        <f>IF($B216="","",  VLOOKUP($B216, Propostas!$B:$BE, 40, FALSE) )</f>
        <v/>
      </c>
      <c r="L216" s="10" t="str">
        <f>IF($B216="","",IF(VLOOKUP($B216,Propostas!$B:$BE,21,FALSE)=1,"B",IF(VLOOKUP($B216,Propostas!$B:$BE,21,FALSE)=2,"E","N")))</f>
        <v/>
      </c>
      <c r="M216" s="32" t="str">
        <f>IF($B216 = "", "",  VLOOKUP($B216, Propostas!$B:$BE, 46, FALSE) )</f>
        <v/>
      </c>
      <c r="N216" s="32" t="str">
        <f>IF($B216 = "", "",  VLOOKUP($B216, Propostas!$B:$BE, 47, FALSE) )</f>
        <v/>
      </c>
      <c r="O216" s="13" t="str">
        <f>IF($B216="","",IF($C216="SIM", "INFRAESTRUTURA", VLOOKUP($B216, Propostas!$B:$BE,42,FALSE)))</f>
        <v/>
      </c>
      <c r="P216" s="32" t="str">
        <f>IF($B216 = "", "",  VLOOKUP($B216, Propostas!$B:$BE, 49, FALSE) )</f>
        <v/>
      </c>
      <c r="Q216" s="13" t="str">
        <f>IF($B216="","",  VLOOKUP($B216, Propostas!$B:$BE, 39, FALSE) )</f>
        <v/>
      </c>
      <c r="R216" s="81" t="str">
        <f>IF($B216="","",  VLOOKUP($B216, Propostas!$B:$BE, 43, FALSE) )</f>
        <v/>
      </c>
      <c r="S216" s="81" t="str">
        <f>IF($B216="","",  VLOOKUP($B216, Propostas!$B:$BE, 44, FALSE) )</f>
        <v/>
      </c>
      <c r="T216" s="81" t="str">
        <f>IF($B216="","",  VLOOKUP($B216, Propostas!$B:$BE, 45, FALSE) )</f>
        <v/>
      </c>
      <c r="U216" s="32" t="str">
        <f>IF($B216="","",  VLOOKUP($B216, Propostas!$B:$BE, 37, FALSE) )</f>
        <v/>
      </c>
      <c r="V216" s="13" t="str">
        <f>IF($B216="","",  VLOOKUP($B216, Propostas!$B:$BE, 50, FALSE) )</f>
        <v/>
      </c>
      <c r="W216" s="13" t="str">
        <f>IF($B216="","",  VLOOKUP($B216, Propostas!$B:$BE, 51, FALSE) )</f>
        <v/>
      </c>
      <c r="X216" s="13" t="str">
        <f>IF($B216="","",  VLOOKUP($B216, Propostas!$B:$BE, 52, FALSE) )</f>
        <v/>
      </c>
      <c r="Y216" s="13" t="str">
        <f>IF($B216="","",  VLOOKUP($B216, Propostas!$B:$BE, 36, FALSE) )</f>
        <v/>
      </c>
      <c r="Z216" s="13" t="str">
        <f>IF($B216="","",  VLOOKUP($F216, VW_PROJETO!B:C, 2, FALSE) )</f>
        <v/>
      </c>
    </row>
    <row r="217" spans="2:26" x14ac:dyDescent="0.2">
      <c r="B217" s="2"/>
      <c r="C217" s="4" t="str">
        <f>IF($B217="","",  VLOOKUP($B217, Propostas!$B:$BE, 33, FALSE) )</f>
        <v/>
      </c>
      <c r="D217" s="4" t="str">
        <f>IF($B217="","",  VLOOKUP($B217, Propostas!$B:$BE, 34, FALSE) )</f>
        <v/>
      </c>
      <c r="E217" s="4" t="str">
        <f>IF($B217="","",  VLOOKUP($B217, Propostas!$B:$BE, 35, FALSE) )</f>
        <v/>
      </c>
      <c r="F217" s="4" t="str">
        <f>IF($B217="","",  VLOOKUP($B217, Propostas!$B:$BE, 2, FALSE) )</f>
        <v/>
      </c>
      <c r="G217" s="4" t="str">
        <f>IF($B217="","",  VLOOKUP($B217, Propostas!$B:$BE, 3, FALSE) )</f>
        <v/>
      </c>
      <c r="H217" s="4" t="str">
        <f>IF($B217="","",  VLOOKUP($B217, Propostas!$B:$BE, 4, FALSE) )</f>
        <v/>
      </c>
      <c r="I217" s="4" t="str">
        <f>IF($B217="","",  VLOOKUP($B217, Propostas!$B:$BE, 38, FALSE) )</f>
        <v/>
      </c>
      <c r="J217" s="13" t="str">
        <f>IF($B217="","",IF($C217="SIM", "&lt; INFRRAESTRUTURA &gt;", VLOOKUP($B217,Propostas!$B:$BE,41,FALSE)))</f>
        <v/>
      </c>
      <c r="K217" s="10" t="str">
        <f>IF($B217="","",  VLOOKUP($B217, Propostas!$B:$BE, 40, FALSE) )</f>
        <v/>
      </c>
      <c r="L217" s="10" t="str">
        <f>IF($B217="","",IF(VLOOKUP($B217,Propostas!$B:$BE,21,FALSE)=1,"B",IF(VLOOKUP($B217,Propostas!$B:$BE,21,FALSE)=2,"E","N")))</f>
        <v/>
      </c>
      <c r="M217" s="32" t="str">
        <f>IF($B217 = "", "",  VLOOKUP($B217, Propostas!$B:$BE, 46, FALSE) )</f>
        <v/>
      </c>
      <c r="N217" s="32" t="str">
        <f>IF($B217 = "", "",  VLOOKUP($B217, Propostas!$B:$BE, 47, FALSE) )</f>
        <v/>
      </c>
      <c r="O217" s="13" t="str">
        <f>IF($B217="","",IF($C217="SIM", "INFRAESTRUTURA", VLOOKUP($B217, Propostas!$B:$BE,42,FALSE)))</f>
        <v/>
      </c>
      <c r="P217" s="32" t="str">
        <f>IF($B217 = "", "",  VLOOKUP($B217, Propostas!$B:$BE, 49, FALSE) )</f>
        <v/>
      </c>
      <c r="Q217" s="13" t="str">
        <f>IF($B217="","",  VLOOKUP($B217, Propostas!$B:$BE, 39, FALSE) )</f>
        <v/>
      </c>
      <c r="R217" s="81" t="str">
        <f>IF($B217="","",  VLOOKUP($B217, Propostas!$B:$BE, 43, FALSE) )</f>
        <v/>
      </c>
      <c r="S217" s="81" t="str">
        <f>IF($B217="","",  VLOOKUP($B217, Propostas!$B:$BE, 44, FALSE) )</f>
        <v/>
      </c>
      <c r="T217" s="81" t="str">
        <f>IF($B217="","",  VLOOKUP($B217, Propostas!$B:$BE, 45, FALSE) )</f>
        <v/>
      </c>
      <c r="U217" s="32" t="str">
        <f>IF($B217="","",  VLOOKUP($B217, Propostas!$B:$BE, 37, FALSE) )</f>
        <v/>
      </c>
      <c r="V217" s="13" t="str">
        <f>IF($B217="","",  VLOOKUP($B217, Propostas!$B:$BE, 50, FALSE) )</f>
        <v/>
      </c>
      <c r="W217" s="13" t="str">
        <f>IF($B217="","",  VLOOKUP($B217, Propostas!$B:$BE, 51, FALSE) )</f>
        <v/>
      </c>
      <c r="X217" s="13" t="str">
        <f>IF($B217="","",  VLOOKUP($B217, Propostas!$B:$BE, 52, FALSE) )</f>
        <v/>
      </c>
      <c r="Y217" s="13" t="str">
        <f>IF($B217="","",  VLOOKUP($B217, Propostas!$B:$BE, 36, FALSE) )</f>
        <v/>
      </c>
      <c r="Z217" s="13" t="str">
        <f>IF($B217="","",  VLOOKUP($F217, VW_PROJETO!B:C, 2, FALSE) )</f>
        <v/>
      </c>
    </row>
    <row r="218" spans="2:26" x14ac:dyDescent="0.2">
      <c r="B218" s="2"/>
      <c r="C218" s="4" t="str">
        <f>IF($B218="","",  VLOOKUP($B218, Propostas!$B:$BE, 33, FALSE) )</f>
        <v/>
      </c>
      <c r="D218" s="4" t="str">
        <f>IF($B218="","",  VLOOKUP($B218, Propostas!$B:$BE, 34, FALSE) )</f>
        <v/>
      </c>
      <c r="E218" s="4" t="str">
        <f>IF($B218="","",  VLOOKUP($B218, Propostas!$B:$BE, 35, FALSE) )</f>
        <v/>
      </c>
      <c r="F218" s="4" t="str">
        <f>IF($B218="","",  VLOOKUP($B218, Propostas!$B:$BE, 2, FALSE) )</f>
        <v/>
      </c>
      <c r="G218" s="4" t="str">
        <f>IF($B218="","",  VLOOKUP($B218, Propostas!$B:$BE, 3, FALSE) )</f>
        <v/>
      </c>
      <c r="H218" s="4" t="str">
        <f>IF($B218="","",  VLOOKUP($B218, Propostas!$B:$BE, 4, FALSE) )</f>
        <v/>
      </c>
      <c r="I218" s="4" t="str">
        <f>IF($B218="","",  VLOOKUP($B218, Propostas!$B:$BE, 38, FALSE) )</f>
        <v/>
      </c>
      <c r="J218" s="13" t="str">
        <f>IF($B218="","",IF($C218="SIM", "&lt; INFRRAESTRUTURA &gt;", VLOOKUP($B218,Propostas!$B:$BE,41,FALSE)))</f>
        <v/>
      </c>
      <c r="K218" s="10" t="str">
        <f>IF($B218="","",  VLOOKUP($B218, Propostas!$B:$BE, 40, FALSE) )</f>
        <v/>
      </c>
      <c r="L218" s="10" t="str">
        <f>IF($B218="","",IF(VLOOKUP($B218,Propostas!$B:$BE,21,FALSE)=1,"B",IF(VLOOKUP($B218,Propostas!$B:$BE,21,FALSE)=2,"E","N")))</f>
        <v/>
      </c>
      <c r="M218" s="32" t="str">
        <f>IF($B218 = "", "",  VLOOKUP($B218, Propostas!$B:$BE, 46, FALSE) )</f>
        <v/>
      </c>
      <c r="N218" s="32" t="str">
        <f>IF($B218 = "", "",  VLOOKUP($B218, Propostas!$B:$BE, 47, FALSE) )</f>
        <v/>
      </c>
      <c r="O218" s="13" t="str">
        <f>IF($B218="","",IF($C218="SIM", "INFRAESTRUTURA", VLOOKUP($B218, Propostas!$B:$BE,42,FALSE)))</f>
        <v/>
      </c>
      <c r="P218" s="32" t="str">
        <f>IF($B218 = "", "",  VLOOKUP($B218, Propostas!$B:$BE, 49, FALSE) )</f>
        <v/>
      </c>
      <c r="Q218" s="13" t="str">
        <f>IF($B218="","",  VLOOKUP($B218, Propostas!$B:$BE, 39, FALSE) )</f>
        <v/>
      </c>
      <c r="R218" s="81" t="str">
        <f>IF($B218="","",  VLOOKUP($B218, Propostas!$B:$BE, 43, FALSE) )</f>
        <v/>
      </c>
      <c r="S218" s="81" t="str">
        <f>IF($B218="","",  VLOOKUP($B218, Propostas!$B:$BE, 44, FALSE) )</f>
        <v/>
      </c>
      <c r="T218" s="81" t="str">
        <f>IF($B218="","",  VLOOKUP($B218, Propostas!$B:$BE, 45, FALSE) )</f>
        <v/>
      </c>
      <c r="U218" s="32" t="str">
        <f>IF($B218="","",  VLOOKUP($B218, Propostas!$B:$BE, 37, FALSE) )</f>
        <v/>
      </c>
      <c r="V218" s="13" t="str">
        <f>IF($B218="","",  VLOOKUP($B218, Propostas!$B:$BE, 50, FALSE) )</f>
        <v/>
      </c>
      <c r="W218" s="13" t="str">
        <f>IF($B218="","",  VLOOKUP($B218, Propostas!$B:$BE, 51, FALSE) )</f>
        <v/>
      </c>
      <c r="X218" s="13" t="str">
        <f>IF($B218="","",  VLOOKUP($B218, Propostas!$B:$BE, 52, FALSE) )</f>
        <v/>
      </c>
      <c r="Y218" s="13" t="str">
        <f>IF($B218="","",  VLOOKUP($B218, Propostas!$B:$BE, 36, FALSE) )</f>
        <v/>
      </c>
      <c r="Z218" s="13" t="str">
        <f>IF($B218="","",  VLOOKUP($F218, VW_PROJETO!B:C, 2, FALSE) )</f>
        <v/>
      </c>
    </row>
    <row r="219" spans="2:26" x14ac:dyDescent="0.2">
      <c r="B219" s="2"/>
      <c r="C219" s="4" t="str">
        <f>IF($B219="","",  VLOOKUP($B219, Propostas!$B:$BE, 33, FALSE) )</f>
        <v/>
      </c>
      <c r="D219" s="4" t="str">
        <f>IF($B219="","",  VLOOKUP($B219, Propostas!$B:$BE, 34, FALSE) )</f>
        <v/>
      </c>
      <c r="E219" s="4" t="str">
        <f>IF($B219="","",  VLOOKUP($B219, Propostas!$B:$BE, 35, FALSE) )</f>
        <v/>
      </c>
      <c r="F219" s="4" t="str">
        <f>IF($B219="","",  VLOOKUP($B219, Propostas!$B:$BE, 2, FALSE) )</f>
        <v/>
      </c>
      <c r="G219" s="4" t="str">
        <f>IF($B219="","",  VLOOKUP($B219, Propostas!$B:$BE, 3, FALSE) )</f>
        <v/>
      </c>
      <c r="H219" s="4" t="str">
        <f>IF($B219="","",  VLOOKUP($B219, Propostas!$B:$BE, 4, FALSE) )</f>
        <v/>
      </c>
      <c r="I219" s="4" t="str">
        <f>IF($B219="","",  VLOOKUP($B219, Propostas!$B:$BE, 38, FALSE) )</f>
        <v/>
      </c>
      <c r="J219" s="13" t="str">
        <f>IF($B219="","",IF($C219="SIM", "&lt; INFRRAESTRUTURA &gt;", VLOOKUP($B219,Propostas!$B:$BE,41,FALSE)))</f>
        <v/>
      </c>
      <c r="K219" s="10" t="str">
        <f>IF($B219="","",  VLOOKUP($B219, Propostas!$B:$BE, 40, FALSE) )</f>
        <v/>
      </c>
      <c r="L219" s="10" t="str">
        <f>IF($B219="","",IF(VLOOKUP($B219,Propostas!$B:$BE,21,FALSE)=1,"B",IF(VLOOKUP($B219,Propostas!$B:$BE,21,FALSE)=2,"E","N")))</f>
        <v/>
      </c>
      <c r="M219" s="32" t="str">
        <f>IF($B219 = "", "",  VLOOKUP($B219, Propostas!$B:$BE, 46, FALSE) )</f>
        <v/>
      </c>
      <c r="N219" s="32" t="str">
        <f>IF($B219 = "", "",  VLOOKUP($B219, Propostas!$B:$BE, 47, FALSE) )</f>
        <v/>
      </c>
      <c r="O219" s="13" t="str">
        <f>IF($B219="","",IF($C219="SIM", "INFRAESTRUTURA", VLOOKUP($B219, Propostas!$B:$BE,42,FALSE)))</f>
        <v/>
      </c>
      <c r="P219" s="32" t="str">
        <f>IF($B219 = "", "",  VLOOKUP($B219, Propostas!$B:$BE, 49, FALSE) )</f>
        <v/>
      </c>
      <c r="Q219" s="13" t="str">
        <f>IF($B219="","",  VLOOKUP($B219, Propostas!$B:$BE, 39, FALSE) )</f>
        <v/>
      </c>
      <c r="R219" s="81" t="str">
        <f>IF($B219="","",  VLOOKUP($B219, Propostas!$B:$BE, 43, FALSE) )</f>
        <v/>
      </c>
      <c r="S219" s="81" t="str">
        <f>IF($B219="","",  VLOOKUP($B219, Propostas!$B:$BE, 44, FALSE) )</f>
        <v/>
      </c>
      <c r="T219" s="81" t="str">
        <f>IF($B219="","",  VLOOKUP($B219, Propostas!$B:$BE, 45, FALSE) )</f>
        <v/>
      </c>
      <c r="U219" s="32" t="str">
        <f>IF($B219="","",  VLOOKUP($B219, Propostas!$B:$BE, 37, FALSE) )</f>
        <v/>
      </c>
      <c r="V219" s="13" t="str">
        <f>IF($B219="","",  VLOOKUP($B219, Propostas!$B:$BE, 50, FALSE) )</f>
        <v/>
      </c>
      <c r="W219" s="13" t="str">
        <f>IF($B219="","",  VLOOKUP($B219, Propostas!$B:$BE, 51, FALSE) )</f>
        <v/>
      </c>
      <c r="X219" s="13" t="str">
        <f>IF($B219="","",  VLOOKUP($B219, Propostas!$B:$BE, 52, FALSE) )</f>
        <v/>
      </c>
      <c r="Y219" s="13" t="str">
        <f>IF($B219="","",  VLOOKUP($B219, Propostas!$B:$BE, 36, FALSE) )</f>
        <v/>
      </c>
      <c r="Z219" s="13" t="str">
        <f>IF($B219="","",  VLOOKUP($F219, VW_PROJETO!B:C, 2, FALSE) )</f>
        <v/>
      </c>
    </row>
    <row r="220" spans="2:26" x14ac:dyDescent="0.2">
      <c r="B220" s="2"/>
      <c r="C220" s="4" t="str">
        <f>IF($B220="","",  VLOOKUP($B220, Propostas!$B:$BE, 33, FALSE) )</f>
        <v/>
      </c>
      <c r="D220" s="4" t="str">
        <f>IF($B220="","",  VLOOKUP($B220, Propostas!$B:$BE, 34, FALSE) )</f>
        <v/>
      </c>
      <c r="E220" s="4" t="str">
        <f>IF($B220="","",  VLOOKUP($B220, Propostas!$B:$BE, 35, FALSE) )</f>
        <v/>
      </c>
      <c r="F220" s="4" t="str">
        <f>IF($B220="","",  VLOOKUP($B220, Propostas!$B:$BE, 2, FALSE) )</f>
        <v/>
      </c>
      <c r="G220" s="4" t="str">
        <f>IF($B220="","",  VLOOKUP($B220, Propostas!$B:$BE, 3, FALSE) )</f>
        <v/>
      </c>
      <c r="H220" s="4" t="str">
        <f>IF($B220="","",  VLOOKUP($B220, Propostas!$B:$BE, 4, FALSE) )</f>
        <v/>
      </c>
      <c r="I220" s="4" t="str">
        <f>IF($B220="","",  VLOOKUP($B220, Propostas!$B:$BE, 38, FALSE) )</f>
        <v/>
      </c>
      <c r="J220" s="13" t="str">
        <f>IF($B220="","",IF($C220="SIM", "&lt; INFRRAESTRUTURA &gt;", VLOOKUP($B220,Propostas!$B:$BE,41,FALSE)))</f>
        <v/>
      </c>
      <c r="K220" s="10" t="str">
        <f>IF($B220="","",  VLOOKUP($B220, Propostas!$B:$BE, 40, FALSE) )</f>
        <v/>
      </c>
      <c r="L220" s="10" t="str">
        <f>IF($B220="","",IF(VLOOKUP($B220,Propostas!$B:$BE,21,FALSE)=1,"B",IF(VLOOKUP($B220,Propostas!$B:$BE,21,FALSE)=2,"E","N")))</f>
        <v/>
      </c>
      <c r="M220" s="32" t="str">
        <f>IF($B220 = "", "",  VLOOKUP($B220, Propostas!$B:$BE, 46, FALSE) )</f>
        <v/>
      </c>
      <c r="N220" s="32" t="str">
        <f>IF($B220 = "", "",  VLOOKUP($B220, Propostas!$B:$BE, 47, FALSE) )</f>
        <v/>
      </c>
      <c r="O220" s="13" t="str">
        <f>IF($B220="","",IF($C220="SIM", "INFRAESTRUTURA", VLOOKUP($B220, Propostas!$B:$BE,42,FALSE)))</f>
        <v/>
      </c>
      <c r="P220" s="32" t="str">
        <f>IF($B220 = "", "",  VLOOKUP($B220, Propostas!$B:$BE, 49, FALSE) )</f>
        <v/>
      </c>
      <c r="Q220" s="13" t="str">
        <f>IF($B220="","",  VLOOKUP($B220, Propostas!$B:$BE, 39, FALSE) )</f>
        <v/>
      </c>
      <c r="R220" s="81" t="str">
        <f>IF($B220="","",  VLOOKUP($B220, Propostas!$B:$BE, 43, FALSE) )</f>
        <v/>
      </c>
      <c r="S220" s="81" t="str">
        <f>IF($B220="","",  VLOOKUP($B220, Propostas!$B:$BE, 44, FALSE) )</f>
        <v/>
      </c>
      <c r="T220" s="81" t="str">
        <f>IF($B220="","",  VLOOKUP($B220, Propostas!$B:$BE, 45, FALSE) )</f>
        <v/>
      </c>
      <c r="U220" s="32" t="str">
        <f>IF($B220="","",  VLOOKUP($B220, Propostas!$B:$BE, 37, FALSE) )</f>
        <v/>
      </c>
      <c r="V220" s="13" t="str">
        <f>IF($B220="","",  VLOOKUP($B220, Propostas!$B:$BE, 50, FALSE) )</f>
        <v/>
      </c>
      <c r="W220" s="13" t="str">
        <f>IF($B220="","",  VLOOKUP($B220, Propostas!$B:$BE, 51, FALSE) )</f>
        <v/>
      </c>
      <c r="X220" s="13" t="str">
        <f>IF($B220="","",  VLOOKUP($B220, Propostas!$B:$BE, 52, FALSE) )</f>
        <v/>
      </c>
      <c r="Y220" s="13" t="str">
        <f>IF($B220="","",  VLOOKUP($B220, Propostas!$B:$BE, 36, FALSE) )</f>
        <v/>
      </c>
      <c r="Z220" s="13" t="str">
        <f>IF($B220="","",  VLOOKUP($F220, VW_PROJETO!B:C, 2, FALSE) )</f>
        <v/>
      </c>
    </row>
    <row r="221" spans="2:26" x14ac:dyDescent="0.2">
      <c r="B221" s="2"/>
      <c r="C221" s="4" t="str">
        <f>IF($B221="","",  VLOOKUP($B221, Propostas!$B:$BE, 33, FALSE) )</f>
        <v/>
      </c>
      <c r="D221" s="4" t="str">
        <f>IF($B221="","",  VLOOKUP($B221, Propostas!$B:$BE, 34, FALSE) )</f>
        <v/>
      </c>
      <c r="E221" s="4" t="str">
        <f>IF($B221="","",  VLOOKUP($B221, Propostas!$B:$BE, 35, FALSE) )</f>
        <v/>
      </c>
      <c r="F221" s="4" t="str">
        <f>IF($B221="","",  VLOOKUP($B221, Propostas!$B:$BE, 2, FALSE) )</f>
        <v/>
      </c>
      <c r="G221" s="4" t="str">
        <f>IF($B221="","",  VLOOKUP($B221, Propostas!$B:$BE, 3, FALSE) )</f>
        <v/>
      </c>
      <c r="H221" s="4" t="str">
        <f>IF($B221="","",  VLOOKUP($B221, Propostas!$B:$BE, 4, FALSE) )</f>
        <v/>
      </c>
      <c r="I221" s="4" t="str">
        <f>IF($B221="","",  VLOOKUP($B221, Propostas!$B:$BE, 38, FALSE) )</f>
        <v/>
      </c>
      <c r="J221" s="13" t="str">
        <f>IF($B221="","",IF($C221="SIM", "&lt; INFRRAESTRUTURA &gt;", VLOOKUP($B221,Propostas!$B:$BE,41,FALSE)))</f>
        <v/>
      </c>
      <c r="K221" s="10" t="str">
        <f>IF($B221="","",  VLOOKUP($B221, Propostas!$B:$BE, 40, FALSE) )</f>
        <v/>
      </c>
      <c r="L221" s="10" t="str">
        <f>IF($B221="","",IF(VLOOKUP($B221,Propostas!$B:$BE,21,FALSE)=1,"B",IF(VLOOKUP($B221,Propostas!$B:$BE,21,FALSE)=2,"E","N")))</f>
        <v/>
      </c>
      <c r="M221" s="32" t="str">
        <f>IF($B221 = "", "",  VLOOKUP($B221, Propostas!$B:$BE, 46, FALSE) )</f>
        <v/>
      </c>
      <c r="N221" s="32" t="str">
        <f>IF($B221 = "", "",  VLOOKUP($B221, Propostas!$B:$BE, 47, FALSE) )</f>
        <v/>
      </c>
      <c r="O221" s="13" t="str">
        <f>IF($B221="","",IF($C221="SIM", "INFRAESTRUTURA", VLOOKUP($B221, Propostas!$B:$BE,42,FALSE)))</f>
        <v/>
      </c>
      <c r="P221" s="32" t="str">
        <f>IF($B221 = "", "",  VLOOKUP($B221, Propostas!$B:$BE, 49, FALSE) )</f>
        <v/>
      </c>
      <c r="Q221" s="13" t="str">
        <f>IF($B221="","",  VLOOKUP($B221, Propostas!$B:$BE, 39, FALSE) )</f>
        <v/>
      </c>
      <c r="R221" s="81" t="str">
        <f>IF($B221="","",  VLOOKUP($B221, Propostas!$B:$BE, 43, FALSE) )</f>
        <v/>
      </c>
      <c r="S221" s="81" t="str">
        <f>IF($B221="","",  VLOOKUP($B221, Propostas!$B:$BE, 44, FALSE) )</f>
        <v/>
      </c>
      <c r="T221" s="81" t="str">
        <f>IF($B221="","",  VLOOKUP($B221, Propostas!$B:$BE, 45, FALSE) )</f>
        <v/>
      </c>
      <c r="U221" s="32" t="str">
        <f>IF($B221="","",  VLOOKUP($B221, Propostas!$B:$BE, 37, FALSE) )</f>
        <v/>
      </c>
      <c r="V221" s="13" t="str">
        <f>IF($B221="","",  VLOOKUP($B221, Propostas!$B:$BE, 50, FALSE) )</f>
        <v/>
      </c>
      <c r="W221" s="13" t="str">
        <f>IF($B221="","",  VLOOKUP($B221, Propostas!$B:$BE, 51, FALSE) )</f>
        <v/>
      </c>
      <c r="X221" s="13" t="str">
        <f>IF($B221="","",  VLOOKUP($B221, Propostas!$B:$BE, 52, FALSE) )</f>
        <v/>
      </c>
      <c r="Y221" s="13" t="str">
        <f>IF($B221="","",  VLOOKUP($B221, Propostas!$B:$BE, 36, FALSE) )</f>
        <v/>
      </c>
      <c r="Z221" s="13" t="str">
        <f>IF($B221="","",  VLOOKUP($F221, VW_PROJETO!B:C, 2, FALSE) )</f>
        <v/>
      </c>
    </row>
    <row r="222" spans="2:26" x14ac:dyDescent="0.2">
      <c r="B222" s="2"/>
      <c r="C222" s="4" t="str">
        <f>IF($B222="","",  VLOOKUP($B222, Propostas!$B:$BE, 33, FALSE) )</f>
        <v/>
      </c>
      <c r="D222" s="4" t="str">
        <f>IF($B222="","",  VLOOKUP($B222, Propostas!$B:$BE, 34, FALSE) )</f>
        <v/>
      </c>
      <c r="E222" s="4" t="str">
        <f>IF($B222="","",  VLOOKUP($B222, Propostas!$B:$BE, 35, FALSE) )</f>
        <v/>
      </c>
      <c r="F222" s="4" t="str">
        <f>IF($B222="","",  VLOOKUP($B222, Propostas!$B:$BE, 2, FALSE) )</f>
        <v/>
      </c>
      <c r="G222" s="4" t="str">
        <f>IF($B222="","",  VLOOKUP($B222, Propostas!$B:$BE, 3, FALSE) )</f>
        <v/>
      </c>
      <c r="H222" s="4" t="str">
        <f>IF($B222="","",  VLOOKUP($B222, Propostas!$B:$BE, 4, FALSE) )</f>
        <v/>
      </c>
      <c r="I222" s="4" t="str">
        <f>IF($B222="","",  VLOOKUP($B222, Propostas!$B:$BE, 38, FALSE) )</f>
        <v/>
      </c>
      <c r="J222" s="13" t="str">
        <f>IF($B222="","",IF($C222="SIM", "&lt; INFRRAESTRUTURA &gt;", VLOOKUP($B222,Propostas!$B:$BE,41,FALSE)))</f>
        <v/>
      </c>
      <c r="K222" s="10" t="str">
        <f>IF($B222="","",  VLOOKUP($B222, Propostas!$B:$BE, 40, FALSE) )</f>
        <v/>
      </c>
      <c r="L222" s="10" t="str">
        <f>IF($B222="","",IF(VLOOKUP($B222,Propostas!$B:$BE,21,FALSE)=1,"B",IF(VLOOKUP($B222,Propostas!$B:$BE,21,FALSE)=2,"E","N")))</f>
        <v/>
      </c>
      <c r="M222" s="32" t="str">
        <f>IF($B222 = "", "",  VLOOKUP($B222, Propostas!$B:$BE, 46, FALSE) )</f>
        <v/>
      </c>
      <c r="N222" s="32" t="str">
        <f>IF($B222 = "", "",  VLOOKUP($B222, Propostas!$B:$BE, 47, FALSE) )</f>
        <v/>
      </c>
      <c r="O222" s="13" t="str">
        <f>IF($B222="","",IF($C222="SIM", "INFRAESTRUTURA", VLOOKUP($B222, Propostas!$B:$BE,42,FALSE)))</f>
        <v/>
      </c>
      <c r="P222" s="32" t="str">
        <f>IF($B222 = "", "",  VLOOKUP($B222, Propostas!$B:$BE, 49, FALSE) )</f>
        <v/>
      </c>
      <c r="Q222" s="13" t="str">
        <f>IF($B222="","",  VLOOKUP($B222, Propostas!$B:$BE, 39, FALSE) )</f>
        <v/>
      </c>
      <c r="R222" s="81" t="str">
        <f>IF($B222="","",  VLOOKUP($B222, Propostas!$B:$BE, 43, FALSE) )</f>
        <v/>
      </c>
      <c r="S222" s="81" t="str">
        <f>IF($B222="","",  VLOOKUP($B222, Propostas!$B:$BE, 44, FALSE) )</f>
        <v/>
      </c>
      <c r="T222" s="81" t="str">
        <f>IF($B222="","",  VLOOKUP($B222, Propostas!$B:$BE, 45, FALSE) )</f>
        <v/>
      </c>
      <c r="U222" s="32" t="str">
        <f>IF($B222="","",  VLOOKUP($B222, Propostas!$B:$BE, 37, FALSE) )</f>
        <v/>
      </c>
      <c r="V222" s="13" t="str">
        <f>IF($B222="","",  VLOOKUP($B222, Propostas!$B:$BE, 50, FALSE) )</f>
        <v/>
      </c>
      <c r="W222" s="13" t="str">
        <f>IF($B222="","",  VLOOKUP($B222, Propostas!$B:$BE, 51, FALSE) )</f>
        <v/>
      </c>
      <c r="X222" s="13" t="str">
        <f>IF($B222="","",  VLOOKUP($B222, Propostas!$B:$BE, 52, FALSE) )</f>
        <v/>
      </c>
      <c r="Y222" s="13" t="str">
        <f>IF($B222="","",  VLOOKUP($B222, Propostas!$B:$BE, 36, FALSE) )</f>
        <v/>
      </c>
      <c r="Z222" s="13" t="str">
        <f>IF($B222="","",  VLOOKUP($F222, VW_PROJETO!B:C, 2, FALSE) )</f>
        <v/>
      </c>
    </row>
    <row r="223" spans="2:26" x14ac:dyDescent="0.2">
      <c r="B223" s="2"/>
      <c r="C223" s="4" t="str">
        <f>IF($B223="","",  VLOOKUP($B223, Propostas!$B:$BE, 33, FALSE) )</f>
        <v/>
      </c>
      <c r="D223" s="4" t="str">
        <f>IF($B223="","",  VLOOKUP($B223, Propostas!$B:$BE, 34, FALSE) )</f>
        <v/>
      </c>
      <c r="E223" s="4" t="str">
        <f>IF($B223="","",  VLOOKUP($B223, Propostas!$B:$BE, 35, FALSE) )</f>
        <v/>
      </c>
      <c r="F223" s="4" t="str">
        <f>IF($B223="","",  VLOOKUP($B223, Propostas!$B:$BE, 2, FALSE) )</f>
        <v/>
      </c>
      <c r="G223" s="4" t="str">
        <f>IF($B223="","",  VLOOKUP($B223, Propostas!$B:$BE, 3, FALSE) )</f>
        <v/>
      </c>
      <c r="H223" s="4" t="str">
        <f>IF($B223="","",  VLOOKUP($B223, Propostas!$B:$BE, 4, FALSE) )</f>
        <v/>
      </c>
      <c r="I223" s="4" t="str">
        <f>IF($B223="","",  VLOOKUP($B223, Propostas!$B:$BE, 38, FALSE) )</f>
        <v/>
      </c>
      <c r="J223" s="13" t="str">
        <f>IF($B223="","",IF($C223="SIM", "&lt; INFRRAESTRUTURA &gt;", VLOOKUP($B223,Propostas!$B:$BE,41,FALSE)))</f>
        <v/>
      </c>
      <c r="K223" s="10" t="str">
        <f>IF($B223="","",  VLOOKUP($B223, Propostas!$B:$BE, 40, FALSE) )</f>
        <v/>
      </c>
      <c r="L223" s="10" t="str">
        <f>IF($B223="","",IF(VLOOKUP($B223,Propostas!$B:$BE,21,FALSE)=1,"B",IF(VLOOKUP($B223,Propostas!$B:$BE,21,FALSE)=2,"E","N")))</f>
        <v/>
      </c>
      <c r="M223" s="32" t="str">
        <f>IF($B223 = "", "",  VLOOKUP($B223, Propostas!$B:$BE, 46, FALSE) )</f>
        <v/>
      </c>
      <c r="N223" s="32" t="str">
        <f>IF($B223 = "", "",  VLOOKUP($B223, Propostas!$B:$BE, 47, FALSE) )</f>
        <v/>
      </c>
      <c r="O223" s="13" t="str">
        <f>IF($B223="","",IF($C223="SIM", "INFRAESTRUTURA", VLOOKUP($B223, Propostas!$B:$BE,42,FALSE)))</f>
        <v/>
      </c>
      <c r="P223" s="32" t="str">
        <f>IF($B223 = "", "",  VLOOKUP($B223, Propostas!$B:$BE, 49, FALSE) )</f>
        <v/>
      </c>
      <c r="Q223" s="13" t="str">
        <f>IF($B223="","",  VLOOKUP($B223, Propostas!$B:$BE, 39, FALSE) )</f>
        <v/>
      </c>
      <c r="R223" s="81" t="str">
        <f>IF($B223="","",  VLOOKUP($B223, Propostas!$B:$BE, 43, FALSE) )</f>
        <v/>
      </c>
      <c r="S223" s="81" t="str">
        <f>IF($B223="","",  VLOOKUP($B223, Propostas!$B:$BE, 44, FALSE) )</f>
        <v/>
      </c>
      <c r="T223" s="81" t="str">
        <f>IF($B223="","",  VLOOKUP($B223, Propostas!$B:$BE, 45, FALSE) )</f>
        <v/>
      </c>
      <c r="U223" s="32" t="str">
        <f>IF($B223="","",  VLOOKUP($B223, Propostas!$B:$BE, 37, FALSE) )</f>
        <v/>
      </c>
      <c r="V223" s="13" t="str">
        <f>IF($B223="","",  VLOOKUP($B223, Propostas!$B:$BE, 50, FALSE) )</f>
        <v/>
      </c>
      <c r="W223" s="13" t="str">
        <f>IF($B223="","",  VLOOKUP($B223, Propostas!$B:$BE, 51, FALSE) )</f>
        <v/>
      </c>
      <c r="X223" s="13" t="str">
        <f>IF($B223="","",  VLOOKUP($B223, Propostas!$B:$BE, 52, FALSE) )</f>
        <v/>
      </c>
      <c r="Y223" s="13" t="str">
        <f>IF($B223="","",  VLOOKUP($B223, Propostas!$B:$BE, 36, FALSE) )</f>
        <v/>
      </c>
      <c r="Z223" s="13" t="str">
        <f>IF($B223="","",  VLOOKUP($F223, VW_PROJETO!B:C, 2, FALSE) )</f>
        <v/>
      </c>
    </row>
    <row r="224" spans="2:26" x14ac:dyDescent="0.2">
      <c r="B224" s="2"/>
      <c r="C224" s="4" t="str">
        <f>IF($B224="","",  VLOOKUP($B224, Propostas!$B:$BE, 33, FALSE) )</f>
        <v/>
      </c>
      <c r="D224" s="4" t="str">
        <f>IF($B224="","",  VLOOKUP($B224, Propostas!$B:$BE, 34, FALSE) )</f>
        <v/>
      </c>
      <c r="E224" s="4" t="str">
        <f>IF($B224="","",  VLOOKUP($B224, Propostas!$B:$BE, 35, FALSE) )</f>
        <v/>
      </c>
      <c r="F224" s="4" t="str">
        <f>IF($B224="","",  VLOOKUP($B224, Propostas!$B:$BE, 2, FALSE) )</f>
        <v/>
      </c>
      <c r="G224" s="4" t="str">
        <f>IF($B224="","",  VLOOKUP($B224, Propostas!$B:$BE, 3, FALSE) )</f>
        <v/>
      </c>
      <c r="H224" s="4" t="str">
        <f>IF($B224="","",  VLOOKUP($B224, Propostas!$B:$BE, 4, FALSE) )</f>
        <v/>
      </c>
      <c r="I224" s="4" t="str">
        <f>IF($B224="","",  VLOOKUP($B224, Propostas!$B:$BE, 38, FALSE) )</f>
        <v/>
      </c>
      <c r="J224" s="13" t="str">
        <f>IF($B224="","",IF($C224="SIM", "&lt; INFRRAESTRUTURA &gt;", VLOOKUP($B224,Propostas!$B:$BE,41,FALSE)))</f>
        <v/>
      </c>
      <c r="K224" s="10" t="str">
        <f>IF($B224="","",  VLOOKUP($B224, Propostas!$B:$BE, 40, FALSE) )</f>
        <v/>
      </c>
      <c r="L224" s="10" t="str">
        <f>IF($B224="","",IF(VLOOKUP($B224,Propostas!$B:$BE,21,FALSE)=1,"B",IF(VLOOKUP($B224,Propostas!$B:$BE,21,FALSE)=2,"E","N")))</f>
        <v/>
      </c>
      <c r="M224" s="32" t="str">
        <f>IF($B224 = "", "",  VLOOKUP($B224, Propostas!$B:$BE, 46, FALSE) )</f>
        <v/>
      </c>
      <c r="N224" s="32" t="str">
        <f>IF($B224 = "", "",  VLOOKUP($B224, Propostas!$B:$BE, 47, FALSE) )</f>
        <v/>
      </c>
      <c r="O224" s="13" t="str">
        <f>IF($B224="","",IF($C224="SIM", "INFRAESTRUTURA", VLOOKUP($B224, Propostas!$B:$BE,42,FALSE)))</f>
        <v/>
      </c>
      <c r="P224" s="32" t="str">
        <f>IF($B224 = "", "",  VLOOKUP($B224, Propostas!$B:$BE, 49, FALSE) )</f>
        <v/>
      </c>
      <c r="Q224" s="13" t="str">
        <f>IF($B224="","",  VLOOKUP($B224, Propostas!$B:$BE, 39, FALSE) )</f>
        <v/>
      </c>
      <c r="R224" s="81" t="str">
        <f>IF($B224="","",  VLOOKUP($B224, Propostas!$B:$BE, 43, FALSE) )</f>
        <v/>
      </c>
      <c r="S224" s="81" t="str">
        <f>IF($B224="","",  VLOOKUP($B224, Propostas!$B:$BE, 44, FALSE) )</f>
        <v/>
      </c>
      <c r="T224" s="81" t="str">
        <f>IF($B224="","",  VLOOKUP($B224, Propostas!$B:$BE, 45, FALSE) )</f>
        <v/>
      </c>
      <c r="U224" s="32" t="str">
        <f>IF($B224="","",  VLOOKUP($B224, Propostas!$B:$BE, 37, FALSE) )</f>
        <v/>
      </c>
      <c r="V224" s="13" t="str">
        <f>IF($B224="","",  VLOOKUP($B224, Propostas!$B:$BE, 50, FALSE) )</f>
        <v/>
      </c>
      <c r="W224" s="13" t="str">
        <f>IF($B224="","",  VLOOKUP($B224, Propostas!$B:$BE, 51, FALSE) )</f>
        <v/>
      </c>
      <c r="X224" s="13" t="str">
        <f>IF($B224="","",  VLOOKUP($B224, Propostas!$B:$BE, 52, FALSE) )</f>
        <v/>
      </c>
      <c r="Y224" s="13" t="str">
        <f>IF($B224="","",  VLOOKUP($B224, Propostas!$B:$BE, 36, FALSE) )</f>
        <v/>
      </c>
      <c r="Z224" s="13" t="str">
        <f>IF($B224="","",  VLOOKUP($F224, VW_PROJETO!B:C, 2, FALSE) )</f>
        <v/>
      </c>
    </row>
    <row r="225" spans="2:26" x14ac:dyDescent="0.2">
      <c r="B225" s="2"/>
      <c r="C225" s="4" t="str">
        <f>IF($B225="","",  VLOOKUP($B225, Propostas!$B:$BE, 33, FALSE) )</f>
        <v/>
      </c>
      <c r="D225" s="4" t="str">
        <f>IF($B225="","",  VLOOKUP($B225, Propostas!$B:$BE, 34, FALSE) )</f>
        <v/>
      </c>
      <c r="E225" s="4" t="str">
        <f>IF($B225="","",  VLOOKUP($B225, Propostas!$B:$BE, 35, FALSE) )</f>
        <v/>
      </c>
      <c r="F225" s="4" t="str">
        <f>IF($B225="","",  VLOOKUP($B225, Propostas!$B:$BE, 2, FALSE) )</f>
        <v/>
      </c>
      <c r="G225" s="4" t="str">
        <f>IF($B225="","",  VLOOKUP($B225, Propostas!$B:$BE, 3, FALSE) )</f>
        <v/>
      </c>
      <c r="H225" s="4" t="str">
        <f>IF($B225="","",  VLOOKUP($B225, Propostas!$B:$BE, 4, FALSE) )</f>
        <v/>
      </c>
      <c r="I225" s="4" t="str">
        <f>IF($B225="","",  VLOOKUP($B225, Propostas!$B:$BE, 38, FALSE) )</f>
        <v/>
      </c>
      <c r="J225" s="13" t="str">
        <f>IF($B225="","",IF($C225="SIM", "&lt; INFRRAESTRUTURA &gt;", VLOOKUP($B225,Propostas!$B:$BE,41,FALSE)))</f>
        <v/>
      </c>
      <c r="K225" s="10" t="str">
        <f>IF($B225="","",  VLOOKUP($B225, Propostas!$B:$BE, 40, FALSE) )</f>
        <v/>
      </c>
      <c r="L225" s="10" t="str">
        <f>IF($B225="","",IF(VLOOKUP($B225,Propostas!$B:$BE,21,FALSE)=1,"B",IF(VLOOKUP($B225,Propostas!$B:$BE,21,FALSE)=2,"E","N")))</f>
        <v/>
      </c>
      <c r="M225" s="32" t="str">
        <f>IF($B225 = "", "",  VLOOKUP($B225, Propostas!$B:$BE, 46, FALSE) )</f>
        <v/>
      </c>
      <c r="N225" s="32" t="str">
        <f>IF($B225 = "", "",  VLOOKUP($B225, Propostas!$B:$BE, 47, FALSE) )</f>
        <v/>
      </c>
      <c r="O225" s="13" t="str">
        <f>IF($B225="","",IF($C225="SIM", "INFRAESTRUTURA", VLOOKUP($B225, Propostas!$B:$BE,42,FALSE)))</f>
        <v/>
      </c>
      <c r="P225" s="32" t="str">
        <f>IF($B225 = "", "",  VLOOKUP($B225, Propostas!$B:$BE, 49, FALSE) )</f>
        <v/>
      </c>
      <c r="Q225" s="13" t="str">
        <f>IF($B225="","",  VLOOKUP($B225, Propostas!$B:$BE, 39, FALSE) )</f>
        <v/>
      </c>
      <c r="R225" s="81" t="str">
        <f>IF($B225="","",  VLOOKUP($B225, Propostas!$B:$BE, 43, FALSE) )</f>
        <v/>
      </c>
      <c r="S225" s="81" t="str">
        <f>IF($B225="","",  VLOOKUP($B225, Propostas!$B:$BE, 44, FALSE) )</f>
        <v/>
      </c>
      <c r="T225" s="81" t="str">
        <f>IF($B225="","",  VLOOKUP($B225, Propostas!$B:$BE, 45, FALSE) )</f>
        <v/>
      </c>
      <c r="U225" s="32" t="str">
        <f>IF($B225="","",  VLOOKUP($B225, Propostas!$B:$BE, 37, FALSE) )</f>
        <v/>
      </c>
      <c r="V225" s="13" t="str">
        <f>IF($B225="","",  VLOOKUP($B225, Propostas!$B:$BE, 50, FALSE) )</f>
        <v/>
      </c>
      <c r="W225" s="13" t="str">
        <f>IF($B225="","",  VLOOKUP($B225, Propostas!$B:$BE, 51, FALSE) )</f>
        <v/>
      </c>
      <c r="X225" s="13" t="str">
        <f>IF($B225="","",  VLOOKUP($B225, Propostas!$B:$BE, 52, FALSE) )</f>
        <v/>
      </c>
      <c r="Y225" s="13" t="str">
        <f>IF($B225="","",  VLOOKUP($B225, Propostas!$B:$BE, 36, FALSE) )</f>
        <v/>
      </c>
      <c r="Z225" s="13" t="str">
        <f>IF($B225="","",  VLOOKUP($F225, VW_PROJETO!B:C, 2, FALSE) )</f>
        <v/>
      </c>
    </row>
    <row r="226" spans="2:26" x14ac:dyDescent="0.2">
      <c r="B226" s="2"/>
      <c r="C226" s="4" t="str">
        <f>IF($B226="","",  VLOOKUP($B226, Propostas!$B:$BE, 33, FALSE) )</f>
        <v/>
      </c>
      <c r="D226" s="4" t="str">
        <f>IF($B226="","",  VLOOKUP($B226, Propostas!$B:$BE, 34, FALSE) )</f>
        <v/>
      </c>
      <c r="E226" s="4" t="str">
        <f>IF($B226="","",  VLOOKUP($B226, Propostas!$B:$BE, 35, FALSE) )</f>
        <v/>
      </c>
      <c r="F226" s="4" t="str">
        <f>IF($B226="","",  VLOOKUP($B226, Propostas!$B:$BE, 2, FALSE) )</f>
        <v/>
      </c>
      <c r="G226" s="4" t="str">
        <f>IF($B226="","",  VLOOKUP($B226, Propostas!$B:$BE, 3, FALSE) )</f>
        <v/>
      </c>
      <c r="H226" s="4" t="str">
        <f>IF($B226="","",  VLOOKUP($B226, Propostas!$B:$BE, 4, FALSE) )</f>
        <v/>
      </c>
      <c r="I226" s="4" t="str">
        <f>IF($B226="","",  VLOOKUP($B226, Propostas!$B:$BE, 38, FALSE) )</f>
        <v/>
      </c>
      <c r="J226" s="13" t="str">
        <f>IF($B226="","",IF($C226="SIM", "&lt; INFRRAESTRUTURA &gt;", VLOOKUP($B226,Propostas!$B:$BE,41,FALSE)))</f>
        <v/>
      </c>
      <c r="K226" s="10" t="str">
        <f>IF($B226="","",  VLOOKUP($B226, Propostas!$B:$BE, 40, FALSE) )</f>
        <v/>
      </c>
      <c r="L226" s="10" t="str">
        <f>IF($B226="","",IF(VLOOKUP($B226,Propostas!$B:$BE,21,FALSE)=1,"B",IF(VLOOKUP($B226,Propostas!$B:$BE,21,FALSE)=2,"E","N")))</f>
        <v/>
      </c>
      <c r="M226" s="32" t="str">
        <f>IF($B226 = "", "",  VLOOKUP($B226, Propostas!$B:$BE, 46, FALSE) )</f>
        <v/>
      </c>
      <c r="N226" s="32" t="str">
        <f>IF($B226 = "", "",  VLOOKUP($B226, Propostas!$B:$BE, 47, FALSE) )</f>
        <v/>
      </c>
      <c r="O226" s="13" t="str">
        <f>IF($B226="","",IF($C226="SIM", "INFRAESTRUTURA", VLOOKUP($B226, Propostas!$B:$BE,42,FALSE)))</f>
        <v/>
      </c>
      <c r="P226" s="32" t="str">
        <f>IF($B226 = "", "",  VLOOKUP($B226, Propostas!$B:$BE, 49, FALSE) )</f>
        <v/>
      </c>
      <c r="Q226" s="13" t="str">
        <f>IF($B226="","",  VLOOKUP($B226, Propostas!$B:$BE, 39, FALSE) )</f>
        <v/>
      </c>
      <c r="R226" s="81" t="str">
        <f>IF($B226="","",  VLOOKUP($B226, Propostas!$B:$BE, 43, FALSE) )</f>
        <v/>
      </c>
      <c r="S226" s="81" t="str">
        <f>IF($B226="","",  VLOOKUP($B226, Propostas!$B:$BE, 44, FALSE) )</f>
        <v/>
      </c>
      <c r="T226" s="81" t="str">
        <f>IF($B226="","",  VLOOKUP($B226, Propostas!$B:$BE, 45, FALSE) )</f>
        <v/>
      </c>
      <c r="U226" s="32" t="str">
        <f>IF($B226="","",  VLOOKUP($B226, Propostas!$B:$BE, 37, FALSE) )</f>
        <v/>
      </c>
      <c r="V226" s="13" t="str">
        <f>IF($B226="","",  VLOOKUP($B226, Propostas!$B:$BE, 50, FALSE) )</f>
        <v/>
      </c>
      <c r="W226" s="13" t="str">
        <f>IF($B226="","",  VLOOKUP($B226, Propostas!$B:$BE, 51, FALSE) )</f>
        <v/>
      </c>
      <c r="X226" s="13" t="str">
        <f>IF($B226="","",  VLOOKUP($B226, Propostas!$B:$BE, 52, FALSE) )</f>
        <v/>
      </c>
      <c r="Y226" s="13" t="str">
        <f>IF($B226="","",  VLOOKUP($B226, Propostas!$B:$BE, 36, FALSE) )</f>
        <v/>
      </c>
      <c r="Z226" s="13" t="str">
        <f>IF($B226="","",  VLOOKUP($F226, VW_PROJETO!B:C, 2, FALSE) )</f>
        <v/>
      </c>
    </row>
    <row r="227" spans="2:26" x14ac:dyDescent="0.2">
      <c r="B227" s="2"/>
      <c r="C227" s="4" t="str">
        <f>IF($B227="","",  VLOOKUP($B227, Propostas!$B:$BE, 33, FALSE) )</f>
        <v/>
      </c>
      <c r="D227" s="4" t="str">
        <f>IF($B227="","",  VLOOKUP($B227, Propostas!$B:$BE, 34, FALSE) )</f>
        <v/>
      </c>
      <c r="E227" s="4" t="str">
        <f>IF($B227="","",  VLOOKUP($B227, Propostas!$B:$BE, 35, FALSE) )</f>
        <v/>
      </c>
      <c r="F227" s="4" t="str">
        <f>IF($B227="","",  VLOOKUP($B227, Propostas!$B:$BE, 2, FALSE) )</f>
        <v/>
      </c>
      <c r="G227" s="4" t="str">
        <f>IF($B227="","",  VLOOKUP($B227, Propostas!$B:$BE, 3, FALSE) )</f>
        <v/>
      </c>
      <c r="H227" s="4" t="str">
        <f>IF($B227="","",  VLOOKUP($B227, Propostas!$B:$BE, 4, FALSE) )</f>
        <v/>
      </c>
      <c r="I227" s="4" t="str">
        <f>IF($B227="","",  VLOOKUP($B227, Propostas!$B:$BE, 38, FALSE) )</f>
        <v/>
      </c>
      <c r="J227" s="13" t="str">
        <f>IF($B227="","",IF($C227="SIM", "&lt; INFRRAESTRUTURA &gt;", VLOOKUP($B227,Propostas!$B:$BE,41,FALSE)))</f>
        <v/>
      </c>
      <c r="K227" s="10" t="str">
        <f>IF($B227="","",  VLOOKUP($B227, Propostas!$B:$BE, 40, FALSE) )</f>
        <v/>
      </c>
      <c r="L227" s="10" t="str">
        <f>IF($B227="","",IF(VLOOKUP($B227,Propostas!$B:$BE,21,FALSE)=1,"B",IF(VLOOKUP($B227,Propostas!$B:$BE,21,FALSE)=2,"E","N")))</f>
        <v/>
      </c>
      <c r="M227" s="32" t="str">
        <f>IF($B227 = "", "",  VLOOKUP($B227, Propostas!$B:$BE, 46, FALSE) )</f>
        <v/>
      </c>
      <c r="N227" s="32" t="str">
        <f>IF($B227 = "", "",  VLOOKUP($B227, Propostas!$B:$BE, 47, FALSE) )</f>
        <v/>
      </c>
      <c r="O227" s="13" t="str">
        <f>IF($B227="","",IF($C227="SIM", "INFRAESTRUTURA", VLOOKUP($B227, Propostas!$B:$BE,42,FALSE)))</f>
        <v/>
      </c>
      <c r="P227" s="32" t="str">
        <f>IF($B227 = "", "",  VLOOKUP($B227, Propostas!$B:$BE, 49, FALSE) )</f>
        <v/>
      </c>
      <c r="Q227" s="13" t="str">
        <f>IF($B227="","",  VLOOKUP($B227, Propostas!$B:$BE, 39, FALSE) )</f>
        <v/>
      </c>
      <c r="R227" s="81" t="str">
        <f>IF($B227="","",  VLOOKUP($B227, Propostas!$B:$BE, 43, FALSE) )</f>
        <v/>
      </c>
      <c r="S227" s="81" t="str">
        <f>IF($B227="","",  VLOOKUP($B227, Propostas!$B:$BE, 44, FALSE) )</f>
        <v/>
      </c>
      <c r="T227" s="81" t="str">
        <f>IF($B227="","",  VLOOKUP($B227, Propostas!$B:$BE, 45, FALSE) )</f>
        <v/>
      </c>
      <c r="U227" s="32" t="str">
        <f>IF($B227="","",  VLOOKUP($B227, Propostas!$B:$BE, 37, FALSE) )</f>
        <v/>
      </c>
      <c r="V227" s="13" t="str">
        <f>IF($B227="","",  VLOOKUP($B227, Propostas!$B:$BE, 50, FALSE) )</f>
        <v/>
      </c>
      <c r="W227" s="13" t="str">
        <f>IF($B227="","",  VLOOKUP($B227, Propostas!$B:$BE, 51, FALSE) )</f>
        <v/>
      </c>
      <c r="X227" s="13" t="str">
        <f>IF($B227="","",  VLOOKUP($B227, Propostas!$B:$BE, 52, FALSE) )</f>
        <v/>
      </c>
      <c r="Y227" s="13" t="str">
        <f>IF($B227="","",  VLOOKUP($B227, Propostas!$B:$BE, 36, FALSE) )</f>
        <v/>
      </c>
      <c r="Z227" s="13" t="str">
        <f>IF($B227="","",  VLOOKUP($F227, VW_PROJETO!B:C, 2, FALSE) )</f>
        <v/>
      </c>
    </row>
    <row r="228" spans="2:26" x14ac:dyDescent="0.2">
      <c r="B228" s="2"/>
      <c r="C228" s="4" t="str">
        <f>IF($B228="","",  VLOOKUP($B228, Propostas!$B:$BE, 33, FALSE) )</f>
        <v/>
      </c>
      <c r="D228" s="4" t="str">
        <f>IF($B228="","",  VLOOKUP($B228, Propostas!$B:$BE, 34, FALSE) )</f>
        <v/>
      </c>
      <c r="E228" s="4" t="str">
        <f>IF($B228="","",  VLOOKUP($B228, Propostas!$B:$BE, 35, FALSE) )</f>
        <v/>
      </c>
      <c r="F228" s="4" t="str">
        <f>IF($B228="","",  VLOOKUP($B228, Propostas!$B:$BE, 2, FALSE) )</f>
        <v/>
      </c>
      <c r="G228" s="4" t="str">
        <f>IF($B228="","",  VLOOKUP($B228, Propostas!$B:$BE, 3, FALSE) )</f>
        <v/>
      </c>
      <c r="H228" s="4" t="str">
        <f>IF($B228="","",  VLOOKUP($B228, Propostas!$B:$BE, 4, FALSE) )</f>
        <v/>
      </c>
      <c r="I228" s="4" t="str">
        <f>IF($B228="","",  VLOOKUP($B228, Propostas!$B:$BE, 38, FALSE) )</f>
        <v/>
      </c>
      <c r="J228" s="13" t="str">
        <f>IF($B228="","",IF($C228="SIM", "&lt; INFRRAESTRUTURA &gt;", VLOOKUP($B228,Propostas!$B:$BE,41,FALSE)))</f>
        <v/>
      </c>
      <c r="K228" s="10" t="str">
        <f>IF($B228="","",  VLOOKUP($B228, Propostas!$B:$BE, 40, FALSE) )</f>
        <v/>
      </c>
      <c r="L228" s="10" t="str">
        <f>IF($B228="","",IF(VLOOKUP($B228,Propostas!$B:$BE,21,FALSE)=1,"B",IF(VLOOKUP($B228,Propostas!$B:$BE,21,FALSE)=2,"E","N")))</f>
        <v/>
      </c>
      <c r="M228" s="32" t="str">
        <f>IF($B228 = "", "",  VLOOKUP($B228, Propostas!$B:$BE, 46, FALSE) )</f>
        <v/>
      </c>
      <c r="N228" s="32" t="str">
        <f>IF($B228 = "", "",  VLOOKUP($B228, Propostas!$B:$BE, 47, FALSE) )</f>
        <v/>
      </c>
      <c r="O228" s="13" t="str">
        <f>IF($B228="","",IF($C228="SIM", "INFRAESTRUTURA", VLOOKUP($B228, Propostas!$B:$BE,42,FALSE)))</f>
        <v/>
      </c>
      <c r="P228" s="32" t="str">
        <f>IF($B228 = "", "",  VLOOKUP($B228, Propostas!$B:$BE, 49, FALSE) )</f>
        <v/>
      </c>
      <c r="Q228" s="13" t="str">
        <f>IF($B228="","",  VLOOKUP($B228, Propostas!$B:$BE, 39, FALSE) )</f>
        <v/>
      </c>
      <c r="R228" s="81" t="str">
        <f>IF($B228="","",  VLOOKUP($B228, Propostas!$B:$BE, 43, FALSE) )</f>
        <v/>
      </c>
      <c r="S228" s="81" t="str">
        <f>IF($B228="","",  VLOOKUP($B228, Propostas!$B:$BE, 44, FALSE) )</f>
        <v/>
      </c>
      <c r="T228" s="81" t="str">
        <f>IF($B228="","",  VLOOKUP($B228, Propostas!$B:$BE, 45, FALSE) )</f>
        <v/>
      </c>
      <c r="U228" s="32" t="str">
        <f>IF($B228="","",  VLOOKUP($B228, Propostas!$B:$BE, 37, FALSE) )</f>
        <v/>
      </c>
      <c r="V228" s="13" t="str">
        <f>IF($B228="","",  VLOOKUP($B228, Propostas!$B:$BE, 50, FALSE) )</f>
        <v/>
      </c>
      <c r="W228" s="13" t="str">
        <f>IF($B228="","",  VLOOKUP($B228, Propostas!$B:$BE, 51, FALSE) )</f>
        <v/>
      </c>
      <c r="X228" s="13" t="str">
        <f>IF($B228="","",  VLOOKUP($B228, Propostas!$B:$BE, 52, FALSE) )</f>
        <v/>
      </c>
      <c r="Y228" s="13" t="str">
        <f>IF($B228="","",  VLOOKUP($B228, Propostas!$B:$BE, 36, FALSE) )</f>
        <v/>
      </c>
      <c r="Z228" s="13" t="str">
        <f>IF($B228="","",  VLOOKUP($F228, VW_PROJETO!B:C, 2, FALSE) )</f>
        <v/>
      </c>
    </row>
    <row r="229" spans="2:26" x14ac:dyDescent="0.2">
      <c r="B229" s="2"/>
      <c r="C229" s="4" t="str">
        <f>IF($B229="","",  VLOOKUP($B229, Propostas!$B:$BE, 33, FALSE) )</f>
        <v/>
      </c>
      <c r="D229" s="4" t="str">
        <f>IF($B229="","",  VLOOKUP($B229, Propostas!$B:$BE, 34, FALSE) )</f>
        <v/>
      </c>
      <c r="E229" s="4" t="str">
        <f>IF($B229="","",  VLOOKUP($B229, Propostas!$B:$BE, 35, FALSE) )</f>
        <v/>
      </c>
      <c r="F229" s="4" t="str">
        <f>IF($B229="","",  VLOOKUP($B229, Propostas!$B:$BE, 2, FALSE) )</f>
        <v/>
      </c>
      <c r="G229" s="4" t="str">
        <f>IF($B229="","",  VLOOKUP($B229, Propostas!$B:$BE, 3, FALSE) )</f>
        <v/>
      </c>
      <c r="H229" s="4" t="str">
        <f>IF($B229="","",  VLOOKUP($B229, Propostas!$B:$BE, 4, FALSE) )</f>
        <v/>
      </c>
      <c r="I229" s="4" t="str">
        <f>IF($B229="","",  VLOOKUP($B229, Propostas!$B:$BE, 38, FALSE) )</f>
        <v/>
      </c>
      <c r="J229" s="13" t="str">
        <f>IF($B229="","",IF($C229="SIM", "&lt; INFRRAESTRUTURA &gt;", VLOOKUP($B229,Propostas!$B:$BE,41,FALSE)))</f>
        <v/>
      </c>
      <c r="K229" s="10" t="str">
        <f>IF($B229="","",  VLOOKUP($B229, Propostas!$B:$BE, 40, FALSE) )</f>
        <v/>
      </c>
      <c r="L229" s="10" t="str">
        <f>IF($B229="","",IF(VLOOKUP($B229,Propostas!$B:$BE,21,FALSE)=1,"B",IF(VLOOKUP($B229,Propostas!$B:$BE,21,FALSE)=2,"E","N")))</f>
        <v/>
      </c>
      <c r="M229" s="32" t="str">
        <f>IF($B229 = "", "",  VLOOKUP($B229, Propostas!$B:$BE, 46, FALSE) )</f>
        <v/>
      </c>
      <c r="N229" s="32" t="str">
        <f>IF($B229 = "", "",  VLOOKUP($B229, Propostas!$B:$BE, 47, FALSE) )</f>
        <v/>
      </c>
      <c r="O229" s="13" t="str">
        <f>IF($B229="","",IF($C229="SIM", "INFRAESTRUTURA", VLOOKUP($B229, Propostas!$B:$BE,42,FALSE)))</f>
        <v/>
      </c>
      <c r="P229" s="32" t="str">
        <f>IF($B229 = "", "",  VLOOKUP($B229, Propostas!$B:$BE, 49, FALSE) )</f>
        <v/>
      </c>
      <c r="Q229" s="13" t="str">
        <f>IF($B229="","",  VLOOKUP($B229, Propostas!$B:$BE, 39, FALSE) )</f>
        <v/>
      </c>
      <c r="R229" s="81" t="str">
        <f>IF($B229="","",  VLOOKUP($B229, Propostas!$B:$BE, 43, FALSE) )</f>
        <v/>
      </c>
      <c r="S229" s="81" t="str">
        <f>IF($B229="","",  VLOOKUP($B229, Propostas!$B:$BE, 44, FALSE) )</f>
        <v/>
      </c>
      <c r="T229" s="81" t="str">
        <f>IF($B229="","",  VLOOKUP($B229, Propostas!$B:$BE, 45, FALSE) )</f>
        <v/>
      </c>
      <c r="U229" s="32" t="str">
        <f>IF($B229="","",  VLOOKUP($B229, Propostas!$B:$BE, 37, FALSE) )</f>
        <v/>
      </c>
      <c r="V229" s="13" t="str">
        <f>IF($B229="","",  VLOOKUP($B229, Propostas!$B:$BE, 50, FALSE) )</f>
        <v/>
      </c>
      <c r="W229" s="13" t="str">
        <f>IF($B229="","",  VLOOKUP($B229, Propostas!$B:$BE, 51, FALSE) )</f>
        <v/>
      </c>
      <c r="X229" s="13" t="str">
        <f>IF($B229="","",  VLOOKUP($B229, Propostas!$B:$BE, 52, FALSE) )</f>
        <v/>
      </c>
      <c r="Y229" s="13" t="str">
        <f>IF($B229="","",  VLOOKUP($B229, Propostas!$B:$BE, 36, FALSE) )</f>
        <v/>
      </c>
      <c r="Z229" s="13" t="str">
        <f>IF($B229="","",  VLOOKUP($F229, VW_PROJETO!B:C, 2, FALSE) )</f>
        <v/>
      </c>
    </row>
    <row r="230" spans="2:26" x14ac:dyDescent="0.2">
      <c r="B230" s="2"/>
      <c r="C230" s="4" t="str">
        <f>IF($B230="","",  VLOOKUP($B230, Propostas!$B:$BE, 33, FALSE) )</f>
        <v/>
      </c>
      <c r="D230" s="4" t="str">
        <f>IF($B230="","",  VLOOKUP($B230, Propostas!$B:$BE, 34, FALSE) )</f>
        <v/>
      </c>
      <c r="E230" s="4" t="str">
        <f>IF($B230="","",  VLOOKUP($B230, Propostas!$B:$BE, 35, FALSE) )</f>
        <v/>
      </c>
      <c r="F230" s="4" t="str">
        <f>IF($B230="","",  VLOOKUP($B230, Propostas!$B:$BE, 2, FALSE) )</f>
        <v/>
      </c>
      <c r="G230" s="4" t="str">
        <f>IF($B230="","",  VLOOKUP($B230, Propostas!$B:$BE, 3, FALSE) )</f>
        <v/>
      </c>
      <c r="H230" s="4" t="str">
        <f>IF($B230="","",  VLOOKUP($B230, Propostas!$B:$BE, 4, FALSE) )</f>
        <v/>
      </c>
      <c r="I230" s="4" t="str">
        <f>IF($B230="","",  VLOOKUP($B230, Propostas!$B:$BE, 38, FALSE) )</f>
        <v/>
      </c>
      <c r="J230" s="13" t="str">
        <f>IF($B230="","",IF($C230="SIM", "&lt; INFRRAESTRUTURA &gt;", VLOOKUP($B230,Propostas!$B:$BE,41,FALSE)))</f>
        <v/>
      </c>
      <c r="K230" s="10" t="str">
        <f>IF($B230="","",  VLOOKUP($B230, Propostas!$B:$BE, 40, FALSE) )</f>
        <v/>
      </c>
      <c r="L230" s="10" t="str">
        <f>IF($B230="","",IF(VLOOKUP($B230,Propostas!$B:$BE,21,FALSE)=1,"B",IF(VLOOKUP($B230,Propostas!$B:$BE,21,FALSE)=2,"E","N")))</f>
        <v/>
      </c>
      <c r="M230" s="32" t="str">
        <f>IF($B230 = "", "",  VLOOKUP($B230, Propostas!$B:$BE, 46, FALSE) )</f>
        <v/>
      </c>
      <c r="N230" s="32" t="str">
        <f>IF($B230 = "", "",  VLOOKUP($B230, Propostas!$B:$BE, 47, FALSE) )</f>
        <v/>
      </c>
      <c r="O230" s="13" t="str">
        <f>IF($B230="","",IF($C230="SIM", "INFRAESTRUTURA", VLOOKUP($B230, Propostas!$B:$BE,42,FALSE)))</f>
        <v/>
      </c>
      <c r="P230" s="32" t="str">
        <f>IF($B230 = "", "",  VLOOKUP($B230, Propostas!$B:$BE, 49, FALSE) )</f>
        <v/>
      </c>
      <c r="Q230" s="13" t="str">
        <f>IF($B230="","",  VLOOKUP($B230, Propostas!$B:$BE, 39, FALSE) )</f>
        <v/>
      </c>
      <c r="R230" s="81" t="str">
        <f>IF($B230="","",  VLOOKUP($B230, Propostas!$B:$BE, 43, FALSE) )</f>
        <v/>
      </c>
      <c r="S230" s="81" t="str">
        <f>IF($B230="","",  VLOOKUP($B230, Propostas!$B:$BE, 44, FALSE) )</f>
        <v/>
      </c>
      <c r="T230" s="81" t="str">
        <f>IF($B230="","",  VLOOKUP($B230, Propostas!$B:$BE, 45, FALSE) )</f>
        <v/>
      </c>
      <c r="U230" s="32" t="str">
        <f>IF($B230="","",  VLOOKUP($B230, Propostas!$B:$BE, 37, FALSE) )</f>
        <v/>
      </c>
      <c r="V230" s="13" t="str">
        <f>IF($B230="","",  VLOOKUP($B230, Propostas!$B:$BE, 50, FALSE) )</f>
        <v/>
      </c>
      <c r="W230" s="13" t="str">
        <f>IF($B230="","",  VLOOKUP($B230, Propostas!$B:$BE, 51, FALSE) )</f>
        <v/>
      </c>
      <c r="X230" s="13" t="str">
        <f>IF($B230="","",  VLOOKUP($B230, Propostas!$B:$BE, 52, FALSE) )</f>
        <v/>
      </c>
      <c r="Y230" s="13" t="str">
        <f>IF($B230="","",  VLOOKUP($B230, Propostas!$B:$BE, 36, FALSE) )</f>
        <v/>
      </c>
      <c r="Z230" s="13" t="str">
        <f>IF($B230="","",  VLOOKUP($F230, VW_PROJETO!B:C, 2, FALSE) )</f>
        <v/>
      </c>
    </row>
    <row r="231" spans="2:26" x14ac:dyDescent="0.2">
      <c r="B231" s="2"/>
      <c r="C231" s="4" t="str">
        <f>IF($B231="","",  VLOOKUP($B231, Propostas!$B:$BE, 33, FALSE) )</f>
        <v/>
      </c>
      <c r="D231" s="4" t="str">
        <f>IF($B231="","",  VLOOKUP($B231, Propostas!$B:$BE, 34, FALSE) )</f>
        <v/>
      </c>
      <c r="E231" s="4" t="str">
        <f>IF($B231="","",  VLOOKUP($B231, Propostas!$B:$BE, 35, FALSE) )</f>
        <v/>
      </c>
      <c r="F231" s="4" t="str">
        <f>IF($B231="","",  VLOOKUP($B231, Propostas!$B:$BE, 2, FALSE) )</f>
        <v/>
      </c>
      <c r="G231" s="4" t="str">
        <f>IF($B231="","",  VLOOKUP($B231, Propostas!$B:$BE, 3, FALSE) )</f>
        <v/>
      </c>
      <c r="H231" s="4" t="str">
        <f>IF($B231="","",  VLOOKUP($B231, Propostas!$B:$BE, 4, FALSE) )</f>
        <v/>
      </c>
      <c r="I231" s="4" t="str">
        <f>IF($B231="","",  VLOOKUP($B231, Propostas!$B:$BE, 38, FALSE) )</f>
        <v/>
      </c>
      <c r="J231" s="13" t="str">
        <f>IF($B231="","",IF($C231="SIM", "&lt; INFRRAESTRUTURA &gt;", VLOOKUP($B231,Propostas!$B:$BE,41,FALSE)))</f>
        <v/>
      </c>
      <c r="K231" s="10" t="str">
        <f>IF($B231="","",  VLOOKUP($B231, Propostas!$B:$BE, 40, FALSE) )</f>
        <v/>
      </c>
      <c r="L231" s="10" t="str">
        <f>IF($B231="","",IF(VLOOKUP($B231,Propostas!$B:$BE,21,FALSE)=1,"B",IF(VLOOKUP($B231,Propostas!$B:$BE,21,FALSE)=2,"E","N")))</f>
        <v/>
      </c>
      <c r="M231" s="32" t="str">
        <f>IF($B231 = "", "",  VLOOKUP($B231, Propostas!$B:$BE, 46, FALSE) )</f>
        <v/>
      </c>
      <c r="N231" s="32" t="str">
        <f>IF($B231 = "", "",  VLOOKUP($B231, Propostas!$B:$BE, 47, FALSE) )</f>
        <v/>
      </c>
      <c r="O231" s="13" t="str">
        <f>IF($B231="","",IF($C231="SIM", "INFRAESTRUTURA", VLOOKUP($B231, Propostas!$B:$BE,42,FALSE)))</f>
        <v/>
      </c>
      <c r="P231" s="32" t="str">
        <f>IF($B231 = "", "",  VLOOKUP($B231, Propostas!$B:$BE, 49, FALSE) )</f>
        <v/>
      </c>
      <c r="Q231" s="13" t="str">
        <f>IF($B231="","",  VLOOKUP($B231, Propostas!$B:$BE, 39, FALSE) )</f>
        <v/>
      </c>
      <c r="R231" s="81" t="str">
        <f>IF($B231="","",  VLOOKUP($B231, Propostas!$B:$BE, 43, FALSE) )</f>
        <v/>
      </c>
      <c r="S231" s="81" t="str">
        <f>IF($B231="","",  VLOOKUP($B231, Propostas!$B:$BE, 44, FALSE) )</f>
        <v/>
      </c>
      <c r="T231" s="81" t="str">
        <f>IF($B231="","",  VLOOKUP($B231, Propostas!$B:$BE, 45, FALSE) )</f>
        <v/>
      </c>
      <c r="U231" s="32" t="str">
        <f>IF($B231="","",  VLOOKUP($B231, Propostas!$B:$BE, 37, FALSE) )</f>
        <v/>
      </c>
      <c r="V231" s="13" t="str">
        <f>IF($B231="","",  VLOOKUP($B231, Propostas!$B:$BE, 50, FALSE) )</f>
        <v/>
      </c>
      <c r="W231" s="13" t="str">
        <f>IF($B231="","",  VLOOKUP($B231, Propostas!$B:$BE, 51, FALSE) )</f>
        <v/>
      </c>
      <c r="X231" s="13" t="str">
        <f>IF($B231="","",  VLOOKUP($B231, Propostas!$B:$BE, 52, FALSE) )</f>
        <v/>
      </c>
      <c r="Y231" s="13" t="str">
        <f>IF($B231="","",  VLOOKUP($B231, Propostas!$B:$BE, 36, FALSE) )</f>
        <v/>
      </c>
      <c r="Z231" s="13" t="str">
        <f>IF($B231="","",  VLOOKUP($F231, VW_PROJETO!B:C, 2, FALSE) )</f>
        <v/>
      </c>
    </row>
    <row r="232" spans="2:26" x14ac:dyDescent="0.2">
      <c r="B232" s="2"/>
      <c r="C232" s="4" t="str">
        <f>IF($B232="","",  VLOOKUP($B232, Propostas!$B:$BE, 33, FALSE) )</f>
        <v/>
      </c>
      <c r="D232" s="4" t="str">
        <f>IF($B232="","",  VLOOKUP($B232, Propostas!$B:$BE, 34, FALSE) )</f>
        <v/>
      </c>
      <c r="E232" s="4" t="str">
        <f>IF($B232="","",  VLOOKUP($B232, Propostas!$B:$BE, 35, FALSE) )</f>
        <v/>
      </c>
      <c r="F232" s="4" t="str">
        <f>IF($B232="","",  VLOOKUP($B232, Propostas!$B:$BE, 2, FALSE) )</f>
        <v/>
      </c>
      <c r="G232" s="4" t="str">
        <f>IF($B232="","",  VLOOKUP($B232, Propostas!$B:$BE, 3, FALSE) )</f>
        <v/>
      </c>
      <c r="H232" s="4" t="str">
        <f>IF($B232="","",  VLOOKUP($B232, Propostas!$B:$BE, 4, FALSE) )</f>
        <v/>
      </c>
      <c r="I232" s="4" t="str">
        <f>IF($B232="","",  VLOOKUP($B232, Propostas!$B:$BE, 38, FALSE) )</f>
        <v/>
      </c>
      <c r="J232" s="13" t="str">
        <f>IF($B232="","",IF($C232="SIM", "&lt; INFRRAESTRUTURA &gt;", VLOOKUP($B232,Propostas!$B:$BE,41,FALSE)))</f>
        <v/>
      </c>
      <c r="K232" s="10" t="str">
        <f>IF($B232="","",  VLOOKUP($B232, Propostas!$B:$BE, 40, FALSE) )</f>
        <v/>
      </c>
      <c r="L232" s="10" t="str">
        <f>IF($B232="","",IF(VLOOKUP($B232,Propostas!$B:$BE,21,FALSE)=1,"B",IF(VLOOKUP($B232,Propostas!$B:$BE,21,FALSE)=2,"E","N")))</f>
        <v/>
      </c>
      <c r="M232" s="32" t="str">
        <f>IF($B232 = "", "",  VLOOKUP($B232, Propostas!$B:$BE, 46, FALSE) )</f>
        <v/>
      </c>
      <c r="N232" s="32" t="str">
        <f>IF($B232 = "", "",  VLOOKUP($B232, Propostas!$B:$BE, 47, FALSE) )</f>
        <v/>
      </c>
      <c r="O232" s="13" t="str">
        <f>IF($B232="","",IF($C232="SIM", "INFRAESTRUTURA", VLOOKUP($B232, Propostas!$B:$BE,42,FALSE)))</f>
        <v/>
      </c>
      <c r="P232" s="32" t="str">
        <f>IF($B232 = "", "",  VLOOKUP($B232, Propostas!$B:$BE, 49, FALSE) )</f>
        <v/>
      </c>
      <c r="Q232" s="13" t="str">
        <f>IF($B232="","",  VLOOKUP($B232, Propostas!$B:$BE, 39, FALSE) )</f>
        <v/>
      </c>
      <c r="R232" s="81" t="str">
        <f>IF($B232="","",  VLOOKUP($B232, Propostas!$B:$BE, 43, FALSE) )</f>
        <v/>
      </c>
      <c r="S232" s="81" t="str">
        <f>IF($B232="","",  VLOOKUP($B232, Propostas!$B:$BE, 44, FALSE) )</f>
        <v/>
      </c>
      <c r="T232" s="81" t="str">
        <f>IF($B232="","",  VLOOKUP($B232, Propostas!$B:$BE, 45, FALSE) )</f>
        <v/>
      </c>
      <c r="U232" s="32" t="str">
        <f>IF($B232="","",  VLOOKUP($B232, Propostas!$B:$BE, 37, FALSE) )</f>
        <v/>
      </c>
      <c r="V232" s="13" t="str">
        <f>IF($B232="","",  VLOOKUP($B232, Propostas!$B:$BE, 50, FALSE) )</f>
        <v/>
      </c>
      <c r="W232" s="13" t="str">
        <f>IF($B232="","",  VLOOKUP($B232, Propostas!$B:$BE, 51, FALSE) )</f>
        <v/>
      </c>
      <c r="X232" s="13" t="str">
        <f>IF($B232="","",  VLOOKUP($B232, Propostas!$B:$BE, 52, FALSE) )</f>
        <v/>
      </c>
      <c r="Y232" s="13" t="str">
        <f>IF($B232="","",  VLOOKUP($B232, Propostas!$B:$BE, 36, FALSE) )</f>
        <v/>
      </c>
      <c r="Z232" s="13" t="str">
        <f>IF($B232="","",  VLOOKUP($F232, VW_PROJETO!B:C, 2, FALSE) )</f>
        <v/>
      </c>
    </row>
    <row r="233" spans="2:26" x14ac:dyDescent="0.2">
      <c r="B233" s="2"/>
      <c r="C233" s="4" t="str">
        <f>IF($B233="","",  VLOOKUP($B233, Propostas!$B:$BE, 33, FALSE) )</f>
        <v/>
      </c>
      <c r="D233" s="4" t="str">
        <f>IF($B233="","",  VLOOKUP($B233, Propostas!$B:$BE, 34, FALSE) )</f>
        <v/>
      </c>
      <c r="E233" s="4" t="str">
        <f>IF($B233="","",  VLOOKUP($B233, Propostas!$B:$BE, 35, FALSE) )</f>
        <v/>
      </c>
      <c r="F233" s="4" t="str">
        <f>IF($B233="","",  VLOOKUP($B233, Propostas!$B:$BE, 2, FALSE) )</f>
        <v/>
      </c>
      <c r="G233" s="4" t="str">
        <f>IF($B233="","",  VLOOKUP($B233, Propostas!$B:$BE, 3, FALSE) )</f>
        <v/>
      </c>
      <c r="H233" s="4" t="str">
        <f>IF($B233="","",  VLOOKUP($B233, Propostas!$B:$BE, 4, FALSE) )</f>
        <v/>
      </c>
      <c r="I233" s="4" t="str">
        <f>IF($B233="","",  VLOOKUP($B233, Propostas!$B:$BE, 38, FALSE) )</f>
        <v/>
      </c>
      <c r="J233" s="13" t="str">
        <f>IF($B233="","",IF($C233="SIM", "&lt; INFRRAESTRUTURA &gt;", VLOOKUP($B233,Propostas!$B:$BE,41,FALSE)))</f>
        <v/>
      </c>
      <c r="K233" s="10" t="str">
        <f>IF($B233="","",  VLOOKUP($B233, Propostas!$B:$BE, 40, FALSE) )</f>
        <v/>
      </c>
      <c r="L233" s="10" t="str">
        <f>IF($B233="","",IF(VLOOKUP($B233,Propostas!$B:$BE,21,FALSE)=1,"B",IF(VLOOKUP($B233,Propostas!$B:$BE,21,FALSE)=2,"E","N")))</f>
        <v/>
      </c>
      <c r="M233" s="32" t="str">
        <f>IF($B233 = "", "",  VLOOKUP($B233, Propostas!$B:$BE, 46, FALSE) )</f>
        <v/>
      </c>
      <c r="N233" s="32" t="str">
        <f>IF($B233 = "", "",  VLOOKUP($B233, Propostas!$B:$BE, 47, FALSE) )</f>
        <v/>
      </c>
      <c r="O233" s="13" t="str">
        <f>IF($B233="","",IF($C233="SIM", "INFRAESTRUTURA", VLOOKUP($B233, Propostas!$B:$BE,42,FALSE)))</f>
        <v/>
      </c>
      <c r="P233" s="32" t="str">
        <f>IF($B233 = "", "",  VLOOKUP($B233, Propostas!$B:$BE, 49, FALSE) )</f>
        <v/>
      </c>
      <c r="Q233" s="13" t="str">
        <f>IF($B233="","",  VLOOKUP($B233, Propostas!$B:$BE, 39, FALSE) )</f>
        <v/>
      </c>
      <c r="R233" s="81" t="str">
        <f>IF($B233="","",  VLOOKUP($B233, Propostas!$B:$BE, 43, FALSE) )</f>
        <v/>
      </c>
      <c r="S233" s="81" t="str">
        <f>IF($B233="","",  VLOOKUP($B233, Propostas!$B:$BE, 44, FALSE) )</f>
        <v/>
      </c>
      <c r="T233" s="81" t="str">
        <f>IF($B233="","",  VLOOKUP($B233, Propostas!$B:$BE, 45, FALSE) )</f>
        <v/>
      </c>
      <c r="U233" s="32" t="str">
        <f>IF($B233="","",  VLOOKUP($B233, Propostas!$B:$BE, 37, FALSE) )</f>
        <v/>
      </c>
      <c r="V233" s="13" t="str">
        <f>IF($B233="","",  VLOOKUP($B233, Propostas!$B:$BE, 50, FALSE) )</f>
        <v/>
      </c>
      <c r="W233" s="13" t="str">
        <f>IF($B233="","",  VLOOKUP($B233, Propostas!$B:$BE, 51, FALSE) )</f>
        <v/>
      </c>
      <c r="X233" s="13" t="str">
        <f>IF($B233="","",  VLOOKUP($B233, Propostas!$B:$BE, 52, FALSE) )</f>
        <v/>
      </c>
      <c r="Y233" s="13" t="str">
        <f>IF($B233="","",  VLOOKUP($B233, Propostas!$B:$BE, 36, FALSE) )</f>
        <v/>
      </c>
      <c r="Z233" s="13" t="str">
        <f>IF($B233="","",  VLOOKUP($F233, VW_PROJETO!B:C, 2, FALSE) )</f>
        <v/>
      </c>
    </row>
    <row r="234" spans="2:26" x14ac:dyDescent="0.2">
      <c r="B234" s="2"/>
      <c r="C234" s="4" t="str">
        <f>IF($B234="","",  VLOOKUP($B234, Propostas!$B:$BE, 33, FALSE) )</f>
        <v/>
      </c>
      <c r="D234" s="4" t="str">
        <f>IF($B234="","",  VLOOKUP($B234, Propostas!$B:$BE, 34, FALSE) )</f>
        <v/>
      </c>
      <c r="E234" s="4" t="str">
        <f>IF($B234="","",  VLOOKUP($B234, Propostas!$B:$BE, 35, FALSE) )</f>
        <v/>
      </c>
      <c r="F234" s="4" t="str">
        <f>IF($B234="","",  VLOOKUP($B234, Propostas!$B:$BE, 2, FALSE) )</f>
        <v/>
      </c>
      <c r="G234" s="4" t="str">
        <f>IF($B234="","",  VLOOKUP($B234, Propostas!$B:$BE, 3, FALSE) )</f>
        <v/>
      </c>
      <c r="H234" s="4" t="str">
        <f>IF($B234="","",  VLOOKUP($B234, Propostas!$B:$BE, 4, FALSE) )</f>
        <v/>
      </c>
      <c r="I234" s="4" t="str">
        <f>IF($B234="","",  VLOOKUP($B234, Propostas!$B:$BE, 38, FALSE) )</f>
        <v/>
      </c>
      <c r="J234" s="13" t="str">
        <f>IF($B234="","",IF($C234="SIM", "&lt; INFRRAESTRUTURA &gt;", VLOOKUP($B234,Propostas!$B:$BE,41,FALSE)))</f>
        <v/>
      </c>
      <c r="K234" s="10" t="str">
        <f>IF($B234="","",  VLOOKUP($B234, Propostas!$B:$BE, 40, FALSE) )</f>
        <v/>
      </c>
      <c r="L234" s="10" t="str">
        <f>IF($B234="","",IF(VLOOKUP($B234,Propostas!$B:$BE,21,FALSE)=1,"B",IF(VLOOKUP($B234,Propostas!$B:$BE,21,FALSE)=2,"E","N")))</f>
        <v/>
      </c>
      <c r="M234" s="32" t="str">
        <f>IF($B234 = "", "",  VLOOKUP($B234, Propostas!$B:$BE, 46, FALSE) )</f>
        <v/>
      </c>
      <c r="N234" s="32" t="str">
        <f>IF($B234 = "", "",  VLOOKUP($B234, Propostas!$B:$BE, 47, FALSE) )</f>
        <v/>
      </c>
      <c r="O234" s="13" t="str">
        <f>IF($B234="","",IF($C234="SIM", "INFRAESTRUTURA", VLOOKUP($B234, Propostas!$B:$BE,42,FALSE)))</f>
        <v/>
      </c>
      <c r="P234" s="32" t="str">
        <f>IF($B234 = "", "",  VLOOKUP($B234, Propostas!$B:$BE, 49, FALSE) )</f>
        <v/>
      </c>
      <c r="Q234" s="13" t="str">
        <f>IF($B234="","",  VLOOKUP($B234, Propostas!$B:$BE, 39, FALSE) )</f>
        <v/>
      </c>
      <c r="R234" s="81" t="str">
        <f>IF($B234="","",  VLOOKUP($B234, Propostas!$B:$BE, 43, FALSE) )</f>
        <v/>
      </c>
      <c r="S234" s="81" t="str">
        <f>IF($B234="","",  VLOOKUP($B234, Propostas!$B:$BE, 44, FALSE) )</f>
        <v/>
      </c>
      <c r="T234" s="81" t="str">
        <f>IF($B234="","",  VLOOKUP($B234, Propostas!$B:$BE, 45, FALSE) )</f>
        <v/>
      </c>
      <c r="U234" s="32" t="str">
        <f>IF($B234="","",  VLOOKUP($B234, Propostas!$B:$BE, 37, FALSE) )</f>
        <v/>
      </c>
      <c r="V234" s="13" t="str">
        <f>IF($B234="","",  VLOOKUP($B234, Propostas!$B:$BE, 50, FALSE) )</f>
        <v/>
      </c>
      <c r="W234" s="13" t="str">
        <f>IF($B234="","",  VLOOKUP($B234, Propostas!$B:$BE, 51, FALSE) )</f>
        <v/>
      </c>
      <c r="X234" s="13" t="str">
        <f>IF($B234="","",  VLOOKUP($B234, Propostas!$B:$BE, 52, FALSE) )</f>
        <v/>
      </c>
      <c r="Y234" s="13" t="str">
        <f>IF($B234="","",  VLOOKUP($B234, Propostas!$B:$BE, 36, FALSE) )</f>
        <v/>
      </c>
      <c r="Z234" s="13" t="str">
        <f>IF($B234="","",  VLOOKUP($F234, VW_PROJETO!B:C, 2, FALSE) )</f>
        <v/>
      </c>
    </row>
    <row r="235" spans="2:26" x14ac:dyDescent="0.2">
      <c r="B235" s="2"/>
      <c r="C235" s="4" t="str">
        <f>IF($B235="","",  VLOOKUP($B235, Propostas!$B:$BE, 33, FALSE) )</f>
        <v/>
      </c>
      <c r="D235" s="4" t="str">
        <f>IF($B235="","",  VLOOKUP($B235, Propostas!$B:$BE, 34, FALSE) )</f>
        <v/>
      </c>
      <c r="E235" s="4" t="str">
        <f>IF($B235="","",  VLOOKUP($B235, Propostas!$B:$BE, 35, FALSE) )</f>
        <v/>
      </c>
      <c r="F235" s="4" t="str">
        <f>IF($B235="","",  VLOOKUP($B235, Propostas!$B:$BE, 2, FALSE) )</f>
        <v/>
      </c>
      <c r="G235" s="4" t="str">
        <f>IF($B235="","",  VLOOKUP($B235, Propostas!$B:$BE, 3, FALSE) )</f>
        <v/>
      </c>
      <c r="H235" s="4" t="str">
        <f>IF($B235="","",  VLOOKUP($B235, Propostas!$B:$BE, 4, FALSE) )</f>
        <v/>
      </c>
      <c r="I235" s="4" t="str">
        <f>IF($B235="","",  VLOOKUP($B235, Propostas!$B:$BE, 38, FALSE) )</f>
        <v/>
      </c>
      <c r="J235" s="13" t="str">
        <f>IF($B235="","",IF($C235="SIM", "&lt; INFRRAESTRUTURA &gt;", VLOOKUP($B235,Propostas!$B:$BE,41,FALSE)))</f>
        <v/>
      </c>
      <c r="K235" s="10" t="str">
        <f>IF($B235="","",  VLOOKUP($B235, Propostas!$B:$BE, 40, FALSE) )</f>
        <v/>
      </c>
      <c r="L235" s="10" t="str">
        <f>IF($B235="","",IF(VLOOKUP($B235,Propostas!$B:$BE,21,FALSE)=1,"B",IF(VLOOKUP($B235,Propostas!$B:$BE,21,FALSE)=2,"E","N")))</f>
        <v/>
      </c>
      <c r="M235" s="32" t="str">
        <f>IF($B235 = "", "",  VLOOKUP($B235, Propostas!$B:$BE, 46, FALSE) )</f>
        <v/>
      </c>
      <c r="N235" s="32" t="str">
        <f>IF($B235 = "", "",  VLOOKUP($B235, Propostas!$B:$BE, 47, FALSE) )</f>
        <v/>
      </c>
      <c r="O235" s="13" t="str">
        <f>IF($B235="","",IF($C235="SIM", "INFRAESTRUTURA", VLOOKUP($B235, Propostas!$B:$BE,42,FALSE)))</f>
        <v/>
      </c>
      <c r="P235" s="32" t="str">
        <f>IF($B235 = "", "",  VLOOKUP($B235, Propostas!$B:$BE, 49, FALSE) )</f>
        <v/>
      </c>
      <c r="Q235" s="13" t="str">
        <f>IF($B235="","",  VLOOKUP($B235, Propostas!$B:$BE, 39, FALSE) )</f>
        <v/>
      </c>
      <c r="R235" s="81" t="str">
        <f>IF($B235="","",  VLOOKUP($B235, Propostas!$B:$BE, 43, FALSE) )</f>
        <v/>
      </c>
      <c r="S235" s="81" t="str">
        <f>IF($B235="","",  VLOOKUP($B235, Propostas!$B:$BE, 44, FALSE) )</f>
        <v/>
      </c>
      <c r="T235" s="81" t="str">
        <f>IF($B235="","",  VLOOKUP($B235, Propostas!$B:$BE, 45, FALSE) )</f>
        <v/>
      </c>
      <c r="U235" s="32" t="str">
        <f>IF($B235="","",  VLOOKUP($B235, Propostas!$B:$BE, 37, FALSE) )</f>
        <v/>
      </c>
      <c r="V235" s="13" t="str">
        <f>IF($B235="","",  VLOOKUP($B235, Propostas!$B:$BE, 50, FALSE) )</f>
        <v/>
      </c>
      <c r="W235" s="13" t="str">
        <f>IF($B235="","",  VLOOKUP($B235, Propostas!$B:$BE, 51, FALSE) )</f>
        <v/>
      </c>
      <c r="X235" s="13" t="str">
        <f>IF($B235="","",  VLOOKUP($B235, Propostas!$B:$BE, 52, FALSE) )</f>
        <v/>
      </c>
      <c r="Y235" s="13" t="str">
        <f>IF($B235="","",  VLOOKUP($B235, Propostas!$B:$BE, 36, FALSE) )</f>
        <v/>
      </c>
      <c r="Z235" s="13" t="str">
        <f>IF($B235="","",  VLOOKUP($F235, VW_PROJETO!B:C, 2, FALSE) )</f>
        <v/>
      </c>
    </row>
    <row r="236" spans="2:26" x14ac:dyDescent="0.2">
      <c r="B236" s="2"/>
      <c r="C236" s="4" t="str">
        <f>IF($B236="","",  VLOOKUP($B236, Propostas!$B:$BE, 33, FALSE) )</f>
        <v/>
      </c>
      <c r="D236" s="4" t="str">
        <f>IF($B236="","",  VLOOKUP($B236, Propostas!$B:$BE, 34, FALSE) )</f>
        <v/>
      </c>
      <c r="E236" s="4" t="str">
        <f>IF($B236="","",  VLOOKUP($B236, Propostas!$B:$BE, 35, FALSE) )</f>
        <v/>
      </c>
      <c r="F236" s="4" t="str">
        <f>IF($B236="","",  VLOOKUP($B236, Propostas!$B:$BE, 2, FALSE) )</f>
        <v/>
      </c>
      <c r="G236" s="4" t="str">
        <f>IF($B236="","",  VLOOKUP($B236, Propostas!$B:$BE, 3, FALSE) )</f>
        <v/>
      </c>
      <c r="H236" s="4" t="str">
        <f>IF($B236="","",  VLOOKUP($B236, Propostas!$B:$BE, 4, FALSE) )</f>
        <v/>
      </c>
      <c r="I236" s="4" t="str">
        <f>IF($B236="","",  VLOOKUP($B236, Propostas!$B:$BE, 38, FALSE) )</f>
        <v/>
      </c>
      <c r="J236" s="13" t="str">
        <f>IF($B236="","",IF($C236="SIM", "&lt; INFRRAESTRUTURA &gt;", VLOOKUP($B236,Propostas!$B:$BE,41,FALSE)))</f>
        <v/>
      </c>
      <c r="K236" s="10" t="str">
        <f>IF($B236="","",  VLOOKUP($B236, Propostas!$B:$BE, 40, FALSE) )</f>
        <v/>
      </c>
      <c r="L236" s="10" t="str">
        <f>IF($B236="","",IF(VLOOKUP($B236,Propostas!$B:$BE,21,FALSE)=1,"B",IF(VLOOKUP($B236,Propostas!$B:$BE,21,FALSE)=2,"E","N")))</f>
        <v/>
      </c>
      <c r="M236" s="32" t="str">
        <f>IF($B236 = "", "",  VLOOKUP($B236, Propostas!$B:$BE, 46, FALSE) )</f>
        <v/>
      </c>
      <c r="N236" s="32" t="str">
        <f>IF($B236 = "", "",  VLOOKUP($B236, Propostas!$B:$BE, 47, FALSE) )</f>
        <v/>
      </c>
      <c r="O236" s="13" t="str">
        <f>IF($B236="","",IF($C236="SIM", "INFRAESTRUTURA", VLOOKUP($B236, Propostas!$B:$BE,42,FALSE)))</f>
        <v/>
      </c>
      <c r="P236" s="32" t="str">
        <f>IF($B236 = "", "",  VLOOKUP($B236, Propostas!$B:$BE, 49, FALSE) )</f>
        <v/>
      </c>
      <c r="Q236" s="13" t="str">
        <f>IF($B236="","",  VLOOKUP($B236, Propostas!$B:$BE, 39, FALSE) )</f>
        <v/>
      </c>
      <c r="R236" s="81" t="str">
        <f>IF($B236="","",  VLOOKUP($B236, Propostas!$B:$BE, 43, FALSE) )</f>
        <v/>
      </c>
      <c r="S236" s="81" t="str">
        <f>IF($B236="","",  VLOOKUP($B236, Propostas!$B:$BE, 44, FALSE) )</f>
        <v/>
      </c>
      <c r="T236" s="81" t="str">
        <f>IF($B236="","",  VLOOKUP($B236, Propostas!$B:$BE, 45, FALSE) )</f>
        <v/>
      </c>
      <c r="U236" s="32" t="str">
        <f>IF($B236="","",  VLOOKUP($B236, Propostas!$B:$BE, 37, FALSE) )</f>
        <v/>
      </c>
      <c r="V236" s="13" t="str">
        <f>IF($B236="","",  VLOOKUP($B236, Propostas!$B:$BE, 50, FALSE) )</f>
        <v/>
      </c>
      <c r="W236" s="13" t="str">
        <f>IF($B236="","",  VLOOKUP($B236, Propostas!$B:$BE, 51, FALSE) )</f>
        <v/>
      </c>
      <c r="X236" s="13" t="str">
        <f>IF($B236="","",  VLOOKUP($B236, Propostas!$B:$BE, 52, FALSE) )</f>
        <v/>
      </c>
      <c r="Y236" s="13" t="str">
        <f>IF($B236="","",  VLOOKUP($B236, Propostas!$B:$BE, 36, FALSE) )</f>
        <v/>
      </c>
      <c r="Z236" s="13" t="str">
        <f>IF($B236="","",  VLOOKUP($F236, VW_PROJETO!B:C, 2, FALSE) )</f>
        <v/>
      </c>
    </row>
    <row r="237" spans="2:26" x14ac:dyDescent="0.2">
      <c r="B237" s="2"/>
      <c r="C237" s="4" t="str">
        <f>IF($B237="","",  VLOOKUP($B237, Propostas!$B:$BE, 33, FALSE) )</f>
        <v/>
      </c>
      <c r="D237" s="4" t="str">
        <f>IF($B237="","",  VLOOKUP($B237, Propostas!$B:$BE, 34, FALSE) )</f>
        <v/>
      </c>
      <c r="E237" s="4" t="str">
        <f>IF($B237="","",  VLOOKUP($B237, Propostas!$B:$BE, 35, FALSE) )</f>
        <v/>
      </c>
      <c r="F237" s="4" t="str">
        <f>IF($B237="","",  VLOOKUP($B237, Propostas!$B:$BE, 2, FALSE) )</f>
        <v/>
      </c>
      <c r="G237" s="4" t="str">
        <f>IF($B237="","",  VLOOKUP($B237, Propostas!$B:$BE, 3, FALSE) )</f>
        <v/>
      </c>
      <c r="H237" s="4" t="str">
        <f>IF($B237="","",  VLOOKUP($B237, Propostas!$B:$BE, 4, FALSE) )</f>
        <v/>
      </c>
      <c r="I237" s="4" t="str">
        <f>IF($B237="","",  VLOOKUP($B237, Propostas!$B:$BE, 38, FALSE) )</f>
        <v/>
      </c>
      <c r="J237" s="13" t="str">
        <f>IF($B237="","",IF($C237="SIM", "&lt; INFRRAESTRUTURA &gt;", VLOOKUP($B237,Propostas!$B:$BE,41,FALSE)))</f>
        <v/>
      </c>
      <c r="K237" s="10" t="str">
        <f>IF($B237="","",  VLOOKUP($B237, Propostas!$B:$BE, 40, FALSE) )</f>
        <v/>
      </c>
      <c r="L237" s="10" t="str">
        <f>IF($B237="","",IF(VLOOKUP($B237,Propostas!$B:$BE,21,FALSE)=1,"B",IF(VLOOKUP($B237,Propostas!$B:$BE,21,FALSE)=2,"E","N")))</f>
        <v/>
      </c>
      <c r="M237" s="32" t="str">
        <f>IF($B237 = "", "",  VLOOKUP($B237, Propostas!$B:$BE, 46, FALSE) )</f>
        <v/>
      </c>
      <c r="N237" s="32" t="str">
        <f>IF($B237 = "", "",  VLOOKUP($B237, Propostas!$B:$BE, 47, FALSE) )</f>
        <v/>
      </c>
      <c r="O237" s="13" t="str">
        <f>IF($B237="","",IF($C237="SIM", "INFRAESTRUTURA", VLOOKUP($B237, Propostas!$B:$BE,42,FALSE)))</f>
        <v/>
      </c>
      <c r="P237" s="32" t="str">
        <f>IF($B237 = "", "",  VLOOKUP($B237, Propostas!$B:$BE, 49, FALSE) )</f>
        <v/>
      </c>
      <c r="Q237" s="13" t="str">
        <f>IF($B237="","",  VLOOKUP($B237, Propostas!$B:$BE, 39, FALSE) )</f>
        <v/>
      </c>
      <c r="R237" s="81" t="str">
        <f>IF($B237="","",  VLOOKUP($B237, Propostas!$B:$BE, 43, FALSE) )</f>
        <v/>
      </c>
      <c r="S237" s="81" t="str">
        <f>IF($B237="","",  VLOOKUP($B237, Propostas!$B:$BE, 44, FALSE) )</f>
        <v/>
      </c>
      <c r="T237" s="81" t="str">
        <f>IF($B237="","",  VLOOKUP($B237, Propostas!$B:$BE, 45, FALSE) )</f>
        <v/>
      </c>
      <c r="U237" s="32" t="str">
        <f>IF($B237="","",  VLOOKUP($B237, Propostas!$B:$BE, 37, FALSE) )</f>
        <v/>
      </c>
      <c r="V237" s="13" t="str">
        <f>IF($B237="","",  VLOOKUP($B237, Propostas!$B:$BE, 50, FALSE) )</f>
        <v/>
      </c>
      <c r="W237" s="13" t="str">
        <f>IF($B237="","",  VLOOKUP($B237, Propostas!$B:$BE, 51, FALSE) )</f>
        <v/>
      </c>
      <c r="X237" s="13" t="str">
        <f>IF($B237="","",  VLOOKUP($B237, Propostas!$B:$BE, 52, FALSE) )</f>
        <v/>
      </c>
      <c r="Y237" s="13" t="str">
        <f>IF($B237="","",  VLOOKUP($B237, Propostas!$B:$BE, 36, FALSE) )</f>
        <v/>
      </c>
      <c r="Z237" s="13" t="str">
        <f>IF($B237="","",  VLOOKUP($F237, VW_PROJETO!B:C, 2, FALSE) )</f>
        <v/>
      </c>
    </row>
    <row r="238" spans="2:26" x14ac:dyDescent="0.2">
      <c r="B238" s="2"/>
      <c r="C238" s="4" t="str">
        <f>IF($B238="","",  VLOOKUP($B238, Propostas!$B:$BE, 33, FALSE) )</f>
        <v/>
      </c>
      <c r="D238" s="4" t="str">
        <f>IF($B238="","",  VLOOKUP($B238, Propostas!$B:$BE, 34, FALSE) )</f>
        <v/>
      </c>
      <c r="E238" s="4" t="str">
        <f>IF($B238="","",  VLOOKUP($B238, Propostas!$B:$BE, 35, FALSE) )</f>
        <v/>
      </c>
      <c r="F238" s="4" t="str">
        <f>IF($B238="","",  VLOOKUP($B238, Propostas!$B:$BE, 2, FALSE) )</f>
        <v/>
      </c>
      <c r="G238" s="4" t="str">
        <f>IF($B238="","",  VLOOKUP($B238, Propostas!$B:$BE, 3, FALSE) )</f>
        <v/>
      </c>
      <c r="H238" s="4" t="str">
        <f>IF($B238="","",  VLOOKUP($B238, Propostas!$B:$BE, 4, FALSE) )</f>
        <v/>
      </c>
      <c r="I238" s="4" t="str">
        <f>IF($B238="","",  VLOOKUP($B238, Propostas!$B:$BE, 38, FALSE) )</f>
        <v/>
      </c>
      <c r="J238" s="13" t="str">
        <f>IF($B238="","",IF($C238="SIM", "&lt; INFRRAESTRUTURA &gt;", VLOOKUP($B238,Propostas!$B:$BE,41,FALSE)))</f>
        <v/>
      </c>
      <c r="K238" s="10" t="str">
        <f>IF($B238="","",  VLOOKUP($B238, Propostas!$B:$BE, 40, FALSE) )</f>
        <v/>
      </c>
      <c r="L238" s="10" t="str">
        <f>IF($B238="","",IF(VLOOKUP($B238,Propostas!$B:$BE,21,FALSE)=1,"B",IF(VLOOKUP($B238,Propostas!$B:$BE,21,FALSE)=2,"E","N")))</f>
        <v/>
      </c>
      <c r="M238" s="32" t="str">
        <f>IF($B238 = "", "",  VLOOKUP($B238, Propostas!$B:$BE, 46, FALSE) )</f>
        <v/>
      </c>
      <c r="N238" s="32" t="str">
        <f>IF($B238 = "", "",  VLOOKUP($B238, Propostas!$B:$BE, 47, FALSE) )</f>
        <v/>
      </c>
      <c r="O238" s="13" t="str">
        <f>IF($B238="","",IF($C238="SIM", "INFRAESTRUTURA", VLOOKUP($B238, Propostas!$B:$BE,42,FALSE)))</f>
        <v/>
      </c>
      <c r="P238" s="32" t="str">
        <f>IF($B238 = "", "",  VLOOKUP($B238, Propostas!$B:$BE, 49, FALSE) )</f>
        <v/>
      </c>
      <c r="Q238" s="13" t="str">
        <f>IF($B238="","",  VLOOKUP($B238, Propostas!$B:$BE, 39, FALSE) )</f>
        <v/>
      </c>
      <c r="R238" s="81" t="str">
        <f>IF($B238="","",  VLOOKUP($B238, Propostas!$B:$BE, 43, FALSE) )</f>
        <v/>
      </c>
      <c r="S238" s="81" t="str">
        <f>IF($B238="","",  VLOOKUP($B238, Propostas!$B:$BE, 44, FALSE) )</f>
        <v/>
      </c>
      <c r="T238" s="81" t="str">
        <f>IF($B238="","",  VLOOKUP($B238, Propostas!$B:$BE, 45, FALSE) )</f>
        <v/>
      </c>
      <c r="U238" s="32" t="str">
        <f>IF($B238="","",  VLOOKUP($B238, Propostas!$B:$BE, 37, FALSE) )</f>
        <v/>
      </c>
      <c r="V238" s="13" t="str">
        <f>IF($B238="","",  VLOOKUP($B238, Propostas!$B:$BE, 50, FALSE) )</f>
        <v/>
      </c>
      <c r="W238" s="13" t="str">
        <f>IF($B238="","",  VLOOKUP($B238, Propostas!$B:$BE, 51, FALSE) )</f>
        <v/>
      </c>
      <c r="X238" s="13" t="str">
        <f>IF($B238="","",  VLOOKUP($B238, Propostas!$B:$BE, 52, FALSE) )</f>
        <v/>
      </c>
      <c r="Y238" s="13" t="str">
        <f>IF($B238="","",  VLOOKUP($B238, Propostas!$B:$BE, 36, FALSE) )</f>
        <v/>
      </c>
      <c r="Z238" s="13" t="str">
        <f>IF($B238="","",  VLOOKUP($F238, VW_PROJETO!B:C, 2, FALSE) )</f>
        <v/>
      </c>
    </row>
    <row r="239" spans="2:26" x14ac:dyDescent="0.2">
      <c r="B239" s="2"/>
      <c r="C239" s="4" t="str">
        <f>IF($B239="","",  VLOOKUP($B239, Propostas!$B:$BE, 33, FALSE) )</f>
        <v/>
      </c>
      <c r="D239" s="4" t="str">
        <f>IF($B239="","",  VLOOKUP($B239, Propostas!$B:$BE, 34, FALSE) )</f>
        <v/>
      </c>
      <c r="E239" s="4" t="str">
        <f>IF($B239="","",  VLOOKUP($B239, Propostas!$B:$BE, 35, FALSE) )</f>
        <v/>
      </c>
      <c r="F239" s="4" t="str">
        <f>IF($B239="","",  VLOOKUP($B239, Propostas!$B:$BE, 2, FALSE) )</f>
        <v/>
      </c>
      <c r="G239" s="4" t="str">
        <f>IF($B239="","",  VLOOKUP($B239, Propostas!$B:$BE, 3, FALSE) )</f>
        <v/>
      </c>
      <c r="H239" s="4" t="str">
        <f>IF($B239="","",  VLOOKUP($B239, Propostas!$B:$BE, 4, FALSE) )</f>
        <v/>
      </c>
      <c r="I239" s="4" t="str">
        <f>IF($B239="","",  VLOOKUP($B239, Propostas!$B:$BE, 38, FALSE) )</f>
        <v/>
      </c>
      <c r="J239" s="13" t="str">
        <f>IF($B239="","",IF($C239="SIM", "&lt; INFRRAESTRUTURA &gt;", VLOOKUP($B239,Propostas!$B:$BE,41,FALSE)))</f>
        <v/>
      </c>
      <c r="K239" s="10" t="str">
        <f>IF($B239="","",  VLOOKUP($B239, Propostas!$B:$BE, 40, FALSE) )</f>
        <v/>
      </c>
      <c r="L239" s="10" t="str">
        <f>IF($B239="","",IF(VLOOKUP($B239,Propostas!$B:$BE,21,FALSE)=1,"B",IF(VLOOKUP($B239,Propostas!$B:$BE,21,FALSE)=2,"E","N")))</f>
        <v/>
      </c>
      <c r="M239" s="32" t="str">
        <f>IF($B239 = "", "",  VLOOKUP($B239, Propostas!$B:$BE, 46, FALSE) )</f>
        <v/>
      </c>
      <c r="N239" s="32" t="str">
        <f>IF($B239 = "", "",  VLOOKUP($B239, Propostas!$B:$BE, 47, FALSE) )</f>
        <v/>
      </c>
      <c r="O239" s="13" t="str">
        <f>IF($B239="","",IF($C239="SIM", "INFRAESTRUTURA", VLOOKUP($B239, Propostas!$B:$BE,42,FALSE)))</f>
        <v/>
      </c>
      <c r="P239" s="32" t="str">
        <f>IF($B239 = "", "",  VLOOKUP($B239, Propostas!$B:$BE, 49, FALSE) )</f>
        <v/>
      </c>
      <c r="Q239" s="13" t="str">
        <f>IF($B239="","",  VLOOKUP($B239, Propostas!$B:$BE, 39, FALSE) )</f>
        <v/>
      </c>
      <c r="R239" s="81" t="str">
        <f>IF($B239="","",  VLOOKUP($B239, Propostas!$B:$BE, 43, FALSE) )</f>
        <v/>
      </c>
      <c r="S239" s="81" t="str">
        <f>IF($B239="","",  VLOOKUP($B239, Propostas!$B:$BE, 44, FALSE) )</f>
        <v/>
      </c>
      <c r="T239" s="81" t="str">
        <f>IF($B239="","",  VLOOKUP($B239, Propostas!$B:$BE, 45, FALSE) )</f>
        <v/>
      </c>
      <c r="U239" s="32" t="str">
        <f>IF($B239="","",  VLOOKUP($B239, Propostas!$B:$BE, 37, FALSE) )</f>
        <v/>
      </c>
      <c r="V239" s="13" t="str">
        <f>IF($B239="","",  VLOOKUP($B239, Propostas!$B:$BE, 50, FALSE) )</f>
        <v/>
      </c>
      <c r="W239" s="13" t="str">
        <f>IF($B239="","",  VLOOKUP($B239, Propostas!$B:$BE, 51, FALSE) )</f>
        <v/>
      </c>
      <c r="X239" s="13" t="str">
        <f>IF($B239="","",  VLOOKUP($B239, Propostas!$B:$BE, 52, FALSE) )</f>
        <v/>
      </c>
      <c r="Y239" s="13" t="str">
        <f>IF($B239="","",  VLOOKUP($B239, Propostas!$B:$BE, 36, FALSE) )</f>
        <v/>
      </c>
      <c r="Z239" s="13" t="str">
        <f>IF($B239="","",  VLOOKUP($F239, VW_PROJETO!B:C, 2, FALSE) )</f>
        <v/>
      </c>
    </row>
    <row r="240" spans="2:26" x14ac:dyDescent="0.2">
      <c r="B240" s="2"/>
      <c r="C240" s="4" t="str">
        <f>IF($B240="","",  VLOOKUP($B240, Propostas!$B:$BE, 33, FALSE) )</f>
        <v/>
      </c>
      <c r="D240" s="4" t="str">
        <f>IF($B240="","",  VLOOKUP($B240, Propostas!$B:$BE, 34, FALSE) )</f>
        <v/>
      </c>
      <c r="E240" s="4" t="str">
        <f>IF($B240="","",  VLOOKUP($B240, Propostas!$B:$BE, 35, FALSE) )</f>
        <v/>
      </c>
      <c r="F240" s="4" t="str">
        <f>IF($B240="","",  VLOOKUP($B240, Propostas!$B:$BE, 2, FALSE) )</f>
        <v/>
      </c>
      <c r="G240" s="4" t="str">
        <f>IF($B240="","",  VLOOKUP($B240, Propostas!$B:$BE, 3, FALSE) )</f>
        <v/>
      </c>
      <c r="H240" s="4" t="str">
        <f>IF($B240="","",  VLOOKUP($B240, Propostas!$B:$BE, 4, FALSE) )</f>
        <v/>
      </c>
      <c r="I240" s="4" t="str">
        <f>IF($B240="","",  VLOOKUP($B240, Propostas!$B:$BE, 38, FALSE) )</f>
        <v/>
      </c>
      <c r="J240" s="13" t="str">
        <f>IF($B240="","",IF($C240="SIM", "&lt; INFRRAESTRUTURA &gt;", VLOOKUP($B240,Propostas!$B:$BE,41,FALSE)))</f>
        <v/>
      </c>
      <c r="K240" s="10" t="str">
        <f>IF($B240="","",  VLOOKUP($B240, Propostas!$B:$BE, 40, FALSE) )</f>
        <v/>
      </c>
      <c r="L240" s="10" t="str">
        <f>IF($B240="","",IF(VLOOKUP($B240,Propostas!$B:$BE,21,FALSE)=1,"B",IF(VLOOKUP($B240,Propostas!$B:$BE,21,FALSE)=2,"E","N")))</f>
        <v/>
      </c>
      <c r="M240" s="32" t="str">
        <f>IF($B240 = "", "",  VLOOKUP($B240, Propostas!$B:$BE, 46, FALSE) )</f>
        <v/>
      </c>
      <c r="N240" s="32" t="str">
        <f>IF($B240 = "", "",  VLOOKUP($B240, Propostas!$B:$BE, 47, FALSE) )</f>
        <v/>
      </c>
      <c r="O240" s="13" t="str">
        <f>IF($B240="","",IF($C240="SIM", "INFRAESTRUTURA", VLOOKUP($B240, Propostas!$B:$BE,42,FALSE)))</f>
        <v/>
      </c>
      <c r="P240" s="32" t="str">
        <f>IF($B240 = "", "",  VLOOKUP($B240, Propostas!$B:$BE, 49, FALSE) )</f>
        <v/>
      </c>
      <c r="Q240" s="13" t="str">
        <f>IF($B240="","",  VLOOKUP($B240, Propostas!$B:$BE, 39, FALSE) )</f>
        <v/>
      </c>
      <c r="R240" s="81" t="str">
        <f>IF($B240="","",  VLOOKUP($B240, Propostas!$B:$BE, 43, FALSE) )</f>
        <v/>
      </c>
      <c r="S240" s="81" t="str">
        <f>IF($B240="","",  VLOOKUP($B240, Propostas!$B:$BE, 44, FALSE) )</f>
        <v/>
      </c>
      <c r="T240" s="81" t="str">
        <f>IF($B240="","",  VLOOKUP($B240, Propostas!$B:$BE, 45, FALSE) )</f>
        <v/>
      </c>
      <c r="U240" s="32" t="str">
        <f>IF($B240="","",  VLOOKUP($B240, Propostas!$B:$BE, 37, FALSE) )</f>
        <v/>
      </c>
      <c r="V240" s="13" t="str">
        <f>IF($B240="","",  VLOOKUP($B240, Propostas!$B:$BE, 50, FALSE) )</f>
        <v/>
      </c>
      <c r="W240" s="13" t="str">
        <f>IF($B240="","",  VLOOKUP($B240, Propostas!$B:$BE, 51, FALSE) )</f>
        <v/>
      </c>
      <c r="X240" s="13" t="str">
        <f>IF($B240="","",  VLOOKUP($B240, Propostas!$B:$BE, 52, FALSE) )</f>
        <v/>
      </c>
      <c r="Y240" s="13" t="str">
        <f>IF($B240="","",  VLOOKUP($B240, Propostas!$B:$BE, 36, FALSE) )</f>
        <v/>
      </c>
      <c r="Z240" s="13" t="str">
        <f>IF($B240="","",  VLOOKUP($F240, VW_PROJETO!B:C, 2, FALSE) )</f>
        <v/>
      </c>
    </row>
    <row r="241" spans="2:26" x14ac:dyDescent="0.2">
      <c r="B241" s="2"/>
      <c r="C241" s="4" t="str">
        <f>IF($B241="","",  VLOOKUP($B241, Propostas!$B:$BE, 33, FALSE) )</f>
        <v/>
      </c>
      <c r="D241" s="4" t="str">
        <f>IF($B241="","",  VLOOKUP($B241, Propostas!$B:$BE, 34, FALSE) )</f>
        <v/>
      </c>
      <c r="E241" s="4" t="str">
        <f>IF($B241="","",  VLOOKUP($B241, Propostas!$B:$BE, 35, FALSE) )</f>
        <v/>
      </c>
      <c r="F241" s="4" t="str">
        <f>IF($B241="","",  VLOOKUP($B241, Propostas!$B:$BE, 2, FALSE) )</f>
        <v/>
      </c>
      <c r="G241" s="4" t="str">
        <f>IF($B241="","",  VLOOKUP($B241, Propostas!$B:$BE, 3, FALSE) )</f>
        <v/>
      </c>
      <c r="H241" s="4" t="str">
        <f>IF($B241="","",  VLOOKUP($B241, Propostas!$B:$BE, 4, FALSE) )</f>
        <v/>
      </c>
      <c r="I241" s="4" t="str">
        <f>IF($B241="","",  VLOOKUP($B241, Propostas!$B:$BE, 38, FALSE) )</f>
        <v/>
      </c>
      <c r="J241" s="13" t="str">
        <f>IF($B241="","",IF($C241="SIM", "&lt; INFRRAESTRUTURA &gt;", VLOOKUP($B241,Propostas!$B:$BE,41,FALSE)))</f>
        <v/>
      </c>
      <c r="K241" s="10" t="str">
        <f>IF($B241="","",  VLOOKUP($B241, Propostas!$B:$BE, 40, FALSE) )</f>
        <v/>
      </c>
      <c r="L241" s="10" t="str">
        <f>IF($B241="","",IF(VLOOKUP($B241,Propostas!$B:$BE,21,FALSE)=1,"B",IF(VLOOKUP($B241,Propostas!$B:$BE,21,FALSE)=2,"E","N")))</f>
        <v/>
      </c>
      <c r="M241" s="32" t="str">
        <f>IF($B241 = "", "",  VLOOKUP($B241, Propostas!$B:$BE, 46, FALSE) )</f>
        <v/>
      </c>
      <c r="N241" s="32" t="str">
        <f>IF($B241 = "", "",  VLOOKUP($B241, Propostas!$B:$BE, 47, FALSE) )</f>
        <v/>
      </c>
      <c r="O241" s="13" t="str">
        <f>IF($B241="","",IF($C241="SIM", "INFRAESTRUTURA", VLOOKUP($B241, Propostas!$B:$BE,42,FALSE)))</f>
        <v/>
      </c>
      <c r="P241" s="32" t="str">
        <f>IF($B241 = "", "",  VLOOKUP($B241, Propostas!$B:$BE, 49, FALSE) )</f>
        <v/>
      </c>
      <c r="Q241" s="13" t="str">
        <f>IF($B241="","",  VLOOKUP($B241, Propostas!$B:$BE, 39, FALSE) )</f>
        <v/>
      </c>
      <c r="R241" s="81" t="str">
        <f>IF($B241="","",  VLOOKUP($B241, Propostas!$B:$BE, 43, FALSE) )</f>
        <v/>
      </c>
      <c r="S241" s="81" t="str">
        <f>IF($B241="","",  VLOOKUP($B241, Propostas!$B:$BE, 44, FALSE) )</f>
        <v/>
      </c>
      <c r="T241" s="81" t="str">
        <f>IF($B241="","",  VLOOKUP($B241, Propostas!$B:$BE, 45, FALSE) )</f>
        <v/>
      </c>
      <c r="U241" s="32" t="str">
        <f>IF($B241="","",  VLOOKUP($B241, Propostas!$B:$BE, 37, FALSE) )</f>
        <v/>
      </c>
      <c r="V241" s="13" t="str">
        <f>IF($B241="","",  VLOOKUP($B241, Propostas!$B:$BE, 50, FALSE) )</f>
        <v/>
      </c>
      <c r="W241" s="13" t="str">
        <f>IF($B241="","",  VLOOKUP($B241, Propostas!$B:$BE, 51, FALSE) )</f>
        <v/>
      </c>
      <c r="X241" s="13" t="str">
        <f>IF($B241="","",  VLOOKUP($B241, Propostas!$B:$BE, 52, FALSE) )</f>
        <v/>
      </c>
      <c r="Y241" s="13" t="str">
        <f>IF($B241="","",  VLOOKUP($B241, Propostas!$B:$BE, 36, FALSE) )</f>
        <v/>
      </c>
      <c r="Z241" s="13" t="str">
        <f>IF($B241="","",  VLOOKUP($F241, VW_PROJETO!B:C, 2, FALSE) )</f>
        <v/>
      </c>
    </row>
    <row r="242" spans="2:26" x14ac:dyDescent="0.2">
      <c r="B242" s="2"/>
      <c r="C242" s="4" t="str">
        <f>IF($B242="","",  VLOOKUP($B242, Propostas!$B:$BE, 33, FALSE) )</f>
        <v/>
      </c>
      <c r="D242" s="4" t="str">
        <f>IF($B242="","",  VLOOKUP($B242, Propostas!$B:$BE, 34, FALSE) )</f>
        <v/>
      </c>
      <c r="E242" s="4" t="str">
        <f>IF($B242="","",  VLOOKUP($B242, Propostas!$B:$BE, 35, FALSE) )</f>
        <v/>
      </c>
      <c r="F242" s="4" t="str">
        <f>IF($B242="","",  VLOOKUP($B242, Propostas!$B:$BE, 2, FALSE) )</f>
        <v/>
      </c>
      <c r="G242" s="4" t="str">
        <f>IF($B242="","",  VLOOKUP($B242, Propostas!$B:$BE, 3, FALSE) )</f>
        <v/>
      </c>
      <c r="H242" s="4" t="str">
        <f>IF($B242="","",  VLOOKUP($B242, Propostas!$B:$BE, 4, FALSE) )</f>
        <v/>
      </c>
      <c r="I242" s="4" t="str">
        <f>IF($B242="","",  VLOOKUP($B242, Propostas!$B:$BE, 38, FALSE) )</f>
        <v/>
      </c>
      <c r="J242" s="13" t="str">
        <f>IF($B242="","",IF($C242="SIM", "&lt; INFRRAESTRUTURA &gt;", VLOOKUP($B242,Propostas!$B:$BE,41,FALSE)))</f>
        <v/>
      </c>
      <c r="K242" s="10" t="str">
        <f>IF($B242="","",  VLOOKUP($B242, Propostas!$B:$BE, 40, FALSE) )</f>
        <v/>
      </c>
      <c r="L242" s="10" t="str">
        <f>IF($B242="","",IF(VLOOKUP($B242,Propostas!$B:$BE,21,FALSE)=1,"B",IF(VLOOKUP($B242,Propostas!$B:$BE,21,FALSE)=2,"E","N")))</f>
        <v/>
      </c>
      <c r="M242" s="32" t="str">
        <f>IF($B242 = "", "",  VLOOKUP($B242, Propostas!$B:$BE, 46, FALSE) )</f>
        <v/>
      </c>
      <c r="N242" s="32" t="str">
        <f>IF($B242 = "", "",  VLOOKUP($B242, Propostas!$B:$BE, 47, FALSE) )</f>
        <v/>
      </c>
      <c r="O242" s="13" t="str">
        <f>IF($B242="","",IF($C242="SIM", "INFRAESTRUTURA", VLOOKUP($B242, Propostas!$B:$BE,42,FALSE)))</f>
        <v/>
      </c>
      <c r="P242" s="32" t="str">
        <f>IF($B242 = "", "",  VLOOKUP($B242, Propostas!$B:$BE, 49, FALSE) )</f>
        <v/>
      </c>
      <c r="Q242" s="13" t="str">
        <f>IF($B242="","",  VLOOKUP($B242, Propostas!$B:$BE, 39, FALSE) )</f>
        <v/>
      </c>
      <c r="R242" s="81" t="str">
        <f>IF($B242="","",  VLOOKUP($B242, Propostas!$B:$BE, 43, FALSE) )</f>
        <v/>
      </c>
      <c r="S242" s="81" t="str">
        <f>IF($B242="","",  VLOOKUP($B242, Propostas!$B:$BE, 44, FALSE) )</f>
        <v/>
      </c>
      <c r="T242" s="81" t="str">
        <f>IF($B242="","",  VLOOKUP($B242, Propostas!$B:$BE, 45, FALSE) )</f>
        <v/>
      </c>
      <c r="U242" s="32" t="str">
        <f>IF($B242="","",  VLOOKUP($B242, Propostas!$B:$BE, 37, FALSE) )</f>
        <v/>
      </c>
      <c r="V242" s="13" t="str">
        <f>IF($B242="","",  VLOOKUP($B242, Propostas!$B:$BE, 50, FALSE) )</f>
        <v/>
      </c>
      <c r="W242" s="13" t="str">
        <f>IF($B242="","",  VLOOKUP($B242, Propostas!$B:$BE, 51, FALSE) )</f>
        <v/>
      </c>
      <c r="X242" s="13" t="str">
        <f>IF($B242="","",  VLOOKUP($B242, Propostas!$B:$BE, 52, FALSE) )</f>
        <v/>
      </c>
      <c r="Y242" s="13" t="str">
        <f>IF($B242="","",  VLOOKUP($B242, Propostas!$B:$BE, 36, FALSE) )</f>
        <v/>
      </c>
      <c r="Z242" s="13" t="str">
        <f>IF($B242="","",  VLOOKUP($F242, VW_PROJETO!B:C, 2, FALSE) )</f>
        <v/>
      </c>
    </row>
    <row r="243" spans="2:26" x14ac:dyDescent="0.2">
      <c r="B243" s="2"/>
      <c r="C243" s="4" t="str">
        <f>IF($B243="","",  VLOOKUP($B243, Propostas!$B:$BE, 33, FALSE) )</f>
        <v/>
      </c>
      <c r="D243" s="4" t="str">
        <f>IF($B243="","",  VLOOKUP($B243, Propostas!$B:$BE, 34, FALSE) )</f>
        <v/>
      </c>
      <c r="E243" s="4" t="str">
        <f>IF($B243="","",  VLOOKUP($B243, Propostas!$B:$BE, 35, FALSE) )</f>
        <v/>
      </c>
      <c r="F243" s="4" t="str">
        <f>IF($B243="","",  VLOOKUP($B243, Propostas!$B:$BE, 2, FALSE) )</f>
        <v/>
      </c>
      <c r="G243" s="4" t="str">
        <f>IF($B243="","",  VLOOKUP($B243, Propostas!$B:$BE, 3, FALSE) )</f>
        <v/>
      </c>
      <c r="H243" s="4" t="str">
        <f>IF($B243="","",  VLOOKUP($B243, Propostas!$B:$BE, 4, FALSE) )</f>
        <v/>
      </c>
      <c r="I243" s="4" t="str">
        <f>IF($B243="","",  VLOOKUP($B243, Propostas!$B:$BE, 38, FALSE) )</f>
        <v/>
      </c>
      <c r="J243" s="13" t="str">
        <f>IF($B243="","",IF($C243="SIM", "&lt; INFRRAESTRUTURA &gt;", VLOOKUP($B243,Propostas!$B:$BE,41,FALSE)))</f>
        <v/>
      </c>
      <c r="K243" s="10" t="str">
        <f>IF($B243="","",  VLOOKUP($B243, Propostas!$B:$BE, 40, FALSE) )</f>
        <v/>
      </c>
      <c r="L243" s="10" t="str">
        <f>IF($B243="","",IF(VLOOKUP($B243,Propostas!$B:$BE,21,FALSE)=1,"B",IF(VLOOKUP($B243,Propostas!$B:$BE,21,FALSE)=2,"E","N")))</f>
        <v/>
      </c>
      <c r="M243" s="32" t="str">
        <f>IF($B243 = "", "",  VLOOKUP($B243, Propostas!$B:$BE, 46, FALSE) )</f>
        <v/>
      </c>
      <c r="N243" s="32" t="str">
        <f>IF($B243 = "", "",  VLOOKUP($B243, Propostas!$B:$BE, 47, FALSE) )</f>
        <v/>
      </c>
      <c r="O243" s="13" t="str">
        <f>IF($B243="","",IF($C243="SIM", "INFRAESTRUTURA", VLOOKUP($B243, Propostas!$B:$BE,42,FALSE)))</f>
        <v/>
      </c>
      <c r="P243" s="32" t="str">
        <f>IF($B243 = "", "",  VLOOKUP($B243, Propostas!$B:$BE, 49, FALSE) )</f>
        <v/>
      </c>
      <c r="Q243" s="13" t="str">
        <f>IF($B243="","",  VLOOKUP($B243, Propostas!$B:$BE, 39, FALSE) )</f>
        <v/>
      </c>
      <c r="R243" s="81" t="str">
        <f>IF($B243="","",  VLOOKUP($B243, Propostas!$B:$BE, 43, FALSE) )</f>
        <v/>
      </c>
      <c r="S243" s="81" t="str">
        <f>IF($B243="","",  VLOOKUP($B243, Propostas!$B:$BE, 44, FALSE) )</f>
        <v/>
      </c>
      <c r="T243" s="81" t="str">
        <f>IF($B243="","",  VLOOKUP($B243, Propostas!$B:$BE, 45, FALSE) )</f>
        <v/>
      </c>
      <c r="U243" s="32" t="str">
        <f>IF($B243="","",  VLOOKUP($B243, Propostas!$B:$BE, 37, FALSE) )</f>
        <v/>
      </c>
      <c r="V243" s="13" t="str">
        <f>IF($B243="","",  VLOOKUP($B243, Propostas!$B:$BE, 50, FALSE) )</f>
        <v/>
      </c>
      <c r="W243" s="13" t="str">
        <f>IF($B243="","",  VLOOKUP($B243, Propostas!$B:$BE, 51, FALSE) )</f>
        <v/>
      </c>
      <c r="X243" s="13" t="str">
        <f>IF($B243="","",  VLOOKUP($B243, Propostas!$B:$BE, 52, FALSE) )</f>
        <v/>
      </c>
      <c r="Y243" s="13" t="str">
        <f>IF($B243="","",  VLOOKUP($B243, Propostas!$B:$BE, 36, FALSE) )</f>
        <v/>
      </c>
      <c r="Z243" s="13" t="str">
        <f>IF($B243="","",  VLOOKUP($F243, VW_PROJETO!B:C, 2, FALSE) )</f>
        <v/>
      </c>
    </row>
    <row r="244" spans="2:26" x14ac:dyDescent="0.2">
      <c r="B244" s="2"/>
      <c r="C244" s="4" t="str">
        <f>IF($B244="","",  VLOOKUP($B244, Propostas!$B:$BE, 33, FALSE) )</f>
        <v/>
      </c>
      <c r="D244" s="4" t="str">
        <f>IF($B244="","",  VLOOKUP($B244, Propostas!$B:$BE, 34, FALSE) )</f>
        <v/>
      </c>
      <c r="E244" s="4" t="str">
        <f>IF($B244="","",  VLOOKUP($B244, Propostas!$B:$BE, 35, FALSE) )</f>
        <v/>
      </c>
      <c r="F244" s="4" t="str">
        <f>IF($B244="","",  VLOOKUP($B244, Propostas!$B:$BE, 2, FALSE) )</f>
        <v/>
      </c>
      <c r="G244" s="4" t="str">
        <f>IF($B244="","",  VLOOKUP($B244, Propostas!$B:$BE, 3, FALSE) )</f>
        <v/>
      </c>
      <c r="H244" s="4" t="str">
        <f>IF($B244="","",  VLOOKUP($B244, Propostas!$B:$BE, 4, FALSE) )</f>
        <v/>
      </c>
      <c r="I244" s="4" t="str">
        <f>IF($B244="","",  VLOOKUP($B244, Propostas!$B:$BE, 38, FALSE) )</f>
        <v/>
      </c>
      <c r="J244" s="13" t="str">
        <f>IF($B244="","",IF($C244="SIM", "&lt; INFRRAESTRUTURA &gt;", VLOOKUP($B244,Propostas!$B:$BE,41,FALSE)))</f>
        <v/>
      </c>
      <c r="K244" s="10" t="str">
        <f>IF($B244="","",  VLOOKUP($B244, Propostas!$B:$BE, 40, FALSE) )</f>
        <v/>
      </c>
      <c r="L244" s="10" t="str">
        <f>IF($B244="","",IF(VLOOKUP($B244,Propostas!$B:$BE,21,FALSE)=1,"B",IF(VLOOKUP($B244,Propostas!$B:$BE,21,FALSE)=2,"E","N")))</f>
        <v/>
      </c>
      <c r="M244" s="32" t="str">
        <f>IF($B244 = "", "",  VLOOKUP($B244, Propostas!$B:$BE, 46, FALSE) )</f>
        <v/>
      </c>
      <c r="N244" s="32" t="str">
        <f>IF($B244 = "", "",  VLOOKUP($B244, Propostas!$B:$BE, 47, FALSE) )</f>
        <v/>
      </c>
      <c r="O244" s="13" t="str">
        <f>IF($B244="","",IF($C244="SIM", "INFRAESTRUTURA", VLOOKUP($B244, Propostas!$B:$BE,42,FALSE)))</f>
        <v/>
      </c>
      <c r="P244" s="32" t="str">
        <f>IF($B244 = "", "",  VLOOKUP($B244, Propostas!$B:$BE, 49, FALSE) )</f>
        <v/>
      </c>
      <c r="Q244" s="13" t="str">
        <f>IF($B244="","",  VLOOKUP($B244, Propostas!$B:$BE, 39, FALSE) )</f>
        <v/>
      </c>
      <c r="R244" s="81" t="str">
        <f>IF($B244="","",  VLOOKUP($B244, Propostas!$B:$BE, 43, FALSE) )</f>
        <v/>
      </c>
      <c r="S244" s="81" t="str">
        <f>IF($B244="","",  VLOOKUP($B244, Propostas!$B:$BE, 44, FALSE) )</f>
        <v/>
      </c>
      <c r="T244" s="81" t="str">
        <f>IF($B244="","",  VLOOKUP($B244, Propostas!$B:$BE, 45, FALSE) )</f>
        <v/>
      </c>
      <c r="U244" s="32" t="str">
        <f>IF($B244="","",  VLOOKUP($B244, Propostas!$B:$BE, 37, FALSE) )</f>
        <v/>
      </c>
      <c r="V244" s="13" t="str">
        <f>IF($B244="","",  VLOOKUP($B244, Propostas!$B:$BE, 50, FALSE) )</f>
        <v/>
      </c>
      <c r="W244" s="13" t="str">
        <f>IF($B244="","",  VLOOKUP($B244, Propostas!$B:$BE, 51, FALSE) )</f>
        <v/>
      </c>
      <c r="X244" s="13" t="str">
        <f>IF($B244="","",  VLOOKUP($B244, Propostas!$B:$BE, 52, FALSE) )</f>
        <v/>
      </c>
      <c r="Y244" s="13" t="str">
        <f>IF($B244="","",  VLOOKUP($B244, Propostas!$B:$BE, 36, FALSE) )</f>
        <v/>
      </c>
      <c r="Z244" s="13" t="str">
        <f>IF($B244="","",  VLOOKUP($F244, VW_PROJETO!B:C, 2, FALSE) )</f>
        <v/>
      </c>
    </row>
    <row r="245" spans="2:26" x14ac:dyDescent="0.2">
      <c r="B245" s="2"/>
      <c r="C245" s="4" t="str">
        <f>IF($B245="","",  VLOOKUP($B245, Propostas!$B:$BE, 33, FALSE) )</f>
        <v/>
      </c>
      <c r="D245" s="4" t="str">
        <f>IF($B245="","",  VLOOKUP($B245, Propostas!$B:$BE, 34, FALSE) )</f>
        <v/>
      </c>
      <c r="E245" s="4" t="str">
        <f>IF($B245="","",  VLOOKUP($B245, Propostas!$B:$BE, 35, FALSE) )</f>
        <v/>
      </c>
      <c r="F245" s="4" t="str">
        <f>IF($B245="","",  VLOOKUP($B245, Propostas!$B:$BE, 2, FALSE) )</f>
        <v/>
      </c>
      <c r="G245" s="4" t="str">
        <f>IF($B245="","",  VLOOKUP($B245, Propostas!$B:$BE, 3, FALSE) )</f>
        <v/>
      </c>
      <c r="H245" s="4" t="str">
        <f>IF($B245="","",  VLOOKUP($B245, Propostas!$B:$BE, 4, FALSE) )</f>
        <v/>
      </c>
      <c r="I245" s="4" t="str">
        <f>IF($B245="","",  VLOOKUP($B245, Propostas!$B:$BE, 38, FALSE) )</f>
        <v/>
      </c>
      <c r="J245" s="13" t="str">
        <f>IF($B245="","",IF($C245="SIM", "&lt; INFRRAESTRUTURA &gt;", VLOOKUP($B245,Propostas!$B:$BE,41,FALSE)))</f>
        <v/>
      </c>
      <c r="K245" s="10" t="str">
        <f>IF($B245="","",  VLOOKUP($B245, Propostas!$B:$BE, 40, FALSE) )</f>
        <v/>
      </c>
      <c r="L245" s="10" t="str">
        <f>IF($B245="","",IF(VLOOKUP($B245,Propostas!$B:$BE,21,FALSE)=1,"B",IF(VLOOKUP($B245,Propostas!$B:$BE,21,FALSE)=2,"E","N")))</f>
        <v/>
      </c>
      <c r="M245" s="32" t="str">
        <f>IF($B245 = "", "",  VLOOKUP($B245, Propostas!$B:$BE, 46, FALSE) )</f>
        <v/>
      </c>
      <c r="N245" s="32" t="str">
        <f>IF($B245 = "", "",  VLOOKUP($B245, Propostas!$B:$BE, 47, FALSE) )</f>
        <v/>
      </c>
      <c r="O245" s="13" t="str">
        <f>IF($B245="","",IF($C245="SIM", "INFRAESTRUTURA", VLOOKUP($B245, Propostas!$B:$BE,42,FALSE)))</f>
        <v/>
      </c>
      <c r="P245" s="32" t="str">
        <f>IF($B245 = "", "",  VLOOKUP($B245, Propostas!$B:$BE, 49, FALSE) )</f>
        <v/>
      </c>
      <c r="Q245" s="13" t="str">
        <f>IF($B245="","",  VLOOKUP($B245, Propostas!$B:$BE, 39, FALSE) )</f>
        <v/>
      </c>
      <c r="R245" s="81" t="str">
        <f>IF($B245="","",  VLOOKUP($B245, Propostas!$B:$BE, 43, FALSE) )</f>
        <v/>
      </c>
      <c r="S245" s="81" t="str">
        <f>IF($B245="","",  VLOOKUP($B245, Propostas!$B:$BE, 44, FALSE) )</f>
        <v/>
      </c>
      <c r="T245" s="81" t="str">
        <f>IF($B245="","",  VLOOKUP($B245, Propostas!$B:$BE, 45, FALSE) )</f>
        <v/>
      </c>
      <c r="U245" s="32" t="str">
        <f>IF($B245="","",  VLOOKUP($B245, Propostas!$B:$BE, 37, FALSE) )</f>
        <v/>
      </c>
      <c r="V245" s="13" t="str">
        <f>IF($B245="","",  VLOOKUP($B245, Propostas!$B:$BE, 50, FALSE) )</f>
        <v/>
      </c>
      <c r="W245" s="13" t="str">
        <f>IF($B245="","",  VLOOKUP($B245, Propostas!$B:$BE, 51, FALSE) )</f>
        <v/>
      </c>
      <c r="X245" s="13" t="str">
        <f>IF($B245="","",  VLOOKUP($B245, Propostas!$B:$BE, 52, FALSE) )</f>
        <v/>
      </c>
      <c r="Y245" s="13" t="str">
        <f>IF($B245="","",  VLOOKUP($B245, Propostas!$B:$BE, 36, FALSE) )</f>
        <v/>
      </c>
      <c r="Z245" s="13" t="str">
        <f>IF($B245="","",  VLOOKUP($F245, VW_PROJETO!B:C, 2, FALSE) )</f>
        <v/>
      </c>
    </row>
    <row r="246" spans="2:26" x14ac:dyDescent="0.2">
      <c r="B246" s="2"/>
      <c r="C246" s="4" t="str">
        <f>IF($B246="","",  VLOOKUP($B246, Propostas!$B:$BE, 33, FALSE) )</f>
        <v/>
      </c>
      <c r="D246" s="4" t="str">
        <f>IF($B246="","",  VLOOKUP($B246, Propostas!$B:$BE, 34, FALSE) )</f>
        <v/>
      </c>
      <c r="E246" s="4" t="str">
        <f>IF($B246="","",  VLOOKUP($B246, Propostas!$B:$BE, 35, FALSE) )</f>
        <v/>
      </c>
      <c r="F246" s="4" t="str">
        <f>IF($B246="","",  VLOOKUP($B246, Propostas!$B:$BE, 2, FALSE) )</f>
        <v/>
      </c>
      <c r="G246" s="4" t="str">
        <f>IF($B246="","",  VLOOKUP($B246, Propostas!$B:$BE, 3, FALSE) )</f>
        <v/>
      </c>
      <c r="H246" s="4" t="str">
        <f>IF($B246="","",  VLOOKUP($B246, Propostas!$B:$BE, 4, FALSE) )</f>
        <v/>
      </c>
      <c r="I246" s="4" t="str">
        <f>IF($B246="","",  VLOOKUP($B246, Propostas!$B:$BE, 38, FALSE) )</f>
        <v/>
      </c>
      <c r="J246" s="13" t="str">
        <f>IF($B246="","",IF($C246="SIM", "&lt; INFRRAESTRUTURA &gt;", VLOOKUP($B246,Propostas!$B:$BE,41,FALSE)))</f>
        <v/>
      </c>
      <c r="K246" s="10" t="str">
        <f>IF($B246="","",  VLOOKUP($B246, Propostas!$B:$BE, 40, FALSE) )</f>
        <v/>
      </c>
      <c r="L246" s="10" t="str">
        <f>IF($B246="","",IF(VLOOKUP($B246,Propostas!$B:$BE,21,FALSE)=1,"B",IF(VLOOKUP($B246,Propostas!$B:$BE,21,FALSE)=2,"E","N")))</f>
        <v/>
      </c>
      <c r="M246" s="32" t="str">
        <f>IF($B246 = "", "",  VLOOKUP($B246, Propostas!$B:$BE, 46, FALSE) )</f>
        <v/>
      </c>
      <c r="N246" s="32" t="str">
        <f>IF($B246 = "", "",  VLOOKUP($B246, Propostas!$B:$BE, 47, FALSE) )</f>
        <v/>
      </c>
      <c r="O246" s="13" t="str">
        <f>IF($B246="","",IF($C246="SIM", "INFRAESTRUTURA", VLOOKUP($B246, Propostas!$B:$BE,42,FALSE)))</f>
        <v/>
      </c>
      <c r="P246" s="32" t="str">
        <f>IF($B246 = "", "",  VLOOKUP($B246, Propostas!$B:$BE, 49, FALSE) )</f>
        <v/>
      </c>
      <c r="Q246" s="13" t="str">
        <f>IF($B246="","",  VLOOKUP($B246, Propostas!$B:$BE, 39, FALSE) )</f>
        <v/>
      </c>
      <c r="R246" s="81" t="str">
        <f>IF($B246="","",  VLOOKUP($B246, Propostas!$B:$BE, 43, FALSE) )</f>
        <v/>
      </c>
      <c r="S246" s="81" t="str">
        <f>IF($B246="","",  VLOOKUP($B246, Propostas!$B:$BE, 44, FALSE) )</f>
        <v/>
      </c>
      <c r="T246" s="81" t="str">
        <f>IF($B246="","",  VLOOKUP($B246, Propostas!$B:$BE, 45, FALSE) )</f>
        <v/>
      </c>
      <c r="U246" s="32" t="str">
        <f>IF($B246="","",  VLOOKUP($B246, Propostas!$B:$BE, 37, FALSE) )</f>
        <v/>
      </c>
      <c r="V246" s="13" t="str">
        <f>IF($B246="","",  VLOOKUP($B246, Propostas!$B:$BE, 50, FALSE) )</f>
        <v/>
      </c>
      <c r="W246" s="13" t="str">
        <f>IF($B246="","",  VLOOKUP($B246, Propostas!$B:$BE, 51, FALSE) )</f>
        <v/>
      </c>
      <c r="X246" s="13" t="str">
        <f>IF($B246="","",  VLOOKUP($B246, Propostas!$B:$BE, 52, FALSE) )</f>
        <v/>
      </c>
      <c r="Y246" s="13" t="str">
        <f>IF($B246="","",  VLOOKUP($B246, Propostas!$B:$BE, 36, FALSE) )</f>
        <v/>
      </c>
      <c r="Z246" s="13" t="str">
        <f>IF($B246="","",  VLOOKUP($F246, VW_PROJETO!B:C, 2, FALSE) )</f>
        <v/>
      </c>
    </row>
    <row r="247" spans="2:26" x14ac:dyDescent="0.2">
      <c r="B247" s="2"/>
      <c r="C247" s="4" t="str">
        <f>IF($B247="","",  VLOOKUP($B247, Propostas!$B:$BE, 33, FALSE) )</f>
        <v/>
      </c>
      <c r="D247" s="4" t="str">
        <f>IF($B247="","",  VLOOKUP($B247, Propostas!$B:$BE, 34, FALSE) )</f>
        <v/>
      </c>
      <c r="E247" s="4" t="str">
        <f>IF($B247="","",  VLOOKUP($B247, Propostas!$B:$BE, 35, FALSE) )</f>
        <v/>
      </c>
      <c r="F247" s="4" t="str">
        <f>IF($B247="","",  VLOOKUP($B247, Propostas!$B:$BE, 2, FALSE) )</f>
        <v/>
      </c>
      <c r="G247" s="4" t="str">
        <f>IF($B247="","",  VLOOKUP($B247, Propostas!$B:$BE, 3, FALSE) )</f>
        <v/>
      </c>
      <c r="H247" s="4" t="str">
        <f>IF($B247="","",  VLOOKUP($B247, Propostas!$B:$BE, 4, FALSE) )</f>
        <v/>
      </c>
      <c r="I247" s="4" t="str">
        <f>IF($B247="","",  VLOOKUP($B247, Propostas!$B:$BE, 38, FALSE) )</f>
        <v/>
      </c>
      <c r="J247" s="13" t="str">
        <f>IF($B247="","",IF($C247="SIM", "&lt; INFRRAESTRUTURA &gt;", VLOOKUP($B247,Propostas!$B:$BE,41,FALSE)))</f>
        <v/>
      </c>
      <c r="K247" s="10" t="str">
        <f>IF($B247="","",  VLOOKUP($B247, Propostas!$B:$BE, 40, FALSE) )</f>
        <v/>
      </c>
      <c r="L247" s="10" t="str">
        <f>IF($B247="","",IF(VLOOKUP($B247,Propostas!$B:$BE,21,FALSE)=1,"B",IF(VLOOKUP($B247,Propostas!$B:$BE,21,FALSE)=2,"E","N")))</f>
        <v/>
      </c>
      <c r="M247" s="32" t="str">
        <f>IF($B247 = "", "",  VLOOKUP($B247, Propostas!$B:$BE, 46, FALSE) )</f>
        <v/>
      </c>
      <c r="N247" s="32" t="str">
        <f>IF($B247 = "", "",  VLOOKUP($B247, Propostas!$B:$BE, 47, FALSE) )</f>
        <v/>
      </c>
      <c r="O247" s="13" t="str">
        <f>IF($B247="","",IF($C247="SIM", "INFRAESTRUTURA", VLOOKUP($B247, Propostas!$B:$BE,42,FALSE)))</f>
        <v/>
      </c>
      <c r="P247" s="32" t="str">
        <f>IF($B247 = "", "",  VLOOKUP($B247, Propostas!$B:$BE, 49, FALSE) )</f>
        <v/>
      </c>
      <c r="Q247" s="13" t="str">
        <f>IF($B247="","",  VLOOKUP($B247, Propostas!$B:$BE, 39, FALSE) )</f>
        <v/>
      </c>
      <c r="R247" s="81" t="str">
        <f>IF($B247="","",  VLOOKUP($B247, Propostas!$B:$BE, 43, FALSE) )</f>
        <v/>
      </c>
      <c r="S247" s="81" t="str">
        <f>IF($B247="","",  VLOOKUP($B247, Propostas!$B:$BE, 44, FALSE) )</f>
        <v/>
      </c>
      <c r="T247" s="81" t="str">
        <f>IF($B247="","",  VLOOKUP($B247, Propostas!$B:$BE, 45, FALSE) )</f>
        <v/>
      </c>
      <c r="U247" s="32" t="str">
        <f>IF($B247="","",  VLOOKUP($B247, Propostas!$B:$BE, 37, FALSE) )</f>
        <v/>
      </c>
      <c r="V247" s="13" t="str">
        <f>IF($B247="","",  VLOOKUP($B247, Propostas!$B:$BE, 50, FALSE) )</f>
        <v/>
      </c>
      <c r="W247" s="13" t="str">
        <f>IF($B247="","",  VLOOKUP($B247, Propostas!$B:$BE, 51, FALSE) )</f>
        <v/>
      </c>
      <c r="X247" s="13" t="str">
        <f>IF($B247="","",  VLOOKUP($B247, Propostas!$B:$BE, 52, FALSE) )</f>
        <v/>
      </c>
      <c r="Y247" s="13" t="str">
        <f>IF($B247="","",  VLOOKUP($B247, Propostas!$B:$BE, 36, FALSE) )</f>
        <v/>
      </c>
      <c r="Z247" s="13" t="str">
        <f>IF($B247="","",  VLOOKUP($F247, VW_PROJETO!B:C, 2, FALSE) )</f>
        <v/>
      </c>
    </row>
    <row r="248" spans="2:26" x14ac:dyDescent="0.2">
      <c r="B248" s="2"/>
      <c r="C248" s="4" t="str">
        <f>IF($B248="","",  VLOOKUP($B248, Propostas!$B:$BE, 33, FALSE) )</f>
        <v/>
      </c>
      <c r="D248" s="4" t="str">
        <f>IF($B248="","",  VLOOKUP($B248, Propostas!$B:$BE, 34, FALSE) )</f>
        <v/>
      </c>
      <c r="E248" s="4" t="str">
        <f>IF($B248="","",  VLOOKUP($B248, Propostas!$B:$BE, 35, FALSE) )</f>
        <v/>
      </c>
      <c r="F248" s="4" t="str">
        <f>IF($B248="","",  VLOOKUP($B248, Propostas!$B:$BE, 2, FALSE) )</f>
        <v/>
      </c>
      <c r="G248" s="4" t="str">
        <f>IF($B248="","",  VLOOKUP($B248, Propostas!$B:$BE, 3, FALSE) )</f>
        <v/>
      </c>
      <c r="H248" s="4" t="str">
        <f>IF($B248="","",  VLOOKUP($B248, Propostas!$B:$BE, 4, FALSE) )</f>
        <v/>
      </c>
      <c r="I248" s="4" t="str">
        <f>IF($B248="","",  VLOOKUP($B248, Propostas!$B:$BE, 38, FALSE) )</f>
        <v/>
      </c>
      <c r="J248" s="13" t="str">
        <f>IF($B248="","",IF($C248="SIM", "&lt; INFRRAESTRUTURA &gt;", VLOOKUP($B248,Propostas!$B:$BE,41,FALSE)))</f>
        <v/>
      </c>
      <c r="K248" s="10" t="str">
        <f>IF($B248="","",  VLOOKUP($B248, Propostas!$B:$BE, 40, FALSE) )</f>
        <v/>
      </c>
      <c r="L248" s="10" t="str">
        <f>IF($B248="","",IF(VLOOKUP($B248,Propostas!$B:$BE,21,FALSE)=1,"B",IF(VLOOKUP($B248,Propostas!$B:$BE,21,FALSE)=2,"E","N")))</f>
        <v/>
      </c>
      <c r="M248" s="32" t="str">
        <f>IF($B248 = "", "",  VLOOKUP($B248, Propostas!$B:$BE, 46, FALSE) )</f>
        <v/>
      </c>
      <c r="N248" s="32" t="str">
        <f>IF($B248 = "", "",  VLOOKUP($B248, Propostas!$B:$BE, 47, FALSE) )</f>
        <v/>
      </c>
      <c r="O248" s="13" t="str">
        <f>IF($B248="","",IF($C248="SIM", "INFRAESTRUTURA", VLOOKUP($B248, Propostas!$B:$BE,42,FALSE)))</f>
        <v/>
      </c>
      <c r="P248" s="32" t="str">
        <f>IF($B248 = "", "",  VLOOKUP($B248, Propostas!$B:$BE, 49, FALSE) )</f>
        <v/>
      </c>
      <c r="Q248" s="13" t="str">
        <f>IF($B248="","",  VLOOKUP($B248, Propostas!$B:$BE, 39, FALSE) )</f>
        <v/>
      </c>
      <c r="R248" s="81" t="str">
        <f>IF($B248="","",  VLOOKUP($B248, Propostas!$B:$BE, 43, FALSE) )</f>
        <v/>
      </c>
      <c r="S248" s="81" t="str">
        <f>IF($B248="","",  VLOOKUP($B248, Propostas!$B:$BE, 44, FALSE) )</f>
        <v/>
      </c>
      <c r="T248" s="81" t="str">
        <f>IF($B248="","",  VLOOKUP($B248, Propostas!$B:$BE, 45, FALSE) )</f>
        <v/>
      </c>
      <c r="U248" s="32" t="str">
        <f>IF($B248="","",  VLOOKUP($B248, Propostas!$B:$BE, 37, FALSE) )</f>
        <v/>
      </c>
      <c r="V248" s="13" t="str">
        <f>IF($B248="","",  VLOOKUP($B248, Propostas!$B:$BE, 50, FALSE) )</f>
        <v/>
      </c>
      <c r="W248" s="13" t="str">
        <f>IF($B248="","",  VLOOKUP($B248, Propostas!$B:$BE, 51, FALSE) )</f>
        <v/>
      </c>
      <c r="X248" s="13" t="str">
        <f>IF($B248="","",  VLOOKUP($B248, Propostas!$B:$BE, 52, FALSE) )</f>
        <v/>
      </c>
      <c r="Y248" s="13" t="str">
        <f>IF($B248="","",  VLOOKUP($B248, Propostas!$B:$BE, 36, FALSE) )</f>
        <v/>
      </c>
      <c r="Z248" s="13" t="str">
        <f>IF($B248="","",  VLOOKUP($F248, VW_PROJETO!B:C, 2, FALSE) )</f>
        <v/>
      </c>
    </row>
    <row r="249" spans="2:26" x14ac:dyDescent="0.2">
      <c r="B249" s="2"/>
      <c r="C249" s="4" t="str">
        <f>IF($B249="","",  VLOOKUP($B249, Propostas!$B:$BE, 33, FALSE) )</f>
        <v/>
      </c>
      <c r="D249" s="4" t="str">
        <f>IF($B249="","",  VLOOKUP($B249, Propostas!$B:$BE, 34, FALSE) )</f>
        <v/>
      </c>
      <c r="E249" s="4" t="str">
        <f>IF($B249="","",  VLOOKUP($B249, Propostas!$B:$BE, 35, FALSE) )</f>
        <v/>
      </c>
      <c r="F249" s="4" t="str">
        <f>IF($B249="","",  VLOOKUP($B249, Propostas!$B:$BE, 2, FALSE) )</f>
        <v/>
      </c>
      <c r="G249" s="4" t="str">
        <f>IF($B249="","",  VLOOKUP($B249, Propostas!$B:$BE, 3, FALSE) )</f>
        <v/>
      </c>
      <c r="H249" s="4" t="str">
        <f>IF($B249="","",  VLOOKUP($B249, Propostas!$B:$BE, 4, FALSE) )</f>
        <v/>
      </c>
      <c r="I249" s="4" t="str">
        <f>IF($B249="","",  VLOOKUP($B249, Propostas!$B:$BE, 38, FALSE) )</f>
        <v/>
      </c>
      <c r="J249" s="13" t="str">
        <f>IF($B249="","",IF($C249="SIM", "&lt; INFRRAESTRUTURA &gt;", VLOOKUP($B249,Propostas!$B:$BE,41,FALSE)))</f>
        <v/>
      </c>
      <c r="K249" s="10" t="str">
        <f>IF($B249="","",  VLOOKUP($B249, Propostas!$B:$BE, 40, FALSE) )</f>
        <v/>
      </c>
      <c r="L249" s="10" t="str">
        <f>IF($B249="","",IF(VLOOKUP($B249,Propostas!$B:$BE,21,FALSE)=1,"B",IF(VLOOKUP($B249,Propostas!$B:$BE,21,FALSE)=2,"E","N")))</f>
        <v/>
      </c>
      <c r="M249" s="32" t="str">
        <f>IF($B249 = "", "",  VLOOKUP($B249, Propostas!$B:$BE, 46, FALSE) )</f>
        <v/>
      </c>
      <c r="N249" s="32" t="str">
        <f>IF($B249 = "", "",  VLOOKUP($B249, Propostas!$B:$BE, 47, FALSE) )</f>
        <v/>
      </c>
      <c r="O249" s="13" t="str">
        <f>IF($B249="","",IF($C249="SIM", "INFRAESTRUTURA", VLOOKUP($B249, Propostas!$B:$BE,42,FALSE)))</f>
        <v/>
      </c>
      <c r="P249" s="32" t="str">
        <f>IF($B249 = "", "",  VLOOKUP($B249, Propostas!$B:$BE, 49, FALSE) )</f>
        <v/>
      </c>
      <c r="Q249" s="13" t="str">
        <f>IF($B249="","",  VLOOKUP($B249, Propostas!$B:$BE, 39, FALSE) )</f>
        <v/>
      </c>
      <c r="R249" s="81" t="str">
        <f>IF($B249="","",  VLOOKUP($B249, Propostas!$B:$BE, 43, FALSE) )</f>
        <v/>
      </c>
      <c r="S249" s="81" t="str">
        <f>IF($B249="","",  VLOOKUP($B249, Propostas!$B:$BE, 44, FALSE) )</f>
        <v/>
      </c>
      <c r="T249" s="81" t="str">
        <f>IF($B249="","",  VLOOKUP($B249, Propostas!$B:$BE, 45, FALSE) )</f>
        <v/>
      </c>
      <c r="U249" s="32" t="str">
        <f>IF($B249="","",  VLOOKUP($B249, Propostas!$B:$BE, 37, FALSE) )</f>
        <v/>
      </c>
      <c r="V249" s="13" t="str">
        <f>IF($B249="","",  VLOOKUP($B249, Propostas!$B:$BE, 50, FALSE) )</f>
        <v/>
      </c>
      <c r="W249" s="13" t="str">
        <f>IF($B249="","",  VLOOKUP($B249, Propostas!$B:$BE, 51, FALSE) )</f>
        <v/>
      </c>
      <c r="X249" s="13" t="str">
        <f>IF($B249="","",  VLOOKUP($B249, Propostas!$B:$BE, 52, FALSE) )</f>
        <v/>
      </c>
      <c r="Y249" s="13" t="str">
        <f>IF($B249="","",  VLOOKUP($B249, Propostas!$B:$BE, 36, FALSE) )</f>
        <v/>
      </c>
      <c r="Z249" s="13" t="str">
        <f>IF($B249="","",  VLOOKUP($F249, VW_PROJETO!B:C, 2, FALSE) )</f>
        <v/>
      </c>
    </row>
    <row r="250" spans="2:26" x14ac:dyDescent="0.2">
      <c r="B250" s="2"/>
      <c r="C250" s="4" t="str">
        <f>IF($B250="","",  VLOOKUP($B250, Propostas!$B:$BE, 33, FALSE) )</f>
        <v/>
      </c>
      <c r="D250" s="4" t="str">
        <f>IF($B250="","",  VLOOKUP($B250, Propostas!$B:$BE, 34, FALSE) )</f>
        <v/>
      </c>
      <c r="E250" s="4" t="str">
        <f>IF($B250="","",  VLOOKUP($B250, Propostas!$B:$BE, 35, FALSE) )</f>
        <v/>
      </c>
      <c r="F250" s="4" t="str">
        <f>IF($B250="","",  VLOOKUP($B250, Propostas!$B:$BE, 2, FALSE) )</f>
        <v/>
      </c>
      <c r="G250" s="4" t="str">
        <f>IF($B250="","",  VLOOKUP($B250, Propostas!$B:$BE, 3, FALSE) )</f>
        <v/>
      </c>
      <c r="H250" s="4" t="str">
        <f>IF($B250="","",  VLOOKUP($B250, Propostas!$B:$BE, 4, FALSE) )</f>
        <v/>
      </c>
      <c r="I250" s="4" t="str">
        <f>IF($B250="","",  VLOOKUP($B250, Propostas!$B:$BE, 38, FALSE) )</f>
        <v/>
      </c>
      <c r="J250" s="13" t="str">
        <f>IF($B250="","",IF($C250="SIM", "&lt; INFRRAESTRUTURA &gt;", VLOOKUP($B250,Propostas!$B:$BE,41,FALSE)))</f>
        <v/>
      </c>
      <c r="K250" s="10" t="str">
        <f>IF($B250="","",  VLOOKUP($B250, Propostas!$B:$BE, 40, FALSE) )</f>
        <v/>
      </c>
      <c r="L250" s="10" t="str">
        <f>IF($B250="","",IF(VLOOKUP($B250,Propostas!$B:$BE,21,FALSE)=1,"B",IF(VLOOKUP($B250,Propostas!$B:$BE,21,FALSE)=2,"E","N")))</f>
        <v/>
      </c>
      <c r="M250" s="32" t="str">
        <f>IF($B250 = "", "",  VLOOKUP($B250, Propostas!$B:$BE, 46, FALSE) )</f>
        <v/>
      </c>
      <c r="N250" s="32" t="str">
        <f>IF($B250 = "", "",  VLOOKUP($B250, Propostas!$B:$BE, 47, FALSE) )</f>
        <v/>
      </c>
      <c r="O250" s="13" t="str">
        <f>IF($B250="","",IF($C250="SIM", "INFRAESTRUTURA", VLOOKUP($B250, Propostas!$B:$BE,42,FALSE)))</f>
        <v/>
      </c>
      <c r="P250" s="32" t="str">
        <f>IF($B250 = "", "",  VLOOKUP($B250, Propostas!$B:$BE, 49, FALSE) )</f>
        <v/>
      </c>
      <c r="Q250" s="13" t="str">
        <f>IF($B250="","",  VLOOKUP($B250, Propostas!$B:$BE, 39, FALSE) )</f>
        <v/>
      </c>
      <c r="R250" s="81" t="str">
        <f>IF($B250="","",  VLOOKUP($B250, Propostas!$B:$BE, 43, FALSE) )</f>
        <v/>
      </c>
      <c r="S250" s="81" t="str">
        <f>IF($B250="","",  VLOOKUP($B250, Propostas!$B:$BE, 44, FALSE) )</f>
        <v/>
      </c>
      <c r="T250" s="81" t="str">
        <f>IF($B250="","",  VLOOKUP($B250, Propostas!$B:$BE, 45, FALSE) )</f>
        <v/>
      </c>
      <c r="U250" s="32" t="str">
        <f>IF($B250="","",  VLOOKUP($B250, Propostas!$B:$BE, 37, FALSE) )</f>
        <v/>
      </c>
      <c r="V250" s="13" t="str">
        <f>IF($B250="","",  VLOOKUP($B250, Propostas!$B:$BE, 50, FALSE) )</f>
        <v/>
      </c>
      <c r="W250" s="13" t="str">
        <f>IF($B250="","",  VLOOKUP($B250, Propostas!$B:$BE, 51, FALSE) )</f>
        <v/>
      </c>
      <c r="X250" s="13" t="str">
        <f>IF($B250="","",  VLOOKUP($B250, Propostas!$B:$BE, 52, FALSE) )</f>
        <v/>
      </c>
      <c r="Y250" s="13" t="str">
        <f>IF($B250="","",  VLOOKUP($B250, Propostas!$B:$BE, 36, FALSE) )</f>
        <v/>
      </c>
      <c r="Z250" s="13" t="str">
        <f>IF($B250="","",  VLOOKUP($F250, VW_PROJETO!B:C, 2, FALSE) )</f>
        <v/>
      </c>
    </row>
    <row r="251" spans="2:26" x14ac:dyDescent="0.2">
      <c r="B251" s="2"/>
      <c r="C251" s="4" t="str">
        <f>IF($B251="","",  VLOOKUP($B251, Propostas!$B:$BE, 33, FALSE) )</f>
        <v/>
      </c>
      <c r="D251" s="4" t="str">
        <f>IF($B251="","",  VLOOKUP($B251, Propostas!$B:$BE, 34, FALSE) )</f>
        <v/>
      </c>
      <c r="E251" s="4" t="str">
        <f>IF($B251="","",  VLOOKUP($B251, Propostas!$B:$BE, 35, FALSE) )</f>
        <v/>
      </c>
      <c r="F251" s="4" t="str">
        <f>IF($B251="","",  VLOOKUP($B251, Propostas!$B:$BE, 2, FALSE) )</f>
        <v/>
      </c>
      <c r="G251" s="4" t="str">
        <f>IF($B251="","",  VLOOKUP($B251, Propostas!$B:$BE, 3, FALSE) )</f>
        <v/>
      </c>
      <c r="H251" s="4" t="str">
        <f>IF($B251="","",  VLOOKUP($B251, Propostas!$B:$BE, 4, FALSE) )</f>
        <v/>
      </c>
      <c r="I251" s="4" t="str">
        <f>IF($B251="","",  VLOOKUP($B251, Propostas!$B:$BE, 38, FALSE) )</f>
        <v/>
      </c>
      <c r="J251" s="13" t="str">
        <f>IF($B251="","",IF($C251="SIM", "&lt; INFRRAESTRUTURA &gt;", VLOOKUP($B251,Propostas!$B:$BE,41,FALSE)))</f>
        <v/>
      </c>
      <c r="K251" s="10" t="str">
        <f>IF($B251="","",  VLOOKUP($B251, Propostas!$B:$BE, 40, FALSE) )</f>
        <v/>
      </c>
      <c r="L251" s="10" t="str">
        <f>IF($B251="","",IF(VLOOKUP($B251,Propostas!$B:$BE,21,FALSE)=1,"B",IF(VLOOKUP($B251,Propostas!$B:$BE,21,FALSE)=2,"E","N")))</f>
        <v/>
      </c>
      <c r="M251" s="32" t="str">
        <f>IF($B251 = "", "",  VLOOKUP($B251, Propostas!$B:$BE, 46, FALSE) )</f>
        <v/>
      </c>
      <c r="N251" s="32" t="str">
        <f>IF($B251 = "", "",  VLOOKUP($B251, Propostas!$B:$BE, 47, FALSE) )</f>
        <v/>
      </c>
      <c r="O251" s="13" t="str">
        <f>IF($B251="","",IF($C251="SIM", "INFRAESTRUTURA", VLOOKUP($B251, Propostas!$B:$BE,42,FALSE)))</f>
        <v/>
      </c>
      <c r="P251" s="32" t="str">
        <f>IF($B251 = "", "",  VLOOKUP($B251, Propostas!$B:$BE, 49, FALSE) )</f>
        <v/>
      </c>
      <c r="Q251" s="13" t="str">
        <f>IF($B251="","",  VLOOKUP($B251, Propostas!$B:$BE, 39, FALSE) )</f>
        <v/>
      </c>
      <c r="R251" s="81" t="str">
        <f>IF($B251="","",  VLOOKUP($B251, Propostas!$B:$BE, 43, FALSE) )</f>
        <v/>
      </c>
      <c r="S251" s="81" t="str">
        <f>IF($B251="","",  VLOOKUP($B251, Propostas!$B:$BE, 44, FALSE) )</f>
        <v/>
      </c>
      <c r="T251" s="81" t="str">
        <f>IF($B251="","",  VLOOKUP($B251, Propostas!$B:$BE, 45, FALSE) )</f>
        <v/>
      </c>
      <c r="U251" s="32" t="str">
        <f>IF($B251="","",  VLOOKUP($B251, Propostas!$B:$BE, 37, FALSE) )</f>
        <v/>
      </c>
      <c r="V251" s="13" t="str">
        <f>IF($B251="","",  VLOOKUP($B251, Propostas!$B:$BE, 50, FALSE) )</f>
        <v/>
      </c>
      <c r="W251" s="13" t="str">
        <f>IF($B251="","",  VLOOKUP($B251, Propostas!$B:$BE, 51, FALSE) )</f>
        <v/>
      </c>
      <c r="X251" s="13" t="str">
        <f>IF($B251="","",  VLOOKUP($B251, Propostas!$B:$BE, 52, FALSE) )</f>
        <v/>
      </c>
      <c r="Y251" s="13" t="str">
        <f>IF($B251="","",  VLOOKUP($B251, Propostas!$B:$BE, 36, FALSE) )</f>
        <v/>
      </c>
      <c r="Z251" s="13" t="str">
        <f>IF($B251="","",  VLOOKUP($F251, VW_PROJETO!B:C, 2, FALSE) )</f>
        <v/>
      </c>
    </row>
    <row r="252" spans="2:26" x14ac:dyDescent="0.2">
      <c r="B252" s="2"/>
      <c r="C252" s="4" t="str">
        <f>IF($B252="","",  VLOOKUP($B252, Propostas!$B:$BE, 33, FALSE) )</f>
        <v/>
      </c>
      <c r="D252" s="4" t="str">
        <f>IF($B252="","",  VLOOKUP($B252, Propostas!$B:$BE, 34, FALSE) )</f>
        <v/>
      </c>
      <c r="E252" s="4" t="str">
        <f>IF($B252="","",  VLOOKUP($B252, Propostas!$B:$BE, 35, FALSE) )</f>
        <v/>
      </c>
      <c r="F252" s="4" t="str">
        <f>IF($B252="","",  VLOOKUP($B252, Propostas!$B:$BE, 2, FALSE) )</f>
        <v/>
      </c>
      <c r="G252" s="4" t="str">
        <f>IF($B252="","",  VLOOKUP($B252, Propostas!$B:$BE, 3, FALSE) )</f>
        <v/>
      </c>
      <c r="H252" s="4" t="str">
        <f>IF($B252="","",  VLOOKUP($B252, Propostas!$B:$BE, 4, FALSE) )</f>
        <v/>
      </c>
      <c r="I252" s="4" t="str">
        <f>IF($B252="","",  VLOOKUP($B252, Propostas!$B:$BE, 38, FALSE) )</f>
        <v/>
      </c>
      <c r="J252" s="13" t="str">
        <f>IF($B252="","",IF($C252="SIM", "&lt; INFRRAESTRUTURA &gt;", VLOOKUP($B252,Propostas!$B:$BE,41,FALSE)))</f>
        <v/>
      </c>
      <c r="K252" s="10" t="str">
        <f>IF($B252="","",  VLOOKUP($B252, Propostas!$B:$BE, 40, FALSE) )</f>
        <v/>
      </c>
      <c r="L252" s="10" t="str">
        <f>IF($B252="","",IF(VLOOKUP($B252,Propostas!$B:$BE,21,FALSE)=1,"B",IF(VLOOKUP($B252,Propostas!$B:$BE,21,FALSE)=2,"E","N")))</f>
        <v/>
      </c>
      <c r="M252" s="32" t="str">
        <f>IF($B252 = "", "",  VLOOKUP($B252, Propostas!$B:$BE, 46, FALSE) )</f>
        <v/>
      </c>
      <c r="N252" s="32" t="str">
        <f>IF($B252 = "", "",  VLOOKUP($B252, Propostas!$B:$BE, 47, FALSE) )</f>
        <v/>
      </c>
      <c r="O252" s="13" t="str">
        <f>IF($B252="","",IF($C252="SIM", "INFRAESTRUTURA", VLOOKUP($B252, Propostas!$B:$BE,42,FALSE)))</f>
        <v/>
      </c>
      <c r="P252" s="32" t="str">
        <f>IF($B252 = "", "",  VLOOKUP($B252, Propostas!$B:$BE, 49, FALSE) )</f>
        <v/>
      </c>
      <c r="Q252" s="13" t="str">
        <f>IF($B252="","",  VLOOKUP($B252, Propostas!$B:$BE, 39, FALSE) )</f>
        <v/>
      </c>
      <c r="R252" s="81" t="str">
        <f>IF($B252="","",  VLOOKUP($B252, Propostas!$B:$BE, 43, FALSE) )</f>
        <v/>
      </c>
      <c r="S252" s="81" t="str">
        <f>IF($B252="","",  VLOOKUP($B252, Propostas!$B:$BE, 44, FALSE) )</f>
        <v/>
      </c>
      <c r="T252" s="81" t="str">
        <f>IF($B252="","",  VLOOKUP($B252, Propostas!$B:$BE, 45, FALSE) )</f>
        <v/>
      </c>
      <c r="U252" s="32" t="str">
        <f>IF($B252="","",  VLOOKUP($B252, Propostas!$B:$BE, 37, FALSE) )</f>
        <v/>
      </c>
      <c r="V252" s="13" t="str">
        <f>IF($B252="","",  VLOOKUP($B252, Propostas!$B:$BE, 50, FALSE) )</f>
        <v/>
      </c>
      <c r="W252" s="13" t="str">
        <f>IF($B252="","",  VLOOKUP($B252, Propostas!$B:$BE, 51, FALSE) )</f>
        <v/>
      </c>
      <c r="X252" s="13" t="str">
        <f>IF($B252="","",  VLOOKUP($B252, Propostas!$B:$BE, 52, FALSE) )</f>
        <v/>
      </c>
      <c r="Y252" s="13" t="str">
        <f>IF($B252="","",  VLOOKUP($B252, Propostas!$B:$BE, 36, FALSE) )</f>
        <v/>
      </c>
      <c r="Z252" s="13" t="str">
        <f>IF($B252="","",  VLOOKUP($F252, VW_PROJETO!B:C, 2, FALSE) )</f>
        <v/>
      </c>
    </row>
    <row r="253" spans="2:26" x14ac:dyDescent="0.2">
      <c r="B253" s="2"/>
      <c r="C253" s="4" t="str">
        <f>IF($B253="","",  VLOOKUP($B253, Propostas!$B:$BE, 33, FALSE) )</f>
        <v/>
      </c>
      <c r="D253" s="4" t="str">
        <f>IF($B253="","",  VLOOKUP($B253, Propostas!$B:$BE, 34, FALSE) )</f>
        <v/>
      </c>
      <c r="E253" s="4" t="str">
        <f>IF($B253="","",  VLOOKUP($B253, Propostas!$B:$BE, 35, FALSE) )</f>
        <v/>
      </c>
      <c r="F253" s="4" t="str">
        <f>IF($B253="","",  VLOOKUP($B253, Propostas!$B:$BE, 2, FALSE) )</f>
        <v/>
      </c>
      <c r="G253" s="4" t="str">
        <f>IF($B253="","",  VLOOKUP($B253, Propostas!$B:$BE, 3, FALSE) )</f>
        <v/>
      </c>
      <c r="H253" s="4" t="str">
        <f>IF($B253="","",  VLOOKUP($B253, Propostas!$B:$BE, 4, FALSE) )</f>
        <v/>
      </c>
      <c r="I253" s="4" t="str">
        <f>IF($B253="","",  VLOOKUP($B253, Propostas!$B:$BE, 38, FALSE) )</f>
        <v/>
      </c>
      <c r="J253" s="13" t="str">
        <f>IF($B253="","",IF($C253="SIM", "&lt; INFRRAESTRUTURA &gt;", VLOOKUP($B253,Propostas!$B:$BE,41,FALSE)))</f>
        <v/>
      </c>
      <c r="K253" s="10" t="str">
        <f>IF($B253="","",  VLOOKUP($B253, Propostas!$B:$BE, 40, FALSE) )</f>
        <v/>
      </c>
      <c r="L253" s="10" t="str">
        <f>IF($B253="","",IF(VLOOKUP($B253,Propostas!$B:$BE,21,FALSE)=1,"B",IF(VLOOKUP($B253,Propostas!$B:$BE,21,FALSE)=2,"E","N")))</f>
        <v/>
      </c>
      <c r="M253" s="32" t="str">
        <f>IF($B253 = "", "",  VLOOKUP($B253, Propostas!$B:$BE, 46, FALSE) )</f>
        <v/>
      </c>
      <c r="N253" s="32" t="str">
        <f>IF($B253 = "", "",  VLOOKUP($B253, Propostas!$B:$BE, 47, FALSE) )</f>
        <v/>
      </c>
      <c r="O253" s="13" t="str">
        <f>IF($B253="","",IF($C253="SIM", "INFRAESTRUTURA", VLOOKUP($B253, Propostas!$B:$BE,42,FALSE)))</f>
        <v/>
      </c>
      <c r="P253" s="32" t="str">
        <f>IF($B253 = "", "",  VLOOKUP($B253, Propostas!$B:$BE, 49, FALSE) )</f>
        <v/>
      </c>
      <c r="Q253" s="13" t="str">
        <f>IF($B253="","",  VLOOKUP($B253, Propostas!$B:$BE, 39, FALSE) )</f>
        <v/>
      </c>
      <c r="R253" s="81" t="str">
        <f>IF($B253="","",  VLOOKUP($B253, Propostas!$B:$BE, 43, FALSE) )</f>
        <v/>
      </c>
      <c r="S253" s="81" t="str">
        <f>IF($B253="","",  VLOOKUP($B253, Propostas!$B:$BE, 44, FALSE) )</f>
        <v/>
      </c>
      <c r="T253" s="81" t="str">
        <f>IF($B253="","",  VLOOKUP($B253, Propostas!$B:$BE, 45, FALSE) )</f>
        <v/>
      </c>
      <c r="U253" s="32" t="str">
        <f>IF($B253="","",  VLOOKUP($B253, Propostas!$B:$BE, 37, FALSE) )</f>
        <v/>
      </c>
      <c r="V253" s="13" t="str">
        <f>IF($B253="","",  VLOOKUP($B253, Propostas!$B:$BE, 50, FALSE) )</f>
        <v/>
      </c>
      <c r="W253" s="13" t="str">
        <f>IF($B253="","",  VLOOKUP($B253, Propostas!$B:$BE, 51, FALSE) )</f>
        <v/>
      </c>
      <c r="X253" s="13" t="str">
        <f>IF($B253="","",  VLOOKUP($B253, Propostas!$B:$BE, 52, FALSE) )</f>
        <v/>
      </c>
      <c r="Y253" s="13" t="str">
        <f>IF($B253="","",  VLOOKUP($B253, Propostas!$B:$BE, 36, FALSE) )</f>
        <v/>
      </c>
      <c r="Z253" s="13" t="str">
        <f>IF($B253="","",  VLOOKUP($F253, VW_PROJETO!B:C, 2, FALSE) )</f>
        <v/>
      </c>
    </row>
    <row r="254" spans="2:26" x14ac:dyDescent="0.2">
      <c r="B254" s="2"/>
      <c r="C254" s="4" t="str">
        <f>IF($B254="","",  VLOOKUP($B254, Propostas!$B:$BE, 33, FALSE) )</f>
        <v/>
      </c>
      <c r="D254" s="4" t="str">
        <f>IF($B254="","",  VLOOKUP($B254, Propostas!$B:$BE, 34, FALSE) )</f>
        <v/>
      </c>
      <c r="E254" s="4" t="str">
        <f>IF($B254="","",  VLOOKUP($B254, Propostas!$B:$BE, 35, FALSE) )</f>
        <v/>
      </c>
      <c r="F254" s="4" t="str">
        <f>IF($B254="","",  VLOOKUP($B254, Propostas!$B:$BE, 2, FALSE) )</f>
        <v/>
      </c>
      <c r="G254" s="4" t="str">
        <f>IF($B254="","",  VLOOKUP($B254, Propostas!$B:$BE, 3, FALSE) )</f>
        <v/>
      </c>
      <c r="H254" s="4" t="str">
        <f>IF($B254="","",  VLOOKUP($B254, Propostas!$B:$BE, 4, FALSE) )</f>
        <v/>
      </c>
      <c r="I254" s="4" t="str">
        <f>IF($B254="","",  VLOOKUP($B254, Propostas!$B:$BE, 38, FALSE) )</f>
        <v/>
      </c>
      <c r="J254" s="13" t="str">
        <f>IF($B254="","",IF($C254="SIM", "&lt; INFRRAESTRUTURA &gt;", VLOOKUP($B254,Propostas!$B:$BE,41,FALSE)))</f>
        <v/>
      </c>
      <c r="K254" s="10" t="str">
        <f>IF($B254="","",  VLOOKUP($B254, Propostas!$B:$BE, 40, FALSE) )</f>
        <v/>
      </c>
      <c r="L254" s="10" t="str">
        <f>IF($B254="","",IF(VLOOKUP($B254,Propostas!$B:$BE,21,FALSE)=1,"B",IF(VLOOKUP($B254,Propostas!$B:$BE,21,FALSE)=2,"E","N")))</f>
        <v/>
      </c>
      <c r="M254" s="32" t="str">
        <f>IF($B254 = "", "",  VLOOKUP($B254, Propostas!$B:$BE, 46, FALSE) )</f>
        <v/>
      </c>
      <c r="N254" s="32" t="str">
        <f>IF($B254 = "", "",  VLOOKUP($B254, Propostas!$B:$BE, 47, FALSE) )</f>
        <v/>
      </c>
      <c r="O254" s="13" t="str">
        <f>IF($B254="","",IF($C254="SIM", "INFRAESTRUTURA", VLOOKUP($B254, Propostas!$B:$BE,42,FALSE)))</f>
        <v/>
      </c>
      <c r="P254" s="32" t="str">
        <f>IF($B254 = "", "",  VLOOKUP($B254, Propostas!$B:$BE, 49, FALSE) )</f>
        <v/>
      </c>
      <c r="Q254" s="13" t="str">
        <f>IF($B254="","",  VLOOKUP($B254, Propostas!$B:$BE, 39, FALSE) )</f>
        <v/>
      </c>
      <c r="R254" s="81" t="str">
        <f>IF($B254="","",  VLOOKUP($B254, Propostas!$B:$BE, 43, FALSE) )</f>
        <v/>
      </c>
      <c r="S254" s="81" t="str">
        <f>IF($B254="","",  VLOOKUP($B254, Propostas!$B:$BE, 44, FALSE) )</f>
        <v/>
      </c>
      <c r="T254" s="81" t="str">
        <f>IF($B254="","",  VLOOKUP($B254, Propostas!$B:$BE, 45, FALSE) )</f>
        <v/>
      </c>
      <c r="U254" s="32" t="str">
        <f>IF($B254="","",  VLOOKUP($B254, Propostas!$B:$BE, 37, FALSE) )</f>
        <v/>
      </c>
      <c r="V254" s="13" t="str">
        <f>IF($B254="","",  VLOOKUP($B254, Propostas!$B:$BE, 50, FALSE) )</f>
        <v/>
      </c>
      <c r="W254" s="13" t="str">
        <f>IF($B254="","",  VLOOKUP($B254, Propostas!$B:$BE, 51, FALSE) )</f>
        <v/>
      </c>
      <c r="X254" s="13" t="str">
        <f>IF($B254="","",  VLOOKUP($B254, Propostas!$B:$BE, 52, FALSE) )</f>
        <v/>
      </c>
      <c r="Y254" s="13" t="str">
        <f>IF($B254="","",  VLOOKUP($B254, Propostas!$B:$BE, 36, FALSE) )</f>
        <v/>
      </c>
      <c r="Z254" s="13" t="str">
        <f>IF($B254="","",  VLOOKUP($F254, VW_PROJETO!B:C, 2, FALSE) )</f>
        <v/>
      </c>
    </row>
    <row r="255" spans="2:26" x14ac:dyDescent="0.2">
      <c r="B255" s="2"/>
      <c r="C255" s="4" t="str">
        <f>IF($B255="","",  VLOOKUP($B255, Propostas!$B:$BE, 33, FALSE) )</f>
        <v/>
      </c>
      <c r="D255" s="4" t="str">
        <f>IF($B255="","",  VLOOKUP($B255, Propostas!$B:$BE, 34, FALSE) )</f>
        <v/>
      </c>
      <c r="E255" s="4" t="str">
        <f>IF($B255="","",  VLOOKUP($B255, Propostas!$B:$BE, 35, FALSE) )</f>
        <v/>
      </c>
      <c r="F255" s="4" t="str">
        <f>IF($B255="","",  VLOOKUP($B255, Propostas!$B:$BE, 2, FALSE) )</f>
        <v/>
      </c>
      <c r="G255" s="4" t="str">
        <f>IF($B255="","",  VLOOKUP($B255, Propostas!$B:$BE, 3, FALSE) )</f>
        <v/>
      </c>
      <c r="H255" s="4" t="str">
        <f>IF($B255="","",  VLOOKUP($B255, Propostas!$B:$BE, 4, FALSE) )</f>
        <v/>
      </c>
      <c r="I255" s="4" t="str">
        <f>IF($B255="","",  VLOOKUP($B255, Propostas!$B:$BE, 38, FALSE) )</f>
        <v/>
      </c>
      <c r="J255" s="13" t="str">
        <f>IF($B255="","",IF($C255="SIM", "&lt; INFRRAESTRUTURA &gt;", VLOOKUP($B255,Propostas!$B:$BE,41,FALSE)))</f>
        <v/>
      </c>
      <c r="K255" s="10" t="str">
        <f>IF($B255="","",  VLOOKUP($B255, Propostas!$B:$BE, 40, FALSE) )</f>
        <v/>
      </c>
      <c r="L255" s="10" t="str">
        <f>IF($B255="","",IF(VLOOKUP($B255,Propostas!$B:$BE,21,FALSE)=1,"B",IF(VLOOKUP($B255,Propostas!$B:$BE,21,FALSE)=2,"E","N")))</f>
        <v/>
      </c>
      <c r="M255" s="32" t="str">
        <f>IF($B255 = "", "",  VLOOKUP($B255, Propostas!$B:$BE, 46, FALSE) )</f>
        <v/>
      </c>
      <c r="N255" s="32" t="str">
        <f>IF($B255 = "", "",  VLOOKUP($B255, Propostas!$B:$BE, 47, FALSE) )</f>
        <v/>
      </c>
      <c r="O255" s="13" t="str">
        <f>IF($B255="","",IF($C255="SIM", "INFRAESTRUTURA", VLOOKUP($B255, Propostas!$B:$BE,42,FALSE)))</f>
        <v/>
      </c>
      <c r="P255" s="32" t="str">
        <f>IF($B255 = "", "",  VLOOKUP($B255, Propostas!$B:$BE, 49, FALSE) )</f>
        <v/>
      </c>
      <c r="Q255" s="13" t="str">
        <f>IF($B255="","",  VLOOKUP($B255, Propostas!$B:$BE, 39, FALSE) )</f>
        <v/>
      </c>
      <c r="R255" s="81" t="str">
        <f>IF($B255="","",  VLOOKUP($B255, Propostas!$B:$BE, 43, FALSE) )</f>
        <v/>
      </c>
      <c r="S255" s="81" t="str">
        <f>IF($B255="","",  VLOOKUP($B255, Propostas!$B:$BE, 44, FALSE) )</f>
        <v/>
      </c>
      <c r="T255" s="81" t="str">
        <f>IF($B255="","",  VLOOKUP($B255, Propostas!$B:$BE, 45, FALSE) )</f>
        <v/>
      </c>
      <c r="U255" s="32" t="str">
        <f>IF($B255="","",  VLOOKUP($B255, Propostas!$B:$BE, 37, FALSE) )</f>
        <v/>
      </c>
      <c r="V255" s="13" t="str">
        <f>IF($B255="","",  VLOOKUP($B255, Propostas!$B:$BE, 50, FALSE) )</f>
        <v/>
      </c>
      <c r="W255" s="13" t="str">
        <f>IF($B255="","",  VLOOKUP($B255, Propostas!$B:$BE, 51, FALSE) )</f>
        <v/>
      </c>
      <c r="X255" s="13" t="str">
        <f>IF($B255="","",  VLOOKUP($B255, Propostas!$B:$BE, 52, FALSE) )</f>
        <v/>
      </c>
      <c r="Y255" s="13" t="str">
        <f>IF($B255="","",  VLOOKUP($B255, Propostas!$B:$BE, 36, FALSE) )</f>
        <v/>
      </c>
      <c r="Z255" s="13" t="str">
        <f>IF($B255="","",  VLOOKUP($F255, VW_PROJETO!B:C, 2, FALSE) )</f>
        <v/>
      </c>
    </row>
    <row r="256" spans="2:26" x14ac:dyDescent="0.2">
      <c r="B256" s="2"/>
      <c r="C256" s="4" t="str">
        <f>IF($B256="","",  VLOOKUP($B256, Propostas!$B:$BE, 33, FALSE) )</f>
        <v/>
      </c>
      <c r="D256" s="4" t="str">
        <f>IF($B256="","",  VLOOKUP($B256, Propostas!$B:$BE, 34, FALSE) )</f>
        <v/>
      </c>
      <c r="E256" s="4" t="str">
        <f>IF($B256="","",  VLOOKUP($B256, Propostas!$B:$BE, 35, FALSE) )</f>
        <v/>
      </c>
      <c r="F256" s="4" t="str">
        <f>IF($B256="","",  VLOOKUP($B256, Propostas!$B:$BE, 2, FALSE) )</f>
        <v/>
      </c>
      <c r="G256" s="4" t="str">
        <f>IF($B256="","",  VLOOKUP($B256, Propostas!$B:$BE, 3, FALSE) )</f>
        <v/>
      </c>
      <c r="H256" s="4" t="str">
        <f>IF($B256="","",  VLOOKUP($B256, Propostas!$B:$BE, 4, FALSE) )</f>
        <v/>
      </c>
      <c r="I256" s="4" t="str">
        <f>IF($B256="","",  VLOOKUP($B256, Propostas!$B:$BE, 38, FALSE) )</f>
        <v/>
      </c>
      <c r="J256" s="13" t="str">
        <f>IF($B256="","",IF($C256="SIM", "&lt; INFRRAESTRUTURA &gt;", VLOOKUP($B256,Propostas!$B:$BE,41,FALSE)))</f>
        <v/>
      </c>
      <c r="K256" s="10" t="str">
        <f>IF($B256="","",  VLOOKUP($B256, Propostas!$B:$BE, 40, FALSE) )</f>
        <v/>
      </c>
      <c r="L256" s="10" t="str">
        <f>IF($B256="","",IF(VLOOKUP($B256,Propostas!$B:$BE,21,FALSE)=1,"B",IF(VLOOKUP($B256,Propostas!$B:$BE,21,FALSE)=2,"E","N")))</f>
        <v/>
      </c>
      <c r="M256" s="32" t="str">
        <f>IF($B256 = "", "",  VLOOKUP($B256, Propostas!$B:$BE, 46, FALSE) )</f>
        <v/>
      </c>
      <c r="N256" s="32" t="str">
        <f>IF($B256 = "", "",  VLOOKUP($B256, Propostas!$B:$BE, 47, FALSE) )</f>
        <v/>
      </c>
      <c r="O256" s="13" t="str">
        <f>IF($B256="","",IF($C256="SIM", "INFRAESTRUTURA", VLOOKUP($B256, Propostas!$B:$BE,42,FALSE)))</f>
        <v/>
      </c>
      <c r="P256" s="32" t="str">
        <f>IF($B256 = "", "",  VLOOKUP($B256, Propostas!$B:$BE, 49, FALSE) )</f>
        <v/>
      </c>
      <c r="Q256" s="13" t="str">
        <f>IF($B256="","",  VLOOKUP($B256, Propostas!$B:$BE, 39, FALSE) )</f>
        <v/>
      </c>
      <c r="R256" s="81" t="str">
        <f>IF($B256="","",  VLOOKUP($B256, Propostas!$B:$BE, 43, FALSE) )</f>
        <v/>
      </c>
      <c r="S256" s="81" t="str">
        <f>IF($B256="","",  VLOOKUP($B256, Propostas!$B:$BE, 44, FALSE) )</f>
        <v/>
      </c>
      <c r="T256" s="81" t="str">
        <f>IF($B256="","",  VLOOKUP($B256, Propostas!$B:$BE, 45, FALSE) )</f>
        <v/>
      </c>
      <c r="U256" s="32" t="str">
        <f>IF($B256="","",  VLOOKUP($B256, Propostas!$B:$BE, 37, FALSE) )</f>
        <v/>
      </c>
      <c r="V256" s="13" t="str">
        <f>IF($B256="","",  VLOOKUP($B256, Propostas!$B:$BE, 50, FALSE) )</f>
        <v/>
      </c>
      <c r="W256" s="13" t="str">
        <f>IF($B256="","",  VLOOKUP($B256, Propostas!$B:$BE, 51, FALSE) )</f>
        <v/>
      </c>
      <c r="X256" s="13" t="str">
        <f>IF($B256="","",  VLOOKUP($B256, Propostas!$B:$BE, 52, FALSE) )</f>
        <v/>
      </c>
      <c r="Y256" s="13" t="str">
        <f>IF($B256="","",  VLOOKUP($B256, Propostas!$B:$BE, 36, FALSE) )</f>
        <v/>
      </c>
      <c r="Z256" s="13" t="str">
        <f>IF($B256="","",  VLOOKUP($F256, VW_PROJETO!B:C, 2, FALSE) )</f>
        <v/>
      </c>
    </row>
    <row r="257" spans="2:26" x14ac:dyDescent="0.2">
      <c r="B257" s="2"/>
      <c r="C257" s="4" t="str">
        <f>IF($B257="","",  VLOOKUP($B257, Propostas!$B:$BE, 33, FALSE) )</f>
        <v/>
      </c>
      <c r="D257" s="4" t="str">
        <f>IF($B257="","",  VLOOKUP($B257, Propostas!$B:$BE, 34, FALSE) )</f>
        <v/>
      </c>
      <c r="E257" s="4" t="str">
        <f>IF($B257="","",  VLOOKUP($B257, Propostas!$B:$BE, 35, FALSE) )</f>
        <v/>
      </c>
      <c r="F257" s="4" t="str">
        <f>IF($B257="","",  VLOOKUP($B257, Propostas!$B:$BE, 2, FALSE) )</f>
        <v/>
      </c>
      <c r="G257" s="4" t="str">
        <f>IF($B257="","",  VLOOKUP($B257, Propostas!$B:$BE, 3, FALSE) )</f>
        <v/>
      </c>
      <c r="H257" s="4" t="str">
        <f>IF($B257="","",  VLOOKUP($B257, Propostas!$B:$BE, 4, FALSE) )</f>
        <v/>
      </c>
      <c r="I257" s="4" t="str">
        <f>IF($B257="","",  VLOOKUP($B257, Propostas!$B:$BE, 38, FALSE) )</f>
        <v/>
      </c>
      <c r="J257" s="13" t="str">
        <f>IF($B257="","",IF($C257="SIM", "&lt; INFRRAESTRUTURA &gt;", VLOOKUP($B257,Propostas!$B:$BE,41,FALSE)))</f>
        <v/>
      </c>
      <c r="K257" s="10" t="str">
        <f>IF($B257="","",  VLOOKUP($B257, Propostas!$B:$BE, 40, FALSE) )</f>
        <v/>
      </c>
      <c r="L257" s="10" t="str">
        <f>IF($B257="","",IF(VLOOKUP($B257,Propostas!$B:$BE,21,FALSE)=1,"B",IF(VLOOKUP($B257,Propostas!$B:$BE,21,FALSE)=2,"E","N")))</f>
        <v/>
      </c>
      <c r="M257" s="32" t="str">
        <f>IF($B257 = "", "",  VLOOKUP($B257, Propostas!$B:$BE, 46, FALSE) )</f>
        <v/>
      </c>
      <c r="N257" s="32" t="str">
        <f>IF($B257 = "", "",  VLOOKUP($B257, Propostas!$B:$BE, 47, FALSE) )</f>
        <v/>
      </c>
      <c r="O257" s="13" t="str">
        <f>IF($B257="","",IF($C257="SIM", "INFRAESTRUTURA", VLOOKUP($B257, Propostas!$B:$BE,42,FALSE)))</f>
        <v/>
      </c>
      <c r="P257" s="32" t="str">
        <f>IF($B257 = "", "",  VLOOKUP($B257, Propostas!$B:$BE, 49, FALSE) )</f>
        <v/>
      </c>
      <c r="Q257" s="13" t="str">
        <f>IF($B257="","",  VLOOKUP($B257, Propostas!$B:$BE, 39, FALSE) )</f>
        <v/>
      </c>
      <c r="R257" s="81" t="str">
        <f>IF($B257="","",  VLOOKUP($B257, Propostas!$B:$BE, 43, FALSE) )</f>
        <v/>
      </c>
      <c r="S257" s="81" t="str">
        <f>IF($B257="","",  VLOOKUP($B257, Propostas!$B:$BE, 44, FALSE) )</f>
        <v/>
      </c>
      <c r="T257" s="81" t="str">
        <f>IF($B257="","",  VLOOKUP($B257, Propostas!$B:$BE, 45, FALSE) )</f>
        <v/>
      </c>
      <c r="U257" s="32" t="str">
        <f>IF($B257="","",  VLOOKUP($B257, Propostas!$B:$BE, 37, FALSE) )</f>
        <v/>
      </c>
      <c r="V257" s="13" t="str">
        <f>IF($B257="","",  VLOOKUP($B257, Propostas!$B:$BE, 50, FALSE) )</f>
        <v/>
      </c>
      <c r="W257" s="13" t="str">
        <f>IF($B257="","",  VLOOKUP($B257, Propostas!$B:$BE, 51, FALSE) )</f>
        <v/>
      </c>
      <c r="X257" s="13" t="str">
        <f>IF($B257="","",  VLOOKUP($B257, Propostas!$B:$BE, 52, FALSE) )</f>
        <v/>
      </c>
      <c r="Y257" s="13" t="str">
        <f>IF($B257="","",  VLOOKUP($B257, Propostas!$B:$BE, 36, FALSE) )</f>
        <v/>
      </c>
      <c r="Z257" s="13" t="str">
        <f>IF($B257="","",  VLOOKUP($F257, VW_PROJETO!B:C, 2, FALSE) )</f>
        <v/>
      </c>
    </row>
    <row r="258" spans="2:26" x14ac:dyDescent="0.2">
      <c r="B258" s="2"/>
      <c r="C258" s="4" t="str">
        <f>IF($B258="","",  VLOOKUP($B258, Propostas!$B:$BE, 33, FALSE) )</f>
        <v/>
      </c>
      <c r="D258" s="4" t="str">
        <f>IF($B258="","",  VLOOKUP($B258, Propostas!$B:$BE, 34, FALSE) )</f>
        <v/>
      </c>
      <c r="E258" s="4" t="str">
        <f>IF($B258="","",  VLOOKUP($B258, Propostas!$B:$BE, 35, FALSE) )</f>
        <v/>
      </c>
      <c r="F258" s="4" t="str">
        <f>IF($B258="","",  VLOOKUP($B258, Propostas!$B:$BE, 2, FALSE) )</f>
        <v/>
      </c>
      <c r="G258" s="4" t="str">
        <f>IF($B258="","",  VLOOKUP($B258, Propostas!$B:$BE, 3, FALSE) )</f>
        <v/>
      </c>
      <c r="H258" s="4" t="str">
        <f>IF($B258="","",  VLOOKUP($B258, Propostas!$B:$BE, 4, FALSE) )</f>
        <v/>
      </c>
      <c r="I258" s="4" t="str">
        <f>IF($B258="","",  VLOOKUP($B258, Propostas!$B:$BE, 38, FALSE) )</f>
        <v/>
      </c>
      <c r="J258" s="13" t="str">
        <f>IF($B258="","",IF($C258="SIM", "&lt; INFRRAESTRUTURA &gt;", VLOOKUP($B258,Propostas!$B:$BE,41,FALSE)))</f>
        <v/>
      </c>
      <c r="K258" s="10" t="str">
        <f>IF($B258="","",  VLOOKUP($B258, Propostas!$B:$BE, 40, FALSE) )</f>
        <v/>
      </c>
      <c r="L258" s="10" t="str">
        <f>IF($B258="","",IF(VLOOKUP($B258,Propostas!$B:$BE,21,FALSE)=1,"B",IF(VLOOKUP($B258,Propostas!$B:$BE,21,FALSE)=2,"E","N")))</f>
        <v/>
      </c>
      <c r="M258" s="32" t="str">
        <f>IF($B258 = "", "",  VLOOKUP($B258, Propostas!$B:$BE, 46, FALSE) )</f>
        <v/>
      </c>
      <c r="N258" s="32" t="str">
        <f>IF($B258 = "", "",  VLOOKUP($B258, Propostas!$B:$BE, 47, FALSE) )</f>
        <v/>
      </c>
      <c r="O258" s="13" t="str">
        <f>IF($B258="","",IF($C258="SIM", "INFRAESTRUTURA", VLOOKUP($B258, Propostas!$B:$BE,42,FALSE)))</f>
        <v/>
      </c>
      <c r="P258" s="32" t="str">
        <f>IF($B258 = "", "",  VLOOKUP($B258, Propostas!$B:$BE, 49, FALSE) )</f>
        <v/>
      </c>
      <c r="Q258" s="13" t="str">
        <f>IF($B258="","",  VLOOKUP($B258, Propostas!$B:$BE, 39, FALSE) )</f>
        <v/>
      </c>
      <c r="R258" s="81" t="str">
        <f>IF($B258="","",  VLOOKUP($B258, Propostas!$B:$BE, 43, FALSE) )</f>
        <v/>
      </c>
      <c r="S258" s="81" t="str">
        <f>IF($B258="","",  VLOOKUP($B258, Propostas!$B:$BE, 44, FALSE) )</f>
        <v/>
      </c>
      <c r="T258" s="81" t="str">
        <f>IF($B258="","",  VLOOKUP($B258, Propostas!$B:$BE, 45, FALSE) )</f>
        <v/>
      </c>
      <c r="U258" s="32" t="str">
        <f>IF($B258="","",  VLOOKUP($B258, Propostas!$B:$BE, 37, FALSE) )</f>
        <v/>
      </c>
      <c r="V258" s="13" t="str">
        <f>IF($B258="","",  VLOOKUP($B258, Propostas!$B:$BE, 50, FALSE) )</f>
        <v/>
      </c>
      <c r="W258" s="13" t="str">
        <f>IF($B258="","",  VLOOKUP($B258, Propostas!$B:$BE, 51, FALSE) )</f>
        <v/>
      </c>
      <c r="X258" s="13" t="str">
        <f>IF($B258="","",  VLOOKUP($B258, Propostas!$B:$BE, 52, FALSE) )</f>
        <v/>
      </c>
      <c r="Y258" s="13" t="str">
        <f>IF($B258="","",  VLOOKUP($B258, Propostas!$B:$BE, 36, FALSE) )</f>
        <v/>
      </c>
      <c r="Z258" s="13" t="str">
        <f>IF($B258="","",  VLOOKUP($F258, VW_PROJETO!B:C, 2, FALSE) )</f>
        <v/>
      </c>
    </row>
    <row r="259" spans="2:26" x14ac:dyDescent="0.2">
      <c r="B259" s="2"/>
      <c r="C259" s="4" t="str">
        <f>IF($B259="","",  VLOOKUP($B259, Propostas!$B:$BE, 33, FALSE) )</f>
        <v/>
      </c>
      <c r="D259" s="4" t="str">
        <f>IF($B259="","",  VLOOKUP($B259, Propostas!$B:$BE, 34, FALSE) )</f>
        <v/>
      </c>
      <c r="E259" s="4" t="str">
        <f>IF($B259="","",  VLOOKUP($B259, Propostas!$B:$BE, 35, FALSE) )</f>
        <v/>
      </c>
      <c r="F259" s="4" t="str">
        <f>IF($B259="","",  VLOOKUP($B259, Propostas!$B:$BE, 2, FALSE) )</f>
        <v/>
      </c>
      <c r="G259" s="4" t="str">
        <f>IF($B259="","",  VLOOKUP($B259, Propostas!$B:$BE, 3, FALSE) )</f>
        <v/>
      </c>
      <c r="H259" s="4" t="str">
        <f>IF($B259="","",  VLOOKUP($B259, Propostas!$B:$BE, 4, FALSE) )</f>
        <v/>
      </c>
      <c r="I259" s="4" t="str">
        <f>IF($B259="","",  VLOOKUP($B259, Propostas!$B:$BE, 38, FALSE) )</f>
        <v/>
      </c>
      <c r="J259" s="13" t="str">
        <f>IF($B259="","",IF($C259="SIM", "&lt; INFRRAESTRUTURA &gt;", VLOOKUP($B259,Propostas!$B:$BE,41,FALSE)))</f>
        <v/>
      </c>
      <c r="K259" s="10" t="str">
        <f>IF($B259="","",  VLOOKUP($B259, Propostas!$B:$BE, 40, FALSE) )</f>
        <v/>
      </c>
      <c r="L259" s="10" t="str">
        <f>IF($B259="","",IF(VLOOKUP($B259,Propostas!$B:$BE,21,FALSE)=1,"B",IF(VLOOKUP($B259,Propostas!$B:$BE,21,FALSE)=2,"E","N")))</f>
        <v/>
      </c>
      <c r="M259" s="32" t="str">
        <f>IF($B259 = "", "",  VLOOKUP($B259, Propostas!$B:$BE, 46, FALSE) )</f>
        <v/>
      </c>
      <c r="N259" s="32" t="str">
        <f>IF($B259 = "", "",  VLOOKUP($B259, Propostas!$B:$BE, 47, FALSE) )</f>
        <v/>
      </c>
      <c r="O259" s="13" t="str">
        <f>IF($B259="","",IF($C259="SIM", "INFRAESTRUTURA", VLOOKUP($B259, Propostas!$B:$BE,42,FALSE)))</f>
        <v/>
      </c>
      <c r="P259" s="32" t="str">
        <f>IF($B259 = "", "",  VLOOKUP($B259, Propostas!$B:$BE, 49, FALSE) )</f>
        <v/>
      </c>
      <c r="Q259" s="13" t="str">
        <f>IF($B259="","",  VLOOKUP($B259, Propostas!$B:$BE, 39, FALSE) )</f>
        <v/>
      </c>
      <c r="R259" s="81" t="str">
        <f>IF($B259="","",  VLOOKUP($B259, Propostas!$B:$BE, 43, FALSE) )</f>
        <v/>
      </c>
      <c r="S259" s="81" t="str">
        <f>IF($B259="","",  VLOOKUP($B259, Propostas!$B:$BE, 44, FALSE) )</f>
        <v/>
      </c>
      <c r="T259" s="81" t="str">
        <f>IF($B259="","",  VLOOKUP($B259, Propostas!$B:$BE, 45, FALSE) )</f>
        <v/>
      </c>
      <c r="U259" s="32" t="str">
        <f>IF($B259="","",  VLOOKUP($B259, Propostas!$B:$BE, 37, FALSE) )</f>
        <v/>
      </c>
      <c r="V259" s="13" t="str">
        <f>IF($B259="","",  VLOOKUP($B259, Propostas!$B:$BE, 50, FALSE) )</f>
        <v/>
      </c>
      <c r="W259" s="13" t="str">
        <f>IF($B259="","",  VLOOKUP($B259, Propostas!$B:$BE, 51, FALSE) )</f>
        <v/>
      </c>
      <c r="X259" s="13" t="str">
        <f>IF($B259="","",  VLOOKUP($B259, Propostas!$B:$BE, 52, FALSE) )</f>
        <v/>
      </c>
      <c r="Y259" s="13" t="str">
        <f>IF($B259="","",  VLOOKUP($B259, Propostas!$B:$BE, 36, FALSE) )</f>
        <v/>
      </c>
      <c r="Z259" s="13" t="str">
        <f>IF($B259="","",  VLOOKUP($F259, VW_PROJETO!B:C, 2, FALSE) )</f>
        <v/>
      </c>
    </row>
    <row r="260" spans="2:26" x14ac:dyDescent="0.2">
      <c r="B260" s="2"/>
      <c r="C260" s="4" t="str">
        <f>IF($B260="","",  VLOOKUP($B260, Propostas!$B:$BE, 33, FALSE) )</f>
        <v/>
      </c>
      <c r="D260" s="4" t="str">
        <f>IF($B260="","",  VLOOKUP($B260, Propostas!$B:$BE, 34, FALSE) )</f>
        <v/>
      </c>
      <c r="E260" s="4" t="str">
        <f>IF($B260="","",  VLOOKUP($B260, Propostas!$B:$BE, 35, FALSE) )</f>
        <v/>
      </c>
      <c r="F260" s="4" t="str">
        <f>IF($B260="","",  VLOOKUP($B260, Propostas!$B:$BE, 2, FALSE) )</f>
        <v/>
      </c>
      <c r="G260" s="4" t="str">
        <f>IF($B260="","",  VLOOKUP($B260, Propostas!$B:$BE, 3, FALSE) )</f>
        <v/>
      </c>
      <c r="H260" s="4" t="str">
        <f>IF($B260="","",  VLOOKUP($B260, Propostas!$B:$BE, 4, FALSE) )</f>
        <v/>
      </c>
      <c r="I260" s="4" t="str">
        <f>IF($B260="","",  VLOOKUP($B260, Propostas!$B:$BE, 38, FALSE) )</f>
        <v/>
      </c>
      <c r="J260" s="13" t="str">
        <f>IF($B260="","",IF($C260="SIM", "&lt; INFRRAESTRUTURA &gt;", VLOOKUP($B260,Propostas!$B:$BE,41,FALSE)))</f>
        <v/>
      </c>
      <c r="K260" s="10" t="str">
        <f>IF($B260="","",  VLOOKUP($B260, Propostas!$B:$BE, 40, FALSE) )</f>
        <v/>
      </c>
      <c r="L260" s="10" t="str">
        <f>IF($B260="","",IF(VLOOKUP($B260,Propostas!$B:$BE,21,FALSE)=1,"B",IF(VLOOKUP($B260,Propostas!$B:$BE,21,FALSE)=2,"E","N")))</f>
        <v/>
      </c>
      <c r="M260" s="32" t="str">
        <f>IF($B260 = "", "",  VLOOKUP($B260, Propostas!$B:$BE, 46, FALSE) )</f>
        <v/>
      </c>
      <c r="N260" s="32" t="str">
        <f>IF($B260 = "", "",  VLOOKUP($B260, Propostas!$B:$BE, 47, FALSE) )</f>
        <v/>
      </c>
      <c r="O260" s="13" t="str">
        <f>IF($B260="","",IF($C260="SIM", "INFRAESTRUTURA", VLOOKUP($B260, Propostas!$B:$BE,42,FALSE)))</f>
        <v/>
      </c>
      <c r="P260" s="32" t="str">
        <f>IF($B260 = "", "",  VLOOKUP($B260, Propostas!$B:$BE, 49, FALSE) )</f>
        <v/>
      </c>
      <c r="Q260" s="13" t="str">
        <f>IF($B260="","",  VLOOKUP($B260, Propostas!$B:$BE, 39, FALSE) )</f>
        <v/>
      </c>
      <c r="R260" s="81" t="str">
        <f>IF($B260="","",  VLOOKUP($B260, Propostas!$B:$BE, 43, FALSE) )</f>
        <v/>
      </c>
      <c r="S260" s="81" t="str">
        <f>IF($B260="","",  VLOOKUP($B260, Propostas!$B:$BE, 44, FALSE) )</f>
        <v/>
      </c>
      <c r="T260" s="81" t="str">
        <f>IF($B260="","",  VLOOKUP($B260, Propostas!$B:$BE, 45, FALSE) )</f>
        <v/>
      </c>
      <c r="U260" s="32" t="str">
        <f>IF($B260="","",  VLOOKUP($B260, Propostas!$B:$BE, 37, FALSE) )</f>
        <v/>
      </c>
      <c r="V260" s="13" t="str">
        <f>IF($B260="","",  VLOOKUP($B260, Propostas!$B:$BE, 50, FALSE) )</f>
        <v/>
      </c>
      <c r="W260" s="13" t="str">
        <f>IF($B260="","",  VLOOKUP($B260, Propostas!$B:$BE, 51, FALSE) )</f>
        <v/>
      </c>
      <c r="X260" s="13" t="str">
        <f>IF($B260="","",  VLOOKUP($B260, Propostas!$B:$BE, 52, FALSE) )</f>
        <v/>
      </c>
      <c r="Y260" s="13" t="str">
        <f>IF($B260="","",  VLOOKUP($B260, Propostas!$B:$BE, 36, FALSE) )</f>
        <v/>
      </c>
      <c r="Z260" s="13" t="str">
        <f>IF($B260="","",  VLOOKUP($F260, VW_PROJETO!B:C, 2, FALSE) )</f>
        <v/>
      </c>
    </row>
    <row r="261" spans="2:26" x14ac:dyDescent="0.2">
      <c r="B261" s="2"/>
      <c r="C261" s="4" t="str">
        <f>IF($B261="","",  VLOOKUP($B261, Propostas!$B:$BE, 33, FALSE) )</f>
        <v/>
      </c>
      <c r="D261" s="4" t="str">
        <f>IF($B261="","",  VLOOKUP($B261, Propostas!$B:$BE, 34, FALSE) )</f>
        <v/>
      </c>
      <c r="E261" s="4" t="str">
        <f>IF($B261="","",  VLOOKUP($B261, Propostas!$B:$BE, 35, FALSE) )</f>
        <v/>
      </c>
      <c r="F261" s="4" t="str">
        <f>IF($B261="","",  VLOOKUP($B261, Propostas!$B:$BE, 2, FALSE) )</f>
        <v/>
      </c>
      <c r="G261" s="4" t="str">
        <f>IF($B261="","",  VLOOKUP($B261, Propostas!$B:$BE, 3, FALSE) )</f>
        <v/>
      </c>
      <c r="H261" s="4" t="str">
        <f>IF($B261="","",  VLOOKUP($B261, Propostas!$B:$BE, 4, FALSE) )</f>
        <v/>
      </c>
      <c r="I261" s="4" t="str">
        <f>IF($B261="","",  VLOOKUP($B261, Propostas!$B:$BE, 38, FALSE) )</f>
        <v/>
      </c>
      <c r="J261" s="13" t="str">
        <f>IF($B261="","",IF($C261="SIM", "&lt; INFRRAESTRUTURA &gt;", VLOOKUP($B261,Propostas!$B:$BE,41,FALSE)))</f>
        <v/>
      </c>
      <c r="K261" s="10" t="str">
        <f>IF($B261="","",  VLOOKUP($B261, Propostas!$B:$BE, 40, FALSE) )</f>
        <v/>
      </c>
      <c r="L261" s="10" t="str">
        <f>IF($B261="","",IF(VLOOKUP($B261,Propostas!$B:$BE,21,FALSE)=1,"B",IF(VLOOKUP($B261,Propostas!$B:$BE,21,FALSE)=2,"E","N")))</f>
        <v/>
      </c>
      <c r="M261" s="32" t="str">
        <f>IF($B261 = "", "",  VLOOKUP($B261, Propostas!$B:$BE, 46, FALSE) )</f>
        <v/>
      </c>
      <c r="N261" s="32" t="str">
        <f>IF($B261 = "", "",  VLOOKUP($B261, Propostas!$B:$BE, 47, FALSE) )</f>
        <v/>
      </c>
      <c r="O261" s="13" t="str">
        <f>IF($B261="","",IF($C261="SIM", "INFRAESTRUTURA", VLOOKUP($B261, Propostas!$B:$BE,42,FALSE)))</f>
        <v/>
      </c>
      <c r="P261" s="32" t="str">
        <f>IF($B261 = "", "",  VLOOKUP($B261, Propostas!$B:$BE, 49, FALSE) )</f>
        <v/>
      </c>
      <c r="Q261" s="13" t="str">
        <f>IF($B261="","",  VLOOKUP($B261, Propostas!$B:$BE, 39, FALSE) )</f>
        <v/>
      </c>
      <c r="R261" s="81" t="str">
        <f>IF($B261="","",  VLOOKUP($B261, Propostas!$B:$BE, 43, FALSE) )</f>
        <v/>
      </c>
      <c r="S261" s="81" t="str">
        <f>IF($B261="","",  VLOOKUP($B261, Propostas!$B:$BE, 44, FALSE) )</f>
        <v/>
      </c>
      <c r="T261" s="81" t="str">
        <f>IF($B261="","",  VLOOKUP($B261, Propostas!$B:$BE, 45, FALSE) )</f>
        <v/>
      </c>
      <c r="U261" s="32" t="str">
        <f>IF($B261="","",  VLOOKUP($B261, Propostas!$B:$BE, 37, FALSE) )</f>
        <v/>
      </c>
      <c r="V261" s="13" t="str">
        <f>IF($B261="","",  VLOOKUP($B261, Propostas!$B:$BE, 50, FALSE) )</f>
        <v/>
      </c>
      <c r="W261" s="13" t="str">
        <f>IF($B261="","",  VLOOKUP($B261, Propostas!$B:$BE, 51, FALSE) )</f>
        <v/>
      </c>
      <c r="X261" s="13" t="str">
        <f>IF($B261="","",  VLOOKUP($B261, Propostas!$B:$BE, 52, FALSE) )</f>
        <v/>
      </c>
      <c r="Y261" s="13" t="str">
        <f>IF($B261="","",  VLOOKUP($B261, Propostas!$B:$BE, 36, FALSE) )</f>
        <v/>
      </c>
      <c r="Z261" s="13" t="str">
        <f>IF($B261="","",  VLOOKUP($F261, VW_PROJETO!B:C, 2, FALSE) )</f>
        <v/>
      </c>
    </row>
    <row r="262" spans="2:26" x14ac:dyDescent="0.2">
      <c r="B262" s="2"/>
      <c r="C262" s="4" t="str">
        <f>IF($B262="","",  VLOOKUP($B262, Propostas!$B:$BE, 33, FALSE) )</f>
        <v/>
      </c>
      <c r="D262" s="4" t="str">
        <f>IF($B262="","",  VLOOKUP($B262, Propostas!$B:$BE, 34, FALSE) )</f>
        <v/>
      </c>
      <c r="E262" s="4" t="str">
        <f>IF($B262="","",  VLOOKUP($B262, Propostas!$B:$BE, 35, FALSE) )</f>
        <v/>
      </c>
      <c r="F262" s="4" t="str">
        <f>IF($B262="","",  VLOOKUP($B262, Propostas!$B:$BE, 2, FALSE) )</f>
        <v/>
      </c>
      <c r="G262" s="4" t="str">
        <f>IF($B262="","",  VLOOKUP($B262, Propostas!$B:$BE, 3, FALSE) )</f>
        <v/>
      </c>
      <c r="H262" s="4" t="str">
        <f>IF($B262="","",  VLOOKUP($B262, Propostas!$B:$BE, 4, FALSE) )</f>
        <v/>
      </c>
      <c r="I262" s="4" t="str">
        <f>IF($B262="","",  VLOOKUP($B262, Propostas!$B:$BE, 38, FALSE) )</f>
        <v/>
      </c>
      <c r="J262" s="13" t="str">
        <f>IF($B262="","",IF($C262="SIM", "&lt; INFRRAESTRUTURA &gt;", VLOOKUP($B262,Propostas!$B:$BE,41,FALSE)))</f>
        <v/>
      </c>
      <c r="K262" s="10" t="str">
        <f>IF($B262="","",  VLOOKUP($B262, Propostas!$B:$BE, 40, FALSE) )</f>
        <v/>
      </c>
      <c r="L262" s="10" t="str">
        <f>IF($B262="","",IF(VLOOKUP($B262,Propostas!$B:$BE,21,FALSE)=1,"B",IF(VLOOKUP($B262,Propostas!$B:$BE,21,FALSE)=2,"E","N")))</f>
        <v/>
      </c>
      <c r="M262" s="32" t="str">
        <f>IF($B262 = "", "",  VLOOKUP($B262, Propostas!$B:$BE, 46, FALSE) )</f>
        <v/>
      </c>
      <c r="N262" s="32" t="str">
        <f>IF($B262 = "", "",  VLOOKUP($B262, Propostas!$B:$BE, 47, FALSE) )</f>
        <v/>
      </c>
      <c r="O262" s="13" t="str">
        <f>IF($B262="","",IF($C262="SIM", "INFRAESTRUTURA", VLOOKUP($B262, Propostas!$B:$BE,42,FALSE)))</f>
        <v/>
      </c>
      <c r="P262" s="32" t="str">
        <f>IF($B262 = "", "",  VLOOKUP($B262, Propostas!$B:$BE, 49, FALSE) )</f>
        <v/>
      </c>
      <c r="Q262" s="13" t="str">
        <f>IF($B262="","",  VLOOKUP($B262, Propostas!$B:$BE, 39, FALSE) )</f>
        <v/>
      </c>
      <c r="R262" s="81" t="str">
        <f>IF($B262="","",  VLOOKUP($B262, Propostas!$B:$BE, 43, FALSE) )</f>
        <v/>
      </c>
      <c r="S262" s="81" t="str">
        <f>IF($B262="","",  VLOOKUP($B262, Propostas!$B:$BE, 44, FALSE) )</f>
        <v/>
      </c>
      <c r="T262" s="81" t="str">
        <f>IF($B262="","",  VLOOKUP($B262, Propostas!$B:$BE, 45, FALSE) )</f>
        <v/>
      </c>
      <c r="U262" s="32" t="str">
        <f>IF($B262="","",  VLOOKUP($B262, Propostas!$B:$BE, 37, FALSE) )</f>
        <v/>
      </c>
      <c r="V262" s="13" t="str">
        <f>IF($B262="","",  VLOOKUP($B262, Propostas!$B:$BE, 50, FALSE) )</f>
        <v/>
      </c>
      <c r="W262" s="13" t="str">
        <f>IF($B262="","",  VLOOKUP($B262, Propostas!$B:$BE, 51, FALSE) )</f>
        <v/>
      </c>
      <c r="X262" s="13" t="str">
        <f>IF($B262="","",  VLOOKUP($B262, Propostas!$B:$BE, 52, FALSE) )</f>
        <v/>
      </c>
      <c r="Y262" s="13" t="str">
        <f>IF($B262="","",  VLOOKUP($B262, Propostas!$B:$BE, 36, FALSE) )</f>
        <v/>
      </c>
      <c r="Z262" s="13" t="str">
        <f>IF($B262="","",  VLOOKUP($F262, VW_PROJETO!B:C, 2, FALSE) )</f>
        <v/>
      </c>
    </row>
    <row r="263" spans="2:26" x14ac:dyDescent="0.2">
      <c r="B263" s="2"/>
      <c r="C263" s="4" t="str">
        <f>IF($B263="","",  VLOOKUP($B263, Propostas!$B:$BE, 33, FALSE) )</f>
        <v/>
      </c>
      <c r="D263" s="4" t="str">
        <f>IF($B263="","",  VLOOKUP($B263, Propostas!$B:$BE, 34, FALSE) )</f>
        <v/>
      </c>
      <c r="E263" s="4" t="str">
        <f>IF($B263="","",  VLOOKUP($B263, Propostas!$B:$BE, 35, FALSE) )</f>
        <v/>
      </c>
      <c r="F263" s="4" t="str">
        <f>IF($B263="","",  VLOOKUP($B263, Propostas!$B:$BE, 2, FALSE) )</f>
        <v/>
      </c>
      <c r="G263" s="4" t="str">
        <f>IF($B263="","",  VLOOKUP($B263, Propostas!$B:$BE, 3, FALSE) )</f>
        <v/>
      </c>
      <c r="H263" s="4" t="str">
        <f>IF($B263="","",  VLOOKUP($B263, Propostas!$B:$BE, 4, FALSE) )</f>
        <v/>
      </c>
      <c r="I263" s="4" t="str">
        <f>IF($B263="","",  VLOOKUP($B263, Propostas!$B:$BE, 38, FALSE) )</f>
        <v/>
      </c>
      <c r="J263" s="13" t="str">
        <f>IF($B263="","",IF($C263="SIM", "&lt; INFRRAESTRUTURA &gt;", VLOOKUP($B263,Propostas!$B:$BE,41,FALSE)))</f>
        <v/>
      </c>
      <c r="K263" s="10" t="str">
        <f>IF($B263="","",  VLOOKUP($B263, Propostas!$B:$BE, 40, FALSE) )</f>
        <v/>
      </c>
      <c r="L263" s="10" t="str">
        <f>IF($B263="","",IF(VLOOKUP($B263,Propostas!$B:$BE,21,FALSE)=1,"B",IF(VLOOKUP($B263,Propostas!$B:$BE,21,FALSE)=2,"E","N")))</f>
        <v/>
      </c>
      <c r="M263" s="32" t="str">
        <f>IF($B263 = "", "",  VLOOKUP($B263, Propostas!$B:$BE, 46, FALSE) )</f>
        <v/>
      </c>
      <c r="N263" s="32" t="str">
        <f>IF($B263 = "", "",  VLOOKUP($B263, Propostas!$B:$BE, 47, FALSE) )</f>
        <v/>
      </c>
      <c r="O263" s="13" t="str">
        <f>IF($B263="","",IF($C263="SIM", "INFRAESTRUTURA", VLOOKUP($B263, Propostas!$B:$BE,42,FALSE)))</f>
        <v/>
      </c>
      <c r="P263" s="32" t="str">
        <f>IF($B263 = "", "",  VLOOKUP($B263, Propostas!$B:$BE, 49, FALSE) )</f>
        <v/>
      </c>
      <c r="Q263" s="13" t="str">
        <f>IF($B263="","",  VLOOKUP($B263, Propostas!$B:$BE, 39, FALSE) )</f>
        <v/>
      </c>
      <c r="R263" s="81" t="str">
        <f>IF($B263="","",  VLOOKUP($B263, Propostas!$B:$BE, 43, FALSE) )</f>
        <v/>
      </c>
      <c r="S263" s="81" t="str">
        <f>IF($B263="","",  VLOOKUP($B263, Propostas!$B:$BE, 44, FALSE) )</f>
        <v/>
      </c>
      <c r="T263" s="81" t="str">
        <f>IF($B263="","",  VLOOKUP($B263, Propostas!$B:$BE, 45, FALSE) )</f>
        <v/>
      </c>
      <c r="U263" s="32" t="str">
        <f>IF($B263="","",  VLOOKUP($B263, Propostas!$B:$BE, 37, FALSE) )</f>
        <v/>
      </c>
      <c r="V263" s="13" t="str">
        <f>IF($B263="","",  VLOOKUP($B263, Propostas!$B:$BE, 50, FALSE) )</f>
        <v/>
      </c>
      <c r="W263" s="13" t="str">
        <f>IF($B263="","",  VLOOKUP($B263, Propostas!$B:$BE, 51, FALSE) )</f>
        <v/>
      </c>
      <c r="X263" s="13" t="str">
        <f>IF($B263="","",  VLOOKUP($B263, Propostas!$B:$BE, 52, FALSE) )</f>
        <v/>
      </c>
      <c r="Y263" s="13" t="str">
        <f>IF($B263="","",  VLOOKUP($B263, Propostas!$B:$BE, 36, FALSE) )</f>
        <v/>
      </c>
      <c r="Z263" s="13" t="str">
        <f>IF($B263="","",  VLOOKUP($F263, VW_PROJETO!B:C, 2, FALSE) )</f>
        <v/>
      </c>
    </row>
    <row r="264" spans="2:26" x14ac:dyDescent="0.2">
      <c r="B264" s="2"/>
      <c r="C264" s="4" t="str">
        <f>IF($B264="","",  VLOOKUP($B264, Propostas!$B:$BE, 33, FALSE) )</f>
        <v/>
      </c>
      <c r="D264" s="4" t="str">
        <f>IF($B264="","",  VLOOKUP($B264, Propostas!$B:$BE, 34, FALSE) )</f>
        <v/>
      </c>
      <c r="E264" s="4" t="str">
        <f>IF($B264="","",  VLOOKUP($B264, Propostas!$B:$BE, 35, FALSE) )</f>
        <v/>
      </c>
      <c r="F264" s="4" t="str">
        <f>IF($B264="","",  VLOOKUP($B264, Propostas!$B:$BE, 2, FALSE) )</f>
        <v/>
      </c>
      <c r="G264" s="4" t="str">
        <f>IF($B264="","",  VLOOKUP($B264, Propostas!$B:$BE, 3, FALSE) )</f>
        <v/>
      </c>
      <c r="H264" s="4" t="str">
        <f>IF($B264="","",  VLOOKUP($B264, Propostas!$B:$BE, 4, FALSE) )</f>
        <v/>
      </c>
      <c r="I264" s="4" t="str">
        <f>IF($B264="","",  VLOOKUP($B264, Propostas!$B:$BE, 38, FALSE) )</f>
        <v/>
      </c>
      <c r="J264" s="13" t="str">
        <f>IF($B264="","",IF($C264="SIM", "&lt; INFRRAESTRUTURA &gt;", VLOOKUP($B264,Propostas!$B:$BE,41,FALSE)))</f>
        <v/>
      </c>
      <c r="K264" s="10" t="str">
        <f>IF($B264="","",  VLOOKUP($B264, Propostas!$B:$BE, 40, FALSE) )</f>
        <v/>
      </c>
      <c r="L264" s="10" t="str">
        <f>IF($B264="","",IF(VLOOKUP($B264,Propostas!$B:$BE,21,FALSE)=1,"B",IF(VLOOKUP($B264,Propostas!$B:$BE,21,FALSE)=2,"E","N")))</f>
        <v/>
      </c>
      <c r="M264" s="32" t="str">
        <f>IF($B264 = "", "",  VLOOKUP($B264, Propostas!$B:$BE, 46, FALSE) )</f>
        <v/>
      </c>
      <c r="N264" s="32" t="str">
        <f>IF($B264 = "", "",  VLOOKUP($B264, Propostas!$B:$BE, 47, FALSE) )</f>
        <v/>
      </c>
      <c r="O264" s="13" t="str">
        <f>IF($B264="","",IF($C264="SIM", "INFRAESTRUTURA", VLOOKUP($B264, Propostas!$B:$BE,42,FALSE)))</f>
        <v/>
      </c>
      <c r="P264" s="32" t="str">
        <f>IF($B264 = "", "",  VLOOKUP($B264, Propostas!$B:$BE, 49, FALSE) )</f>
        <v/>
      </c>
      <c r="Q264" s="13" t="str">
        <f>IF($B264="","",  VLOOKUP($B264, Propostas!$B:$BE, 39, FALSE) )</f>
        <v/>
      </c>
      <c r="R264" s="81" t="str">
        <f>IF($B264="","",  VLOOKUP($B264, Propostas!$B:$BE, 43, FALSE) )</f>
        <v/>
      </c>
      <c r="S264" s="81" t="str">
        <f>IF($B264="","",  VLOOKUP($B264, Propostas!$B:$BE, 44, FALSE) )</f>
        <v/>
      </c>
      <c r="T264" s="81" t="str">
        <f>IF($B264="","",  VLOOKUP($B264, Propostas!$B:$BE, 45, FALSE) )</f>
        <v/>
      </c>
      <c r="U264" s="32" t="str">
        <f>IF($B264="","",  VLOOKUP($B264, Propostas!$B:$BE, 37, FALSE) )</f>
        <v/>
      </c>
      <c r="V264" s="13" t="str">
        <f>IF($B264="","",  VLOOKUP($B264, Propostas!$B:$BE, 50, FALSE) )</f>
        <v/>
      </c>
      <c r="W264" s="13" t="str">
        <f>IF($B264="","",  VLOOKUP($B264, Propostas!$B:$BE, 51, FALSE) )</f>
        <v/>
      </c>
      <c r="X264" s="13" t="str">
        <f>IF($B264="","",  VLOOKUP($B264, Propostas!$B:$BE, 52, FALSE) )</f>
        <v/>
      </c>
      <c r="Y264" s="13" t="str">
        <f>IF($B264="","",  VLOOKUP($B264, Propostas!$B:$BE, 36, FALSE) )</f>
        <v/>
      </c>
      <c r="Z264" s="13" t="str">
        <f>IF($B264="","",  VLOOKUP($F264, VW_PROJETO!B:C, 2, FALSE) )</f>
        <v/>
      </c>
    </row>
    <row r="265" spans="2:26" x14ac:dyDescent="0.2">
      <c r="B265" s="2"/>
      <c r="C265" s="4" t="str">
        <f>IF($B265="","",  VLOOKUP($B265, Propostas!$B:$BE, 33, FALSE) )</f>
        <v/>
      </c>
      <c r="D265" s="4" t="str">
        <f>IF($B265="","",  VLOOKUP($B265, Propostas!$B:$BE, 34, FALSE) )</f>
        <v/>
      </c>
      <c r="E265" s="4" t="str">
        <f>IF($B265="","",  VLOOKUP($B265, Propostas!$B:$BE, 35, FALSE) )</f>
        <v/>
      </c>
      <c r="F265" s="4" t="str">
        <f>IF($B265="","",  VLOOKUP($B265, Propostas!$B:$BE, 2, FALSE) )</f>
        <v/>
      </c>
      <c r="G265" s="4" t="str">
        <f>IF($B265="","",  VLOOKUP($B265, Propostas!$B:$BE, 3, FALSE) )</f>
        <v/>
      </c>
      <c r="H265" s="4" t="str">
        <f>IF($B265="","",  VLOOKUP($B265, Propostas!$B:$BE, 4, FALSE) )</f>
        <v/>
      </c>
      <c r="I265" s="4" t="str">
        <f>IF($B265="","",  VLOOKUP($B265, Propostas!$B:$BE, 38, FALSE) )</f>
        <v/>
      </c>
      <c r="J265" s="13" t="str">
        <f>IF($B265="","",IF($C265="SIM", "&lt; INFRRAESTRUTURA &gt;", VLOOKUP($B265,Propostas!$B:$BE,41,FALSE)))</f>
        <v/>
      </c>
      <c r="K265" s="10" t="str">
        <f>IF($B265="","",  VLOOKUP($B265, Propostas!$B:$BE, 40, FALSE) )</f>
        <v/>
      </c>
      <c r="L265" s="10" t="str">
        <f>IF($B265="","",IF(VLOOKUP($B265,Propostas!$B:$BE,21,FALSE)=1,"B",IF(VLOOKUP($B265,Propostas!$B:$BE,21,FALSE)=2,"E","N")))</f>
        <v/>
      </c>
      <c r="M265" s="32" t="str">
        <f>IF($B265 = "", "",  VLOOKUP($B265, Propostas!$B:$BE, 46, FALSE) )</f>
        <v/>
      </c>
      <c r="N265" s="32" t="str">
        <f>IF($B265 = "", "",  VLOOKUP($B265, Propostas!$B:$BE, 47, FALSE) )</f>
        <v/>
      </c>
      <c r="O265" s="13" t="str">
        <f>IF($B265="","",IF($C265="SIM", "INFRAESTRUTURA", VLOOKUP($B265, Propostas!$B:$BE,42,FALSE)))</f>
        <v/>
      </c>
      <c r="P265" s="32" t="str">
        <f>IF($B265 = "", "",  VLOOKUP($B265, Propostas!$B:$BE, 49, FALSE) )</f>
        <v/>
      </c>
      <c r="Q265" s="13" t="str">
        <f>IF($B265="","",  VLOOKUP($B265, Propostas!$B:$BE, 39, FALSE) )</f>
        <v/>
      </c>
      <c r="R265" s="81" t="str">
        <f>IF($B265="","",  VLOOKUP($B265, Propostas!$B:$BE, 43, FALSE) )</f>
        <v/>
      </c>
      <c r="S265" s="81" t="str">
        <f>IF($B265="","",  VLOOKUP($B265, Propostas!$B:$BE, 44, FALSE) )</f>
        <v/>
      </c>
      <c r="T265" s="81" t="str">
        <f>IF($B265="","",  VLOOKUP($B265, Propostas!$B:$BE, 45, FALSE) )</f>
        <v/>
      </c>
      <c r="U265" s="32" t="str">
        <f>IF($B265="","",  VLOOKUP($B265, Propostas!$B:$BE, 37, FALSE) )</f>
        <v/>
      </c>
      <c r="V265" s="13" t="str">
        <f>IF($B265="","",  VLOOKUP($B265, Propostas!$B:$BE, 50, FALSE) )</f>
        <v/>
      </c>
      <c r="W265" s="13" t="str">
        <f>IF($B265="","",  VLOOKUP($B265, Propostas!$B:$BE, 51, FALSE) )</f>
        <v/>
      </c>
      <c r="X265" s="13" t="str">
        <f>IF($B265="","",  VLOOKUP($B265, Propostas!$B:$BE, 52, FALSE) )</f>
        <v/>
      </c>
      <c r="Y265" s="13" t="str">
        <f>IF($B265="","",  VLOOKUP($B265, Propostas!$B:$BE, 36, FALSE) )</f>
        <v/>
      </c>
      <c r="Z265" s="13" t="str">
        <f>IF($B265="","",  VLOOKUP($F265, VW_PROJETO!B:C, 2, FALSE) )</f>
        <v/>
      </c>
    </row>
    <row r="266" spans="2:26" x14ac:dyDescent="0.2">
      <c r="B266" s="2"/>
      <c r="C266" s="4" t="str">
        <f>IF($B266="","",  VLOOKUP($B266, Propostas!$B:$BE, 33, FALSE) )</f>
        <v/>
      </c>
      <c r="D266" s="4" t="str">
        <f>IF($B266="","",  VLOOKUP($B266, Propostas!$B:$BE, 34, FALSE) )</f>
        <v/>
      </c>
      <c r="E266" s="4" t="str">
        <f>IF($B266="","",  VLOOKUP($B266, Propostas!$B:$BE, 35, FALSE) )</f>
        <v/>
      </c>
      <c r="F266" s="4" t="str">
        <f>IF($B266="","",  VLOOKUP($B266, Propostas!$B:$BE, 2, FALSE) )</f>
        <v/>
      </c>
      <c r="G266" s="4" t="str">
        <f>IF($B266="","",  VLOOKUP($B266, Propostas!$B:$BE, 3, FALSE) )</f>
        <v/>
      </c>
      <c r="H266" s="4" t="str">
        <f>IF($B266="","",  VLOOKUP($B266, Propostas!$B:$BE, 4, FALSE) )</f>
        <v/>
      </c>
      <c r="I266" s="4" t="str">
        <f>IF($B266="","",  VLOOKUP($B266, Propostas!$B:$BE, 38, FALSE) )</f>
        <v/>
      </c>
      <c r="J266" s="13" t="str">
        <f>IF($B266="","",IF($C266="SIM", "&lt; INFRRAESTRUTURA &gt;", VLOOKUP($B266,Propostas!$B:$BE,41,FALSE)))</f>
        <v/>
      </c>
      <c r="K266" s="10" t="str">
        <f>IF($B266="","",  VLOOKUP($B266, Propostas!$B:$BE, 40, FALSE) )</f>
        <v/>
      </c>
      <c r="L266" s="10" t="str">
        <f>IF($B266="","",IF(VLOOKUP($B266,Propostas!$B:$BE,21,FALSE)=1,"B",IF(VLOOKUP($B266,Propostas!$B:$BE,21,FALSE)=2,"E","N")))</f>
        <v/>
      </c>
      <c r="M266" s="32" t="str">
        <f>IF($B266 = "", "",  VLOOKUP($B266, Propostas!$B:$BE, 46, FALSE) )</f>
        <v/>
      </c>
      <c r="N266" s="32" t="str">
        <f>IF($B266 = "", "",  VLOOKUP($B266, Propostas!$B:$BE, 47, FALSE) )</f>
        <v/>
      </c>
      <c r="O266" s="13" t="str">
        <f>IF($B266="","",IF($C266="SIM", "INFRAESTRUTURA", VLOOKUP($B266, Propostas!$B:$BE,42,FALSE)))</f>
        <v/>
      </c>
      <c r="P266" s="32" t="str">
        <f>IF($B266 = "", "",  VLOOKUP($B266, Propostas!$B:$BE, 49, FALSE) )</f>
        <v/>
      </c>
      <c r="Q266" s="13" t="str">
        <f>IF($B266="","",  VLOOKUP($B266, Propostas!$B:$BE, 39, FALSE) )</f>
        <v/>
      </c>
      <c r="R266" s="81" t="str">
        <f>IF($B266="","",  VLOOKUP($B266, Propostas!$B:$BE, 43, FALSE) )</f>
        <v/>
      </c>
      <c r="S266" s="81" t="str">
        <f>IF($B266="","",  VLOOKUP($B266, Propostas!$B:$BE, 44, FALSE) )</f>
        <v/>
      </c>
      <c r="T266" s="81" t="str">
        <f>IF($B266="","",  VLOOKUP($B266, Propostas!$B:$BE, 45, FALSE) )</f>
        <v/>
      </c>
      <c r="U266" s="32" t="str">
        <f>IF($B266="","",  VLOOKUP($B266, Propostas!$B:$BE, 37, FALSE) )</f>
        <v/>
      </c>
      <c r="V266" s="13" t="str">
        <f>IF($B266="","",  VLOOKUP($B266, Propostas!$B:$BE, 50, FALSE) )</f>
        <v/>
      </c>
      <c r="W266" s="13" t="str">
        <f>IF($B266="","",  VLOOKUP($B266, Propostas!$B:$BE, 51, FALSE) )</f>
        <v/>
      </c>
      <c r="X266" s="13" t="str">
        <f>IF($B266="","",  VLOOKUP($B266, Propostas!$B:$BE, 52, FALSE) )</f>
        <v/>
      </c>
      <c r="Y266" s="13" t="str">
        <f>IF($B266="","",  VLOOKUP($B266, Propostas!$B:$BE, 36, FALSE) )</f>
        <v/>
      </c>
      <c r="Z266" s="13" t="str">
        <f>IF($B266="","",  VLOOKUP($F266, VW_PROJETO!B:C, 2, FALSE) )</f>
        <v/>
      </c>
    </row>
    <row r="267" spans="2:26" x14ac:dyDescent="0.2">
      <c r="B267" s="2"/>
      <c r="C267" s="4" t="str">
        <f>IF($B267="","",  VLOOKUP($B267, Propostas!$B:$BE, 33, FALSE) )</f>
        <v/>
      </c>
      <c r="D267" s="4" t="str">
        <f>IF($B267="","",  VLOOKUP($B267, Propostas!$B:$BE, 34, FALSE) )</f>
        <v/>
      </c>
      <c r="E267" s="4" t="str">
        <f>IF($B267="","",  VLOOKUP($B267, Propostas!$B:$BE, 35, FALSE) )</f>
        <v/>
      </c>
      <c r="F267" s="4" t="str">
        <f>IF($B267="","",  VLOOKUP($B267, Propostas!$B:$BE, 2, FALSE) )</f>
        <v/>
      </c>
      <c r="G267" s="4" t="str">
        <f>IF($B267="","",  VLOOKUP($B267, Propostas!$B:$BE, 3, FALSE) )</f>
        <v/>
      </c>
      <c r="H267" s="4" t="str">
        <f>IF($B267="","",  VLOOKUP($B267, Propostas!$B:$BE, 4, FALSE) )</f>
        <v/>
      </c>
      <c r="I267" s="4" t="str">
        <f>IF($B267="","",  VLOOKUP($B267, Propostas!$B:$BE, 38, FALSE) )</f>
        <v/>
      </c>
      <c r="J267" s="13" t="str">
        <f>IF($B267="","",IF($C267="SIM", "&lt; INFRRAESTRUTURA &gt;", VLOOKUP($B267,Propostas!$B:$BE,41,FALSE)))</f>
        <v/>
      </c>
      <c r="K267" s="10" t="str">
        <f>IF($B267="","",  VLOOKUP($B267, Propostas!$B:$BE, 40, FALSE) )</f>
        <v/>
      </c>
      <c r="L267" s="10" t="str">
        <f>IF($B267="","",IF(VLOOKUP($B267,Propostas!$B:$BE,21,FALSE)=1,"B",IF(VLOOKUP($B267,Propostas!$B:$BE,21,FALSE)=2,"E","N")))</f>
        <v/>
      </c>
      <c r="M267" s="32" t="str">
        <f>IF($B267 = "", "",  VLOOKUP($B267, Propostas!$B:$BE, 46, FALSE) )</f>
        <v/>
      </c>
      <c r="N267" s="32" t="str">
        <f>IF($B267 = "", "",  VLOOKUP($B267, Propostas!$B:$BE, 47, FALSE) )</f>
        <v/>
      </c>
      <c r="O267" s="13" t="str">
        <f>IF($B267="","",IF($C267="SIM", "INFRAESTRUTURA", VLOOKUP($B267, Propostas!$B:$BE,42,FALSE)))</f>
        <v/>
      </c>
      <c r="P267" s="32" t="str">
        <f>IF($B267 = "", "",  VLOOKUP($B267, Propostas!$B:$BE, 49, FALSE) )</f>
        <v/>
      </c>
      <c r="Q267" s="13" t="str">
        <f>IF($B267="","",  VLOOKUP($B267, Propostas!$B:$BE, 39, FALSE) )</f>
        <v/>
      </c>
      <c r="R267" s="81" t="str">
        <f>IF($B267="","",  VLOOKUP($B267, Propostas!$B:$BE, 43, FALSE) )</f>
        <v/>
      </c>
      <c r="S267" s="81" t="str">
        <f>IF($B267="","",  VLOOKUP($B267, Propostas!$B:$BE, 44, FALSE) )</f>
        <v/>
      </c>
      <c r="T267" s="81" t="str">
        <f>IF($B267="","",  VLOOKUP($B267, Propostas!$B:$BE, 45, FALSE) )</f>
        <v/>
      </c>
      <c r="U267" s="32" t="str">
        <f>IF($B267="","",  VLOOKUP($B267, Propostas!$B:$BE, 37, FALSE) )</f>
        <v/>
      </c>
      <c r="V267" s="13" t="str">
        <f>IF($B267="","",  VLOOKUP($B267, Propostas!$B:$BE, 50, FALSE) )</f>
        <v/>
      </c>
      <c r="W267" s="13" t="str">
        <f>IF($B267="","",  VLOOKUP($B267, Propostas!$B:$BE, 51, FALSE) )</f>
        <v/>
      </c>
      <c r="X267" s="13" t="str">
        <f>IF($B267="","",  VLOOKUP($B267, Propostas!$B:$BE, 52, FALSE) )</f>
        <v/>
      </c>
      <c r="Y267" s="13" t="str">
        <f>IF($B267="","",  VLOOKUP($B267, Propostas!$B:$BE, 36, FALSE) )</f>
        <v/>
      </c>
      <c r="Z267" s="13" t="str">
        <f>IF($B267="","",  VLOOKUP($F267, VW_PROJETO!B:C, 2, FALSE) )</f>
        <v/>
      </c>
    </row>
    <row r="268" spans="2:26" x14ac:dyDescent="0.2">
      <c r="B268" s="2"/>
      <c r="C268" s="4" t="str">
        <f>IF($B268="","",  VLOOKUP($B268, Propostas!$B:$BE, 33, FALSE) )</f>
        <v/>
      </c>
      <c r="D268" s="4" t="str">
        <f>IF($B268="","",  VLOOKUP($B268, Propostas!$B:$BE, 34, FALSE) )</f>
        <v/>
      </c>
      <c r="E268" s="4" t="str">
        <f>IF($B268="","",  VLOOKUP($B268, Propostas!$B:$BE, 35, FALSE) )</f>
        <v/>
      </c>
      <c r="F268" s="4" t="str">
        <f>IF($B268="","",  VLOOKUP($B268, Propostas!$B:$BE, 2, FALSE) )</f>
        <v/>
      </c>
      <c r="G268" s="4" t="str">
        <f>IF($B268="","",  VLOOKUP($B268, Propostas!$B:$BE, 3, FALSE) )</f>
        <v/>
      </c>
      <c r="H268" s="4" t="str">
        <f>IF($B268="","",  VLOOKUP($B268, Propostas!$B:$BE, 4, FALSE) )</f>
        <v/>
      </c>
      <c r="I268" s="4" t="str">
        <f>IF($B268="","",  VLOOKUP($B268, Propostas!$B:$BE, 38, FALSE) )</f>
        <v/>
      </c>
      <c r="J268" s="13" t="str">
        <f>IF($B268="","",IF($C268="SIM", "&lt; INFRRAESTRUTURA &gt;", VLOOKUP($B268,Propostas!$B:$BE,41,FALSE)))</f>
        <v/>
      </c>
      <c r="K268" s="10" t="str">
        <f>IF($B268="","",  VLOOKUP($B268, Propostas!$B:$BE, 40, FALSE) )</f>
        <v/>
      </c>
      <c r="L268" s="10" t="str">
        <f>IF($B268="","",IF(VLOOKUP($B268,Propostas!$B:$BE,21,FALSE)=1,"B",IF(VLOOKUP($B268,Propostas!$B:$BE,21,FALSE)=2,"E","N")))</f>
        <v/>
      </c>
      <c r="M268" s="32" t="str">
        <f>IF($B268 = "", "",  VLOOKUP($B268, Propostas!$B:$BE, 46, FALSE) )</f>
        <v/>
      </c>
      <c r="N268" s="32" t="str">
        <f>IF($B268 = "", "",  VLOOKUP($B268, Propostas!$B:$BE, 47, FALSE) )</f>
        <v/>
      </c>
      <c r="O268" s="13" t="str">
        <f>IF($B268="","",IF($C268="SIM", "INFRAESTRUTURA", VLOOKUP($B268, Propostas!$B:$BE,42,FALSE)))</f>
        <v/>
      </c>
      <c r="P268" s="32" t="str">
        <f>IF($B268 = "", "",  VLOOKUP($B268, Propostas!$B:$BE, 49, FALSE) )</f>
        <v/>
      </c>
      <c r="Q268" s="13" t="str">
        <f>IF($B268="","",  VLOOKUP($B268, Propostas!$B:$BE, 39, FALSE) )</f>
        <v/>
      </c>
      <c r="R268" s="81" t="str">
        <f>IF($B268="","",  VLOOKUP($B268, Propostas!$B:$BE, 43, FALSE) )</f>
        <v/>
      </c>
      <c r="S268" s="81" t="str">
        <f>IF($B268="","",  VLOOKUP($B268, Propostas!$B:$BE, 44, FALSE) )</f>
        <v/>
      </c>
      <c r="T268" s="81" t="str">
        <f>IF($B268="","",  VLOOKUP($B268, Propostas!$B:$BE, 45, FALSE) )</f>
        <v/>
      </c>
      <c r="U268" s="32" t="str">
        <f>IF($B268="","",  VLOOKUP($B268, Propostas!$B:$BE, 37, FALSE) )</f>
        <v/>
      </c>
      <c r="V268" s="13" t="str">
        <f>IF($B268="","",  VLOOKUP($B268, Propostas!$B:$BE, 50, FALSE) )</f>
        <v/>
      </c>
      <c r="W268" s="13" t="str">
        <f>IF($B268="","",  VLOOKUP($B268, Propostas!$B:$BE, 51, FALSE) )</f>
        <v/>
      </c>
      <c r="X268" s="13" t="str">
        <f>IF($B268="","",  VLOOKUP($B268, Propostas!$B:$BE, 52, FALSE) )</f>
        <v/>
      </c>
      <c r="Y268" s="13" t="str">
        <f>IF($B268="","",  VLOOKUP($B268, Propostas!$B:$BE, 36, FALSE) )</f>
        <v/>
      </c>
      <c r="Z268" s="13" t="str">
        <f>IF($B268="","",  VLOOKUP($F268, VW_PROJETO!B:C, 2, FALSE) )</f>
        <v/>
      </c>
    </row>
    <row r="269" spans="2:26" x14ac:dyDescent="0.2">
      <c r="B269" s="2"/>
      <c r="C269" s="4" t="str">
        <f>IF($B269="","",  VLOOKUP($B269, Propostas!$B:$BE, 33, FALSE) )</f>
        <v/>
      </c>
      <c r="D269" s="4" t="str">
        <f>IF($B269="","",  VLOOKUP($B269, Propostas!$B:$BE, 34, FALSE) )</f>
        <v/>
      </c>
      <c r="E269" s="4" t="str">
        <f>IF($B269="","",  VLOOKUP($B269, Propostas!$B:$BE, 35, FALSE) )</f>
        <v/>
      </c>
      <c r="F269" s="4" t="str">
        <f>IF($B269="","",  VLOOKUP($B269, Propostas!$B:$BE, 2, FALSE) )</f>
        <v/>
      </c>
      <c r="G269" s="4" t="str">
        <f>IF($B269="","",  VLOOKUP($B269, Propostas!$B:$BE, 3, FALSE) )</f>
        <v/>
      </c>
      <c r="H269" s="4" t="str">
        <f>IF($B269="","",  VLOOKUP($B269, Propostas!$B:$BE, 4, FALSE) )</f>
        <v/>
      </c>
      <c r="I269" s="4" t="str">
        <f>IF($B269="","",  VLOOKUP($B269, Propostas!$B:$BE, 38, FALSE) )</f>
        <v/>
      </c>
      <c r="J269" s="13" t="str">
        <f>IF($B269="","",IF($C269="SIM", "&lt; INFRRAESTRUTURA &gt;", VLOOKUP($B269,Propostas!$B:$BE,41,FALSE)))</f>
        <v/>
      </c>
      <c r="K269" s="10" t="str">
        <f>IF($B269="","",  VLOOKUP($B269, Propostas!$B:$BE, 40, FALSE) )</f>
        <v/>
      </c>
      <c r="L269" s="10" t="str">
        <f>IF($B269="","",IF(VLOOKUP($B269,Propostas!$B:$BE,21,FALSE)=1,"B",IF(VLOOKUP($B269,Propostas!$B:$BE,21,FALSE)=2,"E","N")))</f>
        <v/>
      </c>
      <c r="M269" s="32" t="str">
        <f>IF($B269 = "", "",  VLOOKUP($B269, Propostas!$B:$BE, 46, FALSE) )</f>
        <v/>
      </c>
      <c r="N269" s="32" t="str">
        <f>IF($B269 = "", "",  VLOOKUP($B269, Propostas!$B:$BE, 47, FALSE) )</f>
        <v/>
      </c>
      <c r="O269" s="13" t="str">
        <f>IF($B269="","",IF($C269="SIM", "INFRAESTRUTURA", VLOOKUP($B269, Propostas!$B:$BE,42,FALSE)))</f>
        <v/>
      </c>
      <c r="P269" s="32" t="str">
        <f>IF($B269 = "", "",  VLOOKUP($B269, Propostas!$B:$BE, 49, FALSE) )</f>
        <v/>
      </c>
      <c r="Q269" s="13" t="str">
        <f>IF($B269="","",  VLOOKUP($B269, Propostas!$B:$BE, 39, FALSE) )</f>
        <v/>
      </c>
      <c r="R269" s="81" t="str">
        <f>IF($B269="","",  VLOOKUP($B269, Propostas!$B:$BE, 43, FALSE) )</f>
        <v/>
      </c>
      <c r="S269" s="81" t="str">
        <f>IF($B269="","",  VLOOKUP($B269, Propostas!$B:$BE, 44, FALSE) )</f>
        <v/>
      </c>
      <c r="T269" s="81" t="str">
        <f>IF($B269="","",  VLOOKUP($B269, Propostas!$B:$BE, 45, FALSE) )</f>
        <v/>
      </c>
      <c r="U269" s="32" t="str">
        <f>IF($B269="","",  VLOOKUP($B269, Propostas!$B:$BE, 37, FALSE) )</f>
        <v/>
      </c>
      <c r="V269" s="13" t="str">
        <f>IF($B269="","",  VLOOKUP($B269, Propostas!$B:$BE, 50, FALSE) )</f>
        <v/>
      </c>
      <c r="W269" s="13" t="str">
        <f>IF($B269="","",  VLOOKUP($B269, Propostas!$B:$BE, 51, FALSE) )</f>
        <v/>
      </c>
      <c r="X269" s="13" t="str">
        <f>IF($B269="","",  VLOOKUP($B269, Propostas!$B:$BE, 52, FALSE) )</f>
        <v/>
      </c>
      <c r="Y269" s="13" t="str">
        <f>IF($B269="","",  VLOOKUP($B269, Propostas!$B:$BE, 36, FALSE) )</f>
        <v/>
      </c>
      <c r="Z269" s="13" t="str">
        <f>IF($B269="","",  VLOOKUP($F269, VW_PROJETO!B:C, 2, FALSE) )</f>
        <v/>
      </c>
    </row>
    <row r="270" spans="2:26" x14ac:dyDescent="0.2">
      <c r="B270" s="2"/>
      <c r="C270" s="4" t="str">
        <f>IF($B270="","",  VLOOKUP($B270, Propostas!$B:$BE, 33, FALSE) )</f>
        <v/>
      </c>
      <c r="D270" s="4" t="str">
        <f>IF($B270="","",  VLOOKUP($B270, Propostas!$B:$BE, 34, FALSE) )</f>
        <v/>
      </c>
      <c r="E270" s="4" t="str">
        <f>IF($B270="","",  VLOOKUP($B270, Propostas!$B:$BE, 35, FALSE) )</f>
        <v/>
      </c>
      <c r="F270" s="4" t="str">
        <f>IF($B270="","",  VLOOKUP($B270, Propostas!$B:$BE, 2, FALSE) )</f>
        <v/>
      </c>
      <c r="G270" s="4" t="str">
        <f>IF($B270="","",  VLOOKUP($B270, Propostas!$B:$BE, 3, FALSE) )</f>
        <v/>
      </c>
      <c r="H270" s="4" t="str">
        <f>IF($B270="","",  VLOOKUP($B270, Propostas!$B:$BE, 4, FALSE) )</f>
        <v/>
      </c>
      <c r="I270" s="4" t="str">
        <f>IF($B270="","",  VLOOKUP($B270, Propostas!$B:$BE, 38, FALSE) )</f>
        <v/>
      </c>
      <c r="J270" s="13" t="str">
        <f>IF($B270="","",IF($C270="SIM", "&lt; INFRRAESTRUTURA &gt;", VLOOKUP($B270,Propostas!$B:$BE,41,FALSE)))</f>
        <v/>
      </c>
      <c r="K270" s="10" t="str">
        <f>IF($B270="","",  VLOOKUP($B270, Propostas!$B:$BE, 40, FALSE) )</f>
        <v/>
      </c>
      <c r="L270" s="10" t="str">
        <f>IF($B270="","",IF(VLOOKUP($B270,Propostas!$B:$BE,21,FALSE)=1,"B",IF(VLOOKUP($B270,Propostas!$B:$BE,21,FALSE)=2,"E","N")))</f>
        <v/>
      </c>
      <c r="M270" s="32" t="str">
        <f>IF($B270 = "", "",  VLOOKUP($B270, Propostas!$B:$BE, 46, FALSE) )</f>
        <v/>
      </c>
      <c r="N270" s="32" t="str">
        <f>IF($B270 = "", "",  VLOOKUP($B270, Propostas!$B:$BE, 47, FALSE) )</f>
        <v/>
      </c>
      <c r="O270" s="13" t="str">
        <f>IF($B270="","",IF($C270="SIM", "INFRAESTRUTURA", VLOOKUP($B270, Propostas!$B:$BE,42,FALSE)))</f>
        <v/>
      </c>
      <c r="P270" s="32" t="str">
        <f>IF($B270 = "", "",  VLOOKUP($B270, Propostas!$B:$BE, 49, FALSE) )</f>
        <v/>
      </c>
      <c r="Q270" s="13" t="str">
        <f>IF($B270="","",  VLOOKUP($B270, Propostas!$B:$BE, 39, FALSE) )</f>
        <v/>
      </c>
      <c r="R270" s="81" t="str">
        <f>IF($B270="","",  VLOOKUP($B270, Propostas!$B:$BE, 43, FALSE) )</f>
        <v/>
      </c>
      <c r="S270" s="81" t="str">
        <f>IF($B270="","",  VLOOKUP($B270, Propostas!$B:$BE, 44, FALSE) )</f>
        <v/>
      </c>
      <c r="T270" s="81" t="str">
        <f>IF($B270="","",  VLOOKUP($B270, Propostas!$B:$BE, 45, FALSE) )</f>
        <v/>
      </c>
      <c r="U270" s="32" t="str">
        <f>IF($B270="","",  VLOOKUP($B270, Propostas!$B:$BE, 37, FALSE) )</f>
        <v/>
      </c>
      <c r="V270" s="13" t="str">
        <f>IF($B270="","",  VLOOKUP($B270, Propostas!$B:$BE, 50, FALSE) )</f>
        <v/>
      </c>
      <c r="W270" s="13" t="str">
        <f>IF($B270="","",  VLOOKUP($B270, Propostas!$B:$BE, 51, FALSE) )</f>
        <v/>
      </c>
      <c r="X270" s="13" t="str">
        <f>IF($B270="","",  VLOOKUP($B270, Propostas!$B:$BE, 52, FALSE) )</f>
        <v/>
      </c>
      <c r="Y270" s="13" t="str">
        <f>IF($B270="","",  VLOOKUP($B270, Propostas!$B:$BE, 36, FALSE) )</f>
        <v/>
      </c>
      <c r="Z270" s="13" t="str">
        <f>IF($B270="","",  VLOOKUP($F270, VW_PROJETO!B:C, 2, FALSE) )</f>
        <v/>
      </c>
    </row>
    <row r="271" spans="2:26" x14ac:dyDescent="0.2">
      <c r="B271" s="2"/>
      <c r="C271" s="4" t="str">
        <f>IF($B271="","",  VLOOKUP($B271, Propostas!$B:$BE, 33, FALSE) )</f>
        <v/>
      </c>
      <c r="D271" s="4" t="str">
        <f>IF($B271="","",  VLOOKUP($B271, Propostas!$B:$BE, 34, FALSE) )</f>
        <v/>
      </c>
      <c r="E271" s="4" t="str">
        <f>IF($B271="","",  VLOOKUP($B271, Propostas!$B:$BE, 35, FALSE) )</f>
        <v/>
      </c>
      <c r="F271" s="4" t="str">
        <f>IF($B271="","",  VLOOKUP($B271, Propostas!$B:$BE, 2, FALSE) )</f>
        <v/>
      </c>
      <c r="G271" s="4" t="str">
        <f>IF($B271="","",  VLOOKUP($B271, Propostas!$B:$BE, 3, FALSE) )</f>
        <v/>
      </c>
      <c r="H271" s="4" t="str">
        <f>IF($B271="","",  VLOOKUP($B271, Propostas!$B:$BE, 4, FALSE) )</f>
        <v/>
      </c>
      <c r="I271" s="4" t="str">
        <f>IF($B271="","",  VLOOKUP($B271, Propostas!$B:$BE, 38, FALSE) )</f>
        <v/>
      </c>
      <c r="J271" s="13" t="str">
        <f>IF($B271="","",IF($C271="SIM", "&lt; INFRRAESTRUTURA &gt;", VLOOKUP($B271,Propostas!$B:$BE,41,FALSE)))</f>
        <v/>
      </c>
      <c r="K271" s="10" t="str">
        <f>IF($B271="","",  VLOOKUP($B271, Propostas!$B:$BE, 40, FALSE) )</f>
        <v/>
      </c>
      <c r="L271" s="10" t="str">
        <f>IF($B271="","",IF(VLOOKUP($B271,Propostas!$B:$BE,21,FALSE)=1,"B",IF(VLOOKUP($B271,Propostas!$B:$BE,21,FALSE)=2,"E","N")))</f>
        <v/>
      </c>
      <c r="M271" s="32" t="str">
        <f>IF($B271 = "", "",  VLOOKUP($B271, Propostas!$B:$BE, 46, FALSE) )</f>
        <v/>
      </c>
      <c r="N271" s="32" t="str">
        <f>IF($B271 = "", "",  VLOOKUP($B271, Propostas!$B:$BE, 47, FALSE) )</f>
        <v/>
      </c>
      <c r="O271" s="13" t="str">
        <f>IF($B271="","",IF($C271="SIM", "INFRAESTRUTURA", VLOOKUP($B271, Propostas!$B:$BE,42,FALSE)))</f>
        <v/>
      </c>
      <c r="P271" s="32" t="str">
        <f>IF($B271 = "", "",  VLOOKUP($B271, Propostas!$B:$BE, 49, FALSE) )</f>
        <v/>
      </c>
      <c r="Q271" s="13" t="str">
        <f>IF($B271="","",  VLOOKUP($B271, Propostas!$B:$BE, 39, FALSE) )</f>
        <v/>
      </c>
      <c r="R271" s="81" t="str">
        <f>IF($B271="","",  VLOOKUP($B271, Propostas!$B:$BE, 43, FALSE) )</f>
        <v/>
      </c>
      <c r="S271" s="81" t="str">
        <f>IF($B271="","",  VLOOKUP($B271, Propostas!$B:$BE, 44, FALSE) )</f>
        <v/>
      </c>
      <c r="T271" s="81" t="str">
        <f>IF($B271="","",  VLOOKUP($B271, Propostas!$B:$BE, 45, FALSE) )</f>
        <v/>
      </c>
      <c r="U271" s="32" t="str">
        <f>IF($B271="","",  VLOOKUP($B271, Propostas!$B:$BE, 37, FALSE) )</f>
        <v/>
      </c>
      <c r="V271" s="13" t="str">
        <f>IF($B271="","",  VLOOKUP($B271, Propostas!$B:$BE, 50, FALSE) )</f>
        <v/>
      </c>
      <c r="W271" s="13" t="str">
        <f>IF($B271="","",  VLOOKUP($B271, Propostas!$B:$BE, 51, FALSE) )</f>
        <v/>
      </c>
      <c r="X271" s="13" t="str">
        <f>IF($B271="","",  VLOOKUP($B271, Propostas!$B:$BE, 52, FALSE) )</f>
        <v/>
      </c>
      <c r="Y271" s="13" t="str">
        <f>IF($B271="","",  VLOOKUP($B271, Propostas!$B:$BE, 36, FALSE) )</f>
        <v/>
      </c>
      <c r="Z271" s="13" t="str">
        <f>IF($B271="","",  VLOOKUP($F271, VW_PROJETO!B:C, 2, FALSE) )</f>
        <v/>
      </c>
    </row>
    <row r="272" spans="2:26" x14ac:dyDescent="0.2">
      <c r="B272" s="2"/>
      <c r="C272" s="4" t="str">
        <f>IF($B272="","",  VLOOKUP($B272, Propostas!$B:$BE, 33, FALSE) )</f>
        <v/>
      </c>
      <c r="D272" s="4" t="str">
        <f>IF($B272="","",  VLOOKUP($B272, Propostas!$B:$BE, 34, FALSE) )</f>
        <v/>
      </c>
      <c r="E272" s="4" t="str">
        <f>IF($B272="","",  VLOOKUP($B272, Propostas!$B:$BE, 35, FALSE) )</f>
        <v/>
      </c>
      <c r="F272" s="4" t="str">
        <f>IF($B272="","",  VLOOKUP($B272, Propostas!$B:$BE, 2, FALSE) )</f>
        <v/>
      </c>
      <c r="G272" s="4" t="str">
        <f>IF($B272="","",  VLOOKUP($B272, Propostas!$B:$BE, 3, FALSE) )</f>
        <v/>
      </c>
      <c r="H272" s="4" t="str">
        <f>IF($B272="","",  VLOOKUP($B272, Propostas!$B:$BE, 4, FALSE) )</f>
        <v/>
      </c>
      <c r="I272" s="4" t="str">
        <f>IF($B272="","",  VLOOKUP($B272, Propostas!$B:$BE, 38, FALSE) )</f>
        <v/>
      </c>
      <c r="J272" s="13" t="str">
        <f>IF($B272="","",IF($C272="SIM", "&lt; INFRRAESTRUTURA &gt;", VLOOKUP($B272,Propostas!$B:$BE,41,FALSE)))</f>
        <v/>
      </c>
      <c r="K272" s="10" t="str">
        <f>IF($B272="","",  VLOOKUP($B272, Propostas!$B:$BE, 40, FALSE) )</f>
        <v/>
      </c>
      <c r="L272" s="10" t="str">
        <f>IF($B272="","",IF(VLOOKUP($B272,Propostas!$B:$BE,21,FALSE)=1,"B",IF(VLOOKUP($B272,Propostas!$B:$BE,21,FALSE)=2,"E","N")))</f>
        <v/>
      </c>
      <c r="M272" s="32" t="str">
        <f>IF($B272 = "", "",  VLOOKUP($B272, Propostas!$B:$BE, 46, FALSE) )</f>
        <v/>
      </c>
      <c r="N272" s="32" t="str">
        <f>IF($B272 = "", "",  VLOOKUP($B272, Propostas!$B:$BE, 47, FALSE) )</f>
        <v/>
      </c>
      <c r="O272" s="13" t="str">
        <f>IF($B272="","",IF($C272="SIM", "INFRAESTRUTURA", VLOOKUP($B272, Propostas!$B:$BE,42,FALSE)))</f>
        <v/>
      </c>
      <c r="P272" s="32" t="str">
        <f>IF($B272 = "", "",  VLOOKUP($B272, Propostas!$B:$BE, 49, FALSE) )</f>
        <v/>
      </c>
      <c r="Q272" s="13" t="str">
        <f>IF($B272="","",  VLOOKUP($B272, Propostas!$B:$BE, 39, FALSE) )</f>
        <v/>
      </c>
      <c r="R272" s="81" t="str">
        <f>IF($B272="","",  VLOOKUP($B272, Propostas!$B:$BE, 43, FALSE) )</f>
        <v/>
      </c>
      <c r="S272" s="81" t="str">
        <f>IF($B272="","",  VLOOKUP($B272, Propostas!$B:$BE, 44, FALSE) )</f>
        <v/>
      </c>
      <c r="T272" s="81" t="str">
        <f>IF($B272="","",  VLOOKUP($B272, Propostas!$B:$BE, 45, FALSE) )</f>
        <v/>
      </c>
      <c r="U272" s="32" t="str">
        <f>IF($B272="","",  VLOOKUP($B272, Propostas!$B:$BE, 37, FALSE) )</f>
        <v/>
      </c>
      <c r="V272" s="13" t="str">
        <f>IF($B272="","",  VLOOKUP($B272, Propostas!$B:$BE, 50, FALSE) )</f>
        <v/>
      </c>
      <c r="W272" s="13" t="str">
        <f>IF($B272="","",  VLOOKUP($B272, Propostas!$B:$BE, 51, FALSE) )</f>
        <v/>
      </c>
      <c r="X272" s="13" t="str">
        <f>IF($B272="","",  VLOOKUP($B272, Propostas!$B:$BE, 52, FALSE) )</f>
        <v/>
      </c>
      <c r="Y272" s="13" t="str">
        <f>IF($B272="","",  VLOOKUP($B272, Propostas!$B:$BE, 36, FALSE) )</f>
        <v/>
      </c>
      <c r="Z272" s="13" t="str">
        <f>IF($B272="","",  VLOOKUP($F272, VW_PROJETO!B:C, 2, FALSE) )</f>
        <v/>
      </c>
    </row>
    <row r="273" spans="2:26" x14ac:dyDescent="0.2">
      <c r="B273" s="2"/>
      <c r="C273" s="4" t="str">
        <f>IF($B273="","",  VLOOKUP($B273, Propostas!$B:$BE, 33, FALSE) )</f>
        <v/>
      </c>
      <c r="D273" s="4" t="str">
        <f>IF($B273="","",  VLOOKUP($B273, Propostas!$B:$BE, 34, FALSE) )</f>
        <v/>
      </c>
      <c r="E273" s="4" t="str">
        <f>IF($B273="","",  VLOOKUP($B273, Propostas!$B:$BE, 35, FALSE) )</f>
        <v/>
      </c>
      <c r="F273" s="4" t="str">
        <f>IF($B273="","",  VLOOKUP($B273, Propostas!$B:$BE, 2, FALSE) )</f>
        <v/>
      </c>
      <c r="G273" s="4" t="str">
        <f>IF($B273="","",  VLOOKUP($B273, Propostas!$B:$BE, 3, FALSE) )</f>
        <v/>
      </c>
      <c r="H273" s="4" t="str">
        <f>IF($B273="","",  VLOOKUP($B273, Propostas!$B:$BE, 4, FALSE) )</f>
        <v/>
      </c>
      <c r="I273" s="4" t="str">
        <f>IF($B273="","",  VLOOKUP($B273, Propostas!$B:$BE, 38, FALSE) )</f>
        <v/>
      </c>
      <c r="J273" s="13" t="str">
        <f>IF($B273="","",IF($C273="SIM", "&lt; INFRRAESTRUTURA &gt;", VLOOKUP($B273,Propostas!$B:$BE,41,FALSE)))</f>
        <v/>
      </c>
      <c r="K273" s="10" t="str">
        <f>IF($B273="","",  VLOOKUP($B273, Propostas!$B:$BE, 40, FALSE) )</f>
        <v/>
      </c>
      <c r="L273" s="10" t="str">
        <f>IF($B273="","",IF(VLOOKUP($B273,Propostas!$B:$BE,21,FALSE)=1,"B",IF(VLOOKUP($B273,Propostas!$B:$BE,21,FALSE)=2,"E","N")))</f>
        <v/>
      </c>
      <c r="M273" s="32" t="str">
        <f>IF($B273 = "", "",  VLOOKUP($B273, Propostas!$B:$BE, 46, FALSE) )</f>
        <v/>
      </c>
      <c r="N273" s="32" t="str">
        <f>IF($B273 = "", "",  VLOOKUP($B273, Propostas!$B:$BE, 47, FALSE) )</f>
        <v/>
      </c>
      <c r="O273" s="13" t="str">
        <f>IF($B273="","",IF($C273="SIM", "INFRAESTRUTURA", VLOOKUP($B273, Propostas!$B:$BE,42,FALSE)))</f>
        <v/>
      </c>
      <c r="P273" s="32" t="str">
        <f>IF($B273 = "", "",  VLOOKUP($B273, Propostas!$B:$BE, 49, FALSE) )</f>
        <v/>
      </c>
      <c r="Q273" s="13" t="str">
        <f>IF($B273="","",  VLOOKUP($B273, Propostas!$B:$BE, 39, FALSE) )</f>
        <v/>
      </c>
      <c r="R273" s="81" t="str">
        <f>IF($B273="","",  VLOOKUP($B273, Propostas!$B:$BE, 43, FALSE) )</f>
        <v/>
      </c>
      <c r="S273" s="81" t="str">
        <f>IF($B273="","",  VLOOKUP($B273, Propostas!$B:$BE, 44, FALSE) )</f>
        <v/>
      </c>
      <c r="T273" s="81" t="str">
        <f>IF($B273="","",  VLOOKUP($B273, Propostas!$B:$BE, 45, FALSE) )</f>
        <v/>
      </c>
      <c r="U273" s="32" t="str">
        <f>IF($B273="","",  VLOOKUP($B273, Propostas!$B:$BE, 37, FALSE) )</f>
        <v/>
      </c>
      <c r="V273" s="13" t="str">
        <f>IF($B273="","",  VLOOKUP($B273, Propostas!$B:$BE, 50, FALSE) )</f>
        <v/>
      </c>
      <c r="W273" s="13" t="str">
        <f>IF($B273="","",  VLOOKUP($B273, Propostas!$B:$BE, 51, FALSE) )</f>
        <v/>
      </c>
      <c r="X273" s="13" t="str">
        <f>IF($B273="","",  VLOOKUP($B273, Propostas!$B:$BE, 52, FALSE) )</f>
        <v/>
      </c>
      <c r="Y273" s="13" t="str">
        <f>IF($B273="","",  VLOOKUP($B273, Propostas!$B:$BE, 36, FALSE) )</f>
        <v/>
      </c>
      <c r="Z273" s="13" t="str">
        <f>IF($B273="","",  VLOOKUP($F273, VW_PROJETO!B:C, 2, FALSE) )</f>
        <v/>
      </c>
    </row>
    <row r="274" spans="2:26" x14ac:dyDescent="0.2">
      <c r="B274" s="2"/>
      <c r="C274" s="4" t="str">
        <f>IF($B274="","",  VLOOKUP($B274, Propostas!$B:$BE, 33, FALSE) )</f>
        <v/>
      </c>
      <c r="D274" s="4" t="str">
        <f>IF($B274="","",  VLOOKUP($B274, Propostas!$B:$BE, 34, FALSE) )</f>
        <v/>
      </c>
      <c r="E274" s="4" t="str">
        <f>IF($B274="","",  VLOOKUP($B274, Propostas!$B:$BE, 35, FALSE) )</f>
        <v/>
      </c>
      <c r="F274" s="4" t="str">
        <f>IF($B274="","",  VLOOKUP($B274, Propostas!$B:$BE, 2, FALSE) )</f>
        <v/>
      </c>
      <c r="G274" s="4" t="str">
        <f>IF($B274="","",  VLOOKUP($B274, Propostas!$B:$BE, 3, FALSE) )</f>
        <v/>
      </c>
      <c r="H274" s="4" t="str">
        <f>IF($B274="","",  VLOOKUP($B274, Propostas!$B:$BE, 4, FALSE) )</f>
        <v/>
      </c>
      <c r="I274" s="4" t="str">
        <f>IF($B274="","",  VLOOKUP($B274, Propostas!$B:$BE, 38, FALSE) )</f>
        <v/>
      </c>
      <c r="J274" s="13" t="str">
        <f>IF($B274="","",IF($C274="SIM", "&lt; INFRRAESTRUTURA &gt;", VLOOKUP($B274,Propostas!$B:$BE,41,FALSE)))</f>
        <v/>
      </c>
      <c r="K274" s="10" t="str">
        <f>IF($B274="","",  VLOOKUP($B274, Propostas!$B:$BE, 40, FALSE) )</f>
        <v/>
      </c>
      <c r="L274" s="10" t="str">
        <f>IF($B274="","",IF(VLOOKUP($B274,Propostas!$B:$BE,21,FALSE)=1,"B",IF(VLOOKUP($B274,Propostas!$B:$BE,21,FALSE)=2,"E","N")))</f>
        <v/>
      </c>
      <c r="M274" s="32" t="str">
        <f>IF($B274 = "", "",  VLOOKUP($B274, Propostas!$B:$BE, 46, FALSE) )</f>
        <v/>
      </c>
      <c r="N274" s="32" t="str">
        <f>IF($B274 = "", "",  VLOOKUP($B274, Propostas!$B:$BE, 47, FALSE) )</f>
        <v/>
      </c>
      <c r="O274" s="13" t="str">
        <f>IF($B274="","",IF($C274="SIM", "INFRAESTRUTURA", VLOOKUP($B274, Propostas!$B:$BE,42,FALSE)))</f>
        <v/>
      </c>
      <c r="P274" s="32" t="str">
        <f>IF($B274 = "", "",  VLOOKUP($B274, Propostas!$B:$BE, 49, FALSE) )</f>
        <v/>
      </c>
      <c r="Q274" s="13" t="str">
        <f>IF($B274="","",  VLOOKUP($B274, Propostas!$B:$BE, 39, FALSE) )</f>
        <v/>
      </c>
      <c r="R274" s="81" t="str">
        <f>IF($B274="","",  VLOOKUP($B274, Propostas!$B:$BE, 43, FALSE) )</f>
        <v/>
      </c>
      <c r="S274" s="81" t="str">
        <f>IF($B274="","",  VLOOKUP($B274, Propostas!$B:$BE, 44, FALSE) )</f>
        <v/>
      </c>
      <c r="T274" s="81" t="str">
        <f>IF($B274="","",  VLOOKUP($B274, Propostas!$B:$BE, 45, FALSE) )</f>
        <v/>
      </c>
      <c r="U274" s="32" t="str">
        <f>IF($B274="","",  VLOOKUP($B274, Propostas!$B:$BE, 37, FALSE) )</f>
        <v/>
      </c>
      <c r="V274" s="13" t="str">
        <f>IF($B274="","",  VLOOKUP($B274, Propostas!$B:$BE, 50, FALSE) )</f>
        <v/>
      </c>
      <c r="W274" s="13" t="str">
        <f>IF($B274="","",  VLOOKUP($B274, Propostas!$B:$BE, 51, FALSE) )</f>
        <v/>
      </c>
      <c r="X274" s="13" t="str">
        <f>IF($B274="","",  VLOOKUP($B274, Propostas!$B:$BE, 52, FALSE) )</f>
        <v/>
      </c>
      <c r="Y274" s="13" t="str">
        <f>IF($B274="","",  VLOOKUP($B274, Propostas!$B:$BE, 36, FALSE) )</f>
        <v/>
      </c>
      <c r="Z274" s="13" t="str">
        <f>IF($B274="","",  VLOOKUP($F274, VW_PROJETO!B:C, 2, FALSE) )</f>
        <v/>
      </c>
    </row>
    <row r="275" spans="2:26" x14ac:dyDescent="0.2">
      <c r="B275" s="2"/>
      <c r="C275" s="4" t="str">
        <f>IF($B275="","",  VLOOKUP($B275, Propostas!$B:$BE, 33, FALSE) )</f>
        <v/>
      </c>
      <c r="D275" s="4" t="str">
        <f>IF($B275="","",  VLOOKUP($B275, Propostas!$B:$BE, 34, FALSE) )</f>
        <v/>
      </c>
      <c r="E275" s="4" t="str">
        <f>IF($B275="","",  VLOOKUP($B275, Propostas!$B:$BE, 35, FALSE) )</f>
        <v/>
      </c>
      <c r="F275" s="4" t="str">
        <f>IF($B275="","",  VLOOKUP($B275, Propostas!$B:$BE, 2, FALSE) )</f>
        <v/>
      </c>
      <c r="G275" s="4" t="str">
        <f>IF($B275="","",  VLOOKUP($B275, Propostas!$B:$BE, 3, FALSE) )</f>
        <v/>
      </c>
      <c r="H275" s="4" t="str">
        <f>IF($B275="","",  VLOOKUP($B275, Propostas!$B:$BE, 4, FALSE) )</f>
        <v/>
      </c>
      <c r="I275" s="4" t="str">
        <f>IF($B275="","",  VLOOKUP($B275, Propostas!$B:$BE, 38, FALSE) )</f>
        <v/>
      </c>
      <c r="J275" s="13" t="str">
        <f>IF($B275="","",IF($C275="SIM", "&lt; INFRRAESTRUTURA &gt;", VLOOKUP($B275,Propostas!$B:$BE,41,FALSE)))</f>
        <v/>
      </c>
      <c r="K275" s="10" t="str">
        <f>IF($B275="","",  VLOOKUP($B275, Propostas!$B:$BE, 40, FALSE) )</f>
        <v/>
      </c>
      <c r="L275" s="10" t="str">
        <f>IF($B275="","",IF(VLOOKUP($B275,Propostas!$B:$BE,21,FALSE)=1,"B",IF(VLOOKUP($B275,Propostas!$B:$BE,21,FALSE)=2,"E","N")))</f>
        <v/>
      </c>
      <c r="M275" s="32" t="str">
        <f>IF($B275 = "", "",  VLOOKUP($B275, Propostas!$B:$BE, 46, FALSE) )</f>
        <v/>
      </c>
      <c r="N275" s="32" t="str">
        <f>IF($B275 = "", "",  VLOOKUP($B275, Propostas!$B:$BE, 47, FALSE) )</f>
        <v/>
      </c>
      <c r="O275" s="13" t="str">
        <f>IF($B275="","",IF($C275="SIM", "INFRAESTRUTURA", VLOOKUP($B275, Propostas!$B:$BE,42,FALSE)))</f>
        <v/>
      </c>
      <c r="P275" s="32" t="str">
        <f>IF($B275 = "", "",  VLOOKUP($B275, Propostas!$B:$BE, 49, FALSE) )</f>
        <v/>
      </c>
      <c r="Q275" s="13" t="str">
        <f>IF($B275="","",  VLOOKUP($B275, Propostas!$B:$BE, 39, FALSE) )</f>
        <v/>
      </c>
      <c r="R275" s="81" t="str">
        <f>IF($B275="","",  VLOOKUP($B275, Propostas!$B:$BE, 43, FALSE) )</f>
        <v/>
      </c>
      <c r="S275" s="81" t="str">
        <f>IF($B275="","",  VLOOKUP($B275, Propostas!$B:$BE, 44, FALSE) )</f>
        <v/>
      </c>
      <c r="T275" s="81" t="str">
        <f>IF($B275="","",  VLOOKUP($B275, Propostas!$B:$BE, 45, FALSE) )</f>
        <v/>
      </c>
      <c r="U275" s="32" t="str">
        <f>IF($B275="","",  VLOOKUP($B275, Propostas!$B:$BE, 37, FALSE) )</f>
        <v/>
      </c>
      <c r="V275" s="13" t="str">
        <f>IF($B275="","",  VLOOKUP($B275, Propostas!$B:$BE, 50, FALSE) )</f>
        <v/>
      </c>
      <c r="W275" s="13" t="str">
        <f>IF($B275="","",  VLOOKUP($B275, Propostas!$B:$BE, 51, FALSE) )</f>
        <v/>
      </c>
      <c r="X275" s="13" t="str">
        <f>IF($B275="","",  VLOOKUP($B275, Propostas!$B:$BE, 52, FALSE) )</f>
        <v/>
      </c>
      <c r="Y275" s="13" t="str">
        <f>IF($B275="","",  VLOOKUP($B275, Propostas!$B:$BE, 36, FALSE) )</f>
        <v/>
      </c>
      <c r="Z275" s="13" t="str">
        <f>IF($B275="","",  VLOOKUP($F275, VW_PROJETO!B:C, 2, FALSE) )</f>
        <v/>
      </c>
    </row>
    <row r="276" spans="2:26" x14ac:dyDescent="0.2">
      <c r="B276" s="2"/>
      <c r="C276" s="4" t="str">
        <f>IF($B276="","",  VLOOKUP($B276, Propostas!$B:$BE, 33, FALSE) )</f>
        <v/>
      </c>
      <c r="D276" s="4" t="str">
        <f>IF($B276="","",  VLOOKUP($B276, Propostas!$B:$BE, 34, FALSE) )</f>
        <v/>
      </c>
      <c r="E276" s="4" t="str">
        <f>IF($B276="","",  VLOOKUP($B276, Propostas!$B:$BE, 35, FALSE) )</f>
        <v/>
      </c>
      <c r="F276" s="4" t="str">
        <f>IF($B276="","",  VLOOKUP($B276, Propostas!$B:$BE, 2, FALSE) )</f>
        <v/>
      </c>
      <c r="G276" s="4" t="str">
        <f>IF($B276="","",  VLOOKUP($B276, Propostas!$B:$BE, 3, FALSE) )</f>
        <v/>
      </c>
      <c r="H276" s="4" t="str">
        <f>IF($B276="","",  VLOOKUP($B276, Propostas!$B:$BE, 4, FALSE) )</f>
        <v/>
      </c>
      <c r="I276" s="4" t="str">
        <f>IF($B276="","",  VLOOKUP($B276, Propostas!$B:$BE, 38, FALSE) )</f>
        <v/>
      </c>
      <c r="J276" s="13" t="str">
        <f>IF($B276="","",IF($C276="SIM", "&lt; INFRRAESTRUTURA &gt;", VLOOKUP($B276,Propostas!$B:$BE,41,FALSE)))</f>
        <v/>
      </c>
      <c r="K276" s="10" t="str">
        <f>IF($B276="","",  VLOOKUP($B276, Propostas!$B:$BE, 40, FALSE) )</f>
        <v/>
      </c>
      <c r="L276" s="10" t="str">
        <f>IF($B276="","",IF(VLOOKUP($B276,Propostas!$B:$BE,21,FALSE)=1,"B",IF(VLOOKUP($B276,Propostas!$B:$BE,21,FALSE)=2,"E","N")))</f>
        <v/>
      </c>
      <c r="M276" s="32" t="str">
        <f>IF($B276 = "", "",  VLOOKUP($B276, Propostas!$B:$BE, 46, FALSE) )</f>
        <v/>
      </c>
      <c r="N276" s="32" t="str">
        <f>IF($B276 = "", "",  VLOOKUP($B276, Propostas!$B:$BE, 47, FALSE) )</f>
        <v/>
      </c>
      <c r="O276" s="13" t="str">
        <f>IF($B276="","",IF($C276="SIM", "INFRAESTRUTURA", VLOOKUP($B276, Propostas!$B:$BE,42,FALSE)))</f>
        <v/>
      </c>
      <c r="P276" s="32" t="str">
        <f>IF($B276 = "", "",  VLOOKUP($B276, Propostas!$B:$BE, 49, FALSE) )</f>
        <v/>
      </c>
      <c r="Q276" s="13" t="str">
        <f>IF($B276="","",  VLOOKUP($B276, Propostas!$B:$BE, 39, FALSE) )</f>
        <v/>
      </c>
      <c r="R276" s="81" t="str">
        <f>IF($B276="","",  VLOOKUP($B276, Propostas!$B:$BE, 43, FALSE) )</f>
        <v/>
      </c>
      <c r="S276" s="81" t="str">
        <f>IF($B276="","",  VLOOKUP($B276, Propostas!$B:$BE, 44, FALSE) )</f>
        <v/>
      </c>
      <c r="T276" s="81" t="str">
        <f>IF($B276="","",  VLOOKUP($B276, Propostas!$B:$BE, 45, FALSE) )</f>
        <v/>
      </c>
      <c r="U276" s="32" t="str">
        <f>IF($B276="","",  VLOOKUP($B276, Propostas!$B:$BE, 37, FALSE) )</f>
        <v/>
      </c>
      <c r="V276" s="13" t="str">
        <f>IF($B276="","",  VLOOKUP($B276, Propostas!$B:$BE, 50, FALSE) )</f>
        <v/>
      </c>
      <c r="W276" s="13" t="str">
        <f>IF($B276="","",  VLOOKUP($B276, Propostas!$B:$BE, 51, FALSE) )</f>
        <v/>
      </c>
      <c r="X276" s="13" t="str">
        <f>IF($B276="","",  VLOOKUP($B276, Propostas!$B:$BE, 52, FALSE) )</f>
        <v/>
      </c>
      <c r="Y276" s="13" t="str">
        <f>IF($B276="","",  VLOOKUP($B276, Propostas!$B:$BE, 36, FALSE) )</f>
        <v/>
      </c>
      <c r="Z276" s="13" t="str">
        <f>IF($B276="","",  VLOOKUP($F276, VW_PROJETO!B:C, 2, FALSE) )</f>
        <v/>
      </c>
    </row>
    <row r="277" spans="2:26" x14ac:dyDescent="0.2">
      <c r="B277" s="2"/>
      <c r="C277" s="4" t="str">
        <f>IF($B277="","",  VLOOKUP($B277, Propostas!$B:$BE, 33, FALSE) )</f>
        <v/>
      </c>
      <c r="D277" s="4" t="str">
        <f>IF($B277="","",  VLOOKUP($B277, Propostas!$B:$BE, 34, FALSE) )</f>
        <v/>
      </c>
      <c r="E277" s="4" t="str">
        <f>IF($B277="","",  VLOOKUP($B277, Propostas!$B:$BE, 35, FALSE) )</f>
        <v/>
      </c>
      <c r="F277" s="4" t="str">
        <f>IF($B277="","",  VLOOKUP($B277, Propostas!$B:$BE, 2, FALSE) )</f>
        <v/>
      </c>
      <c r="G277" s="4" t="str">
        <f>IF($B277="","",  VLOOKUP($B277, Propostas!$B:$BE, 3, FALSE) )</f>
        <v/>
      </c>
      <c r="H277" s="4" t="str">
        <f>IF($B277="","",  VLOOKUP($B277, Propostas!$B:$BE, 4, FALSE) )</f>
        <v/>
      </c>
      <c r="I277" s="4" t="str">
        <f>IF($B277="","",  VLOOKUP($B277, Propostas!$B:$BE, 38, FALSE) )</f>
        <v/>
      </c>
      <c r="J277" s="13" t="str">
        <f>IF($B277="","",IF($C277="SIM", "&lt; INFRRAESTRUTURA &gt;", VLOOKUP($B277,Propostas!$B:$BE,41,FALSE)))</f>
        <v/>
      </c>
      <c r="K277" s="10" t="str">
        <f>IF($B277="","",  VLOOKUP($B277, Propostas!$B:$BE, 40, FALSE) )</f>
        <v/>
      </c>
      <c r="L277" s="10" t="str">
        <f>IF($B277="","",IF(VLOOKUP($B277,Propostas!$B:$BE,21,FALSE)=1,"B",IF(VLOOKUP($B277,Propostas!$B:$BE,21,FALSE)=2,"E","N")))</f>
        <v/>
      </c>
      <c r="M277" s="32" t="str">
        <f>IF($B277 = "", "",  VLOOKUP($B277, Propostas!$B:$BE, 46, FALSE) )</f>
        <v/>
      </c>
      <c r="N277" s="32" t="str">
        <f>IF($B277 = "", "",  VLOOKUP($B277, Propostas!$B:$BE, 47, FALSE) )</f>
        <v/>
      </c>
      <c r="O277" s="13" t="str">
        <f>IF($B277="","",IF($C277="SIM", "INFRAESTRUTURA", VLOOKUP($B277, Propostas!$B:$BE,42,FALSE)))</f>
        <v/>
      </c>
      <c r="P277" s="32" t="str">
        <f>IF($B277 = "", "",  VLOOKUP($B277, Propostas!$B:$BE, 49, FALSE) )</f>
        <v/>
      </c>
      <c r="Q277" s="13" t="str">
        <f>IF($B277="","",  VLOOKUP($B277, Propostas!$B:$BE, 39, FALSE) )</f>
        <v/>
      </c>
      <c r="R277" s="81" t="str">
        <f>IF($B277="","",  VLOOKUP($B277, Propostas!$B:$BE, 43, FALSE) )</f>
        <v/>
      </c>
      <c r="S277" s="81" t="str">
        <f>IF($B277="","",  VLOOKUP($B277, Propostas!$B:$BE, 44, FALSE) )</f>
        <v/>
      </c>
      <c r="T277" s="81" t="str">
        <f>IF($B277="","",  VLOOKUP($B277, Propostas!$B:$BE, 45, FALSE) )</f>
        <v/>
      </c>
      <c r="U277" s="32" t="str">
        <f>IF($B277="","",  VLOOKUP($B277, Propostas!$B:$BE, 37, FALSE) )</f>
        <v/>
      </c>
      <c r="V277" s="13" t="str">
        <f>IF($B277="","",  VLOOKUP($B277, Propostas!$B:$BE, 50, FALSE) )</f>
        <v/>
      </c>
      <c r="W277" s="13" t="str">
        <f>IF($B277="","",  VLOOKUP($B277, Propostas!$B:$BE, 51, FALSE) )</f>
        <v/>
      </c>
      <c r="X277" s="13" t="str">
        <f>IF($B277="","",  VLOOKUP($B277, Propostas!$B:$BE, 52, FALSE) )</f>
        <v/>
      </c>
      <c r="Y277" s="13" t="str">
        <f>IF($B277="","",  VLOOKUP($B277, Propostas!$B:$BE, 36, FALSE) )</f>
        <v/>
      </c>
      <c r="Z277" s="13" t="str">
        <f>IF($B277="","",  VLOOKUP($F277, VW_PROJETO!B:C, 2, FALSE) )</f>
        <v/>
      </c>
    </row>
    <row r="278" spans="2:26" x14ac:dyDescent="0.2">
      <c r="B278" s="2"/>
      <c r="C278" s="4" t="str">
        <f>IF($B278="","",  VLOOKUP($B278, Propostas!$B:$BE, 33, FALSE) )</f>
        <v/>
      </c>
      <c r="D278" s="4" t="str">
        <f>IF($B278="","",  VLOOKUP($B278, Propostas!$B:$BE, 34, FALSE) )</f>
        <v/>
      </c>
      <c r="E278" s="4" t="str">
        <f>IF($B278="","",  VLOOKUP($B278, Propostas!$B:$BE, 35, FALSE) )</f>
        <v/>
      </c>
      <c r="F278" s="4" t="str">
        <f>IF($B278="","",  VLOOKUP($B278, Propostas!$B:$BE, 2, FALSE) )</f>
        <v/>
      </c>
      <c r="G278" s="4" t="str">
        <f>IF($B278="","",  VLOOKUP($B278, Propostas!$B:$BE, 3, FALSE) )</f>
        <v/>
      </c>
      <c r="H278" s="4" t="str">
        <f>IF($B278="","",  VLOOKUP($B278, Propostas!$B:$BE, 4, FALSE) )</f>
        <v/>
      </c>
      <c r="I278" s="4" t="str">
        <f>IF($B278="","",  VLOOKUP($B278, Propostas!$B:$BE, 38, FALSE) )</f>
        <v/>
      </c>
      <c r="J278" s="13" t="str">
        <f>IF($B278="","",IF($C278="SIM", "&lt; INFRRAESTRUTURA &gt;", VLOOKUP($B278,Propostas!$B:$BE,41,FALSE)))</f>
        <v/>
      </c>
      <c r="K278" s="10" t="str">
        <f>IF($B278="","",  VLOOKUP($B278, Propostas!$B:$BE, 40, FALSE) )</f>
        <v/>
      </c>
      <c r="L278" s="10" t="str">
        <f>IF($B278="","",IF(VLOOKUP($B278,Propostas!$B:$BE,21,FALSE)=1,"B",IF(VLOOKUP($B278,Propostas!$B:$BE,21,FALSE)=2,"E","N")))</f>
        <v/>
      </c>
      <c r="M278" s="32" t="str">
        <f>IF($B278 = "", "",  VLOOKUP($B278, Propostas!$B:$BE, 46, FALSE) )</f>
        <v/>
      </c>
      <c r="N278" s="32" t="str">
        <f>IF($B278 = "", "",  VLOOKUP($B278, Propostas!$B:$BE, 47, FALSE) )</f>
        <v/>
      </c>
      <c r="O278" s="13" t="str">
        <f>IF($B278="","",IF($C278="SIM", "INFRAESTRUTURA", VLOOKUP($B278, Propostas!$B:$BE,42,FALSE)))</f>
        <v/>
      </c>
      <c r="P278" s="32" t="str">
        <f>IF($B278 = "", "",  VLOOKUP($B278, Propostas!$B:$BE, 49, FALSE) )</f>
        <v/>
      </c>
      <c r="Q278" s="13" t="str">
        <f>IF($B278="","",  VLOOKUP($B278, Propostas!$B:$BE, 39, FALSE) )</f>
        <v/>
      </c>
      <c r="R278" s="81" t="str">
        <f>IF($B278="","",  VLOOKUP($B278, Propostas!$B:$BE, 43, FALSE) )</f>
        <v/>
      </c>
      <c r="S278" s="81" t="str">
        <f>IF($B278="","",  VLOOKUP($B278, Propostas!$B:$BE, 44, FALSE) )</f>
        <v/>
      </c>
      <c r="T278" s="81" t="str">
        <f>IF($B278="","",  VLOOKUP($B278, Propostas!$B:$BE, 45, FALSE) )</f>
        <v/>
      </c>
      <c r="U278" s="32" t="str">
        <f>IF($B278="","",  VLOOKUP($B278, Propostas!$B:$BE, 37, FALSE) )</f>
        <v/>
      </c>
      <c r="V278" s="13" t="str">
        <f>IF($B278="","",  VLOOKUP($B278, Propostas!$B:$BE, 50, FALSE) )</f>
        <v/>
      </c>
      <c r="W278" s="13" t="str">
        <f>IF($B278="","",  VLOOKUP($B278, Propostas!$B:$BE, 51, FALSE) )</f>
        <v/>
      </c>
      <c r="X278" s="13" t="str">
        <f>IF($B278="","",  VLOOKUP($B278, Propostas!$B:$BE, 52, FALSE) )</f>
        <v/>
      </c>
      <c r="Y278" s="13" t="str">
        <f>IF($B278="","",  VLOOKUP($B278, Propostas!$B:$BE, 36, FALSE) )</f>
        <v/>
      </c>
      <c r="Z278" s="13" t="str">
        <f>IF($B278="","",  VLOOKUP($F278, VW_PROJETO!B:C, 2, FALSE) )</f>
        <v/>
      </c>
    </row>
    <row r="279" spans="2:26" x14ac:dyDescent="0.2">
      <c r="B279" s="2"/>
      <c r="C279" s="4" t="str">
        <f>IF($B279="","",  VLOOKUP($B279, Propostas!$B:$BE, 33, FALSE) )</f>
        <v/>
      </c>
      <c r="D279" s="4" t="str">
        <f>IF($B279="","",  VLOOKUP($B279, Propostas!$B:$BE, 34, FALSE) )</f>
        <v/>
      </c>
      <c r="E279" s="4" t="str">
        <f>IF($B279="","",  VLOOKUP($B279, Propostas!$B:$BE, 35, FALSE) )</f>
        <v/>
      </c>
      <c r="F279" s="4" t="str">
        <f>IF($B279="","",  VLOOKUP($B279, Propostas!$B:$BE, 2, FALSE) )</f>
        <v/>
      </c>
      <c r="G279" s="4" t="str">
        <f>IF($B279="","",  VLOOKUP($B279, Propostas!$B:$BE, 3, FALSE) )</f>
        <v/>
      </c>
      <c r="H279" s="4" t="str">
        <f>IF($B279="","",  VLOOKUP($B279, Propostas!$B:$BE, 4, FALSE) )</f>
        <v/>
      </c>
      <c r="I279" s="4" t="str">
        <f>IF($B279="","",  VLOOKUP($B279, Propostas!$B:$BE, 38, FALSE) )</f>
        <v/>
      </c>
      <c r="J279" s="13" t="str">
        <f>IF($B279="","",IF($C279="SIM", "&lt; INFRRAESTRUTURA &gt;", VLOOKUP($B279,Propostas!$B:$BE,41,FALSE)))</f>
        <v/>
      </c>
      <c r="K279" s="10" t="str">
        <f>IF($B279="","",  VLOOKUP($B279, Propostas!$B:$BE, 40, FALSE) )</f>
        <v/>
      </c>
      <c r="L279" s="10" t="str">
        <f>IF($B279="","",IF(VLOOKUP($B279,Propostas!$B:$BE,21,FALSE)=1,"B",IF(VLOOKUP($B279,Propostas!$B:$BE,21,FALSE)=2,"E","N")))</f>
        <v/>
      </c>
      <c r="M279" s="32" t="str">
        <f>IF($B279 = "", "",  VLOOKUP($B279, Propostas!$B:$BE, 46, FALSE) )</f>
        <v/>
      </c>
      <c r="N279" s="32" t="str">
        <f>IF($B279 = "", "",  VLOOKUP($B279, Propostas!$B:$BE, 47, FALSE) )</f>
        <v/>
      </c>
      <c r="O279" s="13" t="str">
        <f>IF($B279="","",IF($C279="SIM", "INFRAESTRUTURA", VLOOKUP($B279, Propostas!$B:$BE,42,FALSE)))</f>
        <v/>
      </c>
      <c r="P279" s="32" t="str">
        <f>IF($B279 = "", "",  VLOOKUP($B279, Propostas!$B:$BE, 49, FALSE) )</f>
        <v/>
      </c>
      <c r="Q279" s="13" t="str">
        <f>IF($B279="","",  VLOOKUP($B279, Propostas!$B:$BE, 39, FALSE) )</f>
        <v/>
      </c>
      <c r="R279" s="81" t="str">
        <f>IF($B279="","",  VLOOKUP($B279, Propostas!$B:$BE, 43, FALSE) )</f>
        <v/>
      </c>
      <c r="S279" s="81" t="str">
        <f>IF($B279="","",  VLOOKUP($B279, Propostas!$B:$BE, 44, FALSE) )</f>
        <v/>
      </c>
      <c r="T279" s="81" t="str">
        <f>IF($B279="","",  VLOOKUP($B279, Propostas!$B:$BE, 45, FALSE) )</f>
        <v/>
      </c>
      <c r="U279" s="32" t="str">
        <f>IF($B279="","",  VLOOKUP($B279, Propostas!$B:$BE, 37, FALSE) )</f>
        <v/>
      </c>
      <c r="V279" s="13" t="str">
        <f>IF($B279="","",  VLOOKUP($B279, Propostas!$B:$BE, 50, FALSE) )</f>
        <v/>
      </c>
      <c r="W279" s="13" t="str">
        <f>IF($B279="","",  VLOOKUP($B279, Propostas!$B:$BE, 51, FALSE) )</f>
        <v/>
      </c>
      <c r="X279" s="13" t="str">
        <f>IF($B279="","",  VLOOKUP($B279, Propostas!$B:$BE, 52, FALSE) )</f>
        <v/>
      </c>
      <c r="Y279" s="13" t="str">
        <f>IF($B279="","",  VLOOKUP($B279, Propostas!$B:$BE, 36, FALSE) )</f>
        <v/>
      </c>
      <c r="Z279" s="13" t="str">
        <f>IF($B279="","",  VLOOKUP($F279, VW_PROJETO!B:C, 2, FALSE) )</f>
        <v/>
      </c>
    </row>
    <row r="280" spans="2:26" x14ac:dyDescent="0.2">
      <c r="B280" s="2"/>
      <c r="C280" s="4" t="str">
        <f>IF($B280="","",  VLOOKUP($B280, Propostas!$B:$BE, 33, FALSE) )</f>
        <v/>
      </c>
      <c r="D280" s="4" t="str">
        <f>IF($B280="","",  VLOOKUP($B280, Propostas!$B:$BE, 34, FALSE) )</f>
        <v/>
      </c>
      <c r="E280" s="4" t="str">
        <f>IF($B280="","",  VLOOKUP($B280, Propostas!$B:$BE, 35, FALSE) )</f>
        <v/>
      </c>
      <c r="F280" s="4" t="str">
        <f>IF($B280="","",  VLOOKUP($B280, Propostas!$B:$BE, 2, FALSE) )</f>
        <v/>
      </c>
      <c r="G280" s="4" t="str">
        <f>IF($B280="","",  VLOOKUP($B280, Propostas!$B:$BE, 3, FALSE) )</f>
        <v/>
      </c>
      <c r="H280" s="4" t="str">
        <f>IF($B280="","",  VLOOKUP($B280, Propostas!$B:$BE, 4, FALSE) )</f>
        <v/>
      </c>
      <c r="I280" s="4" t="str">
        <f>IF($B280="","",  VLOOKUP($B280, Propostas!$B:$BE, 38, FALSE) )</f>
        <v/>
      </c>
      <c r="J280" s="13" t="str">
        <f>IF($B280="","",IF($C280="SIM", "&lt; INFRRAESTRUTURA &gt;", VLOOKUP($B280,Propostas!$B:$BE,41,FALSE)))</f>
        <v/>
      </c>
      <c r="K280" s="10" t="str">
        <f>IF($B280="","",  VLOOKUP($B280, Propostas!$B:$BE, 40, FALSE) )</f>
        <v/>
      </c>
      <c r="L280" s="10" t="str">
        <f>IF($B280="","",IF(VLOOKUP($B280,Propostas!$B:$BE,21,FALSE)=1,"B",IF(VLOOKUP($B280,Propostas!$B:$BE,21,FALSE)=2,"E","N")))</f>
        <v/>
      </c>
      <c r="M280" s="32" t="str">
        <f>IF($B280 = "", "",  VLOOKUP($B280, Propostas!$B:$BE, 46, FALSE) )</f>
        <v/>
      </c>
      <c r="N280" s="32" t="str">
        <f>IF($B280 = "", "",  VLOOKUP($B280, Propostas!$B:$BE, 47, FALSE) )</f>
        <v/>
      </c>
      <c r="O280" s="13" t="str">
        <f>IF($B280="","",IF($C280="SIM", "INFRAESTRUTURA", VLOOKUP($B280, Propostas!$B:$BE,42,FALSE)))</f>
        <v/>
      </c>
      <c r="P280" s="32" t="str">
        <f>IF($B280 = "", "",  VLOOKUP($B280, Propostas!$B:$BE, 49, FALSE) )</f>
        <v/>
      </c>
      <c r="Q280" s="13" t="str">
        <f>IF($B280="","",  VLOOKUP($B280, Propostas!$B:$BE, 39, FALSE) )</f>
        <v/>
      </c>
      <c r="R280" s="81" t="str">
        <f>IF($B280="","",  VLOOKUP($B280, Propostas!$B:$BE, 43, FALSE) )</f>
        <v/>
      </c>
      <c r="S280" s="81" t="str">
        <f>IF($B280="","",  VLOOKUP($B280, Propostas!$B:$BE, 44, FALSE) )</f>
        <v/>
      </c>
      <c r="T280" s="81" t="str">
        <f>IF($B280="","",  VLOOKUP($B280, Propostas!$B:$BE, 45, FALSE) )</f>
        <v/>
      </c>
      <c r="U280" s="32" t="str">
        <f>IF($B280="","",  VLOOKUP($B280, Propostas!$B:$BE, 37, FALSE) )</f>
        <v/>
      </c>
      <c r="V280" s="13" t="str">
        <f>IF($B280="","",  VLOOKUP($B280, Propostas!$B:$BE, 50, FALSE) )</f>
        <v/>
      </c>
      <c r="W280" s="13" t="str">
        <f>IF($B280="","",  VLOOKUP($B280, Propostas!$B:$BE, 51, FALSE) )</f>
        <v/>
      </c>
      <c r="X280" s="13" t="str">
        <f>IF($B280="","",  VLOOKUP($B280, Propostas!$B:$BE, 52, FALSE) )</f>
        <v/>
      </c>
      <c r="Y280" s="13" t="str">
        <f>IF($B280="","",  VLOOKUP($B280, Propostas!$B:$BE, 36, FALSE) )</f>
        <v/>
      </c>
      <c r="Z280" s="13" t="str">
        <f>IF($B280="","",  VLOOKUP($F280, VW_PROJETO!B:C, 2, FALSE) )</f>
        <v/>
      </c>
    </row>
    <row r="281" spans="2:26" x14ac:dyDescent="0.2">
      <c r="B281" s="2"/>
      <c r="C281" s="4" t="str">
        <f>IF($B281="","",  VLOOKUP($B281, Propostas!$B:$BE, 33, FALSE) )</f>
        <v/>
      </c>
      <c r="D281" s="4" t="str">
        <f>IF($B281="","",  VLOOKUP($B281, Propostas!$B:$BE, 34, FALSE) )</f>
        <v/>
      </c>
      <c r="E281" s="4" t="str">
        <f>IF($B281="","",  VLOOKUP($B281, Propostas!$B:$BE, 35, FALSE) )</f>
        <v/>
      </c>
      <c r="F281" s="4" t="str">
        <f>IF($B281="","",  VLOOKUP($B281, Propostas!$B:$BE, 2, FALSE) )</f>
        <v/>
      </c>
      <c r="G281" s="4" t="str">
        <f>IF($B281="","",  VLOOKUP($B281, Propostas!$B:$BE, 3, FALSE) )</f>
        <v/>
      </c>
      <c r="H281" s="4" t="str">
        <f>IF($B281="","",  VLOOKUP($B281, Propostas!$B:$BE, 4, FALSE) )</f>
        <v/>
      </c>
      <c r="I281" s="4" t="str">
        <f>IF($B281="","",  VLOOKUP($B281, Propostas!$B:$BE, 38, FALSE) )</f>
        <v/>
      </c>
      <c r="J281" s="13" t="str">
        <f>IF($B281="","",IF($C281="SIM", "&lt; INFRRAESTRUTURA &gt;", VLOOKUP($B281,Propostas!$B:$BE,41,FALSE)))</f>
        <v/>
      </c>
      <c r="K281" s="10" t="str">
        <f>IF($B281="","",  VLOOKUP($B281, Propostas!$B:$BE, 40, FALSE) )</f>
        <v/>
      </c>
      <c r="L281" s="10" t="str">
        <f>IF($B281="","",IF(VLOOKUP($B281,Propostas!$B:$BE,21,FALSE)=1,"B",IF(VLOOKUP($B281,Propostas!$B:$BE,21,FALSE)=2,"E","N")))</f>
        <v/>
      </c>
      <c r="M281" s="32" t="str">
        <f>IF($B281 = "", "",  VLOOKUP($B281, Propostas!$B:$BE, 46, FALSE) )</f>
        <v/>
      </c>
      <c r="N281" s="32" t="str">
        <f>IF($B281 = "", "",  VLOOKUP($B281, Propostas!$B:$BE, 47, FALSE) )</f>
        <v/>
      </c>
      <c r="O281" s="13" t="str">
        <f>IF($B281="","",IF($C281="SIM", "INFRAESTRUTURA", VLOOKUP($B281, Propostas!$B:$BE,42,FALSE)))</f>
        <v/>
      </c>
      <c r="P281" s="32" t="str">
        <f>IF($B281 = "", "",  VLOOKUP($B281, Propostas!$B:$BE, 49, FALSE) )</f>
        <v/>
      </c>
      <c r="Q281" s="13" t="str">
        <f>IF($B281="","",  VLOOKUP($B281, Propostas!$B:$BE, 39, FALSE) )</f>
        <v/>
      </c>
      <c r="R281" s="81" t="str">
        <f>IF($B281="","",  VLOOKUP($B281, Propostas!$B:$BE, 43, FALSE) )</f>
        <v/>
      </c>
      <c r="S281" s="81" t="str">
        <f>IF($B281="","",  VLOOKUP($B281, Propostas!$B:$BE, 44, FALSE) )</f>
        <v/>
      </c>
      <c r="T281" s="81" t="str">
        <f>IF($B281="","",  VLOOKUP($B281, Propostas!$B:$BE, 45, FALSE) )</f>
        <v/>
      </c>
      <c r="U281" s="32" t="str">
        <f>IF($B281="","",  VLOOKUP($B281, Propostas!$B:$BE, 37, FALSE) )</f>
        <v/>
      </c>
      <c r="V281" s="13" t="str">
        <f>IF($B281="","",  VLOOKUP($B281, Propostas!$B:$BE, 50, FALSE) )</f>
        <v/>
      </c>
      <c r="W281" s="13" t="str">
        <f>IF($B281="","",  VLOOKUP($B281, Propostas!$B:$BE, 51, FALSE) )</f>
        <v/>
      </c>
      <c r="X281" s="13" t="str">
        <f>IF($B281="","",  VLOOKUP($B281, Propostas!$B:$BE, 52, FALSE) )</f>
        <v/>
      </c>
      <c r="Y281" s="13" t="str">
        <f>IF($B281="","",  VLOOKUP($B281, Propostas!$B:$BE, 36, FALSE) )</f>
        <v/>
      </c>
      <c r="Z281" s="13" t="str">
        <f>IF($B281="","",  VLOOKUP($F281, VW_PROJETO!B:C, 2, FALSE) )</f>
        <v/>
      </c>
    </row>
    <row r="282" spans="2:26" x14ac:dyDescent="0.2">
      <c r="B282" s="2"/>
      <c r="C282" s="4" t="str">
        <f>IF($B282="","",  VLOOKUP($B282, Propostas!$B:$BE, 33, FALSE) )</f>
        <v/>
      </c>
      <c r="D282" s="4" t="str">
        <f>IF($B282="","",  VLOOKUP($B282, Propostas!$B:$BE, 34, FALSE) )</f>
        <v/>
      </c>
      <c r="E282" s="4" t="str">
        <f>IF($B282="","",  VLOOKUP($B282, Propostas!$B:$BE, 35, FALSE) )</f>
        <v/>
      </c>
      <c r="F282" s="4" t="str">
        <f>IF($B282="","",  VLOOKUP($B282, Propostas!$B:$BE, 2, FALSE) )</f>
        <v/>
      </c>
      <c r="G282" s="4" t="str">
        <f>IF($B282="","",  VLOOKUP($B282, Propostas!$B:$BE, 3, FALSE) )</f>
        <v/>
      </c>
      <c r="H282" s="4" t="str">
        <f>IF($B282="","",  VLOOKUP($B282, Propostas!$B:$BE, 4, FALSE) )</f>
        <v/>
      </c>
      <c r="I282" s="4" t="str">
        <f>IF($B282="","",  VLOOKUP($B282, Propostas!$B:$BE, 38, FALSE) )</f>
        <v/>
      </c>
      <c r="J282" s="13" t="str">
        <f>IF($B282="","",IF($C282="SIM", "&lt; INFRRAESTRUTURA &gt;", VLOOKUP($B282,Propostas!$B:$BE,41,FALSE)))</f>
        <v/>
      </c>
      <c r="K282" s="10" t="str">
        <f>IF($B282="","",  VLOOKUP($B282, Propostas!$B:$BE, 40, FALSE) )</f>
        <v/>
      </c>
      <c r="L282" s="10" t="str">
        <f>IF($B282="","",IF(VLOOKUP($B282,Propostas!$B:$BE,21,FALSE)=1,"B",IF(VLOOKUP($B282,Propostas!$B:$BE,21,FALSE)=2,"E","N")))</f>
        <v/>
      </c>
      <c r="M282" s="32" t="str">
        <f>IF($B282 = "", "",  VLOOKUP($B282, Propostas!$B:$BE, 46, FALSE) )</f>
        <v/>
      </c>
      <c r="N282" s="32" t="str">
        <f>IF($B282 = "", "",  VLOOKUP($B282, Propostas!$B:$BE, 47, FALSE) )</f>
        <v/>
      </c>
      <c r="O282" s="13" t="str">
        <f>IF($B282="","",IF($C282="SIM", "INFRAESTRUTURA", VLOOKUP($B282, Propostas!$B:$BE,42,FALSE)))</f>
        <v/>
      </c>
      <c r="P282" s="32" t="str">
        <f>IF($B282 = "", "",  VLOOKUP($B282, Propostas!$B:$BE, 49, FALSE) )</f>
        <v/>
      </c>
      <c r="Q282" s="13" t="str">
        <f>IF($B282="","",  VLOOKUP($B282, Propostas!$B:$BE, 39, FALSE) )</f>
        <v/>
      </c>
      <c r="R282" s="81" t="str">
        <f>IF($B282="","",  VLOOKUP($B282, Propostas!$B:$BE, 43, FALSE) )</f>
        <v/>
      </c>
      <c r="S282" s="81" t="str">
        <f>IF($B282="","",  VLOOKUP($B282, Propostas!$B:$BE, 44, FALSE) )</f>
        <v/>
      </c>
      <c r="T282" s="81" t="str">
        <f>IF($B282="","",  VLOOKUP($B282, Propostas!$B:$BE, 45, FALSE) )</f>
        <v/>
      </c>
      <c r="U282" s="32" t="str">
        <f>IF($B282="","",  VLOOKUP($B282, Propostas!$B:$BE, 37, FALSE) )</f>
        <v/>
      </c>
      <c r="V282" s="13" t="str">
        <f>IF($B282="","",  VLOOKUP($B282, Propostas!$B:$BE, 50, FALSE) )</f>
        <v/>
      </c>
      <c r="W282" s="13" t="str">
        <f>IF($B282="","",  VLOOKUP($B282, Propostas!$B:$BE, 51, FALSE) )</f>
        <v/>
      </c>
      <c r="X282" s="13" t="str">
        <f>IF($B282="","",  VLOOKUP($B282, Propostas!$B:$BE, 52, FALSE) )</f>
        <v/>
      </c>
      <c r="Y282" s="13" t="str">
        <f>IF($B282="","",  VLOOKUP($B282, Propostas!$B:$BE, 36, FALSE) )</f>
        <v/>
      </c>
      <c r="Z282" s="13" t="str">
        <f>IF($B282="","",  VLOOKUP($F282, VW_PROJETO!B:C, 2, FALSE) )</f>
        <v/>
      </c>
    </row>
    <row r="283" spans="2:26" x14ac:dyDescent="0.2">
      <c r="B283" s="2"/>
      <c r="C283" s="4" t="str">
        <f>IF($B283="","",  VLOOKUP($B283, Propostas!$B:$BE, 33, FALSE) )</f>
        <v/>
      </c>
      <c r="D283" s="4" t="str">
        <f>IF($B283="","",  VLOOKUP($B283, Propostas!$B:$BE, 34, FALSE) )</f>
        <v/>
      </c>
      <c r="E283" s="4" t="str">
        <f>IF($B283="","",  VLOOKUP($B283, Propostas!$B:$BE, 35, FALSE) )</f>
        <v/>
      </c>
      <c r="F283" s="4" t="str">
        <f>IF($B283="","",  VLOOKUP($B283, Propostas!$B:$BE, 2, FALSE) )</f>
        <v/>
      </c>
      <c r="G283" s="4" t="str">
        <f>IF($B283="","",  VLOOKUP($B283, Propostas!$B:$BE, 3, FALSE) )</f>
        <v/>
      </c>
      <c r="H283" s="4" t="str">
        <f>IF($B283="","",  VLOOKUP($B283, Propostas!$B:$BE, 4, FALSE) )</f>
        <v/>
      </c>
      <c r="I283" s="4" t="str">
        <f>IF($B283="","",  VLOOKUP($B283, Propostas!$B:$BE, 38, FALSE) )</f>
        <v/>
      </c>
      <c r="J283" s="13" t="str">
        <f>IF($B283="","",IF($C283="SIM", "&lt; INFRRAESTRUTURA &gt;", VLOOKUP($B283,Propostas!$B:$BE,41,FALSE)))</f>
        <v/>
      </c>
      <c r="K283" s="10" t="str">
        <f>IF($B283="","",  VLOOKUP($B283, Propostas!$B:$BE, 40, FALSE) )</f>
        <v/>
      </c>
      <c r="L283" s="10" t="str">
        <f>IF($B283="","",IF(VLOOKUP($B283,Propostas!$B:$BE,21,FALSE)=1,"B",IF(VLOOKUP($B283,Propostas!$B:$BE,21,FALSE)=2,"E","N")))</f>
        <v/>
      </c>
      <c r="M283" s="32" t="str">
        <f>IF($B283 = "", "",  VLOOKUP($B283, Propostas!$B:$BE, 46, FALSE) )</f>
        <v/>
      </c>
      <c r="N283" s="32" t="str">
        <f>IF($B283 = "", "",  VLOOKUP($B283, Propostas!$B:$BE, 47, FALSE) )</f>
        <v/>
      </c>
      <c r="O283" s="13" t="str">
        <f>IF($B283="","",IF($C283="SIM", "INFRAESTRUTURA", VLOOKUP($B283, Propostas!$B:$BE,42,FALSE)))</f>
        <v/>
      </c>
      <c r="P283" s="32" t="str">
        <f>IF($B283 = "", "",  VLOOKUP($B283, Propostas!$B:$BE, 49, FALSE) )</f>
        <v/>
      </c>
      <c r="Q283" s="13" t="str">
        <f>IF($B283="","",  VLOOKUP($B283, Propostas!$B:$BE, 39, FALSE) )</f>
        <v/>
      </c>
      <c r="R283" s="81" t="str">
        <f>IF($B283="","",  VLOOKUP($B283, Propostas!$B:$BE, 43, FALSE) )</f>
        <v/>
      </c>
      <c r="S283" s="81" t="str">
        <f>IF($B283="","",  VLOOKUP($B283, Propostas!$B:$BE, 44, FALSE) )</f>
        <v/>
      </c>
      <c r="T283" s="81" t="str">
        <f>IF($B283="","",  VLOOKUP($B283, Propostas!$B:$BE, 45, FALSE) )</f>
        <v/>
      </c>
      <c r="U283" s="32" t="str">
        <f>IF($B283="","",  VLOOKUP($B283, Propostas!$B:$BE, 37, FALSE) )</f>
        <v/>
      </c>
      <c r="V283" s="13" t="str">
        <f>IF($B283="","",  VLOOKUP($B283, Propostas!$B:$BE, 50, FALSE) )</f>
        <v/>
      </c>
      <c r="W283" s="13" t="str">
        <f>IF($B283="","",  VLOOKUP($B283, Propostas!$B:$BE, 51, FALSE) )</f>
        <v/>
      </c>
      <c r="X283" s="13" t="str">
        <f>IF($B283="","",  VLOOKUP($B283, Propostas!$B:$BE, 52, FALSE) )</f>
        <v/>
      </c>
      <c r="Y283" s="13" t="str">
        <f>IF($B283="","",  VLOOKUP($B283, Propostas!$B:$BE, 36, FALSE) )</f>
        <v/>
      </c>
      <c r="Z283" s="13" t="str">
        <f>IF($B283="","",  VLOOKUP($F283, VW_PROJETO!B:C, 2, FALSE) )</f>
        <v/>
      </c>
    </row>
    <row r="284" spans="2:26" x14ac:dyDescent="0.2">
      <c r="B284" s="2"/>
      <c r="C284" s="4" t="str">
        <f>IF($B284="","",  VLOOKUP($B284, Propostas!$B:$BE, 33, FALSE) )</f>
        <v/>
      </c>
      <c r="D284" s="4" t="str">
        <f>IF($B284="","",  VLOOKUP($B284, Propostas!$B:$BE, 34, FALSE) )</f>
        <v/>
      </c>
      <c r="E284" s="4" t="str">
        <f>IF($B284="","",  VLOOKUP($B284, Propostas!$B:$BE, 35, FALSE) )</f>
        <v/>
      </c>
      <c r="F284" s="4" t="str">
        <f>IF($B284="","",  VLOOKUP($B284, Propostas!$B:$BE, 2, FALSE) )</f>
        <v/>
      </c>
      <c r="G284" s="4" t="str">
        <f>IF($B284="","",  VLOOKUP($B284, Propostas!$B:$BE, 3, FALSE) )</f>
        <v/>
      </c>
      <c r="H284" s="4" t="str">
        <f>IF($B284="","",  VLOOKUP($B284, Propostas!$B:$BE, 4, FALSE) )</f>
        <v/>
      </c>
      <c r="I284" s="4" t="str">
        <f>IF($B284="","",  VLOOKUP($B284, Propostas!$B:$BE, 38, FALSE) )</f>
        <v/>
      </c>
      <c r="J284" s="13" t="str">
        <f>IF($B284="","",IF($C284="SIM", "&lt; INFRRAESTRUTURA &gt;", VLOOKUP($B284,Propostas!$B:$BE,41,FALSE)))</f>
        <v/>
      </c>
      <c r="K284" s="10" t="str">
        <f>IF($B284="","",  VLOOKUP($B284, Propostas!$B:$BE, 40, FALSE) )</f>
        <v/>
      </c>
      <c r="L284" s="10" t="str">
        <f>IF($B284="","",IF(VLOOKUP($B284,Propostas!$B:$BE,21,FALSE)=1,"B",IF(VLOOKUP($B284,Propostas!$B:$BE,21,FALSE)=2,"E","N")))</f>
        <v/>
      </c>
      <c r="M284" s="32" t="str">
        <f>IF($B284 = "", "",  VLOOKUP($B284, Propostas!$B:$BE, 46, FALSE) )</f>
        <v/>
      </c>
      <c r="N284" s="32" t="str">
        <f>IF($B284 = "", "",  VLOOKUP($B284, Propostas!$B:$BE, 47, FALSE) )</f>
        <v/>
      </c>
      <c r="O284" s="13" t="str">
        <f>IF($B284="","",IF($C284="SIM", "INFRAESTRUTURA", VLOOKUP($B284, Propostas!$B:$BE,42,FALSE)))</f>
        <v/>
      </c>
      <c r="P284" s="32" t="str">
        <f>IF($B284 = "", "",  VLOOKUP($B284, Propostas!$B:$BE, 49, FALSE) )</f>
        <v/>
      </c>
      <c r="Q284" s="13" t="str">
        <f>IF($B284="","",  VLOOKUP($B284, Propostas!$B:$BE, 39, FALSE) )</f>
        <v/>
      </c>
      <c r="R284" s="81" t="str">
        <f>IF($B284="","",  VLOOKUP($B284, Propostas!$B:$BE, 43, FALSE) )</f>
        <v/>
      </c>
      <c r="S284" s="81" t="str">
        <f>IF($B284="","",  VLOOKUP($B284, Propostas!$B:$BE, 44, FALSE) )</f>
        <v/>
      </c>
      <c r="T284" s="81" t="str">
        <f>IF($B284="","",  VLOOKUP($B284, Propostas!$B:$BE, 45, FALSE) )</f>
        <v/>
      </c>
      <c r="U284" s="32" t="str">
        <f>IF($B284="","",  VLOOKUP($B284, Propostas!$B:$BE, 37, FALSE) )</f>
        <v/>
      </c>
      <c r="V284" s="13" t="str">
        <f>IF($B284="","",  VLOOKUP($B284, Propostas!$B:$BE, 50, FALSE) )</f>
        <v/>
      </c>
      <c r="W284" s="13" t="str">
        <f>IF($B284="","",  VLOOKUP($B284, Propostas!$B:$BE, 51, FALSE) )</f>
        <v/>
      </c>
      <c r="X284" s="13" t="str">
        <f>IF($B284="","",  VLOOKUP($B284, Propostas!$B:$BE, 52, FALSE) )</f>
        <v/>
      </c>
      <c r="Y284" s="13" t="str">
        <f>IF($B284="","",  VLOOKUP($B284, Propostas!$B:$BE, 36, FALSE) )</f>
        <v/>
      </c>
      <c r="Z284" s="13" t="str">
        <f>IF($B284="","",  VLOOKUP($F284, VW_PROJETO!B:C, 2, FALSE) )</f>
        <v/>
      </c>
    </row>
    <row r="285" spans="2:26" x14ac:dyDescent="0.2">
      <c r="B285" s="2"/>
      <c r="C285" s="4" t="str">
        <f>IF($B285="","",  VLOOKUP($B285, Propostas!$B:$BE, 33, FALSE) )</f>
        <v/>
      </c>
      <c r="D285" s="4" t="str">
        <f>IF($B285="","",  VLOOKUP($B285, Propostas!$B:$BE, 34, FALSE) )</f>
        <v/>
      </c>
      <c r="E285" s="4" t="str">
        <f>IF($B285="","",  VLOOKUP($B285, Propostas!$B:$BE, 35, FALSE) )</f>
        <v/>
      </c>
      <c r="F285" s="4" t="str">
        <f>IF($B285="","",  VLOOKUP($B285, Propostas!$B:$BE, 2, FALSE) )</f>
        <v/>
      </c>
      <c r="G285" s="4" t="str">
        <f>IF($B285="","",  VLOOKUP($B285, Propostas!$B:$BE, 3, FALSE) )</f>
        <v/>
      </c>
      <c r="H285" s="4" t="str">
        <f>IF($B285="","",  VLOOKUP($B285, Propostas!$B:$BE, 4, FALSE) )</f>
        <v/>
      </c>
      <c r="I285" s="4" t="str">
        <f>IF($B285="","",  VLOOKUP($B285, Propostas!$B:$BE, 38, FALSE) )</f>
        <v/>
      </c>
      <c r="J285" s="13" t="str">
        <f>IF($B285="","",IF($C285="SIM", "&lt; INFRRAESTRUTURA &gt;", VLOOKUP($B285,Propostas!$B:$BE,41,FALSE)))</f>
        <v/>
      </c>
      <c r="K285" s="10" t="str">
        <f>IF($B285="","",  VLOOKUP($B285, Propostas!$B:$BE, 40, FALSE) )</f>
        <v/>
      </c>
      <c r="L285" s="10" t="str">
        <f>IF($B285="","",IF(VLOOKUP($B285,Propostas!$B:$BE,21,FALSE)=1,"B",IF(VLOOKUP($B285,Propostas!$B:$BE,21,FALSE)=2,"E","N")))</f>
        <v/>
      </c>
      <c r="M285" s="32" t="str">
        <f>IF($B285 = "", "",  VLOOKUP($B285, Propostas!$B:$BE, 46, FALSE) )</f>
        <v/>
      </c>
      <c r="N285" s="32" t="str">
        <f>IF($B285 = "", "",  VLOOKUP($B285, Propostas!$B:$BE, 47, FALSE) )</f>
        <v/>
      </c>
      <c r="O285" s="13" t="str">
        <f>IF($B285="","",IF($C285="SIM", "INFRAESTRUTURA", VLOOKUP($B285, Propostas!$B:$BE,42,FALSE)))</f>
        <v/>
      </c>
      <c r="P285" s="32" t="str">
        <f>IF($B285 = "", "",  VLOOKUP($B285, Propostas!$B:$BE, 49, FALSE) )</f>
        <v/>
      </c>
      <c r="Q285" s="13" t="str">
        <f>IF($B285="","",  VLOOKUP($B285, Propostas!$B:$BE, 39, FALSE) )</f>
        <v/>
      </c>
      <c r="R285" s="81" t="str">
        <f>IF($B285="","",  VLOOKUP($B285, Propostas!$B:$BE, 43, FALSE) )</f>
        <v/>
      </c>
      <c r="S285" s="81" t="str">
        <f>IF($B285="","",  VLOOKUP($B285, Propostas!$B:$BE, 44, FALSE) )</f>
        <v/>
      </c>
      <c r="T285" s="81" t="str">
        <f>IF($B285="","",  VLOOKUP($B285, Propostas!$B:$BE, 45, FALSE) )</f>
        <v/>
      </c>
      <c r="U285" s="32" t="str">
        <f>IF($B285="","",  VLOOKUP($B285, Propostas!$B:$BE, 37, FALSE) )</f>
        <v/>
      </c>
      <c r="V285" s="13" t="str">
        <f>IF($B285="","",  VLOOKUP($B285, Propostas!$B:$BE, 50, FALSE) )</f>
        <v/>
      </c>
      <c r="W285" s="13" t="str">
        <f>IF($B285="","",  VLOOKUP($B285, Propostas!$B:$BE, 51, FALSE) )</f>
        <v/>
      </c>
      <c r="X285" s="13" t="str">
        <f>IF($B285="","",  VLOOKUP($B285, Propostas!$B:$BE, 52, FALSE) )</f>
        <v/>
      </c>
      <c r="Y285" s="13" t="str">
        <f>IF($B285="","",  VLOOKUP($B285, Propostas!$B:$BE, 36, FALSE) )</f>
        <v/>
      </c>
      <c r="Z285" s="13" t="str">
        <f>IF($B285="","",  VLOOKUP($F285, VW_PROJETO!B:C, 2, FALSE) )</f>
        <v/>
      </c>
    </row>
    <row r="286" spans="2:26" x14ac:dyDescent="0.2">
      <c r="B286" s="2"/>
      <c r="C286" s="4" t="str">
        <f>IF($B286="","",  VLOOKUP($B286, Propostas!$B:$BE, 33, FALSE) )</f>
        <v/>
      </c>
      <c r="D286" s="4" t="str">
        <f>IF($B286="","",  VLOOKUP($B286, Propostas!$B:$BE, 34, FALSE) )</f>
        <v/>
      </c>
      <c r="E286" s="4" t="str">
        <f>IF($B286="","",  VLOOKUP($B286, Propostas!$B:$BE, 35, FALSE) )</f>
        <v/>
      </c>
      <c r="F286" s="4" t="str">
        <f>IF($B286="","",  VLOOKUP($B286, Propostas!$B:$BE, 2, FALSE) )</f>
        <v/>
      </c>
      <c r="G286" s="4" t="str">
        <f>IF($B286="","",  VLOOKUP($B286, Propostas!$B:$BE, 3, FALSE) )</f>
        <v/>
      </c>
      <c r="H286" s="4" t="str">
        <f>IF($B286="","",  VLOOKUP($B286, Propostas!$B:$BE, 4, FALSE) )</f>
        <v/>
      </c>
      <c r="I286" s="4" t="str">
        <f>IF($B286="","",  VLOOKUP($B286, Propostas!$B:$BE, 38, FALSE) )</f>
        <v/>
      </c>
      <c r="J286" s="13" t="str">
        <f>IF($B286="","",IF($C286="SIM", "&lt; INFRRAESTRUTURA &gt;", VLOOKUP($B286,Propostas!$B:$BE,41,FALSE)))</f>
        <v/>
      </c>
      <c r="K286" s="10" t="str">
        <f>IF($B286="","",  VLOOKUP($B286, Propostas!$B:$BE, 40, FALSE) )</f>
        <v/>
      </c>
      <c r="L286" s="10" t="str">
        <f>IF($B286="","",IF(VLOOKUP($B286,Propostas!$B:$BE,21,FALSE)=1,"B",IF(VLOOKUP($B286,Propostas!$B:$BE,21,FALSE)=2,"E","N")))</f>
        <v/>
      </c>
      <c r="M286" s="32" t="str">
        <f>IF($B286 = "", "",  VLOOKUP($B286, Propostas!$B:$BE, 46, FALSE) )</f>
        <v/>
      </c>
      <c r="N286" s="32" t="str">
        <f>IF($B286 = "", "",  VLOOKUP($B286, Propostas!$B:$BE, 47, FALSE) )</f>
        <v/>
      </c>
      <c r="O286" s="13" t="str">
        <f>IF($B286="","",IF($C286="SIM", "INFRAESTRUTURA", VLOOKUP($B286, Propostas!$B:$BE,42,FALSE)))</f>
        <v/>
      </c>
      <c r="P286" s="32" t="str">
        <f>IF($B286 = "", "",  VLOOKUP($B286, Propostas!$B:$BE, 49, FALSE) )</f>
        <v/>
      </c>
      <c r="Q286" s="13" t="str">
        <f>IF($B286="","",  VLOOKUP($B286, Propostas!$B:$BE, 39, FALSE) )</f>
        <v/>
      </c>
      <c r="R286" s="81" t="str">
        <f>IF($B286="","",  VLOOKUP($B286, Propostas!$B:$BE, 43, FALSE) )</f>
        <v/>
      </c>
      <c r="S286" s="81" t="str">
        <f>IF($B286="","",  VLOOKUP($B286, Propostas!$B:$BE, 44, FALSE) )</f>
        <v/>
      </c>
      <c r="T286" s="81" t="str">
        <f>IF($B286="","",  VLOOKUP($B286, Propostas!$B:$BE, 45, FALSE) )</f>
        <v/>
      </c>
      <c r="U286" s="32" t="str">
        <f>IF($B286="","",  VLOOKUP($B286, Propostas!$B:$BE, 37, FALSE) )</f>
        <v/>
      </c>
      <c r="V286" s="13" t="str">
        <f>IF($B286="","",  VLOOKUP($B286, Propostas!$B:$BE, 50, FALSE) )</f>
        <v/>
      </c>
      <c r="W286" s="13" t="str">
        <f>IF($B286="","",  VLOOKUP($B286, Propostas!$B:$BE, 51, FALSE) )</f>
        <v/>
      </c>
      <c r="X286" s="13" t="str">
        <f>IF($B286="","",  VLOOKUP($B286, Propostas!$B:$BE, 52, FALSE) )</f>
        <v/>
      </c>
      <c r="Y286" s="13" t="str">
        <f>IF($B286="","",  VLOOKUP($B286, Propostas!$B:$BE, 36, FALSE) )</f>
        <v/>
      </c>
      <c r="Z286" s="13" t="str">
        <f>IF($B286="","",  VLOOKUP($F286, VW_PROJETO!B:C, 2, FALSE) )</f>
        <v/>
      </c>
    </row>
    <row r="287" spans="2:26" x14ac:dyDescent="0.2">
      <c r="B287" s="2"/>
      <c r="C287" s="4" t="str">
        <f>IF($B287="","",  VLOOKUP($B287, Propostas!$B:$BE, 33, FALSE) )</f>
        <v/>
      </c>
      <c r="D287" s="4" t="str">
        <f>IF($B287="","",  VLOOKUP($B287, Propostas!$B:$BE, 34, FALSE) )</f>
        <v/>
      </c>
      <c r="E287" s="4" t="str">
        <f>IF($B287="","",  VLOOKUP($B287, Propostas!$B:$BE, 35, FALSE) )</f>
        <v/>
      </c>
      <c r="F287" s="4" t="str">
        <f>IF($B287="","",  VLOOKUP($B287, Propostas!$B:$BE, 2, FALSE) )</f>
        <v/>
      </c>
      <c r="G287" s="4" t="str">
        <f>IF($B287="","",  VLOOKUP($B287, Propostas!$B:$BE, 3, FALSE) )</f>
        <v/>
      </c>
      <c r="H287" s="4" t="str">
        <f>IF($B287="","",  VLOOKUP($B287, Propostas!$B:$BE, 4, FALSE) )</f>
        <v/>
      </c>
      <c r="I287" s="4" t="str">
        <f>IF($B287="","",  VLOOKUP($B287, Propostas!$B:$BE, 38, FALSE) )</f>
        <v/>
      </c>
      <c r="J287" s="13" t="str">
        <f>IF($B287="","",IF($C287="SIM", "&lt; INFRRAESTRUTURA &gt;", VLOOKUP($B287,Propostas!$B:$BE,41,FALSE)))</f>
        <v/>
      </c>
      <c r="K287" s="10" t="str">
        <f>IF($B287="","",  VLOOKUP($B287, Propostas!$B:$BE, 40, FALSE) )</f>
        <v/>
      </c>
      <c r="L287" s="10" t="str">
        <f>IF($B287="","",IF(VLOOKUP($B287,Propostas!$B:$BE,21,FALSE)=1,"B",IF(VLOOKUP($B287,Propostas!$B:$BE,21,FALSE)=2,"E","N")))</f>
        <v/>
      </c>
      <c r="M287" s="32" t="str">
        <f>IF($B287 = "", "",  VLOOKUP($B287, Propostas!$B:$BE, 46, FALSE) )</f>
        <v/>
      </c>
      <c r="N287" s="32" t="str">
        <f>IF($B287 = "", "",  VLOOKUP($B287, Propostas!$B:$BE, 47, FALSE) )</f>
        <v/>
      </c>
      <c r="O287" s="13" t="str">
        <f>IF($B287="","",IF($C287="SIM", "INFRAESTRUTURA", VLOOKUP($B287, Propostas!$B:$BE,42,FALSE)))</f>
        <v/>
      </c>
      <c r="P287" s="32" t="str">
        <f>IF($B287 = "", "",  VLOOKUP($B287, Propostas!$B:$BE, 49, FALSE) )</f>
        <v/>
      </c>
      <c r="Q287" s="13" t="str">
        <f>IF($B287="","",  VLOOKUP($B287, Propostas!$B:$BE, 39, FALSE) )</f>
        <v/>
      </c>
      <c r="R287" s="81" t="str">
        <f>IF($B287="","",  VLOOKUP($B287, Propostas!$B:$BE, 43, FALSE) )</f>
        <v/>
      </c>
      <c r="S287" s="81" t="str">
        <f>IF($B287="","",  VLOOKUP($B287, Propostas!$B:$BE, 44, FALSE) )</f>
        <v/>
      </c>
      <c r="T287" s="81" t="str">
        <f>IF($B287="","",  VLOOKUP($B287, Propostas!$B:$BE, 45, FALSE) )</f>
        <v/>
      </c>
      <c r="U287" s="32" t="str">
        <f>IF($B287="","",  VLOOKUP($B287, Propostas!$B:$BE, 37, FALSE) )</f>
        <v/>
      </c>
      <c r="V287" s="13" t="str">
        <f>IF($B287="","",  VLOOKUP($B287, Propostas!$B:$BE, 50, FALSE) )</f>
        <v/>
      </c>
      <c r="W287" s="13" t="str">
        <f>IF($B287="","",  VLOOKUP($B287, Propostas!$B:$BE, 51, FALSE) )</f>
        <v/>
      </c>
      <c r="X287" s="13" t="str">
        <f>IF($B287="","",  VLOOKUP($B287, Propostas!$B:$BE, 52, FALSE) )</f>
        <v/>
      </c>
      <c r="Y287" s="13" t="str">
        <f>IF($B287="","",  VLOOKUP($B287, Propostas!$B:$BE, 36, FALSE) )</f>
        <v/>
      </c>
      <c r="Z287" s="13" t="str">
        <f>IF($B287="","",  VLOOKUP($F287, VW_PROJETO!B:C, 2, FALSE) )</f>
        <v/>
      </c>
    </row>
    <row r="288" spans="2:26" x14ac:dyDescent="0.2">
      <c r="B288" s="2"/>
      <c r="C288" s="4" t="str">
        <f>IF($B288="","",  VLOOKUP($B288, Propostas!$B:$BE, 33, FALSE) )</f>
        <v/>
      </c>
      <c r="D288" s="4" t="str">
        <f>IF($B288="","",  VLOOKUP($B288, Propostas!$B:$BE, 34, FALSE) )</f>
        <v/>
      </c>
      <c r="E288" s="4" t="str">
        <f>IF($B288="","",  VLOOKUP($B288, Propostas!$B:$BE, 35, FALSE) )</f>
        <v/>
      </c>
      <c r="F288" s="4" t="str">
        <f>IF($B288="","",  VLOOKUP($B288, Propostas!$B:$BE, 2, FALSE) )</f>
        <v/>
      </c>
      <c r="G288" s="4" t="str">
        <f>IF($B288="","",  VLOOKUP($B288, Propostas!$B:$BE, 3, FALSE) )</f>
        <v/>
      </c>
      <c r="H288" s="4" t="str">
        <f>IF($B288="","",  VLOOKUP($B288, Propostas!$B:$BE, 4, FALSE) )</f>
        <v/>
      </c>
      <c r="I288" s="4" t="str">
        <f>IF($B288="","",  VLOOKUP($B288, Propostas!$B:$BE, 38, FALSE) )</f>
        <v/>
      </c>
      <c r="J288" s="13" t="str">
        <f>IF($B288="","",IF($C288="SIM", "&lt; INFRRAESTRUTURA &gt;", VLOOKUP($B288,Propostas!$B:$BE,41,FALSE)))</f>
        <v/>
      </c>
      <c r="K288" s="10" t="str">
        <f>IF($B288="","",  VLOOKUP($B288, Propostas!$B:$BE, 40, FALSE) )</f>
        <v/>
      </c>
      <c r="L288" s="10" t="str">
        <f>IF($B288="","",IF(VLOOKUP($B288,Propostas!$B:$BE,21,FALSE)=1,"B",IF(VLOOKUP($B288,Propostas!$B:$BE,21,FALSE)=2,"E","N")))</f>
        <v/>
      </c>
      <c r="M288" s="32" t="str">
        <f>IF($B288 = "", "",  VLOOKUP($B288, Propostas!$B:$BE, 46, FALSE) )</f>
        <v/>
      </c>
      <c r="N288" s="32" t="str">
        <f>IF($B288 = "", "",  VLOOKUP($B288, Propostas!$B:$BE, 47, FALSE) )</f>
        <v/>
      </c>
      <c r="O288" s="13" t="str">
        <f>IF($B288="","",IF($C288="SIM", "INFRAESTRUTURA", VLOOKUP($B288, Propostas!$B:$BE,42,FALSE)))</f>
        <v/>
      </c>
      <c r="P288" s="32" t="str">
        <f>IF($B288 = "", "",  VLOOKUP($B288, Propostas!$B:$BE, 49, FALSE) )</f>
        <v/>
      </c>
      <c r="Q288" s="13" t="str">
        <f>IF($B288="","",  VLOOKUP($B288, Propostas!$B:$BE, 39, FALSE) )</f>
        <v/>
      </c>
      <c r="R288" s="81" t="str">
        <f>IF($B288="","",  VLOOKUP($B288, Propostas!$B:$BE, 43, FALSE) )</f>
        <v/>
      </c>
      <c r="S288" s="81" t="str">
        <f>IF($B288="","",  VLOOKUP($B288, Propostas!$B:$BE, 44, FALSE) )</f>
        <v/>
      </c>
      <c r="T288" s="81" t="str">
        <f>IF($B288="","",  VLOOKUP($B288, Propostas!$B:$BE, 45, FALSE) )</f>
        <v/>
      </c>
      <c r="U288" s="32" t="str">
        <f>IF($B288="","",  VLOOKUP($B288, Propostas!$B:$BE, 37, FALSE) )</f>
        <v/>
      </c>
      <c r="V288" s="13" t="str">
        <f>IF($B288="","",  VLOOKUP($B288, Propostas!$B:$BE, 50, FALSE) )</f>
        <v/>
      </c>
      <c r="W288" s="13" t="str">
        <f>IF($B288="","",  VLOOKUP($B288, Propostas!$B:$BE, 51, FALSE) )</f>
        <v/>
      </c>
      <c r="X288" s="13" t="str">
        <f>IF($B288="","",  VLOOKUP($B288, Propostas!$B:$BE, 52, FALSE) )</f>
        <v/>
      </c>
      <c r="Y288" s="13" t="str">
        <f>IF($B288="","",  VLOOKUP($B288, Propostas!$B:$BE, 36, FALSE) )</f>
        <v/>
      </c>
      <c r="Z288" s="13" t="str">
        <f>IF($B288="","",  VLOOKUP($F288, VW_PROJETO!B:C, 2, FALSE) )</f>
        <v/>
      </c>
    </row>
    <row r="289" spans="2:26" x14ac:dyDescent="0.2">
      <c r="B289" s="2"/>
      <c r="C289" s="4" t="str">
        <f>IF($B289="","",  VLOOKUP($B289, Propostas!$B:$BE, 33, FALSE) )</f>
        <v/>
      </c>
      <c r="D289" s="4" t="str">
        <f>IF($B289="","",  VLOOKUP($B289, Propostas!$B:$BE, 34, FALSE) )</f>
        <v/>
      </c>
      <c r="E289" s="4" t="str">
        <f>IF($B289="","",  VLOOKUP($B289, Propostas!$B:$BE, 35, FALSE) )</f>
        <v/>
      </c>
      <c r="F289" s="4" t="str">
        <f>IF($B289="","",  VLOOKUP($B289, Propostas!$B:$BE, 2, FALSE) )</f>
        <v/>
      </c>
      <c r="G289" s="4" t="str">
        <f>IF($B289="","",  VLOOKUP($B289, Propostas!$B:$BE, 3, FALSE) )</f>
        <v/>
      </c>
      <c r="H289" s="4" t="str">
        <f>IF($B289="","",  VLOOKUP($B289, Propostas!$B:$BE, 4, FALSE) )</f>
        <v/>
      </c>
      <c r="I289" s="4" t="str">
        <f>IF($B289="","",  VLOOKUP($B289, Propostas!$B:$BE, 38, FALSE) )</f>
        <v/>
      </c>
      <c r="J289" s="13" t="str">
        <f>IF($B289="","",IF($C289="SIM", "&lt; INFRRAESTRUTURA &gt;", VLOOKUP($B289,Propostas!$B:$BE,41,FALSE)))</f>
        <v/>
      </c>
      <c r="K289" s="10" t="str">
        <f>IF($B289="","",  VLOOKUP($B289, Propostas!$B:$BE, 40, FALSE) )</f>
        <v/>
      </c>
      <c r="L289" s="10" t="str">
        <f>IF($B289="","",IF(VLOOKUP($B289,Propostas!$B:$BE,21,FALSE)=1,"B",IF(VLOOKUP($B289,Propostas!$B:$BE,21,FALSE)=2,"E","N")))</f>
        <v/>
      </c>
      <c r="M289" s="32" t="str">
        <f>IF($B289 = "", "",  VLOOKUP($B289, Propostas!$B:$BE, 46, FALSE) )</f>
        <v/>
      </c>
      <c r="N289" s="32" t="str">
        <f>IF($B289 = "", "",  VLOOKUP($B289, Propostas!$B:$BE, 47, FALSE) )</f>
        <v/>
      </c>
      <c r="O289" s="13" t="str">
        <f>IF($B289="","",IF($C289="SIM", "INFRAESTRUTURA", VLOOKUP($B289, Propostas!$B:$BE,42,FALSE)))</f>
        <v/>
      </c>
      <c r="P289" s="32" t="str">
        <f>IF($B289 = "", "",  VLOOKUP($B289, Propostas!$B:$BE, 49, FALSE) )</f>
        <v/>
      </c>
      <c r="Q289" s="13" t="str">
        <f>IF($B289="","",  VLOOKUP($B289, Propostas!$B:$BE, 39, FALSE) )</f>
        <v/>
      </c>
      <c r="R289" s="81" t="str">
        <f>IF($B289="","",  VLOOKUP($B289, Propostas!$B:$BE, 43, FALSE) )</f>
        <v/>
      </c>
      <c r="S289" s="81" t="str">
        <f>IF($B289="","",  VLOOKUP($B289, Propostas!$B:$BE, 44, FALSE) )</f>
        <v/>
      </c>
      <c r="T289" s="81" t="str">
        <f>IF($B289="","",  VLOOKUP($B289, Propostas!$B:$BE, 45, FALSE) )</f>
        <v/>
      </c>
      <c r="U289" s="32" t="str">
        <f>IF($B289="","",  VLOOKUP($B289, Propostas!$B:$BE, 37, FALSE) )</f>
        <v/>
      </c>
      <c r="V289" s="13" t="str">
        <f>IF($B289="","",  VLOOKUP($B289, Propostas!$B:$BE, 50, FALSE) )</f>
        <v/>
      </c>
      <c r="W289" s="13" t="str">
        <f>IF($B289="","",  VLOOKUP($B289, Propostas!$B:$BE, 51, FALSE) )</f>
        <v/>
      </c>
      <c r="X289" s="13" t="str">
        <f>IF($B289="","",  VLOOKUP($B289, Propostas!$B:$BE, 52, FALSE) )</f>
        <v/>
      </c>
      <c r="Y289" s="13" t="str">
        <f>IF($B289="","",  VLOOKUP($B289, Propostas!$B:$BE, 36, FALSE) )</f>
        <v/>
      </c>
      <c r="Z289" s="13" t="str">
        <f>IF($B289="","",  VLOOKUP($F289, VW_PROJETO!B:C, 2, FALSE) )</f>
        <v/>
      </c>
    </row>
    <row r="290" spans="2:26" x14ac:dyDescent="0.2">
      <c r="B290" s="2"/>
      <c r="C290" s="4" t="str">
        <f>IF($B290="","",  VLOOKUP($B290, Propostas!$B:$BE, 33, FALSE) )</f>
        <v/>
      </c>
      <c r="D290" s="4" t="str">
        <f>IF($B290="","",  VLOOKUP($B290, Propostas!$B:$BE, 34, FALSE) )</f>
        <v/>
      </c>
      <c r="E290" s="4" t="str">
        <f>IF($B290="","",  VLOOKUP($B290, Propostas!$B:$BE, 35, FALSE) )</f>
        <v/>
      </c>
      <c r="F290" s="4" t="str">
        <f>IF($B290="","",  VLOOKUP($B290, Propostas!$B:$BE, 2, FALSE) )</f>
        <v/>
      </c>
      <c r="G290" s="4" t="str">
        <f>IF($B290="","",  VLOOKUP($B290, Propostas!$B:$BE, 3, FALSE) )</f>
        <v/>
      </c>
      <c r="H290" s="4" t="str">
        <f>IF($B290="","",  VLOOKUP($B290, Propostas!$B:$BE, 4, FALSE) )</f>
        <v/>
      </c>
      <c r="I290" s="4" t="str">
        <f>IF($B290="","",  VLOOKUP($B290, Propostas!$B:$BE, 38, FALSE) )</f>
        <v/>
      </c>
      <c r="J290" s="13" t="str">
        <f>IF($B290="","",IF($C290="SIM", "&lt; INFRRAESTRUTURA &gt;", VLOOKUP($B290,Propostas!$B:$BE,41,FALSE)))</f>
        <v/>
      </c>
      <c r="K290" s="10" t="str">
        <f>IF($B290="","",  VLOOKUP($B290, Propostas!$B:$BE, 40, FALSE) )</f>
        <v/>
      </c>
      <c r="L290" s="10" t="str">
        <f>IF($B290="","",IF(VLOOKUP($B290,Propostas!$B:$BE,21,FALSE)=1,"B",IF(VLOOKUP($B290,Propostas!$B:$BE,21,FALSE)=2,"E","N")))</f>
        <v/>
      </c>
      <c r="M290" s="32" t="str">
        <f>IF($B290 = "", "",  VLOOKUP($B290, Propostas!$B:$BE, 46, FALSE) )</f>
        <v/>
      </c>
      <c r="N290" s="32" t="str">
        <f>IF($B290 = "", "",  VLOOKUP($B290, Propostas!$B:$BE, 47, FALSE) )</f>
        <v/>
      </c>
      <c r="O290" s="13" t="str">
        <f>IF($B290="","",IF($C290="SIM", "INFRAESTRUTURA", VLOOKUP($B290, Propostas!$B:$BE,42,FALSE)))</f>
        <v/>
      </c>
      <c r="P290" s="32" t="str">
        <f>IF($B290 = "", "",  VLOOKUP($B290, Propostas!$B:$BE, 49, FALSE) )</f>
        <v/>
      </c>
      <c r="Q290" s="13" t="str">
        <f>IF($B290="","",  VLOOKUP($B290, Propostas!$B:$BE, 39, FALSE) )</f>
        <v/>
      </c>
      <c r="R290" s="81" t="str">
        <f>IF($B290="","",  VLOOKUP($B290, Propostas!$B:$BE, 43, FALSE) )</f>
        <v/>
      </c>
      <c r="S290" s="81" t="str">
        <f>IF($B290="","",  VLOOKUP($B290, Propostas!$B:$BE, 44, FALSE) )</f>
        <v/>
      </c>
      <c r="T290" s="81" t="str">
        <f>IF($B290="","",  VLOOKUP($B290, Propostas!$B:$BE, 45, FALSE) )</f>
        <v/>
      </c>
      <c r="U290" s="32" t="str">
        <f>IF($B290="","",  VLOOKUP($B290, Propostas!$B:$BE, 37, FALSE) )</f>
        <v/>
      </c>
      <c r="V290" s="13" t="str">
        <f>IF($B290="","",  VLOOKUP($B290, Propostas!$B:$BE, 50, FALSE) )</f>
        <v/>
      </c>
      <c r="W290" s="13" t="str">
        <f>IF($B290="","",  VLOOKUP($B290, Propostas!$B:$BE, 51, FALSE) )</f>
        <v/>
      </c>
      <c r="X290" s="13" t="str">
        <f>IF($B290="","",  VLOOKUP($B290, Propostas!$B:$BE, 52, FALSE) )</f>
        <v/>
      </c>
      <c r="Y290" s="13" t="str">
        <f>IF($B290="","",  VLOOKUP($B290, Propostas!$B:$BE, 36, FALSE) )</f>
        <v/>
      </c>
      <c r="Z290" s="13" t="str">
        <f>IF($B290="","",  VLOOKUP($F290, VW_PROJETO!B:C, 2, FALSE) )</f>
        <v/>
      </c>
    </row>
    <row r="291" spans="2:26" x14ac:dyDescent="0.2">
      <c r="B291" s="2"/>
      <c r="C291" s="4" t="str">
        <f>IF($B291="","",  VLOOKUP($B291, Propostas!$B:$BE, 33, FALSE) )</f>
        <v/>
      </c>
      <c r="D291" s="4" t="str">
        <f>IF($B291="","",  VLOOKUP($B291, Propostas!$B:$BE, 34, FALSE) )</f>
        <v/>
      </c>
      <c r="E291" s="4" t="str">
        <f>IF($B291="","",  VLOOKUP($B291, Propostas!$B:$BE, 35, FALSE) )</f>
        <v/>
      </c>
      <c r="F291" s="4" t="str">
        <f>IF($B291="","",  VLOOKUP($B291, Propostas!$B:$BE, 2, FALSE) )</f>
        <v/>
      </c>
      <c r="G291" s="4" t="str">
        <f>IF($B291="","",  VLOOKUP($B291, Propostas!$B:$BE, 3, FALSE) )</f>
        <v/>
      </c>
      <c r="H291" s="4" t="str">
        <f>IF($B291="","",  VLOOKUP($B291, Propostas!$B:$BE, 4, FALSE) )</f>
        <v/>
      </c>
      <c r="I291" s="4" t="str">
        <f>IF($B291="","",  VLOOKUP($B291, Propostas!$B:$BE, 38, FALSE) )</f>
        <v/>
      </c>
      <c r="J291" s="13" t="str">
        <f>IF($B291="","",IF($C291="SIM", "&lt; INFRRAESTRUTURA &gt;", VLOOKUP($B291,Propostas!$B:$BE,41,FALSE)))</f>
        <v/>
      </c>
      <c r="K291" s="10" t="str">
        <f>IF($B291="","",  VLOOKUP($B291, Propostas!$B:$BE, 40, FALSE) )</f>
        <v/>
      </c>
      <c r="L291" s="10" t="str">
        <f>IF($B291="","",IF(VLOOKUP($B291,Propostas!$B:$BE,21,FALSE)=1,"B",IF(VLOOKUP($B291,Propostas!$B:$BE,21,FALSE)=2,"E","N")))</f>
        <v/>
      </c>
      <c r="M291" s="32" t="str">
        <f>IF($B291 = "", "",  VLOOKUP($B291, Propostas!$B:$BE, 46, FALSE) )</f>
        <v/>
      </c>
      <c r="N291" s="32" t="str">
        <f>IF($B291 = "", "",  VLOOKUP($B291, Propostas!$B:$BE, 47, FALSE) )</f>
        <v/>
      </c>
      <c r="O291" s="13" t="str">
        <f>IF($B291="","",IF($C291="SIM", "INFRAESTRUTURA", VLOOKUP($B291, Propostas!$B:$BE,42,FALSE)))</f>
        <v/>
      </c>
      <c r="P291" s="32" t="str">
        <f>IF($B291 = "", "",  VLOOKUP($B291, Propostas!$B:$BE, 49, FALSE) )</f>
        <v/>
      </c>
      <c r="Q291" s="13" t="str">
        <f>IF($B291="","",  VLOOKUP($B291, Propostas!$B:$BE, 39, FALSE) )</f>
        <v/>
      </c>
      <c r="R291" s="81" t="str">
        <f>IF($B291="","",  VLOOKUP($B291, Propostas!$B:$BE, 43, FALSE) )</f>
        <v/>
      </c>
      <c r="S291" s="81" t="str">
        <f>IF($B291="","",  VLOOKUP($B291, Propostas!$B:$BE, 44, FALSE) )</f>
        <v/>
      </c>
      <c r="T291" s="81" t="str">
        <f>IF($B291="","",  VLOOKUP($B291, Propostas!$B:$BE, 45, FALSE) )</f>
        <v/>
      </c>
      <c r="U291" s="32" t="str">
        <f>IF($B291="","",  VLOOKUP($B291, Propostas!$B:$BE, 37, FALSE) )</f>
        <v/>
      </c>
      <c r="V291" s="13" t="str">
        <f>IF($B291="","",  VLOOKUP($B291, Propostas!$B:$BE, 50, FALSE) )</f>
        <v/>
      </c>
      <c r="W291" s="13" t="str">
        <f>IF($B291="","",  VLOOKUP($B291, Propostas!$B:$BE, 51, FALSE) )</f>
        <v/>
      </c>
      <c r="X291" s="13" t="str">
        <f>IF($B291="","",  VLOOKUP($B291, Propostas!$B:$BE, 52, FALSE) )</f>
        <v/>
      </c>
      <c r="Y291" s="13" t="str">
        <f>IF($B291="","",  VLOOKUP($B291, Propostas!$B:$BE, 36, FALSE) )</f>
        <v/>
      </c>
      <c r="Z291" s="13" t="str">
        <f>IF($B291="","",  VLOOKUP($F291, VW_PROJETO!B:C, 2, FALSE) )</f>
        <v/>
      </c>
    </row>
    <row r="292" spans="2:26" x14ac:dyDescent="0.2">
      <c r="B292" s="2"/>
      <c r="C292" s="4" t="str">
        <f>IF($B292="","",  VLOOKUP($B292, Propostas!$B:$BE, 33, FALSE) )</f>
        <v/>
      </c>
      <c r="D292" s="4" t="str">
        <f>IF($B292="","",  VLOOKUP($B292, Propostas!$B:$BE, 34, FALSE) )</f>
        <v/>
      </c>
      <c r="E292" s="4" t="str">
        <f>IF($B292="","",  VLOOKUP($B292, Propostas!$B:$BE, 35, FALSE) )</f>
        <v/>
      </c>
      <c r="F292" s="4" t="str">
        <f>IF($B292="","",  VLOOKUP($B292, Propostas!$B:$BE, 2, FALSE) )</f>
        <v/>
      </c>
      <c r="G292" s="4" t="str">
        <f>IF($B292="","",  VLOOKUP($B292, Propostas!$B:$BE, 3, FALSE) )</f>
        <v/>
      </c>
      <c r="H292" s="4" t="str">
        <f>IF($B292="","",  VLOOKUP($B292, Propostas!$B:$BE, 4, FALSE) )</f>
        <v/>
      </c>
      <c r="I292" s="4" t="str">
        <f>IF($B292="","",  VLOOKUP($B292, Propostas!$B:$BE, 38, FALSE) )</f>
        <v/>
      </c>
      <c r="J292" s="13" t="str">
        <f>IF($B292="","",IF($C292="SIM", "&lt; INFRRAESTRUTURA &gt;", VLOOKUP($B292,Propostas!$B:$BE,41,FALSE)))</f>
        <v/>
      </c>
      <c r="K292" s="10" t="str">
        <f>IF($B292="","",  VLOOKUP($B292, Propostas!$B:$BE, 40, FALSE) )</f>
        <v/>
      </c>
      <c r="L292" s="10" t="str">
        <f>IF($B292="","",IF(VLOOKUP($B292,Propostas!$B:$BE,21,FALSE)=1,"B",IF(VLOOKUP($B292,Propostas!$B:$BE,21,FALSE)=2,"E","N")))</f>
        <v/>
      </c>
      <c r="M292" s="32" t="str">
        <f>IF($B292 = "", "",  VLOOKUP($B292, Propostas!$B:$BE, 46, FALSE) )</f>
        <v/>
      </c>
      <c r="N292" s="32" t="str">
        <f>IF($B292 = "", "",  VLOOKUP($B292, Propostas!$B:$BE, 47, FALSE) )</f>
        <v/>
      </c>
      <c r="O292" s="13" t="str">
        <f>IF($B292="","",IF($C292="SIM", "INFRAESTRUTURA", VLOOKUP($B292, Propostas!$B:$BE,42,FALSE)))</f>
        <v/>
      </c>
      <c r="P292" s="32" t="str">
        <f>IF($B292 = "", "",  VLOOKUP($B292, Propostas!$B:$BE, 49, FALSE) )</f>
        <v/>
      </c>
      <c r="Q292" s="13" t="str">
        <f>IF($B292="","",  VLOOKUP($B292, Propostas!$B:$BE, 39, FALSE) )</f>
        <v/>
      </c>
      <c r="R292" s="81" t="str">
        <f>IF($B292="","",  VLOOKUP($B292, Propostas!$B:$BE, 43, FALSE) )</f>
        <v/>
      </c>
      <c r="S292" s="81" t="str">
        <f>IF($B292="","",  VLOOKUP($B292, Propostas!$B:$BE, 44, FALSE) )</f>
        <v/>
      </c>
      <c r="T292" s="81" t="str">
        <f>IF($B292="","",  VLOOKUP($B292, Propostas!$B:$BE, 45, FALSE) )</f>
        <v/>
      </c>
      <c r="U292" s="32" t="str">
        <f>IF($B292="","",  VLOOKUP($B292, Propostas!$B:$BE, 37, FALSE) )</f>
        <v/>
      </c>
      <c r="V292" s="13" t="str">
        <f>IF($B292="","",  VLOOKUP($B292, Propostas!$B:$BE, 50, FALSE) )</f>
        <v/>
      </c>
      <c r="W292" s="13" t="str">
        <f>IF($B292="","",  VLOOKUP($B292, Propostas!$B:$BE, 51, FALSE) )</f>
        <v/>
      </c>
      <c r="X292" s="13" t="str">
        <f>IF($B292="","",  VLOOKUP($B292, Propostas!$B:$BE, 52, FALSE) )</f>
        <v/>
      </c>
      <c r="Y292" s="13" t="str">
        <f>IF($B292="","",  VLOOKUP($B292, Propostas!$B:$BE, 36, FALSE) )</f>
        <v/>
      </c>
      <c r="Z292" s="13" t="str">
        <f>IF($B292="","",  VLOOKUP($F292, VW_PROJETO!B:C, 2, FALSE) )</f>
        <v/>
      </c>
    </row>
    <row r="293" spans="2:26" x14ac:dyDescent="0.2">
      <c r="B293" s="2"/>
      <c r="C293" s="4" t="str">
        <f>IF($B293="","",  VLOOKUP($B293, Propostas!$B:$BE, 33, FALSE) )</f>
        <v/>
      </c>
      <c r="D293" s="4" t="str">
        <f>IF($B293="","",  VLOOKUP($B293, Propostas!$B:$BE, 34, FALSE) )</f>
        <v/>
      </c>
      <c r="E293" s="4" t="str">
        <f>IF($B293="","",  VLOOKUP($B293, Propostas!$B:$BE, 35, FALSE) )</f>
        <v/>
      </c>
      <c r="F293" s="4" t="str">
        <f>IF($B293="","",  VLOOKUP($B293, Propostas!$B:$BE, 2, FALSE) )</f>
        <v/>
      </c>
      <c r="G293" s="4" t="str">
        <f>IF($B293="","",  VLOOKUP($B293, Propostas!$B:$BE, 3, FALSE) )</f>
        <v/>
      </c>
      <c r="H293" s="4" t="str">
        <f>IF($B293="","",  VLOOKUP($B293, Propostas!$B:$BE, 4, FALSE) )</f>
        <v/>
      </c>
      <c r="I293" s="4" t="str">
        <f>IF($B293="","",  VLOOKUP($B293, Propostas!$B:$BE, 38, FALSE) )</f>
        <v/>
      </c>
      <c r="J293" s="13" t="str">
        <f>IF($B293="","",IF($C293="SIM", "&lt; INFRRAESTRUTURA &gt;", VLOOKUP($B293,Propostas!$B:$BE,41,FALSE)))</f>
        <v/>
      </c>
      <c r="K293" s="10" t="str">
        <f>IF($B293="","",  VLOOKUP($B293, Propostas!$B:$BE, 40, FALSE) )</f>
        <v/>
      </c>
      <c r="L293" s="10" t="str">
        <f>IF($B293="","",IF(VLOOKUP($B293,Propostas!$B:$BE,21,FALSE)=1,"B",IF(VLOOKUP($B293,Propostas!$B:$BE,21,FALSE)=2,"E","N")))</f>
        <v/>
      </c>
      <c r="M293" s="32" t="str">
        <f>IF($B293 = "", "",  VLOOKUP($B293, Propostas!$B:$BE, 46, FALSE) )</f>
        <v/>
      </c>
      <c r="N293" s="32" t="str">
        <f>IF($B293 = "", "",  VLOOKUP($B293, Propostas!$B:$BE, 47, FALSE) )</f>
        <v/>
      </c>
      <c r="O293" s="13" t="str">
        <f>IF($B293="","",IF($C293="SIM", "INFRAESTRUTURA", VLOOKUP($B293, Propostas!$B:$BE,42,FALSE)))</f>
        <v/>
      </c>
      <c r="P293" s="32" t="str">
        <f>IF($B293 = "", "",  VLOOKUP($B293, Propostas!$B:$BE, 49, FALSE) )</f>
        <v/>
      </c>
      <c r="Q293" s="13" t="str">
        <f>IF($B293="","",  VLOOKUP($B293, Propostas!$B:$BE, 39, FALSE) )</f>
        <v/>
      </c>
      <c r="R293" s="81" t="str">
        <f>IF($B293="","",  VLOOKUP($B293, Propostas!$B:$BE, 43, FALSE) )</f>
        <v/>
      </c>
      <c r="S293" s="81" t="str">
        <f>IF($B293="","",  VLOOKUP($B293, Propostas!$B:$BE, 44, FALSE) )</f>
        <v/>
      </c>
      <c r="T293" s="81" t="str">
        <f>IF($B293="","",  VLOOKUP($B293, Propostas!$B:$BE, 45, FALSE) )</f>
        <v/>
      </c>
      <c r="U293" s="32" t="str">
        <f>IF($B293="","",  VLOOKUP($B293, Propostas!$B:$BE, 37, FALSE) )</f>
        <v/>
      </c>
      <c r="V293" s="13" t="str">
        <f>IF($B293="","",  VLOOKUP($B293, Propostas!$B:$BE, 50, FALSE) )</f>
        <v/>
      </c>
      <c r="W293" s="13" t="str">
        <f>IF($B293="","",  VLOOKUP($B293, Propostas!$B:$BE, 51, FALSE) )</f>
        <v/>
      </c>
      <c r="X293" s="13" t="str">
        <f>IF($B293="","",  VLOOKUP($B293, Propostas!$B:$BE, 52, FALSE) )</f>
        <v/>
      </c>
      <c r="Y293" s="13" t="str">
        <f>IF($B293="","",  VLOOKUP($B293, Propostas!$B:$BE, 36, FALSE) )</f>
        <v/>
      </c>
      <c r="Z293" s="13" t="str">
        <f>IF($B293="","",  VLOOKUP($F293, VW_PROJETO!B:C, 2, FALSE) )</f>
        <v/>
      </c>
    </row>
    <row r="294" spans="2:26" x14ac:dyDescent="0.2">
      <c r="B294" s="2"/>
      <c r="C294" s="4" t="str">
        <f>IF($B294="","",  VLOOKUP($B294, Propostas!$B:$BE, 33, FALSE) )</f>
        <v/>
      </c>
      <c r="D294" s="4" t="str">
        <f>IF($B294="","",  VLOOKUP($B294, Propostas!$B:$BE, 34, FALSE) )</f>
        <v/>
      </c>
      <c r="E294" s="4" t="str">
        <f>IF($B294="","",  VLOOKUP($B294, Propostas!$B:$BE, 35, FALSE) )</f>
        <v/>
      </c>
      <c r="F294" s="4" t="str">
        <f>IF($B294="","",  VLOOKUP($B294, Propostas!$B:$BE, 2, FALSE) )</f>
        <v/>
      </c>
      <c r="G294" s="4" t="str">
        <f>IF($B294="","",  VLOOKUP($B294, Propostas!$B:$BE, 3, FALSE) )</f>
        <v/>
      </c>
      <c r="H294" s="4" t="str">
        <f>IF($B294="","",  VLOOKUP($B294, Propostas!$B:$BE, 4, FALSE) )</f>
        <v/>
      </c>
      <c r="I294" s="4" t="str">
        <f>IF($B294="","",  VLOOKUP($B294, Propostas!$B:$BE, 38, FALSE) )</f>
        <v/>
      </c>
      <c r="J294" s="13" t="str">
        <f>IF($B294="","",IF($C294="SIM", "&lt; INFRRAESTRUTURA &gt;", VLOOKUP($B294,Propostas!$B:$BE,41,FALSE)))</f>
        <v/>
      </c>
      <c r="K294" s="10" t="str">
        <f>IF($B294="","",  VLOOKUP($B294, Propostas!$B:$BE, 40, FALSE) )</f>
        <v/>
      </c>
      <c r="L294" s="10" t="str">
        <f>IF($B294="","",IF(VLOOKUP($B294,Propostas!$B:$BE,21,FALSE)=1,"B",IF(VLOOKUP($B294,Propostas!$B:$BE,21,FALSE)=2,"E","N")))</f>
        <v/>
      </c>
      <c r="M294" s="32" t="str">
        <f>IF($B294 = "", "",  VLOOKUP($B294, Propostas!$B:$BE, 46, FALSE) )</f>
        <v/>
      </c>
      <c r="N294" s="32" t="str">
        <f>IF($B294 = "", "",  VLOOKUP($B294, Propostas!$B:$BE, 47, FALSE) )</f>
        <v/>
      </c>
      <c r="O294" s="13" t="str">
        <f>IF($B294="","",IF($C294="SIM", "INFRAESTRUTURA", VLOOKUP($B294, Propostas!$B:$BE,42,FALSE)))</f>
        <v/>
      </c>
      <c r="P294" s="32" t="str">
        <f>IF($B294 = "", "",  VLOOKUP($B294, Propostas!$B:$BE, 49, FALSE) )</f>
        <v/>
      </c>
      <c r="Q294" s="13" t="str">
        <f>IF($B294="","",  VLOOKUP($B294, Propostas!$B:$BE, 39, FALSE) )</f>
        <v/>
      </c>
      <c r="R294" s="81" t="str">
        <f>IF($B294="","",  VLOOKUP($B294, Propostas!$B:$BE, 43, FALSE) )</f>
        <v/>
      </c>
      <c r="S294" s="81" t="str">
        <f>IF($B294="","",  VLOOKUP($B294, Propostas!$B:$BE, 44, FALSE) )</f>
        <v/>
      </c>
      <c r="T294" s="81" t="str">
        <f>IF($B294="","",  VLOOKUP($B294, Propostas!$B:$BE, 45, FALSE) )</f>
        <v/>
      </c>
      <c r="U294" s="32" t="str">
        <f>IF($B294="","",  VLOOKUP($B294, Propostas!$B:$BE, 37, FALSE) )</f>
        <v/>
      </c>
      <c r="V294" s="13" t="str">
        <f>IF($B294="","",  VLOOKUP($B294, Propostas!$B:$BE, 50, FALSE) )</f>
        <v/>
      </c>
      <c r="W294" s="13" t="str">
        <f>IF($B294="","",  VLOOKUP($B294, Propostas!$B:$BE, 51, FALSE) )</f>
        <v/>
      </c>
      <c r="X294" s="13" t="str">
        <f>IF($B294="","",  VLOOKUP($B294, Propostas!$B:$BE, 52, FALSE) )</f>
        <v/>
      </c>
      <c r="Y294" s="13" t="str">
        <f>IF($B294="","",  VLOOKUP($B294, Propostas!$B:$BE, 36, FALSE) )</f>
        <v/>
      </c>
      <c r="Z294" s="13" t="str">
        <f>IF($B294="","",  VLOOKUP($F294, VW_PROJETO!B:C, 2, FALSE) )</f>
        <v/>
      </c>
    </row>
    <row r="295" spans="2:26" x14ac:dyDescent="0.2">
      <c r="B295" s="2"/>
      <c r="C295" s="4" t="str">
        <f>IF($B295="","",  VLOOKUP($B295, Propostas!$B:$BE, 33, FALSE) )</f>
        <v/>
      </c>
      <c r="D295" s="4" t="str">
        <f>IF($B295="","",  VLOOKUP($B295, Propostas!$B:$BE, 34, FALSE) )</f>
        <v/>
      </c>
      <c r="E295" s="4" t="str">
        <f>IF($B295="","",  VLOOKUP($B295, Propostas!$B:$BE, 35, FALSE) )</f>
        <v/>
      </c>
      <c r="F295" s="4" t="str">
        <f>IF($B295="","",  VLOOKUP($B295, Propostas!$B:$BE, 2, FALSE) )</f>
        <v/>
      </c>
      <c r="G295" s="4" t="str">
        <f>IF($B295="","",  VLOOKUP($B295, Propostas!$B:$BE, 3, FALSE) )</f>
        <v/>
      </c>
      <c r="H295" s="4" t="str">
        <f>IF($B295="","",  VLOOKUP($B295, Propostas!$B:$BE, 4, FALSE) )</f>
        <v/>
      </c>
      <c r="I295" s="4" t="str">
        <f>IF($B295="","",  VLOOKUP($B295, Propostas!$B:$BE, 38, FALSE) )</f>
        <v/>
      </c>
      <c r="J295" s="13" t="str">
        <f>IF($B295="","",IF($C295="SIM", "&lt; INFRRAESTRUTURA &gt;", VLOOKUP($B295,Propostas!$B:$BE,41,FALSE)))</f>
        <v/>
      </c>
      <c r="K295" s="10" t="str">
        <f>IF($B295="","",  VLOOKUP($B295, Propostas!$B:$BE, 40, FALSE) )</f>
        <v/>
      </c>
      <c r="L295" s="10" t="str">
        <f>IF($B295="","",IF(VLOOKUP($B295,Propostas!$B:$BE,21,FALSE)=1,"B",IF(VLOOKUP($B295,Propostas!$B:$BE,21,FALSE)=2,"E","N")))</f>
        <v/>
      </c>
      <c r="M295" s="32" t="str">
        <f>IF($B295 = "", "",  VLOOKUP($B295, Propostas!$B:$BE, 46, FALSE) )</f>
        <v/>
      </c>
      <c r="N295" s="32" t="str">
        <f>IF($B295 = "", "",  VLOOKUP($B295, Propostas!$B:$BE, 47, FALSE) )</f>
        <v/>
      </c>
      <c r="O295" s="13" t="str">
        <f>IF($B295="","",IF($C295="SIM", "INFRAESTRUTURA", VLOOKUP($B295, Propostas!$B:$BE,42,FALSE)))</f>
        <v/>
      </c>
      <c r="P295" s="32" t="str">
        <f>IF($B295 = "", "",  VLOOKUP($B295, Propostas!$B:$BE, 49, FALSE) )</f>
        <v/>
      </c>
      <c r="Q295" s="13" t="str">
        <f>IF($B295="","",  VLOOKUP($B295, Propostas!$B:$BE, 39, FALSE) )</f>
        <v/>
      </c>
      <c r="R295" s="81" t="str">
        <f>IF($B295="","",  VLOOKUP($B295, Propostas!$B:$BE, 43, FALSE) )</f>
        <v/>
      </c>
      <c r="S295" s="81" t="str">
        <f>IF($B295="","",  VLOOKUP($B295, Propostas!$B:$BE, 44, FALSE) )</f>
        <v/>
      </c>
      <c r="T295" s="81" t="str">
        <f>IF($B295="","",  VLOOKUP($B295, Propostas!$B:$BE, 45, FALSE) )</f>
        <v/>
      </c>
      <c r="U295" s="32" t="str">
        <f>IF($B295="","",  VLOOKUP($B295, Propostas!$B:$BE, 37, FALSE) )</f>
        <v/>
      </c>
      <c r="V295" s="13" t="str">
        <f>IF($B295="","",  VLOOKUP($B295, Propostas!$B:$BE, 50, FALSE) )</f>
        <v/>
      </c>
      <c r="W295" s="13" t="str">
        <f>IF($B295="","",  VLOOKUP($B295, Propostas!$B:$BE, 51, FALSE) )</f>
        <v/>
      </c>
      <c r="X295" s="13" t="str">
        <f>IF($B295="","",  VLOOKUP($B295, Propostas!$B:$BE, 52, FALSE) )</f>
        <v/>
      </c>
      <c r="Y295" s="13" t="str">
        <f>IF($B295="","",  VLOOKUP($B295, Propostas!$B:$BE, 36, FALSE) )</f>
        <v/>
      </c>
      <c r="Z295" s="13" t="str">
        <f>IF($B295="","",  VLOOKUP($F295, VW_PROJETO!B:C, 2, FALSE) )</f>
        <v/>
      </c>
    </row>
    <row r="296" spans="2:26" x14ac:dyDescent="0.2">
      <c r="B296" s="2"/>
      <c r="C296" s="4" t="str">
        <f>IF($B296="","",  VLOOKUP($B296, Propostas!$B:$BE, 33, FALSE) )</f>
        <v/>
      </c>
      <c r="D296" s="4" t="str">
        <f>IF($B296="","",  VLOOKUP($B296, Propostas!$B:$BE, 34, FALSE) )</f>
        <v/>
      </c>
      <c r="E296" s="4" t="str">
        <f>IF($B296="","",  VLOOKUP($B296, Propostas!$B:$BE, 35, FALSE) )</f>
        <v/>
      </c>
      <c r="F296" s="4" t="str">
        <f>IF($B296="","",  VLOOKUP($B296, Propostas!$B:$BE, 2, FALSE) )</f>
        <v/>
      </c>
      <c r="G296" s="4" t="str">
        <f>IF($B296="","",  VLOOKUP($B296, Propostas!$B:$BE, 3, FALSE) )</f>
        <v/>
      </c>
      <c r="H296" s="4" t="str">
        <f>IF($B296="","",  VLOOKUP($B296, Propostas!$B:$BE, 4, FALSE) )</f>
        <v/>
      </c>
      <c r="I296" s="4" t="str">
        <f>IF($B296="","",  VLOOKUP($B296, Propostas!$B:$BE, 38, FALSE) )</f>
        <v/>
      </c>
      <c r="J296" s="13" t="str">
        <f>IF($B296="","",IF($C296="SIM", "&lt; INFRRAESTRUTURA &gt;", VLOOKUP($B296,Propostas!$B:$BE,41,FALSE)))</f>
        <v/>
      </c>
      <c r="K296" s="10" t="str">
        <f>IF($B296="","",  VLOOKUP($B296, Propostas!$B:$BE, 40, FALSE) )</f>
        <v/>
      </c>
      <c r="L296" s="10" t="str">
        <f>IF($B296="","",IF(VLOOKUP($B296,Propostas!$B:$BE,21,FALSE)=1,"B",IF(VLOOKUP($B296,Propostas!$B:$BE,21,FALSE)=2,"E","N")))</f>
        <v/>
      </c>
      <c r="M296" s="32" t="str">
        <f>IF($B296 = "", "",  VLOOKUP($B296, Propostas!$B:$BE, 46, FALSE) )</f>
        <v/>
      </c>
      <c r="N296" s="32" t="str">
        <f>IF($B296 = "", "",  VLOOKUP($B296, Propostas!$B:$BE, 47, FALSE) )</f>
        <v/>
      </c>
      <c r="O296" s="13" t="str">
        <f>IF($B296="","",IF($C296="SIM", "INFRAESTRUTURA", VLOOKUP($B296, Propostas!$B:$BE,42,FALSE)))</f>
        <v/>
      </c>
      <c r="P296" s="32" t="str">
        <f>IF($B296 = "", "",  VLOOKUP($B296, Propostas!$B:$BE, 49, FALSE) )</f>
        <v/>
      </c>
      <c r="Q296" s="13" t="str">
        <f>IF($B296="","",  VLOOKUP($B296, Propostas!$B:$BE, 39, FALSE) )</f>
        <v/>
      </c>
      <c r="R296" s="81" t="str">
        <f>IF($B296="","",  VLOOKUP($B296, Propostas!$B:$BE, 43, FALSE) )</f>
        <v/>
      </c>
      <c r="S296" s="81" t="str">
        <f>IF($B296="","",  VLOOKUP($B296, Propostas!$B:$BE, 44, FALSE) )</f>
        <v/>
      </c>
      <c r="T296" s="81" t="str">
        <f>IF($B296="","",  VLOOKUP($B296, Propostas!$B:$BE, 45, FALSE) )</f>
        <v/>
      </c>
      <c r="U296" s="32" t="str">
        <f>IF($B296="","",  VLOOKUP($B296, Propostas!$B:$BE, 37, FALSE) )</f>
        <v/>
      </c>
      <c r="V296" s="13" t="str">
        <f>IF($B296="","",  VLOOKUP($B296, Propostas!$B:$BE, 50, FALSE) )</f>
        <v/>
      </c>
      <c r="W296" s="13" t="str">
        <f>IF($B296="","",  VLOOKUP($B296, Propostas!$B:$BE, 51, FALSE) )</f>
        <v/>
      </c>
      <c r="X296" s="13" t="str">
        <f>IF($B296="","",  VLOOKUP($B296, Propostas!$B:$BE, 52, FALSE) )</f>
        <v/>
      </c>
      <c r="Y296" s="13" t="str">
        <f>IF($B296="","",  VLOOKUP($B296, Propostas!$B:$BE, 36, FALSE) )</f>
        <v/>
      </c>
      <c r="Z296" s="13" t="str">
        <f>IF($B296="","",  VLOOKUP($F296, VW_PROJETO!B:C, 2, FALSE) )</f>
        <v/>
      </c>
    </row>
    <row r="297" spans="2:26" x14ac:dyDescent="0.2">
      <c r="B297" s="2"/>
      <c r="C297" s="4" t="str">
        <f>IF($B297="","",  VLOOKUP($B297, Propostas!$B:$BE, 33, FALSE) )</f>
        <v/>
      </c>
      <c r="D297" s="4" t="str">
        <f>IF($B297="","",  VLOOKUP($B297, Propostas!$B:$BE, 34, FALSE) )</f>
        <v/>
      </c>
      <c r="E297" s="4" t="str">
        <f>IF($B297="","",  VLOOKUP($B297, Propostas!$B:$BE, 35, FALSE) )</f>
        <v/>
      </c>
      <c r="F297" s="4" t="str">
        <f>IF($B297="","",  VLOOKUP($B297, Propostas!$B:$BE, 2, FALSE) )</f>
        <v/>
      </c>
      <c r="G297" s="4" t="str">
        <f>IF($B297="","",  VLOOKUP($B297, Propostas!$B:$BE, 3, FALSE) )</f>
        <v/>
      </c>
      <c r="H297" s="4" t="str">
        <f>IF($B297="","",  VLOOKUP($B297, Propostas!$B:$BE, 4, FALSE) )</f>
        <v/>
      </c>
      <c r="I297" s="4" t="str">
        <f>IF($B297="","",  VLOOKUP($B297, Propostas!$B:$BE, 38, FALSE) )</f>
        <v/>
      </c>
      <c r="J297" s="13" t="str">
        <f>IF($B297="","",IF($C297="SIM", "&lt; INFRRAESTRUTURA &gt;", VLOOKUP($B297,Propostas!$B:$BE,41,FALSE)))</f>
        <v/>
      </c>
      <c r="K297" s="10" t="str">
        <f>IF($B297="","",  VLOOKUP($B297, Propostas!$B:$BE, 40, FALSE) )</f>
        <v/>
      </c>
      <c r="L297" s="10" t="str">
        <f>IF($B297="","",IF(VLOOKUP($B297,Propostas!$B:$BE,21,FALSE)=1,"B",IF(VLOOKUP($B297,Propostas!$B:$BE,21,FALSE)=2,"E","N")))</f>
        <v/>
      </c>
      <c r="M297" s="32" t="str">
        <f>IF($B297 = "", "",  VLOOKUP($B297, Propostas!$B:$BE, 46, FALSE) )</f>
        <v/>
      </c>
      <c r="N297" s="32" t="str">
        <f>IF($B297 = "", "",  VLOOKUP($B297, Propostas!$B:$BE, 47, FALSE) )</f>
        <v/>
      </c>
      <c r="O297" s="13" t="str">
        <f>IF($B297="","",IF($C297="SIM", "INFRAESTRUTURA", VLOOKUP($B297, Propostas!$B:$BE,42,FALSE)))</f>
        <v/>
      </c>
      <c r="P297" s="32" t="str">
        <f>IF($B297 = "", "",  VLOOKUP($B297, Propostas!$B:$BE, 49, FALSE) )</f>
        <v/>
      </c>
      <c r="Q297" s="13" t="str">
        <f>IF($B297="","",  VLOOKUP($B297, Propostas!$B:$BE, 39, FALSE) )</f>
        <v/>
      </c>
      <c r="R297" s="81" t="str">
        <f>IF($B297="","",  VLOOKUP($B297, Propostas!$B:$BE, 43, FALSE) )</f>
        <v/>
      </c>
      <c r="S297" s="81" t="str">
        <f>IF($B297="","",  VLOOKUP($B297, Propostas!$B:$BE, 44, FALSE) )</f>
        <v/>
      </c>
      <c r="T297" s="81" t="str">
        <f>IF($B297="","",  VLOOKUP($B297, Propostas!$B:$BE, 45, FALSE) )</f>
        <v/>
      </c>
      <c r="U297" s="32" t="str">
        <f>IF($B297="","",  VLOOKUP($B297, Propostas!$B:$BE, 37, FALSE) )</f>
        <v/>
      </c>
      <c r="V297" s="13" t="str">
        <f>IF($B297="","",  VLOOKUP($B297, Propostas!$B:$BE, 50, FALSE) )</f>
        <v/>
      </c>
      <c r="W297" s="13" t="str">
        <f>IF($B297="","",  VLOOKUP($B297, Propostas!$B:$BE, 51, FALSE) )</f>
        <v/>
      </c>
      <c r="X297" s="13" t="str">
        <f>IF($B297="","",  VLOOKUP($B297, Propostas!$B:$BE, 52, FALSE) )</f>
        <v/>
      </c>
      <c r="Y297" s="13" t="str">
        <f>IF($B297="","",  VLOOKUP($B297, Propostas!$B:$BE, 36, FALSE) )</f>
        <v/>
      </c>
      <c r="Z297" s="13" t="str">
        <f>IF($B297="","",  VLOOKUP($F297, VW_PROJETO!B:C, 2, FALSE) )</f>
        <v/>
      </c>
    </row>
    <row r="298" spans="2:26" x14ac:dyDescent="0.2">
      <c r="B298" s="2"/>
      <c r="C298" s="4" t="str">
        <f>IF($B298="","",  VLOOKUP($B298, Propostas!$B:$BE, 33, FALSE) )</f>
        <v/>
      </c>
      <c r="D298" s="4" t="str">
        <f>IF($B298="","",  VLOOKUP($B298, Propostas!$B:$BE, 34, FALSE) )</f>
        <v/>
      </c>
      <c r="E298" s="4" t="str">
        <f>IF($B298="","",  VLOOKUP($B298, Propostas!$B:$BE, 35, FALSE) )</f>
        <v/>
      </c>
      <c r="F298" s="4" t="str">
        <f>IF($B298="","",  VLOOKUP($B298, Propostas!$B:$BE, 2, FALSE) )</f>
        <v/>
      </c>
      <c r="G298" s="4" t="str">
        <f>IF($B298="","",  VLOOKUP($B298, Propostas!$B:$BE, 3, FALSE) )</f>
        <v/>
      </c>
      <c r="H298" s="4" t="str">
        <f>IF($B298="","",  VLOOKUP($B298, Propostas!$B:$BE, 4, FALSE) )</f>
        <v/>
      </c>
      <c r="I298" s="4" t="str">
        <f>IF($B298="","",  VLOOKUP($B298, Propostas!$B:$BE, 38, FALSE) )</f>
        <v/>
      </c>
      <c r="J298" s="13" t="str">
        <f>IF($B298="","",IF($C298="SIM", "&lt; INFRRAESTRUTURA &gt;", VLOOKUP($B298,Propostas!$B:$BE,41,FALSE)))</f>
        <v/>
      </c>
      <c r="K298" s="10" t="str">
        <f>IF($B298="","",  VLOOKUP($B298, Propostas!$B:$BE, 40, FALSE) )</f>
        <v/>
      </c>
      <c r="L298" s="10" t="str">
        <f>IF($B298="","",IF(VLOOKUP($B298,Propostas!$B:$BE,21,FALSE)=1,"B",IF(VLOOKUP($B298,Propostas!$B:$BE,21,FALSE)=2,"E","N")))</f>
        <v/>
      </c>
      <c r="M298" s="32" t="str">
        <f>IF($B298 = "", "",  VLOOKUP($B298, Propostas!$B:$BE, 46, FALSE) )</f>
        <v/>
      </c>
      <c r="N298" s="32" t="str">
        <f>IF($B298 = "", "",  VLOOKUP($B298, Propostas!$B:$BE, 47, FALSE) )</f>
        <v/>
      </c>
      <c r="O298" s="13" t="str">
        <f>IF($B298="","",IF($C298="SIM", "INFRAESTRUTURA", VLOOKUP($B298, Propostas!$B:$BE,42,FALSE)))</f>
        <v/>
      </c>
      <c r="P298" s="32" t="str">
        <f>IF($B298 = "", "",  VLOOKUP($B298, Propostas!$B:$BE, 49, FALSE) )</f>
        <v/>
      </c>
      <c r="Q298" s="13" t="str">
        <f>IF($B298="","",  VLOOKUP($B298, Propostas!$B:$BE, 39, FALSE) )</f>
        <v/>
      </c>
      <c r="R298" s="81" t="str">
        <f>IF($B298="","",  VLOOKUP($B298, Propostas!$B:$BE, 43, FALSE) )</f>
        <v/>
      </c>
      <c r="S298" s="81" t="str">
        <f>IF($B298="","",  VLOOKUP($B298, Propostas!$B:$BE, 44, FALSE) )</f>
        <v/>
      </c>
      <c r="T298" s="81" t="str">
        <f>IF($B298="","",  VLOOKUP($B298, Propostas!$B:$BE, 45, FALSE) )</f>
        <v/>
      </c>
      <c r="U298" s="32" t="str">
        <f>IF($B298="","",  VLOOKUP($B298, Propostas!$B:$BE, 37, FALSE) )</f>
        <v/>
      </c>
      <c r="V298" s="13" t="str">
        <f>IF($B298="","",  VLOOKUP($B298, Propostas!$B:$BE, 50, FALSE) )</f>
        <v/>
      </c>
      <c r="W298" s="13" t="str">
        <f>IF($B298="","",  VLOOKUP($B298, Propostas!$B:$BE, 51, FALSE) )</f>
        <v/>
      </c>
      <c r="X298" s="13" t="str">
        <f>IF($B298="","",  VLOOKUP($B298, Propostas!$B:$BE, 52, FALSE) )</f>
        <v/>
      </c>
      <c r="Y298" s="13" t="str">
        <f>IF($B298="","",  VLOOKUP($B298, Propostas!$B:$BE, 36, FALSE) )</f>
        <v/>
      </c>
      <c r="Z298" s="13" t="str">
        <f>IF($B298="","",  VLOOKUP($F298, VW_PROJETO!B:C, 2, FALSE) )</f>
        <v/>
      </c>
    </row>
    <row r="299" spans="2:26" x14ac:dyDescent="0.2">
      <c r="B299" s="2"/>
      <c r="C299" s="4" t="str">
        <f>IF($B299="","",  VLOOKUP($B299, Propostas!$B:$BE, 33, FALSE) )</f>
        <v/>
      </c>
      <c r="D299" s="4" t="str">
        <f>IF($B299="","",  VLOOKUP($B299, Propostas!$B:$BE, 34, FALSE) )</f>
        <v/>
      </c>
      <c r="E299" s="4" t="str">
        <f>IF($B299="","",  VLOOKUP($B299, Propostas!$B:$BE, 35, FALSE) )</f>
        <v/>
      </c>
      <c r="F299" s="4" t="str">
        <f>IF($B299="","",  VLOOKUP($B299, Propostas!$B:$BE, 2, FALSE) )</f>
        <v/>
      </c>
      <c r="G299" s="4" t="str">
        <f>IF($B299="","",  VLOOKUP($B299, Propostas!$B:$BE, 3, FALSE) )</f>
        <v/>
      </c>
      <c r="H299" s="4" t="str">
        <f>IF($B299="","",  VLOOKUP($B299, Propostas!$B:$BE, 4, FALSE) )</f>
        <v/>
      </c>
      <c r="I299" s="4" t="str">
        <f>IF($B299="","",  VLOOKUP($B299, Propostas!$B:$BE, 38, FALSE) )</f>
        <v/>
      </c>
      <c r="J299" s="13" t="str">
        <f>IF($B299="","",IF($C299="SIM", "&lt; INFRRAESTRUTURA &gt;", VLOOKUP($B299,Propostas!$B:$BE,41,FALSE)))</f>
        <v/>
      </c>
      <c r="K299" s="10" t="str">
        <f>IF($B299="","",  VLOOKUP($B299, Propostas!$B:$BE, 40, FALSE) )</f>
        <v/>
      </c>
      <c r="L299" s="10" t="str">
        <f>IF($B299="","",IF(VLOOKUP($B299,Propostas!$B:$BE,21,FALSE)=1,"B",IF(VLOOKUP($B299,Propostas!$B:$BE,21,FALSE)=2,"E","N")))</f>
        <v/>
      </c>
      <c r="M299" s="32" t="str">
        <f>IF($B299 = "", "",  VLOOKUP($B299, Propostas!$B:$BE, 46, FALSE) )</f>
        <v/>
      </c>
      <c r="N299" s="32" t="str">
        <f>IF($B299 = "", "",  VLOOKUP($B299, Propostas!$B:$BE, 47, FALSE) )</f>
        <v/>
      </c>
      <c r="O299" s="13" t="str">
        <f>IF($B299="","",IF($C299="SIM", "INFRAESTRUTURA", VLOOKUP($B299, Propostas!$B:$BE,42,FALSE)))</f>
        <v/>
      </c>
      <c r="P299" s="32" t="str">
        <f>IF($B299 = "", "",  VLOOKUP($B299, Propostas!$B:$BE, 49, FALSE) )</f>
        <v/>
      </c>
      <c r="Q299" s="13" t="str">
        <f>IF($B299="","",  VLOOKUP($B299, Propostas!$B:$BE, 39, FALSE) )</f>
        <v/>
      </c>
      <c r="R299" s="81" t="str">
        <f>IF($B299="","",  VLOOKUP($B299, Propostas!$B:$BE, 43, FALSE) )</f>
        <v/>
      </c>
      <c r="S299" s="81" t="str">
        <f>IF($B299="","",  VLOOKUP($B299, Propostas!$B:$BE, 44, FALSE) )</f>
        <v/>
      </c>
      <c r="T299" s="81" t="str">
        <f>IF($B299="","",  VLOOKUP($B299, Propostas!$B:$BE, 45, FALSE) )</f>
        <v/>
      </c>
      <c r="U299" s="32" t="str">
        <f>IF($B299="","",  VLOOKUP($B299, Propostas!$B:$BE, 37, FALSE) )</f>
        <v/>
      </c>
      <c r="V299" s="13" t="str">
        <f>IF($B299="","",  VLOOKUP($B299, Propostas!$B:$BE, 50, FALSE) )</f>
        <v/>
      </c>
      <c r="W299" s="13" t="str">
        <f>IF($B299="","",  VLOOKUP($B299, Propostas!$B:$BE, 51, FALSE) )</f>
        <v/>
      </c>
      <c r="X299" s="13" t="str">
        <f>IF($B299="","",  VLOOKUP($B299, Propostas!$B:$BE, 52, FALSE) )</f>
        <v/>
      </c>
      <c r="Y299" s="13" t="str">
        <f>IF($B299="","",  VLOOKUP($B299, Propostas!$B:$BE, 36, FALSE) )</f>
        <v/>
      </c>
      <c r="Z299" s="13" t="str">
        <f>IF($B299="","",  VLOOKUP($F299, VW_PROJETO!B:C, 2, FALSE) )</f>
        <v/>
      </c>
    </row>
    <row r="300" spans="2:26" x14ac:dyDescent="0.2">
      <c r="B300" s="2"/>
      <c r="C300" s="4" t="str">
        <f>IF($B300="","",  VLOOKUP($B300, Propostas!$B:$BE, 33, FALSE) )</f>
        <v/>
      </c>
      <c r="D300" s="4" t="str">
        <f>IF($B300="","",  VLOOKUP($B300, Propostas!$B:$BE, 34, FALSE) )</f>
        <v/>
      </c>
      <c r="E300" s="4" t="str">
        <f>IF($B300="","",  VLOOKUP($B300, Propostas!$B:$BE, 35, FALSE) )</f>
        <v/>
      </c>
      <c r="F300" s="4" t="str">
        <f>IF($B300="","",  VLOOKUP($B300, Propostas!$B:$BE, 2, FALSE) )</f>
        <v/>
      </c>
      <c r="G300" s="4" t="str">
        <f>IF($B300="","",  VLOOKUP($B300, Propostas!$B:$BE, 3, FALSE) )</f>
        <v/>
      </c>
      <c r="H300" s="4" t="str">
        <f>IF($B300="","",  VLOOKUP($B300, Propostas!$B:$BE, 4, FALSE) )</f>
        <v/>
      </c>
      <c r="I300" s="4" t="str">
        <f>IF($B300="","",  VLOOKUP($B300, Propostas!$B:$BE, 38, FALSE) )</f>
        <v/>
      </c>
      <c r="J300" s="13" t="str">
        <f>IF($B300="","",IF($C300="SIM", "&lt; INFRRAESTRUTURA &gt;", VLOOKUP($B300,Propostas!$B:$BE,41,FALSE)))</f>
        <v/>
      </c>
      <c r="K300" s="10" t="str">
        <f>IF($B300="","",  VLOOKUP($B300, Propostas!$B:$BE, 40, FALSE) )</f>
        <v/>
      </c>
      <c r="L300" s="10" t="str">
        <f>IF($B300="","",IF(VLOOKUP($B300,Propostas!$B:$BE,21,FALSE)=1,"B",IF(VLOOKUP($B300,Propostas!$B:$BE,21,FALSE)=2,"E","N")))</f>
        <v/>
      </c>
      <c r="M300" s="32" t="str">
        <f>IF($B300 = "", "",  VLOOKUP($B300, Propostas!$B:$BE, 46, FALSE) )</f>
        <v/>
      </c>
      <c r="N300" s="32" t="str">
        <f>IF($B300 = "", "",  VLOOKUP($B300, Propostas!$B:$BE, 47, FALSE) )</f>
        <v/>
      </c>
      <c r="O300" s="13" t="str">
        <f>IF($B300="","",IF($C300="SIM", "INFRAESTRUTURA", VLOOKUP($B300, Propostas!$B:$BE,42,FALSE)))</f>
        <v/>
      </c>
      <c r="P300" s="32" t="str">
        <f>IF($B300 = "", "",  VLOOKUP($B300, Propostas!$B:$BE, 49, FALSE) )</f>
        <v/>
      </c>
      <c r="Q300" s="13" t="str">
        <f>IF($B300="","",  VLOOKUP($B300, Propostas!$B:$BE, 39, FALSE) )</f>
        <v/>
      </c>
      <c r="R300" s="81" t="str">
        <f>IF($B300="","",  VLOOKUP($B300, Propostas!$B:$BE, 43, FALSE) )</f>
        <v/>
      </c>
      <c r="S300" s="81" t="str">
        <f>IF($B300="","",  VLOOKUP($B300, Propostas!$B:$BE, 44, FALSE) )</f>
        <v/>
      </c>
      <c r="T300" s="81" t="str">
        <f>IF($B300="","",  VLOOKUP($B300, Propostas!$B:$BE, 45, FALSE) )</f>
        <v/>
      </c>
      <c r="U300" s="32" t="str">
        <f>IF($B300="","",  VLOOKUP($B300, Propostas!$B:$BE, 37, FALSE) )</f>
        <v/>
      </c>
      <c r="V300" s="13" t="str">
        <f>IF($B300="","",  VLOOKUP($B300, Propostas!$B:$BE, 50, FALSE) )</f>
        <v/>
      </c>
      <c r="W300" s="13" t="str">
        <f>IF($B300="","",  VLOOKUP($B300, Propostas!$B:$BE, 51, FALSE) )</f>
        <v/>
      </c>
      <c r="X300" s="13" t="str">
        <f>IF($B300="","",  VLOOKUP($B300, Propostas!$B:$BE, 52, FALSE) )</f>
        <v/>
      </c>
      <c r="Y300" s="13" t="str">
        <f>IF($B300="","",  VLOOKUP($B300, Propostas!$B:$BE, 36, FALSE) )</f>
        <v/>
      </c>
      <c r="Z300" s="13" t="str">
        <f>IF($B300="","",  VLOOKUP($F300, VW_PROJETO!B:C, 2, FALSE) )</f>
        <v/>
      </c>
    </row>
    <row r="301" spans="2:26" x14ac:dyDescent="0.2">
      <c r="B301" s="2"/>
      <c r="C301" s="4" t="str">
        <f>IF($B301="","",  VLOOKUP($B301, Propostas!$B:$BE, 33, FALSE) )</f>
        <v/>
      </c>
      <c r="D301" s="4" t="str">
        <f>IF($B301="","",  VLOOKUP($B301, Propostas!$B:$BE, 34, FALSE) )</f>
        <v/>
      </c>
      <c r="E301" s="4" t="str">
        <f>IF($B301="","",  VLOOKUP($B301, Propostas!$B:$BE, 35, FALSE) )</f>
        <v/>
      </c>
      <c r="F301" s="4" t="str">
        <f>IF($B301="","",  VLOOKUP($B301, Propostas!$B:$BE, 2, FALSE) )</f>
        <v/>
      </c>
      <c r="G301" s="4" t="str">
        <f>IF($B301="","",  VLOOKUP($B301, Propostas!$B:$BE, 3, FALSE) )</f>
        <v/>
      </c>
      <c r="H301" s="4" t="str">
        <f>IF($B301="","",  VLOOKUP($B301, Propostas!$B:$BE, 4, FALSE) )</f>
        <v/>
      </c>
      <c r="I301" s="4" t="str">
        <f>IF($B301="","",  VLOOKUP($B301, Propostas!$B:$BE, 38, FALSE) )</f>
        <v/>
      </c>
      <c r="J301" s="13" t="str">
        <f>IF($B301="","",IF($C301="SIM", "&lt; INFRRAESTRUTURA &gt;", VLOOKUP($B301,Propostas!$B:$BE,41,FALSE)))</f>
        <v/>
      </c>
      <c r="K301" s="10" t="str">
        <f>IF($B301="","",  VLOOKUP($B301, Propostas!$B:$BE, 40, FALSE) )</f>
        <v/>
      </c>
      <c r="L301" s="10" t="str">
        <f>IF($B301="","",IF(VLOOKUP($B301,Propostas!$B:$BE,21,FALSE)=1,"B",IF(VLOOKUP($B301,Propostas!$B:$BE,21,FALSE)=2,"E","N")))</f>
        <v/>
      </c>
      <c r="M301" s="32" t="str">
        <f>IF($B301 = "", "",  VLOOKUP($B301, Propostas!$B:$BE, 46, FALSE) )</f>
        <v/>
      </c>
      <c r="N301" s="32" t="str">
        <f>IF($B301 = "", "",  VLOOKUP($B301, Propostas!$B:$BE, 47, FALSE) )</f>
        <v/>
      </c>
      <c r="O301" s="13" t="str">
        <f>IF($B301="","",IF($C301="SIM", "INFRAESTRUTURA", VLOOKUP($B301, Propostas!$B:$BE,42,FALSE)))</f>
        <v/>
      </c>
      <c r="P301" s="32" t="str">
        <f>IF($B301 = "", "",  VLOOKUP($B301, Propostas!$B:$BE, 49, FALSE) )</f>
        <v/>
      </c>
      <c r="Q301" s="13" t="str">
        <f>IF($B301="","",  VLOOKUP($B301, Propostas!$B:$BE, 39, FALSE) )</f>
        <v/>
      </c>
      <c r="R301" s="81" t="str">
        <f>IF($B301="","",  VLOOKUP($B301, Propostas!$B:$BE, 43, FALSE) )</f>
        <v/>
      </c>
      <c r="S301" s="81" t="str">
        <f>IF($B301="","",  VLOOKUP($B301, Propostas!$B:$BE, 44, FALSE) )</f>
        <v/>
      </c>
      <c r="T301" s="81" t="str">
        <f>IF($B301="","",  VLOOKUP($B301, Propostas!$B:$BE, 45, FALSE) )</f>
        <v/>
      </c>
      <c r="U301" s="32" t="str">
        <f>IF($B301="","",  VLOOKUP($B301, Propostas!$B:$BE, 37, FALSE) )</f>
        <v/>
      </c>
      <c r="V301" s="13" t="str">
        <f>IF($B301="","",  VLOOKUP($B301, Propostas!$B:$BE, 50, FALSE) )</f>
        <v/>
      </c>
      <c r="W301" s="13" t="str">
        <f>IF($B301="","",  VLOOKUP($B301, Propostas!$B:$BE, 51, FALSE) )</f>
        <v/>
      </c>
      <c r="X301" s="13" t="str">
        <f>IF($B301="","",  VLOOKUP($B301, Propostas!$B:$BE, 52, FALSE) )</f>
        <v/>
      </c>
      <c r="Y301" s="13" t="str">
        <f>IF($B301="","",  VLOOKUP($B301, Propostas!$B:$BE, 36, FALSE) )</f>
        <v/>
      </c>
      <c r="Z301" s="13" t="str">
        <f>IF($B301="","",  VLOOKUP($F301, VW_PROJETO!B:C, 2, FALSE) )</f>
        <v/>
      </c>
    </row>
    <row r="302" spans="2:26" x14ac:dyDescent="0.2">
      <c r="B302" s="2"/>
      <c r="C302" s="4" t="str">
        <f>IF($B302="","",  VLOOKUP($B302, Propostas!$B:$BE, 33, FALSE) )</f>
        <v/>
      </c>
      <c r="D302" s="4" t="str">
        <f>IF($B302="","",  VLOOKUP($B302, Propostas!$B:$BE, 34, FALSE) )</f>
        <v/>
      </c>
      <c r="E302" s="4" t="str">
        <f>IF($B302="","",  VLOOKUP($B302, Propostas!$B:$BE, 35, FALSE) )</f>
        <v/>
      </c>
      <c r="F302" s="4" t="str">
        <f>IF($B302="","",  VLOOKUP($B302, Propostas!$B:$BE, 2, FALSE) )</f>
        <v/>
      </c>
      <c r="G302" s="4" t="str">
        <f>IF($B302="","",  VLOOKUP($B302, Propostas!$B:$BE, 3, FALSE) )</f>
        <v/>
      </c>
      <c r="H302" s="4" t="str">
        <f>IF($B302="","",  VLOOKUP($B302, Propostas!$B:$BE, 4, FALSE) )</f>
        <v/>
      </c>
      <c r="I302" s="4" t="str">
        <f>IF($B302="","",  VLOOKUP($B302, Propostas!$B:$BE, 38, FALSE) )</f>
        <v/>
      </c>
      <c r="J302" s="13" t="str">
        <f>IF($B302="","",IF($C302="SIM", "&lt; INFRRAESTRUTURA &gt;", VLOOKUP($B302,Propostas!$B:$BE,41,FALSE)))</f>
        <v/>
      </c>
      <c r="K302" s="10" t="str">
        <f>IF($B302="","",  VLOOKUP($B302, Propostas!$B:$BE, 40, FALSE) )</f>
        <v/>
      </c>
      <c r="L302" s="10" t="str">
        <f>IF($B302="","",IF(VLOOKUP($B302,Propostas!$B:$BE,21,FALSE)=1,"B",IF(VLOOKUP($B302,Propostas!$B:$BE,21,FALSE)=2,"E","N")))</f>
        <v/>
      </c>
      <c r="M302" s="32" t="str">
        <f>IF($B302 = "", "",  VLOOKUP($B302, Propostas!$B:$BE, 46, FALSE) )</f>
        <v/>
      </c>
      <c r="N302" s="32" t="str">
        <f>IF($B302 = "", "",  VLOOKUP($B302, Propostas!$B:$BE, 47, FALSE) )</f>
        <v/>
      </c>
      <c r="O302" s="13" t="str">
        <f>IF($B302="","",IF($C302="SIM", "INFRAESTRUTURA", VLOOKUP($B302, Propostas!$B:$BE,42,FALSE)))</f>
        <v/>
      </c>
      <c r="P302" s="32" t="str">
        <f>IF($B302 = "", "",  VLOOKUP($B302, Propostas!$B:$BE, 49, FALSE) )</f>
        <v/>
      </c>
      <c r="Q302" s="13" t="str">
        <f>IF($B302="","",  VLOOKUP($B302, Propostas!$B:$BE, 39, FALSE) )</f>
        <v/>
      </c>
      <c r="R302" s="81" t="str">
        <f>IF($B302="","",  VLOOKUP($B302, Propostas!$B:$BE, 43, FALSE) )</f>
        <v/>
      </c>
      <c r="S302" s="81" t="str">
        <f>IF($B302="","",  VLOOKUP($B302, Propostas!$B:$BE, 44, FALSE) )</f>
        <v/>
      </c>
      <c r="T302" s="81" t="str">
        <f>IF($B302="","",  VLOOKUP($B302, Propostas!$B:$BE, 45, FALSE) )</f>
        <v/>
      </c>
      <c r="U302" s="32" t="str">
        <f>IF($B302="","",  VLOOKUP($B302, Propostas!$B:$BE, 37, FALSE) )</f>
        <v/>
      </c>
      <c r="V302" s="13" t="str">
        <f>IF($B302="","",  VLOOKUP($B302, Propostas!$B:$BE, 50, FALSE) )</f>
        <v/>
      </c>
      <c r="W302" s="13" t="str">
        <f>IF($B302="","",  VLOOKUP($B302, Propostas!$B:$BE, 51, FALSE) )</f>
        <v/>
      </c>
      <c r="X302" s="13" t="str">
        <f>IF($B302="","",  VLOOKUP($B302, Propostas!$B:$BE, 52, FALSE) )</f>
        <v/>
      </c>
      <c r="Y302" s="13" t="str">
        <f>IF($B302="","",  VLOOKUP($B302, Propostas!$B:$BE, 36, FALSE) )</f>
        <v/>
      </c>
      <c r="Z302" s="13" t="str">
        <f>IF($B302="","",  VLOOKUP($F302, VW_PROJETO!B:C, 2, FALSE) )</f>
        <v/>
      </c>
    </row>
    <row r="303" spans="2:26" x14ac:dyDescent="0.2">
      <c r="B303" s="2"/>
      <c r="C303" s="4" t="str">
        <f>IF($B303="","",  VLOOKUP($B303, Propostas!$B:$BE, 33, FALSE) )</f>
        <v/>
      </c>
      <c r="D303" s="4" t="str">
        <f>IF($B303="","",  VLOOKUP($B303, Propostas!$B:$BE, 34, FALSE) )</f>
        <v/>
      </c>
      <c r="E303" s="4" t="str">
        <f>IF($B303="","",  VLOOKUP($B303, Propostas!$B:$BE, 35, FALSE) )</f>
        <v/>
      </c>
      <c r="F303" s="4" t="str">
        <f>IF($B303="","",  VLOOKUP($B303, Propostas!$B:$BE, 2, FALSE) )</f>
        <v/>
      </c>
      <c r="G303" s="4" t="str">
        <f>IF($B303="","",  VLOOKUP($B303, Propostas!$B:$BE, 3, FALSE) )</f>
        <v/>
      </c>
      <c r="H303" s="4" t="str">
        <f>IF($B303="","",  VLOOKUP($B303, Propostas!$B:$BE, 4, FALSE) )</f>
        <v/>
      </c>
      <c r="I303" s="4" t="str">
        <f>IF($B303="","",  VLOOKUP($B303, Propostas!$B:$BE, 38, FALSE) )</f>
        <v/>
      </c>
      <c r="J303" s="13" t="str">
        <f>IF($B303="","",IF($C303="SIM", "&lt; INFRRAESTRUTURA &gt;", VLOOKUP($B303,Propostas!$B:$BE,41,FALSE)))</f>
        <v/>
      </c>
      <c r="K303" s="10" t="str">
        <f>IF($B303="","",  VLOOKUP($B303, Propostas!$B:$BE, 40, FALSE) )</f>
        <v/>
      </c>
      <c r="L303" s="10" t="str">
        <f>IF($B303="","",IF(VLOOKUP($B303,Propostas!$B:$BE,21,FALSE)=1,"B",IF(VLOOKUP($B303,Propostas!$B:$BE,21,FALSE)=2,"E","N")))</f>
        <v/>
      </c>
      <c r="M303" s="32" t="str">
        <f>IF($B303 = "", "",  VLOOKUP($B303, Propostas!$B:$BE, 46, FALSE) )</f>
        <v/>
      </c>
      <c r="N303" s="32" t="str">
        <f>IF($B303 = "", "",  VLOOKUP($B303, Propostas!$B:$BE, 47, FALSE) )</f>
        <v/>
      </c>
      <c r="O303" s="13" t="str">
        <f>IF($B303="","",IF($C303="SIM", "INFRAESTRUTURA", VLOOKUP($B303, Propostas!$B:$BE,42,FALSE)))</f>
        <v/>
      </c>
      <c r="P303" s="32" t="str">
        <f>IF($B303 = "", "",  VLOOKUP($B303, Propostas!$B:$BE, 49, FALSE) )</f>
        <v/>
      </c>
      <c r="Q303" s="13" t="str">
        <f>IF($B303="","",  VLOOKUP($B303, Propostas!$B:$BE, 39, FALSE) )</f>
        <v/>
      </c>
      <c r="R303" s="81" t="str">
        <f>IF($B303="","",  VLOOKUP($B303, Propostas!$B:$BE, 43, FALSE) )</f>
        <v/>
      </c>
      <c r="S303" s="81" t="str">
        <f>IF($B303="","",  VLOOKUP($B303, Propostas!$B:$BE, 44, FALSE) )</f>
        <v/>
      </c>
      <c r="T303" s="81" t="str">
        <f>IF($B303="","",  VLOOKUP($B303, Propostas!$B:$BE, 45, FALSE) )</f>
        <v/>
      </c>
      <c r="U303" s="32" t="str">
        <f>IF($B303="","",  VLOOKUP($B303, Propostas!$B:$BE, 37, FALSE) )</f>
        <v/>
      </c>
      <c r="V303" s="13" t="str">
        <f>IF($B303="","",  VLOOKUP($B303, Propostas!$B:$BE, 50, FALSE) )</f>
        <v/>
      </c>
      <c r="W303" s="13" t="str">
        <f>IF($B303="","",  VLOOKUP($B303, Propostas!$B:$BE, 51, FALSE) )</f>
        <v/>
      </c>
      <c r="X303" s="13" t="str">
        <f>IF($B303="","",  VLOOKUP($B303, Propostas!$B:$BE, 52, FALSE) )</f>
        <v/>
      </c>
      <c r="Y303" s="13" t="str">
        <f>IF($B303="","",  VLOOKUP($B303, Propostas!$B:$BE, 36, FALSE) )</f>
        <v/>
      </c>
      <c r="Z303" s="13" t="str">
        <f>IF($B303="","",  VLOOKUP($F303, VW_PROJETO!B:C, 2, FALSE) )</f>
        <v/>
      </c>
    </row>
    <row r="304" spans="2:26" x14ac:dyDescent="0.2">
      <c r="B304" s="2"/>
      <c r="C304" s="4" t="str">
        <f>IF($B304="","",  VLOOKUP($B304, Propostas!$B:$BE, 33, FALSE) )</f>
        <v/>
      </c>
      <c r="D304" s="4" t="str">
        <f>IF($B304="","",  VLOOKUP($B304, Propostas!$B:$BE, 34, FALSE) )</f>
        <v/>
      </c>
      <c r="E304" s="4" t="str">
        <f>IF($B304="","",  VLOOKUP($B304, Propostas!$B:$BE, 35, FALSE) )</f>
        <v/>
      </c>
      <c r="F304" s="4" t="str">
        <f>IF($B304="","",  VLOOKUP($B304, Propostas!$B:$BE, 2, FALSE) )</f>
        <v/>
      </c>
      <c r="G304" s="4" t="str">
        <f>IF($B304="","",  VLOOKUP($B304, Propostas!$B:$BE, 3, FALSE) )</f>
        <v/>
      </c>
      <c r="H304" s="4" t="str">
        <f>IF($B304="","",  VLOOKUP($B304, Propostas!$B:$BE, 4, FALSE) )</f>
        <v/>
      </c>
      <c r="I304" s="4" t="str">
        <f>IF($B304="","",  VLOOKUP($B304, Propostas!$B:$BE, 38, FALSE) )</f>
        <v/>
      </c>
      <c r="J304" s="13" t="str">
        <f>IF($B304="","",IF($C304="SIM", "&lt; INFRRAESTRUTURA &gt;", VLOOKUP($B304,Propostas!$B:$BE,41,FALSE)))</f>
        <v/>
      </c>
      <c r="K304" s="10" t="str">
        <f>IF($B304="","",  VLOOKUP($B304, Propostas!$B:$BE, 40, FALSE) )</f>
        <v/>
      </c>
      <c r="L304" s="10" t="str">
        <f>IF($B304="","",IF(VLOOKUP($B304,Propostas!$B:$BE,21,FALSE)=1,"B",IF(VLOOKUP($B304,Propostas!$B:$BE,21,FALSE)=2,"E","N")))</f>
        <v/>
      </c>
      <c r="M304" s="32" t="str">
        <f>IF($B304 = "", "",  VLOOKUP($B304, Propostas!$B:$BE, 46, FALSE) )</f>
        <v/>
      </c>
      <c r="N304" s="32" t="str">
        <f>IF($B304 = "", "",  VLOOKUP($B304, Propostas!$B:$BE, 47, FALSE) )</f>
        <v/>
      </c>
      <c r="O304" s="13" t="str">
        <f>IF($B304="","",IF($C304="SIM", "INFRAESTRUTURA", VLOOKUP($B304, Propostas!$B:$BE,42,FALSE)))</f>
        <v/>
      </c>
      <c r="P304" s="32" t="str">
        <f>IF($B304 = "", "",  VLOOKUP($B304, Propostas!$B:$BE, 49, FALSE) )</f>
        <v/>
      </c>
      <c r="Q304" s="13" t="str">
        <f>IF($B304="","",  VLOOKUP($B304, Propostas!$B:$BE, 39, FALSE) )</f>
        <v/>
      </c>
      <c r="R304" s="81" t="str">
        <f>IF($B304="","",  VLOOKUP($B304, Propostas!$B:$BE, 43, FALSE) )</f>
        <v/>
      </c>
      <c r="S304" s="81" t="str">
        <f>IF($B304="","",  VLOOKUP($B304, Propostas!$B:$BE, 44, FALSE) )</f>
        <v/>
      </c>
      <c r="T304" s="81" t="str">
        <f>IF($B304="","",  VLOOKUP($B304, Propostas!$B:$BE, 45, FALSE) )</f>
        <v/>
      </c>
      <c r="U304" s="32" t="str">
        <f>IF($B304="","",  VLOOKUP($B304, Propostas!$B:$BE, 37, FALSE) )</f>
        <v/>
      </c>
      <c r="V304" s="13" t="str">
        <f>IF($B304="","",  VLOOKUP($B304, Propostas!$B:$BE, 50, FALSE) )</f>
        <v/>
      </c>
      <c r="W304" s="13" t="str">
        <f>IF($B304="","",  VLOOKUP($B304, Propostas!$B:$BE, 51, FALSE) )</f>
        <v/>
      </c>
      <c r="X304" s="13" t="str">
        <f>IF($B304="","",  VLOOKUP($B304, Propostas!$B:$BE, 52, FALSE) )</f>
        <v/>
      </c>
      <c r="Y304" s="13" t="str">
        <f>IF($B304="","",  VLOOKUP($B304, Propostas!$B:$BE, 36, FALSE) )</f>
        <v/>
      </c>
      <c r="Z304" s="13" t="str">
        <f>IF($B304="","",  VLOOKUP($F304, VW_PROJETO!B:C, 2, FALSE) )</f>
        <v/>
      </c>
    </row>
    <row r="305" spans="2:26" x14ac:dyDescent="0.2">
      <c r="B305" s="2"/>
      <c r="C305" s="4" t="str">
        <f>IF($B305="","",  VLOOKUP($B305, Propostas!$B:$BE, 33, FALSE) )</f>
        <v/>
      </c>
      <c r="D305" s="4" t="str">
        <f>IF($B305="","",  VLOOKUP($B305, Propostas!$B:$BE, 34, FALSE) )</f>
        <v/>
      </c>
      <c r="E305" s="4" t="str">
        <f>IF($B305="","",  VLOOKUP($B305, Propostas!$B:$BE, 35, FALSE) )</f>
        <v/>
      </c>
      <c r="F305" s="4" t="str">
        <f>IF($B305="","",  VLOOKUP($B305, Propostas!$B:$BE, 2, FALSE) )</f>
        <v/>
      </c>
      <c r="G305" s="4" t="str">
        <f>IF($B305="","",  VLOOKUP($B305, Propostas!$B:$BE, 3, FALSE) )</f>
        <v/>
      </c>
      <c r="H305" s="4" t="str">
        <f>IF($B305="","",  VLOOKUP($B305, Propostas!$B:$BE, 4, FALSE) )</f>
        <v/>
      </c>
      <c r="I305" s="4" t="str">
        <f>IF($B305="","",  VLOOKUP($B305, Propostas!$B:$BE, 38, FALSE) )</f>
        <v/>
      </c>
      <c r="J305" s="13" t="str">
        <f>IF($B305="","",IF($C305="SIM", "&lt; INFRRAESTRUTURA &gt;", VLOOKUP($B305,Propostas!$B:$BE,41,FALSE)))</f>
        <v/>
      </c>
      <c r="K305" s="10" t="str">
        <f>IF($B305="","",  VLOOKUP($B305, Propostas!$B:$BE, 40, FALSE) )</f>
        <v/>
      </c>
      <c r="L305" s="10" t="str">
        <f>IF($B305="","",IF(VLOOKUP($B305,Propostas!$B:$BE,21,FALSE)=1,"B",IF(VLOOKUP($B305,Propostas!$B:$BE,21,FALSE)=2,"E","N")))</f>
        <v/>
      </c>
      <c r="M305" s="32" t="str">
        <f>IF($B305 = "", "",  VLOOKUP($B305, Propostas!$B:$BE, 46, FALSE) )</f>
        <v/>
      </c>
      <c r="N305" s="32" t="str">
        <f>IF($B305 = "", "",  VLOOKUP($B305, Propostas!$B:$BE, 47, FALSE) )</f>
        <v/>
      </c>
      <c r="O305" s="13" t="str">
        <f>IF($B305="","",IF($C305="SIM", "INFRAESTRUTURA", VLOOKUP($B305, Propostas!$B:$BE,42,FALSE)))</f>
        <v/>
      </c>
      <c r="P305" s="32" t="str">
        <f>IF($B305 = "", "",  VLOOKUP($B305, Propostas!$B:$BE, 49, FALSE) )</f>
        <v/>
      </c>
      <c r="Q305" s="13" t="str">
        <f>IF($B305="","",  VLOOKUP($B305, Propostas!$B:$BE, 39, FALSE) )</f>
        <v/>
      </c>
      <c r="R305" s="81" t="str">
        <f>IF($B305="","",  VLOOKUP($B305, Propostas!$B:$BE, 43, FALSE) )</f>
        <v/>
      </c>
      <c r="S305" s="81" t="str">
        <f>IF($B305="","",  VLOOKUP($B305, Propostas!$B:$BE, 44, FALSE) )</f>
        <v/>
      </c>
      <c r="T305" s="81" t="str">
        <f>IF($B305="","",  VLOOKUP($B305, Propostas!$B:$BE, 45, FALSE) )</f>
        <v/>
      </c>
      <c r="U305" s="32" t="str">
        <f>IF($B305="","",  VLOOKUP($B305, Propostas!$B:$BE, 37, FALSE) )</f>
        <v/>
      </c>
      <c r="V305" s="13" t="str">
        <f>IF($B305="","",  VLOOKUP($B305, Propostas!$B:$BE, 50, FALSE) )</f>
        <v/>
      </c>
      <c r="W305" s="13" t="str">
        <f>IF($B305="","",  VLOOKUP($B305, Propostas!$B:$BE, 51, FALSE) )</f>
        <v/>
      </c>
      <c r="X305" s="13" t="str">
        <f>IF($B305="","",  VLOOKUP($B305, Propostas!$B:$BE, 52, FALSE) )</f>
        <v/>
      </c>
      <c r="Y305" s="13" t="str">
        <f>IF($B305="","",  VLOOKUP($B305, Propostas!$B:$BE, 36, FALSE) )</f>
        <v/>
      </c>
      <c r="Z305" s="13" t="str">
        <f>IF($B305="","",  VLOOKUP($F305, VW_PROJETO!B:C, 2, FALSE) )</f>
        <v/>
      </c>
    </row>
    <row r="306" spans="2:26" x14ac:dyDescent="0.2">
      <c r="B306" s="2"/>
      <c r="C306" s="4" t="str">
        <f>IF($B306="","",  VLOOKUP($B306, Propostas!$B:$BE, 33, FALSE) )</f>
        <v/>
      </c>
      <c r="D306" s="4" t="str">
        <f>IF($B306="","",  VLOOKUP($B306, Propostas!$B:$BE, 34, FALSE) )</f>
        <v/>
      </c>
      <c r="E306" s="4" t="str">
        <f>IF($B306="","",  VLOOKUP($B306, Propostas!$B:$BE, 35, FALSE) )</f>
        <v/>
      </c>
      <c r="F306" s="4" t="str">
        <f>IF($B306="","",  VLOOKUP($B306, Propostas!$B:$BE, 2, FALSE) )</f>
        <v/>
      </c>
      <c r="G306" s="4" t="str">
        <f>IF($B306="","",  VLOOKUP($B306, Propostas!$B:$BE, 3, FALSE) )</f>
        <v/>
      </c>
      <c r="H306" s="4" t="str">
        <f>IF($B306="","",  VLOOKUP($B306, Propostas!$B:$BE, 4, FALSE) )</f>
        <v/>
      </c>
      <c r="I306" s="4" t="str">
        <f>IF($B306="","",  VLOOKUP($B306, Propostas!$B:$BE, 38, FALSE) )</f>
        <v/>
      </c>
      <c r="J306" s="13" t="str">
        <f>IF($B306="","",IF($C306="SIM", "&lt; INFRRAESTRUTURA &gt;", VLOOKUP($B306,Propostas!$B:$BE,41,FALSE)))</f>
        <v/>
      </c>
      <c r="K306" s="10" t="str">
        <f>IF($B306="","",  VLOOKUP($B306, Propostas!$B:$BE, 40, FALSE) )</f>
        <v/>
      </c>
      <c r="L306" s="10" t="str">
        <f>IF($B306="","",IF(VLOOKUP($B306,Propostas!$B:$BE,21,FALSE)=1,"B",IF(VLOOKUP($B306,Propostas!$B:$BE,21,FALSE)=2,"E","N")))</f>
        <v/>
      </c>
      <c r="M306" s="32" t="str">
        <f>IF($B306 = "", "",  VLOOKUP($B306, Propostas!$B:$BE, 46, FALSE) )</f>
        <v/>
      </c>
      <c r="N306" s="32" t="str">
        <f>IF($B306 = "", "",  VLOOKUP($B306, Propostas!$B:$BE, 47, FALSE) )</f>
        <v/>
      </c>
      <c r="O306" s="13" t="str">
        <f>IF($B306="","",IF($C306="SIM", "INFRAESTRUTURA", VLOOKUP($B306, Propostas!$B:$BE,42,FALSE)))</f>
        <v/>
      </c>
      <c r="P306" s="32" t="str">
        <f>IF($B306 = "", "",  VLOOKUP($B306, Propostas!$B:$BE, 49, FALSE) )</f>
        <v/>
      </c>
      <c r="Q306" s="13" t="str">
        <f>IF($B306="","",  VLOOKUP($B306, Propostas!$B:$BE, 39, FALSE) )</f>
        <v/>
      </c>
      <c r="R306" s="81" t="str">
        <f>IF($B306="","",  VLOOKUP($B306, Propostas!$B:$BE, 43, FALSE) )</f>
        <v/>
      </c>
      <c r="S306" s="81" t="str">
        <f>IF($B306="","",  VLOOKUP($B306, Propostas!$B:$BE, 44, FALSE) )</f>
        <v/>
      </c>
      <c r="T306" s="81" t="str">
        <f>IF($B306="","",  VLOOKUP($B306, Propostas!$B:$BE, 45, FALSE) )</f>
        <v/>
      </c>
      <c r="U306" s="32" t="str">
        <f>IF($B306="","",  VLOOKUP($B306, Propostas!$B:$BE, 37, FALSE) )</f>
        <v/>
      </c>
      <c r="V306" s="13" t="str">
        <f>IF($B306="","",  VLOOKUP($B306, Propostas!$B:$BE, 50, FALSE) )</f>
        <v/>
      </c>
      <c r="W306" s="13" t="str">
        <f>IF($B306="","",  VLOOKUP($B306, Propostas!$B:$BE, 51, FALSE) )</f>
        <v/>
      </c>
      <c r="X306" s="13" t="str">
        <f>IF($B306="","",  VLOOKUP($B306, Propostas!$B:$BE, 52, FALSE) )</f>
        <v/>
      </c>
      <c r="Y306" s="13" t="str">
        <f>IF($B306="","",  VLOOKUP($B306, Propostas!$B:$BE, 36, FALSE) )</f>
        <v/>
      </c>
      <c r="Z306" s="13" t="str">
        <f>IF($B306="","",  VLOOKUP($F306, VW_PROJETO!B:C, 2, FALSE) )</f>
        <v/>
      </c>
    </row>
    <row r="307" spans="2:26" x14ac:dyDescent="0.2">
      <c r="B307" s="2"/>
      <c r="C307" s="4" t="str">
        <f>IF($B307="","",  VLOOKUP($B307, Propostas!$B:$BE, 33, FALSE) )</f>
        <v/>
      </c>
      <c r="D307" s="4" t="str">
        <f>IF($B307="","",  VLOOKUP($B307, Propostas!$B:$BE, 34, FALSE) )</f>
        <v/>
      </c>
      <c r="E307" s="4" t="str">
        <f>IF($B307="","",  VLOOKUP($B307, Propostas!$B:$BE, 35, FALSE) )</f>
        <v/>
      </c>
      <c r="F307" s="4" t="str">
        <f>IF($B307="","",  VLOOKUP($B307, Propostas!$B:$BE, 2, FALSE) )</f>
        <v/>
      </c>
      <c r="G307" s="4" t="str">
        <f>IF($B307="","",  VLOOKUP($B307, Propostas!$B:$BE, 3, FALSE) )</f>
        <v/>
      </c>
      <c r="H307" s="4" t="str">
        <f>IF($B307="","",  VLOOKUP($B307, Propostas!$B:$BE, 4, FALSE) )</f>
        <v/>
      </c>
      <c r="I307" s="4" t="str">
        <f>IF($B307="","",  VLOOKUP($B307, Propostas!$B:$BE, 38, FALSE) )</f>
        <v/>
      </c>
      <c r="J307" s="13" t="str">
        <f>IF($B307="","",IF($C307="SIM", "&lt; INFRRAESTRUTURA &gt;", VLOOKUP($B307,Propostas!$B:$BE,41,FALSE)))</f>
        <v/>
      </c>
      <c r="K307" s="10" t="str">
        <f>IF($B307="","",  VLOOKUP($B307, Propostas!$B:$BE, 40, FALSE) )</f>
        <v/>
      </c>
      <c r="L307" s="10" t="str">
        <f>IF($B307="","",IF(VLOOKUP($B307,Propostas!$B:$BE,21,FALSE)=1,"B",IF(VLOOKUP($B307,Propostas!$B:$BE,21,FALSE)=2,"E","N")))</f>
        <v/>
      </c>
      <c r="M307" s="32" t="str">
        <f>IF($B307 = "", "",  VLOOKUP($B307, Propostas!$B:$BE, 46, FALSE) )</f>
        <v/>
      </c>
      <c r="N307" s="32" t="str">
        <f>IF($B307 = "", "",  VLOOKUP($B307, Propostas!$B:$BE, 47, FALSE) )</f>
        <v/>
      </c>
      <c r="O307" s="13" t="str">
        <f>IF($B307="","",IF($C307="SIM", "INFRAESTRUTURA", VLOOKUP($B307, Propostas!$B:$BE,42,FALSE)))</f>
        <v/>
      </c>
      <c r="P307" s="32" t="str">
        <f>IF($B307 = "", "",  VLOOKUP($B307, Propostas!$B:$BE, 49, FALSE) )</f>
        <v/>
      </c>
      <c r="Q307" s="13" t="str">
        <f>IF($B307="","",  VLOOKUP($B307, Propostas!$B:$BE, 39, FALSE) )</f>
        <v/>
      </c>
      <c r="R307" s="81" t="str">
        <f>IF($B307="","",  VLOOKUP($B307, Propostas!$B:$BE, 43, FALSE) )</f>
        <v/>
      </c>
      <c r="S307" s="81" t="str">
        <f>IF($B307="","",  VLOOKUP($B307, Propostas!$B:$BE, 44, FALSE) )</f>
        <v/>
      </c>
      <c r="T307" s="81" t="str">
        <f>IF($B307="","",  VLOOKUP($B307, Propostas!$B:$BE, 45, FALSE) )</f>
        <v/>
      </c>
      <c r="U307" s="32" t="str">
        <f>IF($B307="","",  VLOOKUP($B307, Propostas!$B:$BE, 37, FALSE) )</f>
        <v/>
      </c>
      <c r="V307" s="13" t="str">
        <f>IF($B307="","",  VLOOKUP($B307, Propostas!$B:$BE, 50, FALSE) )</f>
        <v/>
      </c>
      <c r="W307" s="13" t="str">
        <f>IF($B307="","",  VLOOKUP($B307, Propostas!$B:$BE, 51, FALSE) )</f>
        <v/>
      </c>
      <c r="X307" s="13" t="str">
        <f>IF($B307="","",  VLOOKUP($B307, Propostas!$B:$BE, 52, FALSE) )</f>
        <v/>
      </c>
      <c r="Y307" s="13" t="str">
        <f>IF($B307="","",  VLOOKUP($B307, Propostas!$B:$BE, 36, FALSE) )</f>
        <v/>
      </c>
      <c r="Z307" s="13" t="str">
        <f>IF($B307="","",  VLOOKUP($F307, VW_PROJETO!B:C, 2, FALSE) )</f>
        <v/>
      </c>
    </row>
    <row r="308" spans="2:26" x14ac:dyDescent="0.2">
      <c r="B308" s="2"/>
      <c r="C308" s="4" t="str">
        <f>IF($B308="","",  VLOOKUP($B308, Propostas!$B:$BE, 33, FALSE) )</f>
        <v/>
      </c>
      <c r="D308" s="4" t="str">
        <f>IF($B308="","",  VLOOKUP($B308, Propostas!$B:$BE, 34, FALSE) )</f>
        <v/>
      </c>
      <c r="E308" s="4" t="str">
        <f>IF($B308="","",  VLOOKUP($B308, Propostas!$B:$BE, 35, FALSE) )</f>
        <v/>
      </c>
      <c r="F308" s="4" t="str">
        <f>IF($B308="","",  VLOOKUP($B308, Propostas!$B:$BE, 2, FALSE) )</f>
        <v/>
      </c>
      <c r="G308" s="4" t="str">
        <f>IF($B308="","",  VLOOKUP($B308, Propostas!$B:$BE, 3, FALSE) )</f>
        <v/>
      </c>
      <c r="H308" s="4" t="str">
        <f>IF($B308="","",  VLOOKUP($B308, Propostas!$B:$BE, 4, FALSE) )</f>
        <v/>
      </c>
      <c r="I308" s="4" t="str">
        <f>IF($B308="","",  VLOOKUP($B308, Propostas!$B:$BE, 38, FALSE) )</f>
        <v/>
      </c>
      <c r="J308" s="13" t="str">
        <f>IF($B308="","",IF($C308="SIM", "&lt; INFRRAESTRUTURA &gt;", VLOOKUP($B308,Propostas!$B:$BE,41,FALSE)))</f>
        <v/>
      </c>
      <c r="K308" s="10" t="str">
        <f>IF($B308="","",  VLOOKUP($B308, Propostas!$B:$BE, 40, FALSE) )</f>
        <v/>
      </c>
      <c r="L308" s="10" t="str">
        <f>IF($B308="","",IF(VLOOKUP($B308,Propostas!$B:$BE,21,FALSE)=1,"B",IF(VLOOKUP($B308,Propostas!$B:$BE,21,FALSE)=2,"E","N")))</f>
        <v/>
      </c>
      <c r="M308" s="32" t="str">
        <f>IF($B308 = "", "",  VLOOKUP($B308, Propostas!$B:$BE, 46, FALSE) )</f>
        <v/>
      </c>
      <c r="N308" s="32" t="str">
        <f>IF($B308 = "", "",  VLOOKUP($B308, Propostas!$B:$BE, 47, FALSE) )</f>
        <v/>
      </c>
      <c r="O308" s="13" t="str">
        <f>IF($B308="","",IF($C308="SIM", "INFRAESTRUTURA", VLOOKUP($B308, Propostas!$B:$BE,42,FALSE)))</f>
        <v/>
      </c>
      <c r="P308" s="32" t="str">
        <f>IF($B308 = "", "",  VLOOKUP($B308, Propostas!$B:$BE, 49, FALSE) )</f>
        <v/>
      </c>
      <c r="Q308" s="13" t="str">
        <f>IF($B308="","",  VLOOKUP($B308, Propostas!$B:$BE, 39, FALSE) )</f>
        <v/>
      </c>
      <c r="R308" s="81" t="str">
        <f>IF($B308="","",  VLOOKUP($B308, Propostas!$B:$BE, 43, FALSE) )</f>
        <v/>
      </c>
      <c r="S308" s="81" t="str">
        <f>IF($B308="","",  VLOOKUP($B308, Propostas!$B:$BE, 44, FALSE) )</f>
        <v/>
      </c>
      <c r="T308" s="81" t="str">
        <f>IF($B308="","",  VLOOKUP($B308, Propostas!$B:$BE, 45, FALSE) )</f>
        <v/>
      </c>
      <c r="U308" s="32" t="str">
        <f>IF($B308="","",  VLOOKUP($B308, Propostas!$B:$BE, 37, FALSE) )</f>
        <v/>
      </c>
      <c r="V308" s="13" t="str">
        <f>IF($B308="","",  VLOOKUP($B308, Propostas!$B:$BE, 50, FALSE) )</f>
        <v/>
      </c>
      <c r="W308" s="13" t="str">
        <f>IF($B308="","",  VLOOKUP($B308, Propostas!$B:$BE, 51, FALSE) )</f>
        <v/>
      </c>
      <c r="X308" s="13" t="str">
        <f>IF($B308="","",  VLOOKUP($B308, Propostas!$B:$BE, 52, FALSE) )</f>
        <v/>
      </c>
      <c r="Y308" s="13" t="str">
        <f>IF($B308="","",  VLOOKUP($B308, Propostas!$B:$BE, 36, FALSE) )</f>
        <v/>
      </c>
      <c r="Z308" s="13" t="str">
        <f>IF($B308="","",  VLOOKUP($F308, VW_PROJETO!B:C, 2, FALSE) )</f>
        <v/>
      </c>
    </row>
    <row r="309" spans="2:26" x14ac:dyDescent="0.2">
      <c r="B309" s="2"/>
      <c r="C309" s="4" t="str">
        <f>IF($B309="","",  VLOOKUP($B309, Propostas!$B:$BE, 33, FALSE) )</f>
        <v/>
      </c>
      <c r="D309" s="4" t="str">
        <f>IF($B309="","",  VLOOKUP($B309, Propostas!$B:$BE, 34, FALSE) )</f>
        <v/>
      </c>
      <c r="E309" s="4" t="str">
        <f>IF($B309="","",  VLOOKUP($B309, Propostas!$B:$BE, 35, FALSE) )</f>
        <v/>
      </c>
      <c r="F309" s="4" t="str">
        <f>IF($B309="","",  VLOOKUP($B309, Propostas!$B:$BE, 2, FALSE) )</f>
        <v/>
      </c>
      <c r="G309" s="4" t="str">
        <f>IF($B309="","",  VLOOKUP($B309, Propostas!$B:$BE, 3, FALSE) )</f>
        <v/>
      </c>
      <c r="H309" s="4" t="str">
        <f>IF($B309="","",  VLOOKUP($B309, Propostas!$B:$BE, 4, FALSE) )</f>
        <v/>
      </c>
      <c r="I309" s="4" t="str">
        <f>IF($B309="","",  VLOOKUP($B309, Propostas!$B:$BE, 38, FALSE) )</f>
        <v/>
      </c>
      <c r="J309" s="13" t="str">
        <f>IF($B309="","",IF($C309="SIM", "&lt; INFRRAESTRUTURA &gt;", VLOOKUP($B309,Propostas!$B:$BE,41,FALSE)))</f>
        <v/>
      </c>
      <c r="K309" s="10" t="str">
        <f>IF($B309="","",  VLOOKUP($B309, Propostas!$B:$BE, 40, FALSE) )</f>
        <v/>
      </c>
      <c r="L309" s="10" t="str">
        <f>IF($B309="","",IF(VLOOKUP($B309,Propostas!$B:$BE,21,FALSE)=1,"B",IF(VLOOKUP($B309,Propostas!$B:$BE,21,FALSE)=2,"E","N")))</f>
        <v/>
      </c>
      <c r="M309" s="32" t="str">
        <f>IF($B309 = "", "",  VLOOKUP($B309, Propostas!$B:$BE, 46, FALSE) )</f>
        <v/>
      </c>
      <c r="N309" s="32" t="str">
        <f>IF($B309 = "", "",  VLOOKUP($B309, Propostas!$B:$BE, 47, FALSE) )</f>
        <v/>
      </c>
      <c r="O309" s="13" t="str">
        <f>IF($B309="","",IF($C309="SIM", "INFRAESTRUTURA", VLOOKUP($B309, Propostas!$B:$BE,42,FALSE)))</f>
        <v/>
      </c>
      <c r="P309" s="32" t="str">
        <f>IF($B309 = "", "",  VLOOKUP($B309, Propostas!$B:$BE, 49, FALSE) )</f>
        <v/>
      </c>
      <c r="Q309" s="13" t="str">
        <f>IF($B309="","",  VLOOKUP($B309, Propostas!$B:$BE, 39, FALSE) )</f>
        <v/>
      </c>
      <c r="R309" s="81" t="str">
        <f>IF($B309="","",  VLOOKUP($B309, Propostas!$B:$BE, 43, FALSE) )</f>
        <v/>
      </c>
      <c r="S309" s="81" t="str">
        <f>IF($B309="","",  VLOOKUP($B309, Propostas!$B:$BE, 44, FALSE) )</f>
        <v/>
      </c>
      <c r="T309" s="81" t="str">
        <f>IF($B309="","",  VLOOKUP($B309, Propostas!$B:$BE, 45, FALSE) )</f>
        <v/>
      </c>
      <c r="U309" s="32" t="str">
        <f>IF($B309="","",  VLOOKUP($B309, Propostas!$B:$BE, 37, FALSE) )</f>
        <v/>
      </c>
      <c r="V309" s="13" t="str">
        <f>IF($B309="","",  VLOOKUP($B309, Propostas!$B:$BE, 50, FALSE) )</f>
        <v/>
      </c>
      <c r="W309" s="13" t="str">
        <f>IF($B309="","",  VLOOKUP($B309, Propostas!$B:$BE, 51, FALSE) )</f>
        <v/>
      </c>
      <c r="X309" s="13" t="str">
        <f>IF($B309="","",  VLOOKUP($B309, Propostas!$B:$BE, 52, FALSE) )</f>
        <v/>
      </c>
      <c r="Y309" s="13" t="str">
        <f>IF($B309="","",  VLOOKUP($B309, Propostas!$B:$BE, 36, FALSE) )</f>
        <v/>
      </c>
      <c r="Z309" s="13" t="str">
        <f>IF($B309="","",  VLOOKUP($F309, VW_PROJETO!B:C, 2, FALSE) )</f>
        <v/>
      </c>
    </row>
    <row r="310" spans="2:26" x14ac:dyDescent="0.2">
      <c r="B310" s="2"/>
      <c r="C310" s="4" t="str">
        <f>IF($B310="","",  VLOOKUP($B310, Propostas!$B:$BE, 33, FALSE) )</f>
        <v/>
      </c>
      <c r="D310" s="4" t="str">
        <f>IF($B310="","",  VLOOKUP($B310, Propostas!$B:$BE, 34, FALSE) )</f>
        <v/>
      </c>
      <c r="E310" s="4" t="str">
        <f>IF($B310="","",  VLOOKUP($B310, Propostas!$B:$BE, 35, FALSE) )</f>
        <v/>
      </c>
      <c r="F310" s="4" t="str">
        <f>IF($B310="","",  VLOOKUP($B310, Propostas!$B:$BE, 2, FALSE) )</f>
        <v/>
      </c>
      <c r="G310" s="4" t="str">
        <f>IF($B310="","",  VLOOKUP($B310, Propostas!$B:$BE, 3, FALSE) )</f>
        <v/>
      </c>
      <c r="H310" s="4" t="str">
        <f>IF($B310="","",  VLOOKUP($B310, Propostas!$B:$BE, 4, FALSE) )</f>
        <v/>
      </c>
      <c r="I310" s="4" t="str">
        <f>IF($B310="","",  VLOOKUP($B310, Propostas!$B:$BE, 38, FALSE) )</f>
        <v/>
      </c>
      <c r="J310" s="13" t="str">
        <f>IF($B310="","",IF($C310="SIM", "&lt; INFRRAESTRUTURA &gt;", VLOOKUP($B310,Propostas!$B:$BE,41,FALSE)))</f>
        <v/>
      </c>
      <c r="K310" s="10" t="str">
        <f>IF($B310="","",  VLOOKUP($B310, Propostas!$B:$BE, 40, FALSE) )</f>
        <v/>
      </c>
      <c r="L310" s="10" t="str">
        <f>IF($B310="","",IF(VLOOKUP($B310,Propostas!$B:$BE,21,FALSE)=1,"B",IF(VLOOKUP($B310,Propostas!$B:$BE,21,FALSE)=2,"E","N")))</f>
        <v/>
      </c>
      <c r="M310" s="32" t="str">
        <f>IF($B310 = "", "",  VLOOKUP($B310, Propostas!$B:$BE, 46, FALSE) )</f>
        <v/>
      </c>
      <c r="N310" s="32" t="str">
        <f>IF($B310 = "", "",  VLOOKUP($B310, Propostas!$B:$BE, 47, FALSE) )</f>
        <v/>
      </c>
      <c r="O310" s="13" t="str">
        <f>IF($B310="","",IF($C310="SIM", "INFRAESTRUTURA", VLOOKUP($B310, Propostas!$B:$BE,42,FALSE)))</f>
        <v/>
      </c>
      <c r="P310" s="32" t="str">
        <f>IF($B310 = "", "",  VLOOKUP($B310, Propostas!$B:$BE, 49, FALSE) )</f>
        <v/>
      </c>
      <c r="Q310" s="13" t="str">
        <f>IF($B310="","",  VLOOKUP($B310, Propostas!$B:$BE, 39, FALSE) )</f>
        <v/>
      </c>
      <c r="R310" s="81" t="str">
        <f>IF($B310="","",  VLOOKUP($B310, Propostas!$B:$BE, 43, FALSE) )</f>
        <v/>
      </c>
      <c r="S310" s="81" t="str">
        <f>IF($B310="","",  VLOOKUP($B310, Propostas!$B:$BE, 44, FALSE) )</f>
        <v/>
      </c>
      <c r="T310" s="81" t="str">
        <f>IF($B310="","",  VLOOKUP($B310, Propostas!$B:$BE, 45, FALSE) )</f>
        <v/>
      </c>
      <c r="U310" s="32" t="str">
        <f>IF($B310="","",  VLOOKUP($B310, Propostas!$B:$BE, 37, FALSE) )</f>
        <v/>
      </c>
      <c r="V310" s="13" t="str">
        <f>IF($B310="","",  VLOOKUP($B310, Propostas!$B:$BE, 50, FALSE) )</f>
        <v/>
      </c>
      <c r="W310" s="13" t="str">
        <f>IF($B310="","",  VLOOKUP($B310, Propostas!$B:$BE, 51, FALSE) )</f>
        <v/>
      </c>
      <c r="X310" s="13" t="str">
        <f>IF($B310="","",  VLOOKUP($B310, Propostas!$B:$BE, 52, FALSE) )</f>
        <v/>
      </c>
      <c r="Y310" s="13" t="str">
        <f>IF($B310="","",  VLOOKUP($B310, Propostas!$B:$BE, 36, FALSE) )</f>
        <v/>
      </c>
      <c r="Z310" s="13" t="str">
        <f>IF($B310="","",  VLOOKUP($F310, VW_PROJETO!B:C, 2, FALSE) )</f>
        <v/>
      </c>
    </row>
    <row r="311" spans="2:26" x14ac:dyDescent="0.2">
      <c r="B311" s="2"/>
      <c r="C311" s="4" t="str">
        <f>IF($B311="","",  VLOOKUP($B311, Propostas!$B:$BE, 33, FALSE) )</f>
        <v/>
      </c>
      <c r="D311" s="4" t="str">
        <f>IF($B311="","",  VLOOKUP($B311, Propostas!$B:$BE, 34, FALSE) )</f>
        <v/>
      </c>
      <c r="E311" s="4" t="str">
        <f>IF($B311="","",  VLOOKUP($B311, Propostas!$B:$BE, 35, FALSE) )</f>
        <v/>
      </c>
      <c r="F311" s="4" t="str">
        <f>IF($B311="","",  VLOOKUP($B311, Propostas!$B:$BE, 2, FALSE) )</f>
        <v/>
      </c>
      <c r="G311" s="4" t="str">
        <f>IF($B311="","",  VLOOKUP($B311, Propostas!$B:$BE, 3, FALSE) )</f>
        <v/>
      </c>
      <c r="H311" s="4" t="str">
        <f>IF($B311="","",  VLOOKUP($B311, Propostas!$B:$BE, 4, FALSE) )</f>
        <v/>
      </c>
      <c r="I311" s="4" t="str">
        <f>IF($B311="","",  VLOOKUP($B311, Propostas!$B:$BE, 38, FALSE) )</f>
        <v/>
      </c>
      <c r="J311" s="13" t="str">
        <f>IF($B311="","",IF($C311="SIM", "&lt; INFRRAESTRUTURA &gt;", VLOOKUP($B311,Propostas!$B:$BE,41,FALSE)))</f>
        <v/>
      </c>
      <c r="K311" s="10" t="str">
        <f>IF($B311="","",  VLOOKUP($B311, Propostas!$B:$BE, 40, FALSE) )</f>
        <v/>
      </c>
      <c r="L311" s="10" t="str">
        <f>IF($B311="","",IF(VLOOKUP($B311,Propostas!$B:$BE,21,FALSE)=1,"B",IF(VLOOKUP($B311,Propostas!$B:$BE,21,FALSE)=2,"E","N")))</f>
        <v/>
      </c>
      <c r="M311" s="32" t="str">
        <f>IF($B311 = "", "",  VLOOKUP($B311, Propostas!$B:$BE, 46, FALSE) )</f>
        <v/>
      </c>
      <c r="N311" s="32" t="str">
        <f>IF($B311 = "", "",  VLOOKUP($B311, Propostas!$B:$BE, 47, FALSE) )</f>
        <v/>
      </c>
      <c r="O311" s="13" t="str">
        <f>IF($B311="","",IF($C311="SIM", "INFRAESTRUTURA", VLOOKUP($B311, Propostas!$B:$BE,42,FALSE)))</f>
        <v/>
      </c>
      <c r="P311" s="32" t="str">
        <f>IF($B311 = "", "",  VLOOKUP($B311, Propostas!$B:$BE, 49, FALSE) )</f>
        <v/>
      </c>
      <c r="Q311" s="13" t="str">
        <f>IF($B311="","",  VLOOKUP($B311, Propostas!$B:$BE, 39, FALSE) )</f>
        <v/>
      </c>
      <c r="R311" s="81" t="str">
        <f>IF($B311="","",  VLOOKUP($B311, Propostas!$B:$BE, 43, FALSE) )</f>
        <v/>
      </c>
      <c r="S311" s="81" t="str">
        <f>IF($B311="","",  VLOOKUP($B311, Propostas!$B:$BE, 44, FALSE) )</f>
        <v/>
      </c>
      <c r="T311" s="81" t="str">
        <f>IF($B311="","",  VLOOKUP($B311, Propostas!$B:$BE, 45, FALSE) )</f>
        <v/>
      </c>
      <c r="U311" s="32" t="str">
        <f>IF($B311="","",  VLOOKUP($B311, Propostas!$B:$BE, 37, FALSE) )</f>
        <v/>
      </c>
      <c r="V311" s="13" t="str">
        <f>IF($B311="","",  VLOOKUP($B311, Propostas!$B:$BE, 50, FALSE) )</f>
        <v/>
      </c>
      <c r="W311" s="13" t="str">
        <f>IF($B311="","",  VLOOKUP($B311, Propostas!$B:$BE, 51, FALSE) )</f>
        <v/>
      </c>
      <c r="X311" s="13" t="str">
        <f>IF($B311="","",  VLOOKUP($B311, Propostas!$B:$BE, 52, FALSE) )</f>
        <v/>
      </c>
      <c r="Y311" s="13" t="str">
        <f>IF($B311="","",  VLOOKUP($B311, Propostas!$B:$BE, 36, FALSE) )</f>
        <v/>
      </c>
      <c r="Z311" s="13" t="str">
        <f>IF($B311="","",  VLOOKUP($F311, VW_PROJETO!B:C, 2, FALSE) )</f>
        <v/>
      </c>
    </row>
    <row r="312" spans="2:26" x14ac:dyDescent="0.2">
      <c r="B312" s="2"/>
      <c r="C312" s="4" t="str">
        <f>IF($B312="","",  VLOOKUP($B312, Propostas!$B:$BE, 33, FALSE) )</f>
        <v/>
      </c>
      <c r="D312" s="4" t="str">
        <f>IF($B312="","",  VLOOKUP($B312, Propostas!$B:$BE, 34, FALSE) )</f>
        <v/>
      </c>
      <c r="E312" s="4" t="str">
        <f>IF($B312="","",  VLOOKUP($B312, Propostas!$B:$BE, 35, FALSE) )</f>
        <v/>
      </c>
      <c r="F312" s="4" t="str">
        <f>IF($B312="","",  VLOOKUP($B312, Propostas!$B:$BE, 2, FALSE) )</f>
        <v/>
      </c>
      <c r="G312" s="4" t="str">
        <f>IF($B312="","",  VLOOKUP($B312, Propostas!$B:$BE, 3, FALSE) )</f>
        <v/>
      </c>
      <c r="H312" s="4" t="str">
        <f>IF($B312="","",  VLOOKUP($B312, Propostas!$B:$BE, 4, FALSE) )</f>
        <v/>
      </c>
      <c r="I312" s="4" t="str">
        <f>IF($B312="","",  VLOOKUP($B312, Propostas!$B:$BE, 38, FALSE) )</f>
        <v/>
      </c>
      <c r="J312" s="13" t="str">
        <f>IF($B312="","",IF($C312="SIM", "&lt; INFRRAESTRUTURA &gt;", VLOOKUP($B312,Propostas!$B:$BE,41,FALSE)))</f>
        <v/>
      </c>
      <c r="K312" s="10" t="str">
        <f>IF($B312="","",  VLOOKUP($B312, Propostas!$B:$BE, 40, FALSE) )</f>
        <v/>
      </c>
      <c r="L312" s="10" t="str">
        <f>IF($B312="","",IF(VLOOKUP($B312,Propostas!$B:$BE,21,FALSE)=1,"B",IF(VLOOKUP($B312,Propostas!$B:$BE,21,FALSE)=2,"E","N")))</f>
        <v/>
      </c>
      <c r="M312" s="32" t="str">
        <f>IF($B312 = "", "",  VLOOKUP($B312, Propostas!$B:$BE, 46, FALSE) )</f>
        <v/>
      </c>
      <c r="N312" s="32" t="str">
        <f>IF($B312 = "", "",  VLOOKUP($B312, Propostas!$B:$BE, 47, FALSE) )</f>
        <v/>
      </c>
      <c r="O312" s="13" t="str">
        <f>IF($B312="","",IF($C312="SIM", "INFRAESTRUTURA", VLOOKUP($B312, Propostas!$B:$BE,42,FALSE)))</f>
        <v/>
      </c>
      <c r="P312" s="32" t="str">
        <f>IF($B312 = "", "",  VLOOKUP($B312, Propostas!$B:$BE, 49, FALSE) )</f>
        <v/>
      </c>
      <c r="Q312" s="13" t="str">
        <f>IF($B312="","",  VLOOKUP($B312, Propostas!$B:$BE, 39, FALSE) )</f>
        <v/>
      </c>
      <c r="R312" s="81" t="str">
        <f>IF($B312="","",  VLOOKUP($B312, Propostas!$B:$BE, 43, FALSE) )</f>
        <v/>
      </c>
      <c r="S312" s="81" t="str">
        <f>IF($B312="","",  VLOOKUP($B312, Propostas!$B:$BE, 44, FALSE) )</f>
        <v/>
      </c>
      <c r="T312" s="81" t="str">
        <f>IF($B312="","",  VLOOKUP($B312, Propostas!$B:$BE, 45, FALSE) )</f>
        <v/>
      </c>
      <c r="U312" s="32" t="str">
        <f>IF($B312="","",  VLOOKUP($B312, Propostas!$B:$BE, 37, FALSE) )</f>
        <v/>
      </c>
      <c r="V312" s="13" t="str">
        <f>IF($B312="","",  VLOOKUP($B312, Propostas!$B:$BE, 50, FALSE) )</f>
        <v/>
      </c>
      <c r="W312" s="13" t="str">
        <f>IF($B312="","",  VLOOKUP($B312, Propostas!$B:$BE, 51, FALSE) )</f>
        <v/>
      </c>
      <c r="X312" s="13" t="str">
        <f>IF($B312="","",  VLOOKUP($B312, Propostas!$B:$BE, 52, FALSE) )</f>
        <v/>
      </c>
      <c r="Y312" s="13" t="str">
        <f>IF($B312="","",  VLOOKUP($B312, Propostas!$B:$BE, 36, FALSE) )</f>
        <v/>
      </c>
      <c r="Z312" s="13" t="str">
        <f>IF($B312="","",  VLOOKUP($F312, VW_PROJETO!B:C, 2, FALSE) )</f>
        <v/>
      </c>
    </row>
    <row r="313" spans="2:26" x14ac:dyDescent="0.2">
      <c r="B313" s="2"/>
      <c r="C313" s="4" t="str">
        <f>IF($B313="","",  VLOOKUP($B313, Propostas!$B:$BE, 33, FALSE) )</f>
        <v/>
      </c>
      <c r="D313" s="4" t="str">
        <f>IF($B313="","",  VLOOKUP($B313, Propostas!$B:$BE, 34, FALSE) )</f>
        <v/>
      </c>
      <c r="E313" s="4" t="str">
        <f>IF($B313="","",  VLOOKUP($B313, Propostas!$B:$BE, 35, FALSE) )</f>
        <v/>
      </c>
      <c r="F313" s="4" t="str">
        <f>IF($B313="","",  VLOOKUP($B313, Propostas!$B:$BE, 2, FALSE) )</f>
        <v/>
      </c>
      <c r="G313" s="4" t="str">
        <f>IF($B313="","",  VLOOKUP($B313, Propostas!$B:$BE, 3, FALSE) )</f>
        <v/>
      </c>
      <c r="H313" s="4" t="str">
        <f>IF($B313="","",  VLOOKUP($B313, Propostas!$B:$BE, 4, FALSE) )</f>
        <v/>
      </c>
      <c r="I313" s="4" t="str">
        <f>IF($B313="","",  VLOOKUP($B313, Propostas!$B:$BE, 38, FALSE) )</f>
        <v/>
      </c>
      <c r="J313" s="13" t="str">
        <f>IF($B313="","",IF($C313="SIM", "&lt; INFRRAESTRUTURA &gt;", VLOOKUP($B313,Propostas!$B:$BE,41,FALSE)))</f>
        <v/>
      </c>
      <c r="K313" s="10" t="str">
        <f>IF($B313="","",  VLOOKUP($B313, Propostas!$B:$BE, 40, FALSE) )</f>
        <v/>
      </c>
      <c r="L313" s="10" t="str">
        <f>IF($B313="","",IF(VLOOKUP($B313,Propostas!$B:$BE,21,FALSE)=1,"B",IF(VLOOKUP($B313,Propostas!$B:$BE,21,FALSE)=2,"E","N")))</f>
        <v/>
      </c>
      <c r="M313" s="32" t="str">
        <f>IF($B313 = "", "",  VLOOKUP($B313, Propostas!$B:$BE, 46, FALSE) )</f>
        <v/>
      </c>
      <c r="N313" s="32" t="str">
        <f>IF($B313 = "", "",  VLOOKUP($B313, Propostas!$B:$BE, 47, FALSE) )</f>
        <v/>
      </c>
      <c r="O313" s="13" t="str">
        <f>IF($B313="","",IF($C313="SIM", "INFRAESTRUTURA", VLOOKUP($B313, Propostas!$B:$BE,42,FALSE)))</f>
        <v/>
      </c>
      <c r="P313" s="32" t="str">
        <f>IF($B313 = "", "",  VLOOKUP($B313, Propostas!$B:$BE, 49, FALSE) )</f>
        <v/>
      </c>
      <c r="Q313" s="13" t="str">
        <f>IF($B313="","",  VLOOKUP($B313, Propostas!$B:$BE, 39, FALSE) )</f>
        <v/>
      </c>
      <c r="R313" s="81" t="str">
        <f>IF($B313="","",  VLOOKUP($B313, Propostas!$B:$BE, 43, FALSE) )</f>
        <v/>
      </c>
      <c r="S313" s="81" t="str">
        <f>IF($B313="","",  VLOOKUP($B313, Propostas!$B:$BE, 44, FALSE) )</f>
        <v/>
      </c>
      <c r="T313" s="81" t="str">
        <f>IF($B313="","",  VLOOKUP($B313, Propostas!$B:$BE, 45, FALSE) )</f>
        <v/>
      </c>
      <c r="U313" s="32" t="str">
        <f>IF($B313="","",  VLOOKUP($B313, Propostas!$B:$BE, 37, FALSE) )</f>
        <v/>
      </c>
      <c r="V313" s="13" t="str">
        <f>IF($B313="","",  VLOOKUP($B313, Propostas!$B:$BE, 50, FALSE) )</f>
        <v/>
      </c>
      <c r="W313" s="13" t="str">
        <f>IF($B313="","",  VLOOKUP($B313, Propostas!$B:$BE, 51, FALSE) )</f>
        <v/>
      </c>
      <c r="X313" s="13" t="str">
        <f>IF($B313="","",  VLOOKUP($B313, Propostas!$B:$BE, 52, FALSE) )</f>
        <v/>
      </c>
      <c r="Y313" s="13" t="str">
        <f>IF($B313="","",  VLOOKUP($B313, Propostas!$B:$BE, 36, FALSE) )</f>
        <v/>
      </c>
      <c r="Z313" s="13" t="str">
        <f>IF($B313="","",  VLOOKUP($F313, VW_PROJETO!B:C, 2, FALSE) )</f>
        <v/>
      </c>
    </row>
    <row r="314" spans="2:26" x14ac:dyDescent="0.2">
      <c r="B314" s="2"/>
      <c r="C314" s="4" t="str">
        <f>IF($B314="","",  VLOOKUP($B314, Propostas!$B:$BE, 33, FALSE) )</f>
        <v/>
      </c>
      <c r="D314" s="4" t="str">
        <f>IF($B314="","",  VLOOKUP($B314, Propostas!$B:$BE, 34, FALSE) )</f>
        <v/>
      </c>
      <c r="E314" s="4" t="str">
        <f>IF($B314="","",  VLOOKUP($B314, Propostas!$B:$BE, 35, FALSE) )</f>
        <v/>
      </c>
      <c r="F314" s="4" t="str">
        <f>IF($B314="","",  VLOOKUP($B314, Propostas!$B:$BE, 2, FALSE) )</f>
        <v/>
      </c>
      <c r="G314" s="4" t="str">
        <f>IF($B314="","",  VLOOKUP($B314, Propostas!$B:$BE, 3, FALSE) )</f>
        <v/>
      </c>
      <c r="H314" s="4" t="str">
        <f>IF($B314="","",  VLOOKUP($B314, Propostas!$B:$BE, 4, FALSE) )</f>
        <v/>
      </c>
      <c r="I314" s="4" t="str">
        <f>IF($B314="","",  VLOOKUP($B314, Propostas!$B:$BE, 38, FALSE) )</f>
        <v/>
      </c>
      <c r="J314" s="13" t="str">
        <f>IF($B314="","",IF($C314="SIM", "&lt; INFRRAESTRUTURA &gt;", VLOOKUP($B314,Propostas!$B:$BE,41,FALSE)))</f>
        <v/>
      </c>
      <c r="K314" s="10" t="str">
        <f>IF($B314="","",  VLOOKUP($B314, Propostas!$B:$BE, 40, FALSE) )</f>
        <v/>
      </c>
      <c r="L314" s="10" t="str">
        <f>IF($B314="","",IF(VLOOKUP($B314,Propostas!$B:$BE,21,FALSE)=1,"B",IF(VLOOKUP($B314,Propostas!$B:$BE,21,FALSE)=2,"E","N")))</f>
        <v/>
      </c>
      <c r="M314" s="32" t="str">
        <f>IF($B314 = "", "",  VLOOKUP($B314, Propostas!$B:$BE, 46, FALSE) )</f>
        <v/>
      </c>
      <c r="N314" s="32" t="str">
        <f>IF($B314 = "", "",  VLOOKUP($B314, Propostas!$B:$BE, 47, FALSE) )</f>
        <v/>
      </c>
      <c r="O314" s="13" t="str">
        <f>IF($B314="","",IF($C314="SIM", "INFRAESTRUTURA", VLOOKUP($B314, Propostas!$B:$BE,42,FALSE)))</f>
        <v/>
      </c>
      <c r="P314" s="32" t="str">
        <f>IF($B314 = "", "",  VLOOKUP($B314, Propostas!$B:$BE, 49, FALSE) )</f>
        <v/>
      </c>
      <c r="Q314" s="13" t="str">
        <f>IF($B314="","",  VLOOKUP($B314, Propostas!$B:$BE, 39, FALSE) )</f>
        <v/>
      </c>
      <c r="R314" s="81" t="str">
        <f>IF($B314="","",  VLOOKUP($B314, Propostas!$B:$BE, 43, FALSE) )</f>
        <v/>
      </c>
      <c r="S314" s="81" t="str">
        <f>IF($B314="","",  VLOOKUP($B314, Propostas!$B:$BE, 44, FALSE) )</f>
        <v/>
      </c>
      <c r="T314" s="81" t="str">
        <f>IF($B314="","",  VLOOKUP($B314, Propostas!$B:$BE, 45, FALSE) )</f>
        <v/>
      </c>
      <c r="U314" s="32" t="str">
        <f>IF($B314="","",  VLOOKUP($B314, Propostas!$B:$BE, 37, FALSE) )</f>
        <v/>
      </c>
      <c r="V314" s="13" t="str">
        <f>IF($B314="","",  VLOOKUP($B314, Propostas!$B:$BE, 50, FALSE) )</f>
        <v/>
      </c>
      <c r="W314" s="13" t="str">
        <f>IF($B314="","",  VLOOKUP($B314, Propostas!$B:$BE, 51, FALSE) )</f>
        <v/>
      </c>
      <c r="X314" s="13" t="str">
        <f>IF($B314="","",  VLOOKUP($B314, Propostas!$B:$BE, 52, FALSE) )</f>
        <v/>
      </c>
      <c r="Y314" s="13" t="str">
        <f>IF($B314="","",  VLOOKUP($B314, Propostas!$B:$BE, 36, FALSE) )</f>
        <v/>
      </c>
      <c r="Z314" s="13" t="str">
        <f>IF($B314="","",  VLOOKUP($F314, VW_PROJETO!B:C, 2, FALSE) )</f>
        <v/>
      </c>
    </row>
    <row r="315" spans="2:26" x14ac:dyDescent="0.2">
      <c r="B315" s="2"/>
      <c r="C315" s="4" t="str">
        <f>IF($B315="","",  VLOOKUP($B315, Propostas!$B:$BE, 33, FALSE) )</f>
        <v/>
      </c>
      <c r="D315" s="4" t="str">
        <f>IF($B315="","",  VLOOKUP($B315, Propostas!$B:$BE, 34, FALSE) )</f>
        <v/>
      </c>
      <c r="E315" s="4" t="str">
        <f>IF($B315="","",  VLOOKUP($B315, Propostas!$B:$BE, 35, FALSE) )</f>
        <v/>
      </c>
      <c r="F315" s="4" t="str">
        <f>IF($B315="","",  VLOOKUP($B315, Propostas!$B:$BE, 2, FALSE) )</f>
        <v/>
      </c>
      <c r="G315" s="4" t="str">
        <f>IF($B315="","",  VLOOKUP($B315, Propostas!$B:$BE, 3, FALSE) )</f>
        <v/>
      </c>
      <c r="H315" s="4" t="str">
        <f>IF($B315="","",  VLOOKUP($B315, Propostas!$B:$BE, 4, FALSE) )</f>
        <v/>
      </c>
      <c r="I315" s="4" t="str">
        <f>IF($B315="","",  VLOOKUP($B315, Propostas!$B:$BE, 38, FALSE) )</f>
        <v/>
      </c>
      <c r="J315" s="13" t="str">
        <f>IF($B315="","",IF($C315="SIM", "&lt; INFRRAESTRUTURA &gt;", VLOOKUP($B315,Propostas!$B:$BE,41,FALSE)))</f>
        <v/>
      </c>
      <c r="K315" s="10" t="str">
        <f>IF($B315="","",  VLOOKUP($B315, Propostas!$B:$BE, 40, FALSE) )</f>
        <v/>
      </c>
      <c r="L315" s="10" t="str">
        <f>IF($B315="","",IF(VLOOKUP($B315,Propostas!$B:$BE,21,FALSE)=1,"B",IF(VLOOKUP($B315,Propostas!$B:$BE,21,FALSE)=2,"E","N")))</f>
        <v/>
      </c>
      <c r="M315" s="32" t="str">
        <f>IF($B315 = "", "",  VLOOKUP($B315, Propostas!$B:$BE, 46, FALSE) )</f>
        <v/>
      </c>
      <c r="N315" s="32" t="str">
        <f>IF($B315 = "", "",  VLOOKUP($B315, Propostas!$B:$BE, 47, FALSE) )</f>
        <v/>
      </c>
      <c r="O315" s="13" t="str">
        <f>IF($B315="","",IF($C315="SIM", "INFRAESTRUTURA", VLOOKUP($B315, Propostas!$B:$BE,42,FALSE)))</f>
        <v/>
      </c>
      <c r="P315" s="32" t="str">
        <f>IF($B315 = "", "",  VLOOKUP($B315, Propostas!$B:$BE, 49, FALSE) )</f>
        <v/>
      </c>
      <c r="Q315" s="13" t="str">
        <f>IF($B315="","",  VLOOKUP($B315, Propostas!$B:$BE, 39, FALSE) )</f>
        <v/>
      </c>
      <c r="R315" s="81" t="str">
        <f>IF($B315="","",  VLOOKUP($B315, Propostas!$B:$BE, 43, FALSE) )</f>
        <v/>
      </c>
      <c r="S315" s="81" t="str">
        <f>IF($B315="","",  VLOOKUP($B315, Propostas!$B:$BE, 44, FALSE) )</f>
        <v/>
      </c>
      <c r="T315" s="81" t="str">
        <f>IF($B315="","",  VLOOKUP($B315, Propostas!$B:$BE, 45, FALSE) )</f>
        <v/>
      </c>
      <c r="U315" s="32" t="str">
        <f>IF($B315="","",  VLOOKUP($B315, Propostas!$B:$BE, 37, FALSE) )</f>
        <v/>
      </c>
      <c r="V315" s="13" t="str">
        <f>IF($B315="","",  VLOOKUP($B315, Propostas!$B:$BE, 50, FALSE) )</f>
        <v/>
      </c>
      <c r="W315" s="13" t="str">
        <f>IF($B315="","",  VLOOKUP($B315, Propostas!$B:$BE, 51, FALSE) )</f>
        <v/>
      </c>
      <c r="X315" s="13" t="str">
        <f>IF($B315="","",  VLOOKUP($B315, Propostas!$B:$BE, 52, FALSE) )</f>
        <v/>
      </c>
      <c r="Y315" s="13" t="str">
        <f>IF($B315="","",  VLOOKUP($B315, Propostas!$B:$BE, 36, FALSE) )</f>
        <v/>
      </c>
      <c r="Z315" s="13" t="str">
        <f>IF($B315="","",  VLOOKUP($F315, VW_PROJETO!B:C, 2, FALSE) )</f>
        <v/>
      </c>
    </row>
    <row r="316" spans="2:26" x14ac:dyDescent="0.2">
      <c r="B316" s="2"/>
      <c r="C316" s="4" t="str">
        <f>IF($B316="","",  VLOOKUP($B316, Propostas!$B:$BE, 33, FALSE) )</f>
        <v/>
      </c>
      <c r="D316" s="4" t="str">
        <f>IF($B316="","",  VLOOKUP($B316, Propostas!$B:$BE, 34, FALSE) )</f>
        <v/>
      </c>
      <c r="E316" s="4" t="str">
        <f>IF($B316="","",  VLOOKUP($B316, Propostas!$B:$BE, 35, FALSE) )</f>
        <v/>
      </c>
      <c r="F316" s="4" t="str">
        <f>IF($B316="","",  VLOOKUP($B316, Propostas!$B:$BE, 2, FALSE) )</f>
        <v/>
      </c>
      <c r="G316" s="4" t="str">
        <f>IF($B316="","",  VLOOKUP($B316, Propostas!$B:$BE, 3, FALSE) )</f>
        <v/>
      </c>
      <c r="H316" s="4" t="str">
        <f>IF($B316="","",  VLOOKUP($B316, Propostas!$B:$BE, 4, FALSE) )</f>
        <v/>
      </c>
      <c r="I316" s="4" t="str">
        <f>IF($B316="","",  VLOOKUP($B316, Propostas!$B:$BE, 38, FALSE) )</f>
        <v/>
      </c>
      <c r="J316" s="13" t="str">
        <f>IF($B316="","",IF($C316="SIM", "&lt; INFRRAESTRUTURA &gt;", VLOOKUP($B316,Propostas!$B:$BE,41,FALSE)))</f>
        <v/>
      </c>
      <c r="K316" s="10" t="str">
        <f>IF($B316="","",  VLOOKUP($B316, Propostas!$B:$BE, 40, FALSE) )</f>
        <v/>
      </c>
      <c r="L316" s="10" t="str">
        <f>IF($B316="","",IF(VLOOKUP($B316,Propostas!$B:$BE,21,FALSE)=1,"B",IF(VLOOKUP($B316,Propostas!$B:$BE,21,FALSE)=2,"E","N")))</f>
        <v/>
      </c>
      <c r="M316" s="32" t="str">
        <f>IF($B316 = "", "",  VLOOKUP($B316, Propostas!$B:$BE, 46, FALSE) )</f>
        <v/>
      </c>
      <c r="N316" s="32" t="str">
        <f>IF($B316 = "", "",  VLOOKUP($B316, Propostas!$B:$BE, 47, FALSE) )</f>
        <v/>
      </c>
      <c r="O316" s="13" t="str">
        <f>IF($B316="","",IF($C316="SIM", "INFRAESTRUTURA", VLOOKUP($B316, Propostas!$B:$BE,42,FALSE)))</f>
        <v/>
      </c>
      <c r="P316" s="32" t="str">
        <f>IF($B316 = "", "",  VLOOKUP($B316, Propostas!$B:$BE, 49, FALSE) )</f>
        <v/>
      </c>
      <c r="Q316" s="13" t="str">
        <f>IF($B316="","",  VLOOKUP($B316, Propostas!$B:$BE, 39, FALSE) )</f>
        <v/>
      </c>
      <c r="R316" s="81" t="str">
        <f>IF($B316="","",  VLOOKUP($B316, Propostas!$B:$BE, 43, FALSE) )</f>
        <v/>
      </c>
      <c r="S316" s="81" t="str">
        <f>IF($B316="","",  VLOOKUP($B316, Propostas!$B:$BE, 44, FALSE) )</f>
        <v/>
      </c>
      <c r="T316" s="81" t="str">
        <f>IF($B316="","",  VLOOKUP($B316, Propostas!$B:$BE, 45, FALSE) )</f>
        <v/>
      </c>
      <c r="U316" s="32" t="str">
        <f>IF($B316="","",  VLOOKUP($B316, Propostas!$B:$BE, 37, FALSE) )</f>
        <v/>
      </c>
      <c r="V316" s="13" t="str">
        <f>IF($B316="","",  VLOOKUP($B316, Propostas!$B:$BE, 50, FALSE) )</f>
        <v/>
      </c>
      <c r="W316" s="13" t="str">
        <f>IF($B316="","",  VLOOKUP($B316, Propostas!$B:$BE, 51, FALSE) )</f>
        <v/>
      </c>
      <c r="X316" s="13" t="str">
        <f>IF($B316="","",  VLOOKUP($B316, Propostas!$B:$BE, 52, FALSE) )</f>
        <v/>
      </c>
      <c r="Y316" s="13" t="str">
        <f>IF($B316="","",  VLOOKUP($B316, Propostas!$B:$BE, 36, FALSE) )</f>
        <v/>
      </c>
      <c r="Z316" s="13" t="str">
        <f>IF($B316="","",  VLOOKUP($F316, VW_PROJETO!B:C, 2, FALSE) )</f>
        <v/>
      </c>
    </row>
    <row r="317" spans="2:26" x14ac:dyDescent="0.2">
      <c r="B317" s="2"/>
      <c r="C317" s="4" t="str">
        <f>IF($B317="","",  VLOOKUP($B317, Propostas!$B:$BE, 33, FALSE) )</f>
        <v/>
      </c>
      <c r="D317" s="4" t="str">
        <f>IF($B317="","",  VLOOKUP($B317, Propostas!$B:$BE, 34, FALSE) )</f>
        <v/>
      </c>
      <c r="E317" s="4" t="str">
        <f>IF($B317="","",  VLOOKUP($B317, Propostas!$B:$BE, 35, FALSE) )</f>
        <v/>
      </c>
      <c r="F317" s="4" t="str">
        <f>IF($B317="","",  VLOOKUP($B317, Propostas!$B:$BE, 2, FALSE) )</f>
        <v/>
      </c>
      <c r="G317" s="4" t="str">
        <f>IF($B317="","",  VLOOKUP($B317, Propostas!$B:$BE, 3, FALSE) )</f>
        <v/>
      </c>
      <c r="H317" s="4" t="str">
        <f>IF($B317="","",  VLOOKUP($B317, Propostas!$B:$BE, 4, FALSE) )</f>
        <v/>
      </c>
      <c r="I317" s="4" t="str">
        <f>IF($B317="","",  VLOOKUP($B317, Propostas!$B:$BE, 38, FALSE) )</f>
        <v/>
      </c>
      <c r="J317" s="13" t="str">
        <f>IF($B317="","",IF($C317="SIM", "&lt; INFRRAESTRUTURA &gt;", VLOOKUP($B317,Propostas!$B:$BE,41,FALSE)))</f>
        <v/>
      </c>
      <c r="K317" s="10" t="str">
        <f>IF($B317="","",  VLOOKUP($B317, Propostas!$B:$BE, 40, FALSE) )</f>
        <v/>
      </c>
      <c r="L317" s="10" t="str">
        <f>IF($B317="","",IF(VLOOKUP($B317,Propostas!$B:$BE,21,FALSE)=1,"B",IF(VLOOKUP($B317,Propostas!$B:$BE,21,FALSE)=2,"E","N")))</f>
        <v/>
      </c>
      <c r="M317" s="32" t="str">
        <f>IF($B317 = "", "",  VLOOKUP($B317, Propostas!$B:$BE, 46, FALSE) )</f>
        <v/>
      </c>
      <c r="N317" s="32" t="str">
        <f>IF($B317 = "", "",  VLOOKUP($B317, Propostas!$B:$BE, 47, FALSE) )</f>
        <v/>
      </c>
      <c r="O317" s="13" t="str">
        <f>IF($B317="","",IF($C317="SIM", "INFRAESTRUTURA", VLOOKUP($B317, Propostas!$B:$BE,42,FALSE)))</f>
        <v/>
      </c>
      <c r="P317" s="32" t="str">
        <f>IF($B317 = "", "",  VLOOKUP($B317, Propostas!$B:$BE, 49, FALSE) )</f>
        <v/>
      </c>
      <c r="Q317" s="13" t="str">
        <f>IF($B317="","",  VLOOKUP($B317, Propostas!$B:$BE, 39, FALSE) )</f>
        <v/>
      </c>
      <c r="R317" s="81" t="str">
        <f>IF($B317="","",  VLOOKUP($B317, Propostas!$B:$BE, 43, FALSE) )</f>
        <v/>
      </c>
      <c r="S317" s="81" t="str">
        <f>IF($B317="","",  VLOOKUP($B317, Propostas!$B:$BE, 44, FALSE) )</f>
        <v/>
      </c>
      <c r="T317" s="81" t="str">
        <f>IF($B317="","",  VLOOKUP($B317, Propostas!$B:$BE, 45, FALSE) )</f>
        <v/>
      </c>
      <c r="U317" s="32" t="str">
        <f>IF($B317="","",  VLOOKUP($B317, Propostas!$B:$BE, 37, FALSE) )</f>
        <v/>
      </c>
      <c r="V317" s="13" t="str">
        <f>IF($B317="","",  VLOOKUP($B317, Propostas!$B:$BE, 50, FALSE) )</f>
        <v/>
      </c>
      <c r="W317" s="13" t="str">
        <f>IF($B317="","",  VLOOKUP($B317, Propostas!$B:$BE, 51, FALSE) )</f>
        <v/>
      </c>
      <c r="X317" s="13" t="str">
        <f>IF($B317="","",  VLOOKUP($B317, Propostas!$B:$BE, 52, FALSE) )</f>
        <v/>
      </c>
      <c r="Y317" s="13" t="str">
        <f>IF($B317="","",  VLOOKUP($B317, Propostas!$B:$BE, 36, FALSE) )</f>
        <v/>
      </c>
      <c r="Z317" s="13" t="str">
        <f>IF($B317="","",  VLOOKUP($F317, VW_PROJETO!B:C, 2, FALSE) )</f>
        <v/>
      </c>
    </row>
    <row r="318" spans="2:26" x14ac:dyDescent="0.2">
      <c r="B318" s="2"/>
      <c r="C318" s="4" t="str">
        <f>IF($B318="","",  VLOOKUP($B318, Propostas!$B:$BE, 33, FALSE) )</f>
        <v/>
      </c>
      <c r="D318" s="4" t="str">
        <f>IF($B318="","",  VLOOKUP($B318, Propostas!$B:$BE, 34, FALSE) )</f>
        <v/>
      </c>
      <c r="E318" s="4" t="str">
        <f>IF($B318="","",  VLOOKUP($B318, Propostas!$B:$BE, 35, FALSE) )</f>
        <v/>
      </c>
      <c r="F318" s="4" t="str">
        <f>IF($B318="","",  VLOOKUP($B318, Propostas!$B:$BE, 2, FALSE) )</f>
        <v/>
      </c>
      <c r="G318" s="4" t="str">
        <f>IF($B318="","",  VLOOKUP($B318, Propostas!$B:$BE, 3, FALSE) )</f>
        <v/>
      </c>
      <c r="H318" s="4" t="str">
        <f>IF($B318="","",  VLOOKUP($B318, Propostas!$B:$BE, 4, FALSE) )</f>
        <v/>
      </c>
      <c r="I318" s="4" t="str">
        <f>IF($B318="","",  VLOOKUP($B318, Propostas!$B:$BE, 38, FALSE) )</f>
        <v/>
      </c>
      <c r="J318" s="13" t="str">
        <f>IF($B318="","",IF($C318="SIM", "&lt; INFRRAESTRUTURA &gt;", VLOOKUP($B318,Propostas!$B:$BE,41,FALSE)))</f>
        <v/>
      </c>
      <c r="K318" s="10" t="str">
        <f>IF($B318="","",  VLOOKUP($B318, Propostas!$B:$BE, 40, FALSE) )</f>
        <v/>
      </c>
      <c r="L318" s="10" t="str">
        <f>IF($B318="","",IF(VLOOKUP($B318,Propostas!$B:$BE,21,FALSE)=1,"B",IF(VLOOKUP($B318,Propostas!$B:$BE,21,FALSE)=2,"E","N")))</f>
        <v/>
      </c>
      <c r="M318" s="32" t="str">
        <f>IF($B318 = "", "",  VLOOKUP($B318, Propostas!$B:$BE, 46, FALSE) )</f>
        <v/>
      </c>
      <c r="N318" s="32" t="str">
        <f>IF($B318 = "", "",  VLOOKUP($B318, Propostas!$B:$BE, 47, FALSE) )</f>
        <v/>
      </c>
      <c r="O318" s="13" t="str">
        <f>IF($B318="","",IF($C318="SIM", "INFRAESTRUTURA", VLOOKUP($B318, Propostas!$B:$BE,42,FALSE)))</f>
        <v/>
      </c>
      <c r="P318" s="32" t="str">
        <f>IF($B318 = "", "",  VLOOKUP($B318, Propostas!$B:$BE, 49, FALSE) )</f>
        <v/>
      </c>
      <c r="Q318" s="13" t="str">
        <f>IF($B318="","",  VLOOKUP($B318, Propostas!$B:$BE, 39, FALSE) )</f>
        <v/>
      </c>
      <c r="R318" s="81" t="str">
        <f>IF($B318="","",  VLOOKUP($B318, Propostas!$B:$BE, 43, FALSE) )</f>
        <v/>
      </c>
      <c r="S318" s="81" t="str">
        <f>IF($B318="","",  VLOOKUP($B318, Propostas!$B:$BE, 44, FALSE) )</f>
        <v/>
      </c>
      <c r="T318" s="81" t="str">
        <f>IF($B318="","",  VLOOKUP($B318, Propostas!$B:$BE, 45, FALSE) )</f>
        <v/>
      </c>
      <c r="U318" s="32" t="str">
        <f>IF($B318="","",  VLOOKUP($B318, Propostas!$B:$BE, 37, FALSE) )</f>
        <v/>
      </c>
      <c r="V318" s="13" t="str">
        <f>IF($B318="","",  VLOOKUP($B318, Propostas!$B:$BE, 50, FALSE) )</f>
        <v/>
      </c>
      <c r="W318" s="13" t="str">
        <f>IF($B318="","",  VLOOKUP($B318, Propostas!$B:$BE, 51, FALSE) )</f>
        <v/>
      </c>
      <c r="X318" s="13" t="str">
        <f>IF($B318="","",  VLOOKUP($B318, Propostas!$B:$BE, 52, FALSE) )</f>
        <v/>
      </c>
      <c r="Y318" s="13" t="str">
        <f>IF($B318="","",  VLOOKUP($B318, Propostas!$B:$BE, 36, FALSE) )</f>
        <v/>
      </c>
      <c r="Z318" s="13" t="str">
        <f>IF($B318="","",  VLOOKUP($F318, VW_PROJETO!B:C, 2, FALSE) )</f>
        <v/>
      </c>
    </row>
    <row r="319" spans="2:26" x14ac:dyDescent="0.2">
      <c r="B319" s="2"/>
      <c r="C319" s="4" t="str">
        <f>IF($B319="","",  VLOOKUP($B319, Propostas!$B:$BE, 33, FALSE) )</f>
        <v/>
      </c>
      <c r="D319" s="4" t="str">
        <f>IF($B319="","",  VLOOKUP($B319, Propostas!$B:$BE, 34, FALSE) )</f>
        <v/>
      </c>
      <c r="E319" s="4" t="str">
        <f>IF($B319="","",  VLOOKUP($B319, Propostas!$B:$BE, 35, FALSE) )</f>
        <v/>
      </c>
      <c r="F319" s="4" t="str">
        <f>IF($B319="","",  VLOOKUP($B319, Propostas!$B:$BE, 2, FALSE) )</f>
        <v/>
      </c>
      <c r="G319" s="4" t="str">
        <f>IF($B319="","",  VLOOKUP($B319, Propostas!$B:$BE, 3, FALSE) )</f>
        <v/>
      </c>
      <c r="H319" s="4" t="str">
        <f>IF($B319="","",  VLOOKUP($B319, Propostas!$B:$BE, 4, FALSE) )</f>
        <v/>
      </c>
      <c r="I319" s="4" t="str">
        <f>IF($B319="","",  VLOOKUP($B319, Propostas!$B:$BE, 38, FALSE) )</f>
        <v/>
      </c>
      <c r="J319" s="13" t="str">
        <f>IF($B319="","",IF($C319="SIM", "&lt; INFRRAESTRUTURA &gt;", VLOOKUP($B319,Propostas!$B:$BE,41,FALSE)))</f>
        <v/>
      </c>
      <c r="K319" s="10" t="str">
        <f>IF($B319="","",  VLOOKUP($B319, Propostas!$B:$BE, 40, FALSE) )</f>
        <v/>
      </c>
      <c r="L319" s="10" t="str">
        <f>IF($B319="","",IF(VLOOKUP($B319,Propostas!$B:$BE,21,FALSE)=1,"B",IF(VLOOKUP($B319,Propostas!$B:$BE,21,FALSE)=2,"E","N")))</f>
        <v/>
      </c>
      <c r="M319" s="32" t="str">
        <f>IF($B319 = "", "",  VLOOKUP($B319, Propostas!$B:$BE, 46, FALSE) )</f>
        <v/>
      </c>
      <c r="N319" s="32" t="str">
        <f>IF($B319 = "", "",  VLOOKUP($B319, Propostas!$B:$BE, 47, FALSE) )</f>
        <v/>
      </c>
      <c r="O319" s="13" t="str">
        <f>IF($B319="","",IF($C319="SIM", "INFRAESTRUTURA", VLOOKUP($B319, Propostas!$B:$BE,42,FALSE)))</f>
        <v/>
      </c>
      <c r="P319" s="32" t="str">
        <f>IF($B319 = "", "",  VLOOKUP($B319, Propostas!$B:$BE, 49, FALSE) )</f>
        <v/>
      </c>
      <c r="Q319" s="13" t="str">
        <f>IF($B319="","",  VLOOKUP($B319, Propostas!$B:$BE, 39, FALSE) )</f>
        <v/>
      </c>
      <c r="R319" s="81" t="str">
        <f>IF($B319="","",  VLOOKUP($B319, Propostas!$B:$BE, 43, FALSE) )</f>
        <v/>
      </c>
      <c r="S319" s="81" t="str">
        <f>IF($B319="","",  VLOOKUP($B319, Propostas!$B:$BE, 44, FALSE) )</f>
        <v/>
      </c>
      <c r="T319" s="81" t="str">
        <f>IF($B319="","",  VLOOKUP($B319, Propostas!$B:$BE, 45, FALSE) )</f>
        <v/>
      </c>
      <c r="U319" s="32" t="str">
        <f>IF($B319="","",  VLOOKUP($B319, Propostas!$B:$BE, 37, FALSE) )</f>
        <v/>
      </c>
      <c r="V319" s="13" t="str">
        <f>IF($B319="","",  VLOOKUP($B319, Propostas!$B:$BE, 50, FALSE) )</f>
        <v/>
      </c>
      <c r="W319" s="13" t="str">
        <f>IF($B319="","",  VLOOKUP($B319, Propostas!$B:$BE, 51, FALSE) )</f>
        <v/>
      </c>
      <c r="X319" s="13" t="str">
        <f>IF($B319="","",  VLOOKUP($B319, Propostas!$B:$BE, 52, FALSE) )</f>
        <v/>
      </c>
      <c r="Y319" s="13" t="str">
        <f>IF($B319="","",  VLOOKUP($B319, Propostas!$B:$BE, 36, FALSE) )</f>
        <v/>
      </c>
      <c r="Z319" s="13" t="str">
        <f>IF($B319="","",  VLOOKUP($F319, VW_PROJETO!B:C, 2, FALSE) )</f>
        <v/>
      </c>
    </row>
    <row r="320" spans="2:26" x14ac:dyDescent="0.2">
      <c r="B320" s="2"/>
      <c r="C320" s="4" t="str">
        <f>IF($B320="","",  VLOOKUP($B320, Propostas!$B:$BE, 33, FALSE) )</f>
        <v/>
      </c>
      <c r="D320" s="4" t="str">
        <f>IF($B320="","",  VLOOKUP($B320, Propostas!$B:$BE, 34, FALSE) )</f>
        <v/>
      </c>
      <c r="E320" s="4" t="str">
        <f>IF($B320="","",  VLOOKUP($B320, Propostas!$B:$BE, 35, FALSE) )</f>
        <v/>
      </c>
      <c r="F320" s="4" t="str">
        <f>IF($B320="","",  VLOOKUP($B320, Propostas!$B:$BE, 2, FALSE) )</f>
        <v/>
      </c>
      <c r="G320" s="4" t="str">
        <f>IF($B320="","",  VLOOKUP($B320, Propostas!$B:$BE, 3, FALSE) )</f>
        <v/>
      </c>
      <c r="H320" s="4" t="str">
        <f>IF($B320="","",  VLOOKUP($B320, Propostas!$B:$BE, 4, FALSE) )</f>
        <v/>
      </c>
      <c r="I320" s="4" t="str">
        <f>IF($B320="","",  VLOOKUP($B320, Propostas!$B:$BE, 38, FALSE) )</f>
        <v/>
      </c>
      <c r="J320" s="13" t="str">
        <f>IF($B320="","",IF($C320="SIM", "&lt; INFRRAESTRUTURA &gt;", VLOOKUP($B320,Propostas!$B:$BE,41,FALSE)))</f>
        <v/>
      </c>
      <c r="K320" s="10" t="str">
        <f>IF($B320="","",  VLOOKUP($B320, Propostas!$B:$BE, 40, FALSE) )</f>
        <v/>
      </c>
      <c r="L320" s="10" t="str">
        <f>IF($B320="","",IF(VLOOKUP($B320,Propostas!$B:$BE,21,FALSE)=1,"B",IF(VLOOKUP($B320,Propostas!$B:$BE,21,FALSE)=2,"E","N")))</f>
        <v/>
      </c>
      <c r="M320" s="32" t="str">
        <f>IF($B320 = "", "",  VLOOKUP($B320, Propostas!$B:$BE, 46, FALSE) )</f>
        <v/>
      </c>
      <c r="N320" s="32" t="str">
        <f>IF($B320 = "", "",  VLOOKUP($B320, Propostas!$B:$BE, 47, FALSE) )</f>
        <v/>
      </c>
      <c r="O320" s="13" t="str">
        <f>IF($B320="","",IF($C320="SIM", "INFRAESTRUTURA", VLOOKUP($B320, Propostas!$B:$BE,42,FALSE)))</f>
        <v/>
      </c>
      <c r="P320" s="32" t="str">
        <f>IF($B320 = "", "",  VLOOKUP($B320, Propostas!$B:$BE, 49, FALSE) )</f>
        <v/>
      </c>
      <c r="Q320" s="13" t="str">
        <f>IF($B320="","",  VLOOKUP($B320, Propostas!$B:$BE, 39, FALSE) )</f>
        <v/>
      </c>
      <c r="R320" s="81" t="str">
        <f>IF($B320="","",  VLOOKUP($B320, Propostas!$B:$BE, 43, FALSE) )</f>
        <v/>
      </c>
      <c r="S320" s="81" t="str">
        <f>IF($B320="","",  VLOOKUP($B320, Propostas!$B:$BE, 44, FALSE) )</f>
        <v/>
      </c>
      <c r="T320" s="81" t="str">
        <f>IF($B320="","",  VLOOKUP($B320, Propostas!$B:$BE, 45, FALSE) )</f>
        <v/>
      </c>
      <c r="U320" s="32" t="str">
        <f>IF($B320="","",  VLOOKUP($B320, Propostas!$B:$BE, 37, FALSE) )</f>
        <v/>
      </c>
      <c r="V320" s="13" t="str">
        <f>IF($B320="","",  VLOOKUP($B320, Propostas!$B:$BE, 50, FALSE) )</f>
        <v/>
      </c>
      <c r="W320" s="13" t="str">
        <f>IF($B320="","",  VLOOKUP($B320, Propostas!$B:$BE, 51, FALSE) )</f>
        <v/>
      </c>
      <c r="X320" s="13" t="str">
        <f>IF($B320="","",  VLOOKUP($B320, Propostas!$B:$BE, 52, FALSE) )</f>
        <v/>
      </c>
      <c r="Y320" s="13" t="str">
        <f>IF($B320="","",  VLOOKUP($B320, Propostas!$B:$BE, 36, FALSE) )</f>
        <v/>
      </c>
      <c r="Z320" s="13" t="str">
        <f>IF($B320="","",  VLOOKUP($F320, VW_PROJETO!B:C, 2, FALSE) )</f>
        <v/>
      </c>
    </row>
    <row r="321" spans="2:26" x14ac:dyDescent="0.2">
      <c r="B321" s="2"/>
      <c r="C321" s="4" t="str">
        <f>IF($B321="","",  VLOOKUP($B321, Propostas!$B:$BE, 33, FALSE) )</f>
        <v/>
      </c>
      <c r="D321" s="4" t="str">
        <f>IF($B321="","",  VLOOKUP($B321, Propostas!$B:$BE, 34, FALSE) )</f>
        <v/>
      </c>
      <c r="E321" s="4" t="str">
        <f>IF($B321="","",  VLOOKUP($B321, Propostas!$B:$BE, 35, FALSE) )</f>
        <v/>
      </c>
      <c r="F321" s="4" t="str">
        <f>IF($B321="","",  VLOOKUP($B321, Propostas!$B:$BE, 2, FALSE) )</f>
        <v/>
      </c>
      <c r="G321" s="4" t="str">
        <f>IF($B321="","",  VLOOKUP($B321, Propostas!$B:$BE, 3, FALSE) )</f>
        <v/>
      </c>
      <c r="H321" s="4" t="str">
        <f>IF($B321="","",  VLOOKUP($B321, Propostas!$B:$BE, 4, FALSE) )</f>
        <v/>
      </c>
      <c r="I321" s="4" t="str">
        <f>IF($B321="","",  VLOOKUP($B321, Propostas!$B:$BE, 38, FALSE) )</f>
        <v/>
      </c>
      <c r="J321" s="13" t="str">
        <f>IF($B321="","",IF($C321="SIM", "&lt; INFRRAESTRUTURA &gt;", VLOOKUP($B321,Propostas!$B:$BE,41,FALSE)))</f>
        <v/>
      </c>
      <c r="K321" s="10" t="str">
        <f>IF($B321="","",  VLOOKUP($B321, Propostas!$B:$BE, 40, FALSE) )</f>
        <v/>
      </c>
      <c r="L321" s="10" t="str">
        <f>IF($B321="","",IF(VLOOKUP($B321,Propostas!$B:$BE,21,FALSE)=1,"B",IF(VLOOKUP($B321,Propostas!$B:$BE,21,FALSE)=2,"E","N")))</f>
        <v/>
      </c>
      <c r="M321" s="32" t="str">
        <f>IF($B321 = "", "",  VLOOKUP($B321, Propostas!$B:$BE, 46, FALSE) )</f>
        <v/>
      </c>
      <c r="N321" s="32" t="str">
        <f>IF($B321 = "", "",  VLOOKUP($B321, Propostas!$B:$BE, 47, FALSE) )</f>
        <v/>
      </c>
      <c r="O321" s="13" t="str">
        <f>IF($B321="","",IF($C321="SIM", "INFRAESTRUTURA", VLOOKUP($B321, Propostas!$B:$BE,42,FALSE)))</f>
        <v/>
      </c>
      <c r="P321" s="32" t="str">
        <f>IF($B321 = "", "",  VLOOKUP($B321, Propostas!$B:$BE, 49, FALSE) )</f>
        <v/>
      </c>
      <c r="Q321" s="13" t="str">
        <f>IF($B321="","",  VLOOKUP($B321, Propostas!$B:$BE, 39, FALSE) )</f>
        <v/>
      </c>
      <c r="R321" s="81" t="str">
        <f>IF($B321="","",  VLOOKUP($B321, Propostas!$B:$BE, 43, FALSE) )</f>
        <v/>
      </c>
      <c r="S321" s="81" t="str">
        <f>IF($B321="","",  VLOOKUP($B321, Propostas!$B:$BE, 44, FALSE) )</f>
        <v/>
      </c>
      <c r="T321" s="81" t="str">
        <f>IF($B321="","",  VLOOKUP($B321, Propostas!$B:$BE, 45, FALSE) )</f>
        <v/>
      </c>
      <c r="U321" s="32" t="str">
        <f>IF($B321="","",  VLOOKUP($B321, Propostas!$B:$BE, 37, FALSE) )</f>
        <v/>
      </c>
      <c r="V321" s="13" t="str">
        <f>IF($B321="","",  VLOOKUP($B321, Propostas!$B:$BE, 50, FALSE) )</f>
        <v/>
      </c>
      <c r="W321" s="13" t="str">
        <f>IF($B321="","",  VLOOKUP($B321, Propostas!$B:$BE, 51, FALSE) )</f>
        <v/>
      </c>
      <c r="X321" s="13" t="str">
        <f>IF($B321="","",  VLOOKUP($B321, Propostas!$B:$BE, 52, FALSE) )</f>
        <v/>
      </c>
      <c r="Y321" s="13" t="str">
        <f>IF($B321="","",  VLOOKUP($B321, Propostas!$B:$BE, 36, FALSE) )</f>
        <v/>
      </c>
      <c r="Z321" s="13" t="str">
        <f>IF($B321="","",  VLOOKUP($F321, VW_PROJETO!B:C, 2, FALSE) )</f>
        <v/>
      </c>
    </row>
    <row r="322" spans="2:26" x14ac:dyDescent="0.2">
      <c r="B322" s="2"/>
      <c r="C322" s="4" t="str">
        <f>IF($B322="","",  VLOOKUP($B322, Propostas!$B:$BE, 33, FALSE) )</f>
        <v/>
      </c>
      <c r="D322" s="4" t="str">
        <f>IF($B322="","",  VLOOKUP($B322, Propostas!$B:$BE, 34, FALSE) )</f>
        <v/>
      </c>
      <c r="E322" s="4" t="str">
        <f>IF($B322="","",  VLOOKUP($B322, Propostas!$B:$BE, 35, FALSE) )</f>
        <v/>
      </c>
      <c r="F322" s="4" t="str">
        <f>IF($B322="","",  VLOOKUP($B322, Propostas!$B:$BE, 2, FALSE) )</f>
        <v/>
      </c>
      <c r="G322" s="4" t="str">
        <f>IF($B322="","",  VLOOKUP($B322, Propostas!$B:$BE, 3, FALSE) )</f>
        <v/>
      </c>
      <c r="H322" s="4" t="str">
        <f>IF($B322="","",  VLOOKUP($B322, Propostas!$B:$BE, 4, FALSE) )</f>
        <v/>
      </c>
      <c r="I322" s="4" t="str">
        <f>IF($B322="","",  VLOOKUP($B322, Propostas!$B:$BE, 38, FALSE) )</f>
        <v/>
      </c>
      <c r="J322" s="13" t="str">
        <f>IF($B322="","",IF($C322="SIM", "&lt; INFRRAESTRUTURA &gt;", VLOOKUP($B322,Propostas!$B:$BE,41,FALSE)))</f>
        <v/>
      </c>
      <c r="K322" s="10" t="str">
        <f>IF($B322="","",  VLOOKUP($B322, Propostas!$B:$BE, 40, FALSE) )</f>
        <v/>
      </c>
      <c r="L322" s="10" t="str">
        <f>IF($B322="","",IF(VLOOKUP($B322,Propostas!$B:$BE,21,FALSE)=1,"B",IF(VLOOKUP($B322,Propostas!$B:$BE,21,FALSE)=2,"E","N")))</f>
        <v/>
      </c>
      <c r="M322" s="32" t="str">
        <f>IF($B322 = "", "",  VLOOKUP($B322, Propostas!$B:$BE, 46, FALSE) )</f>
        <v/>
      </c>
      <c r="N322" s="32" t="str">
        <f>IF($B322 = "", "",  VLOOKUP($B322, Propostas!$B:$BE, 47, FALSE) )</f>
        <v/>
      </c>
      <c r="O322" s="13" t="str">
        <f>IF($B322="","",IF($C322="SIM", "INFRAESTRUTURA", VLOOKUP($B322, Propostas!$B:$BE,42,FALSE)))</f>
        <v/>
      </c>
      <c r="P322" s="32" t="str">
        <f>IF($B322 = "", "",  VLOOKUP($B322, Propostas!$B:$BE, 49, FALSE) )</f>
        <v/>
      </c>
      <c r="Q322" s="13" t="str">
        <f>IF($B322="","",  VLOOKUP($B322, Propostas!$B:$BE, 39, FALSE) )</f>
        <v/>
      </c>
      <c r="R322" s="81" t="str">
        <f>IF($B322="","",  VLOOKUP($B322, Propostas!$B:$BE, 43, FALSE) )</f>
        <v/>
      </c>
      <c r="S322" s="81" t="str">
        <f>IF($B322="","",  VLOOKUP($B322, Propostas!$B:$BE, 44, FALSE) )</f>
        <v/>
      </c>
      <c r="T322" s="81" t="str">
        <f>IF($B322="","",  VLOOKUP($B322, Propostas!$B:$BE, 45, FALSE) )</f>
        <v/>
      </c>
      <c r="U322" s="32" t="str">
        <f>IF($B322="","",  VLOOKUP($B322, Propostas!$B:$BE, 37, FALSE) )</f>
        <v/>
      </c>
      <c r="V322" s="13" t="str">
        <f>IF($B322="","",  VLOOKUP($B322, Propostas!$B:$BE, 50, FALSE) )</f>
        <v/>
      </c>
      <c r="W322" s="13" t="str">
        <f>IF($B322="","",  VLOOKUP($B322, Propostas!$B:$BE, 51, FALSE) )</f>
        <v/>
      </c>
      <c r="X322" s="13" t="str">
        <f>IF($B322="","",  VLOOKUP($B322, Propostas!$B:$BE, 52, FALSE) )</f>
        <v/>
      </c>
      <c r="Y322" s="13" t="str">
        <f>IF($B322="","",  VLOOKUP($B322, Propostas!$B:$BE, 36, FALSE) )</f>
        <v/>
      </c>
      <c r="Z322" s="13" t="str">
        <f>IF($B322="","",  VLOOKUP($F322, VW_PROJETO!B:C, 2, FALSE) )</f>
        <v/>
      </c>
    </row>
    <row r="323" spans="2:26" x14ac:dyDescent="0.2">
      <c r="B323" s="2"/>
      <c r="C323" s="4" t="str">
        <f>IF($B323="","",  VLOOKUP($B323, Propostas!$B:$BE, 33, FALSE) )</f>
        <v/>
      </c>
      <c r="D323" s="4" t="str">
        <f>IF($B323="","",  VLOOKUP($B323, Propostas!$B:$BE, 34, FALSE) )</f>
        <v/>
      </c>
      <c r="E323" s="4" t="str">
        <f>IF($B323="","",  VLOOKUP($B323, Propostas!$B:$BE, 35, FALSE) )</f>
        <v/>
      </c>
      <c r="F323" s="4" t="str">
        <f>IF($B323="","",  VLOOKUP($B323, Propostas!$B:$BE, 2, FALSE) )</f>
        <v/>
      </c>
      <c r="G323" s="4" t="str">
        <f>IF($B323="","",  VLOOKUP($B323, Propostas!$B:$BE, 3, FALSE) )</f>
        <v/>
      </c>
      <c r="H323" s="4" t="str">
        <f>IF($B323="","",  VLOOKUP($B323, Propostas!$B:$BE, 4, FALSE) )</f>
        <v/>
      </c>
      <c r="I323" s="4" t="str">
        <f>IF($B323="","",  VLOOKUP($B323, Propostas!$B:$BE, 38, FALSE) )</f>
        <v/>
      </c>
      <c r="J323" s="13" t="str">
        <f>IF($B323="","",IF($C323="SIM", "&lt; INFRRAESTRUTURA &gt;", VLOOKUP($B323,Propostas!$B:$BE,41,FALSE)))</f>
        <v/>
      </c>
      <c r="K323" s="10" t="str">
        <f>IF($B323="","",  VLOOKUP($B323, Propostas!$B:$BE, 40, FALSE) )</f>
        <v/>
      </c>
      <c r="L323" s="10" t="str">
        <f>IF($B323="","",IF(VLOOKUP($B323,Propostas!$B:$BE,21,FALSE)=1,"B",IF(VLOOKUP($B323,Propostas!$B:$BE,21,FALSE)=2,"E","N")))</f>
        <v/>
      </c>
      <c r="M323" s="32" t="str">
        <f>IF($B323 = "", "",  VLOOKUP($B323, Propostas!$B:$BE, 46, FALSE) )</f>
        <v/>
      </c>
      <c r="N323" s="32" t="str">
        <f>IF($B323 = "", "",  VLOOKUP($B323, Propostas!$B:$BE, 47, FALSE) )</f>
        <v/>
      </c>
      <c r="O323" s="13" t="str">
        <f>IF($B323="","",IF($C323="SIM", "INFRAESTRUTURA", VLOOKUP($B323, Propostas!$B:$BE,42,FALSE)))</f>
        <v/>
      </c>
      <c r="P323" s="32" t="str">
        <f>IF($B323 = "", "",  VLOOKUP($B323, Propostas!$B:$BE, 49, FALSE) )</f>
        <v/>
      </c>
      <c r="Q323" s="13" t="str">
        <f>IF($B323="","",  VLOOKUP($B323, Propostas!$B:$BE, 39, FALSE) )</f>
        <v/>
      </c>
      <c r="R323" s="81" t="str">
        <f>IF($B323="","",  VLOOKUP($B323, Propostas!$B:$BE, 43, FALSE) )</f>
        <v/>
      </c>
      <c r="S323" s="81" t="str">
        <f>IF($B323="","",  VLOOKUP($B323, Propostas!$B:$BE, 44, FALSE) )</f>
        <v/>
      </c>
      <c r="T323" s="81" t="str">
        <f>IF($B323="","",  VLOOKUP($B323, Propostas!$B:$BE, 45, FALSE) )</f>
        <v/>
      </c>
      <c r="U323" s="32" t="str">
        <f>IF($B323="","",  VLOOKUP($B323, Propostas!$B:$BE, 37, FALSE) )</f>
        <v/>
      </c>
      <c r="V323" s="13" t="str">
        <f>IF($B323="","",  VLOOKUP($B323, Propostas!$B:$BE, 50, FALSE) )</f>
        <v/>
      </c>
      <c r="W323" s="13" t="str">
        <f>IF($B323="","",  VLOOKUP($B323, Propostas!$B:$BE, 51, FALSE) )</f>
        <v/>
      </c>
      <c r="X323" s="13" t="str">
        <f>IF($B323="","",  VLOOKUP($B323, Propostas!$B:$BE, 52, FALSE) )</f>
        <v/>
      </c>
      <c r="Y323" s="13" t="str">
        <f>IF($B323="","",  VLOOKUP($B323, Propostas!$B:$BE, 36, FALSE) )</f>
        <v/>
      </c>
      <c r="Z323" s="13" t="str">
        <f>IF($B323="","",  VLOOKUP($F323, VW_PROJETO!B:C, 2, FALSE) )</f>
        <v/>
      </c>
    </row>
    <row r="324" spans="2:26" x14ac:dyDescent="0.2">
      <c r="B324" s="2"/>
      <c r="C324" s="4" t="str">
        <f>IF($B324="","",  VLOOKUP($B324, Propostas!$B:$BE, 33, FALSE) )</f>
        <v/>
      </c>
      <c r="D324" s="4" t="str">
        <f>IF($B324="","",  VLOOKUP($B324, Propostas!$B:$BE, 34, FALSE) )</f>
        <v/>
      </c>
      <c r="E324" s="4" t="str">
        <f>IF($B324="","",  VLOOKUP($B324, Propostas!$B:$BE, 35, FALSE) )</f>
        <v/>
      </c>
      <c r="F324" s="4" t="str">
        <f>IF($B324="","",  VLOOKUP($B324, Propostas!$B:$BE, 2, FALSE) )</f>
        <v/>
      </c>
      <c r="G324" s="4" t="str">
        <f>IF($B324="","",  VLOOKUP($B324, Propostas!$B:$BE, 3, FALSE) )</f>
        <v/>
      </c>
      <c r="H324" s="4" t="str">
        <f>IF($B324="","",  VLOOKUP($B324, Propostas!$B:$BE, 4, FALSE) )</f>
        <v/>
      </c>
      <c r="I324" s="4" t="str">
        <f>IF($B324="","",  VLOOKUP($B324, Propostas!$B:$BE, 38, FALSE) )</f>
        <v/>
      </c>
      <c r="J324" s="13" t="str">
        <f>IF($B324="","",IF($C324="SIM", "&lt; INFRRAESTRUTURA &gt;", VLOOKUP($B324,Propostas!$B:$BE,41,FALSE)))</f>
        <v/>
      </c>
      <c r="K324" s="10" t="str">
        <f>IF($B324="","",  VLOOKUP($B324, Propostas!$B:$BE, 40, FALSE) )</f>
        <v/>
      </c>
      <c r="L324" s="10" t="str">
        <f>IF($B324="","",IF(VLOOKUP($B324,Propostas!$B:$BE,21,FALSE)=1,"B",IF(VLOOKUP($B324,Propostas!$B:$BE,21,FALSE)=2,"E","N")))</f>
        <v/>
      </c>
      <c r="M324" s="32" t="str">
        <f>IF($B324 = "", "",  VLOOKUP($B324, Propostas!$B:$BE, 46, FALSE) )</f>
        <v/>
      </c>
      <c r="N324" s="32" t="str">
        <f>IF($B324 = "", "",  VLOOKUP($B324, Propostas!$B:$BE, 47, FALSE) )</f>
        <v/>
      </c>
      <c r="O324" s="13" t="str">
        <f>IF($B324="","",IF($C324="SIM", "INFRAESTRUTURA", VLOOKUP($B324, Propostas!$B:$BE,42,FALSE)))</f>
        <v/>
      </c>
      <c r="P324" s="32" t="str">
        <f>IF($B324 = "", "",  VLOOKUP($B324, Propostas!$B:$BE, 49, FALSE) )</f>
        <v/>
      </c>
      <c r="Q324" s="13" t="str">
        <f>IF($B324="","",  VLOOKUP($B324, Propostas!$B:$BE, 39, FALSE) )</f>
        <v/>
      </c>
      <c r="R324" s="81" t="str">
        <f>IF($B324="","",  VLOOKUP($B324, Propostas!$B:$BE, 43, FALSE) )</f>
        <v/>
      </c>
      <c r="S324" s="81" t="str">
        <f>IF($B324="","",  VLOOKUP($B324, Propostas!$B:$BE, 44, FALSE) )</f>
        <v/>
      </c>
      <c r="T324" s="81" t="str">
        <f>IF($B324="","",  VLOOKUP($B324, Propostas!$B:$BE, 45, FALSE) )</f>
        <v/>
      </c>
      <c r="U324" s="32" t="str">
        <f>IF($B324="","",  VLOOKUP($B324, Propostas!$B:$BE, 37, FALSE) )</f>
        <v/>
      </c>
      <c r="V324" s="13" t="str">
        <f>IF($B324="","",  VLOOKUP($B324, Propostas!$B:$BE, 50, FALSE) )</f>
        <v/>
      </c>
      <c r="W324" s="13" t="str">
        <f>IF($B324="","",  VLOOKUP($B324, Propostas!$B:$BE, 51, FALSE) )</f>
        <v/>
      </c>
      <c r="X324" s="13" t="str">
        <f>IF($B324="","",  VLOOKUP($B324, Propostas!$B:$BE, 52, FALSE) )</f>
        <v/>
      </c>
      <c r="Y324" s="13" t="str">
        <f>IF($B324="","",  VLOOKUP($B324, Propostas!$B:$BE, 36, FALSE) )</f>
        <v/>
      </c>
      <c r="Z324" s="13" t="str">
        <f>IF($B324="","",  VLOOKUP($F324, VW_PROJETO!B:C, 2, FALSE) )</f>
        <v/>
      </c>
    </row>
    <row r="325" spans="2:26" x14ac:dyDescent="0.2">
      <c r="B325" s="2"/>
      <c r="C325" s="4" t="str">
        <f>IF($B325="","",  VLOOKUP($B325, Propostas!$B:$BE, 33, FALSE) )</f>
        <v/>
      </c>
      <c r="D325" s="4" t="str">
        <f>IF($B325="","",  VLOOKUP($B325, Propostas!$B:$BE, 34, FALSE) )</f>
        <v/>
      </c>
      <c r="E325" s="4" t="str">
        <f>IF($B325="","",  VLOOKUP($B325, Propostas!$B:$BE, 35, FALSE) )</f>
        <v/>
      </c>
      <c r="F325" s="4" t="str">
        <f>IF($B325="","",  VLOOKUP($B325, Propostas!$B:$BE, 2, FALSE) )</f>
        <v/>
      </c>
      <c r="G325" s="4" t="str">
        <f>IF($B325="","",  VLOOKUP($B325, Propostas!$B:$BE, 3, FALSE) )</f>
        <v/>
      </c>
      <c r="H325" s="4" t="str">
        <f>IF($B325="","",  VLOOKUP($B325, Propostas!$B:$BE, 4, FALSE) )</f>
        <v/>
      </c>
      <c r="I325" s="4" t="str">
        <f>IF($B325="","",  VLOOKUP($B325, Propostas!$B:$BE, 38, FALSE) )</f>
        <v/>
      </c>
      <c r="J325" s="13" t="str">
        <f>IF($B325="","",IF($C325="SIM", "&lt; INFRRAESTRUTURA &gt;", VLOOKUP($B325,Propostas!$B:$BE,41,FALSE)))</f>
        <v/>
      </c>
      <c r="K325" s="10" t="str">
        <f>IF($B325="","",  VLOOKUP($B325, Propostas!$B:$BE, 40, FALSE) )</f>
        <v/>
      </c>
      <c r="L325" s="10" t="str">
        <f>IF($B325="","",IF(VLOOKUP($B325,Propostas!$B:$BE,21,FALSE)=1,"B",IF(VLOOKUP($B325,Propostas!$B:$BE,21,FALSE)=2,"E","N")))</f>
        <v/>
      </c>
      <c r="M325" s="32" t="str">
        <f>IF($B325 = "", "",  VLOOKUP($B325, Propostas!$B:$BE, 46, FALSE) )</f>
        <v/>
      </c>
      <c r="N325" s="32" t="str">
        <f>IF($B325 = "", "",  VLOOKUP($B325, Propostas!$B:$BE, 47, FALSE) )</f>
        <v/>
      </c>
      <c r="O325" s="13" t="str">
        <f>IF($B325="","",IF($C325="SIM", "INFRAESTRUTURA", VLOOKUP($B325, Propostas!$B:$BE,42,FALSE)))</f>
        <v/>
      </c>
      <c r="P325" s="32" t="str">
        <f>IF($B325 = "", "",  VLOOKUP($B325, Propostas!$B:$BE, 49, FALSE) )</f>
        <v/>
      </c>
      <c r="Q325" s="13" t="str">
        <f>IF($B325="","",  VLOOKUP($B325, Propostas!$B:$BE, 39, FALSE) )</f>
        <v/>
      </c>
      <c r="R325" s="81" t="str">
        <f>IF($B325="","",  VLOOKUP($B325, Propostas!$B:$BE, 43, FALSE) )</f>
        <v/>
      </c>
      <c r="S325" s="81" t="str">
        <f>IF($B325="","",  VLOOKUP($B325, Propostas!$B:$BE, 44, FALSE) )</f>
        <v/>
      </c>
      <c r="T325" s="81" t="str">
        <f>IF($B325="","",  VLOOKUP($B325, Propostas!$B:$BE, 45, FALSE) )</f>
        <v/>
      </c>
      <c r="U325" s="32" t="str">
        <f>IF($B325="","",  VLOOKUP($B325, Propostas!$B:$BE, 37, FALSE) )</f>
        <v/>
      </c>
      <c r="V325" s="13" t="str">
        <f>IF($B325="","",  VLOOKUP($B325, Propostas!$B:$BE, 50, FALSE) )</f>
        <v/>
      </c>
      <c r="W325" s="13" t="str">
        <f>IF($B325="","",  VLOOKUP($B325, Propostas!$B:$BE, 51, FALSE) )</f>
        <v/>
      </c>
      <c r="X325" s="13" t="str">
        <f>IF($B325="","",  VLOOKUP($B325, Propostas!$B:$BE, 52, FALSE) )</f>
        <v/>
      </c>
      <c r="Y325" s="13" t="str">
        <f>IF($B325="","",  VLOOKUP($B325, Propostas!$B:$BE, 36, FALSE) )</f>
        <v/>
      </c>
      <c r="Z325" s="13" t="str">
        <f>IF($B325="","",  VLOOKUP($F325, VW_PROJETO!B:C, 2, FALSE) )</f>
        <v/>
      </c>
    </row>
    <row r="326" spans="2:26" x14ac:dyDescent="0.2">
      <c r="B326" s="2"/>
      <c r="C326" s="4" t="str">
        <f>IF($B326="","",  VLOOKUP($B326, Propostas!$B:$BE, 33, FALSE) )</f>
        <v/>
      </c>
      <c r="D326" s="4" t="str">
        <f>IF($B326="","",  VLOOKUP($B326, Propostas!$B:$BE, 34, FALSE) )</f>
        <v/>
      </c>
      <c r="E326" s="4" t="str">
        <f>IF($B326="","",  VLOOKUP($B326, Propostas!$B:$BE, 35, FALSE) )</f>
        <v/>
      </c>
      <c r="F326" s="4" t="str">
        <f>IF($B326="","",  VLOOKUP($B326, Propostas!$B:$BE, 2, FALSE) )</f>
        <v/>
      </c>
      <c r="G326" s="4" t="str">
        <f>IF($B326="","",  VLOOKUP($B326, Propostas!$B:$BE, 3, FALSE) )</f>
        <v/>
      </c>
      <c r="H326" s="4" t="str">
        <f>IF($B326="","",  VLOOKUP($B326, Propostas!$B:$BE, 4, FALSE) )</f>
        <v/>
      </c>
      <c r="I326" s="4" t="str">
        <f>IF($B326="","",  VLOOKUP($B326, Propostas!$B:$BE, 38, FALSE) )</f>
        <v/>
      </c>
      <c r="J326" s="13" t="str">
        <f>IF($B326="","",IF($C326="SIM", "&lt; INFRRAESTRUTURA &gt;", VLOOKUP($B326,Propostas!$B:$BE,41,FALSE)))</f>
        <v/>
      </c>
      <c r="K326" s="10" t="str">
        <f>IF($B326="","",  VLOOKUP($B326, Propostas!$B:$BE, 40, FALSE) )</f>
        <v/>
      </c>
      <c r="L326" s="10" t="str">
        <f>IF($B326="","",IF(VLOOKUP($B326,Propostas!$B:$BE,21,FALSE)=1,"B",IF(VLOOKUP($B326,Propostas!$B:$BE,21,FALSE)=2,"E","N")))</f>
        <v/>
      </c>
      <c r="M326" s="32" t="str">
        <f>IF($B326 = "", "",  VLOOKUP($B326, Propostas!$B:$BE, 46, FALSE) )</f>
        <v/>
      </c>
      <c r="N326" s="32" t="str">
        <f>IF($B326 = "", "",  VLOOKUP($B326, Propostas!$B:$BE, 47, FALSE) )</f>
        <v/>
      </c>
      <c r="O326" s="13" t="str">
        <f>IF($B326="","",IF($C326="SIM", "INFRAESTRUTURA", VLOOKUP($B326, Propostas!$B:$BE,42,FALSE)))</f>
        <v/>
      </c>
      <c r="P326" s="32" t="str">
        <f>IF($B326 = "", "",  VLOOKUP($B326, Propostas!$B:$BE, 49, FALSE) )</f>
        <v/>
      </c>
      <c r="Q326" s="13" t="str">
        <f>IF($B326="","",  VLOOKUP($B326, Propostas!$B:$BE, 39, FALSE) )</f>
        <v/>
      </c>
      <c r="R326" s="81" t="str">
        <f>IF($B326="","",  VLOOKUP($B326, Propostas!$B:$BE, 43, FALSE) )</f>
        <v/>
      </c>
      <c r="S326" s="81" t="str">
        <f>IF($B326="","",  VLOOKUP($B326, Propostas!$B:$BE, 44, FALSE) )</f>
        <v/>
      </c>
      <c r="T326" s="81" t="str">
        <f>IF($B326="","",  VLOOKUP($B326, Propostas!$B:$BE, 45, FALSE) )</f>
        <v/>
      </c>
      <c r="U326" s="32" t="str">
        <f>IF($B326="","",  VLOOKUP($B326, Propostas!$B:$BE, 37, FALSE) )</f>
        <v/>
      </c>
      <c r="V326" s="13" t="str">
        <f>IF($B326="","",  VLOOKUP($B326, Propostas!$B:$BE, 50, FALSE) )</f>
        <v/>
      </c>
      <c r="W326" s="13" t="str">
        <f>IF($B326="","",  VLOOKUP($B326, Propostas!$B:$BE, 51, FALSE) )</f>
        <v/>
      </c>
      <c r="X326" s="13" t="str">
        <f>IF($B326="","",  VLOOKUP($B326, Propostas!$B:$BE, 52, FALSE) )</f>
        <v/>
      </c>
      <c r="Y326" s="13" t="str">
        <f>IF($B326="","",  VLOOKUP($B326, Propostas!$B:$BE, 36, FALSE) )</f>
        <v/>
      </c>
      <c r="Z326" s="13" t="str">
        <f>IF($B326="","",  VLOOKUP($F326, VW_PROJETO!B:C, 2, FALSE) )</f>
        <v/>
      </c>
    </row>
    <row r="327" spans="2:26" x14ac:dyDescent="0.2">
      <c r="B327" s="2"/>
      <c r="C327" s="4" t="str">
        <f>IF($B327="","",  VLOOKUP($B327, Propostas!$B:$BE, 33, FALSE) )</f>
        <v/>
      </c>
      <c r="D327" s="4" t="str">
        <f>IF($B327="","",  VLOOKUP($B327, Propostas!$B:$BE, 34, FALSE) )</f>
        <v/>
      </c>
      <c r="E327" s="4" t="str">
        <f>IF($B327="","",  VLOOKUP($B327, Propostas!$B:$BE, 35, FALSE) )</f>
        <v/>
      </c>
      <c r="F327" s="4" t="str">
        <f>IF($B327="","",  VLOOKUP($B327, Propostas!$B:$BE, 2, FALSE) )</f>
        <v/>
      </c>
      <c r="G327" s="4" t="str">
        <f>IF($B327="","",  VLOOKUP($B327, Propostas!$B:$BE, 3, FALSE) )</f>
        <v/>
      </c>
      <c r="H327" s="4" t="str">
        <f>IF($B327="","",  VLOOKUP($B327, Propostas!$B:$BE, 4, FALSE) )</f>
        <v/>
      </c>
      <c r="I327" s="4" t="str">
        <f>IF($B327="","",  VLOOKUP($B327, Propostas!$B:$BE, 38, FALSE) )</f>
        <v/>
      </c>
      <c r="J327" s="13" t="str">
        <f>IF($B327="","",IF($C327="SIM", "&lt; INFRRAESTRUTURA &gt;", VLOOKUP($B327,Propostas!$B:$BE,41,FALSE)))</f>
        <v/>
      </c>
      <c r="K327" s="10" t="str">
        <f>IF($B327="","",  VLOOKUP($B327, Propostas!$B:$BE, 40, FALSE) )</f>
        <v/>
      </c>
      <c r="L327" s="10" t="str">
        <f>IF($B327="","",IF(VLOOKUP($B327,Propostas!$B:$BE,21,FALSE)=1,"B",IF(VLOOKUP($B327,Propostas!$B:$BE,21,FALSE)=2,"E","N")))</f>
        <v/>
      </c>
      <c r="M327" s="32" t="str">
        <f>IF($B327 = "", "",  VLOOKUP($B327, Propostas!$B:$BE, 46, FALSE) )</f>
        <v/>
      </c>
      <c r="N327" s="32" t="str">
        <f>IF($B327 = "", "",  VLOOKUP($B327, Propostas!$B:$BE, 47, FALSE) )</f>
        <v/>
      </c>
      <c r="O327" s="13" t="str">
        <f>IF($B327="","",IF($C327="SIM", "INFRAESTRUTURA", VLOOKUP($B327, Propostas!$B:$BE,42,FALSE)))</f>
        <v/>
      </c>
      <c r="P327" s="32" t="str">
        <f>IF($B327 = "", "",  VLOOKUP($B327, Propostas!$B:$BE, 49, FALSE) )</f>
        <v/>
      </c>
      <c r="Q327" s="13" t="str">
        <f>IF($B327="","",  VLOOKUP($B327, Propostas!$B:$BE, 39, FALSE) )</f>
        <v/>
      </c>
      <c r="R327" s="81" t="str">
        <f>IF($B327="","",  VLOOKUP($B327, Propostas!$B:$BE, 43, FALSE) )</f>
        <v/>
      </c>
      <c r="S327" s="81" t="str">
        <f>IF($B327="","",  VLOOKUP($B327, Propostas!$B:$BE, 44, FALSE) )</f>
        <v/>
      </c>
      <c r="T327" s="81" t="str">
        <f>IF($B327="","",  VLOOKUP($B327, Propostas!$B:$BE, 45, FALSE) )</f>
        <v/>
      </c>
      <c r="U327" s="32" t="str">
        <f>IF($B327="","",  VLOOKUP($B327, Propostas!$B:$BE, 37, FALSE) )</f>
        <v/>
      </c>
      <c r="V327" s="13" t="str">
        <f>IF($B327="","",  VLOOKUP($B327, Propostas!$B:$BE, 50, FALSE) )</f>
        <v/>
      </c>
      <c r="W327" s="13" t="str">
        <f>IF($B327="","",  VLOOKUP($B327, Propostas!$B:$BE, 51, FALSE) )</f>
        <v/>
      </c>
      <c r="X327" s="13" t="str">
        <f>IF($B327="","",  VLOOKUP($B327, Propostas!$B:$BE, 52, FALSE) )</f>
        <v/>
      </c>
      <c r="Y327" s="13" t="str">
        <f>IF($B327="","",  VLOOKUP($B327, Propostas!$B:$BE, 36, FALSE) )</f>
        <v/>
      </c>
      <c r="Z327" s="13" t="str">
        <f>IF($B327="","",  VLOOKUP($F327, VW_PROJETO!B:C, 2, FALSE) )</f>
        <v/>
      </c>
    </row>
    <row r="328" spans="2:26" x14ac:dyDescent="0.2">
      <c r="B328" s="2"/>
      <c r="C328" s="4" t="str">
        <f>IF($B328="","",  VLOOKUP($B328, Propostas!$B:$BE, 33, FALSE) )</f>
        <v/>
      </c>
      <c r="D328" s="4" t="str">
        <f>IF($B328="","",  VLOOKUP($B328, Propostas!$B:$BE, 34, FALSE) )</f>
        <v/>
      </c>
      <c r="E328" s="4" t="str">
        <f>IF($B328="","",  VLOOKUP($B328, Propostas!$B:$BE, 35, FALSE) )</f>
        <v/>
      </c>
      <c r="F328" s="4" t="str">
        <f>IF($B328="","",  VLOOKUP($B328, Propostas!$B:$BE, 2, FALSE) )</f>
        <v/>
      </c>
      <c r="G328" s="4" t="str">
        <f>IF($B328="","",  VLOOKUP($B328, Propostas!$B:$BE, 3, FALSE) )</f>
        <v/>
      </c>
      <c r="H328" s="4" t="str">
        <f>IF($B328="","",  VLOOKUP($B328, Propostas!$B:$BE, 4, FALSE) )</f>
        <v/>
      </c>
      <c r="I328" s="4" t="str">
        <f>IF($B328="","",  VLOOKUP($B328, Propostas!$B:$BE, 38, FALSE) )</f>
        <v/>
      </c>
      <c r="J328" s="13" t="str">
        <f>IF($B328="","",IF($C328="SIM", "&lt; INFRRAESTRUTURA &gt;", VLOOKUP($B328,Propostas!$B:$BE,41,FALSE)))</f>
        <v/>
      </c>
      <c r="K328" s="10" t="str">
        <f>IF($B328="","",  VLOOKUP($B328, Propostas!$B:$BE, 40, FALSE) )</f>
        <v/>
      </c>
      <c r="L328" s="10" t="str">
        <f>IF($B328="","",IF(VLOOKUP($B328,Propostas!$B:$BE,21,FALSE)=1,"B",IF(VLOOKUP($B328,Propostas!$B:$BE,21,FALSE)=2,"E","N")))</f>
        <v/>
      </c>
      <c r="M328" s="32" t="str">
        <f>IF($B328 = "", "",  VLOOKUP($B328, Propostas!$B:$BE, 46, FALSE) )</f>
        <v/>
      </c>
      <c r="N328" s="32" t="str">
        <f>IF($B328 = "", "",  VLOOKUP($B328, Propostas!$B:$BE, 47, FALSE) )</f>
        <v/>
      </c>
      <c r="O328" s="13" t="str">
        <f>IF($B328="","",IF($C328="SIM", "INFRAESTRUTURA", VLOOKUP($B328, Propostas!$B:$BE,42,FALSE)))</f>
        <v/>
      </c>
      <c r="P328" s="32" t="str">
        <f>IF($B328 = "", "",  VLOOKUP($B328, Propostas!$B:$BE, 49, FALSE) )</f>
        <v/>
      </c>
      <c r="Q328" s="13" t="str">
        <f>IF($B328="","",  VLOOKUP($B328, Propostas!$B:$BE, 39, FALSE) )</f>
        <v/>
      </c>
      <c r="R328" s="81" t="str">
        <f>IF($B328="","",  VLOOKUP($B328, Propostas!$B:$BE, 43, FALSE) )</f>
        <v/>
      </c>
      <c r="S328" s="81" t="str">
        <f>IF($B328="","",  VLOOKUP($B328, Propostas!$B:$BE, 44, FALSE) )</f>
        <v/>
      </c>
      <c r="T328" s="81" t="str">
        <f>IF($B328="","",  VLOOKUP($B328, Propostas!$B:$BE, 45, FALSE) )</f>
        <v/>
      </c>
      <c r="U328" s="32" t="str">
        <f>IF($B328="","",  VLOOKUP($B328, Propostas!$B:$BE, 37, FALSE) )</f>
        <v/>
      </c>
      <c r="V328" s="13" t="str">
        <f>IF($B328="","",  VLOOKUP($B328, Propostas!$B:$BE, 50, FALSE) )</f>
        <v/>
      </c>
      <c r="W328" s="13" t="str">
        <f>IF($B328="","",  VLOOKUP($B328, Propostas!$B:$BE, 51, FALSE) )</f>
        <v/>
      </c>
      <c r="X328" s="13" t="str">
        <f>IF($B328="","",  VLOOKUP($B328, Propostas!$B:$BE, 52, FALSE) )</f>
        <v/>
      </c>
      <c r="Y328" s="13" t="str">
        <f>IF($B328="","",  VLOOKUP($B328, Propostas!$B:$BE, 36, FALSE) )</f>
        <v/>
      </c>
      <c r="Z328" s="13" t="str">
        <f>IF($B328="","",  VLOOKUP($F328, VW_PROJETO!B:C, 2, FALSE) )</f>
        <v/>
      </c>
    </row>
    <row r="329" spans="2:26" x14ac:dyDescent="0.2">
      <c r="B329" s="2"/>
      <c r="C329" s="4" t="str">
        <f>IF($B329="","",  VLOOKUP($B329, Propostas!$B:$BE, 33, FALSE) )</f>
        <v/>
      </c>
      <c r="D329" s="4" t="str">
        <f>IF($B329="","",  VLOOKUP($B329, Propostas!$B:$BE, 34, FALSE) )</f>
        <v/>
      </c>
      <c r="E329" s="4" t="str">
        <f>IF($B329="","",  VLOOKUP($B329, Propostas!$B:$BE, 35, FALSE) )</f>
        <v/>
      </c>
      <c r="F329" s="4" t="str">
        <f>IF($B329="","",  VLOOKUP($B329, Propostas!$B:$BE, 2, FALSE) )</f>
        <v/>
      </c>
      <c r="G329" s="4" t="str">
        <f>IF($B329="","",  VLOOKUP($B329, Propostas!$B:$BE, 3, FALSE) )</f>
        <v/>
      </c>
      <c r="H329" s="4" t="str">
        <f>IF($B329="","",  VLOOKUP($B329, Propostas!$B:$BE, 4, FALSE) )</f>
        <v/>
      </c>
      <c r="I329" s="4" t="str">
        <f>IF($B329="","",  VLOOKUP($B329, Propostas!$B:$BE, 38, FALSE) )</f>
        <v/>
      </c>
      <c r="J329" s="13" t="str">
        <f>IF($B329="","",IF($C329="SIM", "&lt; INFRRAESTRUTURA &gt;", VLOOKUP($B329,Propostas!$B:$BE,41,FALSE)))</f>
        <v/>
      </c>
      <c r="K329" s="10" t="str">
        <f>IF($B329="","",  VLOOKUP($B329, Propostas!$B:$BE, 40, FALSE) )</f>
        <v/>
      </c>
      <c r="L329" s="10" t="str">
        <f>IF($B329="","",IF(VLOOKUP($B329,Propostas!$B:$BE,21,FALSE)=1,"B",IF(VLOOKUP($B329,Propostas!$B:$BE,21,FALSE)=2,"E","N")))</f>
        <v/>
      </c>
      <c r="M329" s="32" t="str">
        <f>IF($B329 = "", "",  VLOOKUP($B329, Propostas!$B:$BE, 46, FALSE) )</f>
        <v/>
      </c>
      <c r="N329" s="32" t="str">
        <f>IF($B329 = "", "",  VLOOKUP($B329, Propostas!$B:$BE, 47, FALSE) )</f>
        <v/>
      </c>
      <c r="O329" s="13" t="str">
        <f>IF($B329="","",IF($C329="SIM", "INFRAESTRUTURA", VLOOKUP($B329, Propostas!$B:$BE,42,FALSE)))</f>
        <v/>
      </c>
      <c r="P329" s="32" t="str">
        <f>IF($B329 = "", "",  VLOOKUP($B329, Propostas!$B:$BE, 49, FALSE) )</f>
        <v/>
      </c>
      <c r="Q329" s="13" t="str">
        <f>IF($B329="","",  VLOOKUP($B329, Propostas!$B:$BE, 39, FALSE) )</f>
        <v/>
      </c>
      <c r="R329" s="81" t="str">
        <f>IF($B329="","",  VLOOKUP($B329, Propostas!$B:$BE, 43, FALSE) )</f>
        <v/>
      </c>
      <c r="S329" s="81" t="str">
        <f>IF($B329="","",  VLOOKUP($B329, Propostas!$B:$BE, 44, FALSE) )</f>
        <v/>
      </c>
      <c r="T329" s="81" t="str">
        <f>IF($B329="","",  VLOOKUP($B329, Propostas!$B:$BE, 45, FALSE) )</f>
        <v/>
      </c>
      <c r="U329" s="32" t="str">
        <f>IF($B329="","",  VLOOKUP($B329, Propostas!$B:$BE, 37, FALSE) )</f>
        <v/>
      </c>
      <c r="V329" s="13" t="str">
        <f>IF($B329="","",  VLOOKUP($B329, Propostas!$B:$BE, 50, FALSE) )</f>
        <v/>
      </c>
      <c r="W329" s="13" t="str">
        <f>IF($B329="","",  VLOOKUP($B329, Propostas!$B:$BE, 51, FALSE) )</f>
        <v/>
      </c>
      <c r="X329" s="13" t="str">
        <f>IF($B329="","",  VLOOKUP($B329, Propostas!$B:$BE, 52, FALSE) )</f>
        <v/>
      </c>
      <c r="Y329" s="13" t="str">
        <f>IF($B329="","",  VLOOKUP($B329, Propostas!$B:$BE, 36, FALSE) )</f>
        <v/>
      </c>
      <c r="Z329" s="13" t="str">
        <f>IF($B329="","",  VLOOKUP($F329, VW_PROJETO!B:C, 2, FALSE) )</f>
        <v/>
      </c>
    </row>
    <row r="330" spans="2:26" x14ac:dyDescent="0.2">
      <c r="B330" s="2"/>
      <c r="C330" s="4" t="str">
        <f>IF($B330="","",  VLOOKUP($B330, Propostas!$B:$BE, 33, FALSE) )</f>
        <v/>
      </c>
      <c r="D330" s="4" t="str">
        <f>IF($B330="","",  VLOOKUP($B330, Propostas!$B:$BE, 34, FALSE) )</f>
        <v/>
      </c>
      <c r="E330" s="4" t="str">
        <f>IF($B330="","",  VLOOKUP($B330, Propostas!$B:$BE, 35, FALSE) )</f>
        <v/>
      </c>
      <c r="F330" s="4" t="str">
        <f>IF($B330="","",  VLOOKUP($B330, Propostas!$B:$BE, 2, FALSE) )</f>
        <v/>
      </c>
      <c r="G330" s="4" t="str">
        <f>IF($B330="","",  VLOOKUP($B330, Propostas!$B:$BE, 3, FALSE) )</f>
        <v/>
      </c>
      <c r="H330" s="4" t="str">
        <f>IF($B330="","",  VLOOKUP($B330, Propostas!$B:$BE, 4, FALSE) )</f>
        <v/>
      </c>
      <c r="I330" s="4" t="str">
        <f>IF($B330="","",  VLOOKUP($B330, Propostas!$B:$BE, 38, FALSE) )</f>
        <v/>
      </c>
      <c r="J330" s="13" t="str">
        <f>IF($B330="","",IF($C330="SIM", "&lt; INFRRAESTRUTURA &gt;", VLOOKUP($B330,Propostas!$B:$BE,41,FALSE)))</f>
        <v/>
      </c>
      <c r="K330" s="10" t="str">
        <f>IF($B330="","",  VLOOKUP($B330, Propostas!$B:$BE, 40, FALSE) )</f>
        <v/>
      </c>
      <c r="L330" s="10" t="str">
        <f>IF($B330="","",IF(VLOOKUP($B330,Propostas!$B:$BE,21,FALSE)=1,"B",IF(VLOOKUP($B330,Propostas!$B:$BE,21,FALSE)=2,"E","N")))</f>
        <v/>
      </c>
      <c r="M330" s="32" t="str">
        <f>IF($B330 = "", "",  VLOOKUP($B330, Propostas!$B:$BE, 46, FALSE) )</f>
        <v/>
      </c>
      <c r="N330" s="32" t="str">
        <f>IF($B330 = "", "",  VLOOKUP($B330, Propostas!$B:$BE, 47, FALSE) )</f>
        <v/>
      </c>
      <c r="O330" s="13" t="str">
        <f>IF($B330="","",IF($C330="SIM", "INFRAESTRUTURA", VLOOKUP($B330, Propostas!$B:$BE,42,FALSE)))</f>
        <v/>
      </c>
      <c r="P330" s="32" t="str">
        <f>IF($B330 = "", "",  VLOOKUP($B330, Propostas!$B:$BE, 49, FALSE) )</f>
        <v/>
      </c>
      <c r="Q330" s="13" t="str">
        <f>IF($B330="","",  VLOOKUP($B330, Propostas!$B:$BE, 39, FALSE) )</f>
        <v/>
      </c>
      <c r="R330" s="81" t="str">
        <f>IF($B330="","",  VLOOKUP($B330, Propostas!$B:$BE, 43, FALSE) )</f>
        <v/>
      </c>
      <c r="S330" s="81" t="str">
        <f>IF($B330="","",  VLOOKUP($B330, Propostas!$B:$BE, 44, FALSE) )</f>
        <v/>
      </c>
      <c r="T330" s="81" t="str">
        <f>IF($B330="","",  VLOOKUP($B330, Propostas!$B:$BE, 45, FALSE) )</f>
        <v/>
      </c>
      <c r="U330" s="32" t="str">
        <f>IF($B330="","",  VLOOKUP($B330, Propostas!$B:$BE, 37, FALSE) )</f>
        <v/>
      </c>
      <c r="V330" s="13" t="str">
        <f>IF($B330="","",  VLOOKUP($B330, Propostas!$B:$BE, 50, FALSE) )</f>
        <v/>
      </c>
      <c r="W330" s="13" t="str">
        <f>IF($B330="","",  VLOOKUP($B330, Propostas!$B:$BE, 51, FALSE) )</f>
        <v/>
      </c>
      <c r="X330" s="13" t="str">
        <f>IF($B330="","",  VLOOKUP($B330, Propostas!$B:$BE, 52, FALSE) )</f>
        <v/>
      </c>
      <c r="Y330" s="13" t="str">
        <f>IF($B330="","",  VLOOKUP($B330, Propostas!$B:$BE, 36, FALSE) )</f>
        <v/>
      </c>
      <c r="Z330" s="13" t="str">
        <f>IF($B330="","",  VLOOKUP($F330, VW_PROJETO!B:C, 2, FALSE) )</f>
        <v/>
      </c>
    </row>
    <row r="331" spans="2:26" x14ac:dyDescent="0.2">
      <c r="B331" s="2"/>
      <c r="C331" s="4" t="str">
        <f>IF($B331="","",  VLOOKUP($B331, Propostas!$B:$BE, 33, FALSE) )</f>
        <v/>
      </c>
      <c r="D331" s="4" t="str">
        <f>IF($B331="","",  VLOOKUP($B331, Propostas!$B:$BE, 34, FALSE) )</f>
        <v/>
      </c>
      <c r="E331" s="4" t="str">
        <f>IF($B331="","",  VLOOKUP($B331, Propostas!$B:$BE, 35, FALSE) )</f>
        <v/>
      </c>
      <c r="F331" s="4" t="str">
        <f>IF($B331="","",  VLOOKUP($B331, Propostas!$B:$BE, 2, FALSE) )</f>
        <v/>
      </c>
      <c r="G331" s="4" t="str">
        <f>IF($B331="","",  VLOOKUP($B331, Propostas!$B:$BE, 3, FALSE) )</f>
        <v/>
      </c>
      <c r="H331" s="4" t="str">
        <f>IF($B331="","",  VLOOKUP($B331, Propostas!$B:$BE, 4, FALSE) )</f>
        <v/>
      </c>
      <c r="I331" s="4" t="str">
        <f>IF($B331="","",  VLOOKUP($B331, Propostas!$B:$BE, 38, FALSE) )</f>
        <v/>
      </c>
      <c r="J331" s="13" t="str">
        <f>IF($B331="","",IF($C331="SIM", "&lt; INFRRAESTRUTURA &gt;", VLOOKUP($B331,Propostas!$B:$BE,41,FALSE)))</f>
        <v/>
      </c>
      <c r="K331" s="10" t="str">
        <f>IF($B331="","",  VLOOKUP($B331, Propostas!$B:$BE, 40, FALSE) )</f>
        <v/>
      </c>
      <c r="L331" s="10" t="str">
        <f>IF($B331="","",IF(VLOOKUP($B331,Propostas!$B:$BE,21,FALSE)=1,"B",IF(VLOOKUP($B331,Propostas!$B:$BE,21,FALSE)=2,"E","N")))</f>
        <v/>
      </c>
      <c r="M331" s="32" t="str">
        <f>IF($B331 = "", "",  VLOOKUP($B331, Propostas!$B:$BE, 46, FALSE) )</f>
        <v/>
      </c>
      <c r="N331" s="32" t="str">
        <f>IF($B331 = "", "",  VLOOKUP($B331, Propostas!$B:$BE, 47, FALSE) )</f>
        <v/>
      </c>
      <c r="O331" s="13" t="str">
        <f>IF($B331="","",IF($C331="SIM", "INFRAESTRUTURA", VLOOKUP($B331, Propostas!$B:$BE,42,FALSE)))</f>
        <v/>
      </c>
      <c r="P331" s="32" t="str">
        <f>IF($B331 = "", "",  VLOOKUP($B331, Propostas!$B:$BE, 49, FALSE) )</f>
        <v/>
      </c>
      <c r="Q331" s="13" t="str">
        <f>IF($B331="","",  VLOOKUP($B331, Propostas!$B:$BE, 39, FALSE) )</f>
        <v/>
      </c>
      <c r="R331" s="81" t="str">
        <f>IF($B331="","",  VLOOKUP($B331, Propostas!$B:$BE, 43, FALSE) )</f>
        <v/>
      </c>
      <c r="S331" s="81" t="str">
        <f>IF($B331="","",  VLOOKUP($B331, Propostas!$B:$BE, 44, FALSE) )</f>
        <v/>
      </c>
      <c r="T331" s="81" t="str">
        <f>IF($B331="","",  VLOOKUP($B331, Propostas!$B:$BE, 45, FALSE) )</f>
        <v/>
      </c>
      <c r="U331" s="32" t="str">
        <f>IF($B331="","",  VLOOKUP($B331, Propostas!$B:$BE, 37, FALSE) )</f>
        <v/>
      </c>
      <c r="V331" s="13" t="str">
        <f>IF($B331="","",  VLOOKUP($B331, Propostas!$B:$BE, 50, FALSE) )</f>
        <v/>
      </c>
      <c r="W331" s="13" t="str">
        <f>IF($B331="","",  VLOOKUP($B331, Propostas!$B:$BE, 51, FALSE) )</f>
        <v/>
      </c>
      <c r="X331" s="13" t="str">
        <f>IF($B331="","",  VLOOKUP($B331, Propostas!$B:$BE, 52, FALSE) )</f>
        <v/>
      </c>
      <c r="Y331" s="13" t="str">
        <f>IF($B331="","",  VLOOKUP($B331, Propostas!$B:$BE, 36, FALSE) )</f>
        <v/>
      </c>
      <c r="Z331" s="13" t="str">
        <f>IF($B331="","",  VLOOKUP($F331, VW_PROJETO!B:C, 2, FALSE) )</f>
        <v/>
      </c>
    </row>
    <row r="332" spans="2:26" x14ac:dyDescent="0.2">
      <c r="B332" s="2"/>
      <c r="C332" s="4" t="str">
        <f>IF($B332="","",  VLOOKUP($B332, Propostas!$B:$BE, 33, FALSE) )</f>
        <v/>
      </c>
      <c r="D332" s="4" t="str">
        <f>IF($B332="","",  VLOOKUP($B332, Propostas!$B:$BE, 34, FALSE) )</f>
        <v/>
      </c>
      <c r="E332" s="4" t="str">
        <f>IF($B332="","",  VLOOKUP($B332, Propostas!$B:$BE, 35, FALSE) )</f>
        <v/>
      </c>
      <c r="F332" s="4" t="str">
        <f>IF($B332="","",  VLOOKUP($B332, Propostas!$B:$BE, 2, FALSE) )</f>
        <v/>
      </c>
      <c r="G332" s="4" t="str">
        <f>IF($B332="","",  VLOOKUP($B332, Propostas!$B:$BE, 3, FALSE) )</f>
        <v/>
      </c>
      <c r="H332" s="4" t="str">
        <f>IF($B332="","",  VLOOKUP($B332, Propostas!$B:$BE, 4, FALSE) )</f>
        <v/>
      </c>
      <c r="I332" s="4" t="str">
        <f>IF($B332="","",  VLOOKUP($B332, Propostas!$B:$BE, 38, FALSE) )</f>
        <v/>
      </c>
      <c r="J332" s="13" t="str">
        <f>IF($B332="","",IF($C332="SIM", "&lt; INFRRAESTRUTURA &gt;", VLOOKUP($B332,Propostas!$B:$BE,41,FALSE)))</f>
        <v/>
      </c>
      <c r="K332" s="10" t="str">
        <f>IF($B332="","",  VLOOKUP($B332, Propostas!$B:$BE, 40, FALSE) )</f>
        <v/>
      </c>
      <c r="L332" s="10" t="str">
        <f>IF($B332="","",IF(VLOOKUP($B332,Propostas!$B:$BE,21,FALSE)=1,"B",IF(VLOOKUP($B332,Propostas!$B:$BE,21,FALSE)=2,"E","N")))</f>
        <v/>
      </c>
      <c r="M332" s="32" t="str">
        <f>IF($B332 = "", "",  VLOOKUP($B332, Propostas!$B:$BE, 46, FALSE) )</f>
        <v/>
      </c>
      <c r="N332" s="32" t="str">
        <f>IF($B332 = "", "",  VLOOKUP($B332, Propostas!$B:$BE, 47, FALSE) )</f>
        <v/>
      </c>
      <c r="O332" s="13" t="str">
        <f>IF($B332="","",IF($C332="SIM", "INFRAESTRUTURA", VLOOKUP($B332, Propostas!$B:$BE,42,FALSE)))</f>
        <v/>
      </c>
      <c r="P332" s="32" t="str">
        <f>IF($B332 = "", "",  VLOOKUP($B332, Propostas!$B:$BE, 49, FALSE) )</f>
        <v/>
      </c>
      <c r="Q332" s="13" t="str">
        <f>IF($B332="","",  VLOOKUP($B332, Propostas!$B:$BE, 39, FALSE) )</f>
        <v/>
      </c>
      <c r="R332" s="81" t="str">
        <f>IF($B332="","",  VLOOKUP($B332, Propostas!$B:$BE, 43, FALSE) )</f>
        <v/>
      </c>
      <c r="S332" s="81" t="str">
        <f>IF($B332="","",  VLOOKUP($B332, Propostas!$B:$BE, 44, FALSE) )</f>
        <v/>
      </c>
      <c r="T332" s="81" t="str">
        <f>IF($B332="","",  VLOOKUP($B332, Propostas!$B:$BE, 45, FALSE) )</f>
        <v/>
      </c>
      <c r="U332" s="32" t="str">
        <f>IF($B332="","",  VLOOKUP($B332, Propostas!$B:$BE, 37, FALSE) )</f>
        <v/>
      </c>
      <c r="V332" s="13" t="str">
        <f>IF($B332="","",  VLOOKUP($B332, Propostas!$B:$BE, 50, FALSE) )</f>
        <v/>
      </c>
      <c r="W332" s="13" t="str">
        <f>IF($B332="","",  VLOOKUP($B332, Propostas!$B:$BE, 51, FALSE) )</f>
        <v/>
      </c>
      <c r="X332" s="13" t="str">
        <f>IF($B332="","",  VLOOKUP($B332, Propostas!$B:$BE, 52, FALSE) )</f>
        <v/>
      </c>
      <c r="Y332" s="13" t="str">
        <f>IF($B332="","",  VLOOKUP($B332, Propostas!$B:$BE, 36, FALSE) )</f>
        <v/>
      </c>
      <c r="Z332" s="13" t="str">
        <f>IF($B332="","",  VLOOKUP($F332, VW_PROJETO!B:C, 2, FALSE) )</f>
        <v/>
      </c>
    </row>
    <row r="333" spans="2:26" x14ac:dyDescent="0.2">
      <c r="B333" s="2"/>
      <c r="C333" s="4" t="str">
        <f>IF($B333="","",  VLOOKUP($B333, Propostas!$B:$BE, 33, FALSE) )</f>
        <v/>
      </c>
      <c r="D333" s="4" t="str">
        <f>IF($B333="","",  VLOOKUP($B333, Propostas!$B:$BE, 34, FALSE) )</f>
        <v/>
      </c>
      <c r="E333" s="4" t="str">
        <f>IF($B333="","",  VLOOKUP($B333, Propostas!$B:$BE, 35, FALSE) )</f>
        <v/>
      </c>
      <c r="F333" s="4" t="str">
        <f>IF($B333="","",  VLOOKUP($B333, Propostas!$B:$BE, 2, FALSE) )</f>
        <v/>
      </c>
      <c r="G333" s="4" t="str">
        <f>IF($B333="","",  VLOOKUP($B333, Propostas!$B:$BE, 3, FALSE) )</f>
        <v/>
      </c>
      <c r="H333" s="4" t="str">
        <f>IF($B333="","",  VLOOKUP($B333, Propostas!$B:$BE, 4, FALSE) )</f>
        <v/>
      </c>
      <c r="I333" s="4" t="str">
        <f>IF($B333="","",  VLOOKUP($B333, Propostas!$B:$BE, 38, FALSE) )</f>
        <v/>
      </c>
      <c r="J333" s="13" t="str">
        <f>IF($B333="","",IF($C333="SIM", "&lt; INFRRAESTRUTURA &gt;", VLOOKUP($B333,Propostas!$B:$BE,41,FALSE)))</f>
        <v/>
      </c>
      <c r="K333" s="10" t="str">
        <f>IF($B333="","",  VLOOKUP($B333, Propostas!$B:$BE, 40, FALSE) )</f>
        <v/>
      </c>
      <c r="L333" s="10" t="str">
        <f>IF($B333="","",IF(VLOOKUP($B333,Propostas!$B:$BE,21,FALSE)=1,"B",IF(VLOOKUP($B333,Propostas!$B:$BE,21,FALSE)=2,"E","N")))</f>
        <v/>
      </c>
      <c r="M333" s="32" t="str">
        <f>IF($B333 = "", "",  VLOOKUP($B333, Propostas!$B:$BE, 46, FALSE) )</f>
        <v/>
      </c>
      <c r="N333" s="32" t="str">
        <f>IF($B333 = "", "",  VLOOKUP($B333, Propostas!$B:$BE, 47, FALSE) )</f>
        <v/>
      </c>
      <c r="O333" s="13" t="str">
        <f>IF($B333="","",IF($C333="SIM", "INFRAESTRUTURA", VLOOKUP($B333, Propostas!$B:$BE,42,FALSE)))</f>
        <v/>
      </c>
      <c r="P333" s="32" t="str">
        <f>IF($B333 = "", "",  VLOOKUP($B333, Propostas!$B:$BE, 49, FALSE) )</f>
        <v/>
      </c>
      <c r="Q333" s="13" t="str">
        <f>IF($B333="","",  VLOOKUP($B333, Propostas!$B:$BE, 39, FALSE) )</f>
        <v/>
      </c>
      <c r="R333" s="81" t="str">
        <f>IF($B333="","",  VLOOKUP($B333, Propostas!$B:$BE, 43, FALSE) )</f>
        <v/>
      </c>
      <c r="S333" s="81" t="str">
        <f>IF($B333="","",  VLOOKUP($B333, Propostas!$B:$BE, 44, FALSE) )</f>
        <v/>
      </c>
      <c r="T333" s="81" t="str">
        <f>IF($B333="","",  VLOOKUP($B333, Propostas!$B:$BE, 45, FALSE) )</f>
        <v/>
      </c>
      <c r="U333" s="32" t="str">
        <f>IF($B333="","",  VLOOKUP($B333, Propostas!$B:$BE, 37, FALSE) )</f>
        <v/>
      </c>
      <c r="V333" s="13" t="str">
        <f>IF($B333="","",  VLOOKUP($B333, Propostas!$B:$BE, 50, FALSE) )</f>
        <v/>
      </c>
      <c r="W333" s="13" t="str">
        <f>IF($B333="","",  VLOOKUP($B333, Propostas!$B:$BE, 51, FALSE) )</f>
        <v/>
      </c>
      <c r="X333" s="13" t="str">
        <f>IF($B333="","",  VLOOKUP($B333, Propostas!$B:$BE, 52, FALSE) )</f>
        <v/>
      </c>
      <c r="Y333" s="13" t="str">
        <f>IF($B333="","",  VLOOKUP($B333, Propostas!$B:$BE, 36, FALSE) )</f>
        <v/>
      </c>
      <c r="Z333" s="13" t="str">
        <f>IF($B333="","",  VLOOKUP($F333, VW_PROJETO!B:C, 2, FALSE) )</f>
        <v/>
      </c>
    </row>
    <row r="334" spans="2:26" x14ac:dyDescent="0.2">
      <c r="B334" s="2"/>
      <c r="C334" s="4" t="str">
        <f>IF($B334="","",  VLOOKUP($B334, Propostas!$B:$BE, 33, FALSE) )</f>
        <v/>
      </c>
      <c r="D334" s="4" t="str">
        <f>IF($B334="","",  VLOOKUP($B334, Propostas!$B:$BE, 34, FALSE) )</f>
        <v/>
      </c>
      <c r="E334" s="4" t="str">
        <f>IF($B334="","",  VLOOKUP($B334, Propostas!$B:$BE, 35, FALSE) )</f>
        <v/>
      </c>
      <c r="F334" s="4" t="str">
        <f>IF($B334="","",  VLOOKUP($B334, Propostas!$B:$BE, 2, FALSE) )</f>
        <v/>
      </c>
      <c r="G334" s="4" t="str">
        <f>IF($B334="","",  VLOOKUP($B334, Propostas!$B:$BE, 3, FALSE) )</f>
        <v/>
      </c>
      <c r="H334" s="4" t="str">
        <f>IF($B334="","",  VLOOKUP($B334, Propostas!$B:$BE, 4, FALSE) )</f>
        <v/>
      </c>
      <c r="I334" s="4" t="str">
        <f>IF($B334="","",  VLOOKUP($B334, Propostas!$B:$BE, 38, FALSE) )</f>
        <v/>
      </c>
      <c r="J334" s="13" t="str">
        <f>IF($B334="","",IF($C334="SIM", "&lt; INFRRAESTRUTURA &gt;", VLOOKUP($B334,Propostas!$B:$BE,41,FALSE)))</f>
        <v/>
      </c>
      <c r="K334" s="10" t="str">
        <f>IF($B334="","",  VLOOKUP($B334, Propostas!$B:$BE, 40, FALSE) )</f>
        <v/>
      </c>
      <c r="L334" s="10" t="str">
        <f>IF($B334="","",IF(VLOOKUP($B334,Propostas!$B:$BE,21,FALSE)=1,"B",IF(VLOOKUP($B334,Propostas!$B:$BE,21,FALSE)=2,"E","N")))</f>
        <v/>
      </c>
      <c r="M334" s="32" t="str">
        <f>IF($B334 = "", "",  VLOOKUP($B334, Propostas!$B:$BE, 46, FALSE) )</f>
        <v/>
      </c>
      <c r="N334" s="32" t="str">
        <f>IF($B334 = "", "",  VLOOKUP($B334, Propostas!$B:$BE, 47, FALSE) )</f>
        <v/>
      </c>
      <c r="O334" s="13" t="str">
        <f>IF($B334="","",IF($C334="SIM", "INFRAESTRUTURA", VLOOKUP($B334, Propostas!$B:$BE,42,FALSE)))</f>
        <v/>
      </c>
      <c r="P334" s="32" t="str">
        <f>IF($B334 = "", "",  VLOOKUP($B334, Propostas!$B:$BE, 49, FALSE) )</f>
        <v/>
      </c>
      <c r="Q334" s="13" t="str">
        <f>IF($B334="","",  VLOOKUP($B334, Propostas!$B:$BE, 39, FALSE) )</f>
        <v/>
      </c>
      <c r="R334" s="81" t="str">
        <f>IF($B334="","",  VLOOKUP($B334, Propostas!$B:$BE, 43, FALSE) )</f>
        <v/>
      </c>
      <c r="S334" s="81" t="str">
        <f>IF($B334="","",  VLOOKUP($B334, Propostas!$B:$BE, 44, FALSE) )</f>
        <v/>
      </c>
      <c r="T334" s="81" t="str">
        <f>IF($B334="","",  VLOOKUP($B334, Propostas!$B:$BE, 45, FALSE) )</f>
        <v/>
      </c>
      <c r="U334" s="32" t="str">
        <f>IF($B334="","",  VLOOKUP($B334, Propostas!$B:$BE, 37, FALSE) )</f>
        <v/>
      </c>
      <c r="V334" s="13" t="str">
        <f>IF($B334="","",  VLOOKUP($B334, Propostas!$B:$BE, 50, FALSE) )</f>
        <v/>
      </c>
      <c r="W334" s="13" t="str">
        <f>IF($B334="","",  VLOOKUP($B334, Propostas!$B:$BE, 51, FALSE) )</f>
        <v/>
      </c>
      <c r="X334" s="13" t="str">
        <f>IF($B334="","",  VLOOKUP($B334, Propostas!$B:$BE, 52, FALSE) )</f>
        <v/>
      </c>
      <c r="Y334" s="13" t="str">
        <f>IF($B334="","",  VLOOKUP($B334, Propostas!$B:$BE, 36, FALSE) )</f>
        <v/>
      </c>
      <c r="Z334" s="13" t="str">
        <f>IF($B334="","",  VLOOKUP($F334, VW_PROJETO!B:C, 2, FALSE) )</f>
        <v/>
      </c>
    </row>
    <row r="335" spans="2:26" x14ac:dyDescent="0.2">
      <c r="B335" s="2"/>
      <c r="C335" s="4" t="str">
        <f>IF($B335="","",  VLOOKUP($B335, Propostas!$B:$BE, 33, FALSE) )</f>
        <v/>
      </c>
      <c r="D335" s="4" t="str">
        <f>IF($B335="","",  VLOOKUP($B335, Propostas!$B:$BE, 34, FALSE) )</f>
        <v/>
      </c>
      <c r="E335" s="4" t="str">
        <f>IF($B335="","",  VLOOKUP($B335, Propostas!$B:$BE, 35, FALSE) )</f>
        <v/>
      </c>
      <c r="F335" s="4" t="str">
        <f>IF($B335="","",  VLOOKUP($B335, Propostas!$B:$BE, 2, FALSE) )</f>
        <v/>
      </c>
      <c r="G335" s="4" t="str">
        <f>IF($B335="","",  VLOOKUP($B335, Propostas!$B:$BE, 3, FALSE) )</f>
        <v/>
      </c>
      <c r="H335" s="4" t="str">
        <f>IF($B335="","",  VLOOKUP($B335, Propostas!$B:$BE, 4, FALSE) )</f>
        <v/>
      </c>
      <c r="I335" s="4" t="str">
        <f>IF($B335="","",  VLOOKUP($B335, Propostas!$B:$BE, 38, FALSE) )</f>
        <v/>
      </c>
      <c r="J335" s="13" t="str">
        <f>IF($B335="","",IF($C335="SIM", "&lt; INFRRAESTRUTURA &gt;", VLOOKUP($B335,Propostas!$B:$BE,41,FALSE)))</f>
        <v/>
      </c>
      <c r="K335" s="10" t="str">
        <f>IF($B335="","",  VLOOKUP($B335, Propostas!$B:$BE, 40, FALSE) )</f>
        <v/>
      </c>
      <c r="L335" s="10" t="str">
        <f>IF($B335="","",IF(VLOOKUP($B335,Propostas!$B:$BE,21,FALSE)=1,"B",IF(VLOOKUP($B335,Propostas!$B:$BE,21,FALSE)=2,"E","N")))</f>
        <v/>
      </c>
      <c r="M335" s="32" t="str">
        <f>IF($B335 = "", "",  VLOOKUP($B335, Propostas!$B:$BE, 46, FALSE) )</f>
        <v/>
      </c>
      <c r="N335" s="32" t="str">
        <f>IF($B335 = "", "",  VLOOKUP($B335, Propostas!$B:$BE, 47, FALSE) )</f>
        <v/>
      </c>
      <c r="O335" s="13" t="str">
        <f>IF($B335="","",IF($C335="SIM", "INFRAESTRUTURA", VLOOKUP($B335, Propostas!$B:$BE,42,FALSE)))</f>
        <v/>
      </c>
      <c r="P335" s="32" t="str">
        <f>IF($B335 = "", "",  VLOOKUP($B335, Propostas!$B:$BE, 49, FALSE) )</f>
        <v/>
      </c>
      <c r="Q335" s="13" t="str">
        <f>IF($B335="","",  VLOOKUP($B335, Propostas!$B:$BE, 39, FALSE) )</f>
        <v/>
      </c>
      <c r="R335" s="81" t="str">
        <f>IF($B335="","",  VLOOKUP($B335, Propostas!$B:$BE, 43, FALSE) )</f>
        <v/>
      </c>
      <c r="S335" s="81" t="str">
        <f>IF($B335="","",  VLOOKUP($B335, Propostas!$B:$BE, 44, FALSE) )</f>
        <v/>
      </c>
      <c r="T335" s="81" t="str">
        <f>IF($B335="","",  VLOOKUP($B335, Propostas!$B:$BE, 45, FALSE) )</f>
        <v/>
      </c>
      <c r="U335" s="32" t="str">
        <f>IF($B335="","",  VLOOKUP($B335, Propostas!$B:$BE, 37, FALSE) )</f>
        <v/>
      </c>
      <c r="V335" s="13" t="str">
        <f>IF($B335="","",  VLOOKUP($B335, Propostas!$B:$BE, 50, FALSE) )</f>
        <v/>
      </c>
      <c r="W335" s="13" t="str">
        <f>IF($B335="","",  VLOOKUP($B335, Propostas!$B:$BE, 51, FALSE) )</f>
        <v/>
      </c>
      <c r="X335" s="13" t="str">
        <f>IF($B335="","",  VLOOKUP($B335, Propostas!$B:$BE, 52, FALSE) )</f>
        <v/>
      </c>
      <c r="Y335" s="13" t="str">
        <f>IF($B335="","",  VLOOKUP($B335, Propostas!$B:$BE, 36, FALSE) )</f>
        <v/>
      </c>
      <c r="Z335" s="13" t="str">
        <f>IF($B335="","",  VLOOKUP($F335, VW_PROJETO!B:C, 2, FALSE) )</f>
        <v/>
      </c>
    </row>
    <row r="336" spans="2:26" x14ac:dyDescent="0.2">
      <c r="B336" s="2"/>
      <c r="C336" s="4" t="str">
        <f>IF($B336="","",  VLOOKUP($B336, Propostas!$B:$BE, 33, FALSE) )</f>
        <v/>
      </c>
      <c r="D336" s="4" t="str">
        <f>IF($B336="","",  VLOOKUP($B336, Propostas!$B:$BE, 34, FALSE) )</f>
        <v/>
      </c>
      <c r="E336" s="4" t="str">
        <f>IF($B336="","",  VLOOKUP($B336, Propostas!$B:$BE, 35, FALSE) )</f>
        <v/>
      </c>
      <c r="F336" s="4" t="str">
        <f>IF($B336="","",  VLOOKUP($B336, Propostas!$B:$BE, 2, FALSE) )</f>
        <v/>
      </c>
      <c r="G336" s="4" t="str">
        <f>IF($B336="","",  VLOOKUP($B336, Propostas!$B:$BE, 3, FALSE) )</f>
        <v/>
      </c>
      <c r="H336" s="4" t="str">
        <f>IF($B336="","",  VLOOKUP($B336, Propostas!$B:$BE, 4, FALSE) )</f>
        <v/>
      </c>
      <c r="I336" s="4" t="str">
        <f>IF($B336="","",  VLOOKUP($B336, Propostas!$B:$BE, 38, FALSE) )</f>
        <v/>
      </c>
      <c r="J336" s="13" t="str">
        <f>IF($B336="","",IF($C336="SIM", "&lt; INFRRAESTRUTURA &gt;", VLOOKUP($B336,Propostas!$B:$BE,41,FALSE)))</f>
        <v/>
      </c>
      <c r="K336" s="10" t="str">
        <f>IF($B336="","",  VLOOKUP($B336, Propostas!$B:$BE, 40, FALSE) )</f>
        <v/>
      </c>
      <c r="L336" s="10" t="str">
        <f>IF($B336="","",IF(VLOOKUP($B336,Propostas!$B:$BE,21,FALSE)=1,"B",IF(VLOOKUP($B336,Propostas!$B:$BE,21,FALSE)=2,"E","N")))</f>
        <v/>
      </c>
      <c r="M336" s="32" t="str">
        <f>IF($B336 = "", "",  VLOOKUP($B336, Propostas!$B:$BE, 46, FALSE) )</f>
        <v/>
      </c>
      <c r="N336" s="32" t="str">
        <f>IF($B336 = "", "",  VLOOKUP($B336, Propostas!$B:$BE, 47, FALSE) )</f>
        <v/>
      </c>
      <c r="O336" s="13" t="str">
        <f>IF($B336="","",IF($C336="SIM", "INFRAESTRUTURA", VLOOKUP($B336, Propostas!$B:$BE,42,FALSE)))</f>
        <v/>
      </c>
      <c r="P336" s="32" t="str">
        <f>IF($B336 = "", "",  VLOOKUP($B336, Propostas!$B:$BE, 49, FALSE) )</f>
        <v/>
      </c>
      <c r="Q336" s="13" t="str">
        <f>IF($B336="","",  VLOOKUP($B336, Propostas!$B:$BE, 39, FALSE) )</f>
        <v/>
      </c>
      <c r="R336" s="81" t="str">
        <f>IF($B336="","",  VLOOKUP($B336, Propostas!$B:$BE, 43, FALSE) )</f>
        <v/>
      </c>
      <c r="S336" s="81" t="str">
        <f>IF($B336="","",  VLOOKUP($B336, Propostas!$B:$BE, 44, FALSE) )</f>
        <v/>
      </c>
      <c r="T336" s="81" t="str">
        <f>IF($B336="","",  VLOOKUP($B336, Propostas!$B:$BE, 45, FALSE) )</f>
        <v/>
      </c>
      <c r="U336" s="32" t="str">
        <f>IF($B336="","",  VLOOKUP($B336, Propostas!$B:$BE, 37, FALSE) )</f>
        <v/>
      </c>
      <c r="V336" s="13" t="str">
        <f>IF($B336="","",  VLOOKUP($B336, Propostas!$B:$BE, 50, FALSE) )</f>
        <v/>
      </c>
      <c r="W336" s="13" t="str">
        <f>IF($B336="","",  VLOOKUP($B336, Propostas!$B:$BE, 51, FALSE) )</f>
        <v/>
      </c>
      <c r="X336" s="13" t="str">
        <f>IF($B336="","",  VLOOKUP($B336, Propostas!$B:$BE, 52, FALSE) )</f>
        <v/>
      </c>
      <c r="Y336" s="13" t="str">
        <f>IF($B336="","",  VLOOKUP($B336, Propostas!$B:$BE, 36, FALSE) )</f>
        <v/>
      </c>
      <c r="Z336" s="13" t="str">
        <f>IF($B336="","",  VLOOKUP($F336, VW_PROJETO!B:C, 2, FALSE) )</f>
        <v/>
      </c>
    </row>
    <row r="337" spans="2:26" x14ac:dyDescent="0.2">
      <c r="B337" s="2"/>
      <c r="C337" s="4" t="str">
        <f>IF($B337="","",  VLOOKUP($B337, Propostas!$B:$BE, 33, FALSE) )</f>
        <v/>
      </c>
      <c r="D337" s="4" t="str">
        <f>IF($B337="","",  VLOOKUP($B337, Propostas!$B:$BE, 34, FALSE) )</f>
        <v/>
      </c>
      <c r="E337" s="4" t="str">
        <f>IF($B337="","",  VLOOKUP($B337, Propostas!$B:$BE, 35, FALSE) )</f>
        <v/>
      </c>
      <c r="F337" s="4" t="str">
        <f>IF($B337="","",  VLOOKUP($B337, Propostas!$B:$BE, 2, FALSE) )</f>
        <v/>
      </c>
      <c r="G337" s="4" t="str">
        <f>IF($B337="","",  VLOOKUP($B337, Propostas!$B:$BE, 3, FALSE) )</f>
        <v/>
      </c>
      <c r="H337" s="4" t="str">
        <f>IF($B337="","",  VLOOKUP($B337, Propostas!$B:$BE, 4, FALSE) )</f>
        <v/>
      </c>
      <c r="I337" s="4" t="str">
        <f>IF($B337="","",  VLOOKUP($B337, Propostas!$B:$BE, 38, FALSE) )</f>
        <v/>
      </c>
      <c r="J337" s="13" t="str">
        <f>IF($B337="","",IF($C337="SIM", "&lt; INFRRAESTRUTURA &gt;", VLOOKUP($B337,Propostas!$B:$BE,41,FALSE)))</f>
        <v/>
      </c>
      <c r="K337" s="10" t="str">
        <f>IF($B337="","",  VLOOKUP($B337, Propostas!$B:$BE, 40, FALSE) )</f>
        <v/>
      </c>
      <c r="L337" s="10" t="str">
        <f>IF($B337="","",IF(VLOOKUP($B337,Propostas!$B:$BE,21,FALSE)=1,"B",IF(VLOOKUP($B337,Propostas!$B:$BE,21,FALSE)=2,"E","N")))</f>
        <v/>
      </c>
      <c r="M337" s="32" t="str">
        <f>IF($B337 = "", "",  VLOOKUP($B337, Propostas!$B:$BE, 46, FALSE) )</f>
        <v/>
      </c>
      <c r="N337" s="32" t="str">
        <f>IF($B337 = "", "",  VLOOKUP($B337, Propostas!$B:$BE, 47, FALSE) )</f>
        <v/>
      </c>
      <c r="O337" s="13" t="str">
        <f>IF($B337="","",IF($C337="SIM", "INFRAESTRUTURA", VLOOKUP($B337, Propostas!$B:$BE,42,FALSE)))</f>
        <v/>
      </c>
      <c r="P337" s="32" t="str">
        <f>IF($B337 = "", "",  VLOOKUP($B337, Propostas!$B:$BE, 49, FALSE) )</f>
        <v/>
      </c>
      <c r="Q337" s="13" t="str">
        <f>IF($B337="","",  VLOOKUP($B337, Propostas!$B:$BE, 39, FALSE) )</f>
        <v/>
      </c>
      <c r="R337" s="81" t="str">
        <f>IF($B337="","",  VLOOKUP($B337, Propostas!$B:$BE, 43, FALSE) )</f>
        <v/>
      </c>
      <c r="S337" s="81" t="str">
        <f>IF($B337="","",  VLOOKUP($B337, Propostas!$B:$BE, 44, FALSE) )</f>
        <v/>
      </c>
      <c r="T337" s="81" t="str">
        <f>IF($B337="","",  VLOOKUP($B337, Propostas!$B:$BE, 45, FALSE) )</f>
        <v/>
      </c>
      <c r="U337" s="32" t="str">
        <f>IF($B337="","",  VLOOKUP($B337, Propostas!$B:$BE, 37, FALSE) )</f>
        <v/>
      </c>
      <c r="V337" s="13" t="str">
        <f>IF($B337="","",  VLOOKUP($B337, Propostas!$B:$BE, 50, FALSE) )</f>
        <v/>
      </c>
      <c r="W337" s="13" t="str">
        <f>IF($B337="","",  VLOOKUP($B337, Propostas!$B:$BE, 51, FALSE) )</f>
        <v/>
      </c>
      <c r="X337" s="13" t="str">
        <f>IF($B337="","",  VLOOKUP($B337, Propostas!$B:$BE, 52, FALSE) )</f>
        <v/>
      </c>
      <c r="Y337" s="13" t="str">
        <f>IF($B337="","",  VLOOKUP($B337, Propostas!$B:$BE, 36, FALSE) )</f>
        <v/>
      </c>
      <c r="Z337" s="13" t="str">
        <f>IF($B337="","",  VLOOKUP($F337, VW_PROJETO!B:C, 2, FALSE) )</f>
        <v/>
      </c>
    </row>
    <row r="338" spans="2:26" x14ac:dyDescent="0.2">
      <c r="B338" s="2"/>
      <c r="C338" s="4" t="str">
        <f>IF($B338="","",  VLOOKUP($B338, Propostas!$B:$BE, 33, FALSE) )</f>
        <v/>
      </c>
      <c r="D338" s="4" t="str">
        <f>IF($B338="","",  VLOOKUP($B338, Propostas!$B:$BE, 34, FALSE) )</f>
        <v/>
      </c>
      <c r="E338" s="4" t="str">
        <f>IF($B338="","",  VLOOKUP($B338, Propostas!$B:$BE, 35, FALSE) )</f>
        <v/>
      </c>
      <c r="F338" s="4" t="str">
        <f>IF($B338="","",  VLOOKUP($B338, Propostas!$B:$BE, 2, FALSE) )</f>
        <v/>
      </c>
      <c r="G338" s="4" t="str">
        <f>IF($B338="","",  VLOOKUP($B338, Propostas!$B:$BE, 3, FALSE) )</f>
        <v/>
      </c>
      <c r="H338" s="4" t="str">
        <f>IF($B338="","",  VLOOKUP($B338, Propostas!$B:$BE, 4, FALSE) )</f>
        <v/>
      </c>
      <c r="I338" s="4" t="str">
        <f>IF($B338="","",  VLOOKUP($B338, Propostas!$B:$BE, 38, FALSE) )</f>
        <v/>
      </c>
      <c r="J338" s="13" t="str">
        <f>IF($B338="","",IF($C338="SIM", "&lt; INFRRAESTRUTURA &gt;", VLOOKUP($B338,Propostas!$B:$BE,41,FALSE)))</f>
        <v/>
      </c>
      <c r="K338" s="10" t="str">
        <f>IF($B338="","",  VLOOKUP($B338, Propostas!$B:$BE, 40, FALSE) )</f>
        <v/>
      </c>
      <c r="L338" s="10" t="str">
        <f>IF($B338="","",IF(VLOOKUP($B338,Propostas!$B:$BE,21,FALSE)=1,"B",IF(VLOOKUP($B338,Propostas!$B:$BE,21,FALSE)=2,"E","N")))</f>
        <v/>
      </c>
      <c r="M338" s="32" t="str">
        <f>IF($B338 = "", "",  VLOOKUP($B338, Propostas!$B:$BE, 46, FALSE) )</f>
        <v/>
      </c>
      <c r="N338" s="32" t="str">
        <f>IF($B338 = "", "",  VLOOKUP($B338, Propostas!$B:$BE, 47, FALSE) )</f>
        <v/>
      </c>
      <c r="O338" s="13" t="str">
        <f>IF($B338="","",IF($C338="SIM", "INFRAESTRUTURA", VLOOKUP($B338, Propostas!$B:$BE,42,FALSE)))</f>
        <v/>
      </c>
      <c r="P338" s="32" t="str">
        <f>IF($B338 = "", "",  VLOOKUP($B338, Propostas!$B:$BE, 49, FALSE) )</f>
        <v/>
      </c>
      <c r="Q338" s="13" t="str">
        <f>IF($B338="","",  VLOOKUP($B338, Propostas!$B:$BE, 39, FALSE) )</f>
        <v/>
      </c>
      <c r="R338" s="81" t="str">
        <f>IF($B338="","",  VLOOKUP($B338, Propostas!$B:$BE, 43, FALSE) )</f>
        <v/>
      </c>
      <c r="S338" s="81" t="str">
        <f>IF($B338="","",  VLOOKUP($B338, Propostas!$B:$BE, 44, FALSE) )</f>
        <v/>
      </c>
      <c r="T338" s="81" t="str">
        <f>IF($B338="","",  VLOOKUP($B338, Propostas!$B:$BE, 45, FALSE) )</f>
        <v/>
      </c>
      <c r="U338" s="32" t="str">
        <f>IF($B338="","",  VLOOKUP($B338, Propostas!$B:$BE, 37, FALSE) )</f>
        <v/>
      </c>
      <c r="V338" s="13" t="str">
        <f>IF($B338="","",  VLOOKUP($B338, Propostas!$B:$BE, 50, FALSE) )</f>
        <v/>
      </c>
      <c r="W338" s="13" t="str">
        <f>IF($B338="","",  VLOOKUP($B338, Propostas!$B:$BE, 51, FALSE) )</f>
        <v/>
      </c>
      <c r="X338" s="13" t="str">
        <f>IF($B338="","",  VLOOKUP($B338, Propostas!$B:$BE, 52, FALSE) )</f>
        <v/>
      </c>
      <c r="Y338" s="13" t="str">
        <f>IF($B338="","",  VLOOKUP($B338, Propostas!$B:$BE, 36, FALSE) )</f>
        <v/>
      </c>
      <c r="Z338" s="13" t="str">
        <f>IF($B338="","",  VLOOKUP($F338, VW_PROJETO!B:C, 2, FALSE) )</f>
        <v/>
      </c>
    </row>
    <row r="339" spans="2:26" x14ac:dyDescent="0.2">
      <c r="B339" s="2"/>
      <c r="C339" s="4" t="str">
        <f>IF($B339="","",  VLOOKUP($B339, Propostas!$B:$BE, 33, FALSE) )</f>
        <v/>
      </c>
      <c r="D339" s="4" t="str">
        <f>IF($B339="","",  VLOOKUP($B339, Propostas!$B:$BE, 34, FALSE) )</f>
        <v/>
      </c>
      <c r="E339" s="4" t="str">
        <f>IF($B339="","",  VLOOKUP($B339, Propostas!$B:$BE, 35, FALSE) )</f>
        <v/>
      </c>
      <c r="F339" s="4" t="str">
        <f>IF($B339="","",  VLOOKUP($B339, Propostas!$B:$BE, 2, FALSE) )</f>
        <v/>
      </c>
      <c r="G339" s="4" t="str">
        <f>IF($B339="","",  VLOOKUP($B339, Propostas!$B:$BE, 3, FALSE) )</f>
        <v/>
      </c>
      <c r="H339" s="4" t="str">
        <f>IF($B339="","",  VLOOKUP($B339, Propostas!$B:$BE, 4, FALSE) )</f>
        <v/>
      </c>
      <c r="I339" s="4" t="str">
        <f>IF($B339="","",  VLOOKUP($B339, Propostas!$B:$BE, 38, FALSE) )</f>
        <v/>
      </c>
      <c r="J339" s="13" t="str">
        <f>IF($B339="","",IF($C339="SIM", "&lt; INFRRAESTRUTURA &gt;", VLOOKUP($B339,Propostas!$B:$BE,41,FALSE)))</f>
        <v/>
      </c>
      <c r="K339" s="10" t="str">
        <f>IF($B339="","",  VLOOKUP($B339, Propostas!$B:$BE, 40, FALSE) )</f>
        <v/>
      </c>
      <c r="L339" s="10" t="str">
        <f>IF($B339="","",IF(VLOOKUP($B339,Propostas!$B:$BE,21,FALSE)=1,"B",IF(VLOOKUP($B339,Propostas!$B:$BE,21,FALSE)=2,"E","N")))</f>
        <v/>
      </c>
      <c r="M339" s="32" t="str">
        <f>IF($B339 = "", "",  VLOOKUP($B339, Propostas!$B:$BE, 46, FALSE) )</f>
        <v/>
      </c>
      <c r="N339" s="32" t="str">
        <f>IF($B339 = "", "",  VLOOKUP($B339, Propostas!$B:$BE, 47, FALSE) )</f>
        <v/>
      </c>
      <c r="O339" s="13" t="str">
        <f>IF($B339="","",IF($C339="SIM", "INFRAESTRUTURA", VLOOKUP($B339, Propostas!$B:$BE,42,FALSE)))</f>
        <v/>
      </c>
      <c r="P339" s="32" t="str">
        <f>IF($B339 = "", "",  VLOOKUP($B339, Propostas!$B:$BE, 49, FALSE) )</f>
        <v/>
      </c>
      <c r="Q339" s="13" t="str">
        <f>IF($B339="","",  VLOOKUP($B339, Propostas!$B:$BE, 39, FALSE) )</f>
        <v/>
      </c>
      <c r="R339" s="81" t="str">
        <f>IF($B339="","",  VLOOKUP($B339, Propostas!$B:$BE, 43, FALSE) )</f>
        <v/>
      </c>
      <c r="S339" s="81" t="str">
        <f>IF($B339="","",  VLOOKUP($B339, Propostas!$B:$BE, 44, FALSE) )</f>
        <v/>
      </c>
      <c r="T339" s="81" t="str">
        <f>IF($B339="","",  VLOOKUP($B339, Propostas!$B:$BE, 45, FALSE) )</f>
        <v/>
      </c>
      <c r="U339" s="32" t="str">
        <f>IF($B339="","",  VLOOKUP($B339, Propostas!$B:$BE, 37, FALSE) )</f>
        <v/>
      </c>
      <c r="V339" s="13" t="str">
        <f>IF($B339="","",  VLOOKUP($B339, Propostas!$B:$BE, 50, FALSE) )</f>
        <v/>
      </c>
      <c r="W339" s="13" t="str">
        <f>IF($B339="","",  VLOOKUP($B339, Propostas!$B:$BE, 51, FALSE) )</f>
        <v/>
      </c>
      <c r="X339" s="13" t="str">
        <f>IF($B339="","",  VLOOKUP($B339, Propostas!$B:$BE, 52, FALSE) )</f>
        <v/>
      </c>
      <c r="Y339" s="13" t="str">
        <f>IF($B339="","",  VLOOKUP($B339, Propostas!$B:$BE, 36, FALSE) )</f>
        <v/>
      </c>
      <c r="Z339" s="13" t="str">
        <f>IF($B339="","",  VLOOKUP($F339, VW_PROJETO!B:C, 2, FALSE) )</f>
        <v/>
      </c>
    </row>
    <row r="340" spans="2:26" x14ac:dyDescent="0.2">
      <c r="B340" s="2"/>
      <c r="C340" s="4" t="str">
        <f>IF($B340="","",  VLOOKUP($B340, Propostas!$B:$BE, 33, FALSE) )</f>
        <v/>
      </c>
      <c r="D340" s="4" t="str">
        <f>IF($B340="","",  VLOOKUP($B340, Propostas!$B:$BE, 34, FALSE) )</f>
        <v/>
      </c>
      <c r="E340" s="4" t="str">
        <f>IF($B340="","",  VLOOKUP($B340, Propostas!$B:$BE, 35, FALSE) )</f>
        <v/>
      </c>
      <c r="F340" s="4" t="str">
        <f>IF($B340="","",  VLOOKUP($B340, Propostas!$B:$BE, 2, FALSE) )</f>
        <v/>
      </c>
      <c r="G340" s="4" t="str">
        <f>IF($B340="","",  VLOOKUP($B340, Propostas!$B:$BE, 3, FALSE) )</f>
        <v/>
      </c>
      <c r="H340" s="4" t="str">
        <f>IF($B340="","",  VLOOKUP($B340, Propostas!$B:$BE, 4, FALSE) )</f>
        <v/>
      </c>
      <c r="I340" s="4" t="str">
        <f>IF($B340="","",  VLOOKUP($B340, Propostas!$B:$BE, 38, FALSE) )</f>
        <v/>
      </c>
      <c r="J340" s="13" t="str">
        <f>IF($B340="","",IF($C340="SIM", "&lt; INFRRAESTRUTURA &gt;", VLOOKUP($B340,Propostas!$B:$BE,41,FALSE)))</f>
        <v/>
      </c>
      <c r="K340" s="10" t="str">
        <f>IF($B340="","",  VLOOKUP($B340, Propostas!$B:$BE, 40, FALSE) )</f>
        <v/>
      </c>
      <c r="L340" s="10" t="str">
        <f>IF($B340="","",IF(VLOOKUP($B340,Propostas!$B:$BE,21,FALSE)=1,"B",IF(VLOOKUP($B340,Propostas!$B:$BE,21,FALSE)=2,"E","N")))</f>
        <v/>
      </c>
      <c r="M340" s="32" t="str">
        <f>IF($B340 = "", "",  VLOOKUP($B340, Propostas!$B:$BE, 46, FALSE) )</f>
        <v/>
      </c>
      <c r="N340" s="32" t="str">
        <f>IF($B340 = "", "",  VLOOKUP($B340, Propostas!$B:$BE, 47, FALSE) )</f>
        <v/>
      </c>
      <c r="O340" s="13" t="str">
        <f>IF($B340="","",IF($C340="SIM", "INFRAESTRUTURA", VLOOKUP($B340, Propostas!$B:$BE,42,FALSE)))</f>
        <v/>
      </c>
      <c r="P340" s="32" t="str">
        <f>IF($B340 = "", "",  VLOOKUP($B340, Propostas!$B:$BE, 49, FALSE) )</f>
        <v/>
      </c>
      <c r="Q340" s="13" t="str">
        <f>IF($B340="","",  VLOOKUP($B340, Propostas!$B:$BE, 39, FALSE) )</f>
        <v/>
      </c>
      <c r="R340" s="81" t="str">
        <f>IF($B340="","",  VLOOKUP($B340, Propostas!$B:$BE, 43, FALSE) )</f>
        <v/>
      </c>
      <c r="S340" s="81" t="str">
        <f>IF($B340="","",  VLOOKUP($B340, Propostas!$B:$BE, 44, FALSE) )</f>
        <v/>
      </c>
      <c r="T340" s="81" t="str">
        <f>IF($B340="","",  VLOOKUP($B340, Propostas!$B:$BE, 45, FALSE) )</f>
        <v/>
      </c>
      <c r="U340" s="32" t="str">
        <f>IF($B340="","",  VLOOKUP($B340, Propostas!$B:$BE, 37, FALSE) )</f>
        <v/>
      </c>
      <c r="V340" s="13" t="str">
        <f>IF($B340="","",  VLOOKUP($B340, Propostas!$B:$BE, 50, FALSE) )</f>
        <v/>
      </c>
      <c r="W340" s="13" t="str">
        <f>IF($B340="","",  VLOOKUP($B340, Propostas!$B:$BE, 51, FALSE) )</f>
        <v/>
      </c>
      <c r="X340" s="13" t="str">
        <f>IF($B340="","",  VLOOKUP($B340, Propostas!$B:$BE, 52, FALSE) )</f>
        <v/>
      </c>
      <c r="Y340" s="13" t="str">
        <f>IF($B340="","",  VLOOKUP($B340, Propostas!$B:$BE, 36, FALSE) )</f>
        <v/>
      </c>
      <c r="Z340" s="13" t="str">
        <f>IF($B340="","",  VLOOKUP($F340, VW_PROJETO!B:C, 2, FALSE) )</f>
        <v/>
      </c>
    </row>
    <row r="341" spans="2:26" x14ac:dyDescent="0.2">
      <c r="B341" s="2"/>
      <c r="C341" s="4" t="str">
        <f>IF($B341="","",  VLOOKUP($B341, Propostas!$B:$BE, 33, FALSE) )</f>
        <v/>
      </c>
      <c r="D341" s="4" t="str">
        <f>IF($B341="","",  VLOOKUP($B341, Propostas!$B:$BE, 34, FALSE) )</f>
        <v/>
      </c>
      <c r="E341" s="4" t="str">
        <f>IF($B341="","",  VLOOKUP($B341, Propostas!$B:$BE, 35, FALSE) )</f>
        <v/>
      </c>
      <c r="F341" s="4" t="str">
        <f>IF($B341="","",  VLOOKUP($B341, Propostas!$B:$BE, 2, FALSE) )</f>
        <v/>
      </c>
      <c r="G341" s="4" t="str">
        <f>IF($B341="","",  VLOOKUP($B341, Propostas!$B:$BE, 3, FALSE) )</f>
        <v/>
      </c>
      <c r="H341" s="4" t="str">
        <f>IF($B341="","",  VLOOKUP($B341, Propostas!$B:$BE, 4, FALSE) )</f>
        <v/>
      </c>
      <c r="I341" s="4" t="str">
        <f>IF($B341="","",  VLOOKUP($B341, Propostas!$B:$BE, 38, FALSE) )</f>
        <v/>
      </c>
      <c r="J341" s="13" t="str">
        <f>IF($B341="","",IF($C341="SIM", "&lt; INFRRAESTRUTURA &gt;", VLOOKUP($B341,Propostas!$B:$BE,41,FALSE)))</f>
        <v/>
      </c>
      <c r="K341" s="10" t="str">
        <f>IF($B341="","",  VLOOKUP($B341, Propostas!$B:$BE, 40, FALSE) )</f>
        <v/>
      </c>
      <c r="L341" s="10" t="str">
        <f>IF($B341="","",IF(VLOOKUP($B341,Propostas!$B:$BE,21,FALSE)=1,"B",IF(VLOOKUP($B341,Propostas!$B:$BE,21,FALSE)=2,"E","N")))</f>
        <v/>
      </c>
      <c r="M341" s="32" t="str">
        <f>IF($B341 = "", "",  VLOOKUP($B341, Propostas!$B:$BE, 46, FALSE) )</f>
        <v/>
      </c>
      <c r="N341" s="32" t="str">
        <f>IF($B341 = "", "",  VLOOKUP($B341, Propostas!$B:$BE, 47, FALSE) )</f>
        <v/>
      </c>
      <c r="O341" s="13" t="str">
        <f>IF($B341="","",IF($C341="SIM", "INFRAESTRUTURA", VLOOKUP($B341, Propostas!$B:$BE,42,FALSE)))</f>
        <v/>
      </c>
      <c r="P341" s="32" t="str">
        <f>IF($B341 = "", "",  VLOOKUP($B341, Propostas!$B:$BE, 49, FALSE) )</f>
        <v/>
      </c>
      <c r="Q341" s="13" t="str">
        <f>IF($B341="","",  VLOOKUP($B341, Propostas!$B:$BE, 39, FALSE) )</f>
        <v/>
      </c>
      <c r="R341" s="81" t="str">
        <f>IF($B341="","",  VLOOKUP($B341, Propostas!$B:$BE, 43, FALSE) )</f>
        <v/>
      </c>
      <c r="S341" s="81" t="str">
        <f>IF($B341="","",  VLOOKUP($B341, Propostas!$B:$BE, 44, FALSE) )</f>
        <v/>
      </c>
      <c r="T341" s="81" t="str">
        <f>IF($B341="","",  VLOOKUP($B341, Propostas!$B:$BE, 45, FALSE) )</f>
        <v/>
      </c>
      <c r="U341" s="32" t="str">
        <f>IF($B341="","",  VLOOKUP($B341, Propostas!$B:$BE, 37, FALSE) )</f>
        <v/>
      </c>
      <c r="V341" s="13" t="str">
        <f>IF($B341="","",  VLOOKUP($B341, Propostas!$B:$BE, 50, FALSE) )</f>
        <v/>
      </c>
      <c r="W341" s="13" t="str">
        <f>IF($B341="","",  VLOOKUP($B341, Propostas!$B:$BE, 51, FALSE) )</f>
        <v/>
      </c>
      <c r="X341" s="13" t="str">
        <f>IF($B341="","",  VLOOKUP($B341, Propostas!$B:$BE, 52, FALSE) )</f>
        <v/>
      </c>
      <c r="Y341" s="13" t="str">
        <f>IF($B341="","",  VLOOKUP($B341, Propostas!$B:$BE, 36, FALSE) )</f>
        <v/>
      </c>
      <c r="Z341" s="13" t="str">
        <f>IF($B341="","",  VLOOKUP($F341, VW_PROJETO!B:C, 2, FALSE) )</f>
        <v/>
      </c>
    </row>
    <row r="342" spans="2:26" x14ac:dyDescent="0.2">
      <c r="B342" s="2"/>
      <c r="C342" s="4" t="str">
        <f>IF($B342="","",  VLOOKUP($B342, Propostas!$B:$BE, 33, FALSE) )</f>
        <v/>
      </c>
      <c r="D342" s="4" t="str">
        <f>IF($B342="","",  VLOOKUP($B342, Propostas!$B:$BE, 34, FALSE) )</f>
        <v/>
      </c>
      <c r="E342" s="4" t="str">
        <f>IF($B342="","",  VLOOKUP($B342, Propostas!$B:$BE, 35, FALSE) )</f>
        <v/>
      </c>
      <c r="F342" s="4" t="str">
        <f>IF($B342="","",  VLOOKUP($B342, Propostas!$B:$BE, 2, FALSE) )</f>
        <v/>
      </c>
      <c r="G342" s="4" t="str">
        <f>IF($B342="","",  VLOOKUP($B342, Propostas!$B:$BE, 3, FALSE) )</f>
        <v/>
      </c>
      <c r="H342" s="4" t="str">
        <f>IF($B342="","",  VLOOKUP($B342, Propostas!$B:$BE, 4, FALSE) )</f>
        <v/>
      </c>
      <c r="I342" s="4" t="str">
        <f>IF($B342="","",  VLOOKUP($B342, Propostas!$B:$BE, 38, FALSE) )</f>
        <v/>
      </c>
      <c r="J342" s="13" t="str">
        <f>IF($B342="","",IF($C342="SIM", "&lt; INFRRAESTRUTURA &gt;", VLOOKUP($B342,Propostas!$B:$BE,41,FALSE)))</f>
        <v/>
      </c>
      <c r="K342" s="10" t="str">
        <f>IF($B342="","",  VLOOKUP($B342, Propostas!$B:$BE, 40, FALSE) )</f>
        <v/>
      </c>
      <c r="L342" s="10" t="str">
        <f>IF($B342="","",IF(VLOOKUP($B342,Propostas!$B:$BE,21,FALSE)=1,"B",IF(VLOOKUP($B342,Propostas!$B:$BE,21,FALSE)=2,"E","N")))</f>
        <v/>
      </c>
      <c r="M342" s="32" t="str">
        <f>IF($B342 = "", "",  VLOOKUP($B342, Propostas!$B:$BE, 46, FALSE) )</f>
        <v/>
      </c>
      <c r="N342" s="32" t="str">
        <f>IF($B342 = "", "",  VLOOKUP($B342, Propostas!$B:$BE, 47, FALSE) )</f>
        <v/>
      </c>
      <c r="O342" s="13" t="str">
        <f>IF($B342="","",IF($C342="SIM", "INFRAESTRUTURA", VLOOKUP($B342, Propostas!$B:$BE,42,FALSE)))</f>
        <v/>
      </c>
      <c r="P342" s="32" t="str">
        <f>IF($B342 = "", "",  VLOOKUP($B342, Propostas!$B:$BE, 49, FALSE) )</f>
        <v/>
      </c>
      <c r="Q342" s="13" t="str">
        <f>IF($B342="","",  VLOOKUP($B342, Propostas!$B:$BE, 39, FALSE) )</f>
        <v/>
      </c>
      <c r="R342" s="81" t="str">
        <f>IF($B342="","",  VLOOKUP($B342, Propostas!$B:$BE, 43, FALSE) )</f>
        <v/>
      </c>
      <c r="S342" s="81" t="str">
        <f>IF($B342="","",  VLOOKUP($B342, Propostas!$B:$BE, 44, FALSE) )</f>
        <v/>
      </c>
      <c r="T342" s="81" t="str">
        <f>IF($B342="","",  VLOOKUP($B342, Propostas!$B:$BE, 45, FALSE) )</f>
        <v/>
      </c>
      <c r="U342" s="32" t="str">
        <f>IF($B342="","",  VLOOKUP($B342, Propostas!$B:$BE, 37, FALSE) )</f>
        <v/>
      </c>
      <c r="V342" s="13" t="str">
        <f>IF($B342="","",  VLOOKUP($B342, Propostas!$B:$BE, 50, FALSE) )</f>
        <v/>
      </c>
      <c r="W342" s="13" t="str">
        <f>IF($B342="","",  VLOOKUP($B342, Propostas!$B:$BE, 51, FALSE) )</f>
        <v/>
      </c>
      <c r="X342" s="13" t="str">
        <f>IF($B342="","",  VLOOKUP($B342, Propostas!$B:$BE, 52, FALSE) )</f>
        <v/>
      </c>
      <c r="Y342" s="13" t="str">
        <f>IF($B342="","",  VLOOKUP($B342, Propostas!$B:$BE, 36, FALSE) )</f>
        <v/>
      </c>
      <c r="Z342" s="13" t="str">
        <f>IF($B342="","",  VLOOKUP($F342, VW_PROJETO!B:C, 2, FALSE) )</f>
        <v/>
      </c>
    </row>
    <row r="343" spans="2:26" x14ac:dyDescent="0.2">
      <c r="B343" s="2"/>
      <c r="C343" s="4" t="str">
        <f>IF($B343="","",  VLOOKUP($B343, Propostas!$B:$BE, 33, FALSE) )</f>
        <v/>
      </c>
      <c r="D343" s="4" t="str">
        <f>IF($B343="","",  VLOOKUP($B343, Propostas!$B:$BE, 34, FALSE) )</f>
        <v/>
      </c>
      <c r="E343" s="4" t="str">
        <f>IF($B343="","",  VLOOKUP($B343, Propostas!$B:$BE, 35, FALSE) )</f>
        <v/>
      </c>
      <c r="F343" s="4" t="str">
        <f>IF($B343="","",  VLOOKUP($B343, Propostas!$B:$BE, 2, FALSE) )</f>
        <v/>
      </c>
      <c r="G343" s="4" t="str">
        <f>IF($B343="","",  VLOOKUP($B343, Propostas!$B:$BE, 3, FALSE) )</f>
        <v/>
      </c>
      <c r="H343" s="4" t="str">
        <f>IF($B343="","",  VLOOKUP($B343, Propostas!$B:$BE, 4, FALSE) )</f>
        <v/>
      </c>
      <c r="I343" s="4" t="str">
        <f>IF($B343="","",  VLOOKUP($B343, Propostas!$B:$BE, 38, FALSE) )</f>
        <v/>
      </c>
      <c r="J343" s="13" t="str">
        <f>IF($B343="","",IF($C343="SIM", "&lt; INFRRAESTRUTURA &gt;", VLOOKUP($B343,Propostas!$B:$BE,41,FALSE)))</f>
        <v/>
      </c>
      <c r="K343" s="10" t="str">
        <f>IF($B343="","",  VLOOKUP($B343, Propostas!$B:$BE, 40, FALSE) )</f>
        <v/>
      </c>
      <c r="L343" s="10" t="str">
        <f>IF($B343="","",IF(VLOOKUP($B343,Propostas!$B:$BE,21,FALSE)=1,"B",IF(VLOOKUP($B343,Propostas!$B:$BE,21,FALSE)=2,"E","N")))</f>
        <v/>
      </c>
      <c r="M343" s="32" t="str">
        <f>IF($B343 = "", "",  VLOOKUP($B343, Propostas!$B:$BE, 46, FALSE) )</f>
        <v/>
      </c>
      <c r="N343" s="32" t="str">
        <f>IF($B343 = "", "",  VLOOKUP($B343, Propostas!$B:$BE, 47, FALSE) )</f>
        <v/>
      </c>
      <c r="O343" s="13" t="str">
        <f>IF($B343="","",IF($C343="SIM", "INFRAESTRUTURA", VLOOKUP($B343, Propostas!$B:$BE,42,FALSE)))</f>
        <v/>
      </c>
      <c r="P343" s="32" t="str">
        <f>IF($B343 = "", "",  VLOOKUP($B343, Propostas!$B:$BE, 49, FALSE) )</f>
        <v/>
      </c>
      <c r="Q343" s="13" t="str">
        <f>IF($B343="","",  VLOOKUP($B343, Propostas!$B:$BE, 39, FALSE) )</f>
        <v/>
      </c>
      <c r="R343" s="81" t="str">
        <f>IF($B343="","",  VLOOKUP($B343, Propostas!$B:$BE, 43, FALSE) )</f>
        <v/>
      </c>
      <c r="S343" s="81" t="str">
        <f>IF($B343="","",  VLOOKUP($B343, Propostas!$B:$BE, 44, FALSE) )</f>
        <v/>
      </c>
      <c r="T343" s="81" t="str">
        <f>IF($B343="","",  VLOOKUP($B343, Propostas!$B:$BE, 45, FALSE) )</f>
        <v/>
      </c>
      <c r="U343" s="32" t="str">
        <f>IF($B343="","",  VLOOKUP($B343, Propostas!$B:$BE, 37, FALSE) )</f>
        <v/>
      </c>
      <c r="V343" s="13" t="str">
        <f>IF($B343="","",  VLOOKUP($B343, Propostas!$B:$BE, 50, FALSE) )</f>
        <v/>
      </c>
      <c r="W343" s="13" t="str">
        <f>IF($B343="","",  VLOOKUP($B343, Propostas!$B:$BE, 51, FALSE) )</f>
        <v/>
      </c>
      <c r="X343" s="13" t="str">
        <f>IF($B343="","",  VLOOKUP($B343, Propostas!$B:$BE, 52, FALSE) )</f>
        <v/>
      </c>
      <c r="Y343" s="13" t="str">
        <f>IF($B343="","",  VLOOKUP($B343, Propostas!$B:$BE, 36, FALSE) )</f>
        <v/>
      </c>
      <c r="Z343" s="13" t="str">
        <f>IF($B343="","",  VLOOKUP($F343, VW_PROJETO!B:C, 2, FALSE) )</f>
        <v/>
      </c>
    </row>
    <row r="344" spans="2:26" x14ac:dyDescent="0.2">
      <c r="B344" s="2"/>
      <c r="C344" s="4" t="str">
        <f>IF($B344="","",  VLOOKUP($B344, Propostas!$B:$BE, 33, FALSE) )</f>
        <v/>
      </c>
      <c r="D344" s="4" t="str">
        <f>IF($B344="","",  VLOOKUP($B344, Propostas!$B:$BE, 34, FALSE) )</f>
        <v/>
      </c>
      <c r="E344" s="4" t="str">
        <f>IF($B344="","",  VLOOKUP($B344, Propostas!$B:$BE, 35, FALSE) )</f>
        <v/>
      </c>
      <c r="F344" s="4" t="str">
        <f>IF($B344="","",  VLOOKUP($B344, Propostas!$B:$BE, 2, FALSE) )</f>
        <v/>
      </c>
      <c r="G344" s="4" t="str">
        <f>IF($B344="","",  VLOOKUP($B344, Propostas!$B:$BE, 3, FALSE) )</f>
        <v/>
      </c>
      <c r="H344" s="4" t="str">
        <f>IF($B344="","",  VLOOKUP($B344, Propostas!$B:$BE, 4, FALSE) )</f>
        <v/>
      </c>
      <c r="I344" s="4" t="str">
        <f>IF($B344="","",  VLOOKUP($B344, Propostas!$B:$BE, 38, FALSE) )</f>
        <v/>
      </c>
      <c r="J344" s="13" t="str">
        <f>IF($B344="","",IF($C344="SIM", "&lt; INFRRAESTRUTURA &gt;", VLOOKUP($B344,Propostas!$B:$BE,41,FALSE)))</f>
        <v/>
      </c>
      <c r="K344" s="10" t="str">
        <f>IF($B344="","",  VLOOKUP($B344, Propostas!$B:$BE, 40, FALSE) )</f>
        <v/>
      </c>
      <c r="L344" s="10" t="str">
        <f>IF($B344="","",IF(VLOOKUP($B344,Propostas!$B:$BE,21,FALSE)=1,"B",IF(VLOOKUP($B344,Propostas!$B:$BE,21,FALSE)=2,"E","N")))</f>
        <v/>
      </c>
      <c r="M344" s="32" t="str">
        <f>IF($B344 = "", "",  VLOOKUP($B344, Propostas!$B:$BE, 46, FALSE) )</f>
        <v/>
      </c>
      <c r="N344" s="32" t="str">
        <f>IF($B344 = "", "",  VLOOKUP($B344, Propostas!$B:$BE, 47, FALSE) )</f>
        <v/>
      </c>
      <c r="O344" s="13" t="str">
        <f>IF($B344="","",IF($C344="SIM", "INFRAESTRUTURA", VLOOKUP($B344, Propostas!$B:$BE,42,FALSE)))</f>
        <v/>
      </c>
      <c r="P344" s="32" t="str">
        <f>IF($B344 = "", "",  VLOOKUP($B344, Propostas!$B:$BE, 49, FALSE) )</f>
        <v/>
      </c>
      <c r="Q344" s="13" t="str">
        <f>IF($B344="","",  VLOOKUP($B344, Propostas!$B:$BE, 39, FALSE) )</f>
        <v/>
      </c>
      <c r="R344" s="81" t="str">
        <f>IF($B344="","",  VLOOKUP($B344, Propostas!$B:$BE, 43, FALSE) )</f>
        <v/>
      </c>
      <c r="S344" s="81" t="str">
        <f>IF($B344="","",  VLOOKUP($B344, Propostas!$B:$BE, 44, FALSE) )</f>
        <v/>
      </c>
      <c r="T344" s="81" t="str">
        <f>IF($B344="","",  VLOOKUP($B344, Propostas!$B:$BE, 45, FALSE) )</f>
        <v/>
      </c>
      <c r="U344" s="32" t="str">
        <f>IF($B344="","",  VLOOKUP($B344, Propostas!$B:$BE, 37, FALSE) )</f>
        <v/>
      </c>
      <c r="V344" s="13" t="str">
        <f>IF($B344="","",  VLOOKUP($B344, Propostas!$B:$BE, 50, FALSE) )</f>
        <v/>
      </c>
      <c r="W344" s="13" t="str">
        <f>IF($B344="","",  VLOOKUP($B344, Propostas!$B:$BE, 51, FALSE) )</f>
        <v/>
      </c>
      <c r="X344" s="13" t="str">
        <f>IF($B344="","",  VLOOKUP($B344, Propostas!$B:$BE, 52, FALSE) )</f>
        <v/>
      </c>
      <c r="Y344" s="13" t="str">
        <f>IF($B344="","",  VLOOKUP($B344, Propostas!$B:$BE, 36, FALSE) )</f>
        <v/>
      </c>
      <c r="Z344" s="13" t="str">
        <f>IF($B344="","",  VLOOKUP($F344, VW_PROJETO!B:C, 2, FALSE) )</f>
        <v/>
      </c>
    </row>
    <row r="345" spans="2:26" x14ac:dyDescent="0.2">
      <c r="B345" s="2"/>
      <c r="C345" s="4" t="str">
        <f>IF($B345="","",  VLOOKUP($B345, Propostas!$B:$BE, 33, FALSE) )</f>
        <v/>
      </c>
      <c r="D345" s="4" t="str">
        <f>IF($B345="","",  VLOOKUP($B345, Propostas!$B:$BE, 34, FALSE) )</f>
        <v/>
      </c>
      <c r="E345" s="4" t="str">
        <f>IF($B345="","",  VLOOKUP($B345, Propostas!$B:$BE, 35, FALSE) )</f>
        <v/>
      </c>
      <c r="F345" s="4" t="str">
        <f>IF($B345="","",  VLOOKUP($B345, Propostas!$B:$BE, 2, FALSE) )</f>
        <v/>
      </c>
      <c r="G345" s="4" t="str">
        <f>IF($B345="","",  VLOOKUP($B345, Propostas!$B:$BE, 3, FALSE) )</f>
        <v/>
      </c>
      <c r="H345" s="4" t="str">
        <f>IF($B345="","",  VLOOKUP($B345, Propostas!$B:$BE, 4, FALSE) )</f>
        <v/>
      </c>
      <c r="I345" s="4" t="str">
        <f>IF($B345="","",  VLOOKUP($B345, Propostas!$B:$BE, 38, FALSE) )</f>
        <v/>
      </c>
      <c r="J345" s="13" t="str">
        <f>IF($B345="","",IF($C345="SIM", "&lt; INFRRAESTRUTURA &gt;", VLOOKUP($B345,Propostas!$B:$BE,41,FALSE)))</f>
        <v/>
      </c>
      <c r="K345" s="10" t="str">
        <f>IF($B345="","",  VLOOKUP($B345, Propostas!$B:$BE, 40, FALSE) )</f>
        <v/>
      </c>
      <c r="L345" s="10" t="str">
        <f>IF($B345="","",IF(VLOOKUP($B345,Propostas!$B:$BE,21,FALSE)=1,"B",IF(VLOOKUP($B345,Propostas!$B:$BE,21,FALSE)=2,"E","N")))</f>
        <v/>
      </c>
      <c r="M345" s="32" t="str">
        <f>IF($B345 = "", "",  VLOOKUP($B345, Propostas!$B:$BE, 46, FALSE) )</f>
        <v/>
      </c>
      <c r="N345" s="32" t="str">
        <f>IF($B345 = "", "",  VLOOKUP($B345, Propostas!$B:$BE, 47, FALSE) )</f>
        <v/>
      </c>
      <c r="O345" s="13" t="str">
        <f>IF($B345="","",IF($C345="SIM", "INFRAESTRUTURA", VLOOKUP($B345, Propostas!$B:$BE,42,FALSE)))</f>
        <v/>
      </c>
      <c r="P345" s="32" t="str">
        <f>IF($B345 = "", "",  VLOOKUP($B345, Propostas!$B:$BE, 49, FALSE) )</f>
        <v/>
      </c>
      <c r="Q345" s="13" t="str">
        <f>IF($B345="","",  VLOOKUP($B345, Propostas!$B:$BE, 39, FALSE) )</f>
        <v/>
      </c>
      <c r="R345" s="81" t="str">
        <f>IF($B345="","",  VLOOKUP($B345, Propostas!$B:$BE, 43, FALSE) )</f>
        <v/>
      </c>
      <c r="S345" s="81" t="str">
        <f>IF($B345="","",  VLOOKUP($B345, Propostas!$B:$BE, 44, FALSE) )</f>
        <v/>
      </c>
      <c r="T345" s="81" t="str">
        <f>IF($B345="","",  VLOOKUP($B345, Propostas!$B:$BE, 45, FALSE) )</f>
        <v/>
      </c>
      <c r="U345" s="32" t="str">
        <f>IF($B345="","",  VLOOKUP($B345, Propostas!$B:$BE, 37, FALSE) )</f>
        <v/>
      </c>
      <c r="V345" s="13" t="str">
        <f>IF($B345="","",  VLOOKUP($B345, Propostas!$B:$BE, 50, FALSE) )</f>
        <v/>
      </c>
      <c r="W345" s="13" t="str">
        <f>IF($B345="","",  VLOOKUP($B345, Propostas!$B:$BE, 51, FALSE) )</f>
        <v/>
      </c>
      <c r="X345" s="13" t="str">
        <f>IF($B345="","",  VLOOKUP($B345, Propostas!$B:$BE, 52, FALSE) )</f>
        <v/>
      </c>
      <c r="Y345" s="13" t="str">
        <f>IF($B345="","",  VLOOKUP($B345, Propostas!$B:$BE, 36, FALSE) )</f>
        <v/>
      </c>
      <c r="Z345" s="13" t="str">
        <f>IF($B345="","",  VLOOKUP($F345, VW_PROJETO!B:C, 2, FALSE) )</f>
        <v/>
      </c>
    </row>
    <row r="346" spans="2:26" x14ac:dyDescent="0.2">
      <c r="B346" s="2"/>
      <c r="C346" s="4" t="str">
        <f>IF($B346="","",  VLOOKUP($B346, Propostas!$B:$BE, 33, FALSE) )</f>
        <v/>
      </c>
      <c r="D346" s="4" t="str">
        <f>IF($B346="","",  VLOOKUP($B346, Propostas!$B:$BE, 34, FALSE) )</f>
        <v/>
      </c>
      <c r="E346" s="4" t="str">
        <f>IF($B346="","",  VLOOKUP($B346, Propostas!$B:$BE, 35, FALSE) )</f>
        <v/>
      </c>
      <c r="F346" s="4" t="str">
        <f>IF($B346="","",  VLOOKUP($B346, Propostas!$B:$BE, 2, FALSE) )</f>
        <v/>
      </c>
      <c r="G346" s="4" t="str">
        <f>IF($B346="","",  VLOOKUP($B346, Propostas!$B:$BE, 3, FALSE) )</f>
        <v/>
      </c>
      <c r="H346" s="4" t="str">
        <f>IF($B346="","",  VLOOKUP($B346, Propostas!$B:$BE, 4, FALSE) )</f>
        <v/>
      </c>
      <c r="I346" s="4" t="str">
        <f>IF($B346="","",  VLOOKUP($B346, Propostas!$B:$BE, 38, FALSE) )</f>
        <v/>
      </c>
      <c r="J346" s="13" t="str">
        <f>IF($B346="","",IF($C346="SIM", "&lt; INFRRAESTRUTURA &gt;", VLOOKUP($B346,Propostas!$B:$BE,41,FALSE)))</f>
        <v/>
      </c>
      <c r="K346" s="10" t="str">
        <f>IF($B346="","",  VLOOKUP($B346, Propostas!$B:$BE, 40, FALSE) )</f>
        <v/>
      </c>
      <c r="L346" s="10" t="str">
        <f>IF($B346="","",IF(VLOOKUP($B346,Propostas!$B:$BE,21,FALSE)=1,"B",IF(VLOOKUP($B346,Propostas!$B:$BE,21,FALSE)=2,"E","N")))</f>
        <v/>
      </c>
      <c r="M346" s="32" t="str">
        <f>IF($B346 = "", "",  VLOOKUP($B346, Propostas!$B:$BE, 46, FALSE) )</f>
        <v/>
      </c>
      <c r="N346" s="32" t="str">
        <f>IF($B346 = "", "",  VLOOKUP($B346, Propostas!$B:$BE, 47, FALSE) )</f>
        <v/>
      </c>
      <c r="O346" s="13" t="str">
        <f>IF($B346="","",IF($C346="SIM", "INFRAESTRUTURA", VLOOKUP($B346, Propostas!$B:$BE,42,FALSE)))</f>
        <v/>
      </c>
      <c r="P346" s="32" t="str">
        <f>IF($B346 = "", "",  VLOOKUP($B346, Propostas!$B:$BE, 49, FALSE) )</f>
        <v/>
      </c>
      <c r="Q346" s="13" t="str">
        <f>IF($B346="","",  VLOOKUP($B346, Propostas!$B:$BE, 39, FALSE) )</f>
        <v/>
      </c>
      <c r="R346" s="81" t="str">
        <f>IF($B346="","",  VLOOKUP($B346, Propostas!$B:$BE, 43, FALSE) )</f>
        <v/>
      </c>
      <c r="S346" s="81" t="str">
        <f>IF($B346="","",  VLOOKUP($B346, Propostas!$B:$BE, 44, FALSE) )</f>
        <v/>
      </c>
      <c r="T346" s="81" t="str">
        <f>IF($B346="","",  VLOOKUP($B346, Propostas!$B:$BE, 45, FALSE) )</f>
        <v/>
      </c>
      <c r="U346" s="32" t="str">
        <f>IF($B346="","",  VLOOKUP($B346, Propostas!$B:$BE, 37, FALSE) )</f>
        <v/>
      </c>
      <c r="V346" s="13" t="str">
        <f>IF($B346="","",  VLOOKUP($B346, Propostas!$B:$BE, 50, FALSE) )</f>
        <v/>
      </c>
      <c r="W346" s="13" t="str">
        <f>IF($B346="","",  VLOOKUP($B346, Propostas!$B:$BE, 51, FALSE) )</f>
        <v/>
      </c>
      <c r="X346" s="13" t="str">
        <f>IF($B346="","",  VLOOKUP($B346, Propostas!$B:$BE, 52, FALSE) )</f>
        <v/>
      </c>
      <c r="Y346" s="13" t="str">
        <f>IF($B346="","",  VLOOKUP($B346, Propostas!$B:$BE, 36, FALSE) )</f>
        <v/>
      </c>
      <c r="Z346" s="13" t="str">
        <f>IF($B346="","",  VLOOKUP($F346, VW_PROJETO!B:C, 2, FALSE) )</f>
        <v/>
      </c>
    </row>
    <row r="347" spans="2:26" x14ac:dyDescent="0.2">
      <c r="B347" s="2"/>
      <c r="C347" s="4" t="str">
        <f>IF($B347="","",  VLOOKUP($B347, Propostas!$B:$BE, 33, FALSE) )</f>
        <v/>
      </c>
      <c r="D347" s="4" t="str">
        <f>IF($B347="","",  VLOOKUP($B347, Propostas!$B:$BE, 34, FALSE) )</f>
        <v/>
      </c>
      <c r="E347" s="4" t="str">
        <f>IF($B347="","",  VLOOKUP($B347, Propostas!$B:$BE, 35, FALSE) )</f>
        <v/>
      </c>
      <c r="F347" s="4" t="str">
        <f>IF($B347="","",  VLOOKUP($B347, Propostas!$B:$BE, 2, FALSE) )</f>
        <v/>
      </c>
      <c r="G347" s="4" t="str">
        <f>IF($B347="","",  VLOOKUP($B347, Propostas!$B:$BE, 3, FALSE) )</f>
        <v/>
      </c>
      <c r="H347" s="4" t="str">
        <f>IF($B347="","",  VLOOKUP($B347, Propostas!$B:$BE, 4, FALSE) )</f>
        <v/>
      </c>
      <c r="I347" s="4" t="str">
        <f>IF($B347="","",  VLOOKUP($B347, Propostas!$B:$BE, 38, FALSE) )</f>
        <v/>
      </c>
      <c r="J347" s="13" t="str">
        <f>IF($B347="","",IF($C347="SIM", "&lt; INFRRAESTRUTURA &gt;", VLOOKUP($B347,Propostas!$B:$BE,41,FALSE)))</f>
        <v/>
      </c>
      <c r="K347" s="10" t="str">
        <f>IF($B347="","",  VLOOKUP($B347, Propostas!$B:$BE, 40, FALSE) )</f>
        <v/>
      </c>
      <c r="L347" s="10" t="str">
        <f>IF($B347="","",IF(VLOOKUP($B347,Propostas!$B:$BE,21,FALSE)=1,"B",IF(VLOOKUP($B347,Propostas!$B:$BE,21,FALSE)=2,"E","N")))</f>
        <v/>
      </c>
      <c r="M347" s="32" t="str">
        <f>IF($B347 = "", "",  VLOOKUP($B347, Propostas!$B:$BE, 46, FALSE) )</f>
        <v/>
      </c>
      <c r="N347" s="32" t="str">
        <f>IF($B347 = "", "",  VLOOKUP($B347, Propostas!$B:$BE, 47, FALSE) )</f>
        <v/>
      </c>
      <c r="O347" s="13" t="str">
        <f>IF($B347="","",IF($C347="SIM", "INFRAESTRUTURA", VLOOKUP($B347, Propostas!$B:$BE,42,FALSE)))</f>
        <v/>
      </c>
      <c r="P347" s="32" t="str">
        <f>IF($B347 = "", "",  VLOOKUP($B347, Propostas!$B:$BE, 49, FALSE) )</f>
        <v/>
      </c>
      <c r="Q347" s="13" t="str">
        <f>IF($B347="","",  VLOOKUP($B347, Propostas!$B:$BE, 39, FALSE) )</f>
        <v/>
      </c>
      <c r="R347" s="81" t="str">
        <f>IF($B347="","",  VLOOKUP($B347, Propostas!$B:$BE, 43, FALSE) )</f>
        <v/>
      </c>
      <c r="S347" s="81" t="str">
        <f>IF($B347="","",  VLOOKUP($B347, Propostas!$B:$BE, 44, FALSE) )</f>
        <v/>
      </c>
      <c r="T347" s="81" t="str">
        <f>IF($B347="","",  VLOOKUP($B347, Propostas!$B:$BE, 45, FALSE) )</f>
        <v/>
      </c>
      <c r="U347" s="32" t="str">
        <f>IF($B347="","",  VLOOKUP($B347, Propostas!$B:$BE, 37, FALSE) )</f>
        <v/>
      </c>
      <c r="V347" s="13" t="str">
        <f>IF($B347="","",  VLOOKUP($B347, Propostas!$B:$BE, 50, FALSE) )</f>
        <v/>
      </c>
      <c r="W347" s="13" t="str">
        <f>IF($B347="","",  VLOOKUP($B347, Propostas!$B:$BE, 51, FALSE) )</f>
        <v/>
      </c>
      <c r="X347" s="13" t="str">
        <f>IF($B347="","",  VLOOKUP($B347, Propostas!$B:$BE, 52, FALSE) )</f>
        <v/>
      </c>
      <c r="Y347" s="13" t="str">
        <f>IF($B347="","",  VLOOKUP($B347, Propostas!$B:$BE, 36, FALSE) )</f>
        <v/>
      </c>
      <c r="Z347" s="13" t="str">
        <f>IF($B347="","",  VLOOKUP($F347, VW_PROJETO!B:C, 2, FALSE) )</f>
        <v/>
      </c>
    </row>
    <row r="348" spans="2:26" x14ac:dyDescent="0.2">
      <c r="B348" s="2"/>
      <c r="C348" s="4" t="str">
        <f>IF($B348="","",  VLOOKUP($B348, Propostas!$B:$BE, 33, FALSE) )</f>
        <v/>
      </c>
      <c r="D348" s="4" t="str">
        <f>IF($B348="","",  VLOOKUP($B348, Propostas!$B:$BE, 34, FALSE) )</f>
        <v/>
      </c>
      <c r="E348" s="4" t="str">
        <f>IF($B348="","",  VLOOKUP($B348, Propostas!$B:$BE, 35, FALSE) )</f>
        <v/>
      </c>
      <c r="F348" s="4" t="str">
        <f>IF($B348="","",  VLOOKUP($B348, Propostas!$B:$BE, 2, FALSE) )</f>
        <v/>
      </c>
      <c r="G348" s="4" t="str">
        <f>IF($B348="","",  VLOOKUP($B348, Propostas!$B:$BE, 3, FALSE) )</f>
        <v/>
      </c>
      <c r="H348" s="4" t="str">
        <f>IF($B348="","",  VLOOKUP($B348, Propostas!$B:$BE, 4, FALSE) )</f>
        <v/>
      </c>
      <c r="I348" s="4" t="str">
        <f>IF($B348="","",  VLOOKUP($B348, Propostas!$B:$BE, 38, FALSE) )</f>
        <v/>
      </c>
      <c r="J348" s="13" t="str">
        <f>IF($B348="","",IF($C348="SIM", "&lt; INFRRAESTRUTURA &gt;", VLOOKUP($B348,Propostas!$B:$BE,41,FALSE)))</f>
        <v/>
      </c>
      <c r="K348" s="10" t="str">
        <f>IF($B348="","",  VLOOKUP($B348, Propostas!$B:$BE, 40, FALSE) )</f>
        <v/>
      </c>
      <c r="L348" s="10" t="str">
        <f>IF($B348="","",IF(VLOOKUP($B348,Propostas!$B:$BE,21,FALSE)=1,"B",IF(VLOOKUP($B348,Propostas!$B:$BE,21,FALSE)=2,"E","N")))</f>
        <v/>
      </c>
      <c r="M348" s="32" t="str">
        <f>IF($B348 = "", "",  VLOOKUP($B348, Propostas!$B:$BE, 46, FALSE) )</f>
        <v/>
      </c>
      <c r="N348" s="32" t="str">
        <f>IF($B348 = "", "",  VLOOKUP($B348, Propostas!$B:$BE, 47, FALSE) )</f>
        <v/>
      </c>
      <c r="O348" s="13" t="str">
        <f>IF($B348="","",IF($C348="SIM", "INFRAESTRUTURA", VLOOKUP($B348, Propostas!$B:$BE,42,FALSE)))</f>
        <v/>
      </c>
      <c r="P348" s="32" t="str">
        <f>IF($B348 = "", "",  VLOOKUP($B348, Propostas!$B:$BE, 49, FALSE) )</f>
        <v/>
      </c>
      <c r="Q348" s="13" t="str">
        <f>IF($B348="","",  VLOOKUP($B348, Propostas!$B:$BE, 39, FALSE) )</f>
        <v/>
      </c>
      <c r="R348" s="81" t="str">
        <f>IF($B348="","",  VLOOKUP($B348, Propostas!$B:$BE, 43, FALSE) )</f>
        <v/>
      </c>
      <c r="S348" s="81" t="str">
        <f>IF($B348="","",  VLOOKUP($B348, Propostas!$B:$BE, 44, FALSE) )</f>
        <v/>
      </c>
      <c r="T348" s="81" t="str">
        <f>IF($B348="","",  VLOOKUP($B348, Propostas!$B:$BE, 45, FALSE) )</f>
        <v/>
      </c>
      <c r="U348" s="32" t="str">
        <f>IF($B348="","",  VLOOKUP($B348, Propostas!$B:$BE, 37, FALSE) )</f>
        <v/>
      </c>
      <c r="V348" s="13" t="str">
        <f>IF($B348="","",  VLOOKUP($B348, Propostas!$B:$BE, 50, FALSE) )</f>
        <v/>
      </c>
      <c r="W348" s="13" t="str">
        <f>IF($B348="","",  VLOOKUP($B348, Propostas!$B:$BE, 51, FALSE) )</f>
        <v/>
      </c>
      <c r="X348" s="13" t="str">
        <f>IF($B348="","",  VLOOKUP($B348, Propostas!$B:$BE, 52, FALSE) )</f>
        <v/>
      </c>
      <c r="Y348" s="13" t="str">
        <f>IF($B348="","",  VLOOKUP($B348, Propostas!$B:$BE, 36, FALSE) )</f>
        <v/>
      </c>
      <c r="Z348" s="13" t="str">
        <f>IF($B348="","",  VLOOKUP($F348, VW_PROJETO!B:C, 2, FALSE) )</f>
        <v/>
      </c>
    </row>
    <row r="349" spans="2:26" x14ac:dyDescent="0.2">
      <c r="B349" s="2"/>
      <c r="C349" s="4" t="str">
        <f>IF($B349="","",  VLOOKUP($B349, Propostas!$B:$BE, 33, FALSE) )</f>
        <v/>
      </c>
      <c r="D349" s="4" t="str">
        <f>IF($B349="","",  VLOOKUP($B349, Propostas!$B:$BE, 34, FALSE) )</f>
        <v/>
      </c>
      <c r="E349" s="4" t="str">
        <f>IF($B349="","",  VLOOKUP($B349, Propostas!$B:$BE, 35, FALSE) )</f>
        <v/>
      </c>
      <c r="F349" s="4" t="str">
        <f>IF($B349="","",  VLOOKUP($B349, Propostas!$B:$BE, 2, FALSE) )</f>
        <v/>
      </c>
      <c r="G349" s="4" t="str">
        <f>IF($B349="","",  VLOOKUP($B349, Propostas!$B:$BE, 3, FALSE) )</f>
        <v/>
      </c>
      <c r="H349" s="4" t="str">
        <f>IF($B349="","",  VLOOKUP($B349, Propostas!$B:$BE, 4, FALSE) )</f>
        <v/>
      </c>
      <c r="I349" s="4" t="str">
        <f>IF($B349="","",  VLOOKUP($B349, Propostas!$B:$BE, 38, FALSE) )</f>
        <v/>
      </c>
      <c r="J349" s="13" t="str">
        <f>IF($B349="","",IF($C349="SIM", "&lt; INFRRAESTRUTURA &gt;", VLOOKUP($B349,Propostas!$B:$BE,41,FALSE)))</f>
        <v/>
      </c>
      <c r="K349" s="10" t="str">
        <f>IF($B349="","",  VLOOKUP($B349, Propostas!$B:$BE, 40, FALSE) )</f>
        <v/>
      </c>
      <c r="L349" s="10" t="str">
        <f>IF($B349="","",IF(VLOOKUP($B349,Propostas!$B:$BE,21,FALSE)=1,"B",IF(VLOOKUP($B349,Propostas!$B:$BE,21,FALSE)=2,"E","N")))</f>
        <v/>
      </c>
      <c r="M349" s="32" t="str">
        <f>IF($B349 = "", "",  VLOOKUP($B349, Propostas!$B:$BE, 46, FALSE) )</f>
        <v/>
      </c>
      <c r="N349" s="32" t="str">
        <f>IF($B349 = "", "",  VLOOKUP($B349, Propostas!$B:$BE, 47, FALSE) )</f>
        <v/>
      </c>
      <c r="O349" s="13" t="str">
        <f>IF($B349="","",IF($C349="SIM", "INFRAESTRUTURA", VLOOKUP($B349, Propostas!$B:$BE,42,FALSE)))</f>
        <v/>
      </c>
      <c r="P349" s="32" t="str">
        <f>IF($B349 = "", "",  VLOOKUP($B349, Propostas!$B:$BE, 49, FALSE) )</f>
        <v/>
      </c>
      <c r="Q349" s="13" t="str">
        <f>IF($B349="","",  VLOOKUP($B349, Propostas!$B:$BE, 39, FALSE) )</f>
        <v/>
      </c>
      <c r="R349" s="81" t="str">
        <f>IF($B349="","",  VLOOKUP($B349, Propostas!$B:$BE, 43, FALSE) )</f>
        <v/>
      </c>
      <c r="S349" s="81" t="str">
        <f>IF($B349="","",  VLOOKUP($B349, Propostas!$B:$BE, 44, FALSE) )</f>
        <v/>
      </c>
      <c r="T349" s="81" t="str">
        <f>IF($B349="","",  VLOOKUP($B349, Propostas!$B:$BE, 45, FALSE) )</f>
        <v/>
      </c>
      <c r="U349" s="32" t="str">
        <f>IF($B349="","",  VLOOKUP($B349, Propostas!$B:$BE, 37, FALSE) )</f>
        <v/>
      </c>
      <c r="V349" s="13" t="str">
        <f>IF($B349="","",  VLOOKUP($B349, Propostas!$B:$BE, 50, FALSE) )</f>
        <v/>
      </c>
      <c r="W349" s="13" t="str">
        <f>IF($B349="","",  VLOOKUP($B349, Propostas!$B:$BE, 51, FALSE) )</f>
        <v/>
      </c>
      <c r="X349" s="13" t="str">
        <f>IF($B349="","",  VLOOKUP($B349, Propostas!$B:$BE, 52, FALSE) )</f>
        <v/>
      </c>
      <c r="Y349" s="13" t="str">
        <f>IF($B349="","",  VLOOKUP($B349, Propostas!$B:$BE, 36, FALSE) )</f>
        <v/>
      </c>
      <c r="Z349" s="13" t="str">
        <f>IF($B349="","",  VLOOKUP($F349, VW_PROJETO!B:C, 2, FALSE) )</f>
        <v/>
      </c>
    </row>
    <row r="350" spans="2:26" x14ac:dyDescent="0.2">
      <c r="B350" s="2"/>
      <c r="C350" s="4" t="str">
        <f>IF($B350="","",  VLOOKUP($B350, Propostas!$B:$BE, 33, FALSE) )</f>
        <v/>
      </c>
      <c r="D350" s="4" t="str">
        <f>IF($B350="","",  VLOOKUP($B350, Propostas!$B:$BE, 34, FALSE) )</f>
        <v/>
      </c>
      <c r="E350" s="4" t="str">
        <f>IF($B350="","",  VLOOKUP($B350, Propostas!$B:$BE, 35, FALSE) )</f>
        <v/>
      </c>
      <c r="F350" s="4" t="str">
        <f>IF($B350="","",  VLOOKUP($B350, Propostas!$B:$BE, 2, FALSE) )</f>
        <v/>
      </c>
      <c r="G350" s="4" t="str">
        <f>IF($B350="","",  VLOOKUP($B350, Propostas!$B:$BE, 3, FALSE) )</f>
        <v/>
      </c>
      <c r="H350" s="4" t="str">
        <f>IF($B350="","",  VLOOKUP($B350, Propostas!$B:$BE, 4, FALSE) )</f>
        <v/>
      </c>
      <c r="I350" s="4" t="str">
        <f>IF($B350="","",  VLOOKUP($B350, Propostas!$B:$BE, 38, FALSE) )</f>
        <v/>
      </c>
      <c r="J350" s="13" t="str">
        <f>IF($B350="","",IF($C350="SIM", "&lt; INFRRAESTRUTURA &gt;", VLOOKUP($B350,Propostas!$B:$BE,41,FALSE)))</f>
        <v/>
      </c>
      <c r="K350" s="10" t="str">
        <f>IF($B350="","",  VLOOKUP($B350, Propostas!$B:$BE, 40, FALSE) )</f>
        <v/>
      </c>
      <c r="L350" s="10" t="str">
        <f>IF($B350="","",IF(VLOOKUP($B350,Propostas!$B:$BE,21,FALSE)=1,"B",IF(VLOOKUP($B350,Propostas!$B:$BE,21,FALSE)=2,"E","N")))</f>
        <v/>
      </c>
      <c r="M350" s="32" t="str">
        <f>IF($B350 = "", "",  VLOOKUP($B350, Propostas!$B:$BE, 46, FALSE) )</f>
        <v/>
      </c>
      <c r="N350" s="32" t="str">
        <f>IF($B350 = "", "",  VLOOKUP($B350, Propostas!$B:$BE, 47, FALSE) )</f>
        <v/>
      </c>
      <c r="O350" s="13" t="str">
        <f>IF($B350="","",IF($C350="SIM", "INFRAESTRUTURA", VLOOKUP($B350, Propostas!$B:$BE,42,FALSE)))</f>
        <v/>
      </c>
      <c r="P350" s="32" t="str">
        <f>IF($B350 = "", "",  VLOOKUP($B350, Propostas!$B:$BE, 49, FALSE) )</f>
        <v/>
      </c>
      <c r="Q350" s="13" t="str">
        <f>IF($B350="","",  VLOOKUP($B350, Propostas!$B:$BE, 39, FALSE) )</f>
        <v/>
      </c>
      <c r="R350" s="81" t="str">
        <f>IF($B350="","",  VLOOKUP($B350, Propostas!$B:$BE, 43, FALSE) )</f>
        <v/>
      </c>
      <c r="S350" s="81" t="str">
        <f>IF($B350="","",  VLOOKUP($B350, Propostas!$B:$BE, 44, FALSE) )</f>
        <v/>
      </c>
      <c r="T350" s="81" t="str">
        <f>IF($B350="","",  VLOOKUP($B350, Propostas!$B:$BE, 45, FALSE) )</f>
        <v/>
      </c>
      <c r="U350" s="32" t="str">
        <f>IF($B350="","",  VLOOKUP($B350, Propostas!$B:$BE, 37, FALSE) )</f>
        <v/>
      </c>
      <c r="V350" s="13" t="str">
        <f>IF($B350="","",  VLOOKUP($B350, Propostas!$B:$BE, 50, FALSE) )</f>
        <v/>
      </c>
      <c r="W350" s="13" t="str">
        <f>IF($B350="","",  VLOOKUP($B350, Propostas!$B:$BE, 51, FALSE) )</f>
        <v/>
      </c>
      <c r="X350" s="13" t="str">
        <f>IF($B350="","",  VLOOKUP($B350, Propostas!$B:$BE, 52, FALSE) )</f>
        <v/>
      </c>
      <c r="Y350" s="13" t="str">
        <f>IF($B350="","",  VLOOKUP($B350, Propostas!$B:$BE, 36, FALSE) )</f>
        <v/>
      </c>
      <c r="Z350" s="13" t="str">
        <f>IF($B350="","",  VLOOKUP($F350, VW_PROJETO!B:C, 2, FALSE) )</f>
        <v/>
      </c>
    </row>
    <row r="351" spans="2:26" x14ac:dyDescent="0.2">
      <c r="B351" s="2"/>
      <c r="C351" s="4" t="str">
        <f>IF($B351="","",  VLOOKUP($B351, Propostas!$B:$BE, 33, FALSE) )</f>
        <v/>
      </c>
      <c r="D351" s="4" t="str">
        <f>IF($B351="","",  VLOOKUP($B351, Propostas!$B:$BE, 34, FALSE) )</f>
        <v/>
      </c>
      <c r="E351" s="4" t="str">
        <f>IF($B351="","",  VLOOKUP($B351, Propostas!$B:$BE, 35, FALSE) )</f>
        <v/>
      </c>
      <c r="F351" s="4" t="str">
        <f>IF($B351="","",  VLOOKUP($B351, Propostas!$B:$BE, 2, FALSE) )</f>
        <v/>
      </c>
      <c r="G351" s="4" t="str">
        <f>IF($B351="","",  VLOOKUP($B351, Propostas!$B:$BE, 3, FALSE) )</f>
        <v/>
      </c>
      <c r="H351" s="4" t="str">
        <f>IF($B351="","",  VLOOKUP($B351, Propostas!$B:$BE, 4, FALSE) )</f>
        <v/>
      </c>
      <c r="I351" s="4" t="str">
        <f>IF($B351="","",  VLOOKUP($B351, Propostas!$B:$BE, 38, FALSE) )</f>
        <v/>
      </c>
      <c r="J351" s="13" t="str">
        <f>IF($B351="","",IF($C351="SIM", "&lt; INFRRAESTRUTURA &gt;", VLOOKUP($B351,Propostas!$B:$BE,41,FALSE)))</f>
        <v/>
      </c>
      <c r="K351" s="10" t="str">
        <f>IF($B351="","",  VLOOKUP($B351, Propostas!$B:$BE, 40, FALSE) )</f>
        <v/>
      </c>
      <c r="L351" s="10" t="str">
        <f>IF($B351="","",IF(VLOOKUP($B351,Propostas!$B:$BE,21,FALSE)=1,"B",IF(VLOOKUP($B351,Propostas!$B:$BE,21,FALSE)=2,"E","N")))</f>
        <v/>
      </c>
      <c r="M351" s="32" t="str">
        <f>IF($B351 = "", "",  VLOOKUP($B351, Propostas!$B:$BE, 46, FALSE) )</f>
        <v/>
      </c>
      <c r="N351" s="32" t="str">
        <f>IF($B351 = "", "",  VLOOKUP($B351, Propostas!$B:$BE, 47, FALSE) )</f>
        <v/>
      </c>
      <c r="O351" s="13" t="str">
        <f>IF($B351="","",IF($C351="SIM", "INFRAESTRUTURA", VLOOKUP($B351, Propostas!$B:$BE,42,FALSE)))</f>
        <v/>
      </c>
      <c r="P351" s="32" t="str">
        <f>IF($B351 = "", "",  VLOOKUP($B351, Propostas!$B:$BE, 49, FALSE) )</f>
        <v/>
      </c>
      <c r="Q351" s="13" t="str">
        <f>IF($B351="","",  VLOOKUP($B351, Propostas!$B:$BE, 39, FALSE) )</f>
        <v/>
      </c>
      <c r="R351" s="81" t="str">
        <f>IF($B351="","",  VLOOKUP($B351, Propostas!$B:$BE, 43, FALSE) )</f>
        <v/>
      </c>
      <c r="S351" s="81" t="str">
        <f>IF($B351="","",  VLOOKUP($B351, Propostas!$B:$BE, 44, FALSE) )</f>
        <v/>
      </c>
      <c r="T351" s="81" t="str">
        <f>IF($B351="","",  VLOOKUP($B351, Propostas!$B:$BE, 45, FALSE) )</f>
        <v/>
      </c>
      <c r="U351" s="32" t="str">
        <f>IF($B351="","",  VLOOKUP($B351, Propostas!$B:$BE, 37, FALSE) )</f>
        <v/>
      </c>
      <c r="V351" s="13" t="str">
        <f>IF($B351="","",  VLOOKUP($B351, Propostas!$B:$BE, 50, FALSE) )</f>
        <v/>
      </c>
      <c r="W351" s="13" t="str">
        <f>IF($B351="","",  VLOOKUP($B351, Propostas!$B:$BE, 51, FALSE) )</f>
        <v/>
      </c>
      <c r="X351" s="13" t="str">
        <f>IF($B351="","",  VLOOKUP($B351, Propostas!$B:$BE, 52, FALSE) )</f>
        <v/>
      </c>
      <c r="Y351" s="13" t="str">
        <f>IF($B351="","",  VLOOKUP($B351, Propostas!$B:$BE, 36, FALSE) )</f>
        <v/>
      </c>
      <c r="Z351" s="13" t="str">
        <f>IF($B351="","",  VLOOKUP($F351, VW_PROJETO!B:C, 2, FALSE) )</f>
        <v/>
      </c>
    </row>
    <row r="352" spans="2:26" x14ac:dyDescent="0.2">
      <c r="B352" s="2"/>
      <c r="C352" s="4" t="str">
        <f>IF($B352="","",  VLOOKUP($B352, Propostas!$B:$BE, 33, FALSE) )</f>
        <v/>
      </c>
      <c r="D352" s="4" t="str">
        <f>IF($B352="","",  VLOOKUP($B352, Propostas!$B:$BE, 34, FALSE) )</f>
        <v/>
      </c>
      <c r="E352" s="4" t="str">
        <f>IF($B352="","",  VLOOKUP($B352, Propostas!$B:$BE, 35, FALSE) )</f>
        <v/>
      </c>
      <c r="F352" s="4" t="str">
        <f>IF($B352="","",  VLOOKUP($B352, Propostas!$B:$BE, 2, FALSE) )</f>
        <v/>
      </c>
      <c r="G352" s="4" t="str">
        <f>IF($B352="","",  VLOOKUP($B352, Propostas!$B:$BE, 3, FALSE) )</f>
        <v/>
      </c>
      <c r="H352" s="4" t="str">
        <f>IF($B352="","",  VLOOKUP($B352, Propostas!$B:$BE, 4, FALSE) )</f>
        <v/>
      </c>
      <c r="I352" s="4" t="str">
        <f>IF($B352="","",  VLOOKUP($B352, Propostas!$B:$BE, 38, FALSE) )</f>
        <v/>
      </c>
      <c r="J352" s="13" t="str">
        <f>IF($B352="","",IF($C352="SIM", "&lt; INFRRAESTRUTURA &gt;", VLOOKUP($B352,Propostas!$B:$BE,41,FALSE)))</f>
        <v/>
      </c>
      <c r="K352" s="10" t="str">
        <f>IF($B352="","",  VLOOKUP($B352, Propostas!$B:$BE, 40, FALSE) )</f>
        <v/>
      </c>
      <c r="L352" s="10" t="str">
        <f>IF($B352="","",IF(VLOOKUP($B352,Propostas!$B:$BE,21,FALSE)=1,"B",IF(VLOOKUP($B352,Propostas!$B:$BE,21,FALSE)=2,"E","N")))</f>
        <v/>
      </c>
      <c r="M352" s="32" t="str">
        <f>IF($B352 = "", "",  VLOOKUP($B352, Propostas!$B:$BE, 46, FALSE) )</f>
        <v/>
      </c>
      <c r="N352" s="32" t="str">
        <f>IF($B352 = "", "",  VLOOKUP($B352, Propostas!$B:$BE, 47, FALSE) )</f>
        <v/>
      </c>
      <c r="O352" s="13" t="str">
        <f>IF($B352="","",IF($C352="SIM", "INFRAESTRUTURA", VLOOKUP($B352, Propostas!$B:$BE,42,FALSE)))</f>
        <v/>
      </c>
      <c r="P352" s="32" t="str">
        <f>IF($B352 = "", "",  VLOOKUP($B352, Propostas!$B:$BE, 49, FALSE) )</f>
        <v/>
      </c>
      <c r="Q352" s="13" t="str">
        <f>IF($B352="","",  VLOOKUP($B352, Propostas!$B:$BE, 39, FALSE) )</f>
        <v/>
      </c>
      <c r="R352" s="81" t="str">
        <f>IF($B352="","",  VLOOKUP($B352, Propostas!$B:$BE, 43, FALSE) )</f>
        <v/>
      </c>
      <c r="S352" s="81" t="str">
        <f>IF($B352="","",  VLOOKUP($B352, Propostas!$B:$BE, 44, FALSE) )</f>
        <v/>
      </c>
      <c r="T352" s="81" t="str">
        <f>IF($B352="","",  VLOOKUP($B352, Propostas!$B:$BE, 45, FALSE) )</f>
        <v/>
      </c>
      <c r="U352" s="32" t="str">
        <f>IF($B352="","",  VLOOKUP($B352, Propostas!$B:$BE, 37, FALSE) )</f>
        <v/>
      </c>
      <c r="V352" s="13" t="str">
        <f>IF($B352="","",  VLOOKUP($B352, Propostas!$B:$BE, 50, FALSE) )</f>
        <v/>
      </c>
      <c r="W352" s="13" t="str">
        <f>IF($B352="","",  VLOOKUP($B352, Propostas!$B:$BE, 51, FALSE) )</f>
        <v/>
      </c>
      <c r="X352" s="13" t="str">
        <f>IF($B352="","",  VLOOKUP($B352, Propostas!$B:$BE, 52, FALSE) )</f>
        <v/>
      </c>
      <c r="Y352" s="13" t="str">
        <f>IF($B352="","",  VLOOKUP($B352, Propostas!$B:$BE, 36, FALSE) )</f>
        <v/>
      </c>
      <c r="Z352" s="13" t="str">
        <f>IF($B352="","",  VLOOKUP($F352, VW_PROJETO!B:C, 2, FALSE) )</f>
        <v/>
      </c>
    </row>
    <row r="353" spans="2:26" x14ac:dyDescent="0.2">
      <c r="B353" s="2"/>
      <c r="C353" s="4" t="str">
        <f>IF($B353="","",  VLOOKUP($B353, Propostas!$B:$BE, 33, FALSE) )</f>
        <v/>
      </c>
      <c r="D353" s="4" t="str">
        <f>IF($B353="","",  VLOOKUP($B353, Propostas!$B:$BE, 34, FALSE) )</f>
        <v/>
      </c>
      <c r="E353" s="4" t="str">
        <f>IF($B353="","",  VLOOKUP($B353, Propostas!$B:$BE, 35, FALSE) )</f>
        <v/>
      </c>
      <c r="F353" s="4" t="str">
        <f>IF($B353="","",  VLOOKUP($B353, Propostas!$B:$BE, 2, FALSE) )</f>
        <v/>
      </c>
      <c r="G353" s="4" t="str">
        <f>IF($B353="","",  VLOOKUP($B353, Propostas!$B:$BE, 3, FALSE) )</f>
        <v/>
      </c>
      <c r="H353" s="4" t="str">
        <f>IF($B353="","",  VLOOKUP($B353, Propostas!$B:$BE, 4, FALSE) )</f>
        <v/>
      </c>
      <c r="I353" s="4" t="str">
        <f>IF($B353="","",  VLOOKUP($B353, Propostas!$B:$BE, 38, FALSE) )</f>
        <v/>
      </c>
      <c r="J353" s="13" t="str">
        <f>IF($B353="","",IF($C353="SIM", "&lt; INFRRAESTRUTURA &gt;", VLOOKUP($B353,Propostas!$B:$BE,41,FALSE)))</f>
        <v/>
      </c>
      <c r="K353" s="10" t="str">
        <f>IF($B353="","",  VLOOKUP($B353, Propostas!$B:$BE, 40, FALSE) )</f>
        <v/>
      </c>
      <c r="L353" s="10" t="str">
        <f>IF($B353="","",IF(VLOOKUP($B353,Propostas!$B:$BE,21,FALSE)=1,"B",IF(VLOOKUP($B353,Propostas!$B:$BE,21,FALSE)=2,"E","N")))</f>
        <v/>
      </c>
      <c r="M353" s="32" t="str">
        <f>IF($B353 = "", "",  VLOOKUP($B353, Propostas!$B:$BE, 46, FALSE) )</f>
        <v/>
      </c>
      <c r="N353" s="32" t="str">
        <f>IF($B353 = "", "",  VLOOKUP($B353, Propostas!$B:$BE, 47, FALSE) )</f>
        <v/>
      </c>
      <c r="O353" s="13" t="str">
        <f>IF($B353="","",IF($C353="SIM", "INFRAESTRUTURA", VLOOKUP($B353, Propostas!$B:$BE,42,FALSE)))</f>
        <v/>
      </c>
      <c r="P353" s="32" t="str">
        <f>IF($B353 = "", "",  VLOOKUP($B353, Propostas!$B:$BE, 49, FALSE) )</f>
        <v/>
      </c>
      <c r="Q353" s="13" t="str">
        <f>IF($B353="","",  VLOOKUP($B353, Propostas!$B:$BE, 39, FALSE) )</f>
        <v/>
      </c>
      <c r="R353" s="81" t="str">
        <f>IF($B353="","",  VLOOKUP($B353, Propostas!$B:$BE, 43, FALSE) )</f>
        <v/>
      </c>
      <c r="S353" s="81" t="str">
        <f>IF($B353="","",  VLOOKUP($B353, Propostas!$B:$BE, 44, FALSE) )</f>
        <v/>
      </c>
      <c r="T353" s="81" t="str">
        <f>IF($B353="","",  VLOOKUP($B353, Propostas!$B:$BE, 45, FALSE) )</f>
        <v/>
      </c>
      <c r="U353" s="32" t="str">
        <f>IF($B353="","",  VLOOKUP($B353, Propostas!$B:$BE, 37, FALSE) )</f>
        <v/>
      </c>
      <c r="V353" s="13" t="str">
        <f>IF($B353="","",  VLOOKUP($B353, Propostas!$B:$BE, 50, FALSE) )</f>
        <v/>
      </c>
      <c r="W353" s="13" t="str">
        <f>IF($B353="","",  VLOOKUP($B353, Propostas!$B:$BE, 51, FALSE) )</f>
        <v/>
      </c>
      <c r="X353" s="13" t="str">
        <f>IF($B353="","",  VLOOKUP($B353, Propostas!$B:$BE, 52, FALSE) )</f>
        <v/>
      </c>
      <c r="Y353" s="13" t="str">
        <f>IF($B353="","",  VLOOKUP($B353, Propostas!$B:$BE, 36, FALSE) )</f>
        <v/>
      </c>
      <c r="Z353" s="13" t="str">
        <f>IF($B353="","",  VLOOKUP($F353, VW_PROJETO!B:C, 2, FALSE) )</f>
        <v/>
      </c>
    </row>
    <row r="354" spans="2:26" x14ac:dyDescent="0.2">
      <c r="B354" s="2"/>
      <c r="C354" s="4" t="str">
        <f>IF($B354="","",  VLOOKUP($B354, Propostas!$B:$BE, 33, FALSE) )</f>
        <v/>
      </c>
      <c r="D354" s="4" t="str">
        <f>IF($B354="","",  VLOOKUP($B354, Propostas!$B:$BE, 34, FALSE) )</f>
        <v/>
      </c>
      <c r="E354" s="4" t="str">
        <f>IF($B354="","",  VLOOKUP($B354, Propostas!$B:$BE, 35, FALSE) )</f>
        <v/>
      </c>
      <c r="F354" s="4" t="str">
        <f>IF($B354="","",  VLOOKUP($B354, Propostas!$B:$BE, 2, FALSE) )</f>
        <v/>
      </c>
      <c r="G354" s="4" t="str">
        <f>IF($B354="","",  VLOOKUP($B354, Propostas!$B:$BE, 3, FALSE) )</f>
        <v/>
      </c>
      <c r="H354" s="4" t="str">
        <f>IF($B354="","",  VLOOKUP($B354, Propostas!$B:$BE, 4, FALSE) )</f>
        <v/>
      </c>
      <c r="I354" s="4" t="str">
        <f>IF($B354="","",  VLOOKUP($B354, Propostas!$B:$BE, 38, FALSE) )</f>
        <v/>
      </c>
      <c r="J354" s="13" t="str">
        <f>IF($B354="","",IF($C354="SIM", "&lt; INFRRAESTRUTURA &gt;", VLOOKUP($B354,Propostas!$B:$BE,41,FALSE)))</f>
        <v/>
      </c>
      <c r="K354" s="10" t="str">
        <f>IF($B354="","",  VLOOKUP($B354, Propostas!$B:$BE, 40, FALSE) )</f>
        <v/>
      </c>
      <c r="L354" s="10" t="str">
        <f>IF($B354="","",IF(VLOOKUP($B354,Propostas!$B:$BE,21,FALSE)=1,"B",IF(VLOOKUP($B354,Propostas!$B:$BE,21,FALSE)=2,"E","N")))</f>
        <v/>
      </c>
      <c r="M354" s="32" t="str">
        <f>IF($B354 = "", "",  VLOOKUP($B354, Propostas!$B:$BE, 46, FALSE) )</f>
        <v/>
      </c>
      <c r="N354" s="32" t="str">
        <f>IF($B354 = "", "",  VLOOKUP($B354, Propostas!$B:$BE, 47, FALSE) )</f>
        <v/>
      </c>
      <c r="O354" s="13" t="str">
        <f>IF($B354="","",IF($C354="SIM", "INFRAESTRUTURA", VLOOKUP($B354, Propostas!$B:$BE,42,FALSE)))</f>
        <v/>
      </c>
      <c r="P354" s="32" t="str">
        <f>IF($B354 = "", "",  VLOOKUP($B354, Propostas!$B:$BE, 49, FALSE) )</f>
        <v/>
      </c>
      <c r="Q354" s="13" t="str">
        <f>IF($B354="","",  VLOOKUP($B354, Propostas!$B:$BE, 39, FALSE) )</f>
        <v/>
      </c>
      <c r="R354" s="81" t="str">
        <f>IF($B354="","",  VLOOKUP($B354, Propostas!$B:$BE, 43, FALSE) )</f>
        <v/>
      </c>
      <c r="S354" s="81" t="str">
        <f>IF($B354="","",  VLOOKUP($B354, Propostas!$B:$BE, 44, FALSE) )</f>
        <v/>
      </c>
      <c r="T354" s="81" t="str">
        <f>IF($B354="","",  VLOOKUP($B354, Propostas!$B:$BE, 45, FALSE) )</f>
        <v/>
      </c>
      <c r="U354" s="32" t="str">
        <f>IF($B354="","",  VLOOKUP($B354, Propostas!$B:$BE, 37, FALSE) )</f>
        <v/>
      </c>
      <c r="V354" s="13" t="str">
        <f>IF($B354="","",  VLOOKUP($B354, Propostas!$B:$BE, 50, FALSE) )</f>
        <v/>
      </c>
      <c r="W354" s="13" t="str">
        <f>IF($B354="","",  VLOOKUP($B354, Propostas!$B:$BE, 51, FALSE) )</f>
        <v/>
      </c>
      <c r="X354" s="13" t="str">
        <f>IF($B354="","",  VLOOKUP($B354, Propostas!$B:$BE, 52, FALSE) )</f>
        <v/>
      </c>
      <c r="Y354" s="13" t="str">
        <f>IF($B354="","",  VLOOKUP($B354, Propostas!$B:$BE, 36, FALSE) )</f>
        <v/>
      </c>
      <c r="Z354" s="13" t="str">
        <f>IF($B354="","",  VLOOKUP($F354, VW_PROJETO!B:C, 2, FALSE) )</f>
        <v/>
      </c>
    </row>
    <row r="355" spans="2:26" x14ac:dyDescent="0.2">
      <c r="B355" s="2"/>
      <c r="C355" s="4" t="str">
        <f>IF($B355="","",  VLOOKUP($B355, Propostas!$B:$BE, 33, FALSE) )</f>
        <v/>
      </c>
      <c r="D355" s="4" t="str">
        <f>IF($B355="","",  VLOOKUP($B355, Propostas!$B:$BE, 34, FALSE) )</f>
        <v/>
      </c>
      <c r="E355" s="4" t="str">
        <f>IF($B355="","",  VLOOKUP($B355, Propostas!$B:$BE, 35, FALSE) )</f>
        <v/>
      </c>
      <c r="F355" s="4" t="str">
        <f>IF($B355="","",  VLOOKUP($B355, Propostas!$B:$BE, 2, FALSE) )</f>
        <v/>
      </c>
      <c r="G355" s="4" t="str">
        <f>IF($B355="","",  VLOOKUP($B355, Propostas!$B:$BE, 3, FALSE) )</f>
        <v/>
      </c>
      <c r="H355" s="4" t="str">
        <f>IF($B355="","",  VLOOKUP($B355, Propostas!$B:$BE, 4, FALSE) )</f>
        <v/>
      </c>
      <c r="I355" s="4" t="str">
        <f>IF($B355="","",  VLOOKUP($B355, Propostas!$B:$BE, 38, FALSE) )</f>
        <v/>
      </c>
      <c r="J355" s="13" t="str">
        <f>IF($B355="","",IF($C355="SIM", "&lt; INFRRAESTRUTURA &gt;", VLOOKUP($B355,Propostas!$B:$BE,41,FALSE)))</f>
        <v/>
      </c>
      <c r="K355" s="10" t="str">
        <f>IF($B355="","",  VLOOKUP($B355, Propostas!$B:$BE, 40, FALSE) )</f>
        <v/>
      </c>
      <c r="L355" s="10" t="str">
        <f>IF($B355="","",IF(VLOOKUP($B355,Propostas!$B:$BE,21,FALSE)=1,"B",IF(VLOOKUP($B355,Propostas!$B:$BE,21,FALSE)=2,"E","N")))</f>
        <v/>
      </c>
      <c r="M355" s="32" t="str">
        <f>IF($B355 = "", "",  VLOOKUP($B355, Propostas!$B:$BE, 46, FALSE) )</f>
        <v/>
      </c>
      <c r="N355" s="32" t="str">
        <f>IF($B355 = "", "",  VLOOKUP($B355, Propostas!$B:$BE, 47, FALSE) )</f>
        <v/>
      </c>
      <c r="O355" s="13" t="str">
        <f>IF($B355="","",IF($C355="SIM", "INFRAESTRUTURA", VLOOKUP($B355, Propostas!$B:$BE,42,FALSE)))</f>
        <v/>
      </c>
      <c r="P355" s="32" t="str">
        <f>IF($B355 = "", "",  VLOOKUP($B355, Propostas!$B:$BE, 49, FALSE) )</f>
        <v/>
      </c>
      <c r="Q355" s="13" t="str">
        <f>IF($B355="","",  VLOOKUP($B355, Propostas!$B:$BE, 39, FALSE) )</f>
        <v/>
      </c>
      <c r="R355" s="81" t="str">
        <f>IF($B355="","",  VLOOKUP($B355, Propostas!$B:$BE, 43, FALSE) )</f>
        <v/>
      </c>
      <c r="S355" s="81" t="str">
        <f>IF($B355="","",  VLOOKUP($B355, Propostas!$B:$BE, 44, FALSE) )</f>
        <v/>
      </c>
      <c r="T355" s="81" t="str">
        <f>IF($B355="","",  VLOOKUP($B355, Propostas!$B:$BE, 45, FALSE) )</f>
        <v/>
      </c>
      <c r="U355" s="32" t="str">
        <f>IF($B355="","",  VLOOKUP($B355, Propostas!$B:$BE, 37, FALSE) )</f>
        <v/>
      </c>
      <c r="V355" s="13" t="str">
        <f>IF($B355="","",  VLOOKUP($B355, Propostas!$B:$BE, 50, FALSE) )</f>
        <v/>
      </c>
      <c r="W355" s="13" t="str">
        <f>IF($B355="","",  VLOOKUP($B355, Propostas!$B:$BE, 51, FALSE) )</f>
        <v/>
      </c>
      <c r="X355" s="13" t="str">
        <f>IF($B355="","",  VLOOKUP($B355, Propostas!$B:$BE, 52, FALSE) )</f>
        <v/>
      </c>
      <c r="Y355" s="13" t="str">
        <f>IF($B355="","",  VLOOKUP($B355, Propostas!$B:$BE, 36, FALSE) )</f>
        <v/>
      </c>
      <c r="Z355" s="13" t="str">
        <f>IF($B355="","",  VLOOKUP($F355, VW_PROJETO!B:C, 2, FALSE) )</f>
        <v/>
      </c>
    </row>
    <row r="356" spans="2:26" x14ac:dyDescent="0.2">
      <c r="B356" s="2"/>
      <c r="C356" s="4" t="str">
        <f>IF($B356="","",  VLOOKUP($B356, Propostas!$B:$BE, 33, FALSE) )</f>
        <v/>
      </c>
      <c r="D356" s="4" t="str">
        <f>IF($B356="","",  VLOOKUP($B356, Propostas!$B:$BE, 34, FALSE) )</f>
        <v/>
      </c>
      <c r="E356" s="4" t="str">
        <f>IF($B356="","",  VLOOKUP($B356, Propostas!$B:$BE, 35, FALSE) )</f>
        <v/>
      </c>
      <c r="F356" s="4" t="str">
        <f>IF($B356="","",  VLOOKUP($B356, Propostas!$B:$BE, 2, FALSE) )</f>
        <v/>
      </c>
      <c r="G356" s="4" t="str">
        <f>IF($B356="","",  VLOOKUP($B356, Propostas!$B:$BE, 3, FALSE) )</f>
        <v/>
      </c>
      <c r="H356" s="4" t="str">
        <f>IF($B356="","",  VLOOKUP($B356, Propostas!$B:$BE, 4, FALSE) )</f>
        <v/>
      </c>
      <c r="I356" s="4" t="str">
        <f>IF($B356="","",  VLOOKUP($B356, Propostas!$B:$BE, 38, FALSE) )</f>
        <v/>
      </c>
      <c r="J356" s="13" t="str">
        <f>IF($B356="","",IF($C356="SIM", "&lt; INFRRAESTRUTURA &gt;", VLOOKUP($B356,Propostas!$B:$BE,41,FALSE)))</f>
        <v/>
      </c>
      <c r="K356" s="10" t="str">
        <f>IF($B356="","",  VLOOKUP($B356, Propostas!$B:$BE, 40, FALSE) )</f>
        <v/>
      </c>
      <c r="L356" s="10" t="str">
        <f>IF($B356="","",IF(VLOOKUP($B356,Propostas!$B:$BE,21,FALSE)=1,"B",IF(VLOOKUP($B356,Propostas!$B:$BE,21,FALSE)=2,"E","N")))</f>
        <v/>
      </c>
      <c r="M356" s="32" t="str">
        <f>IF($B356 = "", "",  VLOOKUP($B356, Propostas!$B:$BE, 46, FALSE) )</f>
        <v/>
      </c>
      <c r="N356" s="32" t="str">
        <f>IF($B356 = "", "",  VLOOKUP($B356, Propostas!$B:$BE, 47, FALSE) )</f>
        <v/>
      </c>
      <c r="O356" s="13" t="str">
        <f>IF($B356="","",IF($C356="SIM", "INFRAESTRUTURA", VLOOKUP($B356, Propostas!$B:$BE,42,FALSE)))</f>
        <v/>
      </c>
      <c r="P356" s="32" t="str">
        <f>IF($B356 = "", "",  VLOOKUP($B356, Propostas!$B:$BE, 49, FALSE) )</f>
        <v/>
      </c>
      <c r="Q356" s="13" t="str">
        <f>IF($B356="","",  VLOOKUP($B356, Propostas!$B:$BE, 39, FALSE) )</f>
        <v/>
      </c>
      <c r="R356" s="81" t="str">
        <f>IF($B356="","",  VLOOKUP($B356, Propostas!$B:$BE, 43, FALSE) )</f>
        <v/>
      </c>
      <c r="S356" s="81" t="str">
        <f>IF($B356="","",  VLOOKUP($B356, Propostas!$B:$BE, 44, FALSE) )</f>
        <v/>
      </c>
      <c r="T356" s="81" t="str">
        <f>IF($B356="","",  VLOOKUP($B356, Propostas!$B:$BE, 45, FALSE) )</f>
        <v/>
      </c>
      <c r="U356" s="32" t="str">
        <f>IF($B356="","",  VLOOKUP($B356, Propostas!$B:$BE, 37, FALSE) )</f>
        <v/>
      </c>
      <c r="V356" s="13" t="str">
        <f>IF($B356="","",  VLOOKUP($B356, Propostas!$B:$BE, 50, FALSE) )</f>
        <v/>
      </c>
      <c r="W356" s="13" t="str">
        <f>IF($B356="","",  VLOOKUP($B356, Propostas!$B:$BE, 51, FALSE) )</f>
        <v/>
      </c>
      <c r="X356" s="13" t="str">
        <f>IF($B356="","",  VLOOKUP($B356, Propostas!$B:$BE, 52, FALSE) )</f>
        <v/>
      </c>
      <c r="Y356" s="13" t="str">
        <f>IF($B356="","",  VLOOKUP($B356, Propostas!$B:$BE, 36, FALSE) )</f>
        <v/>
      </c>
      <c r="Z356" s="13" t="str">
        <f>IF($B356="","",  VLOOKUP($F356, VW_PROJETO!B:C, 2, FALSE) )</f>
        <v/>
      </c>
    </row>
    <row r="357" spans="2:26" x14ac:dyDescent="0.2">
      <c r="B357" s="2"/>
      <c r="C357" s="4" t="str">
        <f>IF($B357="","",  VLOOKUP($B357, Propostas!$B:$BE, 33, FALSE) )</f>
        <v/>
      </c>
      <c r="D357" s="4" t="str">
        <f>IF($B357="","",  VLOOKUP($B357, Propostas!$B:$BE, 34, FALSE) )</f>
        <v/>
      </c>
      <c r="E357" s="4" t="str">
        <f>IF($B357="","",  VLOOKUP($B357, Propostas!$B:$BE, 35, FALSE) )</f>
        <v/>
      </c>
      <c r="F357" s="4" t="str">
        <f>IF($B357="","",  VLOOKUP($B357, Propostas!$B:$BE, 2, FALSE) )</f>
        <v/>
      </c>
      <c r="G357" s="4" t="str">
        <f>IF($B357="","",  VLOOKUP($B357, Propostas!$B:$BE, 3, FALSE) )</f>
        <v/>
      </c>
      <c r="H357" s="4" t="str">
        <f>IF($B357="","",  VLOOKUP($B357, Propostas!$B:$BE, 4, FALSE) )</f>
        <v/>
      </c>
      <c r="I357" s="4" t="str">
        <f>IF($B357="","",  VLOOKUP($B357, Propostas!$B:$BE, 38, FALSE) )</f>
        <v/>
      </c>
      <c r="J357" s="13" t="str">
        <f>IF($B357="","",IF($C357="SIM", "&lt; INFRRAESTRUTURA &gt;", VLOOKUP($B357,Propostas!$B:$BE,41,FALSE)))</f>
        <v/>
      </c>
      <c r="K357" s="10" t="str">
        <f>IF($B357="","",  VLOOKUP($B357, Propostas!$B:$BE, 40, FALSE) )</f>
        <v/>
      </c>
      <c r="L357" s="10" t="str">
        <f>IF($B357="","",IF(VLOOKUP($B357,Propostas!$B:$BE,21,FALSE)=1,"B",IF(VLOOKUP($B357,Propostas!$B:$BE,21,FALSE)=2,"E","N")))</f>
        <v/>
      </c>
      <c r="M357" s="32" t="str">
        <f>IF($B357 = "", "",  VLOOKUP($B357, Propostas!$B:$BE, 46, FALSE) )</f>
        <v/>
      </c>
      <c r="N357" s="32" t="str">
        <f>IF($B357 = "", "",  VLOOKUP($B357, Propostas!$B:$BE, 47, FALSE) )</f>
        <v/>
      </c>
      <c r="O357" s="13" t="str">
        <f>IF($B357="","",IF($C357="SIM", "INFRAESTRUTURA", VLOOKUP($B357, Propostas!$B:$BE,42,FALSE)))</f>
        <v/>
      </c>
      <c r="P357" s="32" t="str">
        <f>IF($B357 = "", "",  VLOOKUP($B357, Propostas!$B:$BE, 49, FALSE) )</f>
        <v/>
      </c>
      <c r="Q357" s="13" t="str">
        <f>IF($B357="","",  VLOOKUP($B357, Propostas!$B:$BE, 39, FALSE) )</f>
        <v/>
      </c>
      <c r="R357" s="81" t="str">
        <f>IF($B357="","",  VLOOKUP($B357, Propostas!$B:$BE, 43, FALSE) )</f>
        <v/>
      </c>
      <c r="S357" s="81" t="str">
        <f>IF($B357="","",  VLOOKUP($B357, Propostas!$B:$BE, 44, FALSE) )</f>
        <v/>
      </c>
      <c r="T357" s="81" t="str">
        <f>IF($B357="","",  VLOOKUP($B357, Propostas!$B:$BE, 45, FALSE) )</f>
        <v/>
      </c>
      <c r="U357" s="32" t="str">
        <f>IF($B357="","",  VLOOKUP($B357, Propostas!$B:$BE, 37, FALSE) )</f>
        <v/>
      </c>
      <c r="V357" s="13" t="str">
        <f>IF($B357="","",  VLOOKUP($B357, Propostas!$B:$BE, 50, FALSE) )</f>
        <v/>
      </c>
      <c r="W357" s="13" t="str">
        <f>IF($B357="","",  VLOOKUP($B357, Propostas!$B:$BE, 51, FALSE) )</f>
        <v/>
      </c>
      <c r="X357" s="13" t="str">
        <f>IF($B357="","",  VLOOKUP($B357, Propostas!$B:$BE, 52, FALSE) )</f>
        <v/>
      </c>
      <c r="Y357" s="13" t="str">
        <f>IF($B357="","",  VLOOKUP($B357, Propostas!$B:$BE, 36, FALSE) )</f>
        <v/>
      </c>
      <c r="Z357" s="13" t="str">
        <f>IF($B357="","",  VLOOKUP($F357, VW_PROJETO!B:C, 2, FALSE) )</f>
        <v/>
      </c>
    </row>
    <row r="358" spans="2:26" x14ac:dyDescent="0.2">
      <c r="B358" s="2"/>
      <c r="C358" s="4" t="str">
        <f>IF($B358="","",  VLOOKUP($B358, Propostas!$B:$BE, 33, FALSE) )</f>
        <v/>
      </c>
      <c r="D358" s="4" t="str">
        <f>IF($B358="","",  VLOOKUP($B358, Propostas!$B:$BE, 34, FALSE) )</f>
        <v/>
      </c>
      <c r="E358" s="4" t="str">
        <f>IF($B358="","",  VLOOKUP($B358, Propostas!$B:$BE, 35, FALSE) )</f>
        <v/>
      </c>
      <c r="F358" s="4" t="str">
        <f>IF($B358="","",  VLOOKUP($B358, Propostas!$B:$BE, 2, FALSE) )</f>
        <v/>
      </c>
      <c r="G358" s="4" t="str">
        <f>IF($B358="","",  VLOOKUP($B358, Propostas!$B:$BE, 3, FALSE) )</f>
        <v/>
      </c>
      <c r="H358" s="4" t="str">
        <f>IF($B358="","",  VLOOKUP($B358, Propostas!$B:$BE, 4, FALSE) )</f>
        <v/>
      </c>
      <c r="I358" s="4" t="str">
        <f>IF($B358="","",  VLOOKUP($B358, Propostas!$B:$BE, 38, FALSE) )</f>
        <v/>
      </c>
      <c r="J358" s="13" t="str">
        <f>IF($B358="","",IF($C358="SIM", "&lt; INFRRAESTRUTURA &gt;", VLOOKUP($B358,Propostas!$B:$BE,41,FALSE)))</f>
        <v/>
      </c>
      <c r="K358" s="10" t="str">
        <f>IF($B358="","",  VLOOKUP($B358, Propostas!$B:$BE, 40, FALSE) )</f>
        <v/>
      </c>
      <c r="L358" s="10" t="str">
        <f>IF($B358="","",IF(VLOOKUP($B358,Propostas!$B:$BE,21,FALSE)=1,"B",IF(VLOOKUP($B358,Propostas!$B:$BE,21,FALSE)=2,"E","N")))</f>
        <v/>
      </c>
      <c r="M358" s="32" t="str">
        <f>IF($B358 = "", "",  VLOOKUP($B358, Propostas!$B:$BE, 46, FALSE) )</f>
        <v/>
      </c>
      <c r="N358" s="32" t="str">
        <f>IF($B358 = "", "",  VLOOKUP($B358, Propostas!$B:$BE, 47, FALSE) )</f>
        <v/>
      </c>
      <c r="O358" s="13" t="str">
        <f>IF($B358="","",IF($C358="SIM", "INFRAESTRUTURA", VLOOKUP($B358, Propostas!$B:$BE,42,FALSE)))</f>
        <v/>
      </c>
      <c r="P358" s="32" t="str">
        <f>IF($B358 = "", "",  VLOOKUP($B358, Propostas!$B:$BE, 49, FALSE) )</f>
        <v/>
      </c>
      <c r="Q358" s="13" t="str">
        <f>IF($B358="","",  VLOOKUP($B358, Propostas!$B:$BE, 39, FALSE) )</f>
        <v/>
      </c>
      <c r="R358" s="81" t="str">
        <f>IF($B358="","",  VLOOKUP($B358, Propostas!$B:$BE, 43, FALSE) )</f>
        <v/>
      </c>
      <c r="S358" s="81" t="str">
        <f>IF($B358="","",  VLOOKUP($B358, Propostas!$B:$BE, 44, FALSE) )</f>
        <v/>
      </c>
      <c r="T358" s="81" t="str">
        <f>IF($B358="","",  VLOOKUP($B358, Propostas!$B:$BE, 45, FALSE) )</f>
        <v/>
      </c>
      <c r="U358" s="32" t="str">
        <f>IF($B358="","",  VLOOKUP($B358, Propostas!$B:$BE, 37, FALSE) )</f>
        <v/>
      </c>
      <c r="V358" s="13" t="str">
        <f>IF($B358="","",  VLOOKUP($B358, Propostas!$B:$BE, 50, FALSE) )</f>
        <v/>
      </c>
      <c r="W358" s="13" t="str">
        <f>IF($B358="","",  VLOOKUP($B358, Propostas!$B:$BE, 51, FALSE) )</f>
        <v/>
      </c>
      <c r="X358" s="13" t="str">
        <f>IF($B358="","",  VLOOKUP($B358, Propostas!$B:$BE, 52, FALSE) )</f>
        <v/>
      </c>
      <c r="Y358" s="13" t="str">
        <f>IF($B358="","",  VLOOKUP($B358, Propostas!$B:$BE, 36, FALSE) )</f>
        <v/>
      </c>
      <c r="Z358" s="13" t="str">
        <f>IF($B358="","",  VLOOKUP($F358, VW_PROJETO!B:C, 2, FALSE) )</f>
        <v/>
      </c>
    </row>
    <row r="359" spans="2:26" x14ac:dyDescent="0.2">
      <c r="B359" s="2"/>
      <c r="C359" s="4" t="str">
        <f>IF($B359="","",  VLOOKUP($B359, Propostas!$B:$BE, 33, FALSE) )</f>
        <v/>
      </c>
      <c r="D359" s="4" t="str">
        <f>IF($B359="","",  VLOOKUP($B359, Propostas!$B:$BE, 34, FALSE) )</f>
        <v/>
      </c>
      <c r="E359" s="4" t="str">
        <f>IF($B359="","",  VLOOKUP($B359, Propostas!$B:$BE, 35, FALSE) )</f>
        <v/>
      </c>
      <c r="F359" s="4" t="str">
        <f>IF($B359="","",  VLOOKUP($B359, Propostas!$B:$BE, 2, FALSE) )</f>
        <v/>
      </c>
      <c r="G359" s="4" t="str">
        <f>IF($B359="","",  VLOOKUP($B359, Propostas!$B:$BE, 3, FALSE) )</f>
        <v/>
      </c>
      <c r="H359" s="4" t="str">
        <f>IF($B359="","",  VLOOKUP($B359, Propostas!$B:$BE, 4, FALSE) )</f>
        <v/>
      </c>
      <c r="I359" s="4" t="str">
        <f>IF($B359="","",  VLOOKUP($B359, Propostas!$B:$BE, 38, FALSE) )</f>
        <v/>
      </c>
      <c r="J359" s="13" t="str">
        <f>IF($B359="","",IF($C359="SIM", "&lt; INFRRAESTRUTURA &gt;", VLOOKUP($B359,Propostas!$B:$BE,41,FALSE)))</f>
        <v/>
      </c>
      <c r="K359" s="10" t="str">
        <f>IF($B359="","",  VLOOKUP($B359, Propostas!$B:$BE, 40, FALSE) )</f>
        <v/>
      </c>
      <c r="L359" s="10" t="str">
        <f>IF($B359="","",IF(VLOOKUP($B359,Propostas!$B:$BE,21,FALSE)=1,"B",IF(VLOOKUP($B359,Propostas!$B:$BE,21,FALSE)=2,"E","N")))</f>
        <v/>
      </c>
      <c r="M359" s="32" t="str">
        <f>IF($B359 = "", "",  VLOOKUP($B359, Propostas!$B:$BE, 46, FALSE) )</f>
        <v/>
      </c>
      <c r="N359" s="32" t="str">
        <f>IF($B359 = "", "",  VLOOKUP($B359, Propostas!$B:$BE, 47, FALSE) )</f>
        <v/>
      </c>
      <c r="O359" s="13" t="str">
        <f>IF($B359="","",IF($C359="SIM", "INFRAESTRUTURA", VLOOKUP($B359, Propostas!$B:$BE,42,FALSE)))</f>
        <v/>
      </c>
      <c r="P359" s="32" t="str">
        <f>IF($B359 = "", "",  VLOOKUP($B359, Propostas!$B:$BE, 49, FALSE) )</f>
        <v/>
      </c>
      <c r="Q359" s="13" t="str">
        <f>IF($B359="","",  VLOOKUP($B359, Propostas!$B:$BE, 39, FALSE) )</f>
        <v/>
      </c>
      <c r="R359" s="81" t="str">
        <f>IF($B359="","",  VLOOKUP($B359, Propostas!$B:$BE, 43, FALSE) )</f>
        <v/>
      </c>
      <c r="S359" s="81" t="str">
        <f>IF($B359="","",  VLOOKUP($B359, Propostas!$B:$BE, 44, FALSE) )</f>
        <v/>
      </c>
      <c r="T359" s="81" t="str">
        <f>IF($B359="","",  VLOOKUP($B359, Propostas!$B:$BE, 45, FALSE) )</f>
        <v/>
      </c>
      <c r="U359" s="32" t="str">
        <f>IF($B359="","",  VLOOKUP($B359, Propostas!$B:$BE, 37, FALSE) )</f>
        <v/>
      </c>
      <c r="V359" s="13" t="str">
        <f>IF($B359="","",  VLOOKUP($B359, Propostas!$B:$BE, 50, FALSE) )</f>
        <v/>
      </c>
      <c r="W359" s="13" t="str">
        <f>IF($B359="","",  VLOOKUP($B359, Propostas!$B:$BE, 51, FALSE) )</f>
        <v/>
      </c>
      <c r="X359" s="13" t="str">
        <f>IF($B359="","",  VLOOKUP($B359, Propostas!$B:$BE, 52, FALSE) )</f>
        <v/>
      </c>
      <c r="Y359" s="13" t="str">
        <f>IF($B359="","",  VLOOKUP($B359, Propostas!$B:$BE, 36, FALSE) )</f>
        <v/>
      </c>
      <c r="Z359" s="13" t="str">
        <f>IF($B359="","",  VLOOKUP($F359, VW_PROJETO!B:C, 2, FALSE) )</f>
        <v/>
      </c>
    </row>
    <row r="360" spans="2:26" x14ac:dyDescent="0.2">
      <c r="B360" s="2"/>
      <c r="C360" s="4" t="str">
        <f>IF($B360="","",  VLOOKUP($B360, Propostas!$B:$BE, 33, FALSE) )</f>
        <v/>
      </c>
      <c r="D360" s="4" t="str">
        <f>IF($B360="","",  VLOOKUP($B360, Propostas!$B:$BE, 34, FALSE) )</f>
        <v/>
      </c>
      <c r="E360" s="4" t="str">
        <f>IF($B360="","",  VLOOKUP($B360, Propostas!$B:$BE, 35, FALSE) )</f>
        <v/>
      </c>
      <c r="F360" s="4" t="str">
        <f>IF($B360="","",  VLOOKUP($B360, Propostas!$B:$BE, 2, FALSE) )</f>
        <v/>
      </c>
      <c r="G360" s="4" t="str">
        <f>IF($B360="","",  VLOOKUP($B360, Propostas!$B:$BE, 3, FALSE) )</f>
        <v/>
      </c>
      <c r="H360" s="4" t="str">
        <f>IF($B360="","",  VLOOKUP($B360, Propostas!$B:$BE, 4, FALSE) )</f>
        <v/>
      </c>
      <c r="I360" s="4" t="str">
        <f>IF($B360="","",  VLOOKUP($B360, Propostas!$B:$BE, 38, FALSE) )</f>
        <v/>
      </c>
      <c r="J360" s="13" t="str">
        <f>IF($B360="","",IF($C360="SIM", "&lt; INFRRAESTRUTURA &gt;", VLOOKUP($B360,Propostas!$B:$BE,41,FALSE)))</f>
        <v/>
      </c>
      <c r="K360" s="10" t="str">
        <f>IF($B360="","",  VLOOKUP($B360, Propostas!$B:$BE, 40, FALSE) )</f>
        <v/>
      </c>
      <c r="L360" s="10" t="str">
        <f>IF($B360="","",IF(VLOOKUP($B360,Propostas!$B:$BE,21,FALSE)=1,"B",IF(VLOOKUP($B360,Propostas!$B:$BE,21,FALSE)=2,"E","N")))</f>
        <v/>
      </c>
      <c r="M360" s="32" t="str">
        <f>IF($B360 = "", "",  VLOOKUP($B360, Propostas!$B:$BE, 46, FALSE) )</f>
        <v/>
      </c>
      <c r="N360" s="32" t="str">
        <f>IF($B360 = "", "",  VLOOKUP($B360, Propostas!$B:$BE, 47, FALSE) )</f>
        <v/>
      </c>
      <c r="O360" s="13" t="str">
        <f>IF($B360="","",IF($C360="SIM", "INFRAESTRUTURA", VLOOKUP($B360, Propostas!$B:$BE,42,FALSE)))</f>
        <v/>
      </c>
      <c r="P360" s="32" t="str">
        <f>IF($B360 = "", "",  VLOOKUP($B360, Propostas!$B:$BE, 49, FALSE) )</f>
        <v/>
      </c>
      <c r="Q360" s="13" t="str">
        <f>IF($B360="","",  VLOOKUP($B360, Propostas!$B:$BE, 39, FALSE) )</f>
        <v/>
      </c>
      <c r="R360" s="81" t="str">
        <f>IF($B360="","",  VLOOKUP($B360, Propostas!$B:$BE, 43, FALSE) )</f>
        <v/>
      </c>
      <c r="S360" s="81" t="str">
        <f>IF($B360="","",  VLOOKUP($B360, Propostas!$B:$BE, 44, FALSE) )</f>
        <v/>
      </c>
      <c r="T360" s="81" t="str">
        <f>IF($B360="","",  VLOOKUP($B360, Propostas!$B:$BE, 45, FALSE) )</f>
        <v/>
      </c>
      <c r="U360" s="32" t="str">
        <f>IF($B360="","",  VLOOKUP($B360, Propostas!$B:$BE, 37, FALSE) )</f>
        <v/>
      </c>
      <c r="V360" s="13" t="str">
        <f>IF($B360="","",  VLOOKUP($B360, Propostas!$B:$BE, 50, FALSE) )</f>
        <v/>
      </c>
      <c r="W360" s="13" t="str">
        <f>IF($B360="","",  VLOOKUP($B360, Propostas!$B:$BE, 51, FALSE) )</f>
        <v/>
      </c>
      <c r="X360" s="13" t="str">
        <f>IF($B360="","",  VLOOKUP($B360, Propostas!$B:$BE, 52, FALSE) )</f>
        <v/>
      </c>
      <c r="Y360" s="13" t="str">
        <f>IF($B360="","",  VLOOKUP($B360, Propostas!$B:$BE, 36, FALSE) )</f>
        <v/>
      </c>
      <c r="Z360" s="13" t="str">
        <f>IF($B360="","",  VLOOKUP($F360, VW_PROJETO!B:C, 2, FALSE) )</f>
        <v/>
      </c>
    </row>
    <row r="361" spans="2:26" x14ac:dyDescent="0.2">
      <c r="B361" s="2"/>
      <c r="C361" s="4" t="str">
        <f>IF($B361="","",  VLOOKUP($B361, Propostas!$B:$BE, 33, FALSE) )</f>
        <v/>
      </c>
      <c r="D361" s="4" t="str">
        <f>IF($B361="","",  VLOOKUP($B361, Propostas!$B:$BE, 34, FALSE) )</f>
        <v/>
      </c>
      <c r="E361" s="4" t="str">
        <f>IF($B361="","",  VLOOKUP($B361, Propostas!$B:$BE, 35, FALSE) )</f>
        <v/>
      </c>
      <c r="F361" s="4" t="str">
        <f>IF($B361="","",  VLOOKUP($B361, Propostas!$B:$BE, 2, FALSE) )</f>
        <v/>
      </c>
      <c r="G361" s="4" t="str">
        <f>IF($B361="","",  VLOOKUP($B361, Propostas!$B:$BE, 3, FALSE) )</f>
        <v/>
      </c>
      <c r="H361" s="4" t="str">
        <f>IF($B361="","",  VLOOKUP($B361, Propostas!$B:$BE, 4, FALSE) )</f>
        <v/>
      </c>
      <c r="I361" s="4" t="str">
        <f>IF($B361="","",  VLOOKUP($B361, Propostas!$B:$BE, 38, FALSE) )</f>
        <v/>
      </c>
      <c r="J361" s="13" t="str">
        <f>IF($B361="","",IF($C361="SIM", "&lt; INFRRAESTRUTURA &gt;", VLOOKUP($B361,Propostas!$B:$BE,41,FALSE)))</f>
        <v/>
      </c>
      <c r="K361" s="10" t="str">
        <f>IF($B361="","",  VLOOKUP($B361, Propostas!$B:$BE, 40, FALSE) )</f>
        <v/>
      </c>
      <c r="L361" s="10" t="str">
        <f>IF($B361="","",IF(VLOOKUP($B361,Propostas!$B:$BE,21,FALSE)=1,"B",IF(VLOOKUP($B361,Propostas!$B:$BE,21,FALSE)=2,"E","N")))</f>
        <v/>
      </c>
      <c r="M361" s="32" t="str">
        <f>IF($B361 = "", "",  VLOOKUP($B361, Propostas!$B:$BE, 46, FALSE) )</f>
        <v/>
      </c>
      <c r="N361" s="32" t="str">
        <f>IF($B361 = "", "",  VLOOKUP($B361, Propostas!$B:$BE, 47, FALSE) )</f>
        <v/>
      </c>
      <c r="O361" s="13" t="str">
        <f>IF($B361="","",IF($C361="SIM", "INFRAESTRUTURA", VLOOKUP($B361, Propostas!$B:$BE,42,FALSE)))</f>
        <v/>
      </c>
      <c r="P361" s="32" t="str">
        <f>IF($B361 = "", "",  VLOOKUP($B361, Propostas!$B:$BE, 49, FALSE) )</f>
        <v/>
      </c>
      <c r="Q361" s="13" t="str">
        <f>IF($B361="","",  VLOOKUP($B361, Propostas!$B:$BE, 39, FALSE) )</f>
        <v/>
      </c>
      <c r="R361" s="81" t="str">
        <f>IF($B361="","",  VLOOKUP($B361, Propostas!$B:$BE, 43, FALSE) )</f>
        <v/>
      </c>
      <c r="S361" s="81" t="str">
        <f>IF($B361="","",  VLOOKUP($B361, Propostas!$B:$BE, 44, FALSE) )</f>
        <v/>
      </c>
      <c r="T361" s="81" t="str">
        <f>IF($B361="","",  VLOOKUP($B361, Propostas!$B:$BE, 45, FALSE) )</f>
        <v/>
      </c>
      <c r="U361" s="32" t="str">
        <f>IF($B361="","",  VLOOKUP($B361, Propostas!$B:$BE, 37, FALSE) )</f>
        <v/>
      </c>
      <c r="V361" s="13" t="str">
        <f>IF($B361="","",  VLOOKUP($B361, Propostas!$B:$BE, 50, FALSE) )</f>
        <v/>
      </c>
      <c r="W361" s="13" t="str">
        <f>IF($B361="","",  VLOOKUP($B361, Propostas!$B:$BE, 51, FALSE) )</f>
        <v/>
      </c>
      <c r="X361" s="13" t="str">
        <f>IF($B361="","",  VLOOKUP($B361, Propostas!$B:$BE, 52, FALSE) )</f>
        <v/>
      </c>
      <c r="Y361" s="13" t="str">
        <f>IF($B361="","",  VLOOKUP($B361, Propostas!$B:$BE, 36, FALSE) )</f>
        <v/>
      </c>
      <c r="Z361" s="13" t="str">
        <f>IF($B361="","",  VLOOKUP($F361, VW_PROJETO!B:C, 2, FALSE) )</f>
        <v/>
      </c>
    </row>
    <row r="362" spans="2:26" x14ac:dyDescent="0.2">
      <c r="B362" s="2"/>
      <c r="C362" s="4" t="str">
        <f>IF($B362="","",  VLOOKUP($B362, Propostas!$B:$BE, 33, FALSE) )</f>
        <v/>
      </c>
      <c r="D362" s="4" t="str">
        <f>IF($B362="","",  VLOOKUP($B362, Propostas!$B:$BE, 34, FALSE) )</f>
        <v/>
      </c>
      <c r="E362" s="4" t="str">
        <f>IF($B362="","",  VLOOKUP($B362, Propostas!$B:$BE, 35, FALSE) )</f>
        <v/>
      </c>
      <c r="F362" s="4" t="str">
        <f>IF($B362="","",  VLOOKUP($B362, Propostas!$B:$BE, 2, FALSE) )</f>
        <v/>
      </c>
      <c r="G362" s="4" t="str">
        <f>IF($B362="","",  VLOOKUP($B362, Propostas!$B:$BE, 3, FALSE) )</f>
        <v/>
      </c>
      <c r="H362" s="4" t="str">
        <f>IF($B362="","",  VLOOKUP($B362, Propostas!$B:$BE, 4, FALSE) )</f>
        <v/>
      </c>
      <c r="I362" s="4" t="str">
        <f>IF($B362="","",  VLOOKUP($B362, Propostas!$B:$BE, 38, FALSE) )</f>
        <v/>
      </c>
      <c r="J362" s="13" t="str">
        <f>IF($B362="","",IF($C362="SIM", "&lt; INFRRAESTRUTURA &gt;", VLOOKUP($B362,Propostas!$B:$BE,41,FALSE)))</f>
        <v/>
      </c>
      <c r="K362" s="10" t="str">
        <f>IF($B362="","",  VLOOKUP($B362, Propostas!$B:$BE, 40, FALSE) )</f>
        <v/>
      </c>
      <c r="L362" s="10" t="str">
        <f>IF($B362="","",IF(VLOOKUP($B362,Propostas!$B:$BE,21,FALSE)=1,"B",IF(VLOOKUP($B362,Propostas!$B:$BE,21,FALSE)=2,"E","N")))</f>
        <v/>
      </c>
      <c r="M362" s="32" t="str">
        <f>IF($B362 = "", "",  VLOOKUP($B362, Propostas!$B:$BE, 46, FALSE) )</f>
        <v/>
      </c>
      <c r="N362" s="32" t="str">
        <f>IF($B362 = "", "",  VLOOKUP($B362, Propostas!$B:$BE, 47, FALSE) )</f>
        <v/>
      </c>
      <c r="O362" s="13" t="str">
        <f>IF($B362="","",IF($C362="SIM", "INFRAESTRUTURA", VLOOKUP($B362, Propostas!$B:$BE,42,FALSE)))</f>
        <v/>
      </c>
      <c r="P362" s="32" t="str">
        <f>IF($B362 = "", "",  VLOOKUP($B362, Propostas!$B:$BE, 49, FALSE) )</f>
        <v/>
      </c>
      <c r="Q362" s="13" t="str">
        <f>IF($B362="","",  VLOOKUP($B362, Propostas!$B:$BE, 39, FALSE) )</f>
        <v/>
      </c>
      <c r="R362" s="81" t="str">
        <f>IF($B362="","",  VLOOKUP($B362, Propostas!$B:$BE, 43, FALSE) )</f>
        <v/>
      </c>
      <c r="S362" s="81" t="str">
        <f>IF($B362="","",  VLOOKUP($B362, Propostas!$B:$BE, 44, FALSE) )</f>
        <v/>
      </c>
      <c r="T362" s="81" t="str">
        <f>IF($B362="","",  VLOOKUP($B362, Propostas!$B:$BE, 45, FALSE) )</f>
        <v/>
      </c>
      <c r="U362" s="32" t="str">
        <f>IF($B362="","",  VLOOKUP($B362, Propostas!$B:$BE, 37, FALSE) )</f>
        <v/>
      </c>
      <c r="V362" s="13" t="str">
        <f>IF($B362="","",  VLOOKUP($B362, Propostas!$B:$BE, 50, FALSE) )</f>
        <v/>
      </c>
      <c r="W362" s="13" t="str">
        <f>IF($B362="","",  VLOOKUP($B362, Propostas!$B:$BE, 51, FALSE) )</f>
        <v/>
      </c>
      <c r="X362" s="13" t="str">
        <f>IF($B362="","",  VLOOKUP($B362, Propostas!$B:$BE, 52, FALSE) )</f>
        <v/>
      </c>
      <c r="Y362" s="13" t="str">
        <f>IF($B362="","",  VLOOKUP($B362, Propostas!$B:$BE, 36, FALSE) )</f>
        <v/>
      </c>
      <c r="Z362" s="13" t="str">
        <f>IF($B362="","",  VLOOKUP($F362, VW_PROJETO!B:C, 2, FALSE) )</f>
        <v/>
      </c>
    </row>
    <row r="363" spans="2:26" x14ac:dyDescent="0.2">
      <c r="B363" s="2"/>
      <c r="C363" s="4" t="str">
        <f>IF($B363="","",  VLOOKUP($B363, Propostas!$B:$BE, 33, FALSE) )</f>
        <v/>
      </c>
      <c r="D363" s="4" t="str">
        <f>IF($B363="","",  VLOOKUP($B363, Propostas!$B:$BE, 34, FALSE) )</f>
        <v/>
      </c>
      <c r="E363" s="4" t="str">
        <f>IF($B363="","",  VLOOKUP($B363, Propostas!$B:$BE, 35, FALSE) )</f>
        <v/>
      </c>
      <c r="F363" s="4" t="str">
        <f>IF($B363="","",  VLOOKUP($B363, Propostas!$B:$BE, 2, FALSE) )</f>
        <v/>
      </c>
      <c r="G363" s="4" t="str">
        <f>IF($B363="","",  VLOOKUP($B363, Propostas!$B:$BE, 3, FALSE) )</f>
        <v/>
      </c>
      <c r="H363" s="4" t="str">
        <f>IF($B363="","",  VLOOKUP($B363, Propostas!$B:$BE, 4, FALSE) )</f>
        <v/>
      </c>
      <c r="I363" s="4" t="str">
        <f>IF($B363="","",  VLOOKUP($B363, Propostas!$B:$BE, 38, FALSE) )</f>
        <v/>
      </c>
      <c r="J363" s="13" t="str">
        <f>IF($B363="","",IF($C363="SIM", "&lt; INFRRAESTRUTURA &gt;", VLOOKUP($B363,Propostas!$B:$BE,41,FALSE)))</f>
        <v/>
      </c>
      <c r="K363" s="10" t="str">
        <f>IF($B363="","",  VLOOKUP($B363, Propostas!$B:$BE, 40, FALSE) )</f>
        <v/>
      </c>
      <c r="L363" s="10" t="str">
        <f>IF($B363="","",IF(VLOOKUP($B363,Propostas!$B:$BE,21,FALSE)=1,"B",IF(VLOOKUP($B363,Propostas!$B:$BE,21,FALSE)=2,"E","N")))</f>
        <v/>
      </c>
      <c r="M363" s="32" t="str">
        <f>IF($B363 = "", "",  VLOOKUP($B363, Propostas!$B:$BE, 46, FALSE) )</f>
        <v/>
      </c>
      <c r="N363" s="32" t="str">
        <f>IF($B363 = "", "",  VLOOKUP($B363, Propostas!$B:$BE, 47, FALSE) )</f>
        <v/>
      </c>
      <c r="O363" s="13" t="str">
        <f>IF($B363="","",IF($C363="SIM", "INFRAESTRUTURA", VLOOKUP($B363, Propostas!$B:$BE,42,FALSE)))</f>
        <v/>
      </c>
      <c r="P363" s="32" t="str">
        <f>IF($B363 = "", "",  VLOOKUP($B363, Propostas!$B:$BE, 49, FALSE) )</f>
        <v/>
      </c>
      <c r="Q363" s="13" t="str">
        <f>IF($B363="","",  VLOOKUP($B363, Propostas!$B:$BE, 39, FALSE) )</f>
        <v/>
      </c>
      <c r="R363" s="81" t="str">
        <f>IF($B363="","",  VLOOKUP($B363, Propostas!$B:$BE, 43, FALSE) )</f>
        <v/>
      </c>
      <c r="S363" s="81" t="str">
        <f>IF($B363="","",  VLOOKUP($B363, Propostas!$B:$BE, 44, FALSE) )</f>
        <v/>
      </c>
      <c r="T363" s="81" t="str">
        <f>IF($B363="","",  VLOOKUP($B363, Propostas!$B:$BE, 45, FALSE) )</f>
        <v/>
      </c>
      <c r="U363" s="32" t="str">
        <f>IF($B363="","",  VLOOKUP($B363, Propostas!$B:$BE, 37, FALSE) )</f>
        <v/>
      </c>
      <c r="V363" s="13" t="str">
        <f>IF($B363="","",  VLOOKUP($B363, Propostas!$B:$BE, 50, FALSE) )</f>
        <v/>
      </c>
      <c r="W363" s="13" t="str">
        <f>IF($B363="","",  VLOOKUP($B363, Propostas!$B:$BE, 51, FALSE) )</f>
        <v/>
      </c>
      <c r="X363" s="13" t="str">
        <f>IF($B363="","",  VLOOKUP($B363, Propostas!$B:$BE, 52, FALSE) )</f>
        <v/>
      </c>
      <c r="Y363" s="13" t="str">
        <f>IF($B363="","",  VLOOKUP($B363, Propostas!$B:$BE, 36, FALSE) )</f>
        <v/>
      </c>
      <c r="Z363" s="13" t="str">
        <f>IF($B363="","",  VLOOKUP($F363, VW_PROJETO!B:C, 2, FALSE) )</f>
        <v/>
      </c>
    </row>
    <row r="364" spans="2:26" x14ac:dyDescent="0.2">
      <c r="B364" s="2"/>
      <c r="C364" s="4" t="str">
        <f>IF($B364="","",  VLOOKUP($B364, Propostas!$B:$BE, 33, FALSE) )</f>
        <v/>
      </c>
      <c r="D364" s="4" t="str">
        <f>IF($B364="","",  VLOOKUP($B364, Propostas!$B:$BE, 34, FALSE) )</f>
        <v/>
      </c>
      <c r="E364" s="4" t="str">
        <f>IF($B364="","",  VLOOKUP($B364, Propostas!$B:$BE, 35, FALSE) )</f>
        <v/>
      </c>
      <c r="F364" s="4" t="str">
        <f>IF($B364="","",  VLOOKUP($B364, Propostas!$B:$BE, 2, FALSE) )</f>
        <v/>
      </c>
      <c r="G364" s="4" t="str">
        <f>IF($B364="","",  VLOOKUP($B364, Propostas!$B:$BE, 3, FALSE) )</f>
        <v/>
      </c>
      <c r="H364" s="4" t="str">
        <f>IF($B364="","",  VLOOKUP($B364, Propostas!$B:$BE, 4, FALSE) )</f>
        <v/>
      </c>
      <c r="I364" s="4" t="str">
        <f>IF($B364="","",  VLOOKUP($B364, Propostas!$B:$BE, 38, FALSE) )</f>
        <v/>
      </c>
      <c r="J364" s="13" t="str">
        <f>IF($B364="","",IF($C364="SIM", "&lt; INFRRAESTRUTURA &gt;", VLOOKUP($B364,Propostas!$B:$BE,41,FALSE)))</f>
        <v/>
      </c>
      <c r="K364" s="10" t="str">
        <f>IF($B364="","",  VLOOKUP($B364, Propostas!$B:$BE, 40, FALSE) )</f>
        <v/>
      </c>
      <c r="L364" s="10" t="str">
        <f>IF($B364="","",IF(VLOOKUP($B364,Propostas!$B:$BE,21,FALSE)=1,"B",IF(VLOOKUP($B364,Propostas!$B:$BE,21,FALSE)=2,"E","N")))</f>
        <v/>
      </c>
      <c r="M364" s="32" t="str">
        <f>IF($B364 = "", "",  VLOOKUP($B364, Propostas!$B:$BE, 46, FALSE) )</f>
        <v/>
      </c>
      <c r="N364" s="32" t="str">
        <f>IF($B364 = "", "",  VLOOKUP($B364, Propostas!$B:$BE, 47, FALSE) )</f>
        <v/>
      </c>
      <c r="O364" s="13" t="str">
        <f>IF($B364="","",IF($C364="SIM", "INFRAESTRUTURA", VLOOKUP($B364, Propostas!$B:$BE,42,FALSE)))</f>
        <v/>
      </c>
      <c r="P364" s="32" t="str">
        <f>IF($B364 = "", "",  VLOOKUP($B364, Propostas!$B:$BE, 49, FALSE) )</f>
        <v/>
      </c>
      <c r="Q364" s="13" t="str">
        <f>IF($B364="","",  VLOOKUP($B364, Propostas!$B:$BE, 39, FALSE) )</f>
        <v/>
      </c>
      <c r="R364" s="81" t="str">
        <f>IF($B364="","",  VLOOKUP($B364, Propostas!$B:$BE, 43, FALSE) )</f>
        <v/>
      </c>
      <c r="S364" s="81" t="str">
        <f>IF($B364="","",  VLOOKUP($B364, Propostas!$B:$BE, 44, FALSE) )</f>
        <v/>
      </c>
      <c r="T364" s="81" t="str">
        <f>IF($B364="","",  VLOOKUP($B364, Propostas!$B:$BE, 45, FALSE) )</f>
        <v/>
      </c>
      <c r="U364" s="32" t="str">
        <f>IF($B364="","",  VLOOKUP($B364, Propostas!$B:$BE, 37, FALSE) )</f>
        <v/>
      </c>
      <c r="V364" s="13" t="str">
        <f>IF($B364="","",  VLOOKUP($B364, Propostas!$B:$BE, 50, FALSE) )</f>
        <v/>
      </c>
      <c r="W364" s="13" t="str">
        <f>IF($B364="","",  VLOOKUP($B364, Propostas!$B:$BE, 51, FALSE) )</f>
        <v/>
      </c>
      <c r="X364" s="13" t="str">
        <f>IF($B364="","",  VLOOKUP($B364, Propostas!$B:$BE, 52, FALSE) )</f>
        <v/>
      </c>
      <c r="Y364" s="13" t="str">
        <f>IF($B364="","",  VLOOKUP($B364, Propostas!$B:$BE, 36, FALSE) )</f>
        <v/>
      </c>
      <c r="Z364" s="13" t="str">
        <f>IF($B364="","",  VLOOKUP($F364, VW_PROJETO!B:C, 2, FALSE) )</f>
        <v/>
      </c>
    </row>
    <row r="365" spans="2:26" x14ac:dyDescent="0.2">
      <c r="B365" s="2"/>
      <c r="C365" s="4" t="str">
        <f>IF($B365="","",  VLOOKUP($B365, Propostas!$B:$BE, 33, FALSE) )</f>
        <v/>
      </c>
      <c r="D365" s="4" t="str">
        <f>IF($B365="","",  VLOOKUP($B365, Propostas!$B:$BE, 34, FALSE) )</f>
        <v/>
      </c>
      <c r="E365" s="4" t="str">
        <f>IF($B365="","",  VLOOKUP($B365, Propostas!$B:$BE, 35, FALSE) )</f>
        <v/>
      </c>
      <c r="F365" s="4" t="str">
        <f>IF($B365="","",  VLOOKUP($B365, Propostas!$B:$BE, 2, FALSE) )</f>
        <v/>
      </c>
      <c r="G365" s="4" t="str">
        <f>IF($B365="","",  VLOOKUP($B365, Propostas!$B:$BE, 3, FALSE) )</f>
        <v/>
      </c>
      <c r="H365" s="4" t="str">
        <f>IF($B365="","",  VLOOKUP($B365, Propostas!$B:$BE, 4, FALSE) )</f>
        <v/>
      </c>
      <c r="I365" s="4" t="str">
        <f>IF($B365="","",  VLOOKUP($B365, Propostas!$B:$BE, 38, FALSE) )</f>
        <v/>
      </c>
      <c r="J365" s="13" t="str">
        <f>IF($B365="","",IF($C365="SIM", "&lt; INFRRAESTRUTURA &gt;", VLOOKUP($B365,Propostas!$B:$BE,41,FALSE)))</f>
        <v/>
      </c>
      <c r="K365" s="10" t="str">
        <f>IF($B365="","",  VLOOKUP($B365, Propostas!$B:$BE, 40, FALSE) )</f>
        <v/>
      </c>
      <c r="L365" s="10" t="str">
        <f>IF($B365="","",IF(VLOOKUP($B365,Propostas!$B:$BE,21,FALSE)=1,"B",IF(VLOOKUP($B365,Propostas!$B:$BE,21,FALSE)=2,"E","N")))</f>
        <v/>
      </c>
      <c r="M365" s="32" t="str">
        <f>IF($B365 = "", "",  VLOOKUP($B365, Propostas!$B:$BE, 46, FALSE) )</f>
        <v/>
      </c>
      <c r="N365" s="32" t="str">
        <f>IF($B365 = "", "",  VLOOKUP($B365, Propostas!$B:$BE, 47, FALSE) )</f>
        <v/>
      </c>
      <c r="O365" s="13" t="str">
        <f>IF($B365="","",IF($C365="SIM", "INFRAESTRUTURA", VLOOKUP($B365, Propostas!$B:$BE,42,FALSE)))</f>
        <v/>
      </c>
      <c r="P365" s="32" t="str">
        <f>IF($B365 = "", "",  VLOOKUP($B365, Propostas!$B:$BE, 49, FALSE) )</f>
        <v/>
      </c>
      <c r="Q365" s="13" t="str">
        <f>IF($B365="","",  VLOOKUP($B365, Propostas!$B:$BE, 39, FALSE) )</f>
        <v/>
      </c>
      <c r="R365" s="81" t="str">
        <f>IF($B365="","",  VLOOKUP($B365, Propostas!$B:$BE, 43, FALSE) )</f>
        <v/>
      </c>
      <c r="S365" s="81" t="str">
        <f>IF($B365="","",  VLOOKUP($B365, Propostas!$B:$BE, 44, FALSE) )</f>
        <v/>
      </c>
      <c r="T365" s="81" t="str">
        <f>IF($B365="","",  VLOOKUP($B365, Propostas!$B:$BE, 45, FALSE) )</f>
        <v/>
      </c>
      <c r="U365" s="32" t="str">
        <f>IF($B365="","",  VLOOKUP($B365, Propostas!$B:$BE, 37, FALSE) )</f>
        <v/>
      </c>
      <c r="V365" s="13" t="str">
        <f>IF($B365="","",  VLOOKUP($B365, Propostas!$B:$BE, 50, FALSE) )</f>
        <v/>
      </c>
      <c r="W365" s="13" t="str">
        <f>IF($B365="","",  VLOOKUP($B365, Propostas!$B:$BE, 51, FALSE) )</f>
        <v/>
      </c>
      <c r="X365" s="13" t="str">
        <f>IF($B365="","",  VLOOKUP($B365, Propostas!$B:$BE, 52, FALSE) )</f>
        <v/>
      </c>
      <c r="Y365" s="13" t="str">
        <f>IF($B365="","",  VLOOKUP($B365, Propostas!$B:$BE, 36, FALSE) )</f>
        <v/>
      </c>
      <c r="Z365" s="13" t="str">
        <f>IF($B365="","",  VLOOKUP($F365, VW_PROJETO!B:C, 2, FALSE) )</f>
        <v/>
      </c>
    </row>
    <row r="366" spans="2:26" x14ac:dyDescent="0.2">
      <c r="B366" s="2"/>
      <c r="C366" s="4" t="str">
        <f>IF($B366="","",  VLOOKUP($B366, Propostas!$B:$BE, 33, FALSE) )</f>
        <v/>
      </c>
      <c r="D366" s="4" t="str">
        <f>IF($B366="","",  VLOOKUP($B366, Propostas!$B:$BE, 34, FALSE) )</f>
        <v/>
      </c>
      <c r="E366" s="4" t="str">
        <f>IF($B366="","",  VLOOKUP($B366, Propostas!$B:$BE, 35, FALSE) )</f>
        <v/>
      </c>
      <c r="F366" s="4" t="str">
        <f>IF($B366="","",  VLOOKUP($B366, Propostas!$B:$BE, 2, FALSE) )</f>
        <v/>
      </c>
      <c r="G366" s="4" t="str">
        <f>IF($B366="","",  VLOOKUP($B366, Propostas!$B:$BE, 3, FALSE) )</f>
        <v/>
      </c>
      <c r="H366" s="4" t="str">
        <f>IF($B366="","",  VLOOKUP($B366, Propostas!$B:$BE, 4, FALSE) )</f>
        <v/>
      </c>
      <c r="I366" s="4" t="str">
        <f>IF($B366="","",  VLOOKUP($B366, Propostas!$B:$BE, 38, FALSE) )</f>
        <v/>
      </c>
      <c r="J366" s="13" t="str">
        <f>IF($B366="","",IF($C366="SIM", "&lt; INFRRAESTRUTURA &gt;", VLOOKUP($B366,Propostas!$B:$BE,41,FALSE)))</f>
        <v/>
      </c>
      <c r="K366" s="10" t="str">
        <f>IF($B366="","",  VLOOKUP($B366, Propostas!$B:$BE, 40, FALSE) )</f>
        <v/>
      </c>
      <c r="L366" s="10" t="str">
        <f>IF($B366="","",IF(VLOOKUP($B366,Propostas!$B:$BE,21,FALSE)=1,"B",IF(VLOOKUP($B366,Propostas!$B:$BE,21,FALSE)=2,"E","N")))</f>
        <v/>
      </c>
      <c r="M366" s="32" t="str">
        <f>IF($B366 = "", "",  VLOOKUP($B366, Propostas!$B:$BE, 46, FALSE) )</f>
        <v/>
      </c>
      <c r="N366" s="32" t="str">
        <f>IF($B366 = "", "",  VLOOKUP($B366, Propostas!$B:$BE, 47, FALSE) )</f>
        <v/>
      </c>
      <c r="O366" s="13" t="str">
        <f>IF($B366="","",IF($C366="SIM", "INFRAESTRUTURA", VLOOKUP($B366, Propostas!$B:$BE,42,FALSE)))</f>
        <v/>
      </c>
      <c r="P366" s="32" t="str">
        <f>IF($B366 = "", "",  VLOOKUP($B366, Propostas!$B:$BE, 49, FALSE) )</f>
        <v/>
      </c>
      <c r="Q366" s="13" t="str">
        <f>IF($B366="","",  VLOOKUP($B366, Propostas!$B:$BE, 39, FALSE) )</f>
        <v/>
      </c>
      <c r="R366" s="81" t="str">
        <f>IF($B366="","",  VLOOKUP($B366, Propostas!$B:$BE, 43, FALSE) )</f>
        <v/>
      </c>
      <c r="S366" s="81" t="str">
        <f>IF($B366="","",  VLOOKUP($B366, Propostas!$B:$BE, 44, FALSE) )</f>
        <v/>
      </c>
      <c r="T366" s="81" t="str">
        <f>IF($B366="","",  VLOOKUP($B366, Propostas!$B:$BE, 45, FALSE) )</f>
        <v/>
      </c>
      <c r="U366" s="32" t="str">
        <f>IF($B366="","",  VLOOKUP($B366, Propostas!$B:$BE, 37, FALSE) )</f>
        <v/>
      </c>
      <c r="V366" s="13" t="str">
        <f>IF($B366="","",  VLOOKUP($B366, Propostas!$B:$BE, 50, FALSE) )</f>
        <v/>
      </c>
      <c r="W366" s="13" t="str">
        <f>IF($B366="","",  VLOOKUP($B366, Propostas!$B:$BE, 51, FALSE) )</f>
        <v/>
      </c>
      <c r="X366" s="13" t="str">
        <f>IF($B366="","",  VLOOKUP($B366, Propostas!$B:$BE, 52, FALSE) )</f>
        <v/>
      </c>
      <c r="Y366" s="13" t="str">
        <f>IF($B366="","",  VLOOKUP($B366, Propostas!$B:$BE, 36, FALSE) )</f>
        <v/>
      </c>
      <c r="Z366" s="13" t="str">
        <f>IF($B366="","",  VLOOKUP($F366, VW_PROJETO!B:C, 2, FALSE) )</f>
        <v/>
      </c>
    </row>
    <row r="367" spans="2:26" x14ac:dyDescent="0.2">
      <c r="B367" s="2"/>
      <c r="C367" s="4" t="str">
        <f>IF($B367="","",  VLOOKUP($B367, Propostas!$B:$BE, 33, FALSE) )</f>
        <v/>
      </c>
      <c r="D367" s="4" t="str">
        <f>IF($B367="","",  VLOOKUP($B367, Propostas!$B:$BE, 34, FALSE) )</f>
        <v/>
      </c>
      <c r="E367" s="4" t="str">
        <f>IF($B367="","",  VLOOKUP($B367, Propostas!$B:$BE, 35, FALSE) )</f>
        <v/>
      </c>
      <c r="F367" s="4" t="str">
        <f>IF($B367="","",  VLOOKUP($B367, Propostas!$B:$BE, 2, FALSE) )</f>
        <v/>
      </c>
      <c r="G367" s="4" t="str">
        <f>IF($B367="","",  VLOOKUP($B367, Propostas!$B:$BE, 3, FALSE) )</f>
        <v/>
      </c>
      <c r="H367" s="4" t="str">
        <f>IF($B367="","",  VLOOKUP($B367, Propostas!$B:$BE, 4, FALSE) )</f>
        <v/>
      </c>
      <c r="I367" s="4" t="str">
        <f>IF($B367="","",  VLOOKUP($B367, Propostas!$B:$BE, 38, FALSE) )</f>
        <v/>
      </c>
      <c r="J367" s="13" t="str">
        <f>IF($B367="","",IF($C367="SIM", "&lt; INFRRAESTRUTURA &gt;", VLOOKUP($B367,Propostas!$B:$BE,41,FALSE)))</f>
        <v/>
      </c>
      <c r="K367" s="10" t="str">
        <f>IF($B367="","",  VLOOKUP($B367, Propostas!$B:$BE, 40, FALSE) )</f>
        <v/>
      </c>
      <c r="L367" s="10" t="str">
        <f>IF($B367="","",IF(VLOOKUP($B367,Propostas!$B:$BE,21,FALSE)=1,"B",IF(VLOOKUP($B367,Propostas!$B:$BE,21,FALSE)=2,"E","N")))</f>
        <v/>
      </c>
      <c r="M367" s="32" t="str">
        <f>IF($B367 = "", "",  VLOOKUP($B367, Propostas!$B:$BE, 46, FALSE) )</f>
        <v/>
      </c>
      <c r="N367" s="32" t="str">
        <f>IF($B367 = "", "",  VLOOKUP($B367, Propostas!$B:$BE, 47, FALSE) )</f>
        <v/>
      </c>
      <c r="O367" s="13" t="str">
        <f>IF($B367="","",IF($C367="SIM", "INFRAESTRUTURA", VLOOKUP($B367, Propostas!$B:$BE,42,FALSE)))</f>
        <v/>
      </c>
      <c r="P367" s="32" t="str">
        <f>IF($B367 = "", "",  VLOOKUP($B367, Propostas!$B:$BE, 49, FALSE) )</f>
        <v/>
      </c>
      <c r="Q367" s="13" t="str">
        <f>IF($B367="","",  VLOOKUP($B367, Propostas!$B:$BE, 39, FALSE) )</f>
        <v/>
      </c>
      <c r="R367" s="81" t="str">
        <f>IF($B367="","",  VLOOKUP($B367, Propostas!$B:$BE, 43, FALSE) )</f>
        <v/>
      </c>
      <c r="S367" s="81" t="str">
        <f>IF($B367="","",  VLOOKUP($B367, Propostas!$B:$BE, 44, FALSE) )</f>
        <v/>
      </c>
      <c r="T367" s="81" t="str">
        <f>IF($B367="","",  VLOOKUP($B367, Propostas!$B:$BE, 45, FALSE) )</f>
        <v/>
      </c>
      <c r="U367" s="32" t="str">
        <f>IF($B367="","",  VLOOKUP($B367, Propostas!$B:$BE, 37, FALSE) )</f>
        <v/>
      </c>
      <c r="V367" s="13" t="str">
        <f>IF($B367="","",  VLOOKUP($B367, Propostas!$B:$BE, 50, FALSE) )</f>
        <v/>
      </c>
      <c r="W367" s="13" t="str">
        <f>IF($B367="","",  VLOOKUP($B367, Propostas!$B:$BE, 51, FALSE) )</f>
        <v/>
      </c>
      <c r="X367" s="13" t="str">
        <f>IF($B367="","",  VLOOKUP($B367, Propostas!$B:$BE, 52, FALSE) )</f>
        <v/>
      </c>
      <c r="Y367" s="13" t="str">
        <f>IF($B367="","",  VLOOKUP($B367, Propostas!$B:$BE, 36, FALSE) )</f>
        <v/>
      </c>
      <c r="Z367" s="13" t="str">
        <f>IF($B367="","",  VLOOKUP($F367, VW_PROJETO!B:C, 2, FALSE) )</f>
        <v/>
      </c>
    </row>
    <row r="368" spans="2:26" x14ac:dyDescent="0.2">
      <c r="B368" s="2"/>
      <c r="C368" s="4" t="str">
        <f>IF($B368="","",  VLOOKUP($B368, Propostas!$B:$BE, 33, FALSE) )</f>
        <v/>
      </c>
      <c r="D368" s="4" t="str">
        <f>IF($B368="","",  VLOOKUP($B368, Propostas!$B:$BE, 34, FALSE) )</f>
        <v/>
      </c>
      <c r="E368" s="4" t="str">
        <f>IF($B368="","",  VLOOKUP($B368, Propostas!$B:$BE, 35, FALSE) )</f>
        <v/>
      </c>
      <c r="F368" s="4" t="str">
        <f>IF($B368="","",  VLOOKUP($B368, Propostas!$B:$BE, 2, FALSE) )</f>
        <v/>
      </c>
      <c r="G368" s="4" t="str">
        <f>IF($B368="","",  VLOOKUP($B368, Propostas!$B:$BE, 3, FALSE) )</f>
        <v/>
      </c>
      <c r="H368" s="4" t="str">
        <f>IF($B368="","",  VLOOKUP($B368, Propostas!$B:$BE, 4, FALSE) )</f>
        <v/>
      </c>
      <c r="I368" s="4" t="str">
        <f>IF($B368="","",  VLOOKUP($B368, Propostas!$B:$BE, 38, FALSE) )</f>
        <v/>
      </c>
      <c r="J368" s="13" t="str">
        <f>IF($B368="","",IF($C368="SIM", "&lt; INFRRAESTRUTURA &gt;", VLOOKUP($B368,Propostas!$B:$BE,41,FALSE)))</f>
        <v/>
      </c>
      <c r="K368" s="10" t="str">
        <f>IF($B368="","",  VLOOKUP($B368, Propostas!$B:$BE, 40, FALSE) )</f>
        <v/>
      </c>
      <c r="L368" s="10" t="str">
        <f>IF($B368="","",IF(VLOOKUP($B368,Propostas!$B:$BE,21,FALSE)=1,"B",IF(VLOOKUP($B368,Propostas!$B:$BE,21,FALSE)=2,"E","N")))</f>
        <v/>
      </c>
      <c r="M368" s="32" t="str">
        <f>IF($B368 = "", "",  VLOOKUP($B368, Propostas!$B:$BE, 46, FALSE) )</f>
        <v/>
      </c>
      <c r="N368" s="32" t="str">
        <f>IF($B368 = "", "",  VLOOKUP($B368, Propostas!$B:$BE, 47, FALSE) )</f>
        <v/>
      </c>
      <c r="O368" s="13" t="str">
        <f>IF($B368="","",IF($C368="SIM", "INFRAESTRUTURA", VLOOKUP($B368, Propostas!$B:$BE,42,FALSE)))</f>
        <v/>
      </c>
      <c r="P368" s="32" t="str">
        <f>IF($B368 = "", "",  VLOOKUP($B368, Propostas!$B:$BE, 49, FALSE) )</f>
        <v/>
      </c>
      <c r="Q368" s="13" t="str">
        <f>IF($B368="","",  VLOOKUP($B368, Propostas!$B:$BE, 39, FALSE) )</f>
        <v/>
      </c>
      <c r="R368" s="81" t="str">
        <f>IF($B368="","",  VLOOKUP($B368, Propostas!$B:$BE, 43, FALSE) )</f>
        <v/>
      </c>
      <c r="S368" s="81" t="str">
        <f>IF($B368="","",  VLOOKUP($B368, Propostas!$B:$BE, 44, FALSE) )</f>
        <v/>
      </c>
      <c r="T368" s="81" t="str">
        <f>IF($B368="","",  VLOOKUP($B368, Propostas!$B:$BE, 45, FALSE) )</f>
        <v/>
      </c>
      <c r="U368" s="32" t="str">
        <f>IF($B368="","",  VLOOKUP($B368, Propostas!$B:$BE, 37, FALSE) )</f>
        <v/>
      </c>
      <c r="V368" s="13" t="str">
        <f>IF($B368="","",  VLOOKUP($B368, Propostas!$B:$BE, 50, FALSE) )</f>
        <v/>
      </c>
      <c r="W368" s="13" t="str">
        <f>IF($B368="","",  VLOOKUP($B368, Propostas!$B:$BE, 51, FALSE) )</f>
        <v/>
      </c>
      <c r="X368" s="13" t="str">
        <f>IF($B368="","",  VLOOKUP($B368, Propostas!$B:$BE, 52, FALSE) )</f>
        <v/>
      </c>
      <c r="Y368" s="13" t="str">
        <f>IF($B368="","",  VLOOKUP($B368, Propostas!$B:$BE, 36, FALSE) )</f>
        <v/>
      </c>
      <c r="Z368" s="13" t="str">
        <f>IF($B368="","",  VLOOKUP($F368, VW_PROJETO!B:C, 2, FALSE) )</f>
        <v/>
      </c>
    </row>
    <row r="369" spans="2:26" x14ac:dyDescent="0.2">
      <c r="B369" s="2"/>
      <c r="C369" s="4" t="str">
        <f>IF($B369="","",  VLOOKUP($B369, Propostas!$B:$BE, 33, FALSE) )</f>
        <v/>
      </c>
      <c r="D369" s="4" t="str">
        <f>IF($B369="","",  VLOOKUP($B369, Propostas!$B:$BE, 34, FALSE) )</f>
        <v/>
      </c>
      <c r="E369" s="4" t="str">
        <f>IF($B369="","",  VLOOKUP($B369, Propostas!$B:$BE, 35, FALSE) )</f>
        <v/>
      </c>
      <c r="F369" s="4" t="str">
        <f>IF($B369="","",  VLOOKUP($B369, Propostas!$B:$BE, 2, FALSE) )</f>
        <v/>
      </c>
      <c r="G369" s="4" t="str">
        <f>IF($B369="","",  VLOOKUP($B369, Propostas!$B:$BE, 3, FALSE) )</f>
        <v/>
      </c>
      <c r="H369" s="4" t="str">
        <f>IF($B369="","",  VLOOKUP($B369, Propostas!$B:$BE, 4, FALSE) )</f>
        <v/>
      </c>
      <c r="I369" s="4" t="str">
        <f>IF($B369="","",  VLOOKUP($B369, Propostas!$B:$BE, 38, FALSE) )</f>
        <v/>
      </c>
      <c r="J369" s="13" t="str">
        <f>IF($B369="","",IF($C369="SIM", "&lt; INFRRAESTRUTURA &gt;", VLOOKUP($B369,Propostas!$B:$BE,41,FALSE)))</f>
        <v/>
      </c>
      <c r="K369" s="10" t="str">
        <f>IF($B369="","",  VLOOKUP($B369, Propostas!$B:$BE, 40, FALSE) )</f>
        <v/>
      </c>
      <c r="L369" s="10" t="str">
        <f>IF($B369="","",IF(VLOOKUP($B369,Propostas!$B:$BE,21,FALSE)=1,"B",IF(VLOOKUP($B369,Propostas!$B:$BE,21,FALSE)=2,"E","N")))</f>
        <v/>
      </c>
      <c r="M369" s="32" t="str">
        <f>IF($B369 = "", "",  VLOOKUP($B369, Propostas!$B:$BE, 46, FALSE) )</f>
        <v/>
      </c>
      <c r="N369" s="32" t="str">
        <f>IF($B369 = "", "",  VLOOKUP($B369, Propostas!$B:$BE, 47, FALSE) )</f>
        <v/>
      </c>
      <c r="O369" s="13" t="str">
        <f>IF($B369="","",IF($C369="SIM", "INFRAESTRUTURA", VLOOKUP($B369, Propostas!$B:$BE,42,FALSE)))</f>
        <v/>
      </c>
      <c r="P369" s="32" t="str">
        <f>IF($B369 = "", "",  VLOOKUP($B369, Propostas!$B:$BE, 49, FALSE) )</f>
        <v/>
      </c>
      <c r="Q369" s="13" t="str">
        <f>IF($B369="","",  VLOOKUP($B369, Propostas!$B:$BE, 39, FALSE) )</f>
        <v/>
      </c>
      <c r="R369" s="81" t="str">
        <f>IF($B369="","",  VLOOKUP($B369, Propostas!$B:$BE, 43, FALSE) )</f>
        <v/>
      </c>
      <c r="S369" s="81" t="str">
        <f>IF($B369="","",  VLOOKUP($B369, Propostas!$B:$BE, 44, FALSE) )</f>
        <v/>
      </c>
      <c r="T369" s="81" t="str">
        <f>IF($B369="","",  VLOOKUP($B369, Propostas!$B:$BE, 45, FALSE) )</f>
        <v/>
      </c>
      <c r="U369" s="32" t="str">
        <f>IF($B369="","",  VLOOKUP($B369, Propostas!$B:$BE, 37, FALSE) )</f>
        <v/>
      </c>
      <c r="V369" s="13" t="str">
        <f>IF($B369="","",  VLOOKUP($B369, Propostas!$B:$BE, 50, FALSE) )</f>
        <v/>
      </c>
      <c r="W369" s="13" t="str">
        <f>IF($B369="","",  VLOOKUP($B369, Propostas!$B:$BE, 51, FALSE) )</f>
        <v/>
      </c>
      <c r="X369" s="13" t="str">
        <f>IF($B369="","",  VLOOKUP($B369, Propostas!$B:$BE, 52, FALSE) )</f>
        <v/>
      </c>
      <c r="Y369" s="13" t="str">
        <f>IF($B369="","",  VLOOKUP($B369, Propostas!$B:$BE, 36, FALSE) )</f>
        <v/>
      </c>
      <c r="Z369" s="13" t="str">
        <f>IF($B369="","",  VLOOKUP($F369, VW_PROJETO!B:C, 2, FALSE) )</f>
        <v/>
      </c>
    </row>
    <row r="370" spans="2:26" x14ac:dyDescent="0.2">
      <c r="B370" s="2"/>
      <c r="C370" s="4" t="str">
        <f>IF($B370="","",  VLOOKUP($B370, Propostas!$B:$BE, 33, FALSE) )</f>
        <v/>
      </c>
      <c r="D370" s="4" t="str">
        <f>IF($B370="","",  VLOOKUP($B370, Propostas!$B:$BE, 34, FALSE) )</f>
        <v/>
      </c>
      <c r="E370" s="4" t="str">
        <f>IF($B370="","",  VLOOKUP($B370, Propostas!$B:$BE, 35, FALSE) )</f>
        <v/>
      </c>
      <c r="F370" s="4" t="str">
        <f>IF($B370="","",  VLOOKUP($B370, Propostas!$B:$BE, 2, FALSE) )</f>
        <v/>
      </c>
      <c r="G370" s="4" t="str">
        <f>IF($B370="","",  VLOOKUP($B370, Propostas!$B:$BE, 3, FALSE) )</f>
        <v/>
      </c>
      <c r="H370" s="4" t="str">
        <f>IF($B370="","",  VLOOKUP($B370, Propostas!$B:$BE, 4, FALSE) )</f>
        <v/>
      </c>
      <c r="I370" s="4" t="str">
        <f>IF($B370="","",  VLOOKUP($B370, Propostas!$B:$BE, 38, FALSE) )</f>
        <v/>
      </c>
      <c r="J370" s="13" t="str">
        <f>IF($B370="","",IF($C370="SIM", "&lt; INFRRAESTRUTURA &gt;", VLOOKUP($B370,Propostas!$B:$BE,41,FALSE)))</f>
        <v/>
      </c>
      <c r="K370" s="10" t="str">
        <f>IF($B370="","",  VLOOKUP($B370, Propostas!$B:$BE, 40, FALSE) )</f>
        <v/>
      </c>
      <c r="L370" s="10" t="str">
        <f>IF($B370="","",IF(VLOOKUP($B370,Propostas!$B:$BE,21,FALSE)=1,"B",IF(VLOOKUP($B370,Propostas!$B:$BE,21,FALSE)=2,"E","N")))</f>
        <v/>
      </c>
      <c r="M370" s="32" t="str">
        <f>IF($B370 = "", "",  VLOOKUP($B370, Propostas!$B:$BE, 46, FALSE) )</f>
        <v/>
      </c>
      <c r="N370" s="32" t="str">
        <f>IF($B370 = "", "",  VLOOKUP($B370, Propostas!$B:$BE, 47, FALSE) )</f>
        <v/>
      </c>
      <c r="O370" s="13" t="str">
        <f>IF($B370="","",IF($C370="SIM", "INFRAESTRUTURA", VLOOKUP($B370, Propostas!$B:$BE,42,FALSE)))</f>
        <v/>
      </c>
      <c r="P370" s="32" t="str">
        <f>IF($B370 = "", "",  VLOOKUP($B370, Propostas!$B:$BE, 49, FALSE) )</f>
        <v/>
      </c>
      <c r="Q370" s="13" t="str">
        <f>IF($B370="","",  VLOOKUP($B370, Propostas!$B:$BE, 39, FALSE) )</f>
        <v/>
      </c>
      <c r="R370" s="81" t="str">
        <f>IF($B370="","",  VLOOKUP($B370, Propostas!$B:$BE, 43, FALSE) )</f>
        <v/>
      </c>
      <c r="S370" s="81" t="str">
        <f>IF($B370="","",  VLOOKUP($B370, Propostas!$B:$BE, 44, FALSE) )</f>
        <v/>
      </c>
      <c r="T370" s="81" t="str">
        <f>IF($B370="","",  VLOOKUP($B370, Propostas!$B:$BE, 45, FALSE) )</f>
        <v/>
      </c>
      <c r="U370" s="32" t="str">
        <f>IF($B370="","",  VLOOKUP($B370, Propostas!$B:$BE, 37, FALSE) )</f>
        <v/>
      </c>
      <c r="V370" s="13" t="str">
        <f>IF($B370="","",  VLOOKUP($B370, Propostas!$B:$BE, 50, FALSE) )</f>
        <v/>
      </c>
      <c r="W370" s="13" t="str">
        <f>IF($B370="","",  VLOOKUP($B370, Propostas!$B:$BE, 51, FALSE) )</f>
        <v/>
      </c>
      <c r="X370" s="13" t="str">
        <f>IF($B370="","",  VLOOKUP($B370, Propostas!$B:$BE, 52, FALSE) )</f>
        <v/>
      </c>
      <c r="Y370" s="13" t="str">
        <f>IF($B370="","",  VLOOKUP($B370, Propostas!$B:$BE, 36, FALSE) )</f>
        <v/>
      </c>
      <c r="Z370" s="13" t="str">
        <f>IF($B370="","",  VLOOKUP($F370, VW_PROJETO!B:C, 2, FALSE) )</f>
        <v/>
      </c>
    </row>
    <row r="371" spans="2:26" x14ac:dyDescent="0.2">
      <c r="B371" s="2"/>
      <c r="C371" s="4" t="str">
        <f>IF($B371="","",  VLOOKUP($B371, Propostas!$B:$BE, 33, FALSE) )</f>
        <v/>
      </c>
      <c r="D371" s="4" t="str">
        <f>IF($B371="","",  VLOOKUP($B371, Propostas!$B:$BE, 34, FALSE) )</f>
        <v/>
      </c>
      <c r="E371" s="4" t="str">
        <f>IF($B371="","",  VLOOKUP($B371, Propostas!$B:$BE, 35, FALSE) )</f>
        <v/>
      </c>
      <c r="F371" s="4" t="str">
        <f>IF($B371="","",  VLOOKUP($B371, Propostas!$B:$BE, 2, FALSE) )</f>
        <v/>
      </c>
      <c r="G371" s="4" t="str">
        <f>IF($B371="","",  VLOOKUP($B371, Propostas!$B:$BE, 3, FALSE) )</f>
        <v/>
      </c>
      <c r="H371" s="4" t="str">
        <f>IF($B371="","",  VLOOKUP($B371, Propostas!$B:$BE, 4, FALSE) )</f>
        <v/>
      </c>
      <c r="I371" s="4" t="str">
        <f>IF($B371="","",  VLOOKUP($B371, Propostas!$B:$BE, 38, FALSE) )</f>
        <v/>
      </c>
      <c r="J371" s="13" t="str">
        <f>IF($B371="","",IF($C371="SIM", "&lt; INFRRAESTRUTURA &gt;", VLOOKUP($B371,Propostas!$B:$BE,41,FALSE)))</f>
        <v/>
      </c>
      <c r="K371" s="10" t="str">
        <f>IF($B371="","",  VLOOKUP($B371, Propostas!$B:$BE, 40, FALSE) )</f>
        <v/>
      </c>
      <c r="L371" s="10" t="str">
        <f>IF($B371="","",IF(VLOOKUP($B371,Propostas!$B:$BE,21,FALSE)=1,"B",IF(VLOOKUP($B371,Propostas!$B:$BE,21,FALSE)=2,"E","N")))</f>
        <v/>
      </c>
      <c r="M371" s="32" t="str">
        <f>IF($B371 = "", "",  VLOOKUP($B371, Propostas!$B:$BE, 46, FALSE) )</f>
        <v/>
      </c>
      <c r="N371" s="32" t="str">
        <f>IF($B371 = "", "",  VLOOKUP($B371, Propostas!$B:$BE, 47, FALSE) )</f>
        <v/>
      </c>
      <c r="O371" s="13" t="str">
        <f>IF($B371="","",IF($C371="SIM", "INFRAESTRUTURA", VLOOKUP($B371, Propostas!$B:$BE,42,FALSE)))</f>
        <v/>
      </c>
      <c r="P371" s="32" t="str">
        <f>IF($B371 = "", "",  VLOOKUP($B371, Propostas!$B:$BE, 49, FALSE) )</f>
        <v/>
      </c>
      <c r="Q371" s="13" t="str">
        <f>IF($B371="","",  VLOOKUP($B371, Propostas!$B:$BE, 39, FALSE) )</f>
        <v/>
      </c>
      <c r="R371" s="81" t="str">
        <f>IF($B371="","",  VLOOKUP($B371, Propostas!$B:$BE, 43, FALSE) )</f>
        <v/>
      </c>
      <c r="S371" s="81" t="str">
        <f>IF($B371="","",  VLOOKUP($B371, Propostas!$B:$BE, 44, FALSE) )</f>
        <v/>
      </c>
      <c r="T371" s="81" t="str">
        <f>IF($B371="","",  VLOOKUP($B371, Propostas!$B:$BE, 45, FALSE) )</f>
        <v/>
      </c>
      <c r="U371" s="32" t="str">
        <f>IF($B371="","",  VLOOKUP($B371, Propostas!$B:$BE, 37, FALSE) )</f>
        <v/>
      </c>
      <c r="V371" s="13" t="str">
        <f>IF($B371="","",  VLOOKUP($B371, Propostas!$B:$BE, 50, FALSE) )</f>
        <v/>
      </c>
      <c r="W371" s="13" t="str">
        <f>IF($B371="","",  VLOOKUP($B371, Propostas!$B:$BE, 51, FALSE) )</f>
        <v/>
      </c>
      <c r="X371" s="13" t="str">
        <f>IF($B371="","",  VLOOKUP($B371, Propostas!$B:$BE, 52, FALSE) )</f>
        <v/>
      </c>
      <c r="Y371" s="13" t="str">
        <f>IF($B371="","",  VLOOKUP($B371, Propostas!$B:$BE, 36, FALSE) )</f>
        <v/>
      </c>
      <c r="Z371" s="13" t="str">
        <f>IF($B371="","",  VLOOKUP($F371, VW_PROJETO!B:C, 2, FALSE) )</f>
        <v/>
      </c>
    </row>
    <row r="372" spans="2:26" x14ac:dyDescent="0.2">
      <c r="B372" s="2"/>
      <c r="C372" s="4" t="str">
        <f>IF($B372="","",  VLOOKUP($B372, Propostas!$B:$BE, 33, FALSE) )</f>
        <v/>
      </c>
      <c r="D372" s="4" t="str">
        <f>IF($B372="","",  VLOOKUP($B372, Propostas!$B:$BE, 34, FALSE) )</f>
        <v/>
      </c>
      <c r="E372" s="4" t="str">
        <f>IF($B372="","",  VLOOKUP($B372, Propostas!$B:$BE, 35, FALSE) )</f>
        <v/>
      </c>
      <c r="F372" s="4" t="str">
        <f>IF($B372="","",  VLOOKUP($B372, Propostas!$B:$BE, 2, FALSE) )</f>
        <v/>
      </c>
      <c r="G372" s="4" t="str">
        <f>IF($B372="","",  VLOOKUP($B372, Propostas!$B:$BE, 3, FALSE) )</f>
        <v/>
      </c>
      <c r="H372" s="4" t="str">
        <f>IF($B372="","",  VLOOKUP($B372, Propostas!$B:$BE, 4, FALSE) )</f>
        <v/>
      </c>
      <c r="I372" s="4" t="str">
        <f>IF($B372="","",  VLOOKUP($B372, Propostas!$B:$BE, 38, FALSE) )</f>
        <v/>
      </c>
      <c r="J372" s="13" t="str">
        <f>IF($B372="","",IF($C372="SIM", "&lt; INFRRAESTRUTURA &gt;", VLOOKUP($B372,Propostas!$B:$BE,41,FALSE)))</f>
        <v/>
      </c>
      <c r="K372" s="10" t="str">
        <f>IF($B372="","",  VLOOKUP($B372, Propostas!$B:$BE, 40, FALSE) )</f>
        <v/>
      </c>
      <c r="L372" s="10" t="str">
        <f>IF($B372="","",IF(VLOOKUP($B372,Propostas!$B:$BE,21,FALSE)=1,"B",IF(VLOOKUP($B372,Propostas!$B:$BE,21,FALSE)=2,"E","N")))</f>
        <v/>
      </c>
      <c r="M372" s="32" t="str">
        <f>IF($B372 = "", "",  VLOOKUP($B372, Propostas!$B:$BE, 46, FALSE) )</f>
        <v/>
      </c>
      <c r="N372" s="32" t="str">
        <f>IF($B372 = "", "",  VLOOKUP($B372, Propostas!$B:$BE, 47, FALSE) )</f>
        <v/>
      </c>
      <c r="O372" s="13" t="str">
        <f>IF($B372="","",IF($C372="SIM", "INFRAESTRUTURA", VLOOKUP($B372, Propostas!$B:$BE,42,FALSE)))</f>
        <v/>
      </c>
      <c r="P372" s="32" t="str">
        <f>IF($B372 = "", "",  VLOOKUP($B372, Propostas!$B:$BE, 49, FALSE) )</f>
        <v/>
      </c>
      <c r="Q372" s="13" t="str">
        <f>IF($B372="","",  VLOOKUP($B372, Propostas!$B:$BE, 39, FALSE) )</f>
        <v/>
      </c>
      <c r="R372" s="81" t="str">
        <f>IF($B372="","",  VLOOKUP($B372, Propostas!$B:$BE, 43, FALSE) )</f>
        <v/>
      </c>
      <c r="S372" s="81" t="str">
        <f>IF($B372="","",  VLOOKUP($B372, Propostas!$B:$BE, 44, FALSE) )</f>
        <v/>
      </c>
      <c r="T372" s="81" t="str">
        <f>IF($B372="","",  VLOOKUP($B372, Propostas!$B:$BE, 45, FALSE) )</f>
        <v/>
      </c>
      <c r="U372" s="32" t="str">
        <f>IF($B372="","",  VLOOKUP($B372, Propostas!$B:$BE, 37, FALSE) )</f>
        <v/>
      </c>
      <c r="V372" s="13" t="str">
        <f>IF($B372="","",  VLOOKUP($B372, Propostas!$B:$BE, 50, FALSE) )</f>
        <v/>
      </c>
      <c r="W372" s="13" t="str">
        <f>IF($B372="","",  VLOOKUP($B372, Propostas!$B:$BE, 51, FALSE) )</f>
        <v/>
      </c>
      <c r="X372" s="13" t="str">
        <f>IF($B372="","",  VLOOKUP($B372, Propostas!$B:$BE, 52, FALSE) )</f>
        <v/>
      </c>
      <c r="Y372" s="13" t="str">
        <f>IF($B372="","",  VLOOKUP($B372, Propostas!$B:$BE, 36, FALSE) )</f>
        <v/>
      </c>
      <c r="Z372" s="13" t="str">
        <f>IF($B372="","",  VLOOKUP($F372, VW_PROJETO!B:C, 2, FALSE) )</f>
        <v/>
      </c>
    </row>
    <row r="373" spans="2:26" x14ac:dyDescent="0.2">
      <c r="B373" s="2"/>
      <c r="C373" s="4" t="str">
        <f>IF($B373="","",  VLOOKUP($B373, Propostas!$B:$BE, 33, FALSE) )</f>
        <v/>
      </c>
      <c r="D373" s="4" t="str">
        <f>IF($B373="","",  VLOOKUP($B373, Propostas!$B:$BE, 34, FALSE) )</f>
        <v/>
      </c>
      <c r="E373" s="4" t="str">
        <f>IF($B373="","",  VLOOKUP($B373, Propostas!$B:$BE, 35, FALSE) )</f>
        <v/>
      </c>
      <c r="F373" s="4" t="str">
        <f>IF($B373="","",  VLOOKUP($B373, Propostas!$B:$BE, 2, FALSE) )</f>
        <v/>
      </c>
      <c r="G373" s="4" t="str">
        <f>IF($B373="","",  VLOOKUP($B373, Propostas!$B:$BE, 3, FALSE) )</f>
        <v/>
      </c>
      <c r="H373" s="4" t="str">
        <f>IF($B373="","",  VLOOKUP($B373, Propostas!$B:$BE, 4, FALSE) )</f>
        <v/>
      </c>
      <c r="I373" s="4" t="str">
        <f>IF($B373="","",  VLOOKUP($B373, Propostas!$B:$BE, 38, FALSE) )</f>
        <v/>
      </c>
      <c r="J373" s="13" t="str">
        <f>IF($B373="","",IF($C373="SIM", "&lt; INFRRAESTRUTURA &gt;", VLOOKUP($B373,Propostas!$B:$BE,41,FALSE)))</f>
        <v/>
      </c>
      <c r="K373" s="10" t="str">
        <f>IF($B373="","",  VLOOKUP($B373, Propostas!$B:$BE, 40, FALSE) )</f>
        <v/>
      </c>
      <c r="L373" s="10" t="str">
        <f>IF($B373="","",IF(VLOOKUP($B373,Propostas!$B:$BE,21,FALSE)=1,"B",IF(VLOOKUP($B373,Propostas!$B:$BE,21,FALSE)=2,"E","N")))</f>
        <v/>
      </c>
      <c r="M373" s="32" t="str">
        <f>IF($B373 = "", "",  VLOOKUP($B373, Propostas!$B:$BE, 46, FALSE) )</f>
        <v/>
      </c>
      <c r="N373" s="32" t="str">
        <f>IF($B373 = "", "",  VLOOKUP($B373, Propostas!$B:$BE, 47, FALSE) )</f>
        <v/>
      </c>
      <c r="O373" s="13" t="str">
        <f>IF($B373="","",IF($C373="SIM", "INFRAESTRUTURA", VLOOKUP($B373, Propostas!$B:$BE,42,FALSE)))</f>
        <v/>
      </c>
      <c r="P373" s="32" t="str">
        <f>IF($B373 = "", "",  VLOOKUP($B373, Propostas!$B:$BE, 49, FALSE) )</f>
        <v/>
      </c>
      <c r="Q373" s="13" t="str">
        <f>IF($B373="","",  VLOOKUP($B373, Propostas!$B:$BE, 39, FALSE) )</f>
        <v/>
      </c>
      <c r="R373" s="81" t="str">
        <f>IF($B373="","",  VLOOKUP($B373, Propostas!$B:$BE, 43, FALSE) )</f>
        <v/>
      </c>
      <c r="S373" s="81" t="str">
        <f>IF($B373="","",  VLOOKUP($B373, Propostas!$B:$BE, 44, FALSE) )</f>
        <v/>
      </c>
      <c r="T373" s="81" t="str">
        <f>IF($B373="","",  VLOOKUP($B373, Propostas!$B:$BE, 45, FALSE) )</f>
        <v/>
      </c>
      <c r="U373" s="32" t="str">
        <f>IF($B373="","",  VLOOKUP($B373, Propostas!$B:$BE, 37, FALSE) )</f>
        <v/>
      </c>
      <c r="V373" s="13" t="str">
        <f>IF($B373="","",  VLOOKUP($B373, Propostas!$B:$BE, 50, FALSE) )</f>
        <v/>
      </c>
      <c r="W373" s="13" t="str">
        <f>IF($B373="","",  VLOOKUP($B373, Propostas!$B:$BE, 51, FALSE) )</f>
        <v/>
      </c>
      <c r="X373" s="13" t="str">
        <f>IF($B373="","",  VLOOKUP($B373, Propostas!$B:$BE, 52, FALSE) )</f>
        <v/>
      </c>
      <c r="Y373" s="13" t="str">
        <f>IF($B373="","",  VLOOKUP($B373, Propostas!$B:$BE, 36, FALSE) )</f>
        <v/>
      </c>
      <c r="Z373" s="13" t="str">
        <f>IF($B373="","",  VLOOKUP($F373, VW_PROJETO!B:C, 2, FALSE) )</f>
        <v/>
      </c>
    </row>
    <row r="374" spans="2:26" x14ac:dyDescent="0.2">
      <c r="B374" s="2"/>
      <c r="C374" s="4" t="str">
        <f>IF($B374="","",  VLOOKUP($B374, Propostas!$B:$BE, 33, FALSE) )</f>
        <v/>
      </c>
      <c r="D374" s="4" t="str">
        <f>IF($B374="","",  VLOOKUP($B374, Propostas!$B:$BE, 34, FALSE) )</f>
        <v/>
      </c>
      <c r="E374" s="4" t="str">
        <f>IF($B374="","",  VLOOKUP($B374, Propostas!$B:$BE, 35, FALSE) )</f>
        <v/>
      </c>
      <c r="F374" s="4" t="str">
        <f>IF($B374="","",  VLOOKUP($B374, Propostas!$B:$BE, 2, FALSE) )</f>
        <v/>
      </c>
      <c r="G374" s="4" t="str">
        <f>IF($B374="","",  VLOOKUP($B374, Propostas!$B:$BE, 3, FALSE) )</f>
        <v/>
      </c>
      <c r="H374" s="4" t="str">
        <f>IF($B374="","",  VLOOKUP($B374, Propostas!$B:$BE, 4, FALSE) )</f>
        <v/>
      </c>
      <c r="I374" s="4" t="str">
        <f>IF($B374="","",  VLOOKUP($B374, Propostas!$B:$BE, 38, FALSE) )</f>
        <v/>
      </c>
      <c r="J374" s="13" t="str">
        <f>IF($B374="","",IF($C374="SIM", "&lt; INFRRAESTRUTURA &gt;", VLOOKUP($B374,Propostas!$B:$BE,41,FALSE)))</f>
        <v/>
      </c>
      <c r="K374" s="10" t="str">
        <f>IF($B374="","",  VLOOKUP($B374, Propostas!$B:$BE, 40, FALSE) )</f>
        <v/>
      </c>
      <c r="L374" s="10" t="str">
        <f>IF($B374="","",IF(VLOOKUP($B374,Propostas!$B:$BE,21,FALSE)=1,"B",IF(VLOOKUP($B374,Propostas!$B:$BE,21,FALSE)=2,"E","N")))</f>
        <v/>
      </c>
      <c r="M374" s="32" t="str">
        <f>IF($B374 = "", "",  VLOOKUP($B374, Propostas!$B:$BE, 46, FALSE) )</f>
        <v/>
      </c>
      <c r="N374" s="32" t="str">
        <f>IF($B374 = "", "",  VLOOKUP($B374, Propostas!$B:$BE, 47, FALSE) )</f>
        <v/>
      </c>
      <c r="O374" s="13" t="str">
        <f>IF($B374="","",IF($C374="SIM", "INFRAESTRUTURA", VLOOKUP($B374, Propostas!$B:$BE,42,FALSE)))</f>
        <v/>
      </c>
      <c r="P374" s="32" t="str">
        <f>IF($B374 = "", "",  VLOOKUP($B374, Propostas!$B:$BE, 49, FALSE) )</f>
        <v/>
      </c>
      <c r="Q374" s="13" t="str">
        <f>IF($B374="","",  VLOOKUP($B374, Propostas!$B:$BE, 39, FALSE) )</f>
        <v/>
      </c>
      <c r="R374" s="81" t="str">
        <f>IF($B374="","",  VLOOKUP($B374, Propostas!$B:$BE, 43, FALSE) )</f>
        <v/>
      </c>
      <c r="S374" s="81" t="str">
        <f>IF($B374="","",  VLOOKUP($B374, Propostas!$B:$BE, 44, FALSE) )</f>
        <v/>
      </c>
      <c r="T374" s="81" t="str">
        <f>IF($B374="","",  VLOOKUP($B374, Propostas!$B:$BE, 45, FALSE) )</f>
        <v/>
      </c>
      <c r="U374" s="32" t="str">
        <f>IF($B374="","",  VLOOKUP($B374, Propostas!$B:$BE, 37, FALSE) )</f>
        <v/>
      </c>
      <c r="V374" s="13" t="str">
        <f>IF($B374="","",  VLOOKUP($B374, Propostas!$B:$BE, 50, FALSE) )</f>
        <v/>
      </c>
      <c r="W374" s="13" t="str">
        <f>IF($B374="","",  VLOOKUP($B374, Propostas!$B:$BE, 51, FALSE) )</f>
        <v/>
      </c>
      <c r="X374" s="13" t="str">
        <f>IF($B374="","",  VLOOKUP($B374, Propostas!$B:$BE, 52, FALSE) )</f>
        <v/>
      </c>
      <c r="Y374" s="13" t="str">
        <f>IF($B374="","",  VLOOKUP($B374, Propostas!$B:$BE, 36, FALSE) )</f>
        <v/>
      </c>
      <c r="Z374" s="13" t="str">
        <f>IF($B374="","",  VLOOKUP($F374, VW_PROJETO!B:C, 2, FALSE) )</f>
        <v/>
      </c>
    </row>
    <row r="375" spans="2:26" x14ac:dyDescent="0.2">
      <c r="B375" s="2"/>
      <c r="C375" s="4" t="str">
        <f>IF($B375="","",  VLOOKUP($B375, Propostas!$B:$BE, 33, FALSE) )</f>
        <v/>
      </c>
      <c r="D375" s="4" t="str">
        <f>IF($B375="","",  VLOOKUP($B375, Propostas!$B:$BE, 34, FALSE) )</f>
        <v/>
      </c>
      <c r="E375" s="4" t="str">
        <f>IF($B375="","",  VLOOKUP($B375, Propostas!$B:$BE, 35, FALSE) )</f>
        <v/>
      </c>
      <c r="F375" s="4" t="str">
        <f>IF($B375="","",  VLOOKUP($B375, Propostas!$B:$BE, 2, FALSE) )</f>
        <v/>
      </c>
      <c r="G375" s="4" t="str">
        <f>IF($B375="","",  VLOOKUP($B375, Propostas!$B:$BE, 3, FALSE) )</f>
        <v/>
      </c>
      <c r="H375" s="4" t="str">
        <f>IF($B375="","",  VLOOKUP($B375, Propostas!$B:$BE, 4, FALSE) )</f>
        <v/>
      </c>
      <c r="I375" s="4" t="str">
        <f>IF($B375="","",  VLOOKUP($B375, Propostas!$B:$BE, 38, FALSE) )</f>
        <v/>
      </c>
      <c r="J375" s="13" t="str">
        <f>IF($B375="","",IF($C375="SIM", "&lt; INFRRAESTRUTURA &gt;", VLOOKUP($B375,Propostas!$B:$BE,41,FALSE)))</f>
        <v/>
      </c>
      <c r="K375" s="10" t="str">
        <f>IF($B375="","",  VLOOKUP($B375, Propostas!$B:$BE, 40, FALSE) )</f>
        <v/>
      </c>
      <c r="L375" s="10" t="str">
        <f>IF($B375="","",IF(VLOOKUP($B375,Propostas!$B:$BE,21,FALSE)=1,"B",IF(VLOOKUP($B375,Propostas!$B:$BE,21,FALSE)=2,"E","N")))</f>
        <v/>
      </c>
      <c r="M375" s="32" t="str">
        <f>IF($B375 = "", "",  VLOOKUP($B375, Propostas!$B:$BE, 46, FALSE) )</f>
        <v/>
      </c>
      <c r="N375" s="32" t="str">
        <f>IF($B375 = "", "",  VLOOKUP($B375, Propostas!$B:$BE, 47, FALSE) )</f>
        <v/>
      </c>
      <c r="O375" s="13" t="str">
        <f>IF($B375="","",IF($C375="SIM", "INFRAESTRUTURA", VLOOKUP($B375, Propostas!$B:$BE,42,FALSE)))</f>
        <v/>
      </c>
      <c r="P375" s="32" t="str">
        <f>IF($B375 = "", "",  VLOOKUP($B375, Propostas!$B:$BE, 49, FALSE) )</f>
        <v/>
      </c>
      <c r="Q375" s="13" t="str">
        <f>IF($B375="","",  VLOOKUP($B375, Propostas!$B:$BE, 39, FALSE) )</f>
        <v/>
      </c>
      <c r="R375" s="81" t="str">
        <f>IF($B375="","",  VLOOKUP($B375, Propostas!$B:$BE, 43, FALSE) )</f>
        <v/>
      </c>
      <c r="S375" s="81" t="str">
        <f>IF($B375="","",  VLOOKUP($B375, Propostas!$B:$BE, 44, FALSE) )</f>
        <v/>
      </c>
      <c r="T375" s="81" t="str">
        <f>IF($B375="","",  VLOOKUP($B375, Propostas!$B:$BE, 45, FALSE) )</f>
        <v/>
      </c>
      <c r="U375" s="32" t="str">
        <f>IF($B375="","",  VLOOKUP($B375, Propostas!$B:$BE, 37, FALSE) )</f>
        <v/>
      </c>
      <c r="V375" s="13" t="str">
        <f>IF($B375="","",  VLOOKUP($B375, Propostas!$B:$BE, 50, FALSE) )</f>
        <v/>
      </c>
      <c r="W375" s="13" t="str">
        <f>IF($B375="","",  VLOOKUP($B375, Propostas!$B:$BE, 51, FALSE) )</f>
        <v/>
      </c>
      <c r="X375" s="13" t="str">
        <f>IF($B375="","",  VLOOKUP($B375, Propostas!$B:$BE, 52, FALSE) )</f>
        <v/>
      </c>
      <c r="Y375" s="13" t="str">
        <f>IF($B375="","",  VLOOKUP($B375, Propostas!$B:$BE, 36, FALSE) )</f>
        <v/>
      </c>
      <c r="Z375" s="13" t="str">
        <f>IF($B375="","",  VLOOKUP($F375, VW_PROJETO!B:C, 2, FALSE) )</f>
        <v/>
      </c>
    </row>
    <row r="376" spans="2:26" x14ac:dyDescent="0.2">
      <c r="B376" s="2"/>
      <c r="C376" s="4" t="str">
        <f>IF($B376="","",  VLOOKUP($B376, Propostas!$B:$BE, 33, FALSE) )</f>
        <v/>
      </c>
      <c r="D376" s="4" t="str">
        <f>IF($B376="","",  VLOOKUP($B376, Propostas!$B:$BE, 34, FALSE) )</f>
        <v/>
      </c>
      <c r="E376" s="4" t="str">
        <f>IF($B376="","",  VLOOKUP($B376, Propostas!$B:$BE, 35, FALSE) )</f>
        <v/>
      </c>
      <c r="F376" s="4" t="str">
        <f>IF($B376="","",  VLOOKUP($B376, Propostas!$B:$BE, 2, FALSE) )</f>
        <v/>
      </c>
      <c r="G376" s="4" t="str">
        <f>IF($B376="","",  VLOOKUP($B376, Propostas!$B:$BE, 3, FALSE) )</f>
        <v/>
      </c>
      <c r="H376" s="4" t="str">
        <f>IF($B376="","",  VLOOKUP($B376, Propostas!$B:$BE, 4, FALSE) )</f>
        <v/>
      </c>
      <c r="I376" s="4" t="str">
        <f>IF($B376="","",  VLOOKUP($B376, Propostas!$B:$BE, 38, FALSE) )</f>
        <v/>
      </c>
      <c r="J376" s="13" t="str">
        <f>IF($B376="","",IF($C376="SIM", "&lt; INFRRAESTRUTURA &gt;", VLOOKUP($B376,Propostas!$B:$BE,41,FALSE)))</f>
        <v/>
      </c>
      <c r="K376" s="10" t="str">
        <f>IF($B376="","",  VLOOKUP($B376, Propostas!$B:$BE, 40, FALSE) )</f>
        <v/>
      </c>
      <c r="L376" s="10" t="str">
        <f>IF($B376="","",IF(VLOOKUP($B376,Propostas!$B:$BE,21,FALSE)=1,"B",IF(VLOOKUP($B376,Propostas!$B:$BE,21,FALSE)=2,"E","N")))</f>
        <v/>
      </c>
      <c r="M376" s="32" t="str">
        <f>IF($B376 = "", "",  VLOOKUP($B376, Propostas!$B:$BE, 46, FALSE) )</f>
        <v/>
      </c>
      <c r="N376" s="32" t="str">
        <f>IF($B376 = "", "",  VLOOKUP($B376, Propostas!$B:$BE, 47, FALSE) )</f>
        <v/>
      </c>
      <c r="O376" s="13" t="str">
        <f>IF($B376="","",IF($C376="SIM", "INFRAESTRUTURA", VLOOKUP($B376, Propostas!$B:$BE,42,FALSE)))</f>
        <v/>
      </c>
      <c r="P376" s="32" t="str">
        <f>IF($B376 = "", "",  VLOOKUP($B376, Propostas!$B:$BE, 49, FALSE) )</f>
        <v/>
      </c>
      <c r="Q376" s="13" t="str">
        <f>IF($B376="","",  VLOOKUP($B376, Propostas!$B:$BE, 39, FALSE) )</f>
        <v/>
      </c>
      <c r="R376" s="81" t="str">
        <f>IF($B376="","",  VLOOKUP($B376, Propostas!$B:$BE, 43, FALSE) )</f>
        <v/>
      </c>
      <c r="S376" s="81" t="str">
        <f>IF($B376="","",  VLOOKUP($B376, Propostas!$B:$BE, 44, FALSE) )</f>
        <v/>
      </c>
      <c r="T376" s="81" t="str">
        <f>IF($B376="","",  VLOOKUP($B376, Propostas!$B:$BE, 45, FALSE) )</f>
        <v/>
      </c>
      <c r="U376" s="32" t="str">
        <f>IF($B376="","",  VLOOKUP($B376, Propostas!$B:$BE, 37, FALSE) )</f>
        <v/>
      </c>
      <c r="V376" s="13" t="str">
        <f>IF($B376="","",  VLOOKUP($B376, Propostas!$B:$BE, 50, FALSE) )</f>
        <v/>
      </c>
      <c r="W376" s="13" t="str">
        <f>IF($B376="","",  VLOOKUP($B376, Propostas!$B:$BE, 51, FALSE) )</f>
        <v/>
      </c>
      <c r="X376" s="13" t="str">
        <f>IF($B376="","",  VLOOKUP($B376, Propostas!$B:$BE, 52, FALSE) )</f>
        <v/>
      </c>
      <c r="Y376" s="13" t="str">
        <f>IF($B376="","",  VLOOKUP($B376, Propostas!$B:$BE, 36, FALSE) )</f>
        <v/>
      </c>
      <c r="Z376" s="13" t="str">
        <f>IF($B376="","",  VLOOKUP($F376, VW_PROJETO!B:C, 2, FALSE) )</f>
        <v/>
      </c>
    </row>
    <row r="377" spans="2:26" x14ac:dyDescent="0.2">
      <c r="B377" s="2"/>
      <c r="C377" s="4" t="str">
        <f>IF($B377="","",  VLOOKUP($B377, Propostas!$B:$BE, 33, FALSE) )</f>
        <v/>
      </c>
      <c r="D377" s="4" t="str">
        <f>IF($B377="","",  VLOOKUP($B377, Propostas!$B:$BE, 34, FALSE) )</f>
        <v/>
      </c>
      <c r="E377" s="4" t="str">
        <f>IF($B377="","",  VLOOKUP($B377, Propostas!$B:$BE, 35, FALSE) )</f>
        <v/>
      </c>
      <c r="F377" s="4" t="str">
        <f>IF($B377="","",  VLOOKUP($B377, Propostas!$B:$BE, 2, FALSE) )</f>
        <v/>
      </c>
      <c r="G377" s="4" t="str">
        <f>IF($B377="","",  VLOOKUP($B377, Propostas!$B:$BE, 3, FALSE) )</f>
        <v/>
      </c>
      <c r="H377" s="4" t="str">
        <f>IF($B377="","",  VLOOKUP($B377, Propostas!$B:$BE, 4, FALSE) )</f>
        <v/>
      </c>
      <c r="I377" s="4" t="str">
        <f>IF($B377="","",  VLOOKUP($B377, Propostas!$B:$BE, 38, FALSE) )</f>
        <v/>
      </c>
      <c r="J377" s="13" t="str">
        <f>IF($B377="","",IF($C377="SIM", "&lt; INFRRAESTRUTURA &gt;", VLOOKUP($B377,Propostas!$B:$BE,41,FALSE)))</f>
        <v/>
      </c>
      <c r="K377" s="10" t="str">
        <f>IF($B377="","",  VLOOKUP($B377, Propostas!$B:$BE, 40, FALSE) )</f>
        <v/>
      </c>
      <c r="L377" s="10" t="str">
        <f>IF($B377="","",IF(VLOOKUP($B377,Propostas!$B:$BE,21,FALSE)=1,"B",IF(VLOOKUP($B377,Propostas!$B:$BE,21,FALSE)=2,"E","N")))</f>
        <v/>
      </c>
      <c r="M377" s="32" t="str">
        <f>IF($B377 = "", "",  VLOOKUP($B377, Propostas!$B:$BE, 46, FALSE) )</f>
        <v/>
      </c>
      <c r="N377" s="32" t="str">
        <f>IF($B377 = "", "",  VLOOKUP($B377, Propostas!$B:$BE, 47, FALSE) )</f>
        <v/>
      </c>
      <c r="O377" s="13" t="str">
        <f>IF($B377="","",IF($C377="SIM", "INFRAESTRUTURA", VLOOKUP($B377, Propostas!$B:$BE,42,FALSE)))</f>
        <v/>
      </c>
      <c r="P377" s="32" t="str">
        <f>IF($B377 = "", "",  VLOOKUP($B377, Propostas!$B:$BE, 49, FALSE) )</f>
        <v/>
      </c>
      <c r="Q377" s="13" t="str">
        <f>IF($B377="","",  VLOOKUP($B377, Propostas!$B:$BE, 39, FALSE) )</f>
        <v/>
      </c>
      <c r="R377" s="81" t="str">
        <f>IF($B377="","",  VLOOKUP($B377, Propostas!$B:$BE, 43, FALSE) )</f>
        <v/>
      </c>
      <c r="S377" s="81" t="str">
        <f>IF($B377="","",  VLOOKUP($B377, Propostas!$B:$BE, 44, FALSE) )</f>
        <v/>
      </c>
      <c r="T377" s="81" t="str">
        <f>IF($B377="","",  VLOOKUP($B377, Propostas!$B:$BE, 45, FALSE) )</f>
        <v/>
      </c>
      <c r="U377" s="32" t="str">
        <f>IF($B377="","",  VLOOKUP($B377, Propostas!$B:$BE, 37, FALSE) )</f>
        <v/>
      </c>
      <c r="V377" s="13" t="str">
        <f>IF($B377="","",  VLOOKUP($B377, Propostas!$B:$BE, 50, FALSE) )</f>
        <v/>
      </c>
      <c r="W377" s="13" t="str">
        <f>IF($B377="","",  VLOOKUP($B377, Propostas!$B:$BE, 51, FALSE) )</f>
        <v/>
      </c>
      <c r="X377" s="13" t="str">
        <f>IF($B377="","",  VLOOKUP($B377, Propostas!$B:$BE, 52, FALSE) )</f>
        <v/>
      </c>
      <c r="Y377" s="13" t="str">
        <f>IF($B377="","",  VLOOKUP($B377, Propostas!$B:$BE, 36, FALSE) )</f>
        <v/>
      </c>
      <c r="Z377" s="13" t="str">
        <f>IF($B377="","",  VLOOKUP($F377, VW_PROJETO!B:C, 2, FALSE) )</f>
        <v/>
      </c>
    </row>
    <row r="378" spans="2:26" x14ac:dyDescent="0.2">
      <c r="B378" s="2"/>
      <c r="C378" s="4" t="str">
        <f>IF($B378="","",  VLOOKUP($B378, Propostas!$B:$BE, 33, FALSE) )</f>
        <v/>
      </c>
      <c r="D378" s="4" t="str">
        <f>IF($B378="","",  VLOOKUP($B378, Propostas!$B:$BE, 34, FALSE) )</f>
        <v/>
      </c>
      <c r="E378" s="4" t="str">
        <f>IF($B378="","",  VLOOKUP($B378, Propostas!$B:$BE, 35, FALSE) )</f>
        <v/>
      </c>
      <c r="F378" s="4" t="str">
        <f>IF($B378="","",  VLOOKUP($B378, Propostas!$B:$BE, 2, FALSE) )</f>
        <v/>
      </c>
      <c r="G378" s="4" t="str">
        <f>IF($B378="","",  VLOOKUP($B378, Propostas!$B:$BE, 3, FALSE) )</f>
        <v/>
      </c>
      <c r="H378" s="4" t="str">
        <f>IF($B378="","",  VLOOKUP($B378, Propostas!$B:$BE, 4, FALSE) )</f>
        <v/>
      </c>
      <c r="I378" s="4" t="str">
        <f>IF($B378="","",  VLOOKUP($B378, Propostas!$B:$BE, 38, FALSE) )</f>
        <v/>
      </c>
      <c r="J378" s="13" t="str">
        <f>IF($B378="","",IF($C378="SIM", "&lt; INFRRAESTRUTURA &gt;", VLOOKUP($B378,Propostas!$B:$BE,41,FALSE)))</f>
        <v/>
      </c>
      <c r="K378" s="10" t="str">
        <f>IF($B378="","",  VLOOKUP($B378, Propostas!$B:$BE, 40, FALSE) )</f>
        <v/>
      </c>
      <c r="L378" s="10" t="str">
        <f>IF($B378="","",IF(VLOOKUP($B378,Propostas!$B:$BE,21,FALSE)=1,"B",IF(VLOOKUP($B378,Propostas!$B:$BE,21,FALSE)=2,"E","N")))</f>
        <v/>
      </c>
      <c r="M378" s="32" t="str">
        <f>IF($B378 = "", "",  VLOOKUP($B378, Propostas!$B:$BE, 46, FALSE) )</f>
        <v/>
      </c>
      <c r="N378" s="32" t="str">
        <f>IF($B378 = "", "",  VLOOKUP($B378, Propostas!$B:$BE, 47, FALSE) )</f>
        <v/>
      </c>
      <c r="O378" s="13" t="str">
        <f>IF($B378="","",IF($C378="SIM", "INFRAESTRUTURA", VLOOKUP($B378, Propostas!$B:$BE,42,FALSE)))</f>
        <v/>
      </c>
      <c r="P378" s="32" t="str">
        <f>IF($B378 = "", "",  VLOOKUP($B378, Propostas!$B:$BE, 49, FALSE) )</f>
        <v/>
      </c>
      <c r="Q378" s="13" t="str">
        <f>IF($B378="","",  VLOOKUP($B378, Propostas!$B:$BE, 39, FALSE) )</f>
        <v/>
      </c>
      <c r="R378" s="81" t="str">
        <f>IF($B378="","",  VLOOKUP($B378, Propostas!$B:$BE, 43, FALSE) )</f>
        <v/>
      </c>
      <c r="S378" s="81" t="str">
        <f>IF($B378="","",  VLOOKUP($B378, Propostas!$B:$BE, 44, FALSE) )</f>
        <v/>
      </c>
      <c r="T378" s="81" t="str">
        <f>IF($B378="","",  VLOOKUP($B378, Propostas!$B:$BE, 45, FALSE) )</f>
        <v/>
      </c>
      <c r="U378" s="32" t="str">
        <f>IF($B378="","",  VLOOKUP($B378, Propostas!$B:$BE, 37, FALSE) )</f>
        <v/>
      </c>
      <c r="V378" s="13" t="str">
        <f>IF($B378="","",  VLOOKUP($B378, Propostas!$B:$BE, 50, FALSE) )</f>
        <v/>
      </c>
      <c r="W378" s="13" t="str">
        <f>IF($B378="","",  VLOOKUP($B378, Propostas!$B:$BE, 51, FALSE) )</f>
        <v/>
      </c>
      <c r="X378" s="13" t="str">
        <f>IF($B378="","",  VLOOKUP($B378, Propostas!$B:$BE, 52, FALSE) )</f>
        <v/>
      </c>
      <c r="Y378" s="13" t="str">
        <f>IF($B378="","",  VLOOKUP($B378, Propostas!$B:$BE, 36, FALSE) )</f>
        <v/>
      </c>
      <c r="Z378" s="13" t="str">
        <f>IF($B378="","",  VLOOKUP($F378, VW_PROJETO!B:C, 2, FALSE) )</f>
        <v/>
      </c>
    </row>
    <row r="379" spans="2:26" x14ac:dyDescent="0.2">
      <c r="B379" s="2"/>
      <c r="C379" s="4" t="str">
        <f>IF($B379="","",  VLOOKUP($B379, Propostas!$B:$BE, 33, FALSE) )</f>
        <v/>
      </c>
      <c r="D379" s="4" t="str">
        <f>IF($B379="","",  VLOOKUP($B379, Propostas!$B:$BE, 34, FALSE) )</f>
        <v/>
      </c>
      <c r="E379" s="4" t="str">
        <f>IF($B379="","",  VLOOKUP($B379, Propostas!$B:$BE, 35, FALSE) )</f>
        <v/>
      </c>
      <c r="F379" s="4" t="str">
        <f>IF($B379="","",  VLOOKUP($B379, Propostas!$B:$BE, 2, FALSE) )</f>
        <v/>
      </c>
      <c r="G379" s="4" t="str">
        <f>IF($B379="","",  VLOOKUP($B379, Propostas!$B:$BE, 3, FALSE) )</f>
        <v/>
      </c>
      <c r="H379" s="4" t="str">
        <f>IF($B379="","",  VLOOKUP($B379, Propostas!$B:$BE, 4, FALSE) )</f>
        <v/>
      </c>
      <c r="I379" s="4" t="str">
        <f>IF($B379="","",  VLOOKUP($B379, Propostas!$B:$BE, 38, FALSE) )</f>
        <v/>
      </c>
      <c r="J379" s="13" t="str">
        <f>IF($B379="","",IF($C379="SIM", "&lt; INFRRAESTRUTURA &gt;", VLOOKUP($B379,Propostas!$B:$BE,41,FALSE)))</f>
        <v/>
      </c>
      <c r="K379" s="10" t="str">
        <f>IF($B379="","",  VLOOKUP($B379, Propostas!$B:$BE, 40, FALSE) )</f>
        <v/>
      </c>
      <c r="L379" s="10" t="str">
        <f>IF($B379="","",IF(VLOOKUP($B379,Propostas!$B:$BE,21,FALSE)=1,"B",IF(VLOOKUP($B379,Propostas!$B:$BE,21,FALSE)=2,"E","N")))</f>
        <v/>
      </c>
      <c r="M379" s="32" t="str">
        <f>IF($B379 = "", "",  VLOOKUP($B379, Propostas!$B:$BE, 46, FALSE) )</f>
        <v/>
      </c>
      <c r="N379" s="32" t="str">
        <f>IF($B379 = "", "",  VLOOKUP($B379, Propostas!$B:$BE, 47, FALSE) )</f>
        <v/>
      </c>
      <c r="O379" s="13" t="str">
        <f>IF($B379="","",IF($C379="SIM", "INFRAESTRUTURA", VLOOKUP($B379, Propostas!$B:$BE,42,FALSE)))</f>
        <v/>
      </c>
      <c r="P379" s="32" t="str">
        <f>IF($B379 = "", "",  VLOOKUP($B379, Propostas!$B:$BE, 49, FALSE) )</f>
        <v/>
      </c>
      <c r="Q379" s="13" t="str">
        <f>IF($B379="","",  VLOOKUP($B379, Propostas!$B:$BE, 39, FALSE) )</f>
        <v/>
      </c>
      <c r="R379" s="81" t="str">
        <f>IF($B379="","",  VLOOKUP($B379, Propostas!$B:$BE, 43, FALSE) )</f>
        <v/>
      </c>
      <c r="S379" s="81" t="str">
        <f>IF($B379="","",  VLOOKUP($B379, Propostas!$B:$BE, 44, FALSE) )</f>
        <v/>
      </c>
      <c r="T379" s="81" t="str">
        <f>IF($B379="","",  VLOOKUP($B379, Propostas!$B:$BE, 45, FALSE) )</f>
        <v/>
      </c>
      <c r="U379" s="32" t="str">
        <f>IF($B379="","",  VLOOKUP($B379, Propostas!$B:$BE, 37, FALSE) )</f>
        <v/>
      </c>
      <c r="V379" s="13" t="str">
        <f>IF($B379="","",  VLOOKUP($B379, Propostas!$B:$BE, 50, FALSE) )</f>
        <v/>
      </c>
      <c r="W379" s="13" t="str">
        <f>IF($B379="","",  VLOOKUP($B379, Propostas!$B:$BE, 51, FALSE) )</f>
        <v/>
      </c>
      <c r="X379" s="13" t="str">
        <f>IF($B379="","",  VLOOKUP($B379, Propostas!$B:$BE, 52, FALSE) )</f>
        <v/>
      </c>
      <c r="Y379" s="13" t="str">
        <f>IF($B379="","",  VLOOKUP($B379, Propostas!$B:$BE, 36, FALSE) )</f>
        <v/>
      </c>
      <c r="Z379" s="13" t="str">
        <f>IF($B379="","",  VLOOKUP($F379, VW_PROJETO!B:C, 2, FALSE) )</f>
        <v/>
      </c>
    </row>
    <row r="380" spans="2:26" x14ac:dyDescent="0.2">
      <c r="B380" s="2"/>
      <c r="C380" s="4" t="str">
        <f>IF($B380="","",  VLOOKUP($B380, Propostas!$B:$BE, 33, FALSE) )</f>
        <v/>
      </c>
      <c r="D380" s="4" t="str">
        <f>IF($B380="","",  VLOOKUP($B380, Propostas!$B:$BE, 34, FALSE) )</f>
        <v/>
      </c>
      <c r="E380" s="4" t="str">
        <f>IF($B380="","",  VLOOKUP($B380, Propostas!$B:$BE, 35, FALSE) )</f>
        <v/>
      </c>
      <c r="F380" s="4" t="str">
        <f>IF($B380="","",  VLOOKUP($B380, Propostas!$B:$BE, 2, FALSE) )</f>
        <v/>
      </c>
      <c r="G380" s="4" t="str">
        <f>IF($B380="","",  VLOOKUP($B380, Propostas!$B:$BE, 3, FALSE) )</f>
        <v/>
      </c>
      <c r="H380" s="4" t="str">
        <f>IF($B380="","",  VLOOKUP($B380, Propostas!$B:$BE, 4, FALSE) )</f>
        <v/>
      </c>
      <c r="I380" s="4" t="str">
        <f>IF($B380="","",  VLOOKUP($B380, Propostas!$B:$BE, 38, FALSE) )</f>
        <v/>
      </c>
      <c r="J380" s="13" t="str">
        <f>IF($B380="","",IF($C380="SIM", "&lt; INFRRAESTRUTURA &gt;", VLOOKUP($B380,Propostas!$B:$BE,41,FALSE)))</f>
        <v/>
      </c>
      <c r="K380" s="10" t="str">
        <f>IF($B380="","",  VLOOKUP($B380, Propostas!$B:$BE, 40, FALSE) )</f>
        <v/>
      </c>
      <c r="L380" s="10" t="str">
        <f>IF($B380="","",IF(VLOOKUP($B380,Propostas!$B:$BE,21,FALSE)=1,"B",IF(VLOOKUP($B380,Propostas!$B:$BE,21,FALSE)=2,"E","N")))</f>
        <v/>
      </c>
      <c r="M380" s="32" t="str">
        <f>IF($B380 = "", "",  VLOOKUP($B380, Propostas!$B:$BE, 46, FALSE) )</f>
        <v/>
      </c>
      <c r="N380" s="32" t="str">
        <f>IF($B380 = "", "",  VLOOKUP($B380, Propostas!$B:$BE, 47, FALSE) )</f>
        <v/>
      </c>
      <c r="O380" s="13" t="str">
        <f>IF($B380="","",IF($C380="SIM", "INFRAESTRUTURA", VLOOKUP($B380, Propostas!$B:$BE,42,FALSE)))</f>
        <v/>
      </c>
      <c r="P380" s="32" t="str">
        <f>IF($B380 = "", "",  VLOOKUP($B380, Propostas!$B:$BE, 49, FALSE) )</f>
        <v/>
      </c>
      <c r="Q380" s="13" t="str">
        <f>IF($B380="","",  VLOOKUP($B380, Propostas!$B:$BE, 39, FALSE) )</f>
        <v/>
      </c>
      <c r="R380" s="81" t="str">
        <f>IF($B380="","",  VLOOKUP($B380, Propostas!$B:$BE, 43, FALSE) )</f>
        <v/>
      </c>
      <c r="S380" s="81" t="str">
        <f>IF($B380="","",  VLOOKUP($B380, Propostas!$B:$BE, 44, FALSE) )</f>
        <v/>
      </c>
      <c r="T380" s="81" t="str">
        <f>IF($B380="","",  VLOOKUP($B380, Propostas!$B:$BE, 45, FALSE) )</f>
        <v/>
      </c>
      <c r="U380" s="32" t="str">
        <f>IF($B380="","",  VLOOKUP($B380, Propostas!$B:$BE, 37, FALSE) )</f>
        <v/>
      </c>
      <c r="V380" s="13" t="str">
        <f>IF($B380="","",  VLOOKUP($B380, Propostas!$B:$BE, 50, FALSE) )</f>
        <v/>
      </c>
      <c r="W380" s="13" t="str">
        <f>IF($B380="","",  VLOOKUP($B380, Propostas!$B:$BE, 51, FALSE) )</f>
        <v/>
      </c>
      <c r="X380" s="13" t="str">
        <f>IF($B380="","",  VLOOKUP($B380, Propostas!$B:$BE, 52, FALSE) )</f>
        <v/>
      </c>
      <c r="Y380" s="13" t="str">
        <f>IF($B380="","",  VLOOKUP($B380, Propostas!$B:$BE, 36, FALSE) )</f>
        <v/>
      </c>
      <c r="Z380" s="13" t="str">
        <f>IF($B380="","",  VLOOKUP($F380, VW_PROJETO!B:C, 2, FALSE) )</f>
        <v/>
      </c>
    </row>
    <row r="381" spans="2:26" x14ac:dyDescent="0.2">
      <c r="B381" s="2"/>
      <c r="C381" s="4" t="str">
        <f>IF($B381="","",  VLOOKUP($B381, Propostas!$B:$BE, 33, FALSE) )</f>
        <v/>
      </c>
      <c r="D381" s="4" t="str">
        <f>IF($B381="","",  VLOOKUP($B381, Propostas!$B:$BE, 34, FALSE) )</f>
        <v/>
      </c>
      <c r="E381" s="4" t="str">
        <f>IF($B381="","",  VLOOKUP($B381, Propostas!$B:$BE, 35, FALSE) )</f>
        <v/>
      </c>
      <c r="F381" s="4" t="str">
        <f>IF($B381="","",  VLOOKUP($B381, Propostas!$B:$BE, 2, FALSE) )</f>
        <v/>
      </c>
      <c r="G381" s="4" t="str">
        <f>IF($B381="","",  VLOOKUP($B381, Propostas!$B:$BE, 3, FALSE) )</f>
        <v/>
      </c>
      <c r="H381" s="4" t="str">
        <f>IF($B381="","",  VLOOKUP($B381, Propostas!$B:$BE, 4, FALSE) )</f>
        <v/>
      </c>
      <c r="I381" s="4" t="str">
        <f>IF($B381="","",  VLOOKUP($B381, Propostas!$B:$BE, 38, FALSE) )</f>
        <v/>
      </c>
      <c r="J381" s="13" t="str">
        <f>IF($B381="","",IF($C381="SIM", "&lt; INFRRAESTRUTURA &gt;", VLOOKUP($B381,Propostas!$B:$BE,41,FALSE)))</f>
        <v/>
      </c>
      <c r="K381" s="10" t="str">
        <f>IF($B381="","",  VLOOKUP($B381, Propostas!$B:$BE, 40, FALSE) )</f>
        <v/>
      </c>
      <c r="L381" s="10" t="str">
        <f>IF($B381="","",IF(VLOOKUP($B381,Propostas!$B:$BE,21,FALSE)=1,"B",IF(VLOOKUP($B381,Propostas!$B:$BE,21,FALSE)=2,"E","N")))</f>
        <v/>
      </c>
      <c r="M381" s="32" t="str">
        <f>IF($B381 = "", "",  VLOOKUP($B381, Propostas!$B:$BE, 46, FALSE) )</f>
        <v/>
      </c>
      <c r="N381" s="32" t="str">
        <f>IF($B381 = "", "",  VLOOKUP($B381, Propostas!$B:$BE, 47, FALSE) )</f>
        <v/>
      </c>
      <c r="O381" s="13" t="str">
        <f>IF($B381="","",IF($C381="SIM", "INFRAESTRUTURA", VLOOKUP($B381, Propostas!$B:$BE,42,FALSE)))</f>
        <v/>
      </c>
      <c r="P381" s="32" t="str">
        <f>IF($B381 = "", "",  VLOOKUP($B381, Propostas!$B:$BE, 49, FALSE) )</f>
        <v/>
      </c>
      <c r="Q381" s="13" t="str">
        <f>IF($B381="","",  VLOOKUP($B381, Propostas!$B:$BE, 39, FALSE) )</f>
        <v/>
      </c>
      <c r="R381" s="81" t="str">
        <f>IF($B381="","",  VLOOKUP($B381, Propostas!$B:$BE, 43, FALSE) )</f>
        <v/>
      </c>
      <c r="S381" s="81" t="str">
        <f>IF($B381="","",  VLOOKUP($B381, Propostas!$B:$BE, 44, FALSE) )</f>
        <v/>
      </c>
      <c r="T381" s="81" t="str">
        <f>IF($B381="","",  VLOOKUP($B381, Propostas!$B:$BE, 45, FALSE) )</f>
        <v/>
      </c>
      <c r="U381" s="32" t="str">
        <f>IF($B381="","",  VLOOKUP($B381, Propostas!$B:$BE, 37, FALSE) )</f>
        <v/>
      </c>
      <c r="V381" s="13" t="str">
        <f>IF($B381="","",  VLOOKUP($B381, Propostas!$B:$BE, 50, FALSE) )</f>
        <v/>
      </c>
      <c r="W381" s="13" t="str">
        <f>IF($B381="","",  VLOOKUP($B381, Propostas!$B:$BE, 51, FALSE) )</f>
        <v/>
      </c>
      <c r="X381" s="13" t="str">
        <f>IF($B381="","",  VLOOKUP($B381, Propostas!$B:$BE, 52, FALSE) )</f>
        <v/>
      </c>
      <c r="Y381" s="13" t="str">
        <f>IF($B381="","",  VLOOKUP($B381, Propostas!$B:$BE, 36, FALSE) )</f>
        <v/>
      </c>
      <c r="Z381" s="13" t="str">
        <f>IF($B381="","",  VLOOKUP($F381, VW_PROJETO!B:C, 2, FALSE) )</f>
        <v/>
      </c>
    </row>
    <row r="382" spans="2:26" x14ac:dyDescent="0.2">
      <c r="B382" s="2"/>
      <c r="C382" s="4" t="str">
        <f>IF($B382="","",  VLOOKUP($B382, Propostas!$B:$BE, 33, FALSE) )</f>
        <v/>
      </c>
      <c r="D382" s="4" t="str">
        <f>IF($B382="","",  VLOOKUP($B382, Propostas!$B:$BE, 34, FALSE) )</f>
        <v/>
      </c>
      <c r="E382" s="4" t="str">
        <f>IF($B382="","",  VLOOKUP($B382, Propostas!$B:$BE, 35, FALSE) )</f>
        <v/>
      </c>
      <c r="F382" s="4" t="str">
        <f>IF($B382="","",  VLOOKUP($B382, Propostas!$B:$BE, 2, FALSE) )</f>
        <v/>
      </c>
      <c r="G382" s="4" t="str">
        <f>IF($B382="","",  VLOOKUP($B382, Propostas!$B:$BE, 3, FALSE) )</f>
        <v/>
      </c>
      <c r="H382" s="4" t="str">
        <f>IF($B382="","",  VLOOKUP($B382, Propostas!$B:$BE, 4, FALSE) )</f>
        <v/>
      </c>
      <c r="I382" s="4" t="str">
        <f>IF($B382="","",  VLOOKUP($B382, Propostas!$B:$BE, 38, FALSE) )</f>
        <v/>
      </c>
      <c r="J382" s="13" t="str">
        <f>IF($B382="","",IF($C382="SIM", "&lt; INFRRAESTRUTURA &gt;", VLOOKUP($B382,Propostas!$B:$BE,41,FALSE)))</f>
        <v/>
      </c>
      <c r="K382" s="10" t="str">
        <f>IF($B382="","",  VLOOKUP($B382, Propostas!$B:$BE, 40, FALSE) )</f>
        <v/>
      </c>
      <c r="L382" s="10" t="str">
        <f>IF($B382="","",IF(VLOOKUP($B382,Propostas!$B:$BE,21,FALSE)=1,"B",IF(VLOOKUP($B382,Propostas!$B:$BE,21,FALSE)=2,"E","N")))</f>
        <v/>
      </c>
      <c r="M382" s="32" t="str">
        <f>IF($B382 = "", "",  VLOOKUP($B382, Propostas!$B:$BE, 46, FALSE) )</f>
        <v/>
      </c>
      <c r="N382" s="32" t="str">
        <f>IF($B382 = "", "",  VLOOKUP($B382, Propostas!$B:$BE, 47, FALSE) )</f>
        <v/>
      </c>
      <c r="O382" s="13" t="str">
        <f>IF($B382="","",IF($C382="SIM", "INFRAESTRUTURA", VLOOKUP($B382, Propostas!$B:$BE,42,FALSE)))</f>
        <v/>
      </c>
      <c r="P382" s="32" t="str">
        <f>IF($B382 = "", "",  VLOOKUP($B382, Propostas!$B:$BE, 49, FALSE) )</f>
        <v/>
      </c>
      <c r="Q382" s="13" t="str">
        <f>IF($B382="","",  VLOOKUP($B382, Propostas!$B:$BE, 39, FALSE) )</f>
        <v/>
      </c>
      <c r="R382" s="81" t="str">
        <f>IF($B382="","",  VLOOKUP($B382, Propostas!$B:$BE, 43, FALSE) )</f>
        <v/>
      </c>
      <c r="S382" s="81" t="str">
        <f>IF($B382="","",  VLOOKUP($B382, Propostas!$B:$BE, 44, FALSE) )</f>
        <v/>
      </c>
      <c r="T382" s="81" t="str">
        <f>IF($B382="","",  VLOOKUP($B382, Propostas!$B:$BE, 45, FALSE) )</f>
        <v/>
      </c>
      <c r="U382" s="32" t="str">
        <f>IF($B382="","",  VLOOKUP($B382, Propostas!$B:$BE, 37, FALSE) )</f>
        <v/>
      </c>
      <c r="V382" s="13" t="str">
        <f>IF($B382="","",  VLOOKUP($B382, Propostas!$B:$BE, 50, FALSE) )</f>
        <v/>
      </c>
      <c r="W382" s="13" t="str">
        <f>IF($B382="","",  VLOOKUP($B382, Propostas!$B:$BE, 51, FALSE) )</f>
        <v/>
      </c>
      <c r="X382" s="13" t="str">
        <f>IF($B382="","",  VLOOKUP($B382, Propostas!$B:$BE, 52, FALSE) )</f>
        <v/>
      </c>
      <c r="Y382" s="13" t="str">
        <f>IF($B382="","",  VLOOKUP($B382, Propostas!$B:$BE, 36, FALSE) )</f>
        <v/>
      </c>
      <c r="Z382" s="13" t="str">
        <f>IF($B382="","",  VLOOKUP($F382, VW_PROJETO!B:C, 2, FALSE) )</f>
        <v/>
      </c>
    </row>
    <row r="383" spans="2:26" x14ac:dyDescent="0.2">
      <c r="B383" s="2"/>
      <c r="C383" s="4" t="str">
        <f>IF($B383="","",  VLOOKUP($B383, Propostas!$B:$BE, 33, FALSE) )</f>
        <v/>
      </c>
      <c r="D383" s="4" t="str">
        <f>IF($B383="","",  VLOOKUP($B383, Propostas!$B:$BE, 34, FALSE) )</f>
        <v/>
      </c>
      <c r="E383" s="4" t="str">
        <f>IF($B383="","",  VLOOKUP($B383, Propostas!$B:$BE, 35, FALSE) )</f>
        <v/>
      </c>
      <c r="F383" s="4" t="str">
        <f>IF($B383="","",  VLOOKUP($B383, Propostas!$B:$BE, 2, FALSE) )</f>
        <v/>
      </c>
      <c r="G383" s="4" t="str">
        <f>IF($B383="","",  VLOOKUP($B383, Propostas!$B:$BE, 3, FALSE) )</f>
        <v/>
      </c>
      <c r="H383" s="4" t="str">
        <f>IF($B383="","",  VLOOKUP($B383, Propostas!$B:$BE, 4, FALSE) )</f>
        <v/>
      </c>
      <c r="I383" s="4" t="str">
        <f>IF($B383="","",  VLOOKUP($B383, Propostas!$B:$BE, 38, FALSE) )</f>
        <v/>
      </c>
      <c r="J383" s="13" t="str">
        <f>IF($B383="","",IF($C383="SIM", "&lt; INFRRAESTRUTURA &gt;", VLOOKUP($B383,Propostas!$B:$BE,41,FALSE)))</f>
        <v/>
      </c>
      <c r="K383" s="10" t="str">
        <f>IF($B383="","",  VLOOKUP($B383, Propostas!$B:$BE, 40, FALSE) )</f>
        <v/>
      </c>
      <c r="L383" s="10" t="str">
        <f>IF($B383="","",IF(VLOOKUP($B383,Propostas!$B:$BE,21,FALSE)=1,"B",IF(VLOOKUP($B383,Propostas!$B:$BE,21,FALSE)=2,"E","N")))</f>
        <v/>
      </c>
      <c r="M383" s="32" t="str">
        <f>IF($B383 = "", "",  VLOOKUP($B383, Propostas!$B:$BE, 46, FALSE) )</f>
        <v/>
      </c>
      <c r="N383" s="32" t="str">
        <f>IF($B383 = "", "",  VLOOKUP($B383, Propostas!$B:$BE, 47, FALSE) )</f>
        <v/>
      </c>
      <c r="O383" s="13" t="str">
        <f>IF($B383="","",IF($C383="SIM", "INFRAESTRUTURA", VLOOKUP($B383, Propostas!$B:$BE,42,FALSE)))</f>
        <v/>
      </c>
      <c r="P383" s="32" t="str">
        <f>IF($B383 = "", "",  VLOOKUP($B383, Propostas!$B:$BE, 49, FALSE) )</f>
        <v/>
      </c>
      <c r="Q383" s="13" t="str">
        <f>IF($B383="","",  VLOOKUP($B383, Propostas!$B:$BE, 39, FALSE) )</f>
        <v/>
      </c>
      <c r="R383" s="81" t="str">
        <f>IF($B383="","",  VLOOKUP($B383, Propostas!$B:$BE, 43, FALSE) )</f>
        <v/>
      </c>
      <c r="S383" s="81" t="str">
        <f>IF($B383="","",  VLOOKUP($B383, Propostas!$B:$BE, 44, FALSE) )</f>
        <v/>
      </c>
      <c r="T383" s="81" t="str">
        <f>IF($B383="","",  VLOOKUP($B383, Propostas!$B:$BE, 45, FALSE) )</f>
        <v/>
      </c>
      <c r="U383" s="32" t="str">
        <f>IF($B383="","",  VLOOKUP($B383, Propostas!$B:$BE, 37, FALSE) )</f>
        <v/>
      </c>
      <c r="V383" s="13" t="str">
        <f>IF($B383="","",  VLOOKUP($B383, Propostas!$B:$BE, 50, FALSE) )</f>
        <v/>
      </c>
      <c r="W383" s="13" t="str">
        <f>IF($B383="","",  VLOOKUP($B383, Propostas!$B:$BE, 51, FALSE) )</f>
        <v/>
      </c>
      <c r="X383" s="13" t="str">
        <f>IF($B383="","",  VLOOKUP($B383, Propostas!$B:$BE, 52, FALSE) )</f>
        <v/>
      </c>
      <c r="Y383" s="13" t="str">
        <f>IF($B383="","",  VLOOKUP($B383, Propostas!$B:$BE, 36, FALSE) )</f>
        <v/>
      </c>
      <c r="Z383" s="13" t="str">
        <f>IF($B383="","",  VLOOKUP($F383, VW_PROJETO!B:C, 2, FALSE) )</f>
        <v/>
      </c>
    </row>
    <row r="384" spans="2:26" x14ac:dyDescent="0.2">
      <c r="B384" s="2"/>
      <c r="C384" s="4" t="str">
        <f>IF($B384="","",  VLOOKUP($B384, Propostas!$B:$BE, 33, FALSE) )</f>
        <v/>
      </c>
      <c r="D384" s="4" t="str">
        <f>IF($B384="","",  VLOOKUP($B384, Propostas!$B:$BE, 34, FALSE) )</f>
        <v/>
      </c>
      <c r="E384" s="4" t="str">
        <f>IF($B384="","",  VLOOKUP($B384, Propostas!$B:$BE, 35, FALSE) )</f>
        <v/>
      </c>
      <c r="F384" s="4" t="str">
        <f>IF($B384="","",  VLOOKUP($B384, Propostas!$B:$BE, 2, FALSE) )</f>
        <v/>
      </c>
      <c r="G384" s="4" t="str">
        <f>IF($B384="","",  VLOOKUP($B384, Propostas!$B:$BE, 3, FALSE) )</f>
        <v/>
      </c>
      <c r="H384" s="4" t="str">
        <f>IF($B384="","",  VLOOKUP($B384, Propostas!$B:$BE, 4, FALSE) )</f>
        <v/>
      </c>
      <c r="I384" s="4" t="str">
        <f>IF($B384="","",  VLOOKUP($B384, Propostas!$B:$BE, 38, FALSE) )</f>
        <v/>
      </c>
      <c r="J384" s="13" t="str">
        <f>IF($B384="","",IF($C384="SIM", "&lt; INFRRAESTRUTURA &gt;", VLOOKUP($B384,Propostas!$B:$BE,41,FALSE)))</f>
        <v/>
      </c>
      <c r="K384" s="10" t="str">
        <f>IF($B384="","",  VLOOKUP($B384, Propostas!$B:$BE, 40, FALSE) )</f>
        <v/>
      </c>
      <c r="L384" s="10" t="str">
        <f>IF($B384="","",IF(VLOOKUP($B384,Propostas!$B:$BE,21,FALSE)=1,"B",IF(VLOOKUP($B384,Propostas!$B:$BE,21,FALSE)=2,"E","N")))</f>
        <v/>
      </c>
      <c r="M384" s="32" t="str">
        <f>IF($B384 = "", "",  VLOOKUP($B384, Propostas!$B:$BE, 46, FALSE) )</f>
        <v/>
      </c>
      <c r="N384" s="32" t="str">
        <f>IF($B384 = "", "",  VLOOKUP($B384, Propostas!$B:$BE, 47, FALSE) )</f>
        <v/>
      </c>
      <c r="O384" s="13" t="str">
        <f>IF($B384="","",IF($C384="SIM", "INFRAESTRUTURA", VLOOKUP($B384, Propostas!$B:$BE,42,FALSE)))</f>
        <v/>
      </c>
      <c r="P384" s="32" t="str">
        <f>IF($B384 = "", "",  VLOOKUP($B384, Propostas!$B:$BE, 49, FALSE) )</f>
        <v/>
      </c>
      <c r="Q384" s="13" t="str">
        <f>IF($B384="","",  VLOOKUP($B384, Propostas!$B:$BE, 39, FALSE) )</f>
        <v/>
      </c>
      <c r="R384" s="81" t="str">
        <f>IF($B384="","",  VLOOKUP($B384, Propostas!$B:$BE, 43, FALSE) )</f>
        <v/>
      </c>
      <c r="S384" s="81" t="str">
        <f>IF($B384="","",  VLOOKUP($B384, Propostas!$B:$BE, 44, FALSE) )</f>
        <v/>
      </c>
      <c r="T384" s="81" t="str">
        <f>IF($B384="","",  VLOOKUP($B384, Propostas!$B:$BE, 45, FALSE) )</f>
        <v/>
      </c>
      <c r="U384" s="32" t="str">
        <f>IF($B384="","",  VLOOKUP($B384, Propostas!$B:$BE, 37, FALSE) )</f>
        <v/>
      </c>
      <c r="V384" s="13" t="str">
        <f>IF($B384="","",  VLOOKUP($B384, Propostas!$B:$BE, 50, FALSE) )</f>
        <v/>
      </c>
      <c r="W384" s="13" t="str">
        <f>IF($B384="","",  VLOOKUP($B384, Propostas!$B:$BE, 51, FALSE) )</f>
        <v/>
      </c>
      <c r="X384" s="13" t="str">
        <f>IF($B384="","",  VLOOKUP($B384, Propostas!$B:$BE, 52, FALSE) )</f>
        <v/>
      </c>
      <c r="Y384" s="13" t="str">
        <f>IF($B384="","",  VLOOKUP($B384, Propostas!$B:$BE, 36, FALSE) )</f>
        <v/>
      </c>
      <c r="Z384" s="13" t="str">
        <f>IF($B384="","",  VLOOKUP($F384, VW_PROJETO!B:C, 2, FALSE) )</f>
        <v/>
      </c>
    </row>
    <row r="385" spans="2:26" x14ac:dyDescent="0.2">
      <c r="B385" s="2"/>
      <c r="C385" s="4" t="str">
        <f>IF($B385="","",  VLOOKUP($B385, Propostas!$B:$BE, 33, FALSE) )</f>
        <v/>
      </c>
      <c r="D385" s="4" t="str">
        <f>IF($B385="","",  VLOOKUP($B385, Propostas!$B:$BE, 34, FALSE) )</f>
        <v/>
      </c>
      <c r="E385" s="4" t="str">
        <f>IF($B385="","",  VLOOKUP($B385, Propostas!$B:$BE, 35, FALSE) )</f>
        <v/>
      </c>
      <c r="F385" s="4" t="str">
        <f>IF($B385="","",  VLOOKUP($B385, Propostas!$B:$BE, 2, FALSE) )</f>
        <v/>
      </c>
      <c r="G385" s="4" t="str">
        <f>IF($B385="","",  VLOOKUP($B385, Propostas!$B:$BE, 3, FALSE) )</f>
        <v/>
      </c>
      <c r="H385" s="4" t="str">
        <f>IF($B385="","",  VLOOKUP($B385, Propostas!$B:$BE, 4, FALSE) )</f>
        <v/>
      </c>
      <c r="I385" s="4" t="str">
        <f>IF($B385="","",  VLOOKUP($B385, Propostas!$B:$BE, 38, FALSE) )</f>
        <v/>
      </c>
      <c r="J385" s="13" t="str">
        <f>IF($B385="","",IF($C385="SIM", "&lt; INFRRAESTRUTURA &gt;", VLOOKUP($B385,Propostas!$B:$BE,41,FALSE)))</f>
        <v/>
      </c>
      <c r="K385" s="10" t="str">
        <f>IF($B385="","",  VLOOKUP($B385, Propostas!$B:$BE, 40, FALSE) )</f>
        <v/>
      </c>
      <c r="L385" s="10" t="str">
        <f>IF($B385="","",IF(VLOOKUP($B385,Propostas!$B:$BE,21,FALSE)=1,"B",IF(VLOOKUP($B385,Propostas!$B:$BE,21,FALSE)=2,"E","N")))</f>
        <v/>
      </c>
      <c r="M385" s="32" t="str">
        <f>IF($B385 = "", "",  VLOOKUP($B385, Propostas!$B:$BE, 46, FALSE) )</f>
        <v/>
      </c>
      <c r="N385" s="32" t="str">
        <f>IF($B385 = "", "",  VLOOKUP($B385, Propostas!$B:$BE, 47, FALSE) )</f>
        <v/>
      </c>
      <c r="O385" s="13" t="str">
        <f>IF($B385="","",IF($C385="SIM", "INFRAESTRUTURA", VLOOKUP($B385, Propostas!$B:$BE,42,FALSE)))</f>
        <v/>
      </c>
      <c r="P385" s="32" t="str">
        <f>IF($B385 = "", "",  VLOOKUP($B385, Propostas!$B:$BE, 49, FALSE) )</f>
        <v/>
      </c>
      <c r="Q385" s="13" t="str">
        <f>IF($B385="","",  VLOOKUP($B385, Propostas!$B:$BE, 39, FALSE) )</f>
        <v/>
      </c>
      <c r="R385" s="81" t="str">
        <f>IF($B385="","",  VLOOKUP($B385, Propostas!$B:$BE, 43, FALSE) )</f>
        <v/>
      </c>
      <c r="S385" s="81" t="str">
        <f>IF($B385="","",  VLOOKUP($B385, Propostas!$B:$BE, 44, FALSE) )</f>
        <v/>
      </c>
      <c r="T385" s="81" t="str">
        <f>IF($B385="","",  VLOOKUP($B385, Propostas!$B:$BE, 45, FALSE) )</f>
        <v/>
      </c>
      <c r="U385" s="32" t="str">
        <f>IF($B385="","",  VLOOKUP($B385, Propostas!$B:$BE, 37, FALSE) )</f>
        <v/>
      </c>
      <c r="V385" s="13" t="str">
        <f>IF($B385="","",  VLOOKUP($B385, Propostas!$B:$BE, 50, FALSE) )</f>
        <v/>
      </c>
      <c r="W385" s="13" t="str">
        <f>IF($B385="","",  VLOOKUP($B385, Propostas!$B:$BE, 51, FALSE) )</f>
        <v/>
      </c>
      <c r="X385" s="13" t="str">
        <f>IF($B385="","",  VLOOKUP($B385, Propostas!$B:$BE, 52, FALSE) )</f>
        <v/>
      </c>
      <c r="Y385" s="13" t="str">
        <f>IF($B385="","",  VLOOKUP($B385, Propostas!$B:$BE, 36, FALSE) )</f>
        <v/>
      </c>
      <c r="Z385" s="13" t="str">
        <f>IF($B385="","",  VLOOKUP($F385, VW_PROJETO!B:C, 2, FALSE) )</f>
        <v/>
      </c>
    </row>
    <row r="386" spans="2:26" x14ac:dyDescent="0.2">
      <c r="B386" s="2"/>
      <c r="C386" s="4" t="str">
        <f>IF($B386="","",  VLOOKUP($B386, Propostas!$B:$BE, 33, FALSE) )</f>
        <v/>
      </c>
      <c r="D386" s="4" t="str">
        <f>IF($B386="","",  VLOOKUP($B386, Propostas!$B:$BE, 34, FALSE) )</f>
        <v/>
      </c>
      <c r="E386" s="4" t="str">
        <f>IF($B386="","",  VLOOKUP($B386, Propostas!$B:$BE, 35, FALSE) )</f>
        <v/>
      </c>
      <c r="F386" s="4" t="str">
        <f>IF($B386="","",  VLOOKUP($B386, Propostas!$B:$BE, 2, FALSE) )</f>
        <v/>
      </c>
      <c r="G386" s="4" t="str">
        <f>IF($B386="","",  VLOOKUP($B386, Propostas!$B:$BE, 3, FALSE) )</f>
        <v/>
      </c>
      <c r="H386" s="4" t="str">
        <f>IF($B386="","",  VLOOKUP($B386, Propostas!$B:$BE, 4, FALSE) )</f>
        <v/>
      </c>
      <c r="I386" s="4" t="str">
        <f>IF($B386="","",  VLOOKUP($B386, Propostas!$B:$BE, 38, FALSE) )</f>
        <v/>
      </c>
      <c r="J386" s="13" t="str">
        <f>IF($B386="","",IF($C386="SIM", "&lt; INFRRAESTRUTURA &gt;", VLOOKUP($B386,Propostas!$B:$BE,41,FALSE)))</f>
        <v/>
      </c>
      <c r="K386" s="10" t="str">
        <f>IF($B386="","",  VLOOKUP($B386, Propostas!$B:$BE, 40, FALSE) )</f>
        <v/>
      </c>
      <c r="L386" s="10" t="str">
        <f>IF($B386="","",IF(VLOOKUP($B386,Propostas!$B:$BE,21,FALSE)=1,"B",IF(VLOOKUP($B386,Propostas!$B:$BE,21,FALSE)=2,"E","N")))</f>
        <v/>
      </c>
      <c r="M386" s="32" t="str">
        <f>IF($B386 = "", "",  VLOOKUP($B386, Propostas!$B:$BE, 46, FALSE) )</f>
        <v/>
      </c>
      <c r="N386" s="32" t="str">
        <f>IF($B386 = "", "",  VLOOKUP($B386, Propostas!$B:$BE, 47, FALSE) )</f>
        <v/>
      </c>
      <c r="O386" s="13" t="str">
        <f>IF($B386="","",IF($C386="SIM", "INFRAESTRUTURA", VLOOKUP($B386, Propostas!$B:$BE,42,FALSE)))</f>
        <v/>
      </c>
      <c r="P386" s="32" t="str">
        <f>IF($B386 = "", "",  VLOOKUP($B386, Propostas!$B:$BE, 49, FALSE) )</f>
        <v/>
      </c>
      <c r="Q386" s="13" t="str">
        <f>IF($B386="","",  VLOOKUP($B386, Propostas!$B:$BE, 39, FALSE) )</f>
        <v/>
      </c>
      <c r="R386" s="81" t="str">
        <f>IF($B386="","",  VLOOKUP($B386, Propostas!$B:$BE, 43, FALSE) )</f>
        <v/>
      </c>
      <c r="S386" s="81" t="str">
        <f>IF($B386="","",  VLOOKUP($B386, Propostas!$B:$BE, 44, FALSE) )</f>
        <v/>
      </c>
      <c r="T386" s="81" t="str">
        <f>IF($B386="","",  VLOOKUP($B386, Propostas!$B:$BE, 45, FALSE) )</f>
        <v/>
      </c>
      <c r="U386" s="32" t="str">
        <f>IF($B386="","",  VLOOKUP($B386, Propostas!$B:$BE, 37, FALSE) )</f>
        <v/>
      </c>
      <c r="V386" s="13" t="str">
        <f>IF($B386="","",  VLOOKUP($B386, Propostas!$B:$BE, 50, FALSE) )</f>
        <v/>
      </c>
      <c r="W386" s="13" t="str">
        <f>IF($B386="","",  VLOOKUP($B386, Propostas!$B:$BE, 51, FALSE) )</f>
        <v/>
      </c>
      <c r="X386" s="13" t="str">
        <f>IF($B386="","",  VLOOKUP($B386, Propostas!$B:$BE, 52, FALSE) )</f>
        <v/>
      </c>
      <c r="Y386" s="13" t="str">
        <f>IF($B386="","",  VLOOKUP($B386, Propostas!$B:$BE, 36, FALSE) )</f>
        <v/>
      </c>
      <c r="Z386" s="13" t="str">
        <f>IF($B386="","",  VLOOKUP($F386, VW_PROJETO!B:C, 2, FALSE) )</f>
        <v/>
      </c>
    </row>
    <row r="387" spans="2:26" x14ac:dyDescent="0.2">
      <c r="B387" s="2"/>
      <c r="C387" s="4" t="str">
        <f>IF($B387="","",  VLOOKUP($B387, Propostas!$B:$BE, 33, FALSE) )</f>
        <v/>
      </c>
      <c r="D387" s="4" t="str">
        <f>IF($B387="","",  VLOOKUP($B387, Propostas!$B:$BE, 34, FALSE) )</f>
        <v/>
      </c>
      <c r="E387" s="4" t="str">
        <f>IF($B387="","",  VLOOKUP($B387, Propostas!$B:$BE, 35, FALSE) )</f>
        <v/>
      </c>
      <c r="F387" s="4" t="str">
        <f>IF($B387="","",  VLOOKUP($B387, Propostas!$B:$BE, 2, FALSE) )</f>
        <v/>
      </c>
      <c r="G387" s="4" t="str">
        <f>IF($B387="","",  VLOOKUP($B387, Propostas!$B:$BE, 3, FALSE) )</f>
        <v/>
      </c>
      <c r="H387" s="4" t="str">
        <f>IF($B387="","",  VLOOKUP($B387, Propostas!$B:$BE, 4, FALSE) )</f>
        <v/>
      </c>
      <c r="I387" s="4" t="str">
        <f>IF($B387="","",  VLOOKUP($B387, Propostas!$B:$BE, 38, FALSE) )</f>
        <v/>
      </c>
      <c r="J387" s="13" t="str">
        <f>IF($B387="","",IF($C387="SIM", "&lt; INFRRAESTRUTURA &gt;", VLOOKUP($B387,Propostas!$B:$BE,41,FALSE)))</f>
        <v/>
      </c>
      <c r="K387" s="10" t="str">
        <f>IF($B387="","",  VLOOKUP($B387, Propostas!$B:$BE, 40, FALSE) )</f>
        <v/>
      </c>
      <c r="L387" s="10" t="str">
        <f>IF($B387="","",IF(VLOOKUP($B387,Propostas!$B:$BE,21,FALSE)=1,"B",IF(VLOOKUP($B387,Propostas!$B:$BE,21,FALSE)=2,"E","N")))</f>
        <v/>
      </c>
      <c r="M387" s="32" t="str">
        <f>IF($B387 = "", "",  VLOOKUP($B387, Propostas!$B:$BE, 46, FALSE) )</f>
        <v/>
      </c>
      <c r="N387" s="32" t="str">
        <f>IF($B387 = "", "",  VLOOKUP($B387, Propostas!$B:$BE, 47, FALSE) )</f>
        <v/>
      </c>
      <c r="O387" s="13" t="str">
        <f>IF($B387="","",IF($C387="SIM", "INFRAESTRUTURA", VLOOKUP($B387, Propostas!$B:$BE,42,FALSE)))</f>
        <v/>
      </c>
      <c r="P387" s="32" t="str">
        <f>IF($B387 = "", "",  VLOOKUP($B387, Propostas!$B:$BE, 49, FALSE) )</f>
        <v/>
      </c>
      <c r="Q387" s="13" t="str">
        <f>IF($B387="","",  VLOOKUP($B387, Propostas!$B:$BE, 39, FALSE) )</f>
        <v/>
      </c>
      <c r="R387" s="81" t="str">
        <f>IF($B387="","",  VLOOKUP($B387, Propostas!$B:$BE, 43, FALSE) )</f>
        <v/>
      </c>
      <c r="S387" s="81" t="str">
        <f>IF($B387="","",  VLOOKUP($B387, Propostas!$B:$BE, 44, FALSE) )</f>
        <v/>
      </c>
      <c r="T387" s="81" t="str">
        <f>IF($B387="","",  VLOOKUP($B387, Propostas!$B:$BE, 45, FALSE) )</f>
        <v/>
      </c>
      <c r="U387" s="32" t="str">
        <f>IF($B387="","",  VLOOKUP($B387, Propostas!$B:$BE, 37, FALSE) )</f>
        <v/>
      </c>
      <c r="V387" s="13" t="str">
        <f>IF($B387="","",  VLOOKUP($B387, Propostas!$B:$BE, 50, FALSE) )</f>
        <v/>
      </c>
      <c r="W387" s="13" t="str">
        <f>IF($B387="","",  VLOOKUP($B387, Propostas!$B:$BE, 51, FALSE) )</f>
        <v/>
      </c>
      <c r="X387" s="13" t="str">
        <f>IF($B387="","",  VLOOKUP($B387, Propostas!$B:$BE, 52, FALSE) )</f>
        <v/>
      </c>
      <c r="Y387" s="13" t="str">
        <f>IF($B387="","",  VLOOKUP($B387, Propostas!$B:$BE, 36, FALSE) )</f>
        <v/>
      </c>
      <c r="Z387" s="13" t="str">
        <f>IF($B387="","",  VLOOKUP($F387, VW_PROJETO!B:C, 2, FALSE) )</f>
        <v/>
      </c>
    </row>
    <row r="388" spans="2:26" x14ac:dyDescent="0.2">
      <c r="B388" s="2"/>
      <c r="C388" s="4" t="str">
        <f>IF($B388="","",  VLOOKUP($B388, Propostas!$B:$BE, 33, FALSE) )</f>
        <v/>
      </c>
      <c r="D388" s="4" t="str">
        <f>IF($B388="","",  VLOOKUP($B388, Propostas!$B:$BE, 34, FALSE) )</f>
        <v/>
      </c>
      <c r="E388" s="4" t="str">
        <f>IF($B388="","",  VLOOKUP($B388, Propostas!$B:$BE, 35, FALSE) )</f>
        <v/>
      </c>
      <c r="F388" s="4" t="str">
        <f>IF($B388="","",  VLOOKUP($B388, Propostas!$B:$BE, 2, FALSE) )</f>
        <v/>
      </c>
      <c r="G388" s="4" t="str">
        <f>IF($B388="","",  VLOOKUP($B388, Propostas!$B:$BE, 3, FALSE) )</f>
        <v/>
      </c>
      <c r="H388" s="4" t="str">
        <f>IF($B388="","",  VLOOKUP($B388, Propostas!$B:$BE, 4, FALSE) )</f>
        <v/>
      </c>
      <c r="I388" s="4" t="str">
        <f>IF($B388="","",  VLOOKUP($B388, Propostas!$B:$BE, 38, FALSE) )</f>
        <v/>
      </c>
      <c r="J388" s="13" t="str">
        <f>IF($B388="","",IF($C388="SIM", "&lt; INFRRAESTRUTURA &gt;", VLOOKUP($B388,Propostas!$B:$BE,41,FALSE)))</f>
        <v/>
      </c>
      <c r="K388" s="10" t="str">
        <f>IF($B388="","",  VLOOKUP($B388, Propostas!$B:$BE, 40, FALSE) )</f>
        <v/>
      </c>
      <c r="L388" s="10" t="str">
        <f>IF($B388="","",IF(VLOOKUP($B388,Propostas!$B:$BE,21,FALSE)=1,"B",IF(VLOOKUP($B388,Propostas!$B:$BE,21,FALSE)=2,"E","N")))</f>
        <v/>
      </c>
      <c r="M388" s="32" t="str">
        <f>IF($B388 = "", "",  VLOOKUP($B388, Propostas!$B:$BE, 46, FALSE) )</f>
        <v/>
      </c>
      <c r="N388" s="32" t="str">
        <f>IF($B388 = "", "",  VLOOKUP($B388, Propostas!$B:$BE, 47, FALSE) )</f>
        <v/>
      </c>
      <c r="O388" s="13" t="str">
        <f>IF($B388="","",IF($C388="SIM", "INFRAESTRUTURA", VLOOKUP($B388, Propostas!$B:$BE,42,FALSE)))</f>
        <v/>
      </c>
      <c r="P388" s="32" t="str">
        <f>IF($B388 = "", "",  VLOOKUP($B388, Propostas!$B:$BE, 49, FALSE) )</f>
        <v/>
      </c>
      <c r="Q388" s="13" t="str">
        <f>IF($B388="","",  VLOOKUP($B388, Propostas!$B:$BE, 39, FALSE) )</f>
        <v/>
      </c>
      <c r="R388" s="81" t="str">
        <f>IF($B388="","",  VLOOKUP($B388, Propostas!$B:$BE, 43, FALSE) )</f>
        <v/>
      </c>
      <c r="S388" s="81" t="str">
        <f>IF($B388="","",  VLOOKUP($B388, Propostas!$B:$BE, 44, FALSE) )</f>
        <v/>
      </c>
      <c r="T388" s="81" t="str">
        <f>IF($B388="","",  VLOOKUP($B388, Propostas!$B:$BE, 45, FALSE) )</f>
        <v/>
      </c>
      <c r="U388" s="32" t="str">
        <f>IF($B388="","",  VLOOKUP($B388, Propostas!$B:$BE, 37, FALSE) )</f>
        <v/>
      </c>
      <c r="V388" s="13" t="str">
        <f>IF($B388="","",  VLOOKUP($B388, Propostas!$B:$BE, 50, FALSE) )</f>
        <v/>
      </c>
      <c r="W388" s="13" t="str">
        <f>IF($B388="","",  VLOOKUP($B388, Propostas!$B:$BE, 51, FALSE) )</f>
        <v/>
      </c>
      <c r="X388" s="13" t="str">
        <f>IF($B388="","",  VLOOKUP($B388, Propostas!$B:$BE, 52, FALSE) )</f>
        <v/>
      </c>
      <c r="Y388" s="13" t="str">
        <f>IF($B388="","",  VLOOKUP($B388, Propostas!$B:$BE, 36, FALSE) )</f>
        <v/>
      </c>
      <c r="Z388" s="13" t="str">
        <f>IF($B388="","",  VLOOKUP($F388, VW_PROJETO!B:C, 2, FALSE) )</f>
        <v/>
      </c>
    </row>
    <row r="389" spans="2:26" x14ac:dyDescent="0.2">
      <c r="B389" s="2"/>
      <c r="C389" s="4" t="str">
        <f>IF($B389="","",  VLOOKUP($B389, Propostas!$B:$BE, 33, FALSE) )</f>
        <v/>
      </c>
      <c r="D389" s="4" t="str">
        <f>IF($B389="","",  VLOOKUP($B389, Propostas!$B:$BE, 34, FALSE) )</f>
        <v/>
      </c>
      <c r="E389" s="4" t="str">
        <f>IF($B389="","",  VLOOKUP($B389, Propostas!$B:$BE, 35, FALSE) )</f>
        <v/>
      </c>
      <c r="F389" s="4" t="str">
        <f>IF($B389="","",  VLOOKUP($B389, Propostas!$B:$BE, 2, FALSE) )</f>
        <v/>
      </c>
      <c r="G389" s="4" t="str">
        <f>IF($B389="","",  VLOOKUP($B389, Propostas!$B:$BE, 3, FALSE) )</f>
        <v/>
      </c>
      <c r="H389" s="4" t="str">
        <f>IF($B389="","",  VLOOKUP($B389, Propostas!$B:$BE, 4, FALSE) )</f>
        <v/>
      </c>
      <c r="I389" s="4" t="str">
        <f>IF($B389="","",  VLOOKUP($B389, Propostas!$B:$BE, 38, FALSE) )</f>
        <v/>
      </c>
      <c r="J389" s="13" t="str">
        <f>IF($B389="","",IF($C389="SIM", "&lt; INFRRAESTRUTURA &gt;", VLOOKUP($B389,Propostas!$B:$BE,41,FALSE)))</f>
        <v/>
      </c>
      <c r="K389" s="10" t="str">
        <f>IF($B389="","",  VLOOKUP($B389, Propostas!$B:$BE, 40, FALSE) )</f>
        <v/>
      </c>
      <c r="L389" s="10" t="str">
        <f>IF($B389="","",IF(VLOOKUP($B389,Propostas!$B:$BE,21,FALSE)=1,"B",IF(VLOOKUP($B389,Propostas!$B:$BE,21,FALSE)=2,"E","N")))</f>
        <v/>
      </c>
      <c r="M389" s="32" t="str">
        <f>IF($B389 = "", "",  VLOOKUP($B389, Propostas!$B:$BE, 46, FALSE) )</f>
        <v/>
      </c>
      <c r="N389" s="32" t="str">
        <f>IF($B389 = "", "",  VLOOKUP($B389, Propostas!$B:$BE, 47, FALSE) )</f>
        <v/>
      </c>
      <c r="O389" s="13" t="str">
        <f>IF($B389="","",IF($C389="SIM", "INFRAESTRUTURA", VLOOKUP($B389, Propostas!$B:$BE,42,FALSE)))</f>
        <v/>
      </c>
      <c r="P389" s="32" t="str">
        <f>IF($B389 = "", "",  VLOOKUP($B389, Propostas!$B:$BE, 49, FALSE) )</f>
        <v/>
      </c>
      <c r="Q389" s="13" t="str">
        <f>IF($B389="","",  VLOOKUP($B389, Propostas!$B:$BE, 39, FALSE) )</f>
        <v/>
      </c>
      <c r="R389" s="81" t="str">
        <f>IF($B389="","",  VLOOKUP($B389, Propostas!$B:$BE, 43, FALSE) )</f>
        <v/>
      </c>
      <c r="S389" s="81" t="str">
        <f>IF($B389="","",  VLOOKUP($B389, Propostas!$B:$BE, 44, FALSE) )</f>
        <v/>
      </c>
      <c r="T389" s="81" t="str">
        <f>IF($B389="","",  VLOOKUP($B389, Propostas!$B:$BE, 45, FALSE) )</f>
        <v/>
      </c>
      <c r="U389" s="32" t="str">
        <f>IF($B389="","",  VLOOKUP($B389, Propostas!$B:$BE, 37, FALSE) )</f>
        <v/>
      </c>
      <c r="V389" s="13" t="str">
        <f>IF($B389="","",  VLOOKUP($B389, Propostas!$B:$BE, 50, FALSE) )</f>
        <v/>
      </c>
      <c r="W389" s="13" t="str">
        <f>IF($B389="","",  VLOOKUP($B389, Propostas!$B:$BE, 51, FALSE) )</f>
        <v/>
      </c>
      <c r="X389" s="13" t="str">
        <f>IF($B389="","",  VLOOKUP($B389, Propostas!$B:$BE, 52, FALSE) )</f>
        <v/>
      </c>
      <c r="Y389" s="13" t="str">
        <f>IF($B389="","",  VLOOKUP($B389, Propostas!$B:$BE, 36, FALSE) )</f>
        <v/>
      </c>
      <c r="Z389" s="13" t="str">
        <f>IF($B389="","",  VLOOKUP($F389, VW_PROJETO!B:C, 2, FALSE) )</f>
        <v/>
      </c>
    </row>
    <row r="390" spans="2:26" x14ac:dyDescent="0.2">
      <c r="B390" s="2"/>
      <c r="C390" s="4" t="str">
        <f>IF($B390="","",  VLOOKUP($B390, Propostas!$B:$BE, 33, FALSE) )</f>
        <v/>
      </c>
      <c r="D390" s="4" t="str">
        <f>IF($B390="","",  VLOOKUP($B390, Propostas!$B:$BE, 34, FALSE) )</f>
        <v/>
      </c>
      <c r="E390" s="4" t="str">
        <f>IF($B390="","",  VLOOKUP($B390, Propostas!$B:$BE, 35, FALSE) )</f>
        <v/>
      </c>
      <c r="F390" s="4" t="str">
        <f>IF($B390="","",  VLOOKUP($B390, Propostas!$B:$BE, 2, FALSE) )</f>
        <v/>
      </c>
      <c r="G390" s="4" t="str">
        <f>IF($B390="","",  VLOOKUP($B390, Propostas!$B:$BE, 3, FALSE) )</f>
        <v/>
      </c>
      <c r="H390" s="4" t="str">
        <f>IF($B390="","",  VLOOKUP($B390, Propostas!$B:$BE, 4, FALSE) )</f>
        <v/>
      </c>
      <c r="I390" s="4" t="str">
        <f>IF($B390="","",  VLOOKUP($B390, Propostas!$B:$BE, 38, FALSE) )</f>
        <v/>
      </c>
      <c r="J390" s="13" t="str">
        <f>IF($B390="","",IF($C390="SIM", "&lt; INFRRAESTRUTURA &gt;", VLOOKUP($B390,Propostas!$B:$BE,41,FALSE)))</f>
        <v/>
      </c>
      <c r="K390" s="10" t="str">
        <f>IF($B390="","",  VLOOKUP($B390, Propostas!$B:$BE, 40, FALSE) )</f>
        <v/>
      </c>
      <c r="L390" s="10" t="str">
        <f>IF($B390="","",IF(VLOOKUP($B390,Propostas!$B:$BE,21,FALSE)=1,"B",IF(VLOOKUP($B390,Propostas!$B:$BE,21,FALSE)=2,"E","N")))</f>
        <v/>
      </c>
      <c r="M390" s="32" t="str">
        <f>IF($B390 = "", "",  VLOOKUP($B390, Propostas!$B:$BE, 46, FALSE) )</f>
        <v/>
      </c>
      <c r="N390" s="32" t="str">
        <f>IF($B390 = "", "",  VLOOKUP($B390, Propostas!$B:$BE, 47, FALSE) )</f>
        <v/>
      </c>
      <c r="O390" s="13" t="str">
        <f>IF($B390="","",IF($C390="SIM", "INFRAESTRUTURA", VLOOKUP($B390, Propostas!$B:$BE,42,FALSE)))</f>
        <v/>
      </c>
      <c r="P390" s="32" t="str">
        <f>IF($B390 = "", "",  VLOOKUP($B390, Propostas!$B:$BE, 49, FALSE) )</f>
        <v/>
      </c>
      <c r="Q390" s="13" t="str">
        <f>IF($B390="","",  VLOOKUP($B390, Propostas!$B:$BE, 39, FALSE) )</f>
        <v/>
      </c>
      <c r="R390" s="81" t="str">
        <f>IF($B390="","",  VLOOKUP($B390, Propostas!$B:$BE, 43, FALSE) )</f>
        <v/>
      </c>
      <c r="S390" s="81" t="str">
        <f>IF($B390="","",  VLOOKUP($B390, Propostas!$B:$BE, 44, FALSE) )</f>
        <v/>
      </c>
      <c r="T390" s="81" t="str">
        <f>IF($B390="","",  VLOOKUP($B390, Propostas!$B:$BE, 45, FALSE) )</f>
        <v/>
      </c>
      <c r="U390" s="32" t="str">
        <f>IF($B390="","",  VLOOKUP($B390, Propostas!$B:$BE, 37, FALSE) )</f>
        <v/>
      </c>
      <c r="V390" s="13" t="str">
        <f>IF($B390="","",  VLOOKUP($B390, Propostas!$B:$BE, 50, FALSE) )</f>
        <v/>
      </c>
      <c r="W390" s="13" t="str">
        <f>IF($B390="","",  VLOOKUP($B390, Propostas!$B:$BE, 51, FALSE) )</f>
        <v/>
      </c>
      <c r="X390" s="13" t="str">
        <f>IF($B390="","",  VLOOKUP($B390, Propostas!$B:$BE, 52, FALSE) )</f>
        <v/>
      </c>
      <c r="Y390" s="13" t="str">
        <f>IF($B390="","",  VLOOKUP($B390, Propostas!$B:$BE, 36, FALSE) )</f>
        <v/>
      </c>
      <c r="Z390" s="13" t="str">
        <f>IF($B390="","",  VLOOKUP($F390, VW_PROJETO!B:C, 2, FALSE) )</f>
        <v/>
      </c>
    </row>
    <row r="391" spans="2:26" x14ac:dyDescent="0.2">
      <c r="B391" s="2"/>
      <c r="C391" s="4" t="str">
        <f>IF($B391="","",  VLOOKUP($B391, Propostas!$B:$BE, 33, FALSE) )</f>
        <v/>
      </c>
      <c r="D391" s="4" t="str">
        <f>IF($B391="","",  VLOOKUP($B391, Propostas!$B:$BE, 34, FALSE) )</f>
        <v/>
      </c>
      <c r="E391" s="4" t="str">
        <f>IF($B391="","",  VLOOKUP($B391, Propostas!$B:$BE, 35, FALSE) )</f>
        <v/>
      </c>
      <c r="F391" s="4" t="str">
        <f>IF($B391="","",  VLOOKUP($B391, Propostas!$B:$BE, 2, FALSE) )</f>
        <v/>
      </c>
      <c r="G391" s="4" t="str">
        <f>IF($B391="","",  VLOOKUP($B391, Propostas!$B:$BE, 3, FALSE) )</f>
        <v/>
      </c>
      <c r="H391" s="4" t="str">
        <f>IF($B391="","",  VLOOKUP($B391, Propostas!$B:$BE, 4, FALSE) )</f>
        <v/>
      </c>
      <c r="I391" s="4" t="str">
        <f>IF($B391="","",  VLOOKUP($B391, Propostas!$B:$BE, 38, FALSE) )</f>
        <v/>
      </c>
      <c r="J391" s="13" t="str">
        <f>IF($B391="","",IF($C391="SIM", "&lt; INFRRAESTRUTURA &gt;", VLOOKUP($B391,Propostas!$B:$BE,41,FALSE)))</f>
        <v/>
      </c>
      <c r="K391" s="10" t="str">
        <f>IF($B391="","",  VLOOKUP($B391, Propostas!$B:$BE, 40, FALSE) )</f>
        <v/>
      </c>
      <c r="L391" s="10" t="str">
        <f>IF($B391="","",IF(VLOOKUP($B391,Propostas!$B:$BE,21,FALSE)=1,"B",IF(VLOOKUP($B391,Propostas!$B:$BE,21,FALSE)=2,"E","N")))</f>
        <v/>
      </c>
      <c r="M391" s="32" t="str">
        <f>IF($B391 = "", "",  VLOOKUP($B391, Propostas!$B:$BE, 46, FALSE) )</f>
        <v/>
      </c>
      <c r="N391" s="32" t="str">
        <f>IF($B391 = "", "",  VLOOKUP($B391, Propostas!$B:$BE, 47, FALSE) )</f>
        <v/>
      </c>
      <c r="O391" s="13" t="str">
        <f>IF($B391="","",IF($C391="SIM", "INFRAESTRUTURA", VLOOKUP($B391, Propostas!$B:$BE,42,FALSE)))</f>
        <v/>
      </c>
      <c r="P391" s="32" t="str">
        <f>IF($B391 = "", "",  VLOOKUP($B391, Propostas!$B:$BE, 49, FALSE) )</f>
        <v/>
      </c>
      <c r="Q391" s="13" t="str">
        <f>IF($B391="","",  VLOOKUP($B391, Propostas!$B:$BE, 39, FALSE) )</f>
        <v/>
      </c>
      <c r="R391" s="81" t="str">
        <f>IF($B391="","",  VLOOKUP($B391, Propostas!$B:$BE, 43, FALSE) )</f>
        <v/>
      </c>
      <c r="S391" s="81" t="str">
        <f>IF($B391="","",  VLOOKUP($B391, Propostas!$B:$BE, 44, FALSE) )</f>
        <v/>
      </c>
      <c r="T391" s="81" t="str">
        <f>IF($B391="","",  VLOOKUP($B391, Propostas!$B:$BE, 45, FALSE) )</f>
        <v/>
      </c>
      <c r="U391" s="32" t="str">
        <f>IF($B391="","",  VLOOKUP($B391, Propostas!$B:$BE, 37, FALSE) )</f>
        <v/>
      </c>
      <c r="V391" s="13" t="str">
        <f>IF($B391="","",  VLOOKUP($B391, Propostas!$B:$BE, 50, FALSE) )</f>
        <v/>
      </c>
      <c r="W391" s="13" t="str">
        <f>IF($B391="","",  VLOOKUP($B391, Propostas!$B:$BE, 51, FALSE) )</f>
        <v/>
      </c>
      <c r="X391" s="13" t="str">
        <f>IF($B391="","",  VLOOKUP($B391, Propostas!$B:$BE, 52, FALSE) )</f>
        <v/>
      </c>
      <c r="Y391" s="13" t="str">
        <f>IF($B391="","",  VLOOKUP($B391, Propostas!$B:$BE, 36, FALSE) )</f>
        <v/>
      </c>
      <c r="Z391" s="13" t="str">
        <f>IF($B391="","",  VLOOKUP($F391, VW_PROJETO!B:C, 2, FALSE) )</f>
        <v/>
      </c>
    </row>
    <row r="392" spans="2:26" x14ac:dyDescent="0.2">
      <c r="B392" s="2"/>
      <c r="C392" s="4" t="str">
        <f>IF($B392="","",  VLOOKUP($B392, Propostas!$B:$BE, 33, FALSE) )</f>
        <v/>
      </c>
      <c r="D392" s="4" t="str">
        <f>IF($B392="","",  VLOOKUP($B392, Propostas!$B:$BE, 34, FALSE) )</f>
        <v/>
      </c>
      <c r="E392" s="4" t="str">
        <f>IF($B392="","",  VLOOKUP($B392, Propostas!$B:$BE, 35, FALSE) )</f>
        <v/>
      </c>
      <c r="F392" s="4" t="str">
        <f>IF($B392="","",  VLOOKUP($B392, Propostas!$B:$BE, 2, FALSE) )</f>
        <v/>
      </c>
      <c r="G392" s="4" t="str">
        <f>IF($B392="","",  VLOOKUP($B392, Propostas!$B:$BE, 3, FALSE) )</f>
        <v/>
      </c>
      <c r="H392" s="4" t="str">
        <f>IF($B392="","",  VLOOKUP($B392, Propostas!$B:$BE, 4, FALSE) )</f>
        <v/>
      </c>
      <c r="I392" s="4" t="str">
        <f>IF($B392="","",  VLOOKUP($B392, Propostas!$B:$BE, 38, FALSE) )</f>
        <v/>
      </c>
      <c r="J392" s="13" t="str">
        <f>IF($B392="","",IF($C392="SIM", "&lt; INFRRAESTRUTURA &gt;", VLOOKUP($B392,Propostas!$B:$BE,41,FALSE)))</f>
        <v/>
      </c>
      <c r="K392" s="10" t="str">
        <f>IF($B392="","",  VLOOKUP($B392, Propostas!$B:$BE, 40, FALSE) )</f>
        <v/>
      </c>
      <c r="L392" s="10" t="str">
        <f>IF($B392="","",IF(VLOOKUP($B392,Propostas!$B:$BE,21,FALSE)=1,"B",IF(VLOOKUP($B392,Propostas!$B:$BE,21,FALSE)=2,"E","N")))</f>
        <v/>
      </c>
      <c r="M392" s="32" t="str">
        <f>IF($B392 = "", "",  VLOOKUP($B392, Propostas!$B:$BE, 46, FALSE) )</f>
        <v/>
      </c>
      <c r="N392" s="32" t="str">
        <f>IF($B392 = "", "",  VLOOKUP($B392, Propostas!$B:$BE, 47, FALSE) )</f>
        <v/>
      </c>
      <c r="O392" s="13" t="str">
        <f>IF($B392="","",IF($C392="SIM", "INFRAESTRUTURA", VLOOKUP($B392, Propostas!$B:$BE,42,FALSE)))</f>
        <v/>
      </c>
      <c r="P392" s="32" t="str">
        <f>IF($B392 = "", "",  VLOOKUP($B392, Propostas!$B:$BE, 49, FALSE) )</f>
        <v/>
      </c>
      <c r="Q392" s="13" t="str">
        <f>IF($B392="","",  VLOOKUP($B392, Propostas!$B:$BE, 39, FALSE) )</f>
        <v/>
      </c>
      <c r="R392" s="81" t="str">
        <f>IF($B392="","",  VLOOKUP($B392, Propostas!$B:$BE, 43, FALSE) )</f>
        <v/>
      </c>
      <c r="S392" s="81" t="str">
        <f>IF($B392="","",  VLOOKUP($B392, Propostas!$B:$BE, 44, FALSE) )</f>
        <v/>
      </c>
      <c r="T392" s="81" t="str">
        <f>IF($B392="","",  VLOOKUP($B392, Propostas!$B:$BE, 45, FALSE) )</f>
        <v/>
      </c>
      <c r="U392" s="32" t="str">
        <f>IF($B392="","",  VLOOKUP($B392, Propostas!$B:$BE, 37, FALSE) )</f>
        <v/>
      </c>
      <c r="V392" s="13" t="str">
        <f>IF($B392="","",  VLOOKUP($B392, Propostas!$B:$BE, 50, FALSE) )</f>
        <v/>
      </c>
      <c r="W392" s="13" t="str">
        <f>IF($B392="","",  VLOOKUP($B392, Propostas!$B:$BE, 51, FALSE) )</f>
        <v/>
      </c>
      <c r="X392" s="13" t="str">
        <f>IF($B392="","",  VLOOKUP($B392, Propostas!$B:$BE, 52, FALSE) )</f>
        <v/>
      </c>
      <c r="Y392" s="13" t="str">
        <f>IF($B392="","",  VLOOKUP($B392, Propostas!$B:$BE, 36, FALSE) )</f>
        <v/>
      </c>
      <c r="Z392" s="13" t="str">
        <f>IF($B392="","",  VLOOKUP($F392, VW_PROJETO!B:C, 2, FALSE) )</f>
        <v/>
      </c>
    </row>
    <row r="393" spans="2:26" x14ac:dyDescent="0.2">
      <c r="B393" s="2"/>
      <c r="C393" s="4" t="str">
        <f>IF($B393="","",  VLOOKUP($B393, Propostas!$B:$BE, 33, FALSE) )</f>
        <v/>
      </c>
      <c r="D393" s="4" t="str">
        <f>IF($B393="","",  VLOOKUP($B393, Propostas!$B:$BE, 34, FALSE) )</f>
        <v/>
      </c>
      <c r="E393" s="4" t="str">
        <f>IF($B393="","",  VLOOKUP($B393, Propostas!$B:$BE, 35, FALSE) )</f>
        <v/>
      </c>
      <c r="F393" s="4" t="str">
        <f>IF($B393="","",  VLOOKUP($B393, Propostas!$B:$BE, 2, FALSE) )</f>
        <v/>
      </c>
      <c r="G393" s="4" t="str">
        <f>IF($B393="","",  VLOOKUP($B393, Propostas!$B:$BE, 3, FALSE) )</f>
        <v/>
      </c>
      <c r="H393" s="4" t="str">
        <f>IF($B393="","",  VLOOKUP($B393, Propostas!$B:$BE, 4, FALSE) )</f>
        <v/>
      </c>
      <c r="I393" s="4" t="str">
        <f>IF($B393="","",  VLOOKUP($B393, Propostas!$B:$BE, 38, FALSE) )</f>
        <v/>
      </c>
      <c r="J393" s="13" t="str">
        <f>IF($B393="","",IF($C393="SIM", "&lt; INFRRAESTRUTURA &gt;", VLOOKUP($B393,Propostas!$B:$BE,41,FALSE)))</f>
        <v/>
      </c>
      <c r="K393" s="10" t="str">
        <f>IF($B393="","",  VLOOKUP($B393, Propostas!$B:$BE, 40, FALSE) )</f>
        <v/>
      </c>
      <c r="L393" s="10" t="str">
        <f>IF($B393="","",IF(VLOOKUP($B393,Propostas!$B:$BE,21,FALSE)=1,"B",IF(VLOOKUP($B393,Propostas!$B:$BE,21,FALSE)=2,"E","N")))</f>
        <v/>
      </c>
      <c r="M393" s="32" t="str">
        <f>IF($B393 = "", "",  VLOOKUP($B393, Propostas!$B:$BE, 46, FALSE) )</f>
        <v/>
      </c>
      <c r="N393" s="32" t="str">
        <f>IF($B393 = "", "",  VLOOKUP($B393, Propostas!$B:$BE, 47, FALSE) )</f>
        <v/>
      </c>
      <c r="O393" s="13" t="str">
        <f>IF($B393="","",IF($C393="SIM", "INFRAESTRUTURA", VLOOKUP($B393, Propostas!$B:$BE,42,FALSE)))</f>
        <v/>
      </c>
      <c r="P393" s="32" t="str">
        <f>IF($B393 = "", "",  VLOOKUP($B393, Propostas!$B:$BE, 49, FALSE) )</f>
        <v/>
      </c>
      <c r="Q393" s="13" t="str">
        <f>IF($B393="","",  VLOOKUP($B393, Propostas!$B:$BE, 39, FALSE) )</f>
        <v/>
      </c>
      <c r="R393" s="81" t="str">
        <f>IF($B393="","",  VLOOKUP($B393, Propostas!$B:$BE, 43, FALSE) )</f>
        <v/>
      </c>
      <c r="S393" s="81" t="str">
        <f>IF($B393="","",  VLOOKUP($B393, Propostas!$B:$BE, 44, FALSE) )</f>
        <v/>
      </c>
      <c r="T393" s="81" t="str">
        <f>IF($B393="","",  VLOOKUP($B393, Propostas!$B:$BE, 45, FALSE) )</f>
        <v/>
      </c>
      <c r="U393" s="32" t="str">
        <f>IF($B393="","",  VLOOKUP($B393, Propostas!$B:$BE, 37, FALSE) )</f>
        <v/>
      </c>
      <c r="V393" s="13" t="str">
        <f>IF($B393="","",  VLOOKUP($B393, Propostas!$B:$BE, 50, FALSE) )</f>
        <v/>
      </c>
      <c r="W393" s="13" t="str">
        <f>IF($B393="","",  VLOOKUP($B393, Propostas!$B:$BE, 51, FALSE) )</f>
        <v/>
      </c>
      <c r="X393" s="13" t="str">
        <f>IF($B393="","",  VLOOKUP($B393, Propostas!$B:$BE, 52, FALSE) )</f>
        <v/>
      </c>
      <c r="Y393" s="13" t="str">
        <f>IF($B393="","",  VLOOKUP($B393, Propostas!$B:$BE, 36, FALSE) )</f>
        <v/>
      </c>
      <c r="Z393" s="13" t="str">
        <f>IF($B393="","",  VLOOKUP($F393, VW_PROJETO!B:C, 2, FALSE) )</f>
        <v/>
      </c>
    </row>
    <row r="394" spans="2:26" x14ac:dyDescent="0.2">
      <c r="B394" s="2"/>
      <c r="C394" s="4" t="str">
        <f>IF($B394="","",  VLOOKUP($B394, Propostas!$B:$BE, 33, FALSE) )</f>
        <v/>
      </c>
      <c r="D394" s="4" t="str">
        <f>IF($B394="","",  VLOOKUP($B394, Propostas!$B:$BE, 34, FALSE) )</f>
        <v/>
      </c>
      <c r="E394" s="4" t="str">
        <f>IF($B394="","",  VLOOKUP($B394, Propostas!$B:$BE, 35, FALSE) )</f>
        <v/>
      </c>
      <c r="F394" s="4" t="str">
        <f>IF($B394="","",  VLOOKUP($B394, Propostas!$B:$BE, 2, FALSE) )</f>
        <v/>
      </c>
      <c r="G394" s="4" t="str">
        <f>IF($B394="","",  VLOOKUP($B394, Propostas!$B:$BE, 3, FALSE) )</f>
        <v/>
      </c>
      <c r="H394" s="4" t="str">
        <f>IF($B394="","",  VLOOKUP($B394, Propostas!$B:$BE, 4, FALSE) )</f>
        <v/>
      </c>
      <c r="I394" s="4" t="str">
        <f>IF($B394="","",  VLOOKUP($B394, Propostas!$B:$BE, 38, FALSE) )</f>
        <v/>
      </c>
      <c r="J394" s="13" t="str">
        <f>IF($B394="","",IF($C394="SIM", "&lt; INFRRAESTRUTURA &gt;", VLOOKUP($B394,Propostas!$B:$BE,41,FALSE)))</f>
        <v/>
      </c>
      <c r="K394" s="10" t="str">
        <f>IF($B394="","",  VLOOKUP($B394, Propostas!$B:$BE, 40, FALSE) )</f>
        <v/>
      </c>
      <c r="L394" s="10" t="str">
        <f>IF($B394="","",IF(VLOOKUP($B394,Propostas!$B:$BE,21,FALSE)=1,"B",IF(VLOOKUP($B394,Propostas!$B:$BE,21,FALSE)=2,"E","N")))</f>
        <v/>
      </c>
      <c r="M394" s="32" t="str">
        <f>IF($B394 = "", "",  VLOOKUP($B394, Propostas!$B:$BE, 46, FALSE) )</f>
        <v/>
      </c>
      <c r="N394" s="32" t="str">
        <f>IF($B394 = "", "",  VLOOKUP($B394, Propostas!$B:$BE, 47, FALSE) )</f>
        <v/>
      </c>
      <c r="O394" s="13" t="str">
        <f>IF($B394="","",IF($C394="SIM", "INFRAESTRUTURA", VLOOKUP($B394, Propostas!$B:$BE,42,FALSE)))</f>
        <v/>
      </c>
      <c r="P394" s="32" t="str">
        <f>IF($B394 = "", "",  VLOOKUP($B394, Propostas!$B:$BE, 49, FALSE) )</f>
        <v/>
      </c>
      <c r="Q394" s="13" t="str">
        <f>IF($B394="","",  VLOOKUP($B394, Propostas!$B:$BE, 39, FALSE) )</f>
        <v/>
      </c>
      <c r="R394" s="81" t="str">
        <f>IF($B394="","",  VLOOKUP($B394, Propostas!$B:$BE, 43, FALSE) )</f>
        <v/>
      </c>
      <c r="S394" s="81" t="str">
        <f>IF($B394="","",  VLOOKUP($B394, Propostas!$B:$BE, 44, FALSE) )</f>
        <v/>
      </c>
      <c r="T394" s="81" t="str">
        <f>IF($B394="","",  VLOOKUP($B394, Propostas!$B:$BE, 45, FALSE) )</f>
        <v/>
      </c>
      <c r="U394" s="32" t="str">
        <f>IF($B394="","",  VLOOKUP($B394, Propostas!$B:$BE, 37, FALSE) )</f>
        <v/>
      </c>
      <c r="V394" s="13" t="str">
        <f>IF($B394="","",  VLOOKUP($B394, Propostas!$B:$BE, 50, FALSE) )</f>
        <v/>
      </c>
      <c r="W394" s="13" t="str">
        <f>IF($B394="","",  VLOOKUP($B394, Propostas!$B:$BE, 51, FALSE) )</f>
        <v/>
      </c>
      <c r="X394" s="13" t="str">
        <f>IF($B394="","",  VLOOKUP($B394, Propostas!$B:$BE, 52, FALSE) )</f>
        <v/>
      </c>
      <c r="Y394" s="13" t="str">
        <f>IF($B394="","",  VLOOKUP($B394, Propostas!$B:$BE, 36, FALSE) )</f>
        <v/>
      </c>
      <c r="Z394" s="13" t="str">
        <f>IF($B394="","",  VLOOKUP($F394, VW_PROJETO!B:C, 2, FALSE) )</f>
        <v/>
      </c>
    </row>
    <row r="395" spans="2:26" x14ac:dyDescent="0.2">
      <c r="B395" s="2"/>
      <c r="C395" s="4" t="str">
        <f>IF($B395="","",  VLOOKUP($B395, Propostas!$B:$BE, 33, FALSE) )</f>
        <v/>
      </c>
      <c r="D395" s="4" t="str">
        <f>IF($B395="","",  VLOOKUP($B395, Propostas!$B:$BE, 34, FALSE) )</f>
        <v/>
      </c>
      <c r="E395" s="4" t="str">
        <f>IF($B395="","",  VLOOKUP($B395, Propostas!$B:$BE, 35, FALSE) )</f>
        <v/>
      </c>
      <c r="F395" s="4" t="str">
        <f>IF($B395="","",  VLOOKUP($B395, Propostas!$B:$BE, 2, FALSE) )</f>
        <v/>
      </c>
      <c r="G395" s="4" t="str">
        <f>IF($B395="","",  VLOOKUP($B395, Propostas!$B:$BE, 3, FALSE) )</f>
        <v/>
      </c>
      <c r="H395" s="4" t="str">
        <f>IF($B395="","",  VLOOKUP($B395, Propostas!$B:$BE, 4, FALSE) )</f>
        <v/>
      </c>
      <c r="I395" s="4" t="str">
        <f>IF($B395="","",  VLOOKUP($B395, Propostas!$B:$BE, 38, FALSE) )</f>
        <v/>
      </c>
      <c r="J395" s="13" t="str">
        <f>IF($B395="","",IF($C395="SIM", "&lt; INFRRAESTRUTURA &gt;", VLOOKUP($B395,Propostas!$B:$BE,41,FALSE)))</f>
        <v/>
      </c>
      <c r="K395" s="10" t="str">
        <f>IF($B395="","",  VLOOKUP($B395, Propostas!$B:$BE, 40, FALSE) )</f>
        <v/>
      </c>
      <c r="L395" s="10" t="str">
        <f>IF($B395="","",IF(VLOOKUP($B395,Propostas!$B:$BE,21,FALSE)=1,"B",IF(VLOOKUP($B395,Propostas!$B:$BE,21,FALSE)=2,"E","N")))</f>
        <v/>
      </c>
      <c r="M395" s="32" t="str">
        <f>IF($B395 = "", "",  VLOOKUP($B395, Propostas!$B:$BE, 46, FALSE) )</f>
        <v/>
      </c>
      <c r="N395" s="32" t="str">
        <f>IF($B395 = "", "",  VLOOKUP($B395, Propostas!$B:$BE, 47, FALSE) )</f>
        <v/>
      </c>
      <c r="O395" s="13" t="str">
        <f>IF($B395="","",IF($C395="SIM", "INFRAESTRUTURA", VLOOKUP($B395, Propostas!$B:$BE,42,FALSE)))</f>
        <v/>
      </c>
      <c r="P395" s="32" t="str">
        <f>IF($B395 = "", "",  VLOOKUP($B395, Propostas!$B:$BE, 49, FALSE) )</f>
        <v/>
      </c>
      <c r="Q395" s="13" t="str">
        <f>IF($B395="","",  VLOOKUP($B395, Propostas!$B:$BE, 39, FALSE) )</f>
        <v/>
      </c>
      <c r="R395" s="81" t="str">
        <f>IF($B395="","",  VLOOKUP($B395, Propostas!$B:$BE, 43, FALSE) )</f>
        <v/>
      </c>
      <c r="S395" s="81" t="str">
        <f>IF($B395="","",  VLOOKUP($B395, Propostas!$B:$BE, 44, FALSE) )</f>
        <v/>
      </c>
      <c r="T395" s="81" t="str">
        <f>IF($B395="","",  VLOOKUP($B395, Propostas!$B:$BE, 45, FALSE) )</f>
        <v/>
      </c>
      <c r="U395" s="32" t="str">
        <f>IF($B395="","",  VLOOKUP($B395, Propostas!$B:$BE, 37, FALSE) )</f>
        <v/>
      </c>
      <c r="V395" s="13" t="str">
        <f>IF($B395="","",  VLOOKUP($B395, Propostas!$B:$BE, 50, FALSE) )</f>
        <v/>
      </c>
      <c r="W395" s="13" t="str">
        <f>IF($B395="","",  VLOOKUP($B395, Propostas!$B:$BE, 51, FALSE) )</f>
        <v/>
      </c>
      <c r="X395" s="13" t="str">
        <f>IF($B395="","",  VLOOKUP($B395, Propostas!$B:$BE, 52, FALSE) )</f>
        <v/>
      </c>
      <c r="Y395" s="13" t="str">
        <f>IF($B395="","",  VLOOKUP($B395, Propostas!$B:$BE, 36, FALSE) )</f>
        <v/>
      </c>
      <c r="Z395" s="13" t="str">
        <f>IF($B395="","",  VLOOKUP($F395, VW_PROJETO!B:C, 2, FALSE) )</f>
        <v/>
      </c>
    </row>
    <row r="396" spans="2:26" x14ac:dyDescent="0.2">
      <c r="B396" s="2"/>
      <c r="C396" s="4" t="str">
        <f>IF($B396="","",  VLOOKUP($B396, Propostas!$B:$BE, 33, FALSE) )</f>
        <v/>
      </c>
      <c r="D396" s="4" t="str">
        <f>IF($B396="","",  VLOOKUP($B396, Propostas!$B:$BE, 34, FALSE) )</f>
        <v/>
      </c>
      <c r="E396" s="4" t="str">
        <f>IF($B396="","",  VLOOKUP($B396, Propostas!$B:$BE, 35, FALSE) )</f>
        <v/>
      </c>
      <c r="F396" s="4" t="str">
        <f>IF($B396="","",  VLOOKUP($B396, Propostas!$B:$BE, 2, FALSE) )</f>
        <v/>
      </c>
      <c r="G396" s="4" t="str">
        <f>IF($B396="","",  VLOOKUP($B396, Propostas!$B:$BE, 3, FALSE) )</f>
        <v/>
      </c>
      <c r="H396" s="4" t="str">
        <f>IF($B396="","",  VLOOKUP($B396, Propostas!$B:$BE, 4, FALSE) )</f>
        <v/>
      </c>
      <c r="I396" s="4" t="str">
        <f>IF($B396="","",  VLOOKUP($B396, Propostas!$B:$BE, 38, FALSE) )</f>
        <v/>
      </c>
      <c r="J396" s="13" t="str">
        <f>IF($B396="","",IF($C396="SIM", "&lt; INFRRAESTRUTURA &gt;", VLOOKUP($B396,Propostas!$B:$BE,41,FALSE)))</f>
        <v/>
      </c>
      <c r="K396" s="10" t="str">
        <f>IF($B396="","",  VLOOKUP($B396, Propostas!$B:$BE, 40, FALSE) )</f>
        <v/>
      </c>
      <c r="L396" s="10" t="str">
        <f>IF($B396="","",IF(VLOOKUP($B396,Propostas!$B:$BE,21,FALSE)=1,"B",IF(VLOOKUP($B396,Propostas!$B:$BE,21,FALSE)=2,"E","N")))</f>
        <v/>
      </c>
      <c r="M396" s="32" t="str">
        <f>IF($B396 = "", "",  VLOOKUP($B396, Propostas!$B:$BE, 46, FALSE) )</f>
        <v/>
      </c>
      <c r="N396" s="32" t="str">
        <f>IF($B396 = "", "",  VLOOKUP($B396, Propostas!$B:$BE, 47, FALSE) )</f>
        <v/>
      </c>
      <c r="O396" s="13" t="str">
        <f>IF($B396="","",IF($C396="SIM", "INFRAESTRUTURA", VLOOKUP($B396, Propostas!$B:$BE,42,FALSE)))</f>
        <v/>
      </c>
      <c r="P396" s="32" t="str">
        <f>IF($B396 = "", "",  VLOOKUP($B396, Propostas!$B:$BE, 49, FALSE) )</f>
        <v/>
      </c>
      <c r="Q396" s="13" t="str">
        <f>IF($B396="","",  VLOOKUP($B396, Propostas!$B:$BE, 39, FALSE) )</f>
        <v/>
      </c>
      <c r="R396" s="81" t="str">
        <f>IF($B396="","",  VLOOKUP($B396, Propostas!$B:$BE, 43, FALSE) )</f>
        <v/>
      </c>
      <c r="S396" s="81" t="str">
        <f>IF($B396="","",  VLOOKUP($B396, Propostas!$B:$BE, 44, FALSE) )</f>
        <v/>
      </c>
      <c r="T396" s="81" t="str">
        <f>IF($B396="","",  VLOOKUP($B396, Propostas!$B:$BE, 45, FALSE) )</f>
        <v/>
      </c>
      <c r="U396" s="32" t="str">
        <f>IF($B396="","",  VLOOKUP($B396, Propostas!$B:$BE, 37, FALSE) )</f>
        <v/>
      </c>
      <c r="V396" s="13" t="str">
        <f>IF($B396="","",  VLOOKUP($B396, Propostas!$B:$BE, 50, FALSE) )</f>
        <v/>
      </c>
      <c r="W396" s="13" t="str">
        <f>IF($B396="","",  VLOOKUP($B396, Propostas!$B:$BE, 51, FALSE) )</f>
        <v/>
      </c>
      <c r="X396" s="13" t="str">
        <f>IF($B396="","",  VLOOKUP($B396, Propostas!$B:$BE, 52, FALSE) )</f>
        <v/>
      </c>
      <c r="Y396" s="13" t="str">
        <f>IF($B396="","",  VLOOKUP($B396, Propostas!$B:$BE, 36, FALSE) )</f>
        <v/>
      </c>
      <c r="Z396" s="13" t="str">
        <f>IF($B396="","",  VLOOKUP($F396, VW_PROJETO!B:C, 2, FALSE) )</f>
        <v/>
      </c>
    </row>
    <row r="397" spans="2:26" x14ac:dyDescent="0.2">
      <c r="B397" s="2"/>
      <c r="C397" s="4" t="str">
        <f>IF($B397="","",  VLOOKUP($B397, Propostas!$B:$BE, 33, FALSE) )</f>
        <v/>
      </c>
      <c r="D397" s="4" t="str">
        <f>IF($B397="","",  VLOOKUP($B397, Propostas!$B:$BE, 34, FALSE) )</f>
        <v/>
      </c>
      <c r="E397" s="4" t="str">
        <f>IF($B397="","",  VLOOKUP($B397, Propostas!$B:$BE, 35, FALSE) )</f>
        <v/>
      </c>
      <c r="F397" s="4" t="str">
        <f>IF($B397="","",  VLOOKUP($B397, Propostas!$B:$BE, 2, FALSE) )</f>
        <v/>
      </c>
      <c r="G397" s="4" t="str">
        <f>IF($B397="","",  VLOOKUP($B397, Propostas!$B:$BE, 3, FALSE) )</f>
        <v/>
      </c>
      <c r="H397" s="4" t="str">
        <f>IF($B397="","",  VLOOKUP($B397, Propostas!$B:$BE, 4, FALSE) )</f>
        <v/>
      </c>
      <c r="I397" s="4" t="str">
        <f>IF($B397="","",  VLOOKUP($B397, Propostas!$B:$BE, 38, FALSE) )</f>
        <v/>
      </c>
      <c r="J397" s="13" t="str">
        <f>IF($B397="","",IF($C397="SIM", "&lt; INFRRAESTRUTURA &gt;", VLOOKUP($B397,Propostas!$B:$BE,41,FALSE)))</f>
        <v/>
      </c>
      <c r="K397" s="10" t="str">
        <f>IF($B397="","",  VLOOKUP($B397, Propostas!$B:$BE, 40, FALSE) )</f>
        <v/>
      </c>
      <c r="L397" s="10" t="str">
        <f>IF($B397="","",IF(VLOOKUP($B397,Propostas!$B:$BE,21,FALSE)=1,"B",IF(VLOOKUP($B397,Propostas!$B:$BE,21,FALSE)=2,"E","N")))</f>
        <v/>
      </c>
      <c r="M397" s="32" t="str">
        <f>IF($B397 = "", "",  VLOOKUP($B397, Propostas!$B:$BE, 46, FALSE) )</f>
        <v/>
      </c>
      <c r="N397" s="32" t="str">
        <f>IF($B397 = "", "",  VLOOKUP($B397, Propostas!$B:$BE, 47, FALSE) )</f>
        <v/>
      </c>
      <c r="O397" s="13" t="str">
        <f>IF($B397="","",IF($C397="SIM", "INFRAESTRUTURA", VLOOKUP($B397, Propostas!$B:$BE,42,FALSE)))</f>
        <v/>
      </c>
      <c r="P397" s="32" t="str">
        <f>IF($B397 = "", "",  VLOOKUP($B397, Propostas!$B:$BE, 49, FALSE) )</f>
        <v/>
      </c>
      <c r="Q397" s="13" t="str">
        <f>IF($B397="","",  VLOOKUP($B397, Propostas!$B:$BE, 39, FALSE) )</f>
        <v/>
      </c>
      <c r="R397" s="81" t="str">
        <f>IF($B397="","",  VLOOKUP($B397, Propostas!$B:$BE, 43, FALSE) )</f>
        <v/>
      </c>
      <c r="S397" s="81" t="str">
        <f>IF($B397="","",  VLOOKUP($B397, Propostas!$B:$BE, 44, FALSE) )</f>
        <v/>
      </c>
      <c r="T397" s="81" t="str">
        <f>IF($B397="","",  VLOOKUP($B397, Propostas!$B:$BE, 45, FALSE) )</f>
        <v/>
      </c>
      <c r="U397" s="32" t="str">
        <f>IF($B397="","",  VLOOKUP($B397, Propostas!$B:$BE, 37, FALSE) )</f>
        <v/>
      </c>
      <c r="V397" s="13" t="str">
        <f>IF($B397="","",  VLOOKUP($B397, Propostas!$B:$BE, 50, FALSE) )</f>
        <v/>
      </c>
      <c r="W397" s="13" t="str">
        <f>IF($B397="","",  VLOOKUP($B397, Propostas!$B:$BE, 51, FALSE) )</f>
        <v/>
      </c>
      <c r="X397" s="13" t="str">
        <f>IF($B397="","",  VLOOKUP($B397, Propostas!$B:$BE, 52, FALSE) )</f>
        <v/>
      </c>
      <c r="Y397" s="13" t="str">
        <f>IF($B397="","",  VLOOKUP($B397, Propostas!$B:$BE, 36, FALSE) )</f>
        <v/>
      </c>
      <c r="Z397" s="13" t="str">
        <f>IF($B397="","",  VLOOKUP($F397, VW_PROJETO!B:C, 2, FALSE) )</f>
        <v/>
      </c>
    </row>
    <row r="398" spans="2:26" x14ac:dyDescent="0.2">
      <c r="B398" s="2"/>
      <c r="C398" s="4" t="str">
        <f>IF($B398="","",  VLOOKUP($B398, Propostas!$B:$BE, 33, FALSE) )</f>
        <v/>
      </c>
      <c r="D398" s="4" t="str">
        <f>IF($B398="","",  VLOOKUP($B398, Propostas!$B:$BE, 34, FALSE) )</f>
        <v/>
      </c>
      <c r="E398" s="4" t="str">
        <f>IF($B398="","",  VLOOKUP($B398, Propostas!$B:$BE, 35, FALSE) )</f>
        <v/>
      </c>
      <c r="F398" s="4" t="str">
        <f>IF($B398="","",  VLOOKUP($B398, Propostas!$B:$BE, 2, FALSE) )</f>
        <v/>
      </c>
      <c r="G398" s="4" t="str">
        <f>IF($B398="","",  VLOOKUP($B398, Propostas!$B:$BE, 3, FALSE) )</f>
        <v/>
      </c>
      <c r="H398" s="4" t="str">
        <f>IF($B398="","",  VLOOKUP($B398, Propostas!$B:$BE, 4, FALSE) )</f>
        <v/>
      </c>
      <c r="I398" s="4" t="str">
        <f>IF($B398="","",  VLOOKUP($B398, Propostas!$B:$BE, 38, FALSE) )</f>
        <v/>
      </c>
      <c r="J398" s="13" t="str">
        <f>IF($B398="","",IF($C398="SIM", "&lt; INFRRAESTRUTURA &gt;", VLOOKUP($B398,Propostas!$B:$BE,41,FALSE)))</f>
        <v/>
      </c>
      <c r="K398" s="10" t="str">
        <f>IF($B398="","",  VLOOKUP($B398, Propostas!$B:$BE, 40, FALSE) )</f>
        <v/>
      </c>
      <c r="L398" s="10" t="str">
        <f>IF($B398="","",IF(VLOOKUP($B398,Propostas!$B:$BE,21,FALSE)=1,"B",IF(VLOOKUP($B398,Propostas!$B:$BE,21,FALSE)=2,"E","N")))</f>
        <v/>
      </c>
      <c r="M398" s="32" t="str">
        <f>IF($B398 = "", "",  VLOOKUP($B398, Propostas!$B:$BE, 46, FALSE) )</f>
        <v/>
      </c>
      <c r="N398" s="32" t="str">
        <f>IF($B398 = "", "",  VLOOKUP($B398, Propostas!$B:$BE, 47, FALSE) )</f>
        <v/>
      </c>
      <c r="O398" s="13" t="str">
        <f>IF($B398="","",IF($C398="SIM", "INFRAESTRUTURA", VLOOKUP($B398, Propostas!$B:$BE,42,FALSE)))</f>
        <v/>
      </c>
      <c r="P398" s="32" t="str">
        <f>IF($B398 = "", "",  VLOOKUP($B398, Propostas!$B:$BE, 49, FALSE) )</f>
        <v/>
      </c>
      <c r="Q398" s="13" t="str">
        <f>IF($B398="","",  VLOOKUP($B398, Propostas!$B:$BE, 39, FALSE) )</f>
        <v/>
      </c>
      <c r="R398" s="81" t="str">
        <f>IF($B398="","",  VLOOKUP($B398, Propostas!$B:$BE, 43, FALSE) )</f>
        <v/>
      </c>
      <c r="S398" s="81" t="str">
        <f>IF($B398="","",  VLOOKUP($B398, Propostas!$B:$BE, 44, FALSE) )</f>
        <v/>
      </c>
      <c r="T398" s="81" t="str">
        <f>IF($B398="","",  VLOOKUP($B398, Propostas!$B:$BE, 45, FALSE) )</f>
        <v/>
      </c>
      <c r="U398" s="32" t="str">
        <f>IF($B398="","",  VLOOKUP($B398, Propostas!$B:$BE, 37, FALSE) )</f>
        <v/>
      </c>
      <c r="V398" s="13" t="str">
        <f>IF($B398="","",  VLOOKUP($B398, Propostas!$B:$BE, 50, FALSE) )</f>
        <v/>
      </c>
      <c r="W398" s="13" t="str">
        <f>IF($B398="","",  VLOOKUP($B398, Propostas!$B:$BE, 51, FALSE) )</f>
        <v/>
      </c>
      <c r="X398" s="13" t="str">
        <f>IF($B398="","",  VLOOKUP($B398, Propostas!$B:$BE, 52, FALSE) )</f>
        <v/>
      </c>
      <c r="Y398" s="13" t="str">
        <f>IF($B398="","",  VLOOKUP($B398, Propostas!$B:$BE, 36, FALSE) )</f>
        <v/>
      </c>
      <c r="Z398" s="13" t="str">
        <f>IF($B398="","",  VLOOKUP($F398, VW_PROJETO!B:C, 2, FALSE) )</f>
        <v/>
      </c>
    </row>
    <row r="399" spans="2:26" x14ac:dyDescent="0.2">
      <c r="B399" s="2"/>
      <c r="C399" s="4" t="str">
        <f>IF($B399="","",  VLOOKUP($B399, Propostas!$B:$BE, 33, FALSE) )</f>
        <v/>
      </c>
      <c r="D399" s="4" t="str">
        <f>IF($B399="","",  VLOOKUP($B399, Propostas!$B:$BE, 34, FALSE) )</f>
        <v/>
      </c>
      <c r="E399" s="4" t="str">
        <f>IF($B399="","",  VLOOKUP($B399, Propostas!$B:$BE, 35, FALSE) )</f>
        <v/>
      </c>
      <c r="F399" s="4" t="str">
        <f>IF($B399="","",  VLOOKUP($B399, Propostas!$B:$BE, 2, FALSE) )</f>
        <v/>
      </c>
      <c r="G399" s="4" t="str">
        <f>IF($B399="","",  VLOOKUP($B399, Propostas!$B:$BE, 3, FALSE) )</f>
        <v/>
      </c>
      <c r="H399" s="4" t="str">
        <f>IF($B399="","",  VLOOKUP($B399, Propostas!$B:$BE, 4, FALSE) )</f>
        <v/>
      </c>
      <c r="I399" s="4" t="str">
        <f>IF($B399="","",  VLOOKUP($B399, Propostas!$B:$BE, 38, FALSE) )</f>
        <v/>
      </c>
      <c r="J399" s="13" t="str">
        <f>IF($B399="","",IF($C399="SIM", "&lt; INFRRAESTRUTURA &gt;", VLOOKUP($B399,Propostas!$B:$BE,41,FALSE)))</f>
        <v/>
      </c>
      <c r="K399" s="10" t="str">
        <f>IF($B399="","",  VLOOKUP($B399, Propostas!$B:$BE, 40, FALSE) )</f>
        <v/>
      </c>
      <c r="L399" s="10" t="str">
        <f>IF($B399="","",IF(VLOOKUP($B399,Propostas!$B:$BE,21,FALSE)=1,"B",IF(VLOOKUP($B399,Propostas!$B:$BE,21,FALSE)=2,"E","N")))</f>
        <v/>
      </c>
      <c r="M399" s="32" t="str">
        <f>IF($B399 = "", "",  VLOOKUP($B399, Propostas!$B:$BE, 46, FALSE) )</f>
        <v/>
      </c>
      <c r="N399" s="32" t="str">
        <f>IF($B399 = "", "",  VLOOKUP($B399, Propostas!$B:$BE, 47, FALSE) )</f>
        <v/>
      </c>
      <c r="O399" s="13" t="str">
        <f>IF($B399="","",IF($C399="SIM", "INFRAESTRUTURA", VLOOKUP($B399, Propostas!$B:$BE,42,FALSE)))</f>
        <v/>
      </c>
      <c r="P399" s="32" t="str">
        <f>IF($B399 = "", "",  VLOOKUP($B399, Propostas!$B:$BE, 49, FALSE) )</f>
        <v/>
      </c>
      <c r="Q399" s="13" t="str">
        <f>IF($B399="","",  VLOOKUP($B399, Propostas!$B:$BE, 39, FALSE) )</f>
        <v/>
      </c>
      <c r="R399" s="81" t="str">
        <f>IF($B399="","",  VLOOKUP($B399, Propostas!$B:$BE, 43, FALSE) )</f>
        <v/>
      </c>
      <c r="S399" s="81" t="str">
        <f>IF($B399="","",  VLOOKUP($B399, Propostas!$B:$BE, 44, FALSE) )</f>
        <v/>
      </c>
      <c r="T399" s="81" t="str">
        <f>IF($B399="","",  VLOOKUP($B399, Propostas!$B:$BE, 45, FALSE) )</f>
        <v/>
      </c>
      <c r="U399" s="32" t="str">
        <f>IF($B399="","",  VLOOKUP($B399, Propostas!$B:$BE, 37, FALSE) )</f>
        <v/>
      </c>
      <c r="V399" s="13" t="str">
        <f>IF($B399="","",  VLOOKUP($B399, Propostas!$B:$BE, 50, FALSE) )</f>
        <v/>
      </c>
      <c r="W399" s="13" t="str">
        <f>IF($B399="","",  VLOOKUP($B399, Propostas!$B:$BE, 51, FALSE) )</f>
        <v/>
      </c>
      <c r="X399" s="13" t="str">
        <f>IF($B399="","",  VLOOKUP($B399, Propostas!$B:$BE, 52, FALSE) )</f>
        <v/>
      </c>
      <c r="Y399" s="13" t="str">
        <f>IF($B399="","",  VLOOKUP($B399, Propostas!$B:$BE, 36, FALSE) )</f>
        <v/>
      </c>
      <c r="Z399" s="13" t="str">
        <f>IF($B399="","",  VLOOKUP($F399, VW_PROJETO!B:C, 2, FALSE) )</f>
        <v/>
      </c>
    </row>
    <row r="400" spans="2:26" x14ac:dyDescent="0.2">
      <c r="B400" s="2"/>
      <c r="C400" s="4" t="str">
        <f>IF($B400="","",  VLOOKUP($B400, Propostas!$B:$BE, 33, FALSE) )</f>
        <v/>
      </c>
      <c r="D400" s="4" t="str">
        <f>IF($B400="","",  VLOOKUP($B400, Propostas!$B:$BE, 34, FALSE) )</f>
        <v/>
      </c>
      <c r="E400" s="4" t="str">
        <f>IF($B400="","",  VLOOKUP($B400, Propostas!$B:$BE, 35, FALSE) )</f>
        <v/>
      </c>
      <c r="F400" s="4" t="str">
        <f>IF($B400="","",  VLOOKUP($B400, Propostas!$B:$BE, 2, FALSE) )</f>
        <v/>
      </c>
      <c r="G400" s="4" t="str">
        <f>IF($B400="","",  VLOOKUP($B400, Propostas!$B:$BE, 3, FALSE) )</f>
        <v/>
      </c>
      <c r="H400" s="4" t="str">
        <f>IF($B400="","",  VLOOKUP($B400, Propostas!$B:$BE, 4, FALSE) )</f>
        <v/>
      </c>
      <c r="I400" s="4" t="str">
        <f>IF($B400="","",  VLOOKUP($B400, Propostas!$B:$BE, 38, FALSE) )</f>
        <v/>
      </c>
      <c r="J400" s="13" t="str">
        <f>IF($B400="","",IF($C400="SIM", "&lt; INFRRAESTRUTURA &gt;", VLOOKUP($B400,Propostas!$B:$BE,41,FALSE)))</f>
        <v/>
      </c>
      <c r="K400" s="10" t="str">
        <f>IF($B400="","",  VLOOKUP($B400, Propostas!$B:$BE, 40, FALSE) )</f>
        <v/>
      </c>
      <c r="L400" s="10" t="str">
        <f>IF($B400="","",IF(VLOOKUP($B400,Propostas!$B:$BE,21,FALSE)=1,"B",IF(VLOOKUP($B400,Propostas!$B:$BE,21,FALSE)=2,"E","N")))</f>
        <v/>
      </c>
      <c r="M400" s="32" t="str">
        <f>IF($B400 = "", "",  VLOOKUP($B400, Propostas!$B:$BE, 46, FALSE) )</f>
        <v/>
      </c>
      <c r="N400" s="32" t="str">
        <f>IF($B400 = "", "",  VLOOKUP($B400, Propostas!$B:$BE, 47, FALSE) )</f>
        <v/>
      </c>
      <c r="O400" s="13" t="str">
        <f>IF($B400="","",IF($C400="SIM", "INFRAESTRUTURA", VLOOKUP($B400, Propostas!$B:$BE,42,FALSE)))</f>
        <v/>
      </c>
      <c r="P400" s="32" t="str">
        <f>IF($B400 = "", "",  VLOOKUP($B400, Propostas!$B:$BE, 49, FALSE) )</f>
        <v/>
      </c>
      <c r="Q400" s="13" t="str">
        <f>IF($B400="","",  VLOOKUP($B400, Propostas!$B:$BE, 39, FALSE) )</f>
        <v/>
      </c>
      <c r="R400" s="81" t="str">
        <f>IF($B400="","",  VLOOKUP($B400, Propostas!$B:$BE, 43, FALSE) )</f>
        <v/>
      </c>
      <c r="S400" s="81" t="str">
        <f>IF($B400="","",  VLOOKUP($B400, Propostas!$B:$BE, 44, FALSE) )</f>
        <v/>
      </c>
      <c r="T400" s="81" t="str">
        <f>IF($B400="","",  VLOOKUP($B400, Propostas!$B:$BE, 45, FALSE) )</f>
        <v/>
      </c>
      <c r="U400" s="32" t="str">
        <f>IF($B400="","",  VLOOKUP($B400, Propostas!$B:$BE, 37, FALSE) )</f>
        <v/>
      </c>
      <c r="V400" s="13" t="str">
        <f>IF($B400="","",  VLOOKUP($B400, Propostas!$B:$BE, 50, FALSE) )</f>
        <v/>
      </c>
      <c r="W400" s="13" t="str">
        <f>IF($B400="","",  VLOOKUP($B400, Propostas!$B:$BE, 51, FALSE) )</f>
        <v/>
      </c>
      <c r="X400" s="13" t="str">
        <f>IF($B400="","",  VLOOKUP($B400, Propostas!$B:$BE, 52, FALSE) )</f>
        <v/>
      </c>
      <c r="Y400" s="13" t="str">
        <f>IF($B400="","",  VLOOKUP($B400, Propostas!$B:$BE, 36, FALSE) )</f>
        <v/>
      </c>
      <c r="Z400" s="13" t="str">
        <f>IF($B400="","",  VLOOKUP($F400, VW_PROJETO!B:C, 2, FALSE) )</f>
        <v/>
      </c>
    </row>
    <row r="401" spans="2:26" x14ac:dyDescent="0.2">
      <c r="B401" s="2"/>
      <c r="C401" s="4" t="str">
        <f>IF($B401="","",  VLOOKUP($B401, Propostas!$B:$BE, 33, FALSE) )</f>
        <v/>
      </c>
      <c r="D401" s="4" t="str">
        <f>IF($B401="","",  VLOOKUP($B401, Propostas!$B:$BE, 34, FALSE) )</f>
        <v/>
      </c>
      <c r="E401" s="4" t="str">
        <f>IF($B401="","",  VLOOKUP($B401, Propostas!$B:$BE, 35, FALSE) )</f>
        <v/>
      </c>
      <c r="F401" s="4" t="str">
        <f>IF($B401="","",  VLOOKUP($B401, Propostas!$B:$BE, 2, FALSE) )</f>
        <v/>
      </c>
      <c r="G401" s="4" t="str">
        <f>IF($B401="","",  VLOOKUP($B401, Propostas!$B:$BE, 3, FALSE) )</f>
        <v/>
      </c>
      <c r="H401" s="4" t="str">
        <f>IF($B401="","",  VLOOKUP($B401, Propostas!$B:$BE, 4, FALSE) )</f>
        <v/>
      </c>
      <c r="I401" s="4" t="str">
        <f>IF($B401="","",  VLOOKUP($B401, Propostas!$B:$BE, 38, FALSE) )</f>
        <v/>
      </c>
      <c r="J401" s="13" t="str">
        <f>IF($B401="","",IF($C401="SIM", "&lt; INFRRAESTRUTURA &gt;", VLOOKUP($B401,Propostas!$B:$BE,41,FALSE)))</f>
        <v/>
      </c>
      <c r="K401" s="10" t="str">
        <f>IF($B401="","",  VLOOKUP($B401, Propostas!$B:$BE, 40, FALSE) )</f>
        <v/>
      </c>
      <c r="L401" s="10" t="str">
        <f>IF($B401="","",IF(VLOOKUP($B401,Propostas!$B:$BE,21,FALSE)=1,"B",IF(VLOOKUP($B401,Propostas!$B:$BE,21,FALSE)=2,"E","N")))</f>
        <v/>
      </c>
      <c r="M401" s="32" t="str">
        <f>IF($B401 = "", "",  VLOOKUP($B401, Propostas!$B:$BE, 46, FALSE) )</f>
        <v/>
      </c>
      <c r="N401" s="32" t="str">
        <f>IF($B401 = "", "",  VLOOKUP($B401, Propostas!$B:$BE, 47, FALSE) )</f>
        <v/>
      </c>
      <c r="O401" s="13" t="str">
        <f>IF($B401="","",IF($C401="SIM", "INFRAESTRUTURA", VLOOKUP($B401, Propostas!$B:$BE,42,FALSE)))</f>
        <v/>
      </c>
      <c r="P401" s="32" t="str">
        <f>IF($B401 = "", "",  VLOOKUP($B401, Propostas!$B:$BE, 49, FALSE) )</f>
        <v/>
      </c>
      <c r="Q401" s="13" t="str">
        <f>IF($B401="","",  VLOOKUP($B401, Propostas!$B:$BE, 39, FALSE) )</f>
        <v/>
      </c>
      <c r="R401" s="81" t="str">
        <f>IF($B401="","",  VLOOKUP($B401, Propostas!$B:$BE, 43, FALSE) )</f>
        <v/>
      </c>
      <c r="S401" s="81" t="str">
        <f>IF($B401="","",  VLOOKUP($B401, Propostas!$B:$BE, 44, FALSE) )</f>
        <v/>
      </c>
      <c r="T401" s="81" t="str">
        <f>IF($B401="","",  VLOOKUP($B401, Propostas!$B:$BE, 45, FALSE) )</f>
        <v/>
      </c>
      <c r="U401" s="32" t="str">
        <f>IF($B401="","",  VLOOKUP($B401, Propostas!$B:$BE, 37, FALSE) )</f>
        <v/>
      </c>
      <c r="V401" s="13" t="str">
        <f>IF($B401="","",  VLOOKUP($B401, Propostas!$B:$BE, 50, FALSE) )</f>
        <v/>
      </c>
      <c r="W401" s="13" t="str">
        <f>IF($B401="","",  VLOOKUP($B401, Propostas!$B:$BE, 51, FALSE) )</f>
        <v/>
      </c>
      <c r="X401" s="13" t="str">
        <f>IF($B401="","",  VLOOKUP($B401, Propostas!$B:$BE, 52, FALSE) )</f>
        <v/>
      </c>
      <c r="Y401" s="13" t="str">
        <f>IF($B401="","",  VLOOKUP($B401, Propostas!$B:$BE, 36, FALSE) )</f>
        <v/>
      </c>
      <c r="Z401" s="13" t="str">
        <f>IF($B401="","",  VLOOKUP($F401, VW_PROJETO!B:C, 2, FALSE) )</f>
        <v/>
      </c>
    </row>
    <row r="402" spans="2:26" x14ac:dyDescent="0.2">
      <c r="B402" s="2"/>
      <c r="C402" s="4" t="str">
        <f>IF($B402="","",  VLOOKUP($B402, Propostas!$B:$BE, 33, FALSE) )</f>
        <v/>
      </c>
      <c r="D402" s="4" t="str">
        <f>IF($B402="","",  VLOOKUP($B402, Propostas!$B:$BE, 34, FALSE) )</f>
        <v/>
      </c>
      <c r="E402" s="4" t="str">
        <f>IF($B402="","",  VLOOKUP($B402, Propostas!$B:$BE, 35, FALSE) )</f>
        <v/>
      </c>
      <c r="F402" s="4" t="str">
        <f>IF($B402="","",  VLOOKUP($B402, Propostas!$B:$BE, 2, FALSE) )</f>
        <v/>
      </c>
      <c r="G402" s="4" t="str">
        <f>IF($B402="","",  VLOOKUP($B402, Propostas!$B:$BE, 3, FALSE) )</f>
        <v/>
      </c>
      <c r="H402" s="4" t="str">
        <f>IF($B402="","",  VLOOKUP($B402, Propostas!$B:$BE, 4, FALSE) )</f>
        <v/>
      </c>
      <c r="I402" s="4" t="str">
        <f>IF($B402="","",  VLOOKUP($B402, Propostas!$B:$BE, 38, FALSE) )</f>
        <v/>
      </c>
      <c r="J402" s="13" t="str">
        <f>IF($B402="","",IF($C402="SIM", "&lt; INFRRAESTRUTURA &gt;", VLOOKUP($B402,Propostas!$B:$BE,41,FALSE)))</f>
        <v/>
      </c>
      <c r="K402" s="10" t="str">
        <f>IF($B402="","",  VLOOKUP($B402, Propostas!$B:$BE, 40, FALSE) )</f>
        <v/>
      </c>
      <c r="L402" s="10" t="str">
        <f>IF($B402="","",IF(VLOOKUP($B402,Propostas!$B:$BE,21,FALSE)=1,"B",IF(VLOOKUP($B402,Propostas!$B:$BE,21,FALSE)=2,"E","N")))</f>
        <v/>
      </c>
      <c r="M402" s="32" t="str">
        <f>IF($B402 = "", "",  VLOOKUP($B402, Propostas!$B:$BE, 46, FALSE) )</f>
        <v/>
      </c>
      <c r="N402" s="32" t="str">
        <f>IF($B402 = "", "",  VLOOKUP($B402, Propostas!$B:$BE, 47, FALSE) )</f>
        <v/>
      </c>
      <c r="O402" s="13" t="str">
        <f>IF($B402="","",IF($C402="SIM", "INFRAESTRUTURA", VLOOKUP($B402, Propostas!$B:$BE,42,FALSE)))</f>
        <v/>
      </c>
      <c r="P402" s="32" t="str">
        <f>IF($B402 = "", "",  VLOOKUP($B402, Propostas!$B:$BE, 49, FALSE) )</f>
        <v/>
      </c>
      <c r="Q402" s="13" t="str">
        <f>IF($B402="","",  VLOOKUP($B402, Propostas!$B:$BE, 39, FALSE) )</f>
        <v/>
      </c>
      <c r="R402" s="81" t="str">
        <f>IF($B402="","",  VLOOKUP($B402, Propostas!$B:$BE, 43, FALSE) )</f>
        <v/>
      </c>
      <c r="S402" s="81" t="str">
        <f>IF($B402="","",  VLOOKUP($B402, Propostas!$B:$BE, 44, FALSE) )</f>
        <v/>
      </c>
      <c r="T402" s="81" t="str">
        <f>IF($B402="","",  VLOOKUP($B402, Propostas!$B:$BE, 45, FALSE) )</f>
        <v/>
      </c>
      <c r="U402" s="32" t="str">
        <f>IF($B402="","",  VLOOKUP($B402, Propostas!$B:$BE, 37, FALSE) )</f>
        <v/>
      </c>
      <c r="V402" s="13" t="str">
        <f>IF($B402="","",  VLOOKUP($B402, Propostas!$B:$BE, 50, FALSE) )</f>
        <v/>
      </c>
      <c r="W402" s="13" t="str">
        <f>IF($B402="","",  VLOOKUP($B402, Propostas!$B:$BE, 51, FALSE) )</f>
        <v/>
      </c>
      <c r="X402" s="13" t="str">
        <f>IF($B402="","",  VLOOKUP($B402, Propostas!$B:$BE, 52, FALSE) )</f>
        <v/>
      </c>
      <c r="Y402" s="13" t="str">
        <f>IF($B402="","",  VLOOKUP($B402, Propostas!$B:$BE, 36, FALSE) )</f>
        <v/>
      </c>
      <c r="Z402" s="13" t="str">
        <f>IF($B402="","",  VLOOKUP($F402, VW_PROJETO!B:C, 2, FALSE) )</f>
        <v/>
      </c>
    </row>
    <row r="403" spans="2:26" x14ac:dyDescent="0.2">
      <c r="B403" s="2"/>
      <c r="C403" s="4" t="str">
        <f>IF($B403="","",  VLOOKUP($B403, Propostas!$B:$BE, 33, FALSE) )</f>
        <v/>
      </c>
      <c r="D403" s="4" t="str">
        <f>IF($B403="","",  VLOOKUP($B403, Propostas!$B:$BE, 34, FALSE) )</f>
        <v/>
      </c>
      <c r="E403" s="4" t="str">
        <f>IF($B403="","",  VLOOKUP($B403, Propostas!$B:$BE, 35, FALSE) )</f>
        <v/>
      </c>
      <c r="F403" s="4" t="str">
        <f>IF($B403="","",  VLOOKUP($B403, Propostas!$B:$BE, 2, FALSE) )</f>
        <v/>
      </c>
      <c r="G403" s="4" t="str">
        <f>IF($B403="","",  VLOOKUP($B403, Propostas!$B:$BE, 3, FALSE) )</f>
        <v/>
      </c>
      <c r="H403" s="4" t="str">
        <f>IF($B403="","",  VLOOKUP($B403, Propostas!$B:$BE, 4, FALSE) )</f>
        <v/>
      </c>
      <c r="I403" s="4" t="str">
        <f>IF($B403="","",  VLOOKUP($B403, Propostas!$B:$BE, 38, FALSE) )</f>
        <v/>
      </c>
      <c r="J403" s="13" t="str">
        <f>IF($B403="","",IF($C403="SIM", "&lt; INFRRAESTRUTURA &gt;", VLOOKUP($B403,Propostas!$B:$BE,41,FALSE)))</f>
        <v/>
      </c>
      <c r="K403" s="10" t="str">
        <f>IF($B403="","",  VLOOKUP($B403, Propostas!$B:$BE, 40, FALSE) )</f>
        <v/>
      </c>
      <c r="L403" s="10" t="str">
        <f>IF($B403="","",IF(VLOOKUP($B403,Propostas!$B:$BE,21,FALSE)=1,"B",IF(VLOOKUP($B403,Propostas!$B:$BE,21,FALSE)=2,"E","N")))</f>
        <v/>
      </c>
      <c r="M403" s="32" t="str">
        <f>IF($B403 = "", "",  VLOOKUP($B403, Propostas!$B:$BE, 46, FALSE) )</f>
        <v/>
      </c>
      <c r="N403" s="32" t="str">
        <f>IF($B403 = "", "",  VLOOKUP($B403, Propostas!$B:$BE, 47, FALSE) )</f>
        <v/>
      </c>
      <c r="O403" s="13" t="str">
        <f>IF($B403="","",IF($C403="SIM", "INFRAESTRUTURA", VLOOKUP($B403, Propostas!$B:$BE,42,FALSE)))</f>
        <v/>
      </c>
      <c r="P403" s="32" t="str">
        <f>IF($B403 = "", "",  VLOOKUP($B403, Propostas!$B:$BE, 49, FALSE) )</f>
        <v/>
      </c>
      <c r="Q403" s="13" t="str">
        <f>IF($B403="","",  VLOOKUP($B403, Propostas!$B:$BE, 39, FALSE) )</f>
        <v/>
      </c>
      <c r="R403" s="81" t="str">
        <f>IF($B403="","",  VLOOKUP($B403, Propostas!$B:$BE, 43, FALSE) )</f>
        <v/>
      </c>
      <c r="S403" s="81" t="str">
        <f>IF($B403="","",  VLOOKUP($B403, Propostas!$B:$BE, 44, FALSE) )</f>
        <v/>
      </c>
      <c r="T403" s="81" t="str">
        <f>IF($B403="","",  VLOOKUP($B403, Propostas!$B:$BE, 45, FALSE) )</f>
        <v/>
      </c>
      <c r="U403" s="32" t="str">
        <f>IF($B403="","",  VLOOKUP($B403, Propostas!$B:$BE, 37, FALSE) )</f>
        <v/>
      </c>
      <c r="V403" s="13" t="str">
        <f>IF($B403="","",  VLOOKUP($B403, Propostas!$B:$BE, 50, FALSE) )</f>
        <v/>
      </c>
      <c r="W403" s="13" t="str">
        <f>IF($B403="","",  VLOOKUP($B403, Propostas!$B:$BE, 51, FALSE) )</f>
        <v/>
      </c>
      <c r="X403" s="13" t="str">
        <f>IF($B403="","",  VLOOKUP($B403, Propostas!$B:$BE, 52, FALSE) )</f>
        <v/>
      </c>
      <c r="Y403" s="13" t="str">
        <f>IF($B403="","",  VLOOKUP($B403, Propostas!$B:$BE, 36, FALSE) )</f>
        <v/>
      </c>
      <c r="Z403" s="13" t="str">
        <f>IF($B403="","",  VLOOKUP($F403, VW_PROJETO!B:C, 2, FALSE) )</f>
        <v/>
      </c>
    </row>
    <row r="404" spans="2:26" x14ac:dyDescent="0.2">
      <c r="B404" s="2"/>
      <c r="C404" s="4" t="str">
        <f>IF($B404="","",  VLOOKUP($B404, Propostas!$B:$BE, 33, FALSE) )</f>
        <v/>
      </c>
      <c r="D404" s="4" t="str">
        <f>IF($B404="","",  VLOOKUP($B404, Propostas!$B:$BE, 34, FALSE) )</f>
        <v/>
      </c>
      <c r="E404" s="4" t="str">
        <f>IF($B404="","",  VLOOKUP($B404, Propostas!$B:$BE, 35, FALSE) )</f>
        <v/>
      </c>
      <c r="F404" s="4" t="str">
        <f>IF($B404="","",  VLOOKUP($B404, Propostas!$B:$BE, 2, FALSE) )</f>
        <v/>
      </c>
      <c r="G404" s="4" t="str">
        <f>IF($B404="","",  VLOOKUP($B404, Propostas!$B:$BE, 3, FALSE) )</f>
        <v/>
      </c>
      <c r="H404" s="4" t="str">
        <f>IF($B404="","",  VLOOKUP($B404, Propostas!$B:$BE, 4, FALSE) )</f>
        <v/>
      </c>
      <c r="I404" s="4" t="str">
        <f>IF($B404="","",  VLOOKUP($B404, Propostas!$B:$BE, 38, FALSE) )</f>
        <v/>
      </c>
      <c r="J404" s="13" t="str">
        <f>IF($B404="","",IF($C404="SIM", "&lt; INFRRAESTRUTURA &gt;", VLOOKUP($B404,Propostas!$B:$BE,41,FALSE)))</f>
        <v/>
      </c>
      <c r="K404" s="10" t="str">
        <f>IF($B404="","",  VLOOKUP($B404, Propostas!$B:$BE, 40, FALSE) )</f>
        <v/>
      </c>
      <c r="L404" s="10" t="str">
        <f>IF($B404="","",IF(VLOOKUP($B404,Propostas!$B:$BE,21,FALSE)=1,"B",IF(VLOOKUP($B404,Propostas!$B:$BE,21,FALSE)=2,"E","N")))</f>
        <v/>
      </c>
      <c r="M404" s="32" t="str">
        <f>IF($B404 = "", "",  VLOOKUP($B404, Propostas!$B:$BE, 46, FALSE) )</f>
        <v/>
      </c>
      <c r="N404" s="32" t="str">
        <f>IF($B404 = "", "",  VLOOKUP($B404, Propostas!$B:$BE, 47, FALSE) )</f>
        <v/>
      </c>
      <c r="O404" s="13" t="str">
        <f>IF($B404="","",IF($C404="SIM", "INFRAESTRUTURA", VLOOKUP($B404, Propostas!$B:$BE,42,FALSE)))</f>
        <v/>
      </c>
      <c r="P404" s="32" t="str">
        <f>IF($B404 = "", "",  VLOOKUP($B404, Propostas!$B:$BE, 49, FALSE) )</f>
        <v/>
      </c>
      <c r="Q404" s="13" t="str">
        <f>IF($B404="","",  VLOOKUP($B404, Propostas!$B:$BE, 39, FALSE) )</f>
        <v/>
      </c>
      <c r="R404" s="81" t="str">
        <f>IF($B404="","",  VLOOKUP($B404, Propostas!$B:$BE, 43, FALSE) )</f>
        <v/>
      </c>
      <c r="S404" s="81" t="str">
        <f>IF($B404="","",  VLOOKUP($B404, Propostas!$B:$BE, 44, FALSE) )</f>
        <v/>
      </c>
      <c r="T404" s="81" t="str">
        <f>IF($B404="","",  VLOOKUP($B404, Propostas!$B:$BE, 45, FALSE) )</f>
        <v/>
      </c>
      <c r="U404" s="32" t="str">
        <f>IF($B404="","",  VLOOKUP($B404, Propostas!$B:$BE, 37, FALSE) )</f>
        <v/>
      </c>
      <c r="V404" s="13" t="str">
        <f>IF($B404="","",  VLOOKUP($B404, Propostas!$B:$BE, 50, FALSE) )</f>
        <v/>
      </c>
      <c r="W404" s="13" t="str">
        <f>IF($B404="","",  VLOOKUP($B404, Propostas!$B:$BE, 51, FALSE) )</f>
        <v/>
      </c>
      <c r="X404" s="13" t="str">
        <f>IF($B404="","",  VLOOKUP($B404, Propostas!$B:$BE, 52, FALSE) )</f>
        <v/>
      </c>
      <c r="Y404" s="13" t="str">
        <f>IF($B404="","",  VLOOKUP($B404, Propostas!$B:$BE, 36, FALSE) )</f>
        <v/>
      </c>
      <c r="Z404" s="13" t="str">
        <f>IF($B404="","",  VLOOKUP($F404, VW_PROJETO!B:C, 2, FALSE) )</f>
        <v/>
      </c>
    </row>
    <row r="405" spans="2:26" x14ac:dyDescent="0.2">
      <c r="B405" s="2"/>
      <c r="C405" s="4" t="str">
        <f>IF($B405="","",  VLOOKUP($B405, Propostas!$B:$BE, 33, FALSE) )</f>
        <v/>
      </c>
      <c r="D405" s="4" t="str">
        <f>IF($B405="","",  VLOOKUP($B405, Propostas!$B:$BE, 34, FALSE) )</f>
        <v/>
      </c>
      <c r="E405" s="4" t="str">
        <f>IF($B405="","",  VLOOKUP($B405, Propostas!$B:$BE, 35, FALSE) )</f>
        <v/>
      </c>
      <c r="F405" s="4" t="str">
        <f>IF($B405="","",  VLOOKUP($B405, Propostas!$B:$BE, 2, FALSE) )</f>
        <v/>
      </c>
      <c r="G405" s="4" t="str">
        <f>IF($B405="","",  VLOOKUP($B405, Propostas!$B:$BE, 3, FALSE) )</f>
        <v/>
      </c>
      <c r="H405" s="4" t="str">
        <f>IF($B405="","",  VLOOKUP($B405, Propostas!$B:$BE, 4, FALSE) )</f>
        <v/>
      </c>
      <c r="I405" s="4" t="str">
        <f>IF($B405="","",  VLOOKUP($B405, Propostas!$B:$BE, 38, FALSE) )</f>
        <v/>
      </c>
      <c r="J405" s="13" t="str">
        <f>IF($B405="","",IF($C405="SIM", "&lt; INFRRAESTRUTURA &gt;", VLOOKUP($B405,Propostas!$B:$BE,41,FALSE)))</f>
        <v/>
      </c>
      <c r="K405" s="10" t="str">
        <f>IF($B405="","",  VLOOKUP($B405, Propostas!$B:$BE, 40, FALSE) )</f>
        <v/>
      </c>
      <c r="L405" s="10" t="str">
        <f>IF($B405="","",IF(VLOOKUP($B405,Propostas!$B:$BE,21,FALSE)=1,"B",IF(VLOOKUP($B405,Propostas!$B:$BE,21,FALSE)=2,"E","N")))</f>
        <v/>
      </c>
      <c r="M405" s="32" t="str">
        <f>IF($B405 = "", "",  VLOOKUP($B405, Propostas!$B:$BE, 46, FALSE) )</f>
        <v/>
      </c>
      <c r="N405" s="32" t="str">
        <f>IF($B405 = "", "",  VLOOKUP($B405, Propostas!$B:$BE, 47, FALSE) )</f>
        <v/>
      </c>
      <c r="O405" s="13" t="str">
        <f>IF($B405="","",IF($C405="SIM", "INFRAESTRUTURA", VLOOKUP($B405, Propostas!$B:$BE,42,FALSE)))</f>
        <v/>
      </c>
      <c r="P405" s="32" t="str">
        <f>IF($B405 = "", "",  VLOOKUP($B405, Propostas!$B:$BE, 49, FALSE) )</f>
        <v/>
      </c>
      <c r="Q405" s="13" t="str">
        <f>IF($B405="","",  VLOOKUP($B405, Propostas!$B:$BE, 39, FALSE) )</f>
        <v/>
      </c>
      <c r="R405" s="81" t="str">
        <f>IF($B405="","",  VLOOKUP($B405, Propostas!$B:$BE, 43, FALSE) )</f>
        <v/>
      </c>
      <c r="S405" s="81" t="str">
        <f>IF($B405="","",  VLOOKUP($B405, Propostas!$B:$BE, 44, FALSE) )</f>
        <v/>
      </c>
      <c r="T405" s="81" t="str">
        <f>IF($B405="","",  VLOOKUP($B405, Propostas!$B:$BE, 45, FALSE) )</f>
        <v/>
      </c>
      <c r="U405" s="32" t="str">
        <f>IF($B405="","",  VLOOKUP($B405, Propostas!$B:$BE, 37, FALSE) )</f>
        <v/>
      </c>
      <c r="V405" s="13" t="str">
        <f>IF($B405="","",  VLOOKUP($B405, Propostas!$B:$BE, 50, FALSE) )</f>
        <v/>
      </c>
      <c r="W405" s="13" t="str">
        <f>IF($B405="","",  VLOOKUP($B405, Propostas!$B:$BE, 51, FALSE) )</f>
        <v/>
      </c>
      <c r="X405" s="13" t="str">
        <f>IF($B405="","",  VLOOKUP($B405, Propostas!$B:$BE, 52, FALSE) )</f>
        <v/>
      </c>
      <c r="Y405" s="13" t="str">
        <f>IF($B405="","",  VLOOKUP($B405, Propostas!$B:$BE, 36, FALSE) )</f>
        <v/>
      </c>
      <c r="Z405" s="13" t="str">
        <f>IF($B405="","",  VLOOKUP($F405, VW_PROJETO!B:C, 2, FALSE) )</f>
        <v/>
      </c>
    </row>
    <row r="406" spans="2:26" x14ac:dyDescent="0.2">
      <c r="B406" s="2"/>
      <c r="C406" s="4" t="str">
        <f>IF($B406="","",  VLOOKUP($B406, Propostas!$B:$BE, 33, FALSE) )</f>
        <v/>
      </c>
      <c r="D406" s="4" t="str">
        <f>IF($B406="","",  VLOOKUP($B406, Propostas!$B:$BE, 34, FALSE) )</f>
        <v/>
      </c>
      <c r="E406" s="4" t="str">
        <f>IF($B406="","",  VLOOKUP($B406, Propostas!$B:$BE, 35, FALSE) )</f>
        <v/>
      </c>
      <c r="F406" s="4" t="str">
        <f>IF($B406="","",  VLOOKUP($B406, Propostas!$B:$BE, 2, FALSE) )</f>
        <v/>
      </c>
      <c r="G406" s="4" t="str">
        <f>IF($B406="","",  VLOOKUP($B406, Propostas!$B:$BE, 3, FALSE) )</f>
        <v/>
      </c>
      <c r="H406" s="4" t="str">
        <f>IF($B406="","",  VLOOKUP($B406, Propostas!$B:$BE, 4, FALSE) )</f>
        <v/>
      </c>
      <c r="I406" s="4" t="str">
        <f>IF($B406="","",  VLOOKUP($B406, Propostas!$B:$BE, 38, FALSE) )</f>
        <v/>
      </c>
      <c r="J406" s="13" t="str">
        <f>IF($B406="","",IF($C406="SIM", "&lt; INFRRAESTRUTURA &gt;", VLOOKUP($B406,Propostas!$B:$BE,41,FALSE)))</f>
        <v/>
      </c>
      <c r="K406" s="10" t="str">
        <f>IF($B406="","",  VLOOKUP($B406, Propostas!$B:$BE, 40, FALSE) )</f>
        <v/>
      </c>
      <c r="L406" s="10" t="str">
        <f>IF($B406="","",IF(VLOOKUP($B406,Propostas!$B:$BE,21,FALSE)=1,"B",IF(VLOOKUP($B406,Propostas!$B:$BE,21,FALSE)=2,"E","N")))</f>
        <v/>
      </c>
      <c r="M406" s="32" t="str">
        <f>IF($B406 = "", "",  VLOOKUP($B406, Propostas!$B:$BE, 46, FALSE) )</f>
        <v/>
      </c>
      <c r="N406" s="32" t="str">
        <f>IF($B406 = "", "",  VLOOKUP($B406, Propostas!$B:$BE, 47, FALSE) )</f>
        <v/>
      </c>
      <c r="O406" s="13" t="str">
        <f>IF($B406="","",IF($C406="SIM", "INFRAESTRUTURA", VLOOKUP($B406, Propostas!$B:$BE,42,FALSE)))</f>
        <v/>
      </c>
      <c r="P406" s="32" t="str">
        <f>IF($B406 = "", "",  VLOOKUP($B406, Propostas!$B:$BE, 49, FALSE) )</f>
        <v/>
      </c>
      <c r="Q406" s="13" t="str">
        <f>IF($B406="","",  VLOOKUP($B406, Propostas!$B:$BE, 39, FALSE) )</f>
        <v/>
      </c>
      <c r="R406" s="81" t="str">
        <f>IF($B406="","",  VLOOKUP($B406, Propostas!$B:$BE, 43, FALSE) )</f>
        <v/>
      </c>
      <c r="S406" s="81" t="str">
        <f>IF($B406="","",  VLOOKUP($B406, Propostas!$B:$BE, 44, FALSE) )</f>
        <v/>
      </c>
      <c r="T406" s="81" t="str">
        <f>IF($B406="","",  VLOOKUP($B406, Propostas!$B:$BE, 45, FALSE) )</f>
        <v/>
      </c>
      <c r="U406" s="32" t="str">
        <f>IF($B406="","",  VLOOKUP($B406, Propostas!$B:$BE, 37, FALSE) )</f>
        <v/>
      </c>
      <c r="V406" s="13" t="str">
        <f>IF($B406="","",  VLOOKUP($B406, Propostas!$B:$BE, 50, FALSE) )</f>
        <v/>
      </c>
      <c r="W406" s="13" t="str">
        <f>IF($B406="","",  VLOOKUP($B406, Propostas!$B:$BE, 51, FALSE) )</f>
        <v/>
      </c>
      <c r="X406" s="13" t="str">
        <f>IF($B406="","",  VLOOKUP($B406, Propostas!$B:$BE, 52, FALSE) )</f>
        <v/>
      </c>
      <c r="Y406" s="13" t="str">
        <f>IF($B406="","",  VLOOKUP($B406, Propostas!$B:$BE, 36, FALSE) )</f>
        <v/>
      </c>
      <c r="Z406" s="13" t="str">
        <f>IF($B406="","",  VLOOKUP($F406, VW_PROJETO!B:C, 2, FALSE) )</f>
        <v/>
      </c>
    </row>
    <row r="407" spans="2:26" x14ac:dyDescent="0.2">
      <c r="B407" s="2"/>
      <c r="C407" s="4" t="str">
        <f>IF($B407="","",  VLOOKUP($B407, Propostas!$B:$BE, 33, FALSE) )</f>
        <v/>
      </c>
      <c r="D407" s="4" t="str">
        <f>IF($B407="","",  VLOOKUP($B407, Propostas!$B:$BE, 34, FALSE) )</f>
        <v/>
      </c>
      <c r="E407" s="4" t="str">
        <f>IF($B407="","",  VLOOKUP($B407, Propostas!$B:$BE, 35, FALSE) )</f>
        <v/>
      </c>
      <c r="F407" s="4" t="str">
        <f>IF($B407="","",  VLOOKUP($B407, Propostas!$B:$BE, 2, FALSE) )</f>
        <v/>
      </c>
      <c r="G407" s="4" t="str">
        <f>IF($B407="","",  VLOOKUP($B407, Propostas!$B:$BE, 3, FALSE) )</f>
        <v/>
      </c>
      <c r="H407" s="4" t="str">
        <f>IF($B407="","",  VLOOKUP($B407, Propostas!$B:$BE, 4, FALSE) )</f>
        <v/>
      </c>
      <c r="I407" s="4" t="str">
        <f>IF($B407="","",  VLOOKUP($B407, Propostas!$B:$BE, 38, FALSE) )</f>
        <v/>
      </c>
      <c r="J407" s="13" t="str">
        <f>IF($B407="","",IF($C407="SIM", "&lt; INFRRAESTRUTURA &gt;", VLOOKUP($B407,Propostas!$B:$BE,41,FALSE)))</f>
        <v/>
      </c>
      <c r="K407" s="10" t="str">
        <f>IF($B407="","",  VLOOKUP($B407, Propostas!$B:$BE, 40, FALSE) )</f>
        <v/>
      </c>
      <c r="L407" s="10" t="str">
        <f>IF($B407="","",IF(VLOOKUP($B407,Propostas!$B:$BE,21,FALSE)=1,"B",IF(VLOOKUP($B407,Propostas!$B:$BE,21,FALSE)=2,"E","N")))</f>
        <v/>
      </c>
      <c r="M407" s="32" t="str">
        <f>IF($B407 = "", "",  VLOOKUP($B407, Propostas!$B:$BE, 46, FALSE) )</f>
        <v/>
      </c>
      <c r="N407" s="32" t="str">
        <f>IF($B407 = "", "",  VLOOKUP($B407, Propostas!$B:$BE, 47, FALSE) )</f>
        <v/>
      </c>
      <c r="O407" s="13" t="str">
        <f>IF($B407="","",IF($C407="SIM", "INFRAESTRUTURA", VLOOKUP($B407, Propostas!$B:$BE,42,FALSE)))</f>
        <v/>
      </c>
      <c r="P407" s="32" t="str">
        <f>IF($B407 = "", "",  VLOOKUP($B407, Propostas!$B:$BE, 49, FALSE) )</f>
        <v/>
      </c>
      <c r="Q407" s="13" t="str">
        <f>IF($B407="","",  VLOOKUP($B407, Propostas!$B:$BE, 39, FALSE) )</f>
        <v/>
      </c>
      <c r="R407" s="81" t="str">
        <f>IF($B407="","",  VLOOKUP($B407, Propostas!$B:$BE, 43, FALSE) )</f>
        <v/>
      </c>
      <c r="S407" s="81" t="str">
        <f>IF($B407="","",  VLOOKUP($B407, Propostas!$B:$BE, 44, FALSE) )</f>
        <v/>
      </c>
      <c r="T407" s="81" t="str">
        <f>IF($B407="","",  VLOOKUP($B407, Propostas!$B:$BE, 45, FALSE) )</f>
        <v/>
      </c>
      <c r="U407" s="32" t="str">
        <f>IF($B407="","",  VLOOKUP($B407, Propostas!$B:$BE, 37, FALSE) )</f>
        <v/>
      </c>
      <c r="V407" s="13" t="str">
        <f>IF($B407="","",  VLOOKUP($B407, Propostas!$B:$BE, 50, FALSE) )</f>
        <v/>
      </c>
      <c r="W407" s="13" t="str">
        <f>IF($B407="","",  VLOOKUP($B407, Propostas!$B:$BE, 51, FALSE) )</f>
        <v/>
      </c>
      <c r="X407" s="13" t="str">
        <f>IF($B407="","",  VLOOKUP($B407, Propostas!$B:$BE, 52, FALSE) )</f>
        <v/>
      </c>
      <c r="Y407" s="13" t="str">
        <f>IF($B407="","",  VLOOKUP($B407, Propostas!$B:$BE, 36, FALSE) )</f>
        <v/>
      </c>
      <c r="Z407" s="13" t="str">
        <f>IF($B407="","",  VLOOKUP($F407, VW_PROJETO!B:C, 2, FALSE) )</f>
        <v/>
      </c>
    </row>
    <row r="408" spans="2:26" x14ac:dyDescent="0.2">
      <c r="B408" s="2"/>
      <c r="C408" s="4" t="str">
        <f>IF($B408="","",  VLOOKUP($B408, Propostas!$B:$BE, 33, FALSE) )</f>
        <v/>
      </c>
      <c r="D408" s="4" t="str">
        <f>IF($B408="","",  VLOOKUP($B408, Propostas!$B:$BE, 34, FALSE) )</f>
        <v/>
      </c>
      <c r="E408" s="4" t="str">
        <f>IF($B408="","",  VLOOKUP($B408, Propostas!$B:$BE, 35, FALSE) )</f>
        <v/>
      </c>
      <c r="F408" s="4" t="str">
        <f>IF($B408="","",  VLOOKUP($B408, Propostas!$B:$BE, 2, FALSE) )</f>
        <v/>
      </c>
      <c r="G408" s="4" t="str">
        <f>IF($B408="","",  VLOOKUP($B408, Propostas!$B:$BE, 3, FALSE) )</f>
        <v/>
      </c>
      <c r="H408" s="4" t="str">
        <f>IF($B408="","",  VLOOKUP($B408, Propostas!$B:$BE, 4, FALSE) )</f>
        <v/>
      </c>
      <c r="I408" s="4" t="str">
        <f>IF($B408="","",  VLOOKUP($B408, Propostas!$B:$BE, 38, FALSE) )</f>
        <v/>
      </c>
      <c r="J408" s="13" t="str">
        <f>IF($B408="","",IF($C408="SIM", "&lt; INFRRAESTRUTURA &gt;", VLOOKUP($B408,Propostas!$B:$BE,41,FALSE)))</f>
        <v/>
      </c>
      <c r="K408" s="10" t="str">
        <f>IF($B408="","",  VLOOKUP($B408, Propostas!$B:$BE, 40, FALSE) )</f>
        <v/>
      </c>
      <c r="L408" s="10" t="str">
        <f>IF($B408="","",IF(VLOOKUP($B408,Propostas!$B:$BE,21,FALSE)=1,"B",IF(VLOOKUP($B408,Propostas!$B:$BE,21,FALSE)=2,"E","N")))</f>
        <v/>
      </c>
      <c r="M408" s="32" t="str">
        <f>IF($B408 = "", "",  VLOOKUP($B408, Propostas!$B:$BE, 46, FALSE) )</f>
        <v/>
      </c>
      <c r="N408" s="32" t="str">
        <f>IF($B408 = "", "",  VLOOKUP($B408, Propostas!$B:$BE, 47, FALSE) )</f>
        <v/>
      </c>
      <c r="O408" s="13" t="str">
        <f>IF($B408="","",IF($C408="SIM", "INFRAESTRUTURA", VLOOKUP($B408, Propostas!$B:$BE,42,FALSE)))</f>
        <v/>
      </c>
      <c r="P408" s="32" t="str">
        <f>IF($B408 = "", "",  VLOOKUP($B408, Propostas!$B:$BE, 49, FALSE) )</f>
        <v/>
      </c>
      <c r="Q408" s="13" t="str">
        <f>IF($B408="","",  VLOOKUP($B408, Propostas!$B:$BE, 39, FALSE) )</f>
        <v/>
      </c>
      <c r="R408" s="81" t="str">
        <f>IF($B408="","",  VLOOKUP($B408, Propostas!$B:$BE, 43, FALSE) )</f>
        <v/>
      </c>
      <c r="S408" s="81" t="str">
        <f>IF($B408="","",  VLOOKUP($B408, Propostas!$B:$BE, 44, FALSE) )</f>
        <v/>
      </c>
      <c r="T408" s="81" t="str">
        <f>IF($B408="","",  VLOOKUP($B408, Propostas!$B:$BE, 45, FALSE) )</f>
        <v/>
      </c>
      <c r="U408" s="32" t="str">
        <f>IF($B408="","",  VLOOKUP($B408, Propostas!$B:$BE, 37, FALSE) )</f>
        <v/>
      </c>
      <c r="V408" s="13" t="str">
        <f>IF($B408="","",  VLOOKUP($B408, Propostas!$B:$BE, 50, FALSE) )</f>
        <v/>
      </c>
      <c r="W408" s="13" t="str">
        <f>IF($B408="","",  VLOOKUP($B408, Propostas!$B:$BE, 51, FALSE) )</f>
        <v/>
      </c>
      <c r="X408" s="13" t="str">
        <f>IF($B408="","",  VLOOKUP($B408, Propostas!$B:$BE, 52, FALSE) )</f>
        <v/>
      </c>
      <c r="Y408" s="13" t="str">
        <f>IF($B408="","",  VLOOKUP($B408, Propostas!$B:$BE, 36, FALSE) )</f>
        <v/>
      </c>
      <c r="Z408" s="13" t="str">
        <f>IF($B408="","",  VLOOKUP($F408, VW_PROJETO!B:C, 2, FALSE) )</f>
        <v/>
      </c>
    </row>
    <row r="409" spans="2:26" x14ac:dyDescent="0.2">
      <c r="B409" s="2"/>
      <c r="C409" s="4" t="str">
        <f>IF($B409="","",  VLOOKUP($B409, Propostas!$B:$BE, 33, FALSE) )</f>
        <v/>
      </c>
      <c r="D409" s="4" t="str">
        <f>IF($B409="","",  VLOOKUP($B409, Propostas!$B:$BE, 34, FALSE) )</f>
        <v/>
      </c>
      <c r="E409" s="4" t="str">
        <f>IF($B409="","",  VLOOKUP($B409, Propostas!$B:$BE, 35, FALSE) )</f>
        <v/>
      </c>
      <c r="F409" s="4" t="str">
        <f>IF($B409="","",  VLOOKUP($B409, Propostas!$B:$BE, 2, FALSE) )</f>
        <v/>
      </c>
      <c r="G409" s="4" t="str">
        <f>IF($B409="","",  VLOOKUP($B409, Propostas!$B:$BE, 3, FALSE) )</f>
        <v/>
      </c>
      <c r="H409" s="4" t="str">
        <f>IF($B409="","",  VLOOKUP($B409, Propostas!$B:$BE, 4, FALSE) )</f>
        <v/>
      </c>
      <c r="I409" s="4" t="str">
        <f>IF($B409="","",  VLOOKUP($B409, Propostas!$B:$BE, 38, FALSE) )</f>
        <v/>
      </c>
      <c r="J409" s="13" t="str">
        <f>IF($B409="","",IF($C409="SIM", "&lt; INFRRAESTRUTURA &gt;", VLOOKUP($B409,Propostas!$B:$BE,41,FALSE)))</f>
        <v/>
      </c>
      <c r="K409" s="10" t="str">
        <f>IF($B409="","",  VLOOKUP($B409, Propostas!$B:$BE, 40, FALSE) )</f>
        <v/>
      </c>
      <c r="L409" s="10" t="str">
        <f>IF($B409="","",IF(VLOOKUP($B409,Propostas!$B:$BE,21,FALSE)=1,"B",IF(VLOOKUP($B409,Propostas!$B:$BE,21,FALSE)=2,"E","N")))</f>
        <v/>
      </c>
      <c r="M409" s="32" t="str">
        <f>IF($B409 = "", "",  VLOOKUP($B409, Propostas!$B:$BE, 46, FALSE) )</f>
        <v/>
      </c>
      <c r="N409" s="32" t="str">
        <f>IF($B409 = "", "",  VLOOKUP($B409, Propostas!$B:$BE, 47, FALSE) )</f>
        <v/>
      </c>
      <c r="O409" s="13" t="str">
        <f>IF($B409="","",IF($C409="SIM", "INFRAESTRUTURA", VLOOKUP($B409, Propostas!$B:$BE,42,FALSE)))</f>
        <v/>
      </c>
      <c r="P409" s="32" t="str">
        <f>IF($B409 = "", "",  VLOOKUP($B409, Propostas!$B:$BE, 49, FALSE) )</f>
        <v/>
      </c>
      <c r="Q409" s="13" t="str">
        <f>IF($B409="","",  VLOOKUP($B409, Propostas!$B:$BE, 39, FALSE) )</f>
        <v/>
      </c>
      <c r="R409" s="81" t="str">
        <f>IF($B409="","",  VLOOKUP($B409, Propostas!$B:$BE, 43, FALSE) )</f>
        <v/>
      </c>
      <c r="S409" s="81" t="str">
        <f>IF($B409="","",  VLOOKUP($B409, Propostas!$B:$BE, 44, FALSE) )</f>
        <v/>
      </c>
      <c r="T409" s="81" t="str">
        <f>IF($B409="","",  VLOOKUP($B409, Propostas!$B:$BE, 45, FALSE) )</f>
        <v/>
      </c>
      <c r="U409" s="32" t="str">
        <f>IF($B409="","",  VLOOKUP($B409, Propostas!$B:$BE, 37, FALSE) )</f>
        <v/>
      </c>
      <c r="V409" s="13" t="str">
        <f>IF($B409="","",  VLOOKUP($B409, Propostas!$B:$BE, 50, FALSE) )</f>
        <v/>
      </c>
      <c r="W409" s="13" t="str">
        <f>IF($B409="","",  VLOOKUP($B409, Propostas!$B:$BE, 51, FALSE) )</f>
        <v/>
      </c>
      <c r="X409" s="13" t="str">
        <f>IF($B409="","",  VLOOKUP($B409, Propostas!$B:$BE, 52, FALSE) )</f>
        <v/>
      </c>
      <c r="Y409" s="13" t="str">
        <f>IF($B409="","",  VLOOKUP($B409, Propostas!$B:$BE, 36, FALSE) )</f>
        <v/>
      </c>
      <c r="Z409" s="13" t="str">
        <f>IF($B409="","",  VLOOKUP($F409, VW_PROJETO!B:C, 2, FALSE) )</f>
        <v/>
      </c>
    </row>
    <row r="410" spans="2:26" x14ac:dyDescent="0.2">
      <c r="B410" s="2"/>
      <c r="C410" s="4" t="str">
        <f>IF($B410="","",  VLOOKUP($B410, Propostas!$B:$BE, 33, FALSE) )</f>
        <v/>
      </c>
      <c r="D410" s="4" t="str">
        <f>IF($B410="","",  VLOOKUP($B410, Propostas!$B:$BE, 34, FALSE) )</f>
        <v/>
      </c>
      <c r="E410" s="4" t="str">
        <f>IF($B410="","",  VLOOKUP($B410, Propostas!$B:$BE, 35, FALSE) )</f>
        <v/>
      </c>
      <c r="F410" s="4" t="str">
        <f>IF($B410="","",  VLOOKUP($B410, Propostas!$B:$BE, 2, FALSE) )</f>
        <v/>
      </c>
      <c r="G410" s="4" t="str">
        <f>IF($B410="","",  VLOOKUP($B410, Propostas!$B:$BE, 3, FALSE) )</f>
        <v/>
      </c>
      <c r="H410" s="4" t="str">
        <f>IF($B410="","",  VLOOKUP($B410, Propostas!$B:$BE, 4, FALSE) )</f>
        <v/>
      </c>
      <c r="I410" s="4" t="str">
        <f>IF($B410="","",  VLOOKUP($B410, Propostas!$B:$BE, 38, FALSE) )</f>
        <v/>
      </c>
      <c r="J410" s="13" t="str">
        <f>IF($B410="","",IF($C410="SIM", "&lt; INFRRAESTRUTURA &gt;", VLOOKUP($B410,Propostas!$B:$BE,41,FALSE)))</f>
        <v/>
      </c>
      <c r="K410" s="10" t="str">
        <f>IF($B410="","",  VLOOKUP($B410, Propostas!$B:$BE, 40, FALSE) )</f>
        <v/>
      </c>
      <c r="L410" s="10" t="str">
        <f>IF($B410="","",IF(VLOOKUP($B410,Propostas!$B:$BE,21,FALSE)=1,"B",IF(VLOOKUP($B410,Propostas!$B:$BE,21,FALSE)=2,"E","N")))</f>
        <v/>
      </c>
      <c r="M410" s="32" t="str">
        <f>IF($B410 = "", "",  VLOOKUP($B410, Propostas!$B:$BE, 46, FALSE) )</f>
        <v/>
      </c>
      <c r="N410" s="32" t="str">
        <f>IF($B410 = "", "",  VLOOKUP($B410, Propostas!$B:$BE, 47, FALSE) )</f>
        <v/>
      </c>
      <c r="O410" s="13" t="str">
        <f>IF($B410="","",IF($C410="SIM", "INFRAESTRUTURA", VLOOKUP($B410, Propostas!$B:$BE,42,FALSE)))</f>
        <v/>
      </c>
      <c r="P410" s="32" t="str">
        <f>IF($B410 = "", "",  VLOOKUP($B410, Propostas!$B:$BE, 49, FALSE) )</f>
        <v/>
      </c>
      <c r="Q410" s="13" t="str">
        <f>IF($B410="","",  VLOOKUP($B410, Propostas!$B:$BE, 39, FALSE) )</f>
        <v/>
      </c>
      <c r="R410" s="81" t="str">
        <f>IF($B410="","",  VLOOKUP($B410, Propostas!$B:$BE, 43, FALSE) )</f>
        <v/>
      </c>
      <c r="S410" s="81" t="str">
        <f>IF($B410="","",  VLOOKUP($B410, Propostas!$B:$BE, 44, FALSE) )</f>
        <v/>
      </c>
      <c r="T410" s="81" t="str">
        <f>IF($B410="","",  VLOOKUP($B410, Propostas!$B:$BE, 45, FALSE) )</f>
        <v/>
      </c>
      <c r="U410" s="32" t="str">
        <f>IF($B410="","",  VLOOKUP($B410, Propostas!$B:$BE, 37, FALSE) )</f>
        <v/>
      </c>
      <c r="V410" s="13" t="str">
        <f>IF($B410="","",  VLOOKUP($B410, Propostas!$B:$BE, 50, FALSE) )</f>
        <v/>
      </c>
      <c r="W410" s="13" t="str">
        <f>IF($B410="","",  VLOOKUP($B410, Propostas!$B:$BE, 51, FALSE) )</f>
        <v/>
      </c>
      <c r="X410" s="13" t="str">
        <f>IF($B410="","",  VLOOKUP($B410, Propostas!$B:$BE, 52, FALSE) )</f>
        <v/>
      </c>
      <c r="Y410" s="13" t="str">
        <f>IF($B410="","",  VLOOKUP($B410, Propostas!$B:$BE, 36, FALSE) )</f>
        <v/>
      </c>
      <c r="Z410" s="13" t="str">
        <f>IF($B410="","",  VLOOKUP($F410, VW_PROJETO!B:C, 2, FALSE) )</f>
        <v/>
      </c>
    </row>
    <row r="411" spans="2:26" x14ac:dyDescent="0.2">
      <c r="B411" s="2"/>
      <c r="C411" s="4" t="str">
        <f>IF($B411="","",  VLOOKUP($B411, Propostas!$B:$BE, 33, FALSE) )</f>
        <v/>
      </c>
      <c r="D411" s="4" t="str">
        <f>IF($B411="","",  VLOOKUP($B411, Propostas!$B:$BE, 34, FALSE) )</f>
        <v/>
      </c>
      <c r="E411" s="4" t="str">
        <f>IF($B411="","",  VLOOKUP($B411, Propostas!$B:$BE, 35, FALSE) )</f>
        <v/>
      </c>
      <c r="F411" s="4" t="str">
        <f>IF($B411="","",  VLOOKUP($B411, Propostas!$B:$BE, 2, FALSE) )</f>
        <v/>
      </c>
      <c r="G411" s="4" t="str">
        <f>IF($B411="","",  VLOOKUP($B411, Propostas!$B:$BE, 3, FALSE) )</f>
        <v/>
      </c>
      <c r="H411" s="4" t="str">
        <f>IF($B411="","",  VLOOKUP($B411, Propostas!$B:$BE, 4, FALSE) )</f>
        <v/>
      </c>
      <c r="I411" s="4" t="str">
        <f>IF($B411="","",  VLOOKUP($B411, Propostas!$B:$BE, 38, FALSE) )</f>
        <v/>
      </c>
      <c r="J411" s="13" t="str">
        <f>IF($B411="","",IF($C411="SIM", "&lt; INFRRAESTRUTURA &gt;", VLOOKUP($B411,Propostas!$B:$BE,41,FALSE)))</f>
        <v/>
      </c>
      <c r="K411" s="10" t="str">
        <f>IF($B411="","",  VLOOKUP($B411, Propostas!$B:$BE, 40, FALSE) )</f>
        <v/>
      </c>
      <c r="L411" s="10" t="str">
        <f>IF($B411="","",IF(VLOOKUP($B411,Propostas!$B:$BE,21,FALSE)=1,"B",IF(VLOOKUP($B411,Propostas!$B:$BE,21,FALSE)=2,"E","N")))</f>
        <v/>
      </c>
      <c r="M411" s="32" t="str">
        <f>IF($B411 = "", "",  VLOOKUP($B411, Propostas!$B:$BE, 46, FALSE) )</f>
        <v/>
      </c>
      <c r="N411" s="32" t="str">
        <f>IF($B411 = "", "",  VLOOKUP($B411, Propostas!$B:$BE, 47, FALSE) )</f>
        <v/>
      </c>
      <c r="O411" s="13" t="str">
        <f>IF($B411="","",IF($C411="SIM", "INFRAESTRUTURA", VLOOKUP($B411, Propostas!$B:$BE,42,FALSE)))</f>
        <v/>
      </c>
      <c r="P411" s="32" t="str">
        <f>IF($B411 = "", "",  VLOOKUP($B411, Propostas!$B:$BE, 49, FALSE) )</f>
        <v/>
      </c>
      <c r="Q411" s="13" t="str">
        <f>IF($B411="","",  VLOOKUP($B411, Propostas!$B:$BE, 39, FALSE) )</f>
        <v/>
      </c>
      <c r="R411" s="81" t="str">
        <f>IF($B411="","",  VLOOKUP($B411, Propostas!$B:$BE, 43, FALSE) )</f>
        <v/>
      </c>
      <c r="S411" s="81" t="str">
        <f>IF($B411="","",  VLOOKUP($B411, Propostas!$B:$BE, 44, FALSE) )</f>
        <v/>
      </c>
      <c r="T411" s="81" t="str">
        <f>IF($B411="","",  VLOOKUP($B411, Propostas!$B:$BE, 45, FALSE) )</f>
        <v/>
      </c>
      <c r="U411" s="32" t="str">
        <f>IF($B411="","",  VLOOKUP($B411, Propostas!$B:$BE, 37, FALSE) )</f>
        <v/>
      </c>
      <c r="V411" s="13" t="str">
        <f>IF($B411="","",  VLOOKUP($B411, Propostas!$B:$BE, 50, FALSE) )</f>
        <v/>
      </c>
      <c r="W411" s="13" t="str">
        <f>IF($B411="","",  VLOOKUP($B411, Propostas!$B:$BE, 51, FALSE) )</f>
        <v/>
      </c>
      <c r="X411" s="13" t="str">
        <f>IF($B411="","",  VLOOKUP($B411, Propostas!$B:$BE, 52, FALSE) )</f>
        <v/>
      </c>
      <c r="Y411" s="13" t="str">
        <f>IF($B411="","",  VLOOKUP($B411, Propostas!$B:$BE, 36, FALSE) )</f>
        <v/>
      </c>
      <c r="Z411" s="13" t="str">
        <f>IF($B411="","",  VLOOKUP($F411, VW_PROJETO!B:C, 2, FALSE) )</f>
        <v/>
      </c>
    </row>
    <row r="412" spans="2:26" x14ac:dyDescent="0.2">
      <c r="B412" s="2"/>
      <c r="C412" s="4" t="str">
        <f>IF($B412="","",  VLOOKUP($B412, Propostas!$B:$BE, 33, FALSE) )</f>
        <v/>
      </c>
      <c r="D412" s="4" t="str">
        <f>IF($B412="","",  VLOOKUP($B412, Propostas!$B:$BE, 34, FALSE) )</f>
        <v/>
      </c>
      <c r="E412" s="4" t="str">
        <f>IF($B412="","",  VLOOKUP($B412, Propostas!$B:$BE, 35, FALSE) )</f>
        <v/>
      </c>
      <c r="F412" s="4" t="str">
        <f>IF($B412="","",  VLOOKUP($B412, Propostas!$B:$BE, 2, FALSE) )</f>
        <v/>
      </c>
      <c r="G412" s="4" t="str">
        <f>IF($B412="","",  VLOOKUP($B412, Propostas!$B:$BE, 3, FALSE) )</f>
        <v/>
      </c>
      <c r="H412" s="4" t="str">
        <f>IF($B412="","",  VLOOKUP($B412, Propostas!$B:$BE, 4, FALSE) )</f>
        <v/>
      </c>
      <c r="I412" s="4" t="str">
        <f>IF($B412="","",  VLOOKUP($B412, Propostas!$B:$BE, 38, FALSE) )</f>
        <v/>
      </c>
      <c r="J412" s="13" t="str">
        <f>IF($B412="","",IF($C412="SIM", "&lt; INFRRAESTRUTURA &gt;", VLOOKUP($B412,Propostas!$B:$BE,41,FALSE)))</f>
        <v/>
      </c>
      <c r="K412" s="10" t="str">
        <f>IF($B412="","",  VLOOKUP($B412, Propostas!$B:$BE, 40, FALSE) )</f>
        <v/>
      </c>
      <c r="L412" s="10" t="str">
        <f>IF($B412="","",IF(VLOOKUP($B412,Propostas!$B:$BE,21,FALSE)=1,"B",IF(VLOOKUP($B412,Propostas!$B:$BE,21,FALSE)=2,"E","N")))</f>
        <v/>
      </c>
      <c r="M412" s="32" t="str">
        <f>IF($B412 = "", "",  VLOOKUP($B412, Propostas!$B:$BE, 46, FALSE) )</f>
        <v/>
      </c>
      <c r="N412" s="32" t="str">
        <f>IF($B412 = "", "",  VLOOKUP($B412, Propostas!$B:$BE, 47, FALSE) )</f>
        <v/>
      </c>
      <c r="O412" s="13" t="str">
        <f>IF($B412="","",IF($C412="SIM", "INFRAESTRUTURA", VLOOKUP($B412, Propostas!$B:$BE,42,FALSE)))</f>
        <v/>
      </c>
      <c r="P412" s="32" t="str">
        <f>IF($B412 = "", "",  VLOOKUP($B412, Propostas!$B:$BE, 49, FALSE) )</f>
        <v/>
      </c>
      <c r="Q412" s="13" t="str">
        <f>IF($B412="","",  VLOOKUP($B412, Propostas!$B:$BE, 39, FALSE) )</f>
        <v/>
      </c>
      <c r="R412" s="81" t="str">
        <f>IF($B412="","",  VLOOKUP($B412, Propostas!$B:$BE, 43, FALSE) )</f>
        <v/>
      </c>
      <c r="S412" s="81" t="str">
        <f>IF($B412="","",  VLOOKUP($B412, Propostas!$B:$BE, 44, FALSE) )</f>
        <v/>
      </c>
      <c r="T412" s="81" t="str">
        <f>IF($B412="","",  VLOOKUP($B412, Propostas!$B:$BE, 45, FALSE) )</f>
        <v/>
      </c>
      <c r="U412" s="32" t="str">
        <f>IF($B412="","",  VLOOKUP($B412, Propostas!$B:$BE, 37, FALSE) )</f>
        <v/>
      </c>
      <c r="V412" s="13" t="str">
        <f>IF($B412="","",  VLOOKUP($B412, Propostas!$B:$BE, 50, FALSE) )</f>
        <v/>
      </c>
      <c r="W412" s="13" t="str">
        <f>IF($B412="","",  VLOOKUP($B412, Propostas!$B:$BE, 51, FALSE) )</f>
        <v/>
      </c>
      <c r="X412" s="13" t="str">
        <f>IF($B412="","",  VLOOKUP($B412, Propostas!$B:$BE, 52, FALSE) )</f>
        <v/>
      </c>
      <c r="Y412" s="13" t="str">
        <f>IF($B412="","",  VLOOKUP($B412, Propostas!$B:$BE, 36, FALSE) )</f>
        <v/>
      </c>
      <c r="Z412" s="13" t="str">
        <f>IF($B412="","",  VLOOKUP($F412, VW_PROJETO!B:C, 2, FALSE) )</f>
        <v/>
      </c>
    </row>
    <row r="413" spans="2:26" x14ac:dyDescent="0.2">
      <c r="B413" s="2"/>
      <c r="C413" s="4" t="str">
        <f>IF($B413="","",  VLOOKUP($B413, Propostas!$B:$BE, 33, FALSE) )</f>
        <v/>
      </c>
      <c r="D413" s="4" t="str">
        <f>IF($B413="","",  VLOOKUP($B413, Propostas!$B:$BE, 34, FALSE) )</f>
        <v/>
      </c>
      <c r="E413" s="4" t="str">
        <f>IF($B413="","",  VLOOKUP($B413, Propostas!$B:$BE, 35, FALSE) )</f>
        <v/>
      </c>
      <c r="F413" s="4" t="str">
        <f>IF($B413="","",  VLOOKUP($B413, Propostas!$B:$BE, 2, FALSE) )</f>
        <v/>
      </c>
      <c r="G413" s="4" t="str">
        <f>IF($B413="","",  VLOOKUP($B413, Propostas!$B:$BE, 3, FALSE) )</f>
        <v/>
      </c>
      <c r="H413" s="4" t="str">
        <f>IF($B413="","",  VLOOKUP($B413, Propostas!$B:$BE, 4, FALSE) )</f>
        <v/>
      </c>
      <c r="I413" s="4" t="str">
        <f>IF($B413="","",  VLOOKUP($B413, Propostas!$B:$BE, 38, FALSE) )</f>
        <v/>
      </c>
      <c r="J413" s="13" t="str">
        <f>IF($B413="","",IF($C413="SIM", "&lt; INFRRAESTRUTURA &gt;", VLOOKUP($B413,Propostas!$B:$BE,41,FALSE)))</f>
        <v/>
      </c>
      <c r="K413" s="10" t="str">
        <f>IF($B413="","",  VLOOKUP($B413, Propostas!$B:$BE, 40, FALSE) )</f>
        <v/>
      </c>
      <c r="L413" s="10" t="str">
        <f>IF($B413="","",IF(VLOOKUP($B413,Propostas!$B:$BE,21,FALSE)=1,"B",IF(VLOOKUP($B413,Propostas!$B:$BE,21,FALSE)=2,"E","N")))</f>
        <v/>
      </c>
      <c r="M413" s="32" t="str">
        <f>IF($B413 = "", "",  VLOOKUP($B413, Propostas!$B:$BE, 46, FALSE) )</f>
        <v/>
      </c>
      <c r="N413" s="32" t="str">
        <f>IF($B413 = "", "",  VLOOKUP($B413, Propostas!$B:$BE, 47, FALSE) )</f>
        <v/>
      </c>
      <c r="O413" s="13" t="str">
        <f>IF($B413="","",IF($C413="SIM", "INFRAESTRUTURA", VLOOKUP($B413, Propostas!$B:$BE,42,FALSE)))</f>
        <v/>
      </c>
      <c r="P413" s="32" t="str">
        <f>IF($B413 = "", "",  VLOOKUP($B413, Propostas!$B:$BE, 49, FALSE) )</f>
        <v/>
      </c>
      <c r="Q413" s="13" t="str">
        <f>IF($B413="","",  VLOOKUP($B413, Propostas!$B:$BE, 39, FALSE) )</f>
        <v/>
      </c>
      <c r="R413" s="81" t="str">
        <f>IF($B413="","",  VLOOKUP($B413, Propostas!$B:$BE, 43, FALSE) )</f>
        <v/>
      </c>
      <c r="S413" s="81" t="str">
        <f>IF($B413="","",  VLOOKUP($B413, Propostas!$B:$BE, 44, FALSE) )</f>
        <v/>
      </c>
      <c r="T413" s="81" t="str">
        <f>IF($B413="","",  VLOOKUP($B413, Propostas!$B:$BE, 45, FALSE) )</f>
        <v/>
      </c>
      <c r="U413" s="32" t="str">
        <f>IF($B413="","",  VLOOKUP($B413, Propostas!$B:$BE, 37, FALSE) )</f>
        <v/>
      </c>
      <c r="V413" s="13" t="str">
        <f>IF($B413="","",  VLOOKUP($B413, Propostas!$B:$BE, 50, FALSE) )</f>
        <v/>
      </c>
      <c r="W413" s="13" t="str">
        <f>IF($B413="","",  VLOOKUP($B413, Propostas!$B:$BE, 51, FALSE) )</f>
        <v/>
      </c>
      <c r="X413" s="13" t="str">
        <f>IF($B413="","",  VLOOKUP($B413, Propostas!$B:$BE, 52, FALSE) )</f>
        <v/>
      </c>
      <c r="Y413" s="13" t="str">
        <f>IF($B413="","",  VLOOKUP($B413, Propostas!$B:$BE, 36, FALSE) )</f>
        <v/>
      </c>
      <c r="Z413" s="13" t="str">
        <f>IF($B413="","",  VLOOKUP($F413, VW_PROJETO!B:C, 2, FALSE) )</f>
        <v/>
      </c>
    </row>
    <row r="414" spans="2:26" x14ac:dyDescent="0.2">
      <c r="B414" s="2"/>
      <c r="C414" s="4" t="str">
        <f>IF($B414="","",  VLOOKUP($B414, Propostas!$B:$BE, 33, FALSE) )</f>
        <v/>
      </c>
      <c r="D414" s="4" t="str">
        <f>IF($B414="","",  VLOOKUP($B414, Propostas!$B:$BE, 34, FALSE) )</f>
        <v/>
      </c>
      <c r="E414" s="4" t="str">
        <f>IF($B414="","",  VLOOKUP($B414, Propostas!$B:$BE, 35, FALSE) )</f>
        <v/>
      </c>
      <c r="F414" s="4" t="str">
        <f>IF($B414="","",  VLOOKUP($B414, Propostas!$B:$BE, 2, FALSE) )</f>
        <v/>
      </c>
      <c r="G414" s="4" t="str">
        <f>IF($B414="","",  VLOOKUP($B414, Propostas!$B:$BE, 3, FALSE) )</f>
        <v/>
      </c>
      <c r="H414" s="4" t="str">
        <f>IF($B414="","",  VLOOKUP($B414, Propostas!$B:$BE, 4, FALSE) )</f>
        <v/>
      </c>
      <c r="I414" s="4" t="str">
        <f>IF($B414="","",  VLOOKUP($B414, Propostas!$B:$BE, 38, FALSE) )</f>
        <v/>
      </c>
      <c r="J414" s="13" t="str">
        <f>IF($B414="","",IF($C414="SIM", "&lt; INFRRAESTRUTURA &gt;", VLOOKUP($B414,Propostas!$B:$BE,41,FALSE)))</f>
        <v/>
      </c>
      <c r="K414" s="10" t="str">
        <f>IF($B414="","",  VLOOKUP($B414, Propostas!$B:$BE, 40, FALSE) )</f>
        <v/>
      </c>
      <c r="L414" s="10" t="str">
        <f>IF($B414="","",IF(VLOOKUP($B414,Propostas!$B:$BE,21,FALSE)=1,"B",IF(VLOOKUP($B414,Propostas!$B:$BE,21,FALSE)=2,"E","N")))</f>
        <v/>
      </c>
      <c r="M414" s="32" t="str">
        <f>IF($B414 = "", "",  VLOOKUP($B414, Propostas!$B:$BE, 46, FALSE) )</f>
        <v/>
      </c>
      <c r="N414" s="32" t="str">
        <f>IF($B414 = "", "",  VLOOKUP($B414, Propostas!$B:$BE, 47, FALSE) )</f>
        <v/>
      </c>
      <c r="O414" s="13" t="str">
        <f>IF($B414="","",IF($C414="SIM", "INFRAESTRUTURA", VLOOKUP($B414, Propostas!$B:$BE,42,FALSE)))</f>
        <v/>
      </c>
      <c r="P414" s="32" t="str">
        <f>IF($B414 = "", "",  VLOOKUP($B414, Propostas!$B:$BE, 49, FALSE) )</f>
        <v/>
      </c>
      <c r="Q414" s="13" t="str">
        <f>IF($B414="","",  VLOOKUP($B414, Propostas!$B:$BE, 39, FALSE) )</f>
        <v/>
      </c>
      <c r="R414" s="81" t="str">
        <f>IF($B414="","",  VLOOKUP($B414, Propostas!$B:$BE, 43, FALSE) )</f>
        <v/>
      </c>
      <c r="S414" s="81" t="str">
        <f>IF($B414="","",  VLOOKUP($B414, Propostas!$B:$BE, 44, FALSE) )</f>
        <v/>
      </c>
      <c r="T414" s="81" t="str">
        <f>IF($B414="","",  VLOOKUP($B414, Propostas!$B:$BE, 45, FALSE) )</f>
        <v/>
      </c>
      <c r="U414" s="32" t="str">
        <f>IF($B414="","",  VLOOKUP($B414, Propostas!$B:$BE, 37, FALSE) )</f>
        <v/>
      </c>
      <c r="V414" s="13" t="str">
        <f>IF($B414="","",  VLOOKUP($B414, Propostas!$B:$BE, 50, FALSE) )</f>
        <v/>
      </c>
      <c r="W414" s="13" t="str">
        <f>IF($B414="","",  VLOOKUP($B414, Propostas!$B:$BE, 51, FALSE) )</f>
        <v/>
      </c>
      <c r="X414" s="13" t="str">
        <f>IF($B414="","",  VLOOKUP($B414, Propostas!$B:$BE, 52, FALSE) )</f>
        <v/>
      </c>
      <c r="Y414" s="13" t="str">
        <f>IF($B414="","",  VLOOKUP($B414, Propostas!$B:$BE, 36, FALSE) )</f>
        <v/>
      </c>
      <c r="Z414" s="13" t="str">
        <f>IF($B414="","",  VLOOKUP($F414, VW_PROJETO!B:C, 2, FALSE) )</f>
        <v/>
      </c>
    </row>
    <row r="415" spans="2:26" x14ac:dyDescent="0.2">
      <c r="B415" s="2"/>
      <c r="C415" s="4" t="str">
        <f>IF($B415="","",  VLOOKUP($B415, Propostas!$B:$BE, 33, FALSE) )</f>
        <v/>
      </c>
      <c r="D415" s="4" t="str">
        <f>IF($B415="","",  VLOOKUP($B415, Propostas!$B:$BE, 34, FALSE) )</f>
        <v/>
      </c>
      <c r="E415" s="4" t="str">
        <f>IF($B415="","",  VLOOKUP($B415, Propostas!$B:$BE, 35, FALSE) )</f>
        <v/>
      </c>
      <c r="F415" s="4" t="str">
        <f>IF($B415="","",  VLOOKUP($B415, Propostas!$B:$BE, 2, FALSE) )</f>
        <v/>
      </c>
      <c r="G415" s="4" t="str">
        <f>IF($B415="","",  VLOOKUP($B415, Propostas!$B:$BE, 3, FALSE) )</f>
        <v/>
      </c>
      <c r="H415" s="4" t="str">
        <f>IF($B415="","",  VLOOKUP($B415, Propostas!$B:$BE, 4, FALSE) )</f>
        <v/>
      </c>
      <c r="I415" s="4" t="str">
        <f>IF($B415="","",  VLOOKUP($B415, Propostas!$B:$BE, 38, FALSE) )</f>
        <v/>
      </c>
      <c r="J415" s="13" t="str">
        <f>IF($B415="","",IF($C415="SIM", "&lt; INFRRAESTRUTURA &gt;", VLOOKUP($B415,Propostas!$B:$BE,41,FALSE)))</f>
        <v/>
      </c>
      <c r="K415" s="10" t="str">
        <f>IF($B415="","",  VLOOKUP($B415, Propostas!$B:$BE, 40, FALSE) )</f>
        <v/>
      </c>
      <c r="L415" s="10" t="str">
        <f>IF($B415="","",IF(VLOOKUP($B415,Propostas!$B:$BE,21,FALSE)=1,"B",IF(VLOOKUP($B415,Propostas!$B:$BE,21,FALSE)=2,"E","N")))</f>
        <v/>
      </c>
      <c r="M415" s="32" t="str">
        <f>IF($B415 = "", "",  VLOOKUP($B415, Propostas!$B:$BE, 46, FALSE) )</f>
        <v/>
      </c>
      <c r="N415" s="32" t="str">
        <f>IF($B415 = "", "",  VLOOKUP($B415, Propostas!$B:$BE, 47, FALSE) )</f>
        <v/>
      </c>
      <c r="O415" s="13" t="str">
        <f>IF($B415="","",IF($C415="SIM", "INFRAESTRUTURA", VLOOKUP($B415, Propostas!$B:$BE,42,FALSE)))</f>
        <v/>
      </c>
      <c r="P415" s="32" t="str">
        <f>IF($B415 = "", "",  VLOOKUP($B415, Propostas!$B:$BE, 49, FALSE) )</f>
        <v/>
      </c>
      <c r="Q415" s="13" t="str">
        <f>IF($B415="","",  VLOOKUP($B415, Propostas!$B:$BE, 39, FALSE) )</f>
        <v/>
      </c>
      <c r="R415" s="81" t="str">
        <f>IF($B415="","",  VLOOKUP($B415, Propostas!$B:$BE, 43, FALSE) )</f>
        <v/>
      </c>
      <c r="S415" s="81" t="str">
        <f>IF($B415="","",  VLOOKUP($B415, Propostas!$B:$BE, 44, FALSE) )</f>
        <v/>
      </c>
      <c r="T415" s="81" t="str">
        <f>IF($B415="","",  VLOOKUP($B415, Propostas!$B:$BE, 45, FALSE) )</f>
        <v/>
      </c>
      <c r="U415" s="32" t="str">
        <f>IF($B415="","",  VLOOKUP($B415, Propostas!$B:$BE, 37, FALSE) )</f>
        <v/>
      </c>
      <c r="V415" s="13" t="str">
        <f>IF($B415="","",  VLOOKUP($B415, Propostas!$B:$BE, 50, FALSE) )</f>
        <v/>
      </c>
      <c r="W415" s="13" t="str">
        <f>IF($B415="","",  VLOOKUP($B415, Propostas!$B:$BE, 51, FALSE) )</f>
        <v/>
      </c>
      <c r="X415" s="13" t="str">
        <f>IF($B415="","",  VLOOKUP($B415, Propostas!$B:$BE, 52, FALSE) )</f>
        <v/>
      </c>
      <c r="Y415" s="13" t="str">
        <f>IF($B415="","",  VLOOKUP($B415, Propostas!$B:$BE, 36, FALSE) )</f>
        <v/>
      </c>
      <c r="Z415" s="13" t="str">
        <f>IF($B415="","",  VLOOKUP($F415, VW_PROJETO!B:C, 2, FALSE) )</f>
        <v/>
      </c>
    </row>
    <row r="416" spans="2:26" x14ac:dyDescent="0.2">
      <c r="B416" s="2"/>
      <c r="C416" s="4" t="str">
        <f>IF($B416="","",  VLOOKUP($B416, Propostas!$B:$BE, 33, FALSE) )</f>
        <v/>
      </c>
      <c r="D416" s="4" t="str">
        <f>IF($B416="","",  VLOOKUP($B416, Propostas!$B:$BE, 34, FALSE) )</f>
        <v/>
      </c>
      <c r="E416" s="4" t="str">
        <f>IF($B416="","",  VLOOKUP($B416, Propostas!$B:$BE, 35, FALSE) )</f>
        <v/>
      </c>
      <c r="F416" s="4" t="str">
        <f>IF($B416="","",  VLOOKUP($B416, Propostas!$B:$BE, 2, FALSE) )</f>
        <v/>
      </c>
      <c r="G416" s="4" t="str">
        <f>IF($B416="","",  VLOOKUP($B416, Propostas!$B:$BE, 3, FALSE) )</f>
        <v/>
      </c>
      <c r="H416" s="4" t="str">
        <f>IF($B416="","",  VLOOKUP($B416, Propostas!$B:$BE, 4, FALSE) )</f>
        <v/>
      </c>
      <c r="I416" s="4" t="str">
        <f>IF($B416="","",  VLOOKUP($B416, Propostas!$B:$BE, 38, FALSE) )</f>
        <v/>
      </c>
      <c r="J416" s="13" t="str">
        <f>IF($B416="","",IF($C416="SIM", "&lt; INFRRAESTRUTURA &gt;", VLOOKUP($B416,Propostas!$B:$BE,41,FALSE)))</f>
        <v/>
      </c>
      <c r="K416" s="10" t="str">
        <f>IF($B416="","",  VLOOKUP($B416, Propostas!$B:$BE, 40, FALSE) )</f>
        <v/>
      </c>
      <c r="L416" s="10" t="str">
        <f>IF($B416="","",IF(VLOOKUP($B416,Propostas!$B:$BE,21,FALSE)=1,"B",IF(VLOOKUP($B416,Propostas!$B:$BE,21,FALSE)=2,"E","N")))</f>
        <v/>
      </c>
      <c r="M416" s="32" t="str">
        <f>IF($B416 = "", "",  VLOOKUP($B416, Propostas!$B:$BE, 46, FALSE) )</f>
        <v/>
      </c>
      <c r="N416" s="32" t="str">
        <f>IF($B416 = "", "",  VLOOKUP($B416, Propostas!$B:$BE, 47, FALSE) )</f>
        <v/>
      </c>
      <c r="O416" s="13" t="str">
        <f>IF($B416="","",IF($C416="SIM", "INFRAESTRUTURA", VLOOKUP($B416, Propostas!$B:$BE,42,FALSE)))</f>
        <v/>
      </c>
      <c r="P416" s="32" t="str">
        <f>IF($B416 = "", "",  VLOOKUP($B416, Propostas!$B:$BE, 49, FALSE) )</f>
        <v/>
      </c>
      <c r="Q416" s="13" t="str">
        <f>IF($B416="","",  VLOOKUP($B416, Propostas!$B:$BE, 39, FALSE) )</f>
        <v/>
      </c>
      <c r="R416" s="81" t="str">
        <f>IF($B416="","",  VLOOKUP($B416, Propostas!$B:$BE, 43, FALSE) )</f>
        <v/>
      </c>
      <c r="S416" s="81" t="str">
        <f>IF($B416="","",  VLOOKUP($B416, Propostas!$B:$BE, 44, FALSE) )</f>
        <v/>
      </c>
      <c r="T416" s="81" t="str">
        <f>IF($B416="","",  VLOOKUP($B416, Propostas!$B:$BE, 45, FALSE) )</f>
        <v/>
      </c>
      <c r="U416" s="32" t="str">
        <f>IF($B416="","",  VLOOKUP($B416, Propostas!$B:$BE, 37, FALSE) )</f>
        <v/>
      </c>
      <c r="V416" s="13" t="str">
        <f>IF($B416="","",  VLOOKUP($B416, Propostas!$B:$BE, 50, FALSE) )</f>
        <v/>
      </c>
      <c r="W416" s="13" t="str">
        <f>IF($B416="","",  VLOOKUP($B416, Propostas!$B:$BE, 51, FALSE) )</f>
        <v/>
      </c>
      <c r="X416" s="13" t="str">
        <f>IF($B416="","",  VLOOKUP($B416, Propostas!$B:$BE, 52, FALSE) )</f>
        <v/>
      </c>
      <c r="Y416" s="13" t="str">
        <f>IF($B416="","",  VLOOKUP($B416, Propostas!$B:$BE, 36, FALSE) )</f>
        <v/>
      </c>
      <c r="Z416" s="13" t="str">
        <f>IF($B416="","",  VLOOKUP($F416, VW_PROJETO!B:C, 2, FALSE) )</f>
        <v/>
      </c>
    </row>
    <row r="417" spans="2:26" x14ac:dyDescent="0.2">
      <c r="B417" s="2"/>
      <c r="C417" s="4" t="str">
        <f>IF($B417="","",  VLOOKUP($B417, Propostas!$B:$BE, 33, FALSE) )</f>
        <v/>
      </c>
      <c r="D417" s="4" t="str">
        <f>IF($B417="","",  VLOOKUP($B417, Propostas!$B:$BE, 34, FALSE) )</f>
        <v/>
      </c>
      <c r="E417" s="4" t="str">
        <f>IF($B417="","",  VLOOKUP($B417, Propostas!$B:$BE, 35, FALSE) )</f>
        <v/>
      </c>
      <c r="F417" s="4" t="str">
        <f>IF($B417="","",  VLOOKUP($B417, Propostas!$B:$BE, 2, FALSE) )</f>
        <v/>
      </c>
      <c r="G417" s="4" t="str">
        <f>IF($B417="","",  VLOOKUP($B417, Propostas!$B:$BE, 3, FALSE) )</f>
        <v/>
      </c>
      <c r="H417" s="4" t="str">
        <f>IF($B417="","",  VLOOKUP($B417, Propostas!$B:$BE, 4, FALSE) )</f>
        <v/>
      </c>
      <c r="I417" s="4" t="str">
        <f>IF($B417="","",  VLOOKUP($B417, Propostas!$B:$BE, 38, FALSE) )</f>
        <v/>
      </c>
      <c r="J417" s="13" t="str">
        <f>IF($B417="","",IF($C417="SIM", "&lt; INFRRAESTRUTURA &gt;", VLOOKUP($B417,Propostas!$B:$BE,41,FALSE)))</f>
        <v/>
      </c>
      <c r="K417" s="10" t="str">
        <f>IF($B417="","",  VLOOKUP($B417, Propostas!$B:$BE, 40, FALSE) )</f>
        <v/>
      </c>
      <c r="L417" s="10" t="str">
        <f>IF($B417="","",IF(VLOOKUP($B417,Propostas!$B:$BE,21,FALSE)=1,"B",IF(VLOOKUP($B417,Propostas!$B:$BE,21,FALSE)=2,"E","N")))</f>
        <v/>
      </c>
      <c r="M417" s="32" t="str">
        <f>IF($B417 = "", "",  VLOOKUP($B417, Propostas!$B:$BE, 46, FALSE) )</f>
        <v/>
      </c>
      <c r="N417" s="32" t="str">
        <f>IF($B417 = "", "",  VLOOKUP($B417, Propostas!$B:$BE, 47, FALSE) )</f>
        <v/>
      </c>
      <c r="O417" s="13" t="str">
        <f>IF($B417="","",IF($C417="SIM", "INFRAESTRUTURA", VLOOKUP($B417, Propostas!$B:$BE,42,FALSE)))</f>
        <v/>
      </c>
      <c r="P417" s="32" t="str">
        <f>IF($B417 = "", "",  VLOOKUP($B417, Propostas!$B:$BE, 49, FALSE) )</f>
        <v/>
      </c>
      <c r="Q417" s="13" t="str">
        <f>IF($B417="","",  VLOOKUP($B417, Propostas!$B:$BE, 39, FALSE) )</f>
        <v/>
      </c>
      <c r="R417" s="81" t="str">
        <f>IF($B417="","",  VLOOKUP($B417, Propostas!$B:$BE, 43, FALSE) )</f>
        <v/>
      </c>
      <c r="S417" s="81" t="str">
        <f>IF($B417="","",  VLOOKUP($B417, Propostas!$B:$BE, 44, FALSE) )</f>
        <v/>
      </c>
      <c r="T417" s="81" t="str">
        <f>IF($B417="","",  VLOOKUP($B417, Propostas!$B:$BE, 45, FALSE) )</f>
        <v/>
      </c>
      <c r="U417" s="32" t="str">
        <f>IF($B417="","",  VLOOKUP($B417, Propostas!$B:$BE, 37, FALSE) )</f>
        <v/>
      </c>
      <c r="V417" s="13" t="str">
        <f>IF($B417="","",  VLOOKUP($B417, Propostas!$B:$BE, 50, FALSE) )</f>
        <v/>
      </c>
      <c r="W417" s="13" t="str">
        <f>IF($B417="","",  VLOOKUP($B417, Propostas!$B:$BE, 51, FALSE) )</f>
        <v/>
      </c>
      <c r="X417" s="13" t="str">
        <f>IF($B417="","",  VLOOKUP($B417, Propostas!$B:$BE, 52, FALSE) )</f>
        <v/>
      </c>
      <c r="Y417" s="13" t="str">
        <f>IF($B417="","",  VLOOKUP($B417, Propostas!$B:$BE, 36, FALSE) )</f>
        <v/>
      </c>
      <c r="Z417" s="13" t="str">
        <f>IF($B417="","",  VLOOKUP($F417, VW_PROJETO!B:C, 2, FALSE) )</f>
        <v/>
      </c>
    </row>
    <row r="418" spans="2:26" x14ac:dyDescent="0.2">
      <c r="B418" s="2"/>
      <c r="C418" s="4" t="str">
        <f>IF($B418="","",  VLOOKUP($B418, Propostas!$B:$BE, 33, FALSE) )</f>
        <v/>
      </c>
      <c r="D418" s="4" t="str">
        <f>IF($B418="","",  VLOOKUP($B418, Propostas!$B:$BE, 34, FALSE) )</f>
        <v/>
      </c>
      <c r="E418" s="4" t="str">
        <f>IF($B418="","",  VLOOKUP($B418, Propostas!$B:$BE, 35, FALSE) )</f>
        <v/>
      </c>
      <c r="F418" s="4" t="str">
        <f>IF($B418="","",  VLOOKUP($B418, Propostas!$B:$BE, 2, FALSE) )</f>
        <v/>
      </c>
      <c r="G418" s="4" t="str">
        <f>IF($B418="","",  VLOOKUP($B418, Propostas!$B:$BE, 3, FALSE) )</f>
        <v/>
      </c>
      <c r="H418" s="4" t="str">
        <f>IF($B418="","",  VLOOKUP($B418, Propostas!$B:$BE, 4, FALSE) )</f>
        <v/>
      </c>
      <c r="I418" s="4" t="str">
        <f>IF($B418="","",  VLOOKUP($B418, Propostas!$B:$BE, 38, FALSE) )</f>
        <v/>
      </c>
      <c r="J418" s="13" t="str">
        <f>IF($B418="","",IF($C418="SIM", "&lt; INFRRAESTRUTURA &gt;", VLOOKUP($B418,Propostas!$B:$BE,41,FALSE)))</f>
        <v/>
      </c>
      <c r="K418" s="10" t="str">
        <f>IF($B418="","",  VLOOKUP($B418, Propostas!$B:$BE, 40, FALSE) )</f>
        <v/>
      </c>
      <c r="L418" s="10" t="str">
        <f>IF($B418="","",IF(VLOOKUP($B418,Propostas!$B:$BE,21,FALSE)=1,"B",IF(VLOOKUP($B418,Propostas!$B:$BE,21,FALSE)=2,"E","N")))</f>
        <v/>
      </c>
      <c r="M418" s="32" t="str">
        <f>IF($B418 = "", "",  VLOOKUP($B418, Propostas!$B:$BE, 46, FALSE) )</f>
        <v/>
      </c>
      <c r="N418" s="32" t="str">
        <f>IF($B418 = "", "",  VLOOKUP($B418, Propostas!$B:$BE, 47, FALSE) )</f>
        <v/>
      </c>
      <c r="O418" s="13" t="str">
        <f>IF($B418="","",IF($C418="SIM", "INFRAESTRUTURA", VLOOKUP($B418, Propostas!$B:$BE,42,FALSE)))</f>
        <v/>
      </c>
      <c r="P418" s="32" t="str">
        <f>IF($B418 = "", "",  VLOOKUP($B418, Propostas!$B:$BE, 49, FALSE) )</f>
        <v/>
      </c>
      <c r="Q418" s="13" t="str">
        <f>IF($B418="","",  VLOOKUP($B418, Propostas!$B:$BE, 39, FALSE) )</f>
        <v/>
      </c>
      <c r="R418" s="81" t="str">
        <f>IF($B418="","",  VLOOKUP($B418, Propostas!$B:$BE, 43, FALSE) )</f>
        <v/>
      </c>
      <c r="S418" s="81" t="str">
        <f>IF($B418="","",  VLOOKUP($B418, Propostas!$B:$BE, 44, FALSE) )</f>
        <v/>
      </c>
      <c r="T418" s="81" t="str">
        <f>IF($B418="","",  VLOOKUP($B418, Propostas!$B:$BE, 45, FALSE) )</f>
        <v/>
      </c>
      <c r="U418" s="32" t="str">
        <f>IF($B418="","",  VLOOKUP($B418, Propostas!$B:$BE, 37, FALSE) )</f>
        <v/>
      </c>
      <c r="V418" s="13" t="str">
        <f>IF($B418="","",  VLOOKUP($B418, Propostas!$B:$BE, 50, FALSE) )</f>
        <v/>
      </c>
      <c r="W418" s="13" t="str">
        <f>IF($B418="","",  VLOOKUP($B418, Propostas!$B:$BE, 51, FALSE) )</f>
        <v/>
      </c>
      <c r="X418" s="13" t="str">
        <f>IF($B418="","",  VLOOKUP($B418, Propostas!$B:$BE, 52, FALSE) )</f>
        <v/>
      </c>
      <c r="Y418" s="13" t="str">
        <f>IF($B418="","",  VLOOKUP($B418, Propostas!$B:$BE, 36, FALSE) )</f>
        <v/>
      </c>
      <c r="Z418" s="13" t="str">
        <f>IF($B418="","",  VLOOKUP($F418, VW_PROJETO!B:C, 2, FALSE) )</f>
        <v/>
      </c>
    </row>
    <row r="419" spans="2:26" x14ac:dyDescent="0.2">
      <c r="B419" s="2"/>
      <c r="C419" s="4" t="str">
        <f>IF($B419="","",  VLOOKUP($B419, Propostas!$B:$BE, 33, FALSE) )</f>
        <v/>
      </c>
      <c r="D419" s="4" t="str">
        <f>IF($B419="","",  VLOOKUP($B419, Propostas!$B:$BE, 34, FALSE) )</f>
        <v/>
      </c>
      <c r="E419" s="4" t="str">
        <f>IF($B419="","",  VLOOKUP($B419, Propostas!$B:$BE, 35, FALSE) )</f>
        <v/>
      </c>
      <c r="F419" s="4" t="str">
        <f>IF($B419="","",  VLOOKUP($B419, Propostas!$B:$BE, 2, FALSE) )</f>
        <v/>
      </c>
      <c r="G419" s="4" t="str">
        <f>IF($B419="","",  VLOOKUP($B419, Propostas!$B:$BE, 3, FALSE) )</f>
        <v/>
      </c>
      <c r="H419" s="4" t="str">
        <f>IF($B419="","",  VLOOKUP($B419, Propostas!$B:$BE, 4, FALSE) )</f>
        <v/>
      </c>
      <c r="I419" s="4" t="str">
        <f>IF($B419="","",  VLOOKUP($B419, Propostas!$B:$BE, 38, FALSE) )</f>
        <v/>
      </c>
      <c r="J419" s="13" t="str">
        <f>IF($B419="","",IF($C419="SIM", "&lt; INFRRAESTRUTURA &gt;", VLOOKUP($B419,Propostas!$B:$BE,41,FALSE)))</f>
        <v/>
      </c>
      <c r="K419" s="10" t="str">
        <f>IF($B419="","",  VLOOKUP($B419, Propostas!$B:$BE, 40, FALSE) )</f>
        <v/>
      </c>
      <c r="L419" s="10" t="str">
        <f>IF($B419="","",IF(VLOOKUP($B419,Propostas!$B:$BE,21,FALSE)=1,"B",IF(VLOOKUP($B419,Propostas!$B:$BE,21,FALSE)=2,"E","N")))</f>
        <v/>
      </c>
      <c r="M419" s="32" t="str">
        <f>IF($B419 = "", "",  VLOOKUP($B419, Propostas!$B:$BE, 46, FALSE) )</f>
        <v/>
      </c>
      <c r="N419" s="32" t="str">
        <f>IF($B419 = "", "",  VLOOKUP($B419, Propostas!$B:$BE, 47, FALSE) )</f>
        <v/>
      </c>
      <c r="O419" s="13" t="str">
        <f>IF($B419="","",IF($C419="SIM", "INFRAESTRUTURA", VLOOKUP($B419, Propostas!$B:$BE,42,FALSE)))</f>
        <v/>
      </c>
      <c r="P419" s="32" t="str">
        <f>IF($B419 = "", "",  VLOOKUP($B419, Propostas!$B:$BE, 49, FALSE) )</f>
        <v/>
      </c>
      <c r="Q419" s="13" t="str">
        <f>IF($B419="","",  VLOOKUP($B419, Propostas!$B:$BE, 39, FALSE) )</f>
        <v/>
      </c>
      <c r="R419" s="81" t="str">
        <f>IF($B419="","",  VLOOKUP($B419, Propostas!$B:$BE, 43, FALSE) )</f>
        <v/>
      </c>
      <c r="S419" s="81" t="str">
        <f>IF($B419="","",  VLOOKUP($B419, Propostas!$B:$BE, 44, FALSE) )</f>
        <v/>
      </c>
      <c r="T419" s="81" t="str">
        <f>IF($B419="","",  VLOOKUP($B419, Propostas!$B:$BE, 45, FALSE) )</f>
        <v/>
      </c>
      <c r="U419" s="32" t="str">
        <f>IF($B419="","",  VLOOKUP($B419, Propostas!$B:$BE, 37, FALSE) )</f>
        <v/>
      </c>
      <c r="V419" s="13" t="str">
        <f>IF($B419="","",  VLOOKUP($B419, Propostas!$B:$BE, 50, FALSE) )</f>
        <v/>
      </c>
      <c r="W419" s="13" t="str">
        <f>IF($B419="","",  VLOOKUP($B419, Propostas!$B:$BE, 51, FALSE) )</f>
        <v/>
      </c>
      <c r="X419" s="13" t="str">
        <f>IF($B419="","",  VLOOKUP($B419, Propostas!$B:$BE, 52, FALSE) )</f>
        <v/>
      </c>
      <c r="Y419" s="13" t="str">
        <f>IF($B419="","",  VLOOKUP($B419, Propostas!$B:$BE, 36, FALSE) )</f>
        <v/>
      </c>
      <c r="Z419" s="13" t="str">
        <f>IF($B419="","",  VLOOKUP($F419, VW_PROJETO!B:C, 2, FALSE) )</f>
        <v/>
      </c>
    </row>
    <row r="420" spans="2:26" x14ac:dyDescent="0.2">
      <c r="B420" s="2"/>
      <c r="C420" s="4" t="str">
        <f>IF($B420="","",  VLOOKUP($B420, Propostas!$B:$BE, 33, FALSE) )</f>
        <v/>
      </c>
      <c r="D420" s="4" t="str">
        <f>IF($B420="","",  VLOOKUP($B420, Propostas!$B:$BE, 34, FALSE) )</f>
        <v/>
      </c>
      <c r="E420" s="4" t="str">
        <f>IF($B420="","",  VLOOKUP($B420, Propostas!$B:$BE, 35, FALSE) )</f>
        <v/>
      </c>
      <c r="F420" s="4" t="str">
        <f>IF($B420="","",  VLOOKUP($B420, Propostas!$B:$BE, 2, FALSE) )</f>
        <v/>
      </c>
      <c r="G420" s="4" t="str">
        <f>IF($B420="","",  VLOOKUP($B420, Propostas!$B:$BE, 3, FALSE) )</f>
        <v/>
      </c>
      <c r="H420" s="4" t="str">
        <f>IF($B420="","",  VLOOKUP($B420, Propostas!$B:$BE, 4, FALSE) )</f>
        <v/>
      </c>
      <c r="I420" s="4" t="str">
        <f>IF($B420="","",  VLOOKUP($B420, Propostas!$B:$BE, 38, FALSE) )</f>
        <v/>
      </c>
      <c r="J420" s="13" t="str">
        <f>IF($B420="","",IF($C420="SIM", "&lt; INFRRAESTRUTURA &gt;", VLOOKUP($B420,Propostas!$B:$BE,41,FALSE)))</f>
        <v/>
      </c>
      <c r="K420" s="10" t="str">
        <f>IF($B420="","",  VLOOKUP($B420, Propostas!$B:$BE, 40, FALSE) )</f>
        <v/>
      </c>
      <c r="L420" s="10" t="str">
        <f>IF($B420="","",IF(VLOOKUP($B420,Propostas!$B:$BE,21,FALSE)=1,"B",IF(VLOOKUP($B420,Propostas!$B:$BE,21,FALSE)=2,"E","N")))</f>
        <v/>
      </c>
      <c r="M420" s="32" t="str">
        <f>IF($B420 = "", "",  VLOOKUP($B420, Propostas!$B:$BE, 46, FALSE) )</f>
        <v/>
      </c>
      <c r="N420" s="32" t="str">
        <f>IF($B420 = "", "",  VLOOKUP($B420, Propostas!$B:$BE, 47, FALSE) )</f>
        <v/>
      </c>
      <c r="O420" s="13" t="str">
        <f>IF($B420="","",IF($C420="SIM", "INFRAESTRUTURA", VLOOKUP($B420, Propostas!$B:$BE,42,FALSE)))</f>
        <v/>
      </c>
      <c r="P420" s="32" t="str">
        <f>IF($B420 = "", "",  VLOOKUP($B420, Propostas!$B:$BE, 49, FALSE) )</f>
        <v/>
      </c>
      <c r="Q420" s="13" t="str">
        <f>IF($B420="","",  VLOOKUP($B420, Propostas!$B:$BE, 39, FALSE) )</f>
        <v/>
      </c>
      <c r="R420" s="81" t="str">
        <f>IF($B420="","",  VLOOKUP($B420, Propostas!$B:$BE, 43, FALSE) )</f>
        <v/>
      </c>
      <c r="S420" s="81" t="str">
        <f>IF($B420="","",  VLOOKUP($B420, Propostas!$B:$BE, 44, FALSE) )</f>
        <v/>
      </c>
      <c r="T420" s="81" t="str">
        <f>IF($B420="","",  VLOOKUP($B420, Propostas!$B:$BE, 45, FALSE) )</f>
        <v/>
      </c>
      <c r="U420" s="32" t="str">
        <f>IF($B420="","",  VLOOKUP($B420, Propostas!$B:$BE, 37, FALSE) )</f>
        <v/>
      </c>
      <c r="V420" s="13" t="str">
        <f>IF($B420="","",  VLOOKUP($B420, Propostas!$B:$BE, 50, FALSE) )</f>
        <v/>
      </c>
      <c r="W420" s="13" t="str">
        <f>IF($B420="","",  VLOOKUP($B420, Propostas!$B:$BE, 51, FALSE) )</f>
        <v/>
      </c>
      <c r="X420" s="13" t="str">
        <f>IF($B420="","",  VLOOKUP($B420, Propostas!$B:$BE, 52, FALSE) )</f>
        <v/>
      </c>
      <c r="Y420" s="13" t="str">
        <f>IF($B420="","",  VLOOKUP($B420, Propostas!$B:$BE, 36, FALSE) )</f>
        <v/>
      </c>
      <c r="Z420" s="13" t="str">
        <f>IF($B420="","",  VLOOKUP($F420, VW_PROJETO!B:C, 2, FALSE) )</f>
        <v/>
      </c>
    </row>
    <row r="421" spans="2:26" x14ac:dyDescent="0.2">
      <c r="B421" s="2"/>
      <c r="C421" s="4" t="str">
        <f>IF($B421="","",  VLOOKUP($B421, Propostas!$B:$BE, 33, FALSE) )</f>
        <v/>
      </c>
      <c r="D421" s="4" t="str">
        <f>IF($B421="","",  VLOOKUP($B421, Propostas!$B:$BE, 34, FALSE) )</f>
        <v/>
      </c>
      <c r="E421" s="4" t="str">
        <f>IF($B421="","",  VLOOKUP($B421, Propostas!$B:$BE, 35, FALSE) )</f>
        <v/>
      </c>
      <c r="F421" s="4" t="str">
        <f>IF($B421="","",  VLOOKUP($B421, Propostas!$B:$BE, 2, FALSE) )</f>
        <v/>
      </c>
      <c r="G421" s="4" t="str">
        <f>IF($B421="","",  VLOOKUP($B421, Propostas!$B:$BE, 3, FALSE) )</f>
        <v/>
      </c>
      <c r="H421" s="4" t="str">
        <f>IF($B421="","",  VLOOKUP($B421, Propostas!$B:$BE, 4, FALSE) )</f>
        <v/>
      </c>
      <c r="I421" s="4" t="str">
        <f>IF($B421="","",  VLOOKUP($B421, Propostas!$B:$BE, 38, FALSE) )</f>
        <v/>
      </c>
      <c r="J421" s="13" t="str">
        <f>IF($B421="","",IF($C421="SIM", "&lt; INFRRAESTRUTURA &gt;", VLOOKUP($B421,Propostas!$B:$BE,41,FALSE)))</f>
        <v/>
      </c>
      <c r="K421" s="10" t="str">
        <f>IF($B421="","",  VLOOKUP($B421, Propostas!$B:$BE, 40, FALSE) )</f>
        <v/>
      </c>
      <c r="L421" s="10" t="str">
        <f>IF($B421="","",IF(VLOOKUP($B421,Propostas!$B:$BE,21,FALSE)=1,"B",IF(VLOOKUP($B421,Propostas!$B:$BE,21,FALSE)=2,"E","N")))</f>
        <v/>
      </c>
      <c r="M421" s="32" t="str">
        <f>IF($B421 = "", "",  VLOOKUP($B421, Propostas!$B:$BE, 46, FALSE) )</f>
        <v/>
      </c>
      <c r="N421" s="32" t="str">
        <f>IF($B421 = "", "",  VLOOKUP($B421, Propostas!$B:$BE, 47, FALSE) )</f>
        <v/>
      </c>
      <c r="O421" s="13" t="str">
        <f>IF($B421="","",IF($C421="SIM", "INFRAESTRUTURA", VLOOKUP($B421, Propostas!$B:$BE,42,FALSE)))</f>
        <v/>
      </c>
      <c r="P421" s="32" t="str">
        <f>IF($B421 = "", "",  VLOOKUP($B421, Propostas!$B:$BE, 49, FALSE) )</f>
        <v/>
      </c>
      <c r="Q421" s="13" t="str">
        <f>IF($B421="","",  VLOOKUP($B421, Propostas!$B:$BE, 39, FALSE) )</f>
        <v/>
      </c>
      <c r="R421" s="81" t="str">
        <f>IF($B421="","",  VLOOKUP($B421, Propostas!$B:$BE, 43, FALSE) )</f>
        <v/>
      </c>
      <c r="S421" s="81" t="str">
        <f>IF($B421="","",  VLOOKUP($B421, Propostas!$B:$BE, 44, FALSE) )</f>
        <v/>
      </c>
      <c r="T421" s="81" t="str">
        <f>IF($B421="","",  VLOOKUP($B421, Propostas!$B:$BE, 45, FALSE) )</f>
        <v/>
      </c>
      <c r="U421" s="32" t="str">
        <f>IF($B421="","",  VLOOKUP($B421, Propostas!$B:$BE, 37, FALSE) )</f>
        <v/>
      </c>
      <c r="V421" s="13" t="str">
        <f>IF($B421="","",  VLOOKUP($B421, Propostas!$B:$BE, 50, FALSE) )</f>
        <v/>
      </c>
      <c r="W421" s="13" t="str">
        <f>IF($B421="","",  VLOOKUP($B421, Propostas!$B:$BE, 51, FALSE) )</f>
        <v/>
      </c>
      <c r="X421" s="13" t="str">
        <f>IF($B421="","",  VLOOKUP($B421, Propostas!$B:$BE, 52, FALSE) )</f>
        <v/>
      </c>
      <c r="Y421" s="13" t="str">
        <f>IF($B421="","",  VLOOKUP($B421, Propostas!$B:$BE, 36, FALSE) )</f>
        <v/>
      </c>
      <c r="Z421" s="13" t="str">
        <f>IF($B421="","",  VLOOKUP($F421, VW_PROJETO!B:C, 2, FALSE) )</f>
        <v/>
      </c>
    </row>
    <row r="422" spans="2:26" x14ac:dyDescent="0.2">
      <c r="B422" s="2"/>
      <c r="C422" s="4" t="str">
        <f>IF($B422="","",  VLOOKUP($B422, Propostas!$B:$BE, 33, FALSE) )</f>
        <v/>
      </c>
      <c r="D422" s="4" t="str">
        <f>IF($B422="","",  VLOOKUP($B422, Propostas!$B:$BE, 34, FALSE) )</f>
        <v/>
      </c>
      <c r="E422" s="4" t="str">
        <f>IF($B422="","",  VLOOKUP($B422, Propostas!$B:$BE, 35, FALSE) )</f>
        <v/>
      </c>
      <c r="F422" s="4" t="str">
        <f>IF($B422="","",  VLOOKUP($B422, Propostas!$B:$BE, 2, FALSE) )</f>
        <v/>
      </c>
      <c r="G422" s="4" t="str">
        <f>IF($B422="","",  VLOOKUP($B422, Propostas!$B:$BE, 3, FALSE) )</f>
        <v/>
      </c>
      <c r="H422" s="4" t="str">
        <f>IF($B422="","",  VLOOKUP($B422, Propostas!$B:$BE, 4, FALSE) )</f>
        <v/>
      </c>
      <c r="I422" s="4" t="str">
        <f>IF($B422="","",  VLOOKUP($B422, Propostas!$B:$BE, 38, FALSE) )</f>
        <v/>
      </c>
      <c r="J422" s="13" t="str">
        <f>IF($B422="","",IF($C422="SIM", "&lt; INFRRAESTRUTURA &gt;", VLOOKUP($B422,Propostas!$B:$BE,41,FALSE)))</f>
        <v/>
      </c>
      <c r="K422" s="10" t="str">
        <f>IF($B422="","",  VLOOKUP($B422, Propostas!$B:$BE, 40, FALSE) )</f>
        <v/>
      </c>
      <c r="L422" s="10" t="str">
        <f>IF($B422="","",IF(VLOOKUP($B422,Propostas!$B:$BE,21,FALSE)=1,"B",IF(VLOOKUP($B422,Propostas!$B:$BE,21,FALSE)=2,"E","N")))</f>
        <v/>
      </c>
      <c r="M422" s="32" t="str">
        <f>IF($B422 = "", "",  VLOOKUP($B422, Propostas!$B:$BE, 46, FALSE) )</f>
        <v/>
      </c>
      <c r="N422" s="32" t="str">
        <f>IF($B422 = "", "",  VLOOKUP($B422, Propostas!$B:$BE, 47, FALSE) )</f>
        <v/>
      </c>
      <c r="O422" s="13" t="str">
        <f>IF($B422="","",IF($C422="SIM", "INFRAESTRUTURA", VLOOKUP($B422, Propostas!$B:$BE,42,FALSE)))</f>
        <v/>
      </c>
      <c r="P422" s="32" t="str">
        <f>IF($B422 = "", "",  VLOOKUP($B422, Propostas!$B:$BE, 49, FALSE) )</f>
        <v/>
      </c>
      <c r="Q422" s="13" t="str">
        <f>IF($B422="","",  VLOOKUP($B422, Propostas!$B:$BE, 39, FALSE) )</f>
        <v/>
      </c>
      <c r="R422" s="81" t="str">
        <f>IF($B422="","",  VLOOKUP($B422, Propostas!$B:$BE, 43, FALSE) )</f>
        <v/>
      </c>
      <c r="S422" s="81" t="str">
        <f>IF($B422="","",  VLOOKUP($B422, Propostas!$B:$BE, 44, FALSE) )</f>
        <v/>
      </c>
      <c r="T422" s="81" t="str">
        <f>IF($B422="","",  VLOOKUP($B422, Propostas!$B:$BE, 45, FALSE) )</f>
        <v/>
      </c>
      <c r="U422" s="32" t="str">
        <f>IF($B422="","",  VLOOKUP($B422, Propostas!$B:$BE, 37, FALSE) )</f>
        <v/>
      </c>
      <c r="V422" s="13" t="str">
        <f>IF($B422="","",  VLOOKUP($B422, Propostas!$B:$BE, 50, FALSE) )</f>
        <v/>
      </c>
      <c r="W422" s="13" t="str">
        <f>IF($B422="","",  VLOOKUP($B422, Propostas!$B:$BE, 51, FALSE) )</f>
        <v/>
      </c>
      <c r="X422" s="13" t="str">
        <f>IF($B422="","",  VLOOKUP($B422, Propostas!$B:$BE, 52, FALSE) )</f>
        <v/>
      </c>
      <c r="Y422" s="13" t="str">
        <f>IF($B422="","",  VLOOKUP($B422, Propostas!$B:$BE, 36, FALSE) )</f>
        <v/>
      </c>
      <c r="Z422" s="13" t="str">
        <f>IF($B422="","",  VLOOKUP($F422, VW_PROJETO!B:C, 2, FALSE) )</f>
        <v/>
      </c>
    </row>
    <row r="423" spans="2:26" x14ac:dyDescent="0.2">
      <c r="B423" s="2"/>
      <c r="C423" s="4" t="str">
        <f>IF($B423="","",  VLOOKUP($B423, Propostas!$B:$BE, 33, FALSE) )</f>
        <v/>
      </c>
      <c r="D423" s="4" t="str">
        <f>IF($B423="","",  VLOOKUP($B423, Propostas!$B:$BE, 34, FALSE) )</f>
        <v/>
      </c>
      <c r="E423" s="4" t="str">
        <f>IF($B423="","",  VLOOKUP($B423, Propostas!$B:$BE, 35, FALSE) )</f>
        <v/>
      </c>
      <c r="F423" s="4" t="str">
        <f>IF($B423="","",  VLOOKUP($B423, Propostas!$B:$BE, 2, FALSE) )</f>
        <v/>
      </c>
      <c r="G423" s="4" t="str">
        <f>IF($B423="","",  VLOOKUP($B423, Propostas!$B:$BE, 3, FALSE) )</f>
        <v/>
      </c>
      <c r="H423" s="4" t="str">
        <f>IF($B423="","",  VLOOKUP($B423, Propostas!$B:$BE, 4, FALSE) )</f>
        <v/>
      </c>
      <c r="I423" s="4" t="str">
        <f>IF($B423="","",  VLOOKUP($B423, Propostas!$B:$BE, 38, FALSE) )</f>
        <v/>
      </c>
      <c r="J423" s="13" t="str">
        <f>IF($B423="","",IF($C423="SIM", "&lt; INFRRAESTRUTURA &gt;", VLOOKUP($B423,Propostas!$B:$BE,41,FALSE)))</f>
        <v/>
      </c>
      <c r="K423" s="10" t="str">
        <f>IF($B423="","",  VLOOKUP($B423, Propostas!$B:$BE, 40, FALSE) )</f>
        <v/>
      </c>
      <c r="L423" s="10" t="str">
        <f>IF($B423="","",IF(VLOOKUP($B423,Propostas!$B:$BE,21,FALSE)=1,"B",IF(VLOOKUP($B423,Propostas!$B:$BE,21,FALSE)=2,"E","N")))</f>
        <v/>
      </c>
      <c r="M423" s="32" t="str">
        <f>IF($B423 = "", "",  VLOOKUP($B423, Propostas!$B:$BE, 46, FALSE) )</f>
        <v/>
      </c>
      <c r="N423" s="32" t="str">
        <f>IF($B423 = "", "",  VLOOKUP($B423, Propostas!$B:$BE, 47, FALSE) )</f>
        <v/>
      </c>
      <c r="O423" s="13" t="str">
        <f>IF($B423="","",IF($C423="SIM", "INFRAESTRUTURA", VLOOKUP($B423, Propostas!$B:$BE,42,FALSE)))</f>
        <v/>
      </c>
      <c r="P423" s="32" t="str">
        <f>IF($B423 = "", "",  VLOOKUP($B423, Propostas!$B:$BE, 49, FALSE) )</f>
        <v/>
      </c>
      <c r="Q423" s="13" t="str">
        <f>IF($B423="","",  VLOOKUP($B423, Propostas!$B:$BE, 39, FALSE) )</f>
        <v/>
      </c>
      <c r="R423" s="81" t="str">
        <f>IF($B423="","",  VLOOKUP($B423, Propostas!$B:$BE, 43, FALSE) )</f>
        <v/>
      </c>
      <c r="S423" s="81" t="str">
        <f>IF($B423="","",  VLOOKUP($B423, Propostas!$B:$BE, 44, FALSE) )</f>
        <v/>
      </c>
      <c r="T423" s="81" t="str">
        <f>IF($B423="","",  VLOOKUP($B423, Propostas!$B:$BE, 45, FALSE) )</f>
        <v/>
      </c>
      <c r="U423" s="32" t="str">
        <f>IF($B423="","",  VLOOKUP($B423, Propostas!$B:$BE, 37, FALSE) )</f>
        <v/>
      </c>
      <c r="V423" s="13" t="str">
        <f>IF($B423="","",  VLOOKUP($B423, Propostas!$B:$BE, 50, FALSE) )</f>
        <v/>
      </c>
      <c r="W423" s="13" t="str">
        <f>IF($B423="","",  VLOOKUP($B423, Propostas!$B:$BE, 51, FALSE) )</f>
        <v/>
      </c>
      <c r="X423" s="13" t="str">
        <f>IF($B423="","",  VLOOKUP($B423, Propostas!$B:$BE, 52, FALSE) )</f>
        <v/>
      </c>
      <c r="Y423" s="13" t="str">
        <f>IF($B423="","",  VLOOKUP($B423, Propostas!$B:$BE, 36, FALSE) )</f>
        <v/>
      </c>
      <c r="Z423" s="13" t="str">
        <f>IF($B423="","",  VLOOKUP($F423, VW_PROJETO!B:C, 2, FALSE) )</f>
        <v/>
      </c>
    </row>
    <row r="424" spans="2:26" x14ac:dyDescent="0.2">
      <c r="B424" s="2"/>
      <c r="C424" s="4" t="str">
        <f>IF($B424="","",  VLOOKUP($B424, Propostas!$B:$BE, 33, FALSE) )</f>
        <v/>
      </c>
      <c r="D424" s="4" t="str">
        <f>IF($B424="","",  VLOOKUP($B424, Propostas!$B:$BE, 34, FALSE) )</f>
        <v/>
      </c>
      <c r="E424" s="4" t="str">
        <f>IF($B424="","",  VLOOKUP($B424, Propostas!$B:$BE, 35, FALSE) )</f>
        <v/>
      </c>
      <c r="F424" s="4" t="str">
        <f>IF($B424="","",  VLOOKUP($B424, Propostas!$B:$BE, 2, FALSE) )</f>
        <v/>
      </c>
      <c r="G424" s="4" t="str">
        <f>IF($B424="","",  VLOOKUP($B424, Propostas!$B:$BE, 3, FALSE) )</f>
        <v/>
      </c>
      <c r="H424" s="4" t="str">
        <f>IF($B424="","",  VLOOKUP($B424, Propostas!$B:$BE, 4, FALSE) )</f>
        <v/>
      </c>
      <c r="I424" s="4" t="str">
        <f>IF($B424="","",  VLOOKUP($B424, Propostas!$B:$BE, 38, FALSE) )</f>
        <v/>
      </c>
      <c r="J424" s="13" t="str">
        <f>IF($B424="","",IF($C424="SIM", "&lt; INFRRAESTRUTURA &gt;", VLOOKUP($B424,Propostas!$B:$BE,41,FALSE)))</f>
        <v/>
      </c>
      <c r="K424" s="10" t="str">
        <f>IF($B424="","",  VLOOKUP($B424, Propostas!$B:$BE, 40, FALSE) )</f>
        <v/>
      </c>
      <c r="L424" s="10" t="str">
        <f>IF($B424="","",IF(VLOOKUP($B424,Propostas!$B:$BE,21,FALSE)=1,"B",IF(VLOOKUP($B424,Propostas!$B:$BE,21,FALSE)=2,"E","N")))</f>
        <v/>
      </c>
      <c r="M424" s="32" t="str">
        <f>IF($B424 = "", "",  VLOOKUP($B424, Propostas!$B:$BE, 46, FALSE) )</f>
        <v/>
      </c>
      <c r="N424" s="32" t="str">
        <f>IF($B424 = "", "",  VLOOKUP($B424, Propostas!$B:$BE, 47, FALSE) )</f>
        <v/>
      </c>
      <c r="O424" s="13" t="str">
        <f>IF($B424="","",IF($C424="SIM", "INFRAESTRUTURA", VLOOKUP($B424, Propostas!$B:$BE,42,FALSE)))</f>
        <v/>
      </c>
      <c r="P424" s="32" t="str">
        <f>IF($B424 = "", "",  VLOOKUP($B424, Propostas!$B:$BE, 49, FALSE) )</f>
        <v/>
      </c>
      <c r="Q424" s="13" t="str">
        <f>IF($B424="","",  VLOOKUP($B424, Propostas!$B:$BE, 39, FALSE) )</f>
        <v/>
      </c>
      <c r="R424" s="81" t="str">
        <f>IF($B424="","",  VLOOKUP($B424, Propostas!$B:$BE, 43, FALSE) )</f>
        <v/>
      </c>
      <c r="S424" s="81" t="str">
        <f>IF($B424="","",  VLOOKUP($B424, Propostas!$B:$BE, 44, FALSE) )</f>
        <v/>
      </c>
      <c r="T424" s="81" t="str">
        <f>IF($B424="","",  VLOOKUP($B424, Propostas!$B:$BE, 45, FALSE) )</f>
        <v/>
      </c>
      <c r="U424" s="32" t="str">
        <f>IF($B424="","",  VLOOKUP($B424, Propostas!$B:$BE, 37, FALSE) )</f>
        <v/>
      </c>
      <c r="V424" s="13" t="str">
        <f>IF($B424="","",  VLOOKUP($B424, Propostas!$B:$BE, 50, FALSE) )</f>
        <v/>
      </c>
      <c r="W424" s="13" t="str">
        <f>IF($B424="","",  VLOOKUP($B424, Propostas!$B:$BE, 51, FALSE) )</f>
        <v/>
      </c>
      <c r="X424" s="13" t="str">
        <f>IF($B424="","",  VLOOKUP($B424, Propostas!$B:$BE, 52, FALSE) )</f>
        <v/>
      </c>
      <c r="Y424" s="13" t="str">
        <f>IF($B424="","",  VLOOKUP($B424, Propostas!$B:$BE, 36, FALSE) )</f>
        <v/>
      </c>
      <c r="Z424" s="13" t="str">
        <f>IF($B424="","",  VLOOKUP($F424, VW_PROJETO!B:C, 2, FALSE) )</f>
        <v/>
      </c>
    </row>
    <row r="425" spans="2:26" x14ac:dyDescent="0.2">
      <c r="B425" s="2"/>
      <c r="C425" s="4" t="str">
        <f>IF($B425="","",  VLOOKUP($B425, Propostas!$B:$BE, 33, FALSE) )</f>
        <v/>
      </c>
      <c r="D425" s="4" t="str">
        <f>IF($B425="","",  VLOOKUP($B425, Propostas!$B:$BE, 34, FALSE) )</f>
        <v/>
      </c>
      <c r="E425" s="4" t="str">
        <f>IF($B425="","",  VLOOKUP($B425, Propostas!$B:$BE, 35, FALSE) )</f>
        <v/>
      </c>
      <c r="F425" s="4" t="str">
        <f>IF($B425="","",  VLOOKUP($B425, Propostas!$B:$BE, 2, FALSE) )</f>
        <v/>
      </c>
      <c r="G425" s="4" t="str">
        <f>IF($B425="","",  VLOOKUP($B425, Propostas!$B:$BE, 3, FALSE) )</f>
        <v/>
      </c>
      <c r="H425" s="4" t="str">
        <f>IF($B425="","",  VLOOKUP($B425, Propostas!$B:$BE, 4, FALSE) )</f>
        <v/>
      </c>
      <c r="I425" s="4" t="str">
        <f>IF($B425="","",  VLOOKUP($B425, Propostas!$B:$BE, 38, FALSE) )</f>
        <v/>
      </c>
      <c r="J425" s="13" t="str">
        <f>IF($B425="","",IF($C425="SIM", "&lt; INFRRAESTRUTURA &gt;", VLOOKUP($B425,Propostas!$B:$BE,41,FALSE)))</f>
        <v/>
      </c>
      <c r="K425" s="10" t="str">
        <f>IF($B425="","",  VLOOKUP($B425, Propostas!$B:$BE, 40, FALSE) )</f>
        <v/>
      </c>
      <c r="L425" s="10" t="str">
        <f>IF($B425="","",IF(VLOOKUP($B425,Propostas!$B:$BE,21,FALSE)=1,"B",IF(VLOOKUP($B425,Propostas!$B:$BE,21,FALSE)=2,"E","N")))</f>
        <v/>
      </c>
      <c r="M425" s="32" t="str">
        <f>IF($B425 = "", "",  VLOOKUP($B425, Propostas!$B:$BE, 46, FALSE) )</f>
        <v/>
      </c>
      <c r="N425" s="32" t="str">
        <f>IF($B425 = "", "",  VLOOKUP($B425, Propostas!$B:$BE, 47, FALSE) )</f>
        <v/>
      </c>
      <c r="O425" s="13" t="str">
        <f>IF($B425="","",IF($C425="SIM", "INFRAESTRUTURA", VLOOKUP($B425, Propostas!$B:$BE,42,FALSE)))</f>
        <v/>
      </c>
      <c r="P425" s="32" t="str">
        <f>IF($B425 = "", "",  VLOOKUP($B425, Propostas!$B:$BE, 49, FALSE) )</f>
        <v/>
      </c>
      <c r="Q425" s="13" t="str">
        <f>IF($B425="","",  VLOOKUP($B425, Propostas!$B:$BE, 39, FALSE) )</f>
        <v/>
      </c>
      <c r="R425" s="81" t="str">
        <f>IF($B425="","",  VLOOKUP($B425, Propostas!$B:$BE, 43, FALSE) )</f>
        <v/>
      </c>
      <c r="S425" s="81" t="str">
        <f>IF($B425="","",  VLOOKUP($B425, Propostas!$B:$BE, 44, FALSE) )</f>
        <v/>
      </c>
      <c r="T425" s="81" t="str">
        <f>IF($B425="","",  VLOOKUP($B425, Propostas!$B:$BE, 45, FALSE) )</f>
        <v/>
      </c>
      <c r="U425" s="32" t="str">
        <f>IF($B425="","",  VLOOKUP($B425, Propostas!$B:$BE, 37, FALSE) )</f>
        <v/>
      </c>
      <c r="V425" s="13" t="str">
        <f>IF($B425="","",  VLOOKUP($B425, Propostas!$B:$BE, 50, FALSE) )</f>
        <v/>
      </c>
      <c r="W425" s="13" t="str">
        <f>IF($B425="","",  VLOOKUP($B425, Propostas!$B:$BE, 51, FALSE) )</f>
        <v/>
      </c>
      <c r="X425" s="13" t="str">
        <f>IF($B425="","",  VLOOKUP($B425, Propostas!$B:$BE, 52, FALSE) )</f>
        <v/>
      </c>
      <c r="Y425" s="13" t="str">
        <f>IF($B425="","",  VLOOKUP($B425, Propostas!$B:$BE, 36, FALSE) )</f>
        <v/>
      </c>
      <c r="Z425" s="13" t="str">
        <f>IF($B425="","",  VLOOKUP($F425, VW_PROJETO!B:C, 2, FALSE) )</f>
        <v/>
      </c>
    </row>
    <row r="426" spans="2:26" x14ac:dyDescent="0.2">
      <c r="B426" s="2"/>
      <c r="C426" s="4" t="str">
        <f>IF($B426="","",  VLOOKUP($B426, Propostas!$B:$BE, 33, FALSE) )</f>
        <v/>
      </c>
      <c r="D426" s="4" t="str">
        <f>IF($B426="","",  VLOOKUP($B426, Propostas!$B:$BE, 34, FALSE) )</f>
        <v/>
      </c>
      <c r="E426" s="4" t="str">
        <f>IF($B426="","",  VLOOKUP($B426, Propostas!$B:$BE, 35, FALSE) )</f>
        <v/>
      </c>
      <c r="F426" s="4" t="str">
        <f>IF($B426="","",  VLOOKUP($B426, Propostas!$B:$BE, 2, FALSE) )</f>
        <v/>
      </c>
      <c r="G426" s="4" t="str">
        <f>IF($B426="","",  VLOOKUP($B426, Propostas!$B:$BE, 3, FALSE) )</f>
        <v/>
      </c>
      <c r="H426" s="4" t="str">
        <f>IF($B426="","",  VLOOKUP($B426, Propostas!$B:$BE, 4, FALSE) )</f>
        <v/>
      </c>
      <c r="I426" s="4" t="str">
        <f>IF($B426="","",  VLOOKUP($B426, Propostas!$B:$BE, 38, FALSE) )</f>
        <v/>
      </c>
      <c r="J426" s="13" t="str">
        <f>IF($B426="","",IF($C426="SIM", "&lt; INFRRAESTRUTURA &gt;", VLOOKUP($B426,Propostas!$B:$BE,41,FALSE)))</f>
        <v/>
      </c>
      <c r="K426" s="10" t="str">
        <f>IF($B426="","",  VLOOKUP($B426, Propostas!$B:$BE, 40, FALSE) )</f>
        <v/>
      </c>
      <c r="L426" s="10" t="str">
        <f>IF($B426="","",IF(VLOOKUP($B426,Propostas!$B:$BE,21,FALSE)=1,"B",IF(VLOOKUP($B426,Propostas!$B:$BE,21,FALSE)=2,"E","N")))</f>
        <v/>
      </c>
      <c r="M426" s="32" t="str">
        <f>IF($B426 = "", "",  VLOOKUP($B426, Propostas!$B:$BE, 46, FALSE) )</f>
        <v/>
      </c>
      <c r="N426" s="32" t="str">
        <f>IF($B426 = "", "",  VLOOKUP($B426, Propostas!$B:$BE, 47, FALSE) )</f>
        <v/>
      </c>
      <c r="O426" s="13" t="str">
        <f>IF($B426="","",IF($C426="SIM", "INFRAESTRUTURA", VLOOKUP($B426, Propostas!$B:$BE,42,FALSE)))</f>
        <v/>
      </c>
      <c r="P426" s="32" t="str">
        <f>IF($B426 = "", "",  VLOOKUP($B426, Propostas!$B:$BE, 49, FALSE) )</f>
        <v/>
      </c>
      <c r="Q426" s="13" t="str">
        <f>IF($B426="","",  VLOOKUP($B426, Propostas!$B:$BE, 39, FALSE) )</f>
        <v/>
      </c>
      <c r="R426" s="81" t="str">
        <f>IF($B426="","",  VLOOKUP($B426, Propostas!$B:$BE, 43, FALSE) )</f>
        <v/>
      </c>
      <c r="S426" s="81" t="str">
        <f>IF($B426="","",  VLOOKUP($B426, Propostas!$B:$BE, 44, FALSE) )</f>
        <v/>
      </c>
      <c r="T426" s="81" t="str">
        <f>IF($B426="","",  VLOOKUP($B426, Propostas!$B:$BE, 45, FALSE) )</f>
        <v/>
      </c>
      <c r="U426" s="32" t="str">
        <f>IF($B426="","",  VLOOKUP($B426, Propostas!$B:$BE, 37, FALSE) )</f>
        <v/>
      </c>
      <c r="V426" s="13" t="str">
        <f>IF($B426="","",  VLOOKUP($B426, Propostas!$B:$BE, 50, FALSE) )</f>
        <v/>
      </c>
      <c r="W426" s="13" t="str">
        <f>IF($B426="","",  VLOOKUP($B426, Propostas!$B:$BE, 51, FALSE) )</f>
        <v/>
      </c>
      <c r="X426" s="13" t="str">
        <f>IF($B426="","",  VLOOKUP($B426, Propostas!$B:$BE, 52, FALSE) )</f>
        <v/>
      </c>
      <c r="Y426" s="13" t="str">
        <f>IF($B426="","",  VLOOKUP($B426, Propostas!$B:$BE, 36, FALSE) )</f>
        <v/>
      </c>
      <c r="Z426" s="13" t="str">
        <f>IF($B426="","",  VLOOKUP($F426, VW_PROJETO!B:C, 2, FALSE) )</f>
        <v/>
      </c>
    </row>
    <row r="427" spans="2:26" x14ac:dyDescent="0.2">
      <c r="B427" s="2"/>
      <c r="C427" s="4" t="str">
        <f>IF($B427="","",  VLOOKUP($B427, Propostas!$B:$BE, 33, FALSE) )</f>
        <v/>
      </c>
      <c r="D427" s="4" t="str">
        <f>IF($B427="","",  VLOOKUP($B427, Propostas!$B:$BE, 34, FALSE) )</f>
        <v/>
      </c>
      <c r="E427" s="4" t="str">
        <f>IF($B427="","",  VLOOKUP($B427, Propostas!$B:$BE, 35, FALSE) )</f>
        <v/>
      </c>
      <c r="F427" s="4" t="str">
        <f>IF($B427="","",  VLOOKUP($B427, Propostas!$B:$BE, 2, FALSE) )</f>
        <v/>
      </c>
      <c r="G427" s="4" t="str">
        <f>IF($B427="","",  VLOOKUP($B427, Propostas!$B:$BE, 3, FALSE) )</f>
        <v/>
      </c>
      <c r="H427" s="4" t="str">
        <f>IF($B427="","",  VLOOKUP($B427, Propostas!$B:$BE, 4, FALSE) )</f>
        <v/>
      </c>
      <c r="I427" s="4" t="str">
        <f>IF($B427="","",  VLOOKUP($B427, Propostas!$B:$BE, 38, FALSE) )</f>
        <v/>
      </c>
      <c r="J427" s="13" t="str">
        <f>IF($B427="","",IF($C427="SIM", "&lt; INFRRAESTRUTURA &gt;", VLOOKUP($B427,Propostas!$B:$BE,41,FALSE)))</f>
        <v/>
      </c>
      <c r="K427" s="10" t="str">
        <f>IF($B427="","",  VLOOKUP($B427, Propostas!$B:$BE, 40, FALSE) )</f>
        <v/>
      </c>
      <c r="L427" s="10" t="str">
        <f>IF($B427="","",IF(VLOOKUP($B427,Propostas!$B:$BE,21,FALSE)=1,"B",IF(VLOOKUP($B427,Propostas!$B:$BE,21,FALSE)=2,"E","N")))</f>
        <v/>
      </c>
      <c r="M427" s="32" t="str">
        <f>IF($B427 = "", "",  VLOOKUP($B427, Propostas!$B:$BE, 46, FALSE) )</f>
        <v/>
      </c>
      <c r="N427" s="32" t="str">
        <f>IF($B427 = "", "",  VLOOKUP($B427, Propostas!$B:$BE, 47, FALSE) )</f>
        <v/>
      </c>
      <c r="O427" s="13" t="str">
        <f>IF($B427="","",IF($C427="SIM", "INFRAESTRUTURA", VLOOKUP($B427, Propostas!$B:$BE,42,FALSE)))</f>
        <v/>
      </c>
      <c r="P427" s="32" t="str">
        <f>IF($B427 = "", "",  VLOOKUP($B427, Propostas!$B:$BE, 49, FALSE) )</f>
        <v/>
      </c>
      <c r="Q427" s="13" t="str">
        <f>IF($B427="","",  VLOOKUP($B427, Propostas!$B:$BE, 39, FALSE) )</f>
        <v/>
      </c>
      <c r="R427" s="81" t="str">
        <f>IF($B427="","",  VLOOKUP($B427, Propostas!$B:$BE, 43, FALSE) )</f>
        <v/>
      </c>
      <c r="S427" s="81" t="str">
        <f>IF($B427="","",  VLOOKUP($B427, Propostas!$B:$BE, 44, FALSE) )</f>
        <v/>
      </c>
      <c r="T427" s="81" t="str">
        <f>IF($B427="","",  VLOOKUP($B427, Propostas!$B:$BE, 45, FALSE) )</f>
        <v/>
      </c>
      <c r="U427" s="32" t="str">
        <f>IF($B427="","",  VLOOKUP($B427, Propostas!$B:$BE, 37, FALSE) )</f>
        <v/>
      </c>
      <c r="V427" s="13" t="str">
        <f>IF($B427="","",  VLOOKUP($B427, Propostas!$B:$BE, 50, FALSE) )</f>
        <v/>
      </c>
      <c r="W427" s="13" t="str">
        <f>IF($B427="","",  VLOOKUP($B427, Propostas!$B:$BE, 51, FALSE) )</f>
        <v/>
      </c>
      <c r="X427" s="13" t="str">
        <f>IF($B427="","",  VLOOKUP($B427, Propostas!$B:$BE, 52, FALSE) )</f>
        <v/>
      </c>
      <c r="Y427" s="13" t="str">
        <f>IF($B427="","",  VLOOKUP($B427, Propostas!$B:$BE, 36, FALSE) )</f>
        <v/>
      </c>
      <c r="Z427" s="13" t="str">
        <f>IF($B427="","",  VLOOKUP($F427, VW_PROJETO!B:C, 2, FALSE) )</f>
        <v/>
      </c>
    </row>
    <row r="428" spans="2:26" x14ac:dyDescent="0.2">
      <c r="B428" s="2"/>
      <c r="C428" s="4" t="str">
        <f>IF($B428="","",  VLOOKUP($B428, Propostas!$B:$BE, 33, FALSE) )</f>
        <v/>
      </c>
      <c r="D428" s="4" t="str">
        <f>IF($B428="","",  VLOOKUP($B428, Propostas!$B:$BE, 34, FALSE) )</f>
        <v/>
      </c>
      <c r="E428" s="4" t="str">
        <f>IF($B428="","",  VLOOKUP($B428, Propostas!$B:$BE, 35, FALSE) )</f>
        <v/>
      </c>
      <c r="F428" s="4" t="str">
        <f>IF($B428="","",  VLOOKUP($B428, Propostas!$B:$BE, 2, FALSE) )</f>
        <v/>
      </c>
      <c r="G428" s="4" t="str">
        <f>IF($B428="","",  VLOOKUP($B428, Propostas!$B:$BE, 3, FALSE) )</f>
        <v/>
      </c>
      <c r="H428" s="4" t="str">
        <f>IF($B428="","",  VLOOKUP($B428, Propostas!$B:$BE, 4, FALSE) )</f>
        <v/>
      </c>
      <c r="I428" s="4" t="str">
        <f>IF($B428="","",  VLOOKUP($B428, Propostas!$B:$BE, 38, FALSE) )</f>
        <v/>
      </c>
      <c r="J428" s="13" t="str">
        <f>IF($B428="","",IF($C428="SIM", "&lt; INFRRAESTRUTURA &gt;", VLOOKUP($B428,Propostas!$B:$BE,41,FALSE)))</f>
        <v/>
      </c>
      <c r="K428" s="10" t="str">
        <f>IF($B428="","",  VLOOKUP($B428, Propostas!$B:$BE, 40, FALSE) )</f>
        <v/>
      </c>
      <c r="L428" s="10" t="str">
        <f>IF($B428="","",IF(VLOOKUP($B428,Propostas!$B:$BE,21,FALSE)=1,"B",IF(VLOOKUP($B428,Propostas!$B:$BE,21,FALSE)=2,"E","N")))</f>
        <v/>
      </c>
      <c r="M428" s="32" t="str">
        <f>IF($B428 = "", "",  VLOOKUP($B428, Propostas!$B:$BE, 46, FALSE) )</f>
        <v/>
      </c>
      <c r="N428" s="32" t="str">
        <f>IF($B428 = "", "",  VLOOKUP($B428, Propostas!$B:$BE, 47, FALSE) )</f>
        <v/>
      </c>
      <c r="O428" s="13" t="str">
        <f>IF($B428="","",IF($C428="SIM", "INFRAESTRUTURA", VLOOKUP($B428, Propostas!$B:$BE,42,FALSE)))</f>
        <v/>
      </c>
      <c r="P428" s="32" t="str">
        <f>IF($B428 = "", "",  VLOOKUP($B428, Propostas!$B:$BE, 49, FALSE) )</f>
        <v/>
      </c>
      <c r="Q428" s="13" t="str">
        <f>IF($B428="","",  VLOOKUP($B428, Propostas!$B:$BE, 39, FALSE) )</f>
        <v/>
      </c>
      <c r="R428" s="81" t="str">
        <f>IF($B428="","",  VLOOKUP($B428, Propostas!$B:$BE, 43, FALSE) )</f>
        <v/>
      </c>
      <c r="S428" s="81" t="str">
        <f>IF($B428="","",  VLOOKUP($B428, Propostas!$B:$BE, 44, FALSE) )</f>
        <v/>
      </c>
      <c r="T428" s="81" t="str">
        <f>IF($B428="","",  VLOOKUP($B428, Propostas!$B:$BE, 45, FALSE) )</f>
        <v/>
      </c>
      <c r="U428" s="32" t="str">
        <f>IF($B428="","",  VLOOKUP($B428, Propostas!$B:$BE, 37, FALSE) )</f>
        <v/>
      </c>
      <c r="V428" s="13" t="str">
        <f>IF($B428="","",  VLOOKUP($B428, Propostas!$B:$BE, 50, FALSE) )</f>
        <v/>
      </c>
      <c r="W428" s="13" t="str">
        <f>IF($B428="","",  VLOOKUP($B428, Propostas!$B:$BE, 51, FALSE) )</f>
        <v/>
      </c>
      <c r="X428" s="13" t="str">
        <f>IF($B428="","",  VLOOKUP($B428, Propostas!$B:$BE, 52, FALSE) )</f>
        <v/>
      </c>
      <c r="Y428" s="13" t="str">
        <f>IF($B428="","",  VLOOKUP($B428, Propostas!$B:$BE, 36, FALSE) )</f>
        <v/>
      </c>
      <c r="Z428" s="13" t="str">
        <f>IF($B428="","",  VLOOKUP($F428, VW_PROJETO!B:C, 2, FALSE) )</f>
        <v/>
      </c>
    </row>
    <row r="429" spans="2:26" x14ac:dyDescent="0.2">
      <c r="B429" s="2"/>
      <c r="C429" s="4" t="str">
        <f>IF($B429="","",  VLOOKUP($B429, Propostas!$B:$BE, 33, FALSE) )</f>
        <v/>
      </c>
      <c r="D429" s="4" t="str">
        <f>IF($B429="","",  VLOOKUP($B429, Propostas!$B:$BE, 34, FALSE) )</f>
        <v/>
      </c>
      <c r="E429" s="4" t="str">
        <f>IF($B429="","",  VLOOKUP($B429, Propostas!$B:$BE, 35, FALSE) )</f>
        <v/>
      </c>
      <c r="F429" s="4" t="str">
        <f>IF($B429="","",  VLOOKUP($B429, Propostas!$B:$BE, 2, FALSE) )</f>
        <v/>
      </c>
      <c r="G429" s="4" t="str">
        <f>IF($B429="","",  VLOOKUP($B429, Propostas!$B:$BE, 3, FALSE) )</f>
        <v/>
      </c>
      <c r="H429" s="4" t="str">
        <f>IF($B429="","",  VLOOKUP($B429, Propostas!$B:$BE, 4, FALSE) )</f>
        <v/>
      </c>
      <c r="I429" s="4" t="str">
        <f>IF($B429="","",  VLOOKUP($B429, Propostas!$B:$BE, 38, FALSE) )</f>
        <v/>
      </c>
      <c r="J429" s="13" t="str">
        <f>IF($B429="","",IF($C429="SIM", "&lt; INFRRAESTRUTURA &gt;", VLOOKUP($B429,Propostas!$B:$BE,41,FALSE)))</f>
        <v/>
      </c>
      <c r="K429" s="10" t="str">
        <f>IF($B429="","",  VLOOKUP($B429, Propostas!$B:$BE, 40, FALSE) )</f>
        <v/>
      </c>
      <c r="L429" s="10" t="str">
        <f>IF($B429="","",IF(VLOOKUP($B429,Propostas!$B:$BE,21,FALSE)=1,"B",IF(VLOOKUP($B429,Propostas!$B:$BE,21,FALSE)=2,"E","N")))</f>
        <v/>
      </c>
      <c r="M429" s="32" t="str">
        <f>IF($B429 = "", "",  VLOOKUP($B429, Propostas!$B:$BE, 46, FALSE) )</f>
        <v/>
      </c>
      <c r="N429" s="32" t="str">
        <f>IF($B429 = "", "",  VLOOKUP($B429, Propostas!$B:$BE, 47, FALSE) )</f>
        <v/>
      </c>
      <c r="O429" s="13" t="str">
        <f>IF($B429="","",IF($C429="SIM", "INFRAESTRUTURA", VLOOKUP($B429, Propostas!$B:$BE,42,FALSE)))</f>
        <v/>
      </c>
      <c r="P429" s="32" t="str">
        <f>IF($B429 = "", "",  VLOOKUP($B429, Propostas!$B:$BE, 49, FALSE) )</f>
        <v/>
      </c>
      <c r="Q429" s="13" t="str">
        <f>IF($B429="","",  VLOOKUP($B429, Propostas!$B:$BE, 39, FALSE) )</f>
        <v/>
      </c>
      <c r="R429" s="81" t="str">
        <f>IF($B429="","",  VLOOKUP($B429, Propostas!$B:$BE, 43, FALSE) )</f>
        <v/>
      </c>
      <c r="S429" s="81" t="str">
        <f>IF($B429="","",  VLOOKUP($B429, Propostas!$B:$BE, 44, FALSE) )</f>
        <v/>
      </c>
      <c r="T429" s="81" t="str">
        <f>IF($B429="","",  VLOOKUP($B429, Propostas!$B:$BE, 45, FALSE) )</f>
        <v/>
      </c>
      <c r="U429" s="32" t="str">
        <f>IF($B429="","",  VLOOKUP($B429, Propostas!$B:$BE, 37, FALSE) )</f>
        <v/>
      </c>
      <c r="V429" s="13" t="str">
        <f>IF($B429="","",  VLOOKUP($B429, Propostas!$B:$BE, 50, FALSE) )</f>
        <v/>
      </c>
      <c r="W429" s="13" t="str">
        <f>IF($B429="","",  VLOOKUP($B429, Propostas!$B:$BE, 51, FALSE) )</f>
        <v/>
      </c>
      <c r="X429" s="13" t="str">
        <f>IF($B429="","",  VLOOKUP($B429, Propostas!$B:$BE, 52, FALSE) )</f>
        <v/>
      </c>
      <c r="Y429" s="13" t="str">
        <f>IF($B429="","",  VLOOKUP($B429, Propostas!$B:$BE, 36, FALSE) )</f>
        <v/>
      </c>
      <c r="Z429" s="13" t="str">
        <f>IF($B429="","",  VLOOKUP($F429, VW_PROJETO!B:C, 2, FALSE) )</f>
        <v/>
      </c>
    </row>
    <row r="430" spans="2:26" x14ac:dyDescent="0.2">
      <c r="B430" s="2"/>
      <c r="C430" s="4" t="str">
        <f>IF($B430="","",  VLOOKUP($B430, Propostas!$B:$BE, 33, FALSE) )</f>
        <v/>
      </c>
      <c r="D430" s="4" t="str">
        <f>IF($B430="","",  VLOOKUP($B430, Propostas!$B:$BE, 34, FALSE) )</f>
        <v/>
      </c>
      <c r="E430" s="4" t="str">
        <f>IF($B430="","",  VLOOKUP($B430, Propostas!$B:$BE, 35, FALSE) )</f>
        <v/>
      </c>
      <c r="F430" s="4" t="str">
        <f>IF($B430="","",  VLOOKUP($B430, Propostas!$B:$BE, 2, FALSE) )</f>
        <v/>
      </c>
      <c r="G430" s="4" t="str">
        <f>IF($B430="","",  VLOOKUP($B430, Propostas!$B:$BE, 3, FALSE) )</f>
        <v/>
      </c>
      <c r="H430" s="4" t="str">
        <f>IF($B430="","",  VLOOKUP($B430, Propostas!$B:$BE, 4, FALSE) )</f>
        <v/>
      </c>
      <c r="I430" s="4" t="str">
        <f>IF($B430="","",  VLOOKUP($B430, Propostas!$B:$BE, 38, FALSE) )</f>
        <v/>
      </c>
      <c r="J430" s="13" t="str">
        <f>IF($B430="","",IF($C430="SIM", "&lt; INFRRAESTRUTURA &gt;", VLOOKUP($B430,Propostas!$B:$BE,41,FALSE)))</f>
        <v/>
      </c>
      <c r="K430" s="10" t="str">
        <f>IF($B430="","",  VLOOKUP($B430, Propostas!$B:$BE, 40, FALSE) )</f>
        <v/>
      </c>
      <c r="L430" s="10" t="str">
        <f>IF($B430="","",IF(VLOOKUP($B430,Propostas!$B:$BE,21,FALSE)=1,"B",IF(VLOOKUP($B430,Propostas!$B:$BE,21,FALSE)=2,"E","N")))</f>
        <v/>
      </c>
      <c r="M430" s="32" t="str">
        <f>IF($B430 = "", "",  VLOOKUP($B430, Propostas!$B:$BE, 46, FALSE) )</f>
        <v/>
      </c>
      <c r="N430" s="32" t="str">
        <f>IF($B430 = "", "",  VLOOKUP($B430, Propostas!$B:$BE, 47, FALSE) )</f>
        <v/>
      </c>
      <c r="O430" s="13" t="str">
        <f>IF($B430="","",IF($C430="SIM", "INFRAESTRUTURA", VLOOKUP($B430, Propostas!$B:$BE,42,FALSE)))</f>
        <v/>
      </c>
      <c r="P430" s="32" t="str">
        <f>IF($B430 = "", "",  VLOOKUP($B430, Propostas!$B:$BE, 49, FALSE) )</f>
        <v/>
      </c>
      <c r="Q430" s="13" t="str">
        <f>IF($B430="","",  VLOOKUP($B430, Propostas!$B:$BE, 39, FALSE) )</f>
        <v/>
      </c>
      <c r="R430" s="81" t="str">
        <f>IF($B430="","",  VLOOKUP($B430, Propostas!$B:$BE, 43, FALSE) )</f>
        <v/>
      </c>
      <c r="S430" s="81" t="str">
        <f>IF($B430="","",  VLOOKUP($B430, Propostas!$B:$BE, 44, FALSE) )</f>
        <v/>
      </c>
      <c r="T430" s="81" t="str">
        <f>IF($B430="","",  VLOOKUP($B430, Propostas!$B:$BE, 45, FALSE) )</f>
        <v/>
      </c>
      <c r="U430" s="32" t="str">
        <f>IF($B430="","",  VLOOKUP($B430, Propostas!$B:$BE, 37, FALSE) )</f>
        <v/>
      </c>
      <c r="V430" s="13" t="str">
        <f>IF($B430="","",  VLOOKUP($B430, Propostas!$B:$BE, 50, FALSE) )</f>
        <v/>
      </c>
      <c r="W430" s="13" t="str">
        <f>IF($B430="","",  VLOOKUP($B430, Propostas!$B:$BE, 51, FALSE) )</f>
        <v/>
      </c>
      <c r="X430" s="13" t="str">
        <f>IF($B430="","",  VLOOKUP($B430, Propostas!$B:$BE, 52, FALSE) )</f>
        <v/>
      </c>
      <c r="Y430" s="13" t="str">
        <f>IF($B430="","",  VLOOKUP($B430, Propostas!$B:$BE, 36, FALSE) )</f>
        <v/>
      </c>
      <c r="Z430" s="13" t="str">
        <f>IF($B430="","",  VLOOKUP($F430, VW_PROJETO!B:C, 2, FALSE) )</f>
        <v/>
      </c>
    </row>
    <row r="431" spans="2:26" x14ac:dyDescent="0.2">
      <c r="B431" s="2"/>
      <c r="C431" s="4" t="str">
        <f>IF($B431="","",  VLOOKUP($B431, Propostas!$B:$BE, 33, FALSE) )</f>
        <v/>
      </c>
      <c r="D431" s="4" t="str">
        <f>IF($B431="","",  VLOOKUP($B431, Propostas!$B:$BE, 34, FALSE) )</f>
        <v/>
      </c>
      <c r="E431" s="4" t="str">
        <f>IF($B431="","",  VLOOKUP($B431, Propostas!$B:$BE, 35, FALSE) )</f>
        <v/>
      </c>
      <c r="F431" s="4" t="str">
        <f>IF($B431="","",  VLOOKUP($B431, Propostas!$B:$BE, 2, FALSE) )</f>
        <v/>
      </c>
      <c r="G431" s="4" t="str">
        <f>IF($B431="","",  VLOOKUP($B431, Propostas!$B:$BE, 3, FALSE) )</f>
        <v/>
      </c>
      <c r="H431" s="4" t="str">
        <f>IF($B431="","",  VLOOKUP($B431, Propostas!$B:$BE, 4, FALSE) )</f>
        <v/>
      </c>
      <c r="I431" s="4" t="str">
        <f>IF($B431="","",  VLOOKUP($B431, Propostas!$B:$BE, 38, FALSE) )</f>
        <v/>
      </c>
      <c r="J431" s="13" t="str">
        <f>IF($B431="","",IF($C431="SIM", "&lt; INFRRAESTRUTURA &gt;", VLOOKUP($B431,Propostas!$B:$BE,41,FALSE)))</f>
        <v/>
      </c>
      <c r="K431" s="10" t="str">
        <f>IF($B431="","",  VLOOKUP($B431, Propostas!$B:$BE, 40, FALSE) )</f>
        <v/>
      </c>
      <c r="L431" s="10" t="str">
        <f>IF($B431="","",IF(VLOOKUP($B431,Propostas!$B:$BE,21,FALSE)=1,"B",IF(VLOOKUP($B431,Propostas!$B:$BE,21,FALSE)=2,"E","N")))</f>
        <v/>
      </c>
      <c r="M431" s="32" t="str">
        <f>IF($B431 = "", "",  VLOOKUP($B431, Propostas!$B:$BE, 46, FALSE) )</f>
        <v/>
      </c>
      <c r="N431" s="32" t="str">
        <f>IF($B431 = "", "",  VLOOKUP($B431, Propostas!$B:$BE, 47, FALSE) )</f>
        <v/>
      </c>
      <c r="O431" s="13" t="str">
        <f>IF($B431="","",IF($C431="SIM", "INFRAESTRUTURA", VLOOKUP($B431, Propostas!$B:$BE,42,FALSE)))</f>
        <v/>
      </c>
      <c r="P431" s="32" t="str">
        <f>IF($B431 = "", "",  VLOOKUP($B431, Propostas!$B:$BE, 49, FALSE) )</f>
        <v/>
      </c>
      <c r="Q431" s="13" t="str">
        <f>IF($B431="","",  VLOOKUP($B431, Propostas!$B:$BE, 39, FALSE) )</f>
        <v/>
      </c>
      <c r="R431" s="81" t="str">
        <f>IF($B431="","",  VLOOKUP($B431, Propostas!$B:$BE, 43, FALSE) )</f>
        <v/>
      </c>
      <c r="S431" s="81" t="str">
        <f>IF($B431="","",  VLOOKUP($B431, Propostas!$B:$BE, 44, FALSE) )</f>
        <v/>
      </c>
      <c r="T431" s="81" t="str">
        <f>IF($B431="","",  VLOOKUP($B431, Propostas!$B:$BE, 45, FALSE) )</f>
        <v/>
      </c>
      <c r="U431" s="32" t="str">
        <f>IF($B431="","",  VLOOKUP($B431, Propostas!$B:$BE, 37, FALSE) )</f>
        <v/>
      </c>
      <c r="V431" s="13" t="str">
        <f>IF($B431="","",  VLOOKUP($B431, Propostas!$B:$BE, 50, FALSE) )</f>
        <v/>
      </c>
      <c r="W431" s="13" t="str">
        <f>IF($B431="","",  VLOOKUP($B431, Propostas!$B:$BE, 51, FALSE) )</f>
        <v/>
      </c>
      <c r="X431" s="13" t="str">
        <f>IF($B431="","",  VLOOKUP($B431, Propostas!$B:$BE, 52, FALSE) )</f>
        <v/>
      </c>
      <c r="Y431" s="13" t="str">
        <f>IF($B431="","",  VLOOKUP($B431, Propostas!$B:$BE, 36, FALSE) )</f>
        <v/>
      </c>
      <c r="Z431" s="13" t="str">
        <f>IF($B431="","",  VLOOKUP($F431, VW_PROJETO!B:C, 2, FALSE) )</f>
        <v/>
      </c>
    </row>
    <row r="432" spans="2:26" x14ac:dyDescent="0.2">
      <c r="B432" s="2"/>
      <c r="C432" s="4" t="str">
        <f>IF($B432="","",  VLOOKUP($B432, Propostas!$B:$BE, 33, FALSE) )</f>
        <v/>
      </c>
      <c r="D432" s="4" t="str">
        <f>IF($B432="","",  VLOOKUP($B432, Propostas!$B:$BE, 34, FALSE) )</f>
        <v/>
      </c>
      <c r="E432" s="4" t="str">
        <f>IF($B432="","",  VLOOKUP($B432, Propostas!$B:$BE, 35, FALSE) )</f>
        <v/>
      </c>
      <c r="F432" s="4" t="str">
        <f>IF($B432="","",  VLOOKUP($B432, Propostas!$B:$BE, 2, FALSE) )</f>
        <v/>
      </c>
      <c r="G432" s="4" t="str">
        <f>IF($B432="","",  VLOOKUP($B432, Propostas!$B:$BE, 3, FALSE) )</f>
        <v/>
      </c>
      <c r="H432" s="4" t="str">
        <f>IF($B432="","",  VLOOKUP($B432, Propostas!$B:$BE, 4, FALSE) )</f>
        <v/>
      </c>
      <c r="I432" s="4" t="str">
        <f>IF($B432="","",  VLOOKUP($B432, Propostas!$B:$BE, 38, FALSE) )</f>
        <v/>
      </c>
      <c r="J432" s="13" t="str">
        <f>IF($B432="","",IF($C432="SIM", "&lt; INFRRAESTRUTURA &gt;", VLOOKUP($B432,Propostas!$B:$BE,41,FALSE)))</f>
        <v/>
      </c>
      <c r="K432" s="10" t="str">
        <f>IF($B432="","",  VLOOKUP($B432, Propostas!$B:$BE, 40, FALSE) )</f>
        <v/>
      </c>
      <c r="L432" s="10" t="str">
        <f>IF($B432="","",IF(VLOOKUP($B432,Propostas!$B:$BE,21,FALSE)=1,"B",IF(VLOOKUP($B432,Propostas!$B:$BE,21,FALSE)=2,"E","N")))</f>
        <v/>
      </c>
      <c r="M432" s="32" t="str">
        <f>IF($B432 = "", "",  VLOOKUP($B432, Propostas!$B:$BE, 46, FALSE) )</f>
        <v/>
      </c>
      <c r="N432" s="32" t="str">
        <f>IF($B432 = "", "",  VLOOKUP($B432, Propostas!$B:$BE, 47, FALSE) )</f>
        <v/>
      </c>
      <c r="O432" s="13" t="str">
        <f>IF($B432="","",IF($C432="SIM", "INFRAESTRUTURA", VLOOKUP($B432, Propostas!$B:$BE,42,FALSE)))</f>
        <v/>
      </c>
      <c r="P432" s="32" t="str">
        <f>IF($B432 = "", "",  VLOOKUP($B432, Propostas!$B:$BE, 49, FALSE) )</f>
        <v/>
      </c>
      <c r="Q432" s="13" t="str">
        <f>IF($B432="","",  VLOOKUP($B432, Propostas!$B:$BE, 39, FALSE) )</f>
        <v/>
      </c>
      <c r="R432" s="81" t="str">
        <f>IF($B432="","",  VLOOKUP($B432, Propostas!$B:$BE, 43, FALSE) )</f>
        <v/>
      </c>
      <c r="S432" s="81" t="str">
        <f>IF($B432="","",  VLOOKUP($B432, Propostas!$B:$BE, 44, FALSE) )</f>
        <v/>
      </c>
      <c r="T432" s="81" t="str">
        <f>IF($B432="","",  VLOOKUP($B432, Propostas!$B:$BE, 45, FALSE) )</f>
        <v/>
      </c>
      <c r="U432" s="32" t="str">
        <f>IF($B432="","",  VLOOKUP($B432, Propostas!$B:$BE, 37, FALSE) )</f>
        <v/>
      </c>
      <c r="V432" s="13" t="str">
        <f>IF($B432="","",  VLOOKUP($B432, Propostas!$B:$BE, 50, FALSE) )</f>
        <v/>
      </c>
      <c r="W432" s="13" t="str">
        <f>IF($B432="","",  VLOOKUP($B432, Propostas!$B:$BE, 51, FALSE) )</f>
        <v/>
      </c>
      <c r="X432" s="13" t="str">
        <f>IF($B432="","",  VLOOKUP($B432, Propostas!$B:$BE, 52, FALSE) )</f>
        <v/>
      </c>
      <c r="Y432" s="13" t="str">
        <f>IF($B432="","",  VLOOKUP($B432, Propostas!$B:$BE, 36, FALSE) )</f>
        <v/>
      </c>
      <c r="Z432" s="13" t="str">
        <f>IF($B432="","",  VLOOKUP($F432, VW_PROJETO!B:C, 2, FALSE) )</f>
        <v/>
      </c>
    </row>
    <row r="433" spans="2:26" x14ac:dyDescent="0.2">
      <c r="B433" s="2"/>
      <c r="C433" s="4" t="str">
        <f>IF($B433="","",  VLOOKUP($B433, Propostas!$B:$BE, 33, FALSE) )</f>
        <v/>
      </c>
      <c r="D433" s="4" t="str">
        <f>IF($B433="","",  VLOOKUP($B433, Propostas!$B:$BE, 34, FALSE) )</f>
        <v/>
      </c>
      <c r="E433" s="4" t="str">
        <f>IF($B433="","",  VLOOKUP($B433, Propostas!$B:$BE, 35, FALSE) )</f>
        <v/>
      </c>
      <c r="F433" s="4" t="str">
        <f>IF($B433="","",  VLOOKUP($B433, Propostas!$B:$BE, 2, FALSE) )</f>
        <v/>
      </c>
      <c r="G433" s="4" t="str">
        <f>IF($B433="","",  VLOOKUP($B433, Propostas!$B:$BE, 3, FALSE) )</f>
        <v/>
      </c>
      <c r="H433" s="4" t="str">
        <f>IF($B433="","",  VLOOKUP($B433, Propostas!$B:$BE, 4, FALSE) )</f>
        <v/>
      </c>
      <c r="I433" s="4" t="str">
        <f>IF($B433="","",  VLOOKUP($B433, Propostas!$B:$BE, 38, FALSE) )</f>
        <v/>
      </c>
      <c r="J433" s="13" t="str">
        <f>IF($B433="","",IF($C433="SIM", "&lt; INFRRAESTRUTURA &gt;", VLOOKUP($B433,Propostas!$B:$BE,41,FALSE)))</f>
        <v/>
      </c>
      <c r="K433" s="10" t="str">
        <f>IF($B433="","",  VLOOKUP($B433, Propostas!$B:$BE, 40, FALSE) )</f>
        <v/>
      </c>
      <c r="L433" s="10" t="str">
        <f>IF($B433="","",IF(VLOOKUP($B433,Propostas!$B:$BE,21,FALSE)=1,"B",IF(VLOOKUP($B433,Propostas!$B:$BE,21,FALSE)=2,"E","N")))</f>
        <v/>
      </c>
      <c r="M433" s="32" t="str">
        <f>IF($B433 = "", "",  VLOOKUP($B433, Propostas!$B:$BE, 46, FALSE) )</f>
        <v/>
      </c>
      <c r="N433" s="32" t="str">
        <f>IF($B433 = "", "",  VLOOKUP($B433, Propostas!$B:$BE, 47, FALSE) )</f>
        <v/>
      </c>
      <c r="O433" s="13" t="str">
        <f>IF($B433="","",IF($C433="SIM", "INFRAESTRUTURA", VLOOKUP($B433, Propostas!$B:$BE,42,FALSE)))</f>
        <v/>
      </c>
      <c r="P433" s="32" t="str">
        <f>IF($B433 = "", "",  VLOOKUP($B433, Propostas!$B:$BE, 49, FALSE) )</f>
        <v/>
      </c>
      <c r="Q433" s="13" t="str">
        <f>IF($B433="","",  VLOOKUP($B433, Propostas!$B:$BE, 39, FALSE) )</f>
        <v/>
      </c>
      <c r="R433" s="81" t="str">
        <f>IF($B433="","",  VLOOKUP($B433, Propostas!$B:$BE, 43, FALSE) )</f>
        <v/>
      </c>
      <c r="S433" s="81" t="str">
        <f>IF($B433="","",  VLOOKUP($B433, Propostas!$B:$BE, 44, FALSE) )</f>
        <v/>
      </c>
      <c r="T433" s="81" t="str">
        <f>IF($B433="","",  VLOOKUP($B433, Propostas!$B:$BE, 45, FALSE) )</f>
        <v/>
      </c>
      <c r="U433" s="32" t="str">
        <f>IF($B433="","",  VLOOKUP($B433, Propostas!$B:$BE, 37, FALSE) )</f>
        <v/>
      </c>
      <c r="V433" s="13" t="str">
        <f>IF($B433="","",  VLOOKUP($B433, Propostas!$B:$BE, 50, FALSE) )</f>
        <v/>
      </c>
      <c r="W433" s="13" t="str">
        <f>IF($B433="","",  VLOOKUP($B433, Propostas!$B:$BE, 51, FALSE) )</f>
        <v/>
      </c>
      <c r="X433" s="13" t="str">
        <f>IF($B433="","",  VLOOKUP($B433, Propostas!$B:$BE, 52, FALSE) )</f>
        <v/>
      </c>
      <c r="Y433" s="13" t="str">
        <f>IF($B433="","",  VLOOKUP($B433, Propostas!$B:$BE, 36, FALSE) )</f>
        <v/>
      </c>
      <c r="Z433" s="13" t="str">
        <f>IF($B433="","",  VLOOKUP($F433, VW_PROJETO!B:C, 2, FALSE) )</f>
        <v/>
      </c>
    </row>
    <row r="434" spans="2:26" x14ac:dyDescent="0.2">
      <c r="B434" s="2"/>
      <c r="C434" s="4" t="str">
        <f>IF($B434="","",  VLOOKUP($B434, Propostas!$B:$BE, 33, FALSE) )</f>
        <v/>
      </c>
      <c r="D434" s="4" t="str">
        <f>IF($B434="","",  VLOOKUP($B434, Propostas!$B:$BE, 34, FALSE) )</f>
        <v/>
      </c>
      <c r="E434" s="4" t="str">
        <f>IF($B434="","",  VLOOKUP($B434, Propostas!$B:$BE, 35, FALSE) )</f>
        <v/>
      </c>
      <c r="F434" s="4" t="str">
        <f>IF($B434="","",  VLOOKUP($B434, Propostas!$B:$BE, 2, FALSE) )</f>
        <v/>
      </c>
      <c r="G434" s="4" t="str">
        <f>IF($B434="","",  VLOOKUP($B434, Propostas!$B:$BE, 3, FALSE) )</f>
        <v/>
      </c>
      <c r="H434" s="4" t="str">
        <f>IF($B434="","",  VLOOKUP($B434, Propostas!$B:$BE, 4, FALSE) )</f>
        <v/>
      </c>
      <c r="I434" s="4" t="str">
        <f>IF($B434="","",  VLOOKUP($B434, Propostas!$B:$BE, 38, FALSE) )</f>
        <v/>
      </c>
      <c r="J434" s="13" t="str">
        <f>IF($B434="","",IF($C434="SIM", "&lt; INFRRAESTRUTURA &gt;", VLOOKUP($B434,Propostas!$B:$BE,41,FALSE)))</f>
        <v/>
      </c>
      <c r="K434" s="10" t="str">
        <f>IF($B434="","",  VLOOKUP($B434, Propostas!$B:$BE, 40, FALSE) )</f>
        <v/>
      </c>
      <c r="L434" s="10" t="str">
        <f>IF($B434="","",IF(VLOOKUP($B434,Propostas!$B:$BE,21,FALSE)=1,"B",IF(VLOOKUP($B434,Propostas!$B:$BE,21,FALSE)=2,"E","N")))</f>
        <v/>
      </c>
      <c r="M434" s="32" t="str">
        <f>IF($B434 = "", "",  VLOOKUP($B434, Propostas!$B:$BE, 46, FALSE) )</f>
        <v/>
      </c>
      <c r="N434" s="32" t="str">
        <f>IF($B434 = "", "",  VLOOKUP($B434, Propostas!$B:$BE, 47, FALSE) )</f>
        <v/>
      </c>
      <c r="O434" s="13" t="str">
        <f>IF($B434="","",IF($C434="SIM", "INFRAESTRUTURA", VLOOKUP($B434, Propostas!$B:$BE,42,FALSE)))</f>
        <v/>
      </c>
      <c r="P434" s="32" t="str">
        <f>IF($B434 = "", "",  VLOOKUP($B434, Propostas!$B:$BE, 49, FALSE) )</f>
        <v/>
      </c>
      <c r="Q434" s="13" t="str">
        <f>IF($B434="","",  VLOOKUP($B434, Propostas!$B:$BE, 39, FALSE) )</f>
        <v/>
      </c>
      <c r="R434" s="81" t="str">
        <f>IF($B434="","",  VLOOKUP($B434, Propostas!$B:$BE, 43, FALSE) )</f>
        <v/>
      </c>
      <c r="S434" s="81" t="str">
        <f>IF($B434="","",  VLOOKUP($B434, Propostas!$B:$BE, 44, FALSE) )</f>
        <v/>
      </c>
      <c r="T434" s="81" t="str">
        <f>IF($B434="","",  VLOOKUP($B434, Propostas!$B:$BE, 45, FALSE) )</f>
        <v/>
      </c>
      <c r="U434" s="32" t="str">
        <f>IF($B434="","",  VLOOKUP($B434, Propostas!$B:$BE, 37, FALSE) )</f>
        <v/>
      </c>
      <c r="V434" s="13" t="str">
        <f>IF($B434="","",  VLOOKUP($B434, Propostas!$B:$BE, 50, FALSE) )</f>
        <v/>
      </c>
      <c r="W434" s="13" t="str">
        <f>IF($B434="","",  VLOOKUP($B434, Propostas!$B:$BE, 51, FALSE) )</f>
        <v/>
      </c>
      <c r="X434" s="13" t="str">
        <f>IF($B434="","",  VLOOKUP($B434, Propostas!$B:$BE, 52, FALSE) )</f>
        <v/>
      </c>
      <c r="Y434" s="13" t="str">
        <f>IF($B434="","",  VLOOKUP($B434, Propostas!$B:$BE, 36, FALSE) )</f>
        <v/>
      </c>
      <c r="Z434" s="13" t="str">
        <f>IF($B434="","",  VLOOKUP($F434, VW_PROJETO!B:C, 2, FALSE) )</f>
        <v/>
      </c>
    </row>
    <row r="435" spans="2:26" x14ac:dyDescent="0.2">
      <c r="B435" s="2"/>
      <c r="C435" s="4" t="str">
        <f>IF($B435="","",  VLOOKUP($B435, Propostas!$B:$BE, 33, FALSE) )</f>
        <v/>
      </c>
      <c r="D435" s="4" t="str">
        <f>IF($B435="","",  VLOOKUP($B435, Propostas!$B:$BE, 34, FALSE) )</f>
        <v/>
      </c>
      <c r="E435" s="4" t="str">
        <f>IF($B435="","",  VLOOKUP($B435, Propostas!$B:$BE, 35, FALSE) )</f>
        <v/>
      </c>
      <c r="F435" s="4" t="str">
        <f>IF($B435="","",  VLOOKUP($B435, Propostas!$B:$BE, 2, FALSE) )</f>
        <v/>
      </c>
      <c r="G435" s="4" t="str">
        <f>IF($B435="","",  VLOOKUP($B435, Propostas!$B:$BE, 3, FALSE) )</f>
        <v/>
      </c>
      <c r="H435" s="4" t="str">
        <f>IF($B435="","",  VLOOKUP($B435, Propostas!$B:$BE, 4, FALSE) )</f>
        <v/>
      </c>
      <c r="I435" s="4" t="str">
        <f>IF($B435="","",  VLOOKUP($B435, Propostas!$B:$BE, 38, FALSE) )</f>
        <v/>
      </c>
      <c r="J435" s="13" t="str">
        <f>IF($B435="","",IF($C435="SIM", "&lt; INFRRAESTRUTURA &gt;", VLOOKUP($B435,Propostas!$B:$BE,41,FALSE)))</f>
        <v/>
      </c>
      <c r="K435" s="10" t="str">
        <f>IF($B435="","",  VLOOKUP($B435, Propostas!$B:$BE, 40, FALSE) )</f>
        <v/>
      </c>
      <c r="L435" s="10" t="str">
        <f>IF($B435="","",IF(VLOOKUP($B435,Propostas!$B:$BE,21,FALSE)=1,"B",IF(VLOOKUP($B435,Propostas!$B:$BE,21,FALSE)=2,"E","N")))</f>
        <v/>
      </c>
      <c r="M435" s="32" t="str">
        <f>IF($B435 = "", "",  VLOOKUP($B435, Propostas!$B:$BE, 46, FALSE) )</f>
        <v/>
      </c>
      <c r="N435" s="32" t="str">
        <f>IF($B435 = "", "",  VLOOKUP($B435, Propostas!$B:$BE, 47, FALSE) )</f>
        <v/>
      </c>
      <c r="O435" s="13" t="str">
        <f>IF($B435="","",IF($C435="SIM", "INFRAESTRUTURA", VLOOKUP($B435, Propostas!$B:$BE,42,FALSE)))</f>
        <v/>
      </c>
      <c r="P435" s="32" t="str">
        <f>IF($B435 = "", "",  VLOOKUP($B435, Propostas!$B:$BE, 49, FALSE) )</f>
        <v/>
      </c>
      <c r="Q435" s="13" t="str">
        <f>IF($B435="","",  VLOOKUP($B435, Propostas!$B:$BE, 39, FALSE) )</f>
        <v/>
      </c>
      <c r="R435" s="81" t="str">
        <f>IF($B435="","",  VLOOKUP($B435, Propostas!$B:$BE, 43, FALSE) )</f>
        <v/>
      </c>
      <c r="S435" s="81" t="str">
        <f>IF($B435="","",  VLOOKUP($B435, Propostas!$B:$BE, 44, FALSE) )</f>
        <v/>
      </c>
      <c r="T435" s="81" t="str">
        <f>IF($B435="","",  VLOOKUP($B435, Propostas!$B:$BE, 45, FALSE) )</f>
        <v/>
      </c>
      <c r="U435" s="32" t="str">
        <f>IF($B435="","",  VLOOKUP($B435, Propostas!$B:$BE, 37, FALSE) )</f>
        <v/>
      </c>
      <c r="V435" s="13" t="str">
        <f>IF($B435="","",  VLOOKUP($B435, Propostas!$B:$BE, 50, FALSE) )</f>
        <v/>
      </c>
      <c r="W435" s="13" t="str">
        <f>IF($B435="","",  VLOOKUP($B435, Propostas!$B:$BE, 51, FALSE) )</f>
        <v/>
      </c>
      <c r="X435" s="13" t="str">
        <f>IF($B435="","",  VLOOKUP($B435, Propostas!$B:$BE, 52, FALSE) )</f>
        <v/>
      </c>
      <c r="Y435" s="13" t="str">
        <f>IF($B435="","",  VLOOKUP($B435, Propostas!$B:$BE, 36, FALSE) )</f>
        <v/>
      </c>
      <c r="Z435" s="13" t="str">
        <f>IF($B435="","",  VLOOKUP($F435, VW_PROJETO!B:C, 2, FALSE) )</f>
        <v/>
      </c>
    </row>
    <row r="436" spans="2:26" x14ac:dyDescent="0.2">
      <c r="B436" s="2"/>
      <c r="C436" s="4" t="str">
        <f>IF($B436="","",  VLOOKUP($B436, Propostas!$B:$BE, 33, FALSE) )</f>
        <v/>
      </c>
      <c r="D436" s="4" t="str">
        <f>IF($B436="","",  VLOOKUP($B436, Propostas!$B:$BE, 34, FALSE) )</f>
        <v/>
      </c>
      <c r="E436" s="4" t="str">
        <f>IF($B436="","",  VLOOKUP($B436, Propostas!$B:$BE, 35, FALSE) )</f>
        <v/>
      </c>
      <c r="F436" s="4" t="str">
        <f>IF($B436="","",  VLOOKUP($B436, Propostas!$B:$BE, 2, FALSE) )</f>
        <v/>
      </c>
      <c r="G436" s="4" t="str">
        <f>IF($B436="","",  VLOOKUP($B436, Propostas!$B:$BE, 3, FALSE) )</f>
        <v/>
      </c>
      <c r="H436" s="4" t="str">
        <f>IF($B436="","",  VLOOKUP($B436, Propostas!$B:$BE, 4, FALSE) )</f>
        <v/>
      </c>
      <c r="I436" s="4" t="str">
        <f>IF($B436="","",  VLOOKUP($B436, Propostas!$B:$BE, 38, FALSE) )</f>
        <v/>
      </c>
      <c r="J436" s="13" t="str">
        <f>IF($B436="","",IF($C436="SIM", "&lt; INFRRAESTRUTURA &gt;", VLOOKUP($B436,Propostas!$B:$BE,41,FALSE)))</f>
        <v/>
      </c>
      <c r="K436" s="10" t="str">
        <f>IF($B436="","",  VLOOKUP($B436, Propostas!$B:$BE, 40, FALSE) )</f>
        <v/>
      </c>
      <c r="L436" s="10" t="str">
        <f>IF($B436="","",IF(VLOOKUP($B436,Propostas!$B:$BE,21,FALSE)=1,"B",IF(VLOOKUP($B436,Propostas!$B:$BE,21,FALSE)=2,"E","N")))</f>
        <v/>
      </c>
      <c r="M436" s="32" t="str">
        <f>IF($B436 = "", "",  VLOOKUP($B436, Propostas!$B:$BE, 46, FALSE) )</f>
        <v/>
      </c>
      <c r="N436" s="32" t="str">
        <f>IF($B436 = "", "",  VLOOKUP($B436, Propostas!$B:$BE, 47, FALSE) )</f>
        <v/>
      </c>
      <c r="O436" s="13" t="str">
        <f>IF($B436="","",IF($C436="SIM", "INFRAESTRUTURA", VLOOKUP($B436, Propostas!$B:$BE,42,FALSE)))</f>
        <v/>
      </c>
      <c r="P436" s="32" t="str">
        <f>IF($B436 = "", "",  VLOOKUP($B436, Propostas!$B:$BE, 49, FALSE) )</f>
        <v/>
      </c>
      <c r="Q436" s="13" t="str">
        <f>IF($B436="","",  VLOOKUP($B436, Propostas!$B:$BE, 39, FALSE) )</f>
        <v/>
      </c>
      <c r="R436" s="81" t="str">
        <f>IF($B436="","",  VLOOKUP($B436, Propostas!$B:$BE, 43, FALSE) )</f>
        <v/>
      </c>
      <c r="S436" s="81" t="str">
        <f>IF($B436="","",  VLOOKUP($B436, Propostas!$B:$BE, 44, FALSE) )</f>
        <v/>
      </c>
      <c r="T436" s="81" t="str">
        <f>IF($B436="","",  VLOOKUP($B436, Propostas!$B:$BE, 45, FALSE) )</f>
        <v/>
      </c>
      <c r="U436" s="32" t="str">
        <f>IF($B436="","",  VLOOKUP($B436, Propostas!$B:$BE, 37, FALSE) )</f>
        <v/>
      </c>
      <c r="V436" s="13" t="str">
        <f>IF($B436="","",  VLOOKUP($B436, Propostas!$B:$BE, 50, FALSE) )</f>
        <v/>
      </c>
      <c r="W436" s="13" t="str">
        <f>IF($B436="","",  VLOOKUP($B436, Propostas!$B:$BE, 51, FALSE) )</f>
        <v/>
      </c>
      <c r="X436" s="13" t="str">
        <f>IF($B436="","",  VLOOKUP($B436, Propostas!$B:$BE, 52, FALSE) )</f>
        <v/>
      </c>
      <c r="Y436" s="13" t="str">
        <f>IF($B436="","",  VLOOKUP($B436, Propostas!$B:$BE, 36, FALSE) )</f>
        <v/>
      </c>
      <c r="Z436" s="13" t="str">
        <f>IF($B436="","",  VLOOKUP($F436, VW_PROJETO!B:C, 2, FALSE) )</f>
        <v/>
      </c>
    </row>
    <row r="437" spans="2:26" x14ac:dyDescent="0.2">
      <c r="B437" s="2"/>
      <c r="C437" s="4" t="str">
        <f>IF($B437="","",  VLOOKUP($B437, Propostas!$B:$BE, 33, FALSE) )</f>
        <v/>
      </c>
      <c r="D437" s="4" t="str">
        <f>IF($B437="","",  VLOOKUP($B437, Propostas!$B:$BE, 34, FALSE) )</f>
        <v/>
      </c>
      <c r="E437" s="4" t="str">
        <f>IF($B437="","",  VLOOKUP($B437, Propostas!$B:$BE, 35, FALSE) )</f>
        <v/>
      </c>
      <c r="F437" s="4" t="str">
        <f>IF($B437="","",  VLOOKUP($B437, Propostas!$B:$BE, 2, FALSE) )</f>
        <v/>
      </c>
      <c r="G437" s="4" t="str">
        <f>IF($B437="","",  VLOOKUP($B437, Propostas!$B:$BE, 3, FALSE) )</f>
        <v/>
      </c>
      <c r="H437" s="4" t="str">
        <f>IF($B437="","",  VLOOKUP($B437, Propostas!$B:$BE, 4, FALSE) )</f>
        <v/>
      </c>
      <c r="I437" s="4" t="str">
        <f>IF($B437="","",  VLOOKUP($B437, Propostas!$B:$BE, 38, FALSE) )</f>
        <v/>
      </c>
      <c r="J437" s="13" t="str">
        <f>IF($B437="","",IF($C437="SIM", "&lt; INFRRAESTRUTURA &gt;", VLOOKUP($B437,Propostas!$B:$BE,41,FALSE)))</f>
        <v/>
      </c>
      <c r="K437" s="10" t="str">
        <f>IF($B437="","",  VLOOKUP($B437, Propostas!$B:$BE, 40, FALSE) )</f>
        <v/>
      </c>
      <c r="L437" s="10" t="str">
        <f>IF($B437="","",IF(VLOOKUP($B437,Propostas!$B:$BE,21,FALSE)=1,"B",IF(VLOOKUP($B437,Propostas!$B:$BE,21,FALSE)=2,"E","N")))</f>
        <v/>
      </c>
      <c r="M437" s="32" t="str">
        <f>IF($B437 = "", "",  VLOOKUP($B437, Propostas!$B:$BE, 46, FALSE) )</f>
        <v/>
      </c>
      <c r="N437" s="32" t="str">
        <f>IF($B437 = "", "",  VLOOKUP($B437, Propostas!$B:$BE, 47, FALSE) )</f>
        <v/>
      </c>
      <c r="O437" s="13" t="str">
        <f>IF($B437="","",IF($C437="SIM", "INFRAESTRUTURA", VLOOKUP($B437, Propostas!$B:$BE,42,FALSE)))</f>
        <v/>
      </c>
      <c r="P437" s="32" t="str">
        <f>IF($B437 = "", "",  VLOOKUP($B437, Propostas!$B:$BE, 49, FALSE) )</f>
        <v/>
      </c>
      <c r="Q437" s="13" t="str">
        <f>IF($B437="","",  VLOOKUP($B437, Propostas!$B:$BE, 39, FALSE) )</f>
        <v/>
      </c>
      <c r="R437" s="81" t="str">
        <f>IF($B437="","",  VLOOKUP($B437, Propostas!$B:$BE, 43, FALSE) )</f>
        <v/>
      </c>
      <c r="S437" s="81" t="str">
        <f>IF($B437="","",  VLOOKUP($B437, Propostas!$B:$BE, 44, FALSE) )</f>
        <v/>
      </c>
      <c r="T437" s="81" t="str">
        <f>IF($B437="","",  VLOOKUP($B437, Propostas!$B:$BE, 45, FALSE) )</f>
        <v/>
      </c>
      <c r="U437" s="32" t="str">
        <f>IF($B437="","",  VLOOKUP($B437, Propostas!$B:$BE, 37, FALSE) )</f>
        <v/>
      </c>
      <c r="V437" s="13" t="str">
        <f>IF($B437="","",  VLOOKUP($B437, Propostas!$B:$BE, 50, FALSE) )</f>
        <v/>
      </c>
      <c r="W437" s="13" t="str">
        <f>IF($B437="","",  VLOOKUP($B437, Propostas!$B:$BE, 51, FALSE) )</f>
        <v/>
      </c>
      <c r="X437" s="13" t="str">
        <f>IF($B437="","",  VLOOKUP($B437, Propostas!$B:$BE, 52, FALSE) )</f>
        <v/>
      </c>
      <c r="Y437" s="13" t="str">
        <f>IF($B437="","",  VLOOKUP($B437, Propostas!$B:$BE, 36, FALSE) )</f>
        <v/>
      </c>
      <c r="Z437" s="13" t="str">
        <f>IF($B437="","",  VLOOKUP($F437, VW_PROJETO!B:C, 2, FALSE) )</f>
        <v/>
      </c>
    </row>
    <row r="438" spans="2:26" x14ac:dyDescent="0.2">
      <c r="B438" s="2"/>
      <c r="C438" s="4" t="str">
        <f>IF($B438="","",  VLOOKUP($B438, Propostas!$B:$BE, 33, FALSE) )</f>
        <v/>
      </c>
      <c r="D438" s="4" t="str">
        <f>IF($B438="","",  VLOOKUP($B438, Propostas!$B:$BE, 34, FALSE) )</f>
        <v/>
      </c>
      <c r="E438" s="4" t="str">
        <f>IF($B438="","",  VLOOKUP($B438, Propostas!$B:$BE, 35, FALSE) )</f>
        <v/>
      </c>
      <c r="F438" s="4" t="str">
        <f>IF($B438="","",  VLOOKUP($B438, Propostas!$B:$BE, 2, FALSE) )</f>
        <v/>
      </c>
      <c r="G438" s="4" t="str">
        <f>IF($B438="","",  VLOOKUP($B438, Propostas!$B:$BE, 3, FALSE) )</f>
        <v/>
      </c>
      <c r="H438" s="4" t="str">
        <f>IF($B438="","",  VLOOKUP($B438, Propostas!$B:$BE, 4, FALSE) )</f>
        <v/>
      </c>
      <c r="I438" s="4" t="str">
        <f>IF($B438="","",  VLOOKUP($B438, Propostas!$B:$BE, 38, FALSE) )</f>
        <v/>
      </c>
      <c r="J438" s="13" t="str">
        <f>IF($B438="","",IF($C438="SIM", "&lt; INFRRAESTRUTURA &gt;", VLOOKUP($B438,Propostas!$B:$BE,41,FALSE)))</f>
        <v/>
      </c>
      <c r="K438" s="10" t="str">
        <f>IF($B438="","",  VLOOKUP($B438, Propostas!$B:$BE, 40, FALSE) )</f>
        <v/>
      </c>
      <c r="L438" s="10" t="str">
        <f>IF($B438="","",IF(VLOOKUP($B438,Propostas!$B:$BE,21,FALSE)=1,"B",IF(VLOOKUP($B438,Propostas!$B:$BE,21,FALSE)=2,"E","N")))</f>
        <v/>
      </c>
      <c r="M438" s="32" t="str">
        <f>IF($B438 = "", "",  VLOOKUP($B438, Propostas!$B:$BE, 46, FALSE) )</f>
        <v/>
      </c>
      <c r="N438" s="32" t="str">
        <f>IF($B438 = "", "",  VLOOKUP($B438, Propostas!$B:$BE, 47, FALSE) )</f>
        <v/>
      </c>
      <c r="O438" s="13" t="str">
        <f>IF($B438="","",IF($C438="SIM", "INFRAESTRUTURA", VLOOKUP($B438, Propostas!$B:$BE,42,FALSE)))</f>
        <v/>
      </c>
      <c r="P438" s="32" t="str">
        <f>IF($B438 = "", "",  VLOOKUP($B438, Propostas!$B:$BE, 49, FALSE) )</f>
        <v/>
      </c>
      <c r="Q438" s="13" t="str">
        <f>IF($B438="","",  VLOOKUP($B438, Propostas!$B:$BE, 39, FALSE) )</f>
        <v/>
      </c>
      <c r="R438" s="81" t="str">
        <f>IF($B438="","",  VLOOKUP($B438, Propostas!$B:$BE, 43, FALSE) )</f>
        <v/>
      </c>
      <c r="S438" s="81" t="str">
        <f>IF($B438="","",  VLOOKUP($B438, Propostas!$B:$BE, 44, FALSE) )</f>
        <v/>
      </c>
      <c r="T438" s="81" t="str">
        <f>IF($B438="","",  VLOOKUP($B438, Propostas!$B:$BE, 45, FALSE) )</f>
        <v/>
      </c>
      <c r="U438" s="32" t="str">
        <f>IF($B438="","",  VLOOKUP($B438, Propostas!$B:$BE, 37, FALSE) )</f>
        <v/>
      </c>
      <c r="V438" s="13" t="str">
        <f>IF($B438="","",  VLOOKUP($B438, Propostas!$B:$BE, 50, FALSE) )</f>
        <v/>
      </c>
      <c r="W438" s="13" t="str">
        <f>IF($B438="","",  VLOOKUP($B438, Propostas!$B:$BE, 51, FALSE) )</f>
        <v/>
      </c>
      <c r="X438" s="13" t="str">
        <f>IF($B438="","",  VLOOKUP($B438, Propostas!$B:$BE, 52, FALSE) )</f>
        <v/>
      </c>
      <c r="Y438" s="13" t="str">
        <f>IF($B438="","",  VLOOKUP($B438, Propostas!$B:$BE, 36, FALSE) )</f>
        <v/>
      </c>
      <c r="Z438" s="13" t="str">
        <f>IF($B438="","",  VLOOKUP($F438, VW_PROJETO!B:C, 2, FALSE) )</f>
        <v/>
      </c>
    </row>
    <row r="439" spans="2:26" x14ac:dyDescent="0.2">
      <c r="B439" s="2"/>
      <c r="C439" s="4" t="str">
        <f>IF($B439="","",  VLOOKUP($B439, Propostas!$B:$BE, 33, FALSE) )</f>
        <v/>
      </c>
      <c r="D439" s="4" t="str">
        <f>IF($B439="","",  VLOOKUP($B439, Propostas!$B:$BE, 34, FALSE) )</f>
        <v/>
      </c>
      <c r="E439" s="4" t="str">
        <f>IF($B439="","",  VLOOKUP($B439, Propostas!$B:$BE, 35, FALSE) )</f>
        <v/>
      </c>
      <c r="F439" s="4" t="str">
        <f>IF($B439="","",  VLOOKUP($B439, Propostas!$B:$BE, 2, FALSE) )</f>
        <v/>
      </c>
      <c r="G439" s="4" t="str">
        <f>IF($B439="","",  VLOOKUP($B439, Propostas!$B:$BE, 3, FALSE) )</f>
        <v/>
      </c>
      <c r="H439" s="4" t="str">
        <f>IF($B439="","",  VLOOKUP($B439, Propostas!$B:$BE, 4, FALSE) )</f>
        <v/>
      </c>
      <c r="I439" s="4" t="str">
        <f>IF($B439="","",  VLOOKUP($B439, Propostas!$B:$BE, 38, FALSE) )</f>
        <v/>
      </c>
      <c r="J439" s="13" t="str">
        <f>IF($B439="","",IF($C439="SIM", "&lt; INFRRAESTRUTURA &gt;", VLOOKUP($B439,Propostas!$B:$BE,41,FALSE)))</f>
        <v/>
      </c>
      <c r="K439" s="10" t="str">
        <f>IF($B439="","",  VLOOKUP($B439, Propostas!$B:$BE, 40, FALSE) )</f>
        <v/>
      </c>
      <c r="L439" s="10" t="str">
        <f>IF($B439="","",IF(VLOOKUP($B439,Propostas!$B:$BE,21,FALSE)=1,"B",IF(VLOOKUP($B439,Propostas!$B:$BE,21,FALSE)=2,"E","N")))</f>
        <v/>
      </c>
      <c r="M439" s="32" t="str">
        <f>IF($B439 = "", "",  VLOOKUP($B439, Propostas!$B:$BE, 46, FALSE) )</f>
        <v/>
      </c>
      <c r="N439" s="32" t="str">
        <f>IF($B439 = "", "",  VLOOKUP($B439, Propostas!$B:$BE, 47, FALSE) )</f>
        <v/>
      </c>
      <c r="O439" s="13" t="str">
        <f>IF($B439="","",IF($C439="SIM", "INFRAESTRUTURA", VLOOKUP($B439, Propostas!$B:$BE,42,FALSE)))</f>
        <v/>
      </c>
      <c r="P439" s="32" t="str">
        <f>IF($B439 = "", "",  VLOOKUP($B439, Propostas!$B:$BE, 49, FALSE) )</f>
        <v/>
      </c>
      <c r="Q439" s="13" t="str">
        <f>IF($B439="","",  VLOOKUP($B439, Propostas!$B:$BE, 39, FALSE) )</f>
        <v/>
      </c>
      <c r="R439" s="81" t="str">
        <f>IF($B439="","",  VLOOKUP($B439, Propostas!$B:$BE, 43, FALSE) )</f>
        <v/>
      </c>
      <c r="S439" s="81" t="str">
        <f>IF($B439="","",  VLOOKUP($B439, Propostas!$B:$BE, 44, FALSE) )</f>
        <v/>
      </c>
      <c r="T439" s="81" t="str">
        <f>IF($B439="","",  VLOOKUP($B439, Propostas!$B:$BE, 45, FALSE) )</f>
        <v/>
      </c>
      <c r="U439" s="32" t="str">
        <f>IF($B439="","",  VLOOKUP($B439, Propostas!$B:$BE, 37, FALSE) )</f>
        <v/>
      </c>
      <c r="V439" s="13" t="str">
        <f>IF($B439="","",  VLOOKUP($B439, Propostas!$B:$BE, 50, FALSE) )</f>
        <v/>
      </c>
      <c r="W439" s="13" t="str">
        <f>IF($B439="","",  VLOOKUP($B439, Propostas!$B:$BE, 51, FALSE) )</f>
        <v/>
      </c>
      <c r="X439" s="13" t="str">
        <f>IF($B439="","",  VLOOKUP($B439, Propostas!$B:$BE, 52, FALSE) )</f>
        <v/>
      </c>
      <c r="Y439" s="13" t="str">
        <f>IF($B439="","",  VLOOKUP($B439, Propostas!$B:$BE, 36, FALSE) )</f>
        <v/>
      </c>
      <c r="Z439" s="13" t="str">
        <f>IF($B439="","",  VLOOKUP($F439, VW_PROJETO!B:C, 2, FALSE) )</f>
        <v/>
      </c>
    </row>
    <row r="440" spans="2:26" x14ac:dyDescent="0.2">
      <c r="B440" s="2"/>
      <c r="C440" s="4" t="str">
        <f>IF($B440="","",  VLOOKUP($B440, Propostas!$B:$BE, 33, FALSE) )</f>
        <v/>
      </c>
      <c r="D440" s="4" t="str">
        <f>IF($B440="","",  VLOOKUP($B440, Propostas!$B:$BE, 34, FALSE) )</f>
        <v/>
      </c>
      <c r="E440" s="4" t="str">
        <f>IF($B440="","",  VLOOKUP($B440, Propostas!$B:$BE, 35, FALSE) )</f>
        <v/>
      </c>
      <c r="F440" s="4" t="str">
        <f>IF($B440="","",  VLOOKUP($B440, Propostas!$B:$BE, 2, FALSE) )</f>
        <v/>
      </c>
      <c r="G440" s="4" t="str">
        <f>IF($B440="","",  VLOOKUP($B440, Propostas!$B:$BE, 3, FALSE) )</f>
        <v/>
      </c>
      <c r="H440" s="4" t="str">
        <f>IF($B440="","",  VLOOKUP($B440, Propostas!$B:$BE, 4, FALSE) )</f>
        <v/>
      </c>
      <c r="I440" s="4" t="str">
        <f>IF($B440="","",  VLOOKUP($B440, Propostas!$B:$BE, 38, FALSE) )</f>
        <v/>
      </c>
      <c r="J440" s="13" t="str">
        <f>IF($B440="","",IF($C440="SIM", "&lt; INFRRAESTRUTURA &gt;", VLOOKUP($B440,Propostas!$B:$BE,41,FALSE)))</f>
        <v/>
      </c>
      <c r="K440" s="10" t="str">
        <f>IF($B440="","",  VLOOKUP($B440, Propostas!$B:$BE, 40, FALSE) )</f>
        <v/>
      </c>
      <c r="L440" s="10" t="str">
        <f>IF($B440="","",IF(VLOOKUP($B440,Propostas!$B:$BE,21,FALSE)=1,"B",IF(VLOOKUP($B440,Propostas!$B:$BE,21,FALSE)=2,"E","N")))</f>
        <v/>
      </c>
      <c r="M440" s="32" t="str">
        <f>IF($B440 = "", "",  VLOOKUP($B440, Propostas!$B:$BE, 46, FALSE) )</f>
        <v/>
      </c>
      <c r="N440" s="32" t="str">
        <f>IF($B440 = "", "",  VLOOKUP($B440, Propostas!$B:$BE, 47, FALSE) )</f>
        <v/>
      </c>
      <c r="O440" s="13" t="str">
        <f>IF($B440="","",IF($C440="SIM", "INFRAESTRUTURA", VLOOKUP($B440, Propostas!$B:$BE,42,FALSE)))</f>
        <v/>
      </c>
      <c r="P440" s="32" t="str">
        <f>IF($B440 = "", "",  VLOOKUP($B440, Propostas!$B:$BE, 49, FALSE) )</f>
        <v/>
      </c>
      <c r="Q440" s="13" t="str">
        <f>IF($B440="","",  VLOOKUP($B440, Propostas!$B:$BE, 39, FALSE) )</f>
        <v/>
      </c>
      <c r="R440" s="81" t="str">
        <f>IF($B440="","",  VLOOKUP($B440, Propostas!$B:$BE, 43, FALSE) )</f>
        <v/>
      </c>
      <c r="S440" s="81" t="str">
        <f>IF($B440="","",  VLOOKUP($B440, Propostas!$B:$BE, 44, FALSE) )</f>
        <v/>
      </c>
      <c r="T440" s="81" t="str">
        <f>IF($B440="","",  VLOOKUP($B440, Propostas!$B:$BE, 45, FALSE) )</f>
        <v/>
      </c>
      <c r="U440" s="32" t="str">
        <f>IF($B440="","",  VLOOKUP($B440, Propostas!$B:$BE, 37, FALSE) )</f>
        <v/>
      </c>
      <c r="V440" s="13" t="str">
        <f>IF($B440="","",  VLOOKUP($B440, Propostas!$B:$BE, 50, FALSE) )</f>
        <v/>
      </c>
      <c r="W440" s="13" t="str">
        <f>IF($B440="","",  VLOOKUP($B440, Propostas!$B:$BE, 51, FALSE) )</f>
        <v/>
      </c>
      <c r="X440" s="13" t="str">
        <f>IF($B440="","",  VLOOKUP($B440, Propostas!$B:$BE, 52, FALSE) )</f>
        <v/>
      </c>
      <c r="Y440" s="13" t="str">
        <f>IF($B440="","",  VLOOKUP($B440, Propostas!$B:$BE, 36, FALSE) )</f>
        <v/>
      </c>
      <c r="Z440" s="13" t="str">
        <f>IF($B440="","",  VLOOKUP($F440, VW_PROJETO!B:C, 2, FALSE) )</f>
        <v/>
      </c>
    </row>
    <row r="441" spans="2:26" x14ac:dyDescent="0.2">
      <c r="B441" s="2"/>
      <c r="C441" s="4" t="str">
        <f>IF($B441="","",  VLOOKUP($B441, Propostas!$B:$BE, 33, FALSE) )</f>
        <v/>
      </c>
      <c r="D441" s="4" t="str">
        <f>IF($B441="","",  VLOOKUP($B441, Propostas!$B:$BE, 34, FALSE) )</f>
        <v/>
      </c>
      <c r="E441" s="4" t="str">
        <f>IF($B441="","",  VLOOKUP($B441, Propostas!$B:$BE, 35, FALSE) )</f>
        <v/>
      </c>
      <c r="F441" s="4" t="str">
        <f>IF($B441="","",  VLOOKUP($B441, Propostas!$B:$BE, 2, FALSE) )</f>
        <v/>
      </c>
      <c r="G441" s="4" t="str">
        <f>IF($B441="","",  VLOOKUP($B441, Propostas!$B:$BE, 3, FALSE) )</f>
        <v/>
      </c>
      <c r="H441" s="4" t="str">
        <f>IF($B441="","",  VLOOKUP($B441, Propostas!$B:$BE, 4, FALSE) )</f>
        <v/>
      </c>
      <c r="I441" s="4" t="str">
        <f>IF($B441="","",  VLOOKUP($B441, Propostas!$B:$BE, 38, FALSE) )</f>
        <v/>
      </c>
      <c r="J441" s="13" t="str">
        <f>IF($B441="","",IF($C441="SIM", "&lt; INFRRAESTRUTURA &gt;", VLOOKUP($B441,Propostas!$B:$BE,41,FALSE)))</f>
        <v/>
      </c>
      <c r="K441" s="10" t="str">
        <f>IF($B441="","",  VLOOKUP($B441, Propostas!$B:$BE, 40, FALSE) )</f>
        <v/>
      </c>
      <c r="L441" s="10" t="str">
        <f>IF($B441="","",IF(VLOOKUP($B441,Propostas!$B:$BE,21,FALSE)=1,"B",IF(VLOOKUP($B441,Propostas!$B:$BE,21,FALSE)=2,"E","N")))</f>
        <v/>
      </c>
      <c r="M441" s="32" t="str">
        <f>IF($B441 = "", "",  VLOOKUP($B441, Propostas!$B:$BE, 46, FALSE) )</f>
        <v/>
      </c>
      <c r="N441" s="32" t="str">
        <f>IF($B441 = "", "",  VLOOKUP($B441, Propostas!$B:$BE, 47, FALSE) )</f>
        <v/>
      </c>
      <c r="O441" s="13" t="str">
        <f>IF($B441="","",IF($C441="SIM", "INFRAESTRUTURA", VLOOKUP($B441, Propostas!$B:$BE,42,FALSE)))</f>
        <v/>
      </c>
      <c r="P441" s="32" t="str">
        <f>IF($B441 = "", "",  VLOOKUP($B441, Propostas!$B:$BE, 49, FALSE) )</f>
        <v/>
      </c>
      <c r="Q441" s="13" t="str">
        <f>IF($B441="","",  VLOOKUP($B441, Propostas!$B:$BE, 39, FALSE) )</f>
        <v/>
      </c>
      <c r="R441" s="81" t="str">
        <f>IF($B441="","",  VLOOKUP($B441, Propostas!$B:$BE, 43, FALSE) )</f>
        <v/>
      </c>
      <c r="S441" s="81" t="str">
        <f>IF($B441="","",  VLOOKUP($B441, Propostas!$B:$BE, 44, FALSE) )</f>
        <v/>
      </c>
      <c r="T441" s="81" t="str">
        <f>IF($B441="","",  VLOOKUP($B441, Propostas!$B:$BE, 45, FALSE) )</f>
        <v/>
      </c>
      <c r="U441" s="32" t="str">
        <f>IF($B441="","",  VLOOKUP($B441, Propostas!$B:$BE, 37, FALSE) )</f>
        <v/>
      </c>
      <c r="V441" s="13" t="str">
        <f>IF($B441="","",  VLOOKUP($B441, Propostas!$B:$BE, 50, FALSE) )</f>
        <v/>
      </c>
      <c r="W441" s="13" t="str">
        <f>IF($B441="","",  VLOOKUP($B441, Propostas!$B:$BE, 51, FALSE) )</f>
        <v/>
      </c>
      <c r="X441" s="13" t="str">
        <f>IF($B441="","",  VLOOKUP($B441, Propostas!$B:$BE, 52, FALSE) )</f>
        <v/>
      </c>
      <c r="Y441" s="13" t="str">
        <f>IF($B441="","",  VLOOKUP($B441, Propostas!$B:$BE, 36, FALSE) )</f>
        <v/>
      </c>
      <c r="Z441" s="13" t="str">
        <f>IF($B441="","",  VLOOKUP($F441, VW_PROJETO!B:C, 2, FALSE) )</f>
        <v/>
      </c>
    </row>
    <row r="442" spans="2:26" x14ac:dyDescent="0.2">
      <c r="B442" s="2"/>
      <c r="C442" s="4" t="str">
        <f>IF($B442="","",  VLOOKUP($B442, Propostas!$B:$BE, 33, FALSE) )</f>
        <v/>
      </c>
      <c r="D442" s="4" t="str">
        <f>IF($B442="","",  VLOOKUP($B442, Propostas!$B:$BE, 34, FALSE) )</f>
        <v/>
      </c>
      <c r="E442" s="4" t="str">
        <f>IF($B442="","",  VLOOKUP($B442, Propostas!$B:$BE, 35, FALSE) )</f>
        <v/>
      </c>
      <c r="F442" s="4" t="str">
        <f>IF($B442="","",  VLOOKUP($B442, Propostas!$B:$BE, 2, FALSE) )</f>
        <v/>
      </c>
      <c r="G442" s="4" t="str">
        <f>IF($B442="","",  VLOOKUP($B442, Propostas!$B:$BE, 3, FALSE) )</f>
        <v/>
      </c>
      <c r="H442" s="4" t="str">
        <f>IF($B442="","",  VLOOKUP($B442, Propostas!$B:$BE, 4, FALSE) )</f>
        <v/>
      </c>
      <c r="I442" s="4" t="str">
        <f>IF($B442="","",  VLOOKUP($B442, Propostas!$B:$BE, 38, FALSE) )</f>
        <v/>
      </c>
      <c r="J442" s="13" t="str">
        <f>IF($B442="","",IF($C442="SIM", "&lt; INFRRAESTRUTURA &gt;", VLOOKUP($B442,Propostas!$B:$BE,41,FALSE)))</f>
        <v/>
      </c>
      <c r="K442" s="10" t="str">
        <f>IF($B442="","",  VLOOKUP($B442, Propostas!$B:$BE, 40, FALSE) )</f>
        <v/>
      </c>
      <c r="L442" s="10" t="str">
        <f>IF($B442="","",IF(VLOOKUP($B442,Propostas!$B:$BE,21,FALSE)=1,"B",IF(VLOOKUP($B442,Propostas!$B:$BE,21,FALSE)=2,"E","N")))</f>
        <v/>
      </c>
      <c r="M442" s="32" t="str">
        <f>IF($B442 = "", "",  VLOOKUP($B442, Propostas!$B:$BE, 46, FALSE) )</f>
        <v/>
      </c>
      <c r="N442" s="32" t="str">
        <f>IF($B442 = "", "",  VLOOKUP($B442, Propostas!$B:$BE, 47, FALSE) )</f>
        <v/>
      </c>
      <c r="O442" s="13" t="str">
        <f>IF($B442="","",IF($C442="SIM", "INFRAESTRUTURA", VLOOKUP($B442, Propostas!$B:$BE,42,FALSE)))</f>
        <v/>
      </c>
      <c r="P442" s="32" t="str">
        <f>IF($B442 = "", "",  VLOOKUP($B442, Propostas!$B:$BE, 49, FALSE) )</f>
        <v/>
      </c>
      <c r="Q442" s="13" t="str">
        <f>IF($B442="","",  VLOOKUP($B442, Propostas!$B:$BE, 39, FALSE) )</f>
        <v/>
      </c>
      <c r="R442" s="81" t="str">
        <f>IF($B442="","",  VLOOKUP($B442, Propostas!$B:$BE, 43, FALSE) )</f>
        <v/>
      </c>
      <c r="S442" s="81" t="str">
        <f>IF($B442="","",  VLOOKUP($B442, Propostas!$B:$BE, 44, FALSE) )</f>
        <v/>
      </c>
      <c r="T442" s="81" t="str">
        <f>IF($B442="","",  VLOOKUP($B442, Propostas!$B:$BE, 45, FALSE) )</f>
        <v/>
      </c>
      <c r="U442" s="32" t="str">
        <f>IF($B442="","",  VLOOKUP($B442, Propostas!$B:$BE, 37, FALSE) )</f>
        <v/>
      </c>
      <c r="V442" s="13" t="str">
        <f>IF($B442="","",  VLOOKUP($B442, Propostas!$B:$BE, 50, FALSE) )</f>
        <v/>
      </c>
      <c r="W442" s="13" t="str">
        <f>IF($B442="","",  VLOOKUP($B442, Propostas!$B:$BE, 51, FALSE) )</f>
        <v/>
      </c>
      <c r="X442" s="13" t="str">
        <f>IF($B442="","",  VLOOKUP($B442, Propostas!$B:$BE, 52, FALSE) )</f>
        <v/>
      </c>
      <c r="Y442" s="13" t="str">
        <f>IF($B442="","",  VLOOKUP($B442, Propostas!$B:$BE, 36, FALSE) )</f>
        <v/>
      </c>
      <c r="Z442" s="13" t="str">
        <f>IF($B442="","",  VLOOKUP($F442, VW_PROJETO!B:C, 2, FALSE) )</f>
        <v/>
      </c>
    </row>
    <row r="443" spans="2:26" x14ac:dyDescent="0.2">
      <c r="B443" s="2"/>
      <c r="C443" s="4" t="str">
        <f>IF($B443="","",  VLOOKUP($B443, Propostas!$B:$BE, 33, FALSE) )</f>
        <v/>
      </c>
      <c r="D443" s="4" t="str">
        <f>IF($B443="","",  VLOOKUP($B443, Propostas!$B:$BE, 34, FALSE) )</f>
        <v/>
      </c>
      <c r="E443" s="4" t="str">
        <f>IF($B443="","",  VLOOKUP($B443, Propostas!$B:$BE, 35, FALSE) )</f>
        <v/>
      </c>
      <c r="F443" s="4" t="str">
        <f>IF($B443="","",  VLOOKUP($B443, Propostas!$B:$BE, 2, FALSE) )</f>
        <v/>
      </c>
      <c r="G443" s="4" t="str">
        <f>IF($B443="","",  VLOOKUP($B443, Propostas!$B:$BE, 3, FALSE) )</f>
        <v/>
      </c>
      <c r="H443" s="4" t="str">
        <f>IF($B443="","",  VLOOKUP($B443, Propostas!$B:$BE, 4, FALSE) )</f>
        <v/>
      </c>
      <c r="I443" s="4" t="str">
        <f>IF($B443="","",  VLOOKUP($B443, Propostas!$B:$BE, 38, FALSE) )</f>
        <v/>
      </c>
      <c r="J443" s="13" t="str">
        <f>IF($B443="","",IF($C443="SIM", "&lt; INFRRAESTRUTURA &gt;", VLOOKUP($B443,Propostas!$B:$BE,41,FALSE)))</f>
        <v/>
      </c>
      <c r="K443" s="10" t="str">
        <f>IF($B443="","",  VLOOKUP($B443, Propostas!$B:$BE, 40, FALSE) )</f>
        <v/>
      </c>
      <c r="L443" s="10" t="str">
        <f>IF($B443="","",IF(VLOOKUP($B443,Propostas!$B:$BE,21,FALSE)=1,"B",IF(VLOOKUP($B443,Propostas!$B:$BE,21,FALSE)=2,"E","N")))</f>
        <v/>
      </c>
      <c r="M443" s="32" t="str">
        <f>IF($B443 = "", "",  VLOOKUP($B443, Propostas!$B:$BE, 46, FALSE) )</f>
        <v/>
      </c>
      <c r="N443" s="32" t="str">
        <f>IF($B443 = "", "",  VLOOKUP($B443, Propostas!$B:$BE, 47, FALSE) )</f>
        <v/>
      </c>
      <c r="O443" s="13" t="str">
        <f>IF($B443="","",IF($C443="SIM", "INFRAESTRUTURA", VLOOKUP($B443, Propostas!$B:$BE,42,FALSE)))</f>
        <v/>
      </c>
      <c r="P443" s="32" t="str">
        <f>IF($B443 = "", "",  VLOOKUP($B443, Propostas!$B:$BE, 49, FALSE) )</f>
        <v/>
      </c>
      <c r="Q443" s="13" t="str">
        <f>IF($B443="","",  VLOOKUP($B443, Propostas!$B:$BE, 39, FALSE) )</f>
        <v/>
      </c>
      <c r="R443" s="81" t="str">
        <f>IF($B443="","",  VLOOKUP($B443, Propostas!$B:$BE, 43, FALSE) )</f>
        <v/>
      </c>
      <c r="S443" s="81" t="str">
        <f>IF($B443="","",  VLOOKUP($B443, Propostas!$B:$BE, 44, FALSE) )</f>
        <v/>
      </c>
      <c r="T443" s="81" t="str">
        <f>IF($B443="","",  VLOOKUP($B443, Propostas!$B:$BE, 45, FALSE) )</f>
        <v/>
      </c>
      <c r="U443" s="32" t="str">
        <f>IF($B443="","",  VLOOKUP($B443, Propostas!$B:$BE, 37, FALSE) )</f>
        <v/>
      </c>
      <c r="V443" s="13" t="str">
        <f>IF($B443="","",  VLOOKUP($B443, Propostas!$B:$BE, 50, FALSE) )</f>
        <v/>
      </c>
      <c r="W443" s="13" t="str">
        <f>IF($B443="","",  VLOOKUP($B443, Propostas!$B:$BE, 51, FALSE) )</f>
        <v/>
      </c>
      <c r="X443" s="13" t="str">
        <f>IF($B443="","",  VLOOKUP($B443, Propostas!$B:$BE, 52, FALSE) )</f>
        <v/>
      </c>
      <c r="Y443" s="13" t="str">
        <f>IF($B443="","",  VLOOKUP($B443, Propostas!$B:$BE, 36, FALSE) )</f>
        <v/>
      </c>
      <c r="Z443" s="13" t="str">
        <f>IF($B443="","",  VLOOKUP($F443, VW_PROJETO!B:C, 2, FALSE) )</f>
        <v/>
      </c>
    </row>
    <row r="444" spans="2:26" x14ac:dyDescent="0.2">
      <c r="B444" s="2"/>
      <c r="C444" s="4" t="str">
        <f>IF($B444="","",  VLOOKUP($B444, Propostas!$B:$BE, 33, FALSE) )</f>
        <v/>
      </c>
      <c r="D444" s="4" t="str">
        <f>IF($B444="","",  VLOOKUP($B444, Propostas!$B:$BE, 34, FALSE) )</f>
        <v/>
      </c>
      <c r="E444" s="4" t="str">
        <f>IF($B444="","",  VLOOKUP($B444, Propostas!$B:$BE, 35, FALSE) )</f>
        <v/>
      </c>
      <c r="F444" s="4" t="str">
        <f>IF($B444="","",  VLOOKUP($B444, Propostas!$B:$BE, 2, FALSE) )</f>
        <v/>
      </c>
      <c r="G444" s="4" t="str">
        <f>IF($B444="","",  VLOOKUP($B444, Propostas!$B:$BE, 3, FALSE) )</f>
        <v/>
      </c>
      <c r="H444" s="4" t="str">
        <f>IF($B444="","",  VLOOKUP($B444, Propostas!$B:$BE, 4, FALSE) )</f>
        <v/>
      </c>
      <c r="I444" s="4" t="str">
        <f>IF($B444="","",  VLOOKUP($B444, Propostas!$B:$BE, 38, FALSE) )</f>
        <v/>
      </c>
      <c r="J444" s="13" t="str">
        <f>IF($B444="","",IF($C444="SIM", "&lt; INFRRAESTRUTURA &gt;", VLOOKUP($B444,Propostas!$B:$BE,41,FALSE)))</f>
        <v/>
      </c>
      <c r="K444" s="10" t="str">
        <f>IF($B444="","",  VLOOKUP($B444, Propostas!$B:$BE, 40, FALSE) )</f>
        <v/>
      </c>
      <c r="L444" s="10" t="str">
        <f>IF($B444="","",IF(VLOOKUP($B444,Propostas!$B:$BE,21,FALSE)=1,"B",IF(VLOOKUP($B444,Propostas!$B:$BE,21,FALSE)=2,"E","N")))</f>
        <v/>
      </c>
      <c r="M444" s="32" t="str">
        <f>IF($B444 = "", "",  VLOOKUP($B444, Propostas!$B:$BE, 46, FALSE) )</f>
        <v/>
      </c>
      <c r="N444" s="32" t="str">
        <f>IF($B444 = "", "",  VLOOKUP($B444, Propostas!$B:$BE, 47, FALSE) )</f>
        <v/>
      </c>
      <c r="O444" s="13" t="str">
        <f>IF($B444="","",IF($C444="SIM", "INFRAESTRUTURA", VLOOKUP($B444, Propostas!$B:$BE,42,FALSE)))</f>
        <v/>
      </c>
      <c r="P444" s="32" t="str">
        <f>IF($B444 = "", "",  VLOOKUP($B444, Propostas!$B:$BE, 49, FALSE) )</f>
        <v/>
      </c>
      <c r="Q444" s="13" t="str">
        <f>IF($B444="","",  VLOOKUP($B444, Propostas!$B:$BE, 39, FALSE) )</f>
        <v/>
      </c>
      <c r="R444" s="81" t="str">
        <f>IF($B444="","",  VLOOKUP($B444, Propostas!$B:$BE, 43, FALSE) )</f>
        <v/>
      </c>
      <c r="S444" s="81" t="str">
        <f>IF($B444="","",  VLOOKUP($B444, Propostas!$B:$BE, 44, FALSE) )</f>
        <v/>
      </c>
      <c r="T444" s="81" t="str">
        <f>IF($B444="","",  VLOOKUP($B444, Propostas!$B:$BE, 45, FALSE) )</f>
        <v/>
      </c>
      <c r="U444" s="32" t="str">
        <f>IF($B444="","",  VLOOKUP($B444, Propostas!$B:$BE, 37, FALSE) )</f>
        <v/>
      </c>
      <c r="V444" s="13" t="str">
        <f>IF($B444="","",  VLOOKUP($B444, Propostas!$B:$BE, 50, FALSE) )</f>
        <v/>
      </c>
      <c r="W444" s="13" t="str">
        <f>IF($B444="","",  VLOOKUP($B444, Propostas!$B:$BE, 51, FALSE) )</f>
        <v/>
      </c>
      <c r="X444" s="13" t="str">
        <f>IF($B444="","",  VLOOKUP($B444, Propostas!$B:$BE, 52, FALSE) )</f>
        <v/>
      </c>
      <c r="Y444" s="13" t="str">
        <f>IF($B444="","",  VLOOKUP($B444, Propostas!$B:$BE, 36, FALSE) )</f>
        <v/>
      </c>
      <c r="Z444" s="13" t="str">
        <f>IF($B444="","",  VLOOKUP($F444, VW_PROJETO!B:C, 2, FALSE) )</f>
        <v/>
      </c>
    </row>
    <row r="445" spans="2:26" x14ac:dyDescent="0.2">
      <c r="B445" s="2"/>
      <c r="C445" s="4" t="str">
        <f>IF($B445="","",  VLOOKUP($B445, Propostas!$B:$BE, 33, FALSE) )</f>
        <v/>
      </c>
      <c r="D445" s="4" t="str">
        <f>IF($B445="","",  VLOOKUP($B445, Propostas!$B:$BE, 34, FALSE) )</f>
        <v/>
      </c>
      <c r="E445" s="4" t="str">
        <f>IF($B445="","",  VLOOKUP($B445, Propostas!$B:$BE, 35, FALSE) )</f>
        <v/>
      </c>
      <c r="F445" s="4" t="str">
        <f>IF($B445="","",  VLOOKUP($B445, Propostas!$B:$BE, 2, FALSE) )</f>
        <v/>
      </c>
      <c r="G445" s="4" t="str">
        <f>IF($B445="","",  VLOOKUP($B445, Propostas!$B:$BE, 3, FALSE) )</f>
        <v/>
      </c>
      <c r="H445" s="4" t="str">
        <f>IF($B445="","",  VLOOKUP($B445, Propostas!$B:$BE, 4, FALSE) )</f>
        <v/>
      </c>
      <c r="I445" s="4" t="str">
        <f>IF($B445="","",  VLOOKUP($B445, Propostas!$B:$BE, 38, FALSE) )</f>
        <v/>
      </c>
      <c r="J445" s="13" t="str">
        <f>IF($B445="","",IF($C445="SIM", "&lt; INFRRAESTRUTURA &gt;", VLOOKUP($B445,Propostas!$B:$BE,41,FALSE)))</f>
        <v/>
      </c>
      <c r="K445" s="10" t="str">
        <f>IF($B445="","",  VLOOKUP($B445, Propostas!$B:$BE, 40, FALSE) )</f>
        <v/>
      </c>
      <c r="L445" s="10" t="str">
        <f>IF($B445="","",IF(VLOOKUP($B445,Propostas!$B:$BE,21,FALSE)=1,"B",IF(VLOOKUP($B445,Propostas!$B:$BE,21,FALSE)=2,"E","N")))</f>
        <v/>
      </c>
      <c r="M445" s="32" t="str">
        <f>IF($B445 = "", "",  VLOOKUP($B445, Propostas!$B:$BE, 46, FALSE) )</f>
        <v/>
      </c>
      <c r="N445" s="32" t="str">
        <f>IF($B445 = "", "",  VLOOKUP($B445, Propostas!$B:$BE, 47, FALSE) )</f>
        <v/>
      </c>
      <c r="O445" s="13" t="str">
        <f>IF($B445="","",IF($C445="SIM", "INFRAESTRUTURA", VLOOKUP($B445, Propostas!$B:$BE,42,FALSE)))</f>
        <v/>
      </c>
      <c r="P445" s="32" t="str">
        <f>IF($B445 = "", "",  VLOOKUP($B445, Propostas!$B:$BE, 49, FALSE) )</f>
        <v/>
      </c>
      <c r="Q445" s="13" t="str">
        <f>IF($B445="","",  VLOOKUP($B445, Propostas!$B:$BE, 39, FALSE) )</f>
        <v/>
      </c>
      <c r="R445" s="81" t="str">
        <f>IF($B445="","",  VLOOKUP($B445, Propostas!$B:$BE, 43, FALSE) )</f>
        <v/>
      </c>
      <c r="S445" s="81" t="str">
        <f>IF($B445="","",  VLOOKUP($B445, Propostas!$B:$BE, 44, FALSE) )</f>
        <v/>
      </c>
      <c r="T445" s="81" t="str">
        <f>IF($B445="","",  VLOOKUP($B445, Propostas!$B:$BE, 45, FALSE) )</f>
        <v/>
      </c>
      <c r="U445" s="32" t="str">
        <f>IF($B445="","",  VLOOKUP($B445, Propostas!$B:$BE, 37, FALSE) )</f>
        <v/>
      </c>
      <c r="V445" s="13" t="str">
        <f>IF($B445="","",  VLOOKUP($B445, Propostas!$B:$BE, 50, FALSE) )</f>
        <v/>
      </c>
      <c r="W445" s="13" t="str">
        <f>IF($B445="","",  VLOOKUP($B445, Propostas!$B:$BE, 51, FALSE) )</f>
        <v/>
      </c>
      <c r="X445" s="13" t="str">
        <f>IF($B445="","",  VLOOKUP($B445, Propostas!$B:$BE, 52, FALSE) )</f>
        <v/>
      </c>
      <c r="Y445" s="13" t="str">
        <f>IF($B445="","",  VLOOKUP($B445, Propostas!$B:$BE, 36, FALSE) )</f>
        <v/>
      </c>
      <c r="Z445" s="13" t="str">
        <f>IF($B445="","",  VLOOKUP($F445, VW_PROJETO!B:C, 2, FALSE) )</f>
        <v/>
      </c>
    </row>
    <row r="446" spans="2:26" x14ac:dyDescent="0.2">
      <c r="B446" s="2"/>
      <c r="C446" s="4" t="str">
        <f>IF($B446="","",  VLOOKUP($B446, Propostas!$B:$BE, 33, FALSE) )</f>
        <v/>
      </c>
      <c r="D446" s="4" t="str">
        <f>IF($B446="","",  VLOOKUP($B446, Propostas!$B:$BE, 34, FALSE) )</f>
        <v/>
      </c>
      <c r="E446" s="4" t="str">
        <f>IF($B446="","",  VLOOKUP($B446, Propostas!$B:$BE, 35, FALSE) )</f>
        <v/>
      </c>
      <c r="F446" s="4" t="str">
        <f>IF($B446="","",  VLOOKUP($B446, Propostas!$B:$BE, 2, FALSE) )</f>
        <v/>
      </c>
      <c r="G446" s="4" t="str">
        <f>IF($B446="","",  VLOOKUP($B446, Propostas!$B:$BE, 3, FALSE) )</f>
        <v/>
      </c>
      <c r="H446" s="4" t="str">
        <f>IF($B446="","",  VLOOKUP($B446, Propostas!$B:$BE, 4, FALSE) )</f>
        <v/>
      </c>
      <c r="I446" s="4" t="str">
        <f>IF($B446="","",  VLOOKUP($B446, Propostas!$B:$BE, 38, FALSE) )</f>
        <v/>
      </c>
      <c r="J446" s="13" t="str">
        <f>IF($B446="","",IF($C446="SIM", "&lt; INFRRAESTRUTURA &gt;", VLOOKUP($B446,Propostas!$B:$BE,41,FALSE)))</f>
        <v/>
      </c>
      <c r="K446" s="10" t="str">
        <f>IF($B446="","",  VLOOKUP($B446, Propostas!$B:$BE, 40, FALSE) )</f>
        <v/>
      </c>
      <c r="L446" s="10" t="str">
        <f>IF($B446="","",IF(VLOOKUP($B446,Propostas!$B:$BE,21,FALSE)=1,"B",IF(VLOOKUP($B446,Propostas!$B:$BE,21,FALSE)=2,"E","N")))</f>
        <v/>
      </c>
      <c r="M446" s="32" t="str">
        <f>IF($B446 = "", "",  VLOOKUP($B446, Propostas!$B:$BE, 46, FALSE) )</f>
        <v/>
      </c>
      <c r="N446" s="32" t="str">
        <f>IF($B446 = "", "",  VLOOKUP($B446, Propostas!$B:$BE, 47, FALSE) )</f>
        <v/>
      </c>
      <c r="O446" s="13" t="str">
        <f>IF($B446="","",IF($C446="SIM", "INFRAESTRUTURA", VLOOKUP($B446, Propostas!$B:$BE,42,FALSE)))</f>
        <v/>
      </c>
      <c r="P446" s="32" t="str">
        <f>IF($B446 = "", "",  VLOOKUP($B446, Propostas!$B:$BE, 49, FALSE) )</f>
        <v/>
      </c>
      <c r="Q446" s="13" t="str">
        <f>IF($B446="","",  VLOOKUP($B446, Propostas!$B:$BE, 39, FALSE) )</f>
        <v/>
      </c>
      <c r="R446" s="81" t="str">
        <f>IF($B446="","",  VLOOKUP($B446, Propostas!$B:$BE, 43, FALSE) )</f>
        <v/>
      </c>
      <c r="S446" s="81" t="str">
        <f>IF($B446="","",  VLOOKUP($B446, Propostas!$B:$BE, 44, FALSE) )</f>
        <v/>
      </c>
      <c r="T446" s="81" t="str">
        <f>IF($B446="","",  VLOOKUP($B446, Propostas!$B:$BE, 45, FALSE) )</f>
        <v/>
      </c>
      <c r="U446" s="32" t="str">
        <f>IF($B446="","",  VLOOKUP($B446, Propostas!$B:$BE, 37, FALSE) )</f>
        <v/>
      </c>
      <c r="V446" s="13" t="str">
        <f>IF($B446="","",  VLOOKUP($B446, Propostas!$B:$BE, 50, FALSE) )</f>
        <v/>
      </c>
      <c r="W446" s="13" t="str">
        <f>IF($B446="","",  VLOOKUP($B446, Propostas!$B:$BE, 51, FALSE) )</f>
        <v/>
      </c>
      <c r="X446" s="13" t="str">
        <f>IF($B446="","",  VLOOKUP($B446, Propostas!$B:$BE, 52, FALSE) )</f>
        <v/>
      </c>
      <c r="Y446" s="13" t="str">
        <f>IF($B446="","",  VLOOKUP($B446, Propostas!$B:$BE, 36, FALSE) )</f>
        <v/>
      </c>
      <c r="Z446" s="13" t="str">
        <f>IF($B446="","",  VLOOKUP($F446, VW_PROJETO!B:C, 2, FALSE) )</f>
        <v/>
      </c>
    </row>
    <row r="447" spans="2:26" x14ac:dyDescent="0.2">
      <c r="B447" s="2"/>
      <c r="C447" s="4" t="str">
        <f>IF($B447="","",  VLOOKUP($B447, Propostas!$B:$BE, 33, FALSE) )</f>
        <v/>
      </c>
      <c r="D447" s="4" t="str">
        <f>IF($B447="","",  VLOOKUP($B447, Propostas!$B:$BE, 34, FALSE) )</f>
        <v/>
      </c>
      <c r="E447" s="4" t="str">
        <f>IF($B447="","",  VLOOKUP($B447, Propostas!$B:$BE, 35, FALSE) )</f>
        <v/>
      </c>
      <c r="F447" s="4" t="str">
        <f>IF($B447="","",  VLOOKUP($B447, Propostas!$B:$BE, 2, FALSE) )</f>
        <v/>
      </c>
      <c r="G447" s="4" t="str">
        <f>IF($B447="","",  VLOOKUP($B447, Propostas!$B:$BE, 3, FALSE) )</f>
        <v/>
      </c>
      <c r="H447" s="4" t="str">
        <f>IF($B447="","",  VLOOKUP($B447, Propostas!$B:$BE, 4, FALSE) )</f>
        <v/>
      </c>
      <c r="I447" s="4" t="str">
        <f>IF($B447="","",  VLOOKUP($B447, Propostas!$B:$BE, 38, FALSE) )</f>
        <v/>
      </c>
      <c r="J447" s="13" t="str">
        <f>IF($B447="","",IF($C447="SIM", "&lt; INFRRAESTRUTURA &gt;", VLOOKUP($B447,Propostas!$B:$BE,41,FALSE)))</f>
        <v/>
      </c>
      <c r="K447" s="10" t="str">
        <f>IF($B447="","",  VLOOKUP($B447, Propostas!$B:$BE, 40, FALSE) )</f>
        <v/>
      </c>
      <c r="L447" s="10" t="str">
        <f>IF($B447="","",IF(VLOOKUP($B447,Propostas!$B:$BE,21,FALSE)=1,"B",IF(VLOOKUP($B447,Propostas!$B:$BE,21,FALSE)=2,"E","N")))</f>
        <v/>
      </c>
      <c r="M447" s="32" t="str">
        <f>IF($B447 = "", "",  VLOOKUP($B447, Propostas!$B:$BE, 46, FALSE) )</f>
        <v/>
      </c>
      <c r="N447" s="32" t="str">
        <f>IF($B447 = "", "",  VLOOKUP($B447, Propostas!$B:$BE, 47, FALSE) )</f>
        <v/>
      </c>
      <c r="O447" s="13" t="str">
        <f>IF($B447="","",IF($C447="SIM", "INFRAESTRUTURA", VLOOKUP($B447, Propostas!$B:$BE,42,FALSE)))</f>
        <v/>
      </c>
      <c r="P447" s="32" t="str">
        <f>IF($B447 = "", "",  VLOOKUP($B447, Propostas!$B:$BE, 49, FALSE) )</f>
        <v/>
      </c>
      <c r="Q447" s="13" t="str">
        <f>IF($B447="","",  VLOOKUP($B447, Propostas!$B:$BE, 39, FALSE) )</f>
        <v/>
      </c>
      <c r="R447" s="81" t="str">
        <f>IF($B447="","",  VLOOKUP($B447, Propostas!$B:$BE, 43, FALSE) )</f>
        <v/>
      </c>
      <c r="S447" s="81" t="str">
        <f>IF($B447="","",  VLOOKUP($B447, Propostas!$B:$BE, 44, FALSE) )</f>
        <v/>
      </c>
      <c r="T447" s="81" t="str">
        <f>IF($B447="","",  VLOOKUP($B447, Propostas!$B:$BE, 45, FALSE) )</f>
        <v/>
      </c>
      <c r="U447" s="32" t="str">
        <f>IF($B447="","",  VLOOKUP($B447, Propostas!$B:$BE, 37, FALSE) )</f>
        <v/>
      </c>
      <c r="V447" s="13" t="str">
        <f>IF($B447="","",  VLOOKUP($B447, Propostas!$B:$BE, 50, FALSE) )</f>
        <v/>
      </c>
      <c r="W447" s="13" t="str">
        <f>IF($B447="","",  VLOOKUP($B447, Propostas!$B:$BE, 51, FALSE) )</f>
        <v/>
      </c>
      <c r="X447" s="13" t="str">
        <f>IF($B447="","",  VLOOKUP($B447, Propostas!$B:$BE, 52, FALSE) )</f>
        <v/>
      </c>
      <c r="Y447" s="13" t="str">
        <f>IF($B447="","",  VLOOKUP($B447, Propostas!$B:$BE, 36, FALSE) )</f>
        <v/>
      </c>
      <c r="Z447" s="13" t="str">
        <f>IF($B447="","",  VLOOKUP($F447, VW_PROJETO!B:C, 2, FALSE) )</f>
        <v/>
      </c>
    </row>
    <row r="448" spans="2:26" x14ac:dyDescent="0.2">
      <c r="B448" s="2"/>
      <c r="C448" s="4" t="str">
        <f>IF($B448="","",  VLOOKUP($B448, Propostas!$B:$BE, 33, FALSE) )</f>
        <v/>
      </c>
      <c r="D448" s="4" t="str">
        <f>IF($B448="","",  VLOOKUP($B448, Propostas!$B:$BE, 34, FALSE) )</f>
        <v/>
      </c>
      <c r="E448" s="4" t="str">
        <f>IF($B448="","",  VLOOKUP($B448, Propostas!$B:$BE, 35, FALSE) )</f>
        <v/>
      </c>
      <c r="F448" s="4" t="str">
        <f>IF($B448="","",  VLOOKUP($B448, Propostas!$B:$BE, 2, FALSE) )</f>
        <v/>
      </c>
      <c r="G448" s="4" t="str">
        <f>IF($B448="","",  VLOOKUP($B448, Propostas!$B:$BE, 3, FALSE) )</f>
        <v/>
      </c>
      <c r="H448" s="4" t="str">
        <f>IF($B448="","",  VLOOKUP($B448, Propostas!$B:$BE, 4, FALSE) )</f>
        <v/>
      </c>
      <c r="I448" s="4" t="str">
        <f>IF($B448="","",  VLOOKUP($B448, Propostas!$B:$BE, 38, FALSE) )</f>
        <v/>
      </c>
      <c r="J448" s="13" t="str">
        <f>IF($B448="","",IF($C448="SIM", "&lt; INFRRAESTRUTURA &gt;", VLOOKUP($B448,Propostas!$B:$BE,41,FALSE)))</f>
        <v/>
      </c>
      <c r="K448" s="10" t="str">
        <f>IF($B448="","",  VLOOKUP($B448, Propostas!$B:$BE, 40, FALSE) )</f>
        <v/>
      </c>
      <c r="L448" s="10" t="str">
        <f>IF($B448="","",IF(VLOOKUP($B448,Propostas!$B:$BE,21,FALSE)=1,"B",IF(VLOOKUP($B448,Propostas!$B:$BE,21,FALSE)=2,"E","N")))</f>
        <v/>
      </c>
      <c r="M448" s="32" t="str">
        <f>IF($B448 = "", "",  VLOOKUP($B448, Propostas!$B:$BE, 46, FALSE) )</f>
        <v/>
      </c>
      <c r="N448" s="32" t="str">
        <f>IF($B448 = "", "",  VLOOKUP($B448, Propostas!$B:$BE, 47, FALSE) )</f>
        <v/>
      </c>
      <c r="O448" s="13" t="str">
        <f>IF($B448="","",IF($C448="SIM", "INFRAESTRUTURA", VLOOKUP($B448, Propostas!$B:$BE,42,FALSE)))</f>
        <v/>
      </c>
      <c r="P448" s="32" t="str">
        <f>IF($B448 = "", "",  VLOOKUP($B448, Propostas!$B:$BE, 49, FALSE) )</f>
        <v/>
      </c>
      <c r="Q448" s="13" t="str">
        <f>IF($B448="","",  VLOOKUP($B448, Propostas!$B:$BE, 39, FALSE) )</f>
        <v/>
      </c>
      <c r="R448" s="81" t="str">
        <f>IF($B448="","",  VLOOKUP($B448, Propostas!$B:$BE, 43, FALSE) )</f>
        <v/>
      </c>
      <c r="S448" s="81" t="str">
        <f>IF($B448="","",  VLOOKUP($B448, Propostas!$B:$BE, 44, FALSE) )</f>
        <v/>
      </c>
      <c r="T448" s="81" t="str">
        <f>IF($B448="","",  VLOOKUP($B448, Propostas!$B:$BE, 45, FALSE) )</f>
        <v/>
      </c>
      <c r="U448" s="32" t="str">
        <f>IF($B448="","",  VLOOKUP($B448, Propostas!$B:$BE, 37, FALSE) )</f>
        <v/>
      </c>
      <c r="V448" s="13" t="str">
        <f>IF($B448="","",  VLOOKUP($B448, Propostas!$B:$BE, 50, FALSE) )</f>
        <v/>
      </c>
      <c r="W448" s="13" t="str">
        <f>IF($B448="","",  VLOOKUP($B448, Propostas!$B:$BE, 51, FALSE) )</f>
        <v/>
      </c>
      <c r="X448" s="13" t="str">
        <f>IF($B448="","",  VLOOKUP($B448, Propostas!$B:$BE, 52, FALSE) )</f>
        <v/>
      </c>
      <c r="Y448" s="13" t="str">
        <f>IF($B448="","",  VLOOKUP($B448, Propostas!$B:$BE, 36, FALSE) )</f>
        <v/>
      </c>
      <c r="Z448" s="13" t="str">
        <f>IF($B448="","",  VLOOKUP($F448, VW_PROJETO!B:C, 2, FALSE) )</f>
        <v/>
      </c>
    </row>
    <row r="449" spans="2:26" x14ac:dyDescent="0.2">
      <c r="B449" s="2"/>
      <c r="C449" s="4" t="str">
        <f>IF($B449="","",  VLOOKUP($B449, Propostas!$B:$BE, 33, FALSE) )</f>
        <v/>
      </c>
      <c r="D449" s="4" t="str">
        <f>IF($B449="","",  VLOOKUP($B449, Propostas!$B:$BE, 34, FALSE) )</f>
        <v/>
      </c>
      <c r="E449" s="4" t="str">
        <f>IF($B449="","",  VLOOKUP($B449, Propostas!$B:$BE, 35, FALSE) )</f>
        <v/>
      </c>
      <c r="F449" s="4" t="str">
        <f>IF($B449="","",  VLOOKUP($B449, Propostas!$B:$BE, 2, FALSE) )</f>
        <v/>
      </c>
      <c r="G449" s="4" t="str">
        <f>IF($B449="","",  VLOOKUP($B449, Propostas!$B:$BE, 3, FALSE) )</f>
        <v/>
      </c>
      <c r="H449" s="4" t="str">
        <f>IF($B449="","",  VLOOKUP($B449, Propostas!$B:$BE, 4, FALSE) )</f>
        <v/>
      </c>
      <c r="I449" s="4" t="str">
        <f>IF($B449="","",  VLOOKUP($B449, Propostas!$B:$BE, 38, FALSE) )</f>
        <v/>
      </c>
      <c r="J449" s="13" t="str">
        <f>IF($B449="","",IF($C449="SIM", "&lt; INFRRAESTRUTURA &gt;", VLOOKUP($B449,Propostas!$B:$BE,41,FALSE)))</f>
        <v/>
      </c>
      <c r="K449" s="10" t="str">
        <f>IF($B449="","",  VLOOKUP($B449, Propostas!$B:$BE, 40, FALSE) )</f>
        <v/>
      </c>
      <c r="L449" s="10" t="str">
        <f>IF($B449="","",IF(VLOOKUP($B449,Propostas!$B:$BE,21,FALSE)=1,"B",IF(VLOOKUP($B449,Propostas!$B:$BE,21,FALSE)=2,"E","N")))</f>
        <v/>
      </c>
      <c r="M449" s="32" t="str">
        <f>IF($B449 = "", "",  VLOOKUP($B449, Propostas!$B:$BE, 46, FALSE) )</f>
        <v/>
      </c>
      <c r="N449" s="32" t="str">
        <f>IF($B449 = "", "",  VLOOKUP($B449, Propostas!$B:$BE, 47, FALSE) )</f>
        <v/>
      </c>
      <c r="O449" s="13" t="str">
        <f>IF($B449="","",IF($C449="SIM", "INFRAESTRUTURA", VLOOKUP($B449, Propostas!$B:$BE,42,FALSE)))</f>
        <v/>
      </c>
      <c r="P449" s="32" t="str">
        <f>IF($B449 = "", "",  VLOOKUP($B449, Propostas!$B:$BE, 49, FALSE) )</f>
        <v/>
      </c>
      <c r="Q449" s="13" t="str">
        <f>IF($B449="","",  VLOOKUP($B449, Propostas!$B:$BE, 39, FALSE) )</f>
        <v/>
      </c>
      <c r="R449" s="81" t="str">
        <f>IF($B449="","",  VLOOKUP($B449, Propostas!$B:$BE, 43, FALSE) )</f>
        <v/>
      </c>
      <c r="S449" s="81" t="str">
        <f>IF($B449="","",  VLOOKUP($B449, Propostas!$B:$BE, 44, FALSE) )</f>
        <v/>
      </c>
      <c r="T449" s="81" t="str">
        <f>IF($B449="","",  VLOOKUP($B449, Propostas!$B:$BE, 45, FALSE) )</f>
        <v/>
      </c>
      <c r="U449" s="32" t="str">
        <f>IF($B449="","",  VLOOKUP($B449, Propostas!$B:$BE, 37, FALSE) )</f>
        <v/>
      </c>
      <c r="V449" s="13" t="str">
        <f>IF($B449="","",  VLOOKUP($B449, Propostas!$B:$BE, 50, FALSE) )</f>
        <v/>
      </c>
      <c r="W449" s="13" t="str">
        <f>IF($B449="","",  VLOOKUP($B449, Propostas!$B:$BE, 51, FALSE) )</f>
        <v/>
      </c>
      <c r="X449" s="13" t="str">
        <f>IF($B449="","",  VLOOKUP($B449, Propostas!$B:$BE, 52, FALSE) )</f>
        <v/>
      </c>
      <c r="Y449" s="13" t="str">
        <f>IF($B449="","",  VLOOKUP($B449, Propostas!$B:$BE, 36, FALSE) )</f>
        <v/>
      </c>
      <c r="Z449" s="13" t="str">
        <f>IF($B449="","",  VLOOKUP($F449, VW_PROJETO!B:C, 2, FALSE) )</f>
        <v/>
      </c>
    </row>
    <row r="450" spans="2:26" x14ac:dyDescent="0.2">
      <c r="B450" s="2"/>
      <c r="C450" s="4" t="str">
        <f>IF($B450="","",  VLOOKUP($B450, Propostas!$B:$BE, 33, FALSE) )</f>
        <v/>
      </c>
      <c r="D450" s="4" t="str">
        <f>IF($B450="","",  VLOOKUP($B450, Propostas!$B:$BE, 34, FALSE) )</f>
        <v/>
      </c>
      <c r="E450" s="4" t="str">
        <f>IF($B450="","",  VLOOKUP($B450, Propostas!$B:$BE, 35, FALSE) )</f>
        <v/>
      </c>
      <c r="F450" s="4" t="str">
        <f>IF($B450="","",  VLOOKUP($B450, Propostas!$B:$BE, 2, FALSE) )</f>
        <v/>
      </c>
      <c r="G450" s="4" t="str">
        <f>IF($B450="","",  VLOOKUP($B450, Propostas!$B:$BE, 3, FALSE) )</f>
        <v/>
      </c>
      <c r="H450" s="4" t="str">
        <f>IF($B450="","",  VLOOKUP($B450, Propostas!$B:$BE, 4, FALSE) )</f>
        <v/>
      </c>
      <c r="I450" s="4" t="str">
        <f>IF($B450="","",  VLOOKUP($B450, Propostas!$B:$BE, 38, FALSE) )</f>
        <v/>
      </c>
      <c r="J450" s="13" t="str">
        <f>IF($B450="","",IF($C450="SIM", "&lt; INFRRAESTRUTURA &gt;", VLOOKUP($B450,Propostas!$B:$BE,41,FALSE)))</f>
        <v/>
      </c>
      <c r="K450" s="10" t="str">
        <f>IF($B450="","",  VLOOKUP($B450, Propostas!$B:$BE, 40, FALSE) )</f>
        <v/>
      </c>
      <c r="L450" s="10" t="str">
        <f>IF($B450="","",IF(VLOOKUP($B450,Propostas!$B:$BE,21,FALSE)=1,"B",IF(VLOOKUP($B450,Propostas!$B:$BE,21,FALSE)=2,"E","N")))</f>
        <v/>
      </c>
      <c r="M450" s="32" t="str">
        <f>IF($B450 = "", "",  VLOOKUP($B450, Propostas!$B:$BE, 46, FALSE) )</f>
        <v/>
      </c>
      <c r="N450" s="32" t="str">
        <f>IF($B450 = "", "",  VLOOKUP($B450, Propostas!$B:$BE, 47, FALSE) )</f>
        <v/>
      </c>
      <c r="O450" s="13" t="str">
        <f>IF($B450="","",IF($C450="SIM", "INFRAESTRUTURA", VLOOKUP($B450, Propostas!$B:$BE,42,FALSE)))</f>
        <v/>
      </c>
      <c r="P450" s="32" t="str">
        <f>IF($B450 = "", "",  VLOOKUP($B450, Propostas!$B:$BE, 49, FALSE) )</f>
        <v/>
      </c>
      <c r="Q450" s="13" t="str">
        <f>IF($B450="","",  VLOOKUP($B450, Propostas!$B:$BE, 39, FALSE) )</f>
        <v/>
      </c>
      <c r="R450" s="81" t="str">
        <f>IF($B450="","",  VLOOKUP($B450, Propostas!$B:$BE, 43, FALSE) )</f>
        <v/>
      </c>
      <c r="S450" s="81" t="str">
        <f>IF($B450="","",  VLOOKUP($B450, Propostas!$B:$BE, 44, FALSE) )</f>
        <v/>
      </c>
      <c r="T450" s="81" t="str">
        <f>IF($B450="","",  VLOOKUP($B450, Propostas!$B:$BE, 45, FALSE) )</f>
        <v/>
      </c>
      <c r="U450" s="32" t="str">
        <f>IF($B450="","",  VLOOKUP($B450, Propostas!$B:$BE, 37, FALSE) )</f>
        <v/>
      </c>
      <c r="V450" s="13" t="str">
        <f>IF($B450="","",  VLOOKUP($B450, Propostas!$B:$BE, 50, FALSE) )</f>
        <v/>
      </c>
      <c r="W450" s="13" t="str">
        <f>IF($B450="","",  VLOOKUP($B450, Propostas!$B:$BE, 51, FALSE) )</f>
        <v/>
      </c>
      <c r="X450" s="13" t="str">
        <f>IF($B450="","",  VLOOKUP($B450, Propostas!$B:$BE, 52, FALSE) )</f>
        <v/>
      </c>
      <c r="Y450" s="13" t="str">
        <f>IF($B450="","",  VLOOKUP($B450, Propostas!$B:$BE, 36, FALSE) )</f>
        <v/>
      </c>
      <c r="Z450" s="13" t="str">
        <f>IF($B450="","",  VLOOKUP($F450, VW_PROJETO!B:C, 2, FALSE) )</f>
        <v/>
      </c>
    </row>
    <row r="451" spans="2:26" x14ac:dyDescent="0.2">
      <c r="B451" s="2"/>
      <c r="C451" s="4" t="str">
        <f>IF($B451="","",  VLOOKUP($B451, Propostas!$B:$BE, 33, FALSE) )</f>
        <v/>
      </c>
      <c r="D451" s="4" t="str">
        <f>IF($B451="","",  VLOOKUP($B451, Propostas!$B:$BE, 34, FALSE) )</f>
        <v/>
      </c>
      <c r="E451" s="4" t="str">
        <f>IF($B451="","",  VLOOKUP($B451, Propostas!$B:$BE, 35, FALSE) )</f>
        <v/>
      </c>
      <c r="F451" s="4" t="str">
        <f>IF($B451="","",  VLOOKUP($B451, Propostas!$B:$BE, 2, FALSE) )</f>
        <v/>
      </c>
      <c r="G451" s="4" t="str">
        <f>IF($B451="","",  VLOOKUP($B451, Propostas!$B:$BE, 3, FALSE) )</f>
        <v/>
      </c>
      <c r="H451" s="4" t="str">
        <f>IF($B451="","",  VLOOKUP($B451, Propostas!$B:$BE, 4, FALSE) )</f>
        <v/>
      </c>
      <c r="I451" s="4" t="str">
        <f>IF($B451="","",  VLOOKUP($B451, Propostas!$B:$BE, 38, FALSE) )</f>
        <v/>
      </c>
      <c r="J451" s="13" t="str">
        <f>IF($B451="","",IF($C451="SIM", "&lt; INFRRAESTRUTURA &gt;", VLOOKUP($B451,Propostas!$B:$BE,41,FALSE)))</f>
        <v/>
      </c>
      <c r="K451" s="10" t="str">
        <f>IF($B451="","",  VLOOKUP($B451, Propostas!$B:$BE, 40, FALSE) )</f>
        <v/>
      </c>
      <c r="L451" s="10" t="str">
        <f>IF($B451="","",IF(VLOOKUP($B451,Propostas!$B:$BE,21,FALSE)=1,"B",IF(VLOOKUP($B451,Propostas!$B:$BE,21,FALSE)=2,"E","N")))</f>
        <v/>
      </c>
      <c r="M451" s="32" t="str">
        <f>IF($B451 = "", "",  VLOOKUP($B451, Propostas!$B:$BE, 46, FALSE) )</f>
        <v/>
      </c>
      <c r="N451" s="32" t="str">
        <f>IF($B451 = "", "",  VLOOKUP($B451, Propostas!$B:$BE, 47, FALSE) )</f>
        <v/>
      </c>
      <c r="O451" s="13" t="str">
        <f>IF($B451="","",IF($C451="SIM", "INFRAESTRUTURA", VLOOKUP($B451, Propostas!$B:$BE,42,FALSE)))</f>
        <v/>
      </c>
      <c r="P451" s="32" t="str">
        <f>IF($B451 = "", "",  VLOOKUP($B451, Propostas!$B:$BE, 49, FALSE) )</f>
        <v/>
      </c>
      <c r="Q451" s="13" t="str">
        <f>IF($B451="","",  VLOOKUP($B451, Propostas!$B:$BE, 39, FALSE) )</f>
        <v/>
      </c>
      <c r="R451" s="81" t="str">
        <f>IF($B451="","",  VLOOKUP($B451, Propostas!$B:$BE, 43, FALSE) )</f>
        <v/>
      </c>
      <c r="S451" s="81" t="str">
        <f>IF($B451="","",  VLOOKUP($B451, Propostas!$B:$BE, 44, FALSE) )</f>
        <v/>
      </c>
      <c r="T451" s="81" t="str">
        <f>IF($B451="","",  VLOOKUP($B451, Propostas!$B:$BE, 45, FALSE) )</f>
        <v/>
      </c>
      <c r="U451" s="32" t="str">
        <f>IF($B451="","",  VLOOKUP($B451, Propostas!$B:$BE, 37, FALSE) )</f>
        <v/>
      </c>
      <c r="V451" s="13" t="str">
        <f>IF($B451="","",  VLOOKUP($B451, Propostas!$B:$BE, 50, FALSE) )</f>
        <v/>
      </c>
      <c r="W451" s="13" t="str">
        <f>IF($B451="","",  VLOOKUP($B451, Propostas!$B:$BE, 51, FALSE) )</f>
        <v/>
      </c>
      <c r="X451" s="13" t="str">
        <f>IF($B451="","",  VLOOKUP($B451, Propostas!$B:$BE, 52, FALSE) )</f>
        <v/>
      </c>
      <c r="Y451" s="13" t="str">
        <f>IF($B451="","",  VLOOKUP($B451, Propostas!$B:$BE, 36, FALSE) )</f>
        <v/>
      </c>
      <c r="Z451" s="13" t="str">
        <f>IF($B451="","",  VLOOKUP($F451, VW_PROJETO!B:C, 2, FALSE) )</f>
        <v/>
      </c>
    </row>
    <row r="452" spans="2:26" x14ac:dyDescent="0.2">
      <c r="B452" s="2"/>
      <c r="C452" s="4" t="str">
        <f>IF($B452="","",  VLOOKUP($B452, Propostas!$B:$BE, 33, FALSE) )</f>
        <v/>
      </c>
      <c r="D452" s="4" t="str">
        <f>IF($B452="","",  VLOOKUP($B452, Propostas!$B:$BE, 34, FALSE) )</f>
        <v/>
      </c>
      <c r="E452" s="4" t="str">
        <f>IF($B452="","",  VLOOKUP($B452, Propostas!$B:$BE, 35, FALSE) )</f>
        <v/>
      </c>
      <c r="F452" s="4" t="str">
        <f>IF($B452="","",  VLOOKUP($B452, Propostas!$B:$BE, 2, FALSE) )</f>
        <v/>
      </c>
      <c r="G452" s="4" t="str">
        <f>IF($B452="","",  VLOOKUP($B452, Propostas!$B:$BE, 3, FALSE) )</f>
        <v/>
      </c>
      <c r="H452" s="4" t="str">
        <f>IF($B452="","",  VLOOKUP($B452, Propostas!$B:$BE, 4, FALSE) )</f>
        <v/>
      </c>
      <c r="I452" s="4" t="str">
        <f>IF($B452="","",  VLOOKUP($B452, Propostas!$B:$BE, 38, FALSE) )</f>
        <v/>
      </c>
      <c r="J452" s="13" t="str">
        <f>IF($B452="","",IF($C452="SIM", "&lt; INFRRAESTRUTURA &gt;", VLOOKUP($B452,Propostas!$B:$BE,41,FALSE)))</f>
        <v/>
      </c>
      <c r="K452" s="10" t="str">
        <f>IF($B452="","",  VLOOKUP($B452, Propostas!$B:$BE, 40, FALSE) )</f>
        <v/>
      </c>
      <c r="L452" s="10" t="str">
        <f>IF($B452="","",IF(VLOOKUP($B452,Propostas!$B:$BE,21,FALSE)=1,"B",IF(VLOOKUP($B452,Propostas!$B:$BE,21,FALSE)=2,"E","N")))</f>
        <v/>
      </c>
      <c r="M452" s="32" t="str">
        <f>IF($B452 = "", "",  VLOOKUP($B452, Propostas!$B:$BE, 46, FALSE) )</f>
        <v/>
      </c>
      <c r="N452" s="32" t="str">
        <f>IF($B452 = "", "",  VLOOKUP($B452, Propostas!$B:$BE, 47, FALSE) )</f>
        <v/>
      </c>
      <c r="O452" s="13" t="str">
        <f>IF($B452="","",IF($C452="SIM", "INFRAESTRUTURA", VLOOKUP($B452, Propostas!$B:$BE,42,FALSE)))</f>
        <v/>
      </c>
      <c r="P452" s="32" t="str">
        <f>IF($B452 = "", "",  VLOOKUP($B452, Propostas!$B:$BE, 49, FALSE) )</f>
        <v/>
      </c>
      <c r="Q452" s="13" t="str">
        <f>IF($B452="","",  VLOOKUP($B452, Propostas!$B:$BE, 39, FALSE) )</f>
        <v/>
      </c>
      <c r="R452" s="81" t="str">
        <f>IF($B452="","",  VLOOKUP($B452, Propostas!$B:$BE, 43, FALSE) )</f>
        <v/>
      </c>
      <c r="S452" s="81" t="str">
        <f>IF($B452="","",  VLOOKUP($B452, Propostas!$B:$BE, 44, FALSE) )</f>
        <v/>
      </c>
      <c r="T452" s="81" t="str">
        <f>IF($B452="","",  VLOOKUP($B452, Propostas!$B:$BE, 45, FALSE) )</f>
        <v/>
      </c>
      <c r="U452" s="32" t="str">
        <f>IF($B452="","",  VLOOKUP($B452, Propostas!$B:$BE, 37, FALSE) )</f>
        <v/>
      </c>
      <c r="V452" s="13" t="str">
        <f>IF($B452="","",  VLOOKUP($B452, Propostas!$B:$BE, 50, FALSE) )</f>
        <v/>
      </c>
      <c r="W452" s="13" t="str">
        <f>IF($B452="","",  VLOOKUP($B452, Propostas!$B:$BE, 51, FALSE) )</f>
        <v/>
      </c>
      <c r="X452" s="13" t="str">
        <f>IF($B452="","",  VLOOKUP($B452, Propostas!$B:$BE, 52, FALSE) )</f>
        <v/>
      </c>
      <c r="Y452" s="13" t="str">
        <f>IF($B452="","",  VLOOKUP($B452, Propostas!$B:$BE, 36, FALSE) )</f>
        <v/>
      </c>
      <c r="Z452" s="13" t="str">
        <f>IF($B452="","",  VLOOKUP($F452, VW_PROJETO!B:C, 2, FALSE) )</f>
        <v/>
      </c>
    </row>
    <row r="453" spans="2:26" x14ac:dyDescent="0.2">
      <c r="B453" s="2"/>
      <c r="C453" s="4" t="str">
        <f>IF($B453="","",  VLOOKUP($B453, Propostas!$B:$BE, 33, FALSE) )</f>
        <v/>
      </c>
      <c r="D453" s="4" t="str">
        <f>IF($B453="","",  VLOOKUP($B453, Propostas!$B:$BE, 34, FALSE) )</f>
        <v/>
      </c>
      <c r="E453" s="4" t="str">
        <f>IF($B453="","",  VLOOKUP($B453, Propostas!$B:$BE, 35, FALSE) )</f>
        <v/>
      </c>
      <c r="F453" s="4" t="str">
        <f>IF($B453="","",  VLOOKUP($B453, Propostas!$B:$BE, 2, FALSE) )</f>
        <v/>
      </c>
      <c r="G453" s="4" t="str">
        <f>IF($B453="","",  VLOOKUP($B453, Propostas!$B:$BE, 3, FALSE) )</f>
        <v/>
      </c>
      <c r="H453" s="4" t="str">
        <f>IF($B453="","",  VLOOKUP($B453, Propostas!$B:$BE, 4, FALSE) )</f>
        <v/>
      </c>
      <c r="I453" s="4" t="str">
        <f>IF($B453="","",  VLOOKUP($B453, Propostas!$B:$BE, 38, FALSE) )</f>
        <v/>
      </c>
      <c r="J453" s="13" t="str">
        <f>IF($B453="","",IF($C453="SIM", "&lt; INFRRAESTRUTURA &gt;", VLOOKUP($B453,Propostas!$B:$BE,41,FALSE)))</f>
        <v/>
      </c>
      <c r="K453" s="10" t="str">
        <f>IF($B453="","",  VLOOKUP($B453, Propostas!$B:$BE, 40, FALSE) )</f>
        <v/>
      </c>
      <c r="L453" s="10" t="str">
        <f>IF($B453="","",IF(VLOOKUP($B453,Propostas!$B:$BE,21,FALSE)=1,"B",IF(VLOOKUP($B453,Propostas!$B:$BE,21,FALSE)=2,"E","N")))</f>
        <v/>
      </c>
      <c r="M453" s="32" t="str">
        <f>IF($B453 = "", "",  VLOOKUP($B453, Propostas!$B:$BE, 46, FALSE) )</f>
        <v/>
      </c>
      <c r="N453" s="32" t="str">
        <f>IF($B453 = "", "",  VLOOKUP($B453, Propostas!$B:$BE, 47, FALSE) )</f>
        <v/>
      </c>
      <c r="O453" s="13" t="str">
        <f>IF($B453="","",IF($C453="SIM", "INFRAESTRUTURA", VLOOKUP($B453, Propostas!$B:$BE,42,FALSE)))</f>
        <v/>
      </c>
      <c r="P453" s="32" t="str">
        <f>IF($B453 = "", "",  VLOOKUP($B453, Propostas!$B:$BE, 49, FALSE) )</f>
        <v/>
      </c>
      <c r="Q453" s="13" t="str">
        <f>IF($B453="","",  VLOOKUP($B453, Propostas!$B:$BE, 39, FALSE) )</f>
        <v/>
      </c>
      <c r="R453" s="81" t="str">
        <f>IF($B453="","",  VLOOKUP($B453, Propostas!$B:$BE, 43, FALSE) )</f>
        <v/>
      </c>
      <c r="S453" s="81" t="str">
        <f>IF($B453="","",  VLOOKUP($B453, Propostas!$B:$BE, 44, FALSE) )</f>
        <v/>
      </c>
      <c r="T453" s="81" t="str">
        <f>IF($B453="","",  VLOOKUP($B453, Propostas!$B:$BE, 45, FALSE) )</f>
        <v/>
      </c>
      <c r="U453" s="32" t="str">
        <f>IF($B453="","",  VLOOKUP($B453, Propostas!$B:$BE, 37, FALSE) )</f>
        <v/>
      </c>
      <c r="V453" s="13" t="str">
        <f>IF($B453="","",  VLOOKUP($B453, Propostas!$B:$BE, 50, FALSE) )</f>
        <v/>
      </c>
      <c r="W453" s="13" t="str">
        <f>IF($B453="","",  VLOOKUP($B453, Propostas!$B:$BE, 51, FALSE) )</f>
        <v/>
      </c>
      <c r="X453" s="13" t="str">
        <f>IF($B453="","",  VLOOKUP($B453, Propostas!$B:$BE, 52, FALSE) )</f>
        <v/>
      </c>
      <c r="Y453" s="13" t="str">
        <f>IF($B453="","",  VLOOKUP($B453, Propostas!$B:$BE, 36, FALSE) )</f>
        <v/>
      </c>
      <c r="Z453" s="13" t="str">
        <f>IF($B453="","",  VLOOKUP($F453, VW_PROJETO!B:C, 2, FALSE) )</f>
        <v/>
      </c>
    </row>
    <row r="454" spans="2:26" x14ac:dyDescent="0.2">
      <c r="B454" s="2"/>
      <c r="C454" s="4" t="str">
        <f>IF($B454="","",  VLOOKUP($B454, Propostas!$B:$BE, 33, FALSE) )</f>
        <v/>
      </c>
      <c r="D454" s="4" t="str">
        <f>IF($B454="","",  VLOOKUP($B454, Propostas!$B:$BE, 34, FALSE) )</f>
        <v/>
      </c>
      <c r="E454" s="4" t="str">
        <f>IF($B454="","",  VLOOKUP($B454, Propostas!$B:$BE, 35, FALSE) )</f>
        <v/>
      </c>
      <c r="F454" s="4" t="str">
        <f>IF($B454="","",  VLOOKUP($B454, Propostas!$B:$BE, 2, FALSE) )</f>
        <v/>
      </c>
      <c r="G454" s="4" t="str">
        <f>IF($B454="","",  VLOOKUP($B454, Propostas!$B:$BE, 3, FALSE) )</f>
        <v/>
      </c>
      <c r="H454" s="4" t="str">
        <f>IF($B454="","",  VLOOKUP($B454, Propostas!$B:$BE, 4, FALSE) )</f>
        <v/>
      </c>
      <c r="I454" s="4" t="str">
        <f>IF($B454="","",  VLOOKUP($B454, Propostas!$B:$BE, 38, FALSE) )</f>
        <v/>
      </c>
      <c r="J454" s="13" t="str">
        <f>IF($B454="","",IF($C454="SIM", "&lt; INFRRAESTRUTURA &gt;", VLOOKUP($B454,Propostas!$B:$BE,41,FALSE)))</f>
        <v/>
      </c>
      <c r="K454" s="10" t="str">
        <f>IF($B454="","",  VLOOKUP($B454, Propostas!$B:$BE, 40, FALSE) )</f>
        <v/>
      </c>
      <c r="L454" s="10" t="str">
        <f>IF($B454="","",IF(VLOOKUP($B454,Propostas!$B:$BE,21,FALSE)=1,"B",IF(VLOOKUP($B454,Propostas!$B:$BE,21,FALSE)=2,"E","N")))</f>
        <v/>
      </c>
      <c r="M454" s="32" t="str">
        <f>IF($B454 = "", "",  VLOOKUP($B454, Propostas!$B:$BE, 46, FALSE) )</f>
        <v/>
      </c>
      <c r="N454" s="32" t="str">
        <f>IF($B454 = "", "",  VLOOKUP($B454, Propostas!$B:$BE, 47, FALSE) )</f>
        <v/>
      </c>
      <c r="O454" s="13" t="str">
        <f>IF($B454="","",IF($C454="SIM", "INFRAESTRUTURA", VLOOKUP($B454, Propostas!$B:$BE,42,FALSE)))</f>
        <v/>
      </c>
      <c r="P454" s="32" t="str">
        <f>IF($B454 = "", "",  VLOOKUP($B454, Propostas!$B:$BE, 49, FALSE) )</f>
        <v/>
      </c>
      <c r="Q454" s="13" t="str">
        <f>IF($B454="","",  VLOOKUP($B454, Propostas!$B:$BE, 39, FALSE) )</f>
        <v/>
      </c>
      <c r="R454" s="81" t="str">
        <f>IF($B454="","",  VLOOKUP($B454, Propostas!$B:$BE, 43, FALSE) )</f>
        <v/>
      </c>
      <c r="S454" s="81" t="str">
        <f>IF($B454="","",  VLOOKUP($B454, Propostas!$B:$BE, 44, FALSE) )</f>
        <v/>
      </c>
      <c r="T454" s="81" t="str">
        <f>IF($B454="","",  VLOOKUP($B454, Propostas!$B:$BE, 45, FALSE) )</f>
        <v/>
      </c>
      <c r="U454" s="32" t="str">
        <f>IF($B454="","",  VLOOKUP($B454, Propostas!$B:$BE, 37, FALSE) )</f>
        <v/>
      </c>
      <c r="V454" s="13" t="str">
        <f>IF($B454="","",  VLOOKUP($B454, Propostas!$B:$BE, 50, FALSE) )</f>
        <v/>
      </c>
      <c r="W454" s="13" t="str">
        <f>IF($B454="","",  VLOOKUP($B454, Propostas!$B:$BE, 51, FALSE) )</f>
        <v/>
      </c>
      <c r="X454" s="13" t="str">
        <f>IF($B454="","",  VLOOKUP($B454, Propostas!$B:$BE, 52, FALSE) )</f>
        <v/>
      </c>
      <c r="Y454" s="13" t="str">
        <f>IF($B454="","",  VLOOKUP($B454, Propostas!$B:$BE, 36, FALSE) )</f>
        <v/>
      </c>
      <c r="Z454" s="13" t="str">
        <f>IF($B454="","",  VLOOKUP($F454, VW_PROJETO!B:C, 2, FALSE) )</f>
        <v/>
      </c>
    </row>
    <row r="455" spans="2:26" x14ac:dyDescent="0.2">
      <c r="B455" s="2"/>
      <c r="C455" s="4" t="str">
        <f>IF($B455="","",  VLOOKUP($B455, Propostas!$B:$BE, 33, FALSE) )</f>
        <v/>
      </c>
      <c r="D455" s="4" t="str">
        <f>IF($B455="","",  VLOOKUP($B455, Propostas!$B:$BE, 34, FALSE) )</f>
        <v/>
      </c>
      <c r="E455" s="4" t="str">
        <f>IF($B455="","",  VLOOKUP($B455, Propostas!$B:$BE, 35, FALSE) )</f>
        <v/>
      </c>
      <c r="F455" s="4" t="str">
        <f>IF($B455="","",  VLOOKUP($B455, Propostas!$B:$BE, 2, FALSE) )</f>
        <v/>
      </c>
      <c r="G455" s="4" t="str">
        <f>IF($B455="","",  VLOOKUP($B455, Propostas!$B:$BE, 3, FALSE) )</f>
        <v/>
      </c>
      <c r="H455" s="4" t="str">
        <f>IF($B455="","",  VLOOKUP($B455, Propostas!$B:$BE, 4, FALSE) )</f>
        <v/>
      </c>
      <c r="I455" s="4" t="str">
        <f>IF($B455="","",  VLOOKUP($B455, Propostas!$B:$BE, 38, FALSE) )</f>
        <v/>
      </c>
      <c r="J455" s="13" t="str">
        <f>IF($B455="","",IF($C455="SIM", "&lt; INFRRAESTRUTURA &gt;", VLOOKUP($B455,Propostas!$B:$BE,41,FALSE)))</f>
        <v/>
      </c>
      <c r="K455" s="10" t="str">
        <f>IF($B455="","",  VLOOKUP($B455, Propostas!$B:$BE, 40, FALSE) )</f>
        <v/>
      </c>
      <c r="L455" s="10" t="str">
        <f>IF($B455="","",IF(VLOOKUP($B455,Propostas!$B:$BE,21,FALSE)=1,"B",IF(VLOOKUP($B455,Propostas!$B:$BE,21,FALSE)=2,"E","N")))</f>
        <v/>
      </c>
      <c r="M455" s="32" t="str">
        <f>IF($B455 = "", "",  VLOOKUP($B455, Propostas!$B:$BE, 46, FALSE) )</f>
        <v/>
      </c>
      <c r="N455" s="32" t="str">
        <f>IF($B455 = "", "",  VLOOKUP($B455, Propostas!$B:$BE, 47, FALSE) )</f>
        <v/>
      </c>
      <c r="O455" s="13" t="str">
        <f>IF($B455="","",IF($C455="SIM", "INFRAESTRUTURA", VLOOKUP($B455, Propostas!$B:$BE,42,FALSE)))</f>
        <v/>
      </c>
      <c r="P455" s="32" t="str">
        <f>IF($B455 = "", "",  VLOOKUP($B455, Propostas!$B:$BE, 49, FALSE) )</f>
        <v/>
      </c>
      <c r="Q455" s="13" t="str">
        <f>IF($B455="","",  VLOOKUP($B455, Propostas!$B:$BE, 39, FALSE) )</f>
        <v/>
      </c>
      <c r="R455" s="81" t="str">
        <f>IF($B455="","",  VLOOKUP($B455, Propostas!$B:$BE, 43, FALSE) )</f>
        <v/>
      </c>
      <c r="S455" s="81" t="str">
        <f>IF($B455="","",  VLOOKUP($B455, Propostas!$B:$BE, 44, FALSE) )</f>
        <v/>
      </c>
      <c r="T455" s="81" t="str">
        <f>IF($B455="","",  VLOOKUP($B455, Propostas!$B:$BE, 45, FALSE) )</f>
        <v/>
      </c>
      <c r="U455" s="32" t="str">
        <f>IF($B455="","",  VLOOKUP($B455, Propostas!$B:$BE, 37, FALSE) )</f>
        <v/>
      </c>
      <c r="V455" s="13" t="str">
        <f>IF($B455="","",  VLOOKUP($B455, Propostas!$B:$BE, 50, FALSE) )</f>
        <v/>
      </c>
      <c r="W455" s="13" t="str">
        <f>IF($B455="","",  VLOOKUP($B455, Propostas!$B:$BE, 51, FALSE) )</f>
        <v/>
      </c>
      <c r="X455" s="13" t="str">
        <f>IF($B455="","",  VLOOKUP($B455, Propostas!$B:$BE, 52, FALSE) )</f>
        <v/>
      </c>
      <c r="Y455" s="13" t="str">
        <f>IF($B455="","",  VLOOKUP($B455, Propostas!$B:$BE, 36, FALSE) )</f>
        <v/>
      </c>
      <c r="Z455" s="13" t="str">
        <f>IF($B455="","",  VLOOKUP($F455, VW_PROJETO!B:C, 2, FALSE) )</f>
        <v/>
      </c>
    </row>
    <row r="456" spans="2:26" x14ac:dyDescent="0.2">
      <c r="B456" s="2"/>
      <c r="C456" s="4" t="str">
        <f>IF($B456="","",  VLOOKUP($B456, Propostas!$B:$BE, 33, FALSE) )</f>
        <v/>
      </c>
      <c r="D456" s="4" t="str">
        <f>IF($B456="","",  VLOOKUP($B456, Propostas!$B:$BE, 34, FALSE) )</f>
        <v/>
      </c>
      <c r="E456" s="4" t="str">
        <f>IF($B456="","",  VLOOKUP($B456, Propostas!$B:$BE, 35, FALSE) )</f>
        <v/>
      </c>
      <c r="F456" s="4" t="str">
        <f>IF($B456="","",  VLOOKUP($B456, Propostas!$B:$BE, 2, FALSE) )</f>
        <v/>
      </c>
      <c r="G456" s="4" t="str">
        <f>IF($B456="","",  VLOOKUP($B456, Propostas!$B:$BE, 3, FALSE) )</f>
        <v/>
      </c>
      <c r="H456" s="4" t="str">
        <f>IF($B456="","",  VLOOKUP($B456, Propostas!$B:$BE, 4, FALSE) )</f>
        <v/>
      </c>
      <c r="I456" s="4" t="str">
        <f>IF($B456="","",  VLOOKUP($B456, Propostas!$B:$BE, 38, FALSE) )</f>
        <v/>
      </c>
      <c r="J456" s="13" t="str">
        <f>IF($B456="","",IF($C456="SIM", "&lt; INFRRAESTRUTURA &gt;", VLOOKUP($B456,Propostas!$B:$BE,41,FALSE)))</f>
        <v/>
      </c>
      <c r="K456" s="10" t="str">
        <f>IF($B456="","",  VLOOKUP($B456, Propostas!$B:$BE, 40, FALSE) )</f>
        <v/>
      </c>
      <c r="L456" s="10" t="str">
        <f>IF($B456="","",IF(VLOOKUP($B456,Propostas!$B:$BE,21,FALSE)=1,"B",IF(VLOOKUP($B456,Propostas!$B:$BE,21,FALSE)=2,"E","N")))</f>
        <v/>
      </c>
      <c r="M456" s="32" t="str">
        <f>IF($B456 = "", "",  VLOOKUP($B456, Propostas!$B:$BE, 46, FALSE) )</f>
        <v/>
      </c>
      <c r="N456" s="32" t="str">
        <f>IF($B456 = "", "",  VLOOKUP($B456, Propostas!$B:$BE, 47, FALSE) )</f>
        <v/>
      </c>
      <c r="O456" s="13" t="str">
        <f>IF($B456="","",IF($C456="SIM", "INFRAESTRUTURA", VLOOKUP($B456, Propostas!$B:$BE,42,FALSE)))</f>
        <v/>
      </c>
      <c r="P456" s="32" t="str">
        <f>IF($B456 = "", "",  VLOOKUP($B456, Propostas!$B:$BE, 49, FALSE) )</f>
        <v/>
      </c>
      <c r="Q456" s="13" t="str">
        <f>IF($B456="","",  VLOOKUP($B456, Propostas!$B:$BE, 39, FALSE) )</f>
        <v/>
      </c>
      <c r="R456" s="81" t="str">
        <f>IF($B456="","",  VLOOKUP($B456, Propostas!$B:$BE, 43, FALSE) )</f>
        <v/>
      </c>
      <c r="S456" s="81" t="str">
        <f>IF($B456="","",  VLOOKUP($B456, Propostas!$B:$BE, 44, FALSE) )</f>
        <v/>
      </c>
      <c r="T456" s="81" t="str">
        <f>IF($B456="","",  VLOOKUP($B456, Propostas!$B:$BE, 45, FALSE) )</f>
        <v/>
      </c>
      <c r="U456" s="32" t="str">
        <f>IF($B456="","",  VLOOKUP($B456, Propostas!$B:$BE, 37, FALSE) )</f>
        <v/>
      </c>
      <c r="V456" s="13" t="str">
        <f>IF($B456="","",  VLOOKUP($B456, Propostas!$B:$BE, 50, FALSE) )</f>
        <v/>
      </c>
      <c r="W456" s="13" t="str">
        <f>IF($B456="","",  VLOOKUP($B456, Propostas!$B:$BE, 51, FALSE) )</f>
        <v/>
      </c>
      <c r="X456" s="13" t="str">
        <f>IF($B456="","",  VLOOKUP($B456, Propostas!$B:$BE, 52, FALSE) )</f>
        <v/>
      </c>
      <c r="Y456" s="13" t="str">
        <f>IF($B456="","",  VLOOKUP($B456, Propostas!$B:$BE, 36, FALSE) )</f>
        <v/>
      </c>
      <c r="Z456" s="13" t="str">
        <f>IF($B456="","",  VLOOKUP($F456, VW_PROJETO!B:C, 2, FALSE) )</f>
        <v/>
      </c>
    </row>
    <row r="457" spans="2:26" x14ac:dyDescent="0.2">
      <c r="B457" s="2"/>
      <c r="C457" s="4" t="str">
        <f>IF($B457="","",  VLOOKUP($B457, Propostas!$B:$BE, 33, FALSE) )</f>
        <v/>
      </c>
      <c r="D457" s="4" t="str">
        <f>IF($B457="","",  VLOOKUP($B457, Propostas!$B:$BE, 34, FALSE) )</f>
        <v/>
      </c>
      <c r="E457" s="4" t="str">
        <f>IF($B457="","",  VLOOKUP($B457, Propostas!$B:$BE, 35, FALSE) )</f>
        <v/>
      </c>
      <c r="F457" s="4" t="str">
        <f>IF($B457="","",  VLOOKUP($B457, Propostas!$B:$BE, 2, FALSE) )</f>
        <v/>
      </c>
      <c r="G457" s="4" t="str">
        <f>IF($B457="","",  VLOOKUP($B457, Propostas!$B:$BE, 3, FALSE) )</f>
        <v/>
      </c>
      <c r="H457" s="4" t="str">
        <f>IF($B457="","",  VLOOKUP($B457, Propostas!$B:$BE, 4, FALSE) )</f>
        <v/>
      </c>
      <c r="I457" s="4" t="str">
        <f>IF($B457="","",  VLOOKUP($B457, Propostas!$B:$BE, 38, FALSE) )</f>
        <v/>
      </c>
      <c r="J457" s="13" t="str">
        <f>IF($B457="","",IF($C457="SIM", "&lt; INFRRAESTRUTURA &gt;", VLOOKUP($B457,Propostas!$B:$BE,41,FALSE)))</f>
        <v/>
      </c>
      <c r="K457" s="10" t="str">
        <f>IF($B457="","",  VLOOKUP($B457, Propostas!$B:$BE, 40, FALSE) )</f>
        <v/>
      </c>
      <c r="L457" s="10" t="str">
        <f>IF($B457="","",IF(VLOOKUP($B457,Propostas!$B:$BE,21,FALSE)=1,"B",IF(VLOOKUP($B457,Propostas!$B:$BE,21,FALSE)=2,"E","N")))</f>
        <v/>
      </c>
      <c r="M457" s="32" t="str">
        <f>IF($B457 = "", "",  VLOOKUP($B457, Propostas!$B:$BE, 46, FALSE) )</f>
        <v/>
      </c>
      <c r="N457" s="32" t="str">
        <f>IF($B457 = "", "",  VLOOKUP($B457, Propostas!$B:$BE, 47, FALSE) )</f>
        <v/>
      </c>
      <c r="O457" s="13" t="str">
        <f>IF($B457="","",IF($C457="SIM", "INFRAESTRUTURA", VLOOKUP($B457, Propostas!$B:$BE,42,FALSE)))</f>
        <v/>
      </c>
      <c r="P457" s="32" t="str">
        <f>IF($B457 = "", "",  VLOOKUP($B457, Propostas!$B:$BE, 49, FALSE) )</f>
        <v/>
      </c>
      <c r="Q457" s="13" t="str">
        <f>IF($B457="","",  VLOOKUP($B457, Propostas!$B:$BE, 39, FALSE) )</f>
        <v/>
      </c>
      <c r="R457" s="81" t="str">
        <f>IF($B457="","",  VLOOKUP($B457, Propostas!$B:$BE, 43, FALSE) )</f>
        <v/>
      </c>
      <c r="S457" s="81" t="str">
        <f>IF($B457="","",  VLOOKUP($B457, Propostas!$B:$BE, 44, FALSE) )</f>
        <v/>
      </c>
      <c r="T457" s="81" t="str">
        <f>IF($B457="","",  VLOOKUP($B457, Propostas!$B:$BE, 45, FALSE) )</f>
        <v/>
      </c>
      <c r="U457" s="32" t="str">
        <f>IF($B457="","",  VLOOKUP($B457, Propostas!$B:$BE, 37, FALSE) )</f>
        <v/>
      </c>
      <c r="V457" s="13" t="str">
        <f>IF($B457="","",  VLOOKUP($B457, Propostas!$B:$BE, 50, FALSE) )</f>
        <v/>
      </c>
      <c r="W457" s="13" t="str">
        <f>IF($B457="","",  VLOOKUP($B457, Propostas!$B:$BE, 51, FALSE) )</f>
        <v/>
      </c>
      <c r="X457" s="13" t="str">
        <f>IF($B457="","",  VLOOKUP($B457, Propostas!$B:$BE, 52, FALSE) )</f>
        <v/>
      </c>
      <c r="Y457" s="13" t="str">
        <f>IF($B457="","",  VLOOKUP($B457, Propostas!$B:$BE, 36, FALSE) )</f>
        <v/>
      </c>
      <c r="Z457" s="13" t="str">
        <f>IF($B457="","",  VLOOKUP($F457, VW_PROJETO!B:C, 2, FALSE) )</f>
        <v/>
      </c>
    </row>
    <row r="458" spans="2:26" x14ac:dyDescent="0.2">
      <c r="B458" s="2"/>
      <c r="C458" s="4" t="str">
        <f>IF($B458="","",  VLOOKUP($B458, Propostas!$B:$BE, 33, FALSE) )</f>
        <v/>
      </c>
      <c r="D458" s="4" t="str">
        <f>IF($B458="","",  VLOOKUP($B458, Propostas!$B:$BE, 34, FALSE) )</f>
        <v/>
      </c>
      <c r="E458" s="4" t="str">
        <f>IF($B458="","",  VLOOKUP($B458, Propostas!$B:$BE, 35, FALSE) )</f>
        <v/>
      </c>
      <c r="F458" s="4" t="str">
        <f>IF($B458="","",  VLOOKUP($B458, Propostas!$B:$BE, 2, FALSE) )</f>
        <v/>
      </c>
      <c r="G458" s="4" t="str">
        <f>IF($B458="","",  VLOOKUP($B458, Propostas!$B:$BE, 3, FALSE) )</f>
        <v/>
      </c>
      <c r="H458" s="4" t="str">
        <f>IF($B458="","",  VLOOKUP($B458, Propostas!$B:$BE, 4, FALSE) )</f>
        <v/>
      </c>
      <c r="I458" s="4" t="str">
        <f>IF($B458="","",  VLOOKUP($B458, Propostas!$B:$BE, 38, FALSE) )</f>
        <v/>
      </c>
      <c r="J458" s="13" t="str">
        <f>IF($B458="","",IF($C458="SIM", "&lt; INFRRAESTRUTURA &gt;", VLOOKUP($B458,Propostas!$B:$BE,41,FALSE)))</f>
        <v/>
      </c>
      <c r="K458" s="10" t="str">
        <f>IF($B458="","",  VLOOKUP($B458, Propostas!$B:$BE, 40, FALSE) )</f>
        <v/>
      </c>
      <c r="L458" s="10" t="str">
        <f>IF($B458="","",IF(VLOOKUP($B458,Propostas!$B:$BE,21,FALSE)=1,"B",IF(VLOOKUP($B458,Propostas!$B:$BE,21,FALSE)=2,"E","N")))</f>
        <v/>
      </c>
      <c r="M458" s="32" t="str">
        <f>IF($B458 = "", "",  VLOOKUP($B458, Propostas!$B:$BE, 46, FALSE) )</f>
        <v/>
      </c>
      <c r="N458" s="32" t="str">
        <f>IF($B458 = "", "",  VLOOKUP($B458, Propostas!$B:$BE, 47, FALSE) )</f>
        <v/>
      </c>
      <c r="O458" s="13" t="str">
        <f>IF($B458="","",IF($C458="SIM", "INFRAESTRUTURA", VLOOKUP($B458, Propostas!$B:$BE,42,FALSE)))</f>
        <v/>
      </c>
      <c r="P458" s="32" t="str">
        <f>IF($B458 = "", "",  VLOOKUP($B458, Propostas!$B:$BE, 49, FALSE) )</f>
        <v/>
      </c>
      <c r="Q458" s="13" t="str">
        <f>IF($B458="","",  VLOOKUP($B458, Propostas!$B:$BE, 39, FALSE) )</f>
        <v/>
      </c>
      <c r="R458" s="81" t="str">
        <f>IF($B458="","",  VLOOKUP($B458, Propostas!$B:$BE, 43, FALSE) )</f>
        <v/>
      </c>
      <c r="S458" s="81" t="str">
        <f>IF($B458="","",  VLOOKUP($B458, Propostas!$B:$BE, 44, FALSE) )</f>
        <v/>
      </c>
      <c r="T458" s="81" t="str">
        <f>IF($B458="","",  VLOOKUP($B458, Propostas!$B:$BE, 45, FALSE) )</f>
        <v/>
      </c>
      <c r="U458" s="32" t="str">
        <f>IF($B458="","",  VLOOKUP($B458, Propostas!$B:$BE, 37, FALSE) )</f>
        <v/>
      </c>
      <c r="V458" s="13" t="str">
        <f>IF($B458="","",  VLOOKUP($B458, Propostas!$B:$BE, 50, FALSE) )</f>
        <v/>
      </c>
      <c r="W458" s="13" t="str">
        <f>IF($B458="","",  VLOOKUP($B458, Propostas!$B:$BE, 51, FALSE) )</f>
        <v/>
      </c>
      <c r="X458" s="13" t="str">
        <f>IF($B458="","",  VLOOKUP($B458, Propostas!$B:$BE, 52, FALSE) )</f>
        <v/>
      </c>
      <c r="Y458" s="13" t="str">
        <f>IF($B458="","",  VLOOKUP($B458, Propostas!$B:$BE, 36, FALSE) )</f>
        <v/>
      </c>
      <c r="Z458" s="13" t="str">
        <f>IF($B458="","",  VLOOKUP($F458, VW_PROJETO!B:C, 2, FALSE) )</f>
        <v/>
      </c>
    </row>
    <row r="459" spans="2:26" x14ac:dyDescent="0.2">
      <c r="B459" s="2"/>
      <c r="C459" s="4" t="str">
        <f>IF($B459="","",  VLOOKUP($B459, Propostas!$B:$BE, 33, FALSE) )</f>
        <v/>
      </c>
      <c r="D459" s="4" t="str">
        <f>IF($B459="","",  VLOOKUP($B459, Propostas!$B:$BE, 34, FALSE) )</f>
        <v/>
      </c>
      <c r="E459" s="4" t="str">
        <f>IF($B459="","",  VLOOKUP($B459, Propostas!$B:$BE, 35, FALSE) )</f>
        <v/>
      </c>
      <c r="F459" s="4" t="str">
        <f>IF($B459="","",  VLOOKUP($B459, Propostas!$B:$BE, 2, FALSE) )</f>
        <v/>
      </c>
      <c r="G459" s="4" t="str">
        <f>IF($B459="","",  VLOOKUP($B459, Propostas!$B:$BE, 3, FALSE) )</f>
        <v/>
      </c>
      <c r="H459" s="4" t="str">
        <f>IF($B459="","",  VLOOKUP($B459, Propostas!$B:$BE, 4, FALSE) )</f>
        <v/>
      </c>
      <c r="I459" s="4" t="str">
        <f>IF($B459="","",  VLOOKUP($B459, Propostas!$B:$BE, 38, FALSE) )</f>
        <v/>
      </c>
      <c r="J459" s="13" t="str">
        <f>IF($B459="","",IF($C459="SIM", "&lt; INFRRAESTRUTURA &gt;", VLOOKUP($B459,Propostas!$B:$BE,41,FALSE)))</f>
        <v/>
      </c>
      <c r="K459" s="10" t="str">
        <f>IF($B459="","",  VLOOKUP($B459, Propostas!$B:$BE, 40, FALSE) )</f>
        <v/>
      </c>
      <c r="L459" s="10" t="str">
        <f>IF($B459="","",IF(VLOOKUP($B459,Propostas!$B:$BE,21,FALSE)=1,"B",IF(VLOOKUP($B459,Propostas!$B:$BE,21,FALSE)=2,"E","N")))</f>
        <v/>
      </c>
      <c r="M459" s="32" t="str">
        <f>IF($B459 = "", "",  VLOOKUP($B459, Propostas!$B:$BE, 46, FALSE) )</f>
        <v/>
      </c>
      <c r="N459" s="32" t="str">
        <f>IF($B459 = "", "",  VLOOKUP($B459, Propostas!$B:$BE, 47, FALSE) )</f>
        <v/>
      </c>
      <c r="O459" s="13" t="str">
        <f>IF($B459="","",IF($C459="SIM", "INFRAESTRUTURA", VLOOKUP($B459, Propostas!$B:$BE,42,FALSE)))</f>
        <v/>
      </c>
      <c r="P459" s="32" t="str">
        <f>IF($B459 = "", "",  VLOOKUP($B459, Propostas!$B:$BE, 49, FALSE) )</f>
        <v/>
      </c>
      <c r="Q459" s="13" t="str">
        <f>IF($B459="","",  VLOOKUP($B459, Propostas!$B:$BE, 39, FALSE) )</f>
        <v/>
      </c>
      <c r="R459" s="81" t="str">
        <f>IF($B459="","",  VLOOKUP($B459, Propostas!$B:$BE, 43, FALSE) )</f>
        <v/>
      </c>
      <c r="S459" s="81" t="str">
        <f>IF($B459="","",  VLOOKUP($B459, Propostas!$B:$BE, 44, FALSE) )</f>
        <v/>
      </c>
      <c r="T459" s="81" t="str">
        <f>IF($B459="","",  VLOOKUP($B459, Propostas!$B:$BE, 45, FALSE) )</f>
        <v/>
      </c>
      <c r="U459" s="32" t="str">
        <f>IF($B459="","",  VLOOKUP($B459, Propostas!$B:$BE, 37, FALSE) )</f>
        <v/>
      </c>
      <c r="V459" s="13" t="str">
        <f>IF($B459="","",  VLOOKUP($B459, Propostas!$B:$BE, 50, FALSE) )</f>
        <v/>
      </c>
      <c r="W459" s="13" t="str">
        <f>IF($B459="","",  VLOOKUP($B459, Propostas!$B:$BE, 51, FALSE) )</f>
        <v/>
      </c>
      <c r="X459" s="13" t="str">
        <f>IF($B459="","",  VLOOKUP($B459, Propostas!$B:$BE, 52, FALSE) )</f>
        <v/>
      </c>
      <c r="Y459" s="13" t="str">
        <f>IF($B459="","",  VLOOKUP($B459, Propostas!$B:$BE, 36, FALSE) )</f>
        <v/>
      </c>
      <c r="Z459" s="13" t="str">
        <f>IF($B459="","",  VLOOKUP($F459, VW_PROJETO!B:C, 2, FALSE) )</f>
        <v/>
      </c>
    </row>
    <row r="460" spans="2:26" x14ac:dyDescent="0.2">
      <c r="B460" s="2"/>
      <c r="C460" s="4" t="str">
        <f>IF($B460="","",  VLOOKUP($B460, Propostas!$B:$BE, 33, FALSE) )</f>
        <v/>
      </c>
      <c r="D460" s="4" t="str">
        <f>IF($B460="","",  VLOOKUP($B460, Propostas!$B:$BE, 34, FALSE) )</f>
        <v/>
      </c>
      <c r="E460" s="4" t="str">
        <f>IF($B460="","",  VLOOKUP($B460, Propostas!$B:$BE, 35, FALSE) )</f>
        <v/>
      </c>
      <c r="F460" s="4" t="str">
        <f>IF($B460="","",  VLOOKUP($B460, Propostas!$B:$BE, 2, FALSE) )</f>
        <v/>
      </c>
      <c r="G460" s="4" t="str">
        <f>IF($B460="","",  VLOOKUP($B460, Propostas!$B:$BE, 3, FALSE) )</f>
        <v/>
      </c>
      <c r="H460" s="4" t="str">
        <f>IF($B460="","",  VLOOKUP($B460, Propostas!$B:$BE, 4, FALSE) )</f>
        <v/>
      </c>
      <c r="I460" s="4" t="str">
        <f>IF($B460="","",  VLOOKUP($B460, Propostas!$B:$BE, 38, FALSE) )</f>
        <v/>
      </c>
      <c r="J460" s="13" t="str">
        <f>IF($B460="","",IF($C460="SIM", "&lt; INFRRAESTRUTURA &gt;", VLOOKUP($B460,Propostas!$B:$BE,41,FALSE)))</f>
        <v/>
      </c>
      <c r="K460" s="10" t="str">
        <f>IF($B460="","",  VLOOKUP($B460, Propostas!$B:$BE, 40, FALSE) )</f>
        <v/>
      </c>
      <c r="L460" s="10" t="str">
        <f>IF($B460="","",IF(VLOOKUP($B460,Propostas!$B:$BE,21,FALSE)=1,"B",IF(VLOOKUP($B460,Propostas!$B:$BE,21,FALSE)=2,"E","N")))</f>
        <v/>
      </c>
      <c r="M460" s="32" t="str">
        <f>IF($B460 = "", "",  VLOOKUP($B460, Propostas!$B:$BE, 46, FALSE) )</f>
        <v/>
      </c>
      <c r="N460" s="32" t="str">
        <f>IF($B460 = "", "",  VLOOKUP($B460, Propostas!$B:$BE, 47, FALSE) )</f>
        <v/>
      </c>
      <c r="O460" s="13" t="str">
        <f>IF($B460="","",IF($C460="SIM", "INFRAESTRUTURA", VLOOKUP($B460, Propostas!$B:$BE,42,FALSE)))</f>
        <v/>
      </c>
      <c r="P460" s="32" t="str">
        <f>IF($B460 = "", "",  VLOOKUP($B460, Propostas!$B:$BE, 49, FALSE) )</f>
        <v/>
      </c>
      <c r="Q460" s="13" t="str">
        <f>IF($B460="","",  VLOOKUP($B460, Propostas!$B:$BE, 39, FALSE) )</f>
        <v/>
      </c>
      <c r="R460" s="81" t="str">
        <f>IF($B460="","",  VLOOKUP($B460, Propostas!$B:$BE, 43, FALSE) )</f>
        <v/>
      </c>
      <c r="S460" s="81" t="str">
        <f>IF($B460="","",  VLOOKUP($B460, Propostas!$B:$BE, 44, FALSE) )</f>
        <v/>
      </c>
      <c r="T460" s="81" t="str">
        <f>IF($B460="","",  VLOOKUP($B460, Propostas!$B:$BE, 45, FALSE) )</f>
        <v/>
      </c>
      <c r="U460" s="32" t="str">
        <f>IF($B460="","",  VLOOKUP($B460, Propostas!$B:$BE, 37, FALSE) )</f>
        <v/>
      </c>
      <c r="V460" s="13" t="str">
        <f>IF($B460="","",  VLOOKUP($B460, Propostas!$B:$BE, 50, FALSE) )</f>
        <v/>
      </c>
      <c r="W460" s="13" t="str">
        <f>IF($B460="","",  VLOOKUP($B460, Propostas!$B:$BE, 51, FALSE) )</f>
        <v/>
      </c>
      <c r="X460" s="13" t="str">
        <f>IF($B460="","",  VLOOKUP($B460, Propostas!$B:$BE, 52, FALSE) )</f>
        <v/>
      </c>
      <c r="Y460" s="13" t="str">
        <f>IF($B460="","",  VLOOKUP($B460, Propostas!$B:$BE, 36, FALSE) )</f>
        <v/>
      </c>
      <c r="Z460" s="13" t="str">
        <f>IF($B460="","",  VLOOKUP($F460, VW_PROJETO!B:C, 2, FALSE) )</f>
        <v/>
      </c>
    </row>
    <row r="461" spans="2:26" x14ac:dyDescent="0.2">
      <c r="B461" s="2"/>
      <c r="C461" s="4" t="str">
        <f>IF($B461="","",  VLOOKUP($B461, Propostas!$B:$BE, 33, FALSE) )</f>
        <v/>
      </c>
      <c r="D461" s="4" t="str">
        <f>IF($B461="","",  VLOOKUP($B461, Propostas!$B:$BE, 34, FALSE) )</f>
        <v/>
      </c>
      <c r="E461" s="4" t="str">
        <f>IF($B461="","",  VLOOKUP($B461, Propostas!$B:$BE, 35, FALSE) )</f>
        <v/>
      </c>
      <c r="F461" s="4" t="str">
        <f>IF($B461="","",  VLOOKUP($B461, Propostas!$B:$BE, 2, FALSE) )</f>
        <v/>
      </c>
      <c r="G461" s="4" t="str">
        <f>IF($B461="","",  VLOOKUP($B461, Propostas!$B:$BE, 3, FALSE) )</f>
        <v/>
      </c>
      <c r="H461" s="4" t="str">
        <f>IF($B461="","",  VLOOKUP($B461, Propostas!$B:$BE, 4, FALSE) )</f>
        <v/>
      </c>
      <c r="I461" s="4" t="str">
        <f>IF($B461="","",  VLOOKUP($B461, Propostas!$B:$BE, 38, FALSE) )</f>
        <v/>
      </c>
      <c r="J461" s="13" t="str">
        <f>IF($B461="","",IF($C461="SIM", "&lt; INFRRAESTRUTURA &gt;", VLOOKUP($B461,Propostas!$B:$BE,41,FALSE)))</f>
        <v/>
      </c>
      <c r="K461" s="10" t="str">
        <f>IF($B461="","",  VLOOKUP($B461, Propostas!$B:$BE, 40, FALSE) )</f>
        <v/>
      </c>
      <c r="L461" s="10" t="str">
        <f>IF($B461="","",IF(VLOOKUP($B461,Propostas!$B:$BE,21,FALSE)=1,"B",IF(VLOOKUP($B461,Propostas!$B:$BE,21,FALSE)=2,"E","N")))</f>
        <v/>
      </c>
      <c r="M461" s="32" t="str">
        <f>IF($B461 = "", "",  VLOOKUP($B461, Propostas!$B:$BE, 46, FALSE) )</f>
        <v/>
      </c>
      <c r="N461" s="32" t="str">
        <f>IF($B461 = "", "",  VLOOKUP($B461, Propostas!$B:$BE, 47, FALSE) )</f>
        <v/>
      </c>
      <c r="O461" s="13" t="str">
        <f>IF($B461="","",IF($C461="SIM", "INFRAESTRUTURA", VLOOKUP($B461, Propostas!$B:$BE,42,FALSE)))</f>
        <v/>
      </c>
      <c r="P461" s="32" t="str">
        <f>IF($B461 = "", "",  VLOOKUP($B461, Propostas!$B:$BE, 49, FALSE) )</f>
        <v/>
      </c>
      <c r="Q461" s="13" t="str">
        <f>IF($B461="","",  VLOOKUP($B461, Propostas!$B:$BE, 39, FALSE) )</f>
        <v/>
      </c>
      <c r="R461" s="81" t="str">
        <f>IF($B461="","",  VLOOKUP($B461, Propostas!$B:$BE, 43, FALSE) )</f>
        <v/>
      </c>
      <c r="S461" s="81" t="str">
        <f>IF($B461="","",  VLOOKUP($B461, Propostas!$B:$BE, 44, FALSE) )</f>
        <v/>
      </c>
      <c r="T461" s="81" t="str">
        <f>IF($B461="","",  VLOOKUP($B461, Propostas!$B:$BE, 45, FALSE) )</f>
        <v/>
      </c>
      <c r="U461" s="32" t="str">
        <f>IF($B461="","",  VLOOKUP($B461, Propostas!$B:$BE, 37, FALSE) )</f>
        <v/>
      </c>
      <c r="V461" s="13" t="str">
        <f>IF($B461="","",  VLOOKUP($B461, Propostas!$B:$BE, 50, FALSE) )</f>
        <v/>
      </c>
      <c r="W461" s="13" t="str">
        <f>IF($B461="","",  VLOOKUP($B461, Propostas!$B:$BE, 51, FALSE) )</f>
        <v/>
      </c>
      <c r="X461" s="13" t="str">
        <f>IF($B461="","",  VLOOKUP($B461, Propostas!$B:$BE, 52, FALSE) )</f>
        <v/>
      </c>
      <c r="Y461" s="13" t="str">
        <f>IF($B461="","",  VLOOKUP($B461, Propostas!$B:$BE, 36, FALSE) )</f>
        <v/>
      </c>
      <c r="Z461" s="13" t="str">
        <f>IF($B461="","",  VLOOKUP($F461, VW_PROJETO!B:C, 2, FALSE) )</f>
        <v/>
      </c>
    </row>
    <row r="462" spans="2:26" x14ac:dyDescent="0.2">
      <c r="B462" s="2"/>
      <c r="C462" s="4" t="str">
        <f>IF($B462="","",  VLOOKUP($B462, Propostas!$B:$BE, 33, FALSE) )</f>
        <v/>
      </c>
      <c r="D462" s="4" t="str">
        <f>IF($B462="","",  VLOOKUP($B462, Propostas!$B:$BE, 34, FALSE) )</f>
        <v/>
      </c>
      <c r="E462" s="4" t="str">
        <f>IF($B462="","",  VLOOKUP($B462, Propostas!$B:$BE, 35, FALSE) )</f>
        <v/>
      </c>
      <c r="F462" s="4" t="str">
        <f>IF($B462="","",  VLOOKUP($B462, Propostas!$B:$BE, 2, FALSE) )</f>
        <v/>
      </c>
      <c r="G462" s="4" t="str">
        <f>IF($B462="","",  VLOOKUP($B462, Propostas!$B:$BE, 3, FALSE) )</f>
        <v/>
      </c>
      <c r="H462" s="4" t="str">
        <f>IF($B462="","",  VLOOKUP($B462, Propostas!$B:$BE, 4, FALSE) )</f>
        <v/>
      </c>
      <c r="I462" s="4" t="str">
        <f>IF($B462="","",  VLOOKUP($B462, Propostas!$B:$BE, 38, FALSE) )</f>
        <v/>
      </c>
      <c r="J462" s="13" t="str">
        <f>IF($B462="","",IF($C462="SIM", "&lt; INFRRAESTRUTURA &gt;", VLOOKUP($B462,Propostas!$B:$BE,41,FALSE)))</f>
        <v/>
      </c>
      <c r="K462" s="10" t="str">
        <f>IF($B462="","",  VLOOKUP($B462, Propostas!$B:$BE, 40, FALSE) )</f>
        <v/>
      </c>
      <c r="L462" s="10" t="str">
        <f>IF($B462="","",IF(VLOOKUP($B462,Propostas!$B:$BE,21,FALSE)=1,"B",IF(VLOOKUP($B462,Propostas!$B:$BE,21,FALSE)=2,"E","N")))</f>
        <v/>
      </c>
      <c r="M462" s="32" t="str">
        <f>IF($B462 = "", "",  VLOOKUP($B462, Propostas!$B:$BE, 46, FALSE) )</f>
        <v/>
      </c>
      <c r="N462" s="32" t="str">
        <f>IF($B462 = "", "",  VLOOKUP($B462, Propostas!$B:$BE, 47, FALSE) )</f>
        <v/>
      </c>
      <c r="O462" s="13" t="str">
        <f>IF($B462="","",IF($C462="SIM", "INFRAESTRUTURA", VLOOKUP($B462, Propostas!$B:$BE,42,FALSE)))</f>
        <v/>
      </c>
      <c r="P462" s="32" t="str">
        <f>IF($B462 = "", "",  VLOOKUP($B462, Propostas!$B:$BE, 49, FALSE) )</f>
        <v/>
      </c>
      <c r="Q462" s="13" t="str">
        <f>IF($B462="","",  VLOOKUP($B462, Propostas!$B:$BE, 39, FALSE) )</f>
        <v/>
      </c>
      <c r="R462" s="81" t="str">
        <f>IF($B462="","",  VLOOKUP($B462, Propostas!$B:$BE, 43, FALSE) )</f>
        <v/>
      </c>
      <c r="S462" s="81" t="str">
        <f>IF($B462="","",  VLOOKUP($B462, Propostas!$B:$BE, 44, FALSE) )</f>
        <v/>
      </c>
      <c r="T462" s="81" t="str">
        <f>IF($B462="","",  VLOOKUP($B462, Propostas!$B:$BE, 45, FALSE) )</f>
        <v/>
      </c>
      <c r="U462" s="32" t="str">
        <f>IF($B462="","",  VLOOKUP($B462, Propostas!$B:$BE, 37, FALSE) )</f>
        <v/>
      </c>
      <c r="V462" s="13" t="str">
        <f>IF($B462="","",  VLOOKUP($B462, Propostas!$B:$BE, 50, FALSE) )</f>
        <v/>
      </c>
      <c r="W462" s="13" t="str">
        <f>IF($B462="","",  VLOOKUP($B462, Propostas!$B:$BE, 51, FALSE) )</f>
        <v/>
      </c>
      <c r="X462" s="13" t="str">
        <f>IF($B462="","",  VLOOKUP($B462, Propostas!$B:$BE, 52, FALSE) )</f>
        <v/>
      </c>
      <c r="Y462" s="13" t="str">
        <f>IF($B462="","",  VLOOKUP($B462, Propostas!$B:$BE, 36, FALSE) )</f>
        <v/>
      </c>
      <c r="Z462" s="13" t="str">
        <f>IF($B462="","",  VLOOKUP($F462, VW_PROJETO!B:C, 2, FALSE) )</f>
        <v/>
      </c>
    </row>
    <row r="463" spans="2:26" x14ac:dyDescent="0.2">
      <c r="B463" s="2"/>
      <c r="C463" s="4" t="str">
        <f>IF($B463="","",  VLOOKUP($B463, Propostas!$B:$BE, 33, FALSE) )</f>
        <v/>
      </c>
      <c r="D463" s="4" t="str">
        <f>IF($B463="","",  VLOOKUP($B463, Propostas!$B:$BE, 34, FALSE) )</f>
        <v/>
      </c>
      <c r="E463" s="4" t="str">
        <f>IF($B463="","",  VLOOKUP($B463, Propostas!$B:$BE, 35, FALSE) )</f>
        <v/>
      </c>
      <c r="F463" s="4" t="str">
        <f>IF($B463="","",  VLOOKUP($B463, Propostas!$B:$BE, 2, FALSE) )</f>
        <v/>
      </c>
      <c r="G463" s="4" t="str">
        <f>IF($B463="","",  VLOOKUP($B463, Propostas!$B:$BE, 3, FALSE) )</f>
        <v/>
      </c>
      <c r="H463" s="4" t="str">
        <f>IF($B463="","",  VLOOKUP($B463, Propostas!$B:$BE, 4, FALSE) )</f>
        <v/>
      </c>
      <c r="I463" s="4" t="str">
        <f>IF($B463="","",  VLOOKUP($B463, Propostas!$B:$BE, 38, FALSE) )</f>
        <v/>
      </c>
      <c r="J463" s="13" t="str">
        <f>IF($B463="","",IF($C463="SIM", "&lt; INFRRAESTRUTURA &gt;", VLOOKUP($B463,Propostas!$B:$BE,41,FALSE)))</f>
        <v/>
      </c>
      <c r="K463" s="10" t="str">
        <f>IF($B463="","",  VLOOKUP($B463, Propostas!$B:$BE, 40, FALSE) )</f>
        <v/>
      </c>
      <c r="L463" s="10" t="str">
        <f>IF($B463="","",IF(VLOOKUP($B463,Propostas!$B:$BE,21,FALSE)=1,"B",IF(VLOOKUP($B463,Propostas!$B:$BE,21,FALSE)=2,"E","N")))</f>
        <v/>
      </c>
      <c r="M463" s="32" t="str">
        <f>IF($B463 = "", "",  VLOOKUP($B463, Propostas!$B:$BE, 46, FALSE) )</f>
        <v/>
      </c>
      <c r="N463" s="32" t="str">
        <f>IF($B463 = "", "",  VLOOKUP($B463, Propostas!$B:$BE, 47, FALSE) )</f>
        <v/>
      </c>
      <c r="O463" s="13" t="str">
        <f>IF($B463="","",IF($C463="SIM", "INFRAESTRUTURA", VLOOKUP($B463, Propostas!$B:$BE,42,FALSE)))</f>
        <v/>
      </c>
      <c r="P463" s="32" t="str">
        <f>IF($B463 = "", "",  VLOOKUP($B463, Propostas!$B:$BE, 49, FALSE) )</f>
        <v/>
      </c>
      <c r="Q463" s="13" t="str">
        <f>IF($B463="","",  VLOOKUP($B463, Propostas!$B:$BE, 39, FALSE) )</f>
        <v/>
      </c>
      <c r="R463" s="81" t="str">
        <f>IF($B463="","",  VLOOKUP($B463, Propostas!$B:$BE, 43, FALSE) )</f>
        <v/>
      </c>
      <c r="S463" s="81" t="str">
        <f>IF($B463="","",  VLOOKUP($B463, Propostas!$B:$BE, 44, FALSE) )</f>
        <v/>
      </c>
      <c r="T463" s="81" t="str">
        <f>IF($B463="","",  VLOOKUP($B463, Propostas!$B:$BE, 45, FALSE) )</f>
        <v/>
      </c>
      <c r="U463" s="32" t="str">
        <f>IF($B463="","",  VLOOKUP($B463, Propostas!$B:$BE, 37, FALSE) )</f>
        <v/>
      </c>
      <c r="V463" s="13" t="str">
        <f>IF($B463="","",  VLOOKUP($B463, Propostas!$B:$BE, 50, FALSE) )</f>
        <v/>
      </c>
      <c r="W463" s="13" t="str">
        <f>IF($B463="","",  VLOOKUP($B463, Propostas!$B:$BE, 51, FALSE) )</f>
        <v/>
      </c>
      <c r="X463" s="13" t="str">
        <f>IF($B463="","",  VLOOKUP($B463, Propostas!$B:$BE, 52, FALSE) )</f>
        <v/>
      </c>
      <c r="Y463" s="13" t="str">
        <f>IF($B463="","",  VLOOKUP($B463, Propostas!$B:$BE, 36, FALSE) )</f>
        <v/>
      </c>
      <c r="Z463" s="13" t="str">
        <f>IF($B463="","",  VLOOKUP($F463, VW_PROJETO!B:C, 2, FALSE) )</f>
        <v/>
      </c>
    </row>
    <row r="464" spans="2:26" x14ac:dyDescent="0.2">
      <c r="B464" s="2"/>
      <c r="C464" s="4" t="str">
        <f>IF($B464="","",  VLOOKUP($B464, Propostas!$B:$BE, 33, FALSE) )</f>
        <v/>
      </c>
      <c r="D464" s="4" t="str">
        <f>IF($B464="","",  VLOOKUP($B464, Propostas!$B:$BE, 34, FALSE) )</f>
        <v/>
      </c>
      <c r="E464" s="4" t="str">
        <f>IF($B464="","",  VLOOKUP($B464, Propostas!$B:$BE, 35, FALSE) )</f>
        <v/>
      </c>
      <c r="F464" s="4" t="str">
        <f>IF($B464="","",  VLOOKUP($B464, Propostas!$B:$BE, 2, FALSE) )</f>
        <v/>
      </c>
      <c r="G464" s="4" t="str">
        <f>IF($B464="","",  VLOOKUP($B464, Propostas!$B:$BE, 3, FALSE) )</f>
        <v/>
      </c>
      <c r="H464" s="4" t="str">
        <f>IF($B464="","",  VLOOKUP($B464, Propostas!$B:$BE, 4, FALSE) )</f>
        <v/>
      </c>
      <c r="I464" s="4" t="str">
        <f>IF($B464="","",  VLOOKUP($B464, Propostas!$B:$BE, 38, FALSE) )</f>
        <v/>
      </c>
      <c r="J464" s="13" t="str">
        <f>IF($B464="","",IF($C464="SIM", "&lt; INFRRAESTRUTURA &gt;", VLOOKUP($B464,Propostas!$B:$BE,41,FALSE)))</f>
        <v/>
      </c>
      <c r="K464" s="10" t="str">
        <f>IF($B464="","",  VLOOKUP($B464, Propostas!$B:$BE, 40, FALSE) )</f>
        <v/>
      </c>
      <c r="L464" s="10" t="str">
        <f>IF($B464="","",IF(VLOOKUP($B464,Propostas!$B:$BE,21,FALSE)=1,"B",IF(VLOOKUP($B464,Propostas!$B:$BE,21,FALSE)=2,"E","N")))</f>
        <v/>
      </c>
      <c r="M464" s="32" t="str">
        <f>IF($B464 = "", "",  VLOOKUP($B464, Propostas!$B:$BE, 46, FALSE) )</f>
        <v/>
      </c>
      <c r="N464" s="32" t="str">
        <f>IF($B464 = "", "",  VLOOKUP($B464, Propostas!$B:$BE, 47, FALSE) )</f>
        <v/>
      </c>
      <c r="O464" s="13" t="str">
        <f>IF($B464="","",IF($C464="SIM", "INFRAESTRUTURA", VLOOKUP($B464, Propostas!$B:$BE,42,FALSE)))</f>
        <v/>
      </c>
      <c r="P464" s="32" t="str">
        <f>IF($B464 = "", "",  VLOOKUP($B464, Propostas!$B:$BE, 49, FALSE) )</f>
        <v/>
      </c>
      <c r="Q464" s="13" t="str">
        <f>IF($B464="","",  VLOOKUP($B464, Propostas!$B:$BE, 39, FALSE) )</f>
        <v/>
      </c>
      <c r="R464" s="81" t="str">
        <f>IF($B464="","",  VLOOKUP($B464, Propostas!$B:$BE, 43, FALSE) )</f>
        <v/>
      </c>
      <c r="S464" s="81" t="str">
        <f>IF($B464="","",  VLOOKUP($B464, Propostas!$B:$BE, 44, FALSE) )</f>
        <v/>
      </c>
      <c r="T464" s="81" t="str">
        <f>IF($B464="","",  VLOOKUP($B464, Propostas!$B:$BE, 45, FALSE) )</f>
        <v/>
      </c>
      <c r="U464" s="32" t="str">
        <f>IF($B464="","",  VLOOKUP($B464, Propostas!$B:$BE, 37, FALSE) )</f>
        <v/>
      </c>
      <c r="V464" s="13" t="str">
        <f>IF($B464="","",  VLOOKUP($B464, Propostas!$B:$BE, 50, FALSE) )</f>
        <v/>
      </c>
      <c r="W464" s="13" t="str">
        <f>IF($B464="","",  VLOOKUP($B464, Propostas!$B:$BE, 51, FALSE) )</f>
        <v/>
      </c>
      <c r="X464" s="13" t="str">
        <f>IF($B464="","",  VLOOKUP($B464, Propostas!$B:$BE, 52, FALSE) )</f>
        <v/>
      </c>
      <c r="Y464" s="13" t="str">
        <f>IF($B464="","",  VLOOKUP($B464, Propostas!$B:$BE, 36, FALSE) )</f>
        <v/>
      </c>
      <c r="Z464" s="13" t="str">
        <f>IF($B464="","",  VLOOKUP($F464, VW_PROJETO!B:C, 2, FALSE) )</f>
        <v/>
      </c>
    </row>
    <row r="465" spans="2:26" x14ac:dyDescent="0.2">
      <c r="B465" s="2"/>
      <c r="C465" s="4" t="str">
        <f>IF($B465="","",  VLOOKUP($B465, Propostas!$B:$BE, 33, FALSE) )</f>
        <v/>
      </c>
      <c r="D465" s="4" t="str">
        <f>IF($B465="","",  VLOOKUP($B465, Propostas!$B:$BE, 34, FALSE) )</f>
        <v/>
      </c>
      <c r="E465" s="4" t="str">
        <f>IF($B465="","",  VLOOKUP($B465, Propostas!$B:$BE, 35, FALSE) )</f>
        <v/>
      </c>
      <c r="F465" s="4" t="str">
        <f>IF($B465="","",  VLOOKUP($B465, Propostas!$B:$BE, 2, FALSE) )</f>
        <v/>
      </c>
      <c r="G465" s="4" t="str">
        <f>IF($B465="","",  VLOOKUP($B465, Propostas!$B:$BE, 3, FALSE) )</f>
        <v/>
      </c>
      <c r="H465" s="4" t="str">
        <f>IF($B465="","",  VLOOKUP($B465, Propostas!$B:$BE, 4, FALSE) )</f>
        <v/>
      </c>
      <c r="I465" s="4" t="str">
        <f>IF($B465="","",  VLOOKUP($B465, Propostas!$B:$BE, 38, FALSE) )</f>
        <v/>
      </c>
      <c r="J465" s="13" t="str">
        <f>IF($B465="","",IF($C465="SIM", "&lt; INFRRAESTRUTURA &gt;", VLOOKUP($B465,Propostas!$B:$BE,41,FALSE)))</f>
        <v/>
      </c>
      <c r="K465" s="10" t="str">
        <f>IF($B465="","",  VLOOKUP($B465, Propostas!$B:$BE, 40, FALSE) )</f>
        <v/>
      </c>
      <c r="L465" s="10" t="str">
        <f>IF($B465="","",IF(VLOOKUP($B465,Propostas!$B:$BE,21,FALSE)=1,"B",IF(VLOOKUP($B465,Propostas!$B:$BE,21,FALSE)=2,"E","N")))</f>
        <v/>
      </c>
      <c r="M465" s="32" t="str">
        <f>IF($B465 = "", "",  VLOOKUP($B465, Propostas!$B:$BE, 46, FALSE) )</f>
        <v/>
      </c>
      <c r="N465" s="32" t="str">
        <f>IF($B465 = "", "",  VLOOKUP($B465, Propostas!$B:$BE, 47, FALSE) )</f>
        <v/>
      </c>
      <c r="O465" s="13" t="str">
        <f>IF($B465="","",IF($C465="SIM", "INFRAESTRUTURA", VLOOKUP($B465, Propostas!$B:$BE,42,FALSE)))</f>
        <v/>
      </c>
      <c r="P465" s="32" t="str">
        <f>IF($B465 = "", "",  VLOOKUP($B465, Propostas!$B:$BE, 49, FALSE) )</f>
        <v/>
      </c>
      <c r="Q465" s="13" t="str">
        <f>IF($B465="","",  VLOOKUP($B465, Propostas!$B:$BE, 39, FALSE) )</f>
        <v/>
      </c>
      <c r="R465" s="81" t="str">
        <f>IF($B465="","",  VLOOKUP($B465, Propostas!$B:$BE, 43, FALSE) )</f>
        <v/>
      </c>
      <c r="S465" s="81" t="str">
        <f>IF($B465="","",  VLOOKUP($B465, Propostas!$B:$BE, 44, FALSE) )</f>
        <v/>
      </c>
      <c r="T465" s="81" t="str">
        <f>IF($B465="","",  VLOOKUP($B465, Propostas!$B:$BE, 45, FALSE) )</f>
        <v/>
      </c>
      <c r="U465" s="32" t="str">
        <f>IF($B465="","",  VLOOKUP($B465, Propostas!$B:$BE, 37, FALSE) )</f>
        <v/>
      </c>
      <c r="V465" s="13" t="str">
        <f>IF($B465="","",  VLOOKUP($B465, Propostas!$B:$BE, 50, FALSE) )</f>
        <v/>
      </c>
      <c r="W465" s="13" t="str">
        <f>IF($B465="","",  VLOOKUP($B465, Propostas!$B:$BE, 51, FALSE) )</f>
        <v/>
      </c>
      <c r="X465" s="13" t="str">
        <f>IF($B465="","",  VLOOKUP($B465, Propostas!$B:$BE, 52, FALSE) )</f>
        <v/>
      </c>
      <c r="Y465" s="13" t="str">
        <f>IF($B465="","",  VLOOKUP($B465, Propostas!$B:$BE, 36, FALSE) )</f>
        <v/>
      </c>
      <c r="Z465" s="13" t="str">
        <f>IF($B465="","",  VLOOKUP($F465, VW_PROJETO!B:C, 2, FALSE) )</f>
        <v/>
      </c>
    </row>
    <row r="466" spans="2:26" x14ac:dyDescent="0.2">
      <c r="B466" s="2"/>
      <c r="C466" s="4" t="str">
        <f>IF($B466="","",  VLOOKUP($B466, Propostas!$B:$BE, 33, FALSE) )</f>
        <v/>
      </c>
      <c r="D466" s="4" t="str">
        <f>IF($B466="","",  VLOOKUP($B466, Propostas!$B:$BE, 34, FALSE) )</f>
        <v/>
      </c>
      <c r="E466" s="4" t="str">
        <f>IF($B466="","",  VLOOKUP($B466, Propostas!$B:$BE, 35, FALSE) )</f>
        <v/>
      </c>
      <c r="F466" s="4" t="str">
        <f>IF($B466="","",  VLOOKUP($B466, Propostas!$B:$BE, 2, FALSE) )</f>
        <v/>
      </c>
      <c r="G466" s="4" t="str">
        <f>IF($B466="","",  VLOOKUP($B466, Propostas!$B:$BE, 3, FALSE) )</f>
        <v/>
      </c>
      <c r="H466" s="4" t="str">
        <f>IF($B466="","",  VLOOKUP($B466, Propostas!$B:$BE, 4, FALSE) )</f>
        <v/>
      </c>
      <c r="I466" s="4" t="str">
        <f>IF($B466="","",  VLOOKUP($B466, Propostas!$B:$BE, 38, FALSE) )</f>
        <v/>
      </c>
      <c r="J466" s="13" t="str">
        <f>IF($B466="","",IF($C466="SIM", "&lt; INFRRAESTRUTURA &gt;", VLOOKUP($B466,Propostas!$B:$BE,41,FALSE)))</f>
        <v/>
      </c>
      <c r="K466" s="10" t="str">
        <f>IF($B466="","",  VLOOKUP($B466, Propostas!$B:$BE, 40, FALSE) )</f>
        <v/>
      </c>
      <c r="L466" s="10" t="str">
        <f>IF($B466="","",IF(VLOOKUP($B466,Propostas!$B:$BE,21,FALSE)=1,"B",IF(VLOOKUP($B466,Propostas!$B:$BE,21,FALSE)=2,"E","N")))</f>
        <v/>
      </c>
      <c r="M466" s="32" t="str">
        <f>IF($B466 = "", "",  VLOOKUP($B466, Propostas!$B:$BE, 46, FALSE) )</f>
        <v/>
      </c>
      <c r="N466" s="32" t="str">
        <f>IF($B466 = "", "",  VLOOKUP($B466, Propostas!$B:$BE, 47, FALSE) )</f>
        <v/>
      </c>
      <c r="O466" s="13" t="str">
        <f>IF($B466="","",IF($C466="SIM", "INFRAESTRUTURA", VLOOKUP($B466, Propostas!$B:$BE,42,FALSE)))</f>
        <v/>
      </c>
      <c r="P466" s="32" t="str">
        <f>IF($B466 = "", "",  VLOOKUP($B466, Propostas!$B:$BE, 49, FALSE) )</f>
        <v/>
      </c>
      <c r="Q466" s="13" t="str">
        <f>IF($B466="","",  VLOOKUP($B466, Propostas!$B:$BE, 39, FALSE) )</f>
        <v/>
      </c>
      <c r="R466" s="81" t="str">
        <f>IF($B466="","",  VLOOKUP($B466, Propostas!$B:$BE, 43, FALSE) )</f>
        <v/>
      </c>
      <c r="S466" s="81" t="str">
        <f>IF($B466="","",  VLOOKUP($B466, Propostas!$B:$BE, 44, FALSE) )</f>
        <v/>
      </c>
      <c r="T466" s="81" t="str">
        <f>IF($B466="","",  VLOOKUP($B466, Propostas!$B:$BE, 45, FALSE) )</f>
        <v/>
      </c>
      <c r="U466" s="32" t="str">
        <f>IF($B466="","",  VLOOKUP($B466, Propostas!$B:$BE, 37, FALSE) )</f>
        <v/>
      </c>
      <c r="V466" s="13" t="str">
        <f>IF($B466="","",  VLOOKUP($B466, Propostas!$B:$BE, 50, FALSE) )</f>
        <v/>
      </c>
      <c r="W466" s="13" t="str">
        <f>IF($B466="","",  VLOOKUP($B466, Propostas!$B:$BE, 51, FALSE) )</f>
        <v/>
      </c>
      <c r="X466" s="13" t="str">
        <f>IF($B466="","",  VLOOKUP($B466, Propostas!$B:$BE, 52, FALSE) )</f>
        <v/>
      </c>
      <c r="Y466" s="13" t="str">
        <f>IF($B466="","",  VLOOKUP($B466, Propostas!$B:$BE, 36, FALSE) )</f>
        <v/>
      </c>
      <c r="Z466" s="13" t="str">
        <f>IF($B466="","",  VLOOKUP($F466, VW_PROJETO!B:C, 2, FALSE) )</f>
        <v/>
      </c>
    </row>
    <row r="467" spans="2:26" x14ac:dyDescent="0.2">
      <c r="B467" s="2"/>
      <c r="C467" s="4" t="str">
        <f>IF($B467="","",  VLOOKUP($B467, Propostas!$B:$BE, 33, FALSE) )</f>
        <v/>
      </c>
      <c r="D467" s="4" t="str">
        <f>IF($B467="","",  VLOOKUP($B467, Propostas!$B:$BE, 34, FALSE) )</f>
        <v/>
      </c>
      <c r="E467" s="4" t="str">
        <f>IF($B467="","",  VLOOKUP($B467, Propostas!$B:$BE, 35, FALSE) )</f>
        <v/>
      </c>
      <c r="F467" s="4" t="str">
        <f>IF($B467="","",  VLOOKUP($B467, Propostas!$B:$BE, 2, FALSE) )</f>
        <v/>
      </c>
      <c r="G467" s="4" t="str">
        <f>IF($B467="","",  VLOOKUP($B467, Propostas!$B:$BE, 3, FALSE) )</f>
        <v/>
      </c>
      <c r="H467" s="4" t="str">
        <f>IF($B467="","",  VLOOKUP($B467, Propostas!$B:$BE, 4, FALSE) )</f>
        <v/>
      </c>
      <c r="I467" s="4" t="str">
        <f>IF($B467="","",  VLOOKUP($B467, Propostas!$B:$BE, 38, FALSE) )</f>
        <v/>
      </c>
      <c r="J467" s="13" t="str">
        <f>IF($B467="","",IF($C467="SIM", "&lt; INFRRAESTRUTURA &gt;", VLOOKUP($B467,Propostas!$B:$BE,41,FALSE)))</f>
        <v/>
      </c>
      <c r="K467" s="10" t="str">
        <f>IF($B467="","",  VLOOKUP($B467, Propostas!$B:$BE, 40, FALSE) )</f>
        <v/>
      </c>
      <c r="L467" s="10" t="str">
        <f>IF($B467="","",IF(VLOOKUP($B467,Propostas!$B:$BE,21,FALSE)=1,"B",IF(VLOOKUP($B467,Propostas!$B:$BE,21,FALSE)=2,"E","N")))</f>
        <v/>
      </c>
      <c r="M467" s="32" t="str">
        <f>IF($B467 = "", "",  VLOOKUP($B467, Propostas!$B:$BE, 46, FALSE) )</f>
        <v/>
      </c>
      <c r="N467" s="32" t="str">
        <f>IF($B467 = "", "",  VLOOKUP($B467, Propostas!$B:$BE, 47, FALSE) )</f>
        <v/>
      </c>
      <c r="O467" s="13" t="str">
        <f>IF($B467="","",IF($C467="SIM", "INFRAESTRUTURA", VLOOKUP($B467, Propostas!$B:$BE,42,FALSE)))</f>
        <v/>
      </c>
      <c r="P467" s="32" t="str">
        <f>IF($B467 = "", "",  VLOOKUP($B467, Propostas!$B:$BE, 49, FALSE) )</f>
        <v/>
      </c>
      <c r="Q467" s="13" t="str">
        <f>IF($B467="","",  VLOOKUP($B467, Propostas!$B:$BE, 39, FALSE) )</f>
        <v/>
      </c>
      <c r="R467" s="81" t="str">
        <f>IF($B467="","",  VLOOKUP($B467, Propostas!$B:$BE, 43, FALSE) )</f>
        <v/>
      </c>
      <c r="S467" s="81" t="str">
        <f>IF($B467="","",  VLOOKUP($B467, Propostas!$B:$BE, 44, FALSE) )</f>
        <v/>
      </c>
      <c r="T467" s="81" t="str">
        <f>IF($B467="","",  VLOOKUP($B467, Propostas!$B:$BE, 45, FALSE) )</f>
        <v/>
      </c>
      <c r="U467" s="32" t="str">
        <f>IF($B467="","",  VLOOKUP($B467, Propostas!$B:$BE, 37, FALSE) )</f>
        <v/>
      </c>
      <c r="V467" s="13" t="str">
        <f>IF($B467="","",  VLOOKUP($B467, Propostas!$B:$BE, 50, FALSE) )</f>
        <v/>
      </c>
      <c r="W467" s="13" t="str">
        <f>IF($B467="","",  VLOOKUP($B467, Propostas!$B:$BE, 51, FALSE) )</f>
        <v/>
      </c>
      <c r="X467" s="13" t="str">
        <f>IF($B467="","",  VLOOKUP($B467, Propostas!$B:$BE, 52, FALSE) )</f>
        <v/>
      </c>
      <c r="Y467" s="13" t="str">
        <f>IF($B467="","",  VLOOKUP($B467, Propostas!$B:$BE, 36, FALSE) )</f>
        <v/>
      </c>
      <c r="Z467" s="13" t="str">
        <f>IF($B467="","",  VLOOKUP($F467, VW_PROJETO!B:C, 2, FALSE) )</f>
        <v/>
      </c>
    </row>
    <row r="468" spans="2:26" x14ac:dyDescent="0.2">
      <c r="B468" s="2"/>
      <c r="C468" s="4" t="str">
        <f>IF($B468="","",  VLOOKUP($B468, Propostas!$B:$BE, 33, FALSE) )</f>
        <v/>
      </c>
      <c r="D468" s="4" t="str">
        <f>IF($B468="","",  VLOOKUP($B468, Propostas!$B:$BE, 34, FALSE) )</f>
        <v/>
      </c>
      <c r="E468" s="4" t="str">
        <f>IF($B468="","",  VLOOKUP($B468, Propostas!$B:$BE, 35, FALSE) )</f>
        <v/>
      </c>
      <c r="F468" s="4" t="str">
        <f>IF($B468="","",  VLOOKUP($B468, Propostas!$B:$BE, 2, FALSE) )</f>
        <v/>
      </c>
      <c r="G468" s="4" t="str">
        <f>IF($B468="","",  VLOOKUP($B468, Propostas!$B:$BE, 3, FALSE) )</f>
        <v/>
      </c>
      <c r="H468" s="4" t="str">
        <f>IF($B468="","",  VLOOKUP($B468, Propostas!$B:$BE, 4, FALSE) )</f>
        <v/>
      </c>
      <c r="I468" s="4" t="str">
        <f>IF($B468="","",  VLOOKUP($B468, Propostas!$B:$BE, 38, FALSE) )</f>
        <v/>
      </c>
      <c r="J468" s="13" t="str">
        <f>IF($B468="","",IF($C468="SIM", "&lt; INFRRAESTRUTURA &gt;", VLOOKUP($B468,Propostas!$B:$BE,41,FALSE)))</f>
        <v/>
      </c>
      <c r="K468" s="10" t="str">
        <f>IF($B468="","",  VLOOKUP($B468, Propostas!$B:$BE, 40, FALSE) )</f>
        <v/>
      </c>
      <c r="L468" s="10" t="str">
        <f>IF($B468="","",IF(VLOOKUP($B468,Propostas!$B:$BE,21,FALSE)=1,"B",IF(VLOOKUP($B468,Propostas!$B:$BE,21,FALSE)=2,"E","N")))</f>
        <v/>
      </c>
      <c r="M468" s="32" t="str">
        <f>IF($B468 = "", "",  VLOOKUP($B468, Propostas!$B:$BE, 46, FALSE) )</f>
        <v/>
      </c>
      <c r="N468" s="32" t="str">
        <f>IF($B468 = "", "",  VLOOKUP($B468, Propostas!$B:$BE, 47, FALSE) )</f>
        <v/>
      </c>
      <c r="O468" s="13" t="str">
        <f>IF($B468="","",IF($C468="SIM", "INFRAESTRUTURA", VLOOKUP($B468, Propostas!$B:$BE,42,FALSE)))</f>
        <v/>
      </c>
      <c r="P468" s="32" t="str">
        <f>IF($B468 = "", "",  VLOOKUP($B468, Propostas!$B:$BE, 49, FALSE) )</f>
        <v/>
      </c>
      <c r="Q468" s="13" t="str">
        <f>IF($B468="","",  VLOOKUP($B468, Propostas!$B:$BE, 39, FALSE) )</f>
        <v/>
      </c>
      <c r="R468" s="81" t="str">
        <f>IF($B468="","",  VLOOKUP($B468, Propostas!$B:$BE, 43, FALSE) )</f>
        <v/>
      </c>
      <c r="S468" s="81" t="str">
        <f>IF($B468="","",  VLOOKUP($B468, Propostas!$B:$BE, 44, FALSE) )</f>
        <v/>
      </c>
      <c r="T468" s="81" t="str">
        <f>IF($B468="","",  VLOOKUP($B468, Propostas!$B:$BE, 45, FALSE) )</f>
        <v/>
      </c>
      <c r="U468" s="32" t="str">
        <f>IF($B468="","",  VLOOKUP($B468, Propostas!$B:$BE, 37, FALSE) )</f>
        <v/>
      </c>
      <c r="V468" s="13" t="str">
        <f>IF($B468="","",  VLOOKUP($B468, Propostas!$B:$BE, 50, FALSE) )</f>
        <v/>
      </c>
      <c r="W468" s="13" t="str">
        <f>IF($B468="","",  VLOOKUP($B468, Propostas!$B:$BE, 51, FALSE) )</f>
        <v/>
      </c>
      <c r="X468" s="13" t="str">
        <f>IF($B468="","",  VLOOKUP($B468, Propostas!$B:$BE, 52, FALSE) )</f>
        <v/>
      </c>
      <c r="Y468" s="13" t="str">
        <f>IF($B468="","",  VLOOKUP($B468, Propostas!$B:$BE, 36, FALSE) )</f>
        <v/>
      </c>
      <c r="Z468" s="13" t="str">
        <f>IF($B468="","",  VLOOKUP($F468, VW_PROJETO!B:C, 2, FALSE) )</f>
        <v/>
      </c>
    </row>
    <row r="469" spans="2:26" x14ac:dyDescent="0.2">
      <c r="B469" s="2"/>
      <c r="C469" s="4" t="str">
        <f>IF($B469="","",  VLOOKUP($B469, Propostas!$B:$BE, 33, FALSE) )</f>
        <v/>
      </c>
      <c r="D469" s="4" t="str">
        <f>IF($B469="","",  VLOOKUP($B469, Propostas!$B:$BE, 34, FALSE) )</f>
        <v/>
      </c>
      <c r="E469" s="4" t="str">
        <f>IF($B469="","",  VLOOKUP($B469, Propostas!$B:$BE, 35, FALSE) )</f>
        <v/>
      </c>
      <c r="F469" s="4" t="str">
        <f>IF($B469="","",  VLOOKUP($B469, Propostas!$B:$BE, 2, FALSE) )</f>
        <v/>
      </c>
      <c r="G469" s="4" t="str">
        <f>IF($B469="","",  VLOOKUP($B469, Propostas!$B:$BE, 3, FALSE) )</f>
        <v/>
      </c>
      <c r="H469" s="4" t="str">
        <f>IF($B469="","",  VLOOKUP($B469, Propostas!$B:$BE, 4, FALSE) )</f>
        <v/>
      </c>
      <c r="I469" s="4" t="str">
        <f>IF($B469="","",  VLOOKUP($B469, Propostas!$B:$BE, 38, FALSE) )</f>
        <v/>
      </c>
      <c r="J469" s="13" t="str">
        <f>IF($B469="","",IF($C469="SIM", "&lt; INFRRAESTRUTURA &gt;", VLOOKUP($B469,Propostas!$B:$BE,41,FALSE)))</f>
        <v/>
      </c>
      <c r="K469" s="10" t="str">
        <f>IF($B469="","",  VLOOKUP($B469, Propostas!$B:$BE, 40, FALSE) )</f>
        <v/>
      </c>
      <c r="L469" s="10" t="str">
        <f>IF($B469="","",IF(VLOOKUP($B469,Propostas!$B:$BE,21,FALSE)=1,"B",IF(VLOOKUP($B469,Propostas!$B:$BE,21,FALSE)=2,"E","N")))</f>
        <v/>
      </c>
      <c r="M469" s="32" t="str">
        <f>IF($B469 = "", "",  VLOOKUP($B469, Propostas!$B:$BE, 46, FALSE) )</f>
        <v/>
      </c>
      <c r="N469" s="32" t="str">
        <f>IF($B469 = "", "",  VLOOKUP($B469, Propostas!$B:$BE, 47, FALSE) )</f>
        <v/>
      </c>
      <c r="O469" s="13" t="str">
        <f>IF($B469="","",IF($C469="SIM", "INFRAESTRUTURA", VLOOKUP($B469, Propostas!$B:$BE,42,FALSE)))</f>
        <v/>
      </c>
      <c r="P469" s="32" t="str">
        <f>IF($B469 = "", "",  VLOOKUP($B469, Propostas!$B:$BE, 49, FALSE) )</f>
        <v/>
      </c>
      <c r="Q469" s="13" t="str">
        <f>IF($B469="","",  VLOOKUP($B469, Propostas!$B:$BE, 39, FALSE) )</f>
        <v/>
      </c>
      <c r="R469" s="81" t="str">
        <f>IF($B469="","",  VLOOKUP($B469, Propostas!$B:$BE, 43, FALSE) )</f>
        <v/>
      </c>
      <c r="S469" s="81" t="str">
        <f>IF($B469="","",  VLOOKUP($B469, Propostas!$B:$BE, 44, FALSE) )</f>
        <v/>
      </c>
      <c r="T469" s="81" t="str">
        <f>IF($B469="","",  VLOOKUP($B469, Propostas!$B:$BE, 45, FALSE) )</f>
        <v/>
      </c>
      <c r="U469" s="32" t="str">
        <f>IF($B469="","",  VLOOKUP($B469, Propostas!$B:$BE, 37, FALSE) )</f>
        <v/>
      </c>
      <c r="V469" s="13" t="str">
        <f>IF($B469="","",  VLOOKUP($B469, Propostas!$B:$BE, 50, FALSE) )</f>
        <v/>
      </c>
      <c r="W469" s="13" t="str">
        <f>IF($B469="","",  VLOOKUP($B469, Propostas!$B:$BE, 51, FALSE) )</f>
        <v/>
      </c>
      <c r="X469" s="13" t="str">
        <f>IF($B469="","",  VLOOKUP($B469, Propostas!$B:$BE, 52, FALSE) )</f>
        <v/>
      </c>
      <c r="Y469" s="13" t="str">
        <f>IF($B469="","",  VLOOKUP($B469, Propostas!$B:$BE, 36, FALSE) )</f>
        <v/>
      </c>
      <c r="Z469" s="13" t="str">
        <f>IF($B469="","",  VLOOKUP($F469, VW_PROJETO!B:C, 2, FALSE) )</f>
        <v/>
      </c>
    </row>
    <row r="470" spans="2:26" x14ac:dyDescent="0.2">
      <c r="B470" s="2"/>
      <c r="C470" s="4" t="str">
        <f>IF($B470="","",  VLOOKUP($B470, Propostas!$B:$BE, 33, FALSE) )</f>
        <v/>
      </c>
      <c r="D470" s="4" t="str">
        <f>IF($B470="","",  VLOOKUP($B470, Propostas!$B:$BE, 34, FALSE) )</f>
        <v/>
      </c>
      <c r="E470" s="4" t="str">
        <f>IF($B470="","",  VLOOKUP($B470, Propostas!$B:$BE, 35, FALSE) )</f>
        <v/>
      </c>
      <c r="F470" s="4" t="str">
        <f>IF($B470="","",  VLOOKUP($B470, Propostas!$B:$BE, 2, FALSE) )</f>
        <v/>
      </c>
      <c r="G470" s="4" t="str">
        <f>IF($B470="","",  VLOOKUP($B470, Propostas!$B:$BE, 3, FALSE) )</f>
        <v/>
      </c>
      <c r="H470" s="4" t="str">
        <f>IF($B470="","",  VLOOKUP($B470, Propostas!$B:$BE, 4, FALSE) )</f>
        <v/>
      </c>
      <c r="I470" s="4" t="str">
        <f>IF($B470="","",  VLOOKUP($B470, Propostas!$B:$BE, 38, FALSE) )</f>
        <v/>
      </c>
      <c r="J470" s="13" t="str">
        <f>IF($B470="","",IF($C470="SIM", "&lt; INFRRAESTRUTURA &gt;", VLOOKUP($B470,Propostas!$B:$BE,41,FALSE)))</f>
        <v/>
      </c>
      <c r="K470" s="10" t="str">
        <f>IF($B470="","",  VLOOKUP($B470, Propostas!$B:$BE, 40, FALSE) )</f>
        <v/>
      </c>
      <c r="L470" s="10" t="str">
        <f>IF($B470="","",IF(VLOOKUP($B470,Propostas!$B:$BE,21,FALSE)=1,"B",IF(VLOOKUP($B470,Propostas!$B:$BE,21,FALSE)=2,"E","N")))</f>
        <v/>
      </c>
      <c r="M470" s="32" t="str">
        <f>IF($B470 = "", "",  VLOOKUP($B470, Propostas!$B:$BE, 46, FALSE) )</f>
        <v/>
      </c>
      <c r="N470" s="32" t="str">
        <f>IF($B470 = "", "",  VLOOKUP($B470, Propostas!$B:$BE, 47, FALSE) )</f>
        <v/>
      </c>
      <c r="O470" s="13" t="str">
        <f>IF($B470="","",IF($C470="SIM", "INFRAESTRUTURA", VLOOKUP($B470, Propostas!$B:$BE,42,FALSE)))</f>
        <v/>
      </c>
      <c r="P470" s="32" t="str">
        <f>IF($B470 = "", "",  VLOOKUP($B470, Propostas!$B:$BE, 49, FALSE) )</f>
        <v/>
      </c>
      <c r="Q470" s="13" t="str">
        <f>IF($B470="","",  VLOOKUP($B470, Propostas!$B:$BE, 39, FALSE) )</f>
        <v/>
      </c>
      <c r="R470" s="81" t="str">
        <f>IF($B470="","",  VLOOKUP($B470, Propostas!$B:$BE, 43, FALSE) )</f>
        <v/>
      </c>
      <c r="S470" s="81" t="str">
        <f>IF($B470="","",  VLOOKUP($B470, Propostas!$B:$BE, 44, FALSE) )</f>
        <v/>
      </c>
      <c r="T470" s="81" t="str">
        <f>IF($B470="","",  VLOOKUP($B470, Propostas!$B:$BE, 45, FALSE) )</f>
        <v/>
      </c>
      <c r="U470" s="32" t="str">
        <f>IF($B470="","",  VLOOKUP($B470, Propostas!$B:$BE, 37, FALSE) )</f>
        <v/>
      </c>
      <c r="V470" s="13" t="str">
        <f>IF($B470="","",  VLOOKUP($B470, Propostas!$B:$BE, 50, FALSE) )</f>
        <v/>
      </c>
      <c r="W470" s="13" t="str">
        <f>IF($B470="","",  VLOOKUP($B470, Propostas!$B:$BE, 51, FALSE) )</f>
        <v/>
      </c>
      <c r="X470" s="13" t="str">
        <f>IF($B470="","",  VLOOKUP($B470, Propostas!$B:$BE, 52, FALSE) )</f>
        <v/>
      </c>
      <c r="Y470" s="13" t="str">
        <f>IF($B470="","",  VLOOKUP($B470, Propostas!$B:$BE, 36, FALSE) )</f>
        <v/>
      </c>
      <c r="Z470" s="13" t="str">
        <f>IF($B470="","",  VLOOKUP($F470, VW_PROJETO!B:C, 2, FALSE) )</f>
        <v/>
      </c>
    </row>
    <row r="471" spans="2:26" x14ac:dyDescent="0.2">
      <c r="B471" s="2"/>
      <c r="C471" s="4" t="str">
        <f>IF($B471="","",  VLOOKUP($B471, Propostas!$B:$BE, 33, FALSE) )</f>
        <v/>
      </c>
      <c r="D471" s="4" t="str">
        <f>IF($B471="","",  VLOOKUP($B471, Propostas!$B:$BE, 34, FALSE) )</f>
        <v/>
      </c>
      <c r="E471" s="4" t="str">
        <f>IF($B471="","",  VLOOKUP($B471, Propostas!$B:$BE, 35, FALSE) )</f>
        <v/>
      </c>
      <c r="F471" s="4" t="str">
        <f>IF($B471="","",  VLOOKUP($B471, Propostas!$B:$BE, 2, FALSE) )</f>
        <v/>
      </c>
      <c r="G471" s="4" t="str">
        <f>IF($B471="","",  VLOOKUP($B471, Propostas!$B:$BE, 3, FALSE) )</f>
        <v/>
      </c>
      <c r="H471" s="4" t="str">
        <f>IF($B471="","",  VLOOKUP($B471, Propostas!$B:$BE, 4, FALSE) )</f>
        <v/>
      </c>
      <c r="I471" s="4" t="str">
        <f>IF($B471="","",  VLOOKUP($B471, Propostas!$B:$BE, 38, FALSE) )</f>
        <v/>
      </c>
      <c r="J471" s="13" t="str">
        <f>IF($B471="","",IF($C471="SIM", "&lt; INFRRAESTRUTURA &gt;", VLOOKUP($B471,Propostas!$B:$BE,41,FALSE)))</f>
        <v/>
      </c>
      <c r="K471" s="10" t="str">
        <f>IF($B471="","",  VLOOKUP($B471, Propostas!$B:$BE, 40, FALSE) )</f>
        <v/>
      </c>
      <c r="L471" s="10" t="str">
        <f>IF($B471="","",IF(VLOOKUP($B471,Propostas!$B:$BE,21,FALSE)=1,"B",IF(VLOOKUP($B471,Propostas!$B:$BE,21,FALSE)=2,"E","N")))</f>
        <v/>
      </c>
      <c r="M471" s="32" t="str">
        <f>IF($B471 = "", "",  VLOOKUP($B471, Propostas!$B:$BE, 46, FALSE) )</f>
        <v/>
      </c>
      <c r="N471" s="32" t="str">
        <f>IF($B471 = "", "",  VLOOKUP($B471, Propostas!$B:$BE, 47, FALSE) )</f>
        <v/>
      </c>
      <c r="O471" s="13" t="str">
        <f>IF($B471="","",IF($C471="SIM", "INFRAESTRUTURA", VLOOKUP($B471, Propostas!$B:$BE,42,FALSE)))</f>
        <v/>
      </c>
      <c r="P471" s="32" t="str">
        <f>IF($B471 = "", "",  VLOOKUP($B471, Propostas!$B:$BE, 49, FALSE) )</f>
        <v/>
      </c>
      <c r="Q471" s="13" t="str">
        <f>IF($B471="","",  VLOOKUP($B471, Propostas!$B:$BE, 39, FALSE) )</f>
        <v/>
      </c>
      <c r="R471" s="81" t="str">
        <f>IF($B471="","",  VLOOKUP($B471, Propostas!$B:$BE, 43, FALSE) )</f>
        <v/>
      </c>
      <c r="S471" s="81" t="str">
        <f>IF($B471="","",  VLOOKUP($B471, Propostas!$B:$BE, 44, FALSE) )</f>
        <v/>
      </c>
      <c r="T471" s="81" t="str">
        <f>IF($B471="","",  VLOOKUP($B471, Propostas!$B:$BE, 45, FALSE) )</f>
        <v/>
      </c>
      <c r="U471" s="32" t="str">
        <f>IF($B471="","",  VLOOKUP($B471, Propostas!$B:$BE, 37, FALSE) )</f>
        <v/>
      </c>
      <c r="V471" s="13" t="str">
        <f>IF($B471="","",  VLOOKUP($B471, Propostas!$B:$BE, 50, FALSE) )</f>
        <v/>
      </c>
      <c r="W471" s="13" t="str">
        <f>IF($B471="","",  VLOOKUP($B471, Propostas!$B:$BE, 51, FALSE) )</f>
        <v/>
      </c>
      <c r="X471" s="13" t="str">
        <f>IF($B471="","",  VLOOKUP($B471, Propostas!$B:$BE, 52, FALSE) )</f>
        <v/>
      </c>
      <c r="Y471" s="13" t="str">
        <f>IF($B471="","",  VLOOKUP($B471, Propostas!$B:$BE, 36, FALSE) )</f>
        <v/>
      </c>
      <c r="Z471" s="13" t="str">
        <f>IF($B471="","",  VLOOKUP($F471, VW_PROJETO!B:C, 2, FALSE) )</f>
        <v/>
      </c>
    </row>
    <row r="472" spans="2:26" x14ac:dyDescent="0.2">
      <c r="B472" s="2"/>
      <c r="C472" s="4" t="str">
        <f>IF($B472="","",  VLOOKUP($B472, Propostas!$B:$BE, 33, FALSE) )</f>
        <v/>
      </c>
      <c r="D472" s="4" t="str">
        <f>IF($B472="","",  VLOOKUP($B472, Propostas!$B:$BE, 34, FALSE) )</f>
        <v/>
      </c>
      <c r="E472" s="4" t="str">
        <f>IF($B472="","",  VLOOKUP($B472, Propostas!$B:$BE, 35, FALSE) )</f>
        <v/>
      </c>
      <c r="F472" s="4" t="str">
        <f>IF($B472="","",  VLOOKUP($B472, Propostas!$B:$BE, 2, FALSE) )</f>
        <v/>
      </c>
      <c r="G472" s="4" t="str">
        <f>IF($B472="","",  VLOOKUP($B472, Propostas!$B:$BE, 3, FALSE) )</f>
        <v/>
      </c>
      <c r="H472" s="4" t="str">
        <f>IF($B472="","",  VLOOKUP($B472, Propostas!$B:$BE, 4, FALSE) )</f>
        <v/>
      </c>
      <c r="I472" s="4" t="str">
        <f>IF($B472="","",  VLOOKUP($B472, Propostas!$B:$BE, 38, FALSE) )</f>
        <v/>
      </c>
      <c r="J472" s="13" t="str">
        <f>IF($B472="","",IF($C472="SIM", "&lt; INFRRAESTRUTURA &gt;", VLOOKUP($B472,Propostas!$B:$BE,41,FALSE)))</f>
        <v/>
      </c>
      <c r="K472" s="10" t="str">
        <f>IF($B472="","",  VLOOKUP($B472, Propostas!$B:$BE, 40, FALSE) )</f>
        <v/>
      </c>
      <c r="L472" s="10" t="str">
        <f>IF($B472="","",IF(VLOOKUP($B472,Propostas!$B:$BE,21,FALSE)=1,"B",IF(VLOOKUP($B472,Propostas!$B:$BE,21,FALSE)=2,"E","N")))</f>
        <v/>
      </c>
      <c r="M472" s="32" t="str">
        <f>IF($B472 = "", "",  VLOOKUP($B472, Propostas!$B:$BE, 46, FALSE) )</f>
        <v/>
      </c>
      <c r="N472" s="32" t="str">
        <f>IF($B472 = "", "",  VLOOKUP($B472, Propostas!$B:$BE, 47, FALSE) )</f>
        <v/>
      </c>
      <c r="O472" s="13" t="str">
        <f>IF($B472="","",IF($C472="SIM", "INFRAESTRUTURA", VLOOKUP($B472, Propostas!$B:$BE,42,FALSE)))</f>
        <v/>
      </c>
      <c r="P472" s="32" t="str">
        <f>IF($B472 = "", "",  VLOOKUP($B472, Propostas!$B:$BE, 49, FALSE) )</f>
        <v/>
      </c>
      <c r="Q472" s="13" t="str">
        <f>IF($B472="","",  VLOOKUP($B472, Propostas!$B:$BE, 39, FALSE) )</f>
        <v/>
      </c>
      <c r="R472" s="81" t="str">
        <f>IF($B472="","",  VLOOKUP($B472, Propostas!$B:$BE, 43, FALSE) )</f>
        <v/>
      </c>
      <c r="S472" s="81" t="str">
        <f>IF($B472="","",  VLOOKUP($B472, Propostas!$B:$BE, 44, FALSE) )</f>
        <v/>
      </c>
      <c r="T472" s="81" t="str">
        <f>IF($B472="","",  VLOOKUP($B472, Propostas!$B:$BE, 45, FALSE) )</f>
        <v/>
      </c>
      <c r="U472" s="32" t="str">
        <f>IF($B472="","",  VLOOKUP($B472, Propostas!$B:$BE, 37, FALSE) )</f>
        <v/>
      </c>
      <c r="V472" s="13" t="str">
        <f>IF($B472="","",  VLOOKUP($B472, Propostas!$B:$BE, 50, FALSE) )</f>
        <v/>
      </c>
      <c r="W472" s="13" t="str">
        <f>IF($B472="","",  VLOOKUP($B472, Propostas!$B:$BE, 51, FALSE) )</f>
        <v/>
      </c>
      <c r="X472" s="13" t="str">
        <f>IF($B472="","",  VLOOKUP($B472, Propostas!$B:$BE, 52, FALSE) )</f>
        <v/>
      </c>
      <c r="Y472" s="13" t="str">
        <f>IF($B472="","",  VLOOKUP($B472, Propostas!$B:$BE, 36, FALSE) )</f>
        <v/>
      </c>
      <c r="Z472" s="13" t="str">
        <f>IF($B472="","",  VLOOKUP($F472, VW_PROJETO!B:C, 2, FALSE) )</f>
        <v/>
      </c>
    </row>
    <row r="473" spans="2:26" x14ac:dyDescent="0.2">
      <c r="B473" s="2"/>
      <c r="C473" s="4" t="str">
        <f>IF($B473="","",  VLOOKUP($B473, Propostas!$B:$BE, 33, FALSE) )</f>
        <v/>
      </c>
      <c r="D473" s="4" t="str">
        <f>IF($B473="","",  VLOOKUP($B473, Propostas!$B:$BE, 34, FALSE) )</f>
        <v/>
      </c>
      <c r="E473" s="4" t="str">
        <f>IF($B473="","",  VLOOKUP($B473, Propostas!$B:$BE, 35, FALSE) )</f>
        <v/>
      </c>
      <c r="F473" s="4" t="str">
        <f>IF($B473="","",  VLOOKUP($B473, Propostas!$B:$BE, 2, FALSE) )</f>
        <v/>
      </c>
      <c r="G473" s="4" t="str">
        <f>IF($B473="","",  VLOOKUP($B473, Propostas!$B:$BE, 3, FALSE) )</f>
        <v/>
      </c>
      <c r="H473" s="4" t="str">
        <f>IF($B473="","",  VLOOKUP($B473, Propostas!$B:$BE, 4, FALSE) )</f>
        <v/>
      </c>
      <c r="I473" s="4" t="str">
        <f>IF($B473="","",  VLOOKUP($B473, Propostas!$B:$BE, 38, FALSE) )</f>
        <v/>
      </c>
      <c r="J473" s="13" t="str">
        <f>IF($B473="","",IF($C473="SIM", "&lt; INFRRAESTRUTURA &gt;", VLOOKUP($B473,Propostas!$B:$BE,41,FALSE)))</f>
        <v/>
      </c>
      <c r="K473" s="10" t="str">
        <f>IF($B473="","",  VLOOKUP($B473, Propostas!$B:$BE, 40, FALSE) )</f>
        <v/>
      </c>
      <c r="L473" s="10" t="str">
        <f>IF($B473="","",IF(VLOOKUP($B473,Propostas!$B:$BE,21,FALSE)=1,"B",IF(VLOOKUP($B473,Propostas!$B:$BE,21,FALSE)=2,"E","N")))</f>
        <v/>
      </c>
      <c r="M473" s="32" t="str">
        <f>IF($B473 = "", "",  VLOOKUP($B473, Propostas!$B:$BE, 46, FALSE) )</f>
        <v/>
      </c>
      <c r="N473" s="32" t="str">
        <f>IF($B473 = "", "",  VLOOKUP($B473, Propostas!$B:$BE, 47, FALSE) )</f>
        <v/>
      </c>
      <c r="O473" s="13" t="str">
        <f>IF($B473="","",IF($C473="SIM", "INFRAESTRUTURA", VLOOKUP($B473, Propostas!$B:$BE,42,FALSE)))</f>
        <v/>
      </c>
      <c r="P473" s="32" t="str">
        <f>IF($B473 = "", "",  VLOOKUP($B473, Propostas!$B:$BE, 49, FALSE) )</f>
        <v/>
      </c>
      <c r="Q473" s="13" t="str">
        <f>IF($B473="","",  VLOOKUP($B473, Propostas!$B:$BE, 39, FALSE) )</f>
        <v/>
      </c>
      <c r="R473" s="81" t="str">
        <f>IF($B473="","",  VLOOKUP($B473, Propostas!$B:$BE, 43, FALSE) )</f>
        <v/>
      </c>
      <c r="S473" s="81" t="str">
        <f>IF($B473="","",  VLOOKUP($B473, Propostas!$B:$BE, 44, FALSE) )</f>
        <v/>
      </c>
      <c r="T473" s="81" t="str">
        <f>IF($B473="","",  VLOOKUP($B473, Propostas!$B:$BE, 45, FALSE) )</f>
        <v/>
      </c>
      <c r="U473" s="32" t="str">
        <f>IF($B473="","",  VLOOKUP($B473, Propostas!$B:$BE, 37, FALSE) )</f>
        <v/>
      </c>
      <c r="V473" s="13" t="str">
        <f>IF($B473="","",  VLOOKUP($B473, Propostas!$B:$BE, 50, FALSE) )</f>
        <v/>
      </c>
      <c r="W473" s="13" t="str">
        <f>IF($B473="","",  VLOOKUP($B473, Propostas!$B:$BE, 51, FALSE) )</f>
        <v/>
      </c>
      <c r="X473" s="13" t="str">
        <f>IF($B473="","",  VLOOKUP($B473, Propostas!$B:$BE, 52, FALSE) )</f>
        <v/>
      </c>
      <c r="Y473" s="13" t="str">
        <f>IF($B473="","",  VLOOKUP($B473, Propostas!$B:$BE, 36, FALSE) )</f>
        <v/>
      </c>
      <c r="Z473" s="13" t="str">
        <f>IF($B473="","",  VLOOKUP($F473, VW_PROJETO!B:C, 2, FALSE) )</f>
        <v/>
      </c>
    </row>
    <row r="474" spans="2:26" x14ac:dyDescent="0.2">
      <c r="B474" s="2"/>
      <c r="C474" s="4" t="str">
        <f>IF($B474="","",  VLOOKUP($B474, Propostas!$B:$BE, 33, FALSE) )</f>
        <v/>
      </c>
      <c r="D474" s="4" t="str">
        <f>IF($B474="","",  VLOOKUP($B474, Propostas!$B:$BE, 34, FALSE) )</f>
        <v/>
      </c>
      <c r="E474" s="4" t="str">
        <f>IF($B474="","",  VLOOKUP($B474, Propostas!$B:$BE, 35, FALSE) )</f>
        <v/>
      </c>
      <c r="F474" s="4" t="str">
        <f>IF($B474="","",  VLOOKUP($B474, Propostas!$B:$BE, 2, FALSE) )</f>
        <v/>
      </c>
      <c r="G474" s="4" t="str">
        <f>IF($B474="","",  VLOOKUP($B474, Propostas!$B:$BE, 3, FALSE) )</f>
        <v/>
      </c>
      <c r="H474" s="4" t="str">
        <f>IF($B474="","",  VLOOKUP($B474, Propostas!$B:$BE, 4, FALSE) )</f>
        <v/>
      </c>
      <c r="I474" s="4" t="str">
        <f>IF($B474="","",  VLOOKUP($B474, Propostas!$B:$BE, 38, FALSE) )</f>
        <v/>
      </c>
      <c r="J474" s="13" t="str">
        <f>IF($B474="","",IF($C474="SIM", "&lt; INFRRAESTRUTURA &gt;", VLOOKUP($B474,Propostas!$B:$BE,41,FALSE)))</f>
        <v/>
      </c>
      <c r="K474" s="10" t="str">
        <f>IF($B474="","",  VLOOKUP($B474, Propostas!$B:$BE, 40, FALSE) )</f>
        <v/>
      </c>
      <c r="L474" s="10" t="str">
        <f>IF($B474="","",IF(VLOOKUP($B474,Propostas!$B:$BE,21,FALSE)=1,"B",IF(VLOOKUP($B474,Propostas!$B:$BE,21,FALSE)=2,"E","N")))</f>
        <v/>
      </c>
      <c r="M474" s="32" t="str">
        <f>IF($B474 = "", "",  VLOOKUP($B474, Propostas!$B:$BE, 46, FALSE) )</f>
        <v/>
      </c>
      <c r="N474" s="32" t="str">
        <f>IF($B474 = "", "",  VLOOKUP($B474, Propostas!$B:$BE, 47, FALSE) )</f>
        <v/>
      </c>
      <c r="O474" s="13" t="str">
        <f>IF($B474="","",IF($C474="SIM", "INFRAESTRUTURA", VLOOKUP($B474, Propostas!$B:$BE,42,FALSE)))</f>
        <v/>
      </c>
      <c r="P474" s="32" t="str">
        <f>IF($B474 = "", "",  VLOOKUP($B474, Propostas!$B:$BE, 49, FALSE) )</f>
        <v/>
      </c>
      <c r="Q474" s="13" t="str">
        <f>IF($B474="","",  VLOOKUP($B474, Propostas!$B:$BE, 39, FALSE) )</f>
        <v/>
      </c>
      <c r="R474" s="81" t="str">
        <f>IF($B474="","",  VLOOKUP($B474, Propostas!$B:$BE, 43, FALSE) )</f>
        <v/>
      </c>
      <c r="S474" s="81" t="str">
        <f>IF($B474="","",  VLOOKUP($B474, Propostas!$B:$BE, 44, FALSE) )</f>
        <v/>
      </c>
      <c r="T474" s="81" t="str">
        <f>IF($B474="","",  VLOOKUP($B474, Propostas!$B:$BE, 45, FALSE) )</f>
        <v/>
      </c>
      <c r="U474" s="32" t="str">
        <f>IF($B474="","",  VLOOKUP($B474, Propostas!$B:$BE, 37, FALSE) )</f>
        <v/>
      </c>
      <c r="V474" s="13" t="str">
        <f>IF($B474="","",  VLOOKUP($B474, Propostas!$B:$BE, 50, FALSE) )</f>
        <v/>
      </c>
      <c r="W474" s="13" t="str">
        <f>IF($B474="","",  VLOOKUP($B474, Propostas!$B:$BE, 51, FALSE) )</f>
        <v/>
      </c>
      <c r="X474" s="13" t="str">
        <f>IF($B474="","",  VLOOKUP($B474, Propostas!$B:$BE, 52, FALSE) )</f>
        <v/>
      </c>
      <c r="Y474" s="13" t="str">
        <f>IF($B474="","",  VLOOKUP($B474, Propostas!$B:$BE, 36, FALSE) )</f>
        <v/>
      </c>
      <c r="Z474" s="13" t="str">
        <f>IF($B474="","",  VLOOKUP($F474, VW_PROJETO!B:C, 2, FALSE) )</f>
        <v/>
      </c>
    </row>
    <row r="475" spans="2:26" x14ac:dyDescent="0.2">
      <c r="B475" s="2"/>
      <c r="C475" s="4" t="str">
        <f>IF($B475="","",  VLOOKUP($B475, Propostas!$B:$BE, 33, FALSE) )</f>
        <v/>
      </c>
      <c r="D475" s="4" t="str">
        <f>IF($B475="","",  VLOOKUP($B475, Propostas!$B:$BE, 34, FALSE) )</f>
        <v/>
      </c>
      <c r="E475" s="4" t="str">
        <f>IF($B475="","",  VLOOKUP($B475, Propostas!$B:$BE, 35, FALSE) )</f>
        <v/>
      </c>
      <c r="F475" s="4" t="str">
        <f>IF($B475="","",  VLOOKUP($B475, Propostas!$B:$BE, 2, FALSE) )</f>
        <v/>
      </c>
      <c r="G475" s="4" t="str">
        <f>IF($B475="","",  VLOOKUP($B475, Propostas!$B:$BE, 3, FALSE) )</f>
        <v/>
      </c>
      <c r="H475" s="4" t="str">
        <f>IF($B475="","",  VLOOKUP($B475, Propostas!$B:$BE, 4, FALSE) )</f>
        <v/>
      </c>
      <c r="I475" s="4" t="str">
        <f>IF($B475="","",  VLOOKUP($B475, Propostas!$B:$BE, 38, FALSE) )</f>
        <v/>
      </c>
      <c r="J475" s="13" t="str">
        <f>IF($B475="","",IF($C475="SIM", "&lt; INFRRAESTRUTURA &gt;", VLOOKUP($B475,Propostas!$B:$BE,41,FALSE)))</f>
        <v/>
      </c>
      <c r="K475" s="10" t="str">
        <f>IF($B475="","",  VLOOKUP($B475, Propostas!$B:$BE, 40, FALSE) )</f>
        <v/>
      </c>
      <c r="L475" s="10" t="str">
        <f>IF($B475="","",IF(VLOOKUP($B475,Propostas!$B:$BE,21,FALSE)=1,"B",IF(VLOOKUP($B475,Propostas!$B:$BE,21,FALSE)=2,"E","N")))</f>
        <v/>
      </c>
      <c r="M475" s="32" t="str">
        <f>IF($B475 = "", "",  VLOOKUP($B475, Propostas!$B:$BE, 46, FALSE) )</f>
        <v/>
      </c>
      <c r="N475" s="32" t="str">
        <f>IF($B475 = "", "",  VLOOKUP($B475, Propostas!$B:$BE, 47, FALSE) )</f>
        <v/>
      </c>
      <c r="O475" s="13" t="str">
        <f>IF($B475="","",IF($C475="SIM", "INFRAESTRUTURA", VLOOKUP($B475, Propostas!$B:$BE,42,FALSE)))</f>
        <v/>
      </c>
      <c r="P475" s="32" t="str">
        <f>IF($B475 = "", "",  VLOOKUP($B475, Propostas!$B:$BE, 49, FALSE) )</f>
        <v/>
      </c>
      <c r="Q475" s="13" t="str">
        <f>IF($B475="","",  VLOOKUP($B475, Propostas!$B:$BE, 39, FALSE) )</f>
        <v/>
      </c>
      <c r="R475" s="81" t="str">
        <f>IF($B475="","",  VLOOKUP($B475, Propostas!$B:$BE, 43, FALSE) )</f>
        <v/>
      </c>
      <c r="S475" s="81" t="str">
        <f>IF($B475="","",  VLOOKUP($B475, Propostas!$B:$BE, 44, FALSE) )</f>
        <v/>
      </c>
      <c r="T475" s="81" t="str">
        <f>IF($B475="","",  VLOOKUP($B475, Propostas!$B:$BE, 45, FALSE) )</f>
        <v/>
      </c>
      <c r="U475" s="32" t="str">
        <f>IF($B475="","",  VLOOKUP($B475, Propostas!$B:$BE, 37, FALSE) )</f>
        <v/>
      </c>
      <c r="V475" s="13" t="str">
        <f>IF($B475="","",  VLOOKUP($B475, Propostas!$B:$BE, 50, FALSE) )</f>
        <v/>
      </c>
      <c r="W475" s="13" t="str">
        <f>IF($B475="","",  VLOOKUP($B475, Propostas!$B:$BE, 51, FALSE) )</f>
        <v/>
      </c>
      <c r="X475" s="13" t="str">
        <f>IF($B475="","",  VLOOKUP($B475, Propostas!$B:$BE, 52, FALSE) )</f>
        <v/>
      </c>
      <c r="Y475" s="13" t="str">
        <f>IF($B475="","",  VLOOKUP($B475, Propostas!$B:$BE, 36, FALSE) )</f>
        <v/>
      </c>
      <c r="Z475" s="13" t="str">
        <f>IF($B475="","",  VLOOKUP($F475, VW_PROJETO!B:C, 2, FALSE) )</f>
        <v/>
      </c>
    </row>
    <row r="476" spans="2:26" x14ac:dyDescent="0.2">
      <c r="B476" s="2"/>
      <c r="C476" s="4" t="str">
        <f>IF($B476="","",  VLOOKUP($B476, Propostas!$B:$BE, 33, FALSE) )</f>
        <v/>
      </c>
      <c r="D476" s="4" t="str">
        <f>IF($B476="","",  VLOOKUP($B476, Propostas!$B:$BE, 34, FALSE) )</f>
        <v/>
      </c>
      <c r="E476" s="4" t="str">
        <f>IF($B476="","",  VLOOKUP($B476, Propostas!$B:$BE, 35, FALSE) )</f>
        <v/>
      </c>
      <c r="F476" s="4" t="str">
        <f>IF($B476="","",  VLOOKUP($B476, Propostas!$B:$BE, 2, FALSE) )</f>
        <v/>
      </c>
      <c r="G476" s="4" t="str">
        <f>IF($B476="","",  VLOOKUP($B476, Propostas!$B:$BE, 3, FALSE) )</f>
        <v/>
      </c>
      <c r="H476" s="4" t="str">
        <f>IF($B476="","",  VLOOKUP($B476, Propostas!$B:$BE, 4, FALSE) )</f>
        <v/>
      </c>
      <c r="I476" s="4" t="str">
        <f>IF($B476="","",  VLOOKUP($B476, Propostas!$B:$BE, 38, FALSE) )</f>
        <v/>
      </c>
      <c r="J476" s="13" t="str">
        <f>IF($B476="","",IF($C476="SIM", "&lt; INFRRAESTRUTURA &gt;", VLOOKUP($B476,Propostas!$B:$BE,41,FALSE)))</f>
        <v/>
      </c>
      <c r="K476" s="10" t="str">
        <f>IF($B476="","",  VLOOKUP($B476, Propostas!$B:$BE, 40, FALSE) )</f>
        <v/>
      </c>
      <c r="L476" s="10" t="str">
        <f>IF($B476="","",IF(VLOOKUP($B476,Propostas!$B:$BE,21,FALSE)=1,"B",IF(VLOOKUP($B476,Propostas!$B:$BE,21,FALSE)=2,"E","N")))</f>
        <v/>
      </c>
      <c r="M476" s="32" t="str">
        <f>IF($B476 = "", "",  VLOOKUP($B476, Propostas!$B:$BE, 46, FALSE) )</f>
        <v/>
      </c>
      <c r="N476" s="32" t="str">
        <f>IF($B476 = "", "",  VLOOKUP($B476, Propostas!$B:$BE, 47, FALSE) )</f>
        <v/>
      </c>
      <c r="O476" s="13" t="str">
        <f>IF($B476="","",IF($C476="SIM", "INFRAESTRUTURA", VLOOKUP($B476, Propostas!$B:$BE,42,FALSE)))</f>
        <v/>
      </c>
      <c r="P476" s="32" t="str">
        <f>IF($B476 = "", "",  VLOOKUP($B476, Propostas!$B:$BE, 49, FALSE) )</f>
        <v/>
      </c>
      <c r="Q476" s="13" t="str">
        <f>IF($B476="","",  VLOOKUP($B476, Propostas!$B:$BE, 39, FALSE) )</f>
        <v/>
      </c>
      <c r="R476" s="81" t="str">
        <f>IF($B476="","",  VLOOKUP($B476, Propostas!$B:$BE, 43, FALSE) )</f>
        <v/>
      </c>
      <c r="S476" s="81" t="str">
        <f>IF($B476="","",  VLOOKUP($B476, Propostas!$B:$BE, 44, FALSE) )</f>
        <v/>
      </c>
      <c r="T476" s="81" t="str">
        <f>IF($B476="","",  VLOOKUP($B476, Propostas!$B:$BE, 45, FALSE) )</f>
        <v/>
      </c>
      <c r="U476" s="32" t="str">
        <f>IF($B476="","",  VLOOKUP($B476, Propostas!$B:$BE, 37, FALSE) )</f>
        <v/>
      </c>
      <c r="V476" s="13" t="str">
        <f>IF($B476="","",  VLOOKUP($B476, Propostas!$B:$BE, 50, FALSE) )</f>
        <v/>
      </c>
      <c r="W476" s="13" t="str">
        <f>IF($B476="","",  VLOOKUP($B476, Propostas!$B:$BE, 51, FALSE) )</f>
        <v/>
      </c>
      <c r="X476" s="13" t="str">
        <f>IF($B476="","",  VLOOKUP($B476, Propostas!$B:$BE, 52, FALSE) )</f>
        <v/>
      </c>
      <c r="Y476" s="13" t="str">
        <f>IF($B476="","",  VLOOKUP($B476, Propostas!$B:$BE, 36, FALSE) )</f>
        <v/>
      </c>
      <c r="Z476" s="13" t="str">
        <f>IF($B476="","",  VLOOKUP($F476, VW_PROJETO!B:C, 2, FALSE) )</f>
        <v/>
      </c>
    </row>
    <row r="477" spans="2:26" x14ac:dyDescent="0.2">
      <c r="B477" s="2"/>
      <c r="C477" s="4" t="str">
        <f>IF($B477="","",  VLOOKUP($B477, Propostas!$B:$BE, 33, FALSE) )</f>
        <v/>
      </c>
      <c r="D477" s="4" t="str">
        <f>IF($B477="","",  VLOOKUP($B477, Propostas!$B:$BE, 34, FALSE) )</f>
        <v/>
      </c>
      <c r="E477" s="4" t="str">
        <f>IF($B477="","",  VLOOKUP($B477, Propostas!$B:$BE, 35, FALSE) )</f>
        <v/>
      </c>
      <c r="F477" s="4" t="str">
        <f>IF($B477="","",  VLOOKUP($B477, Propostas!$B:$BE, 2, FALSE) )</f>
        <v/>
      </c>
      <c r="G477" s="4" t="str">
        <f>IF($B477="","",  VLOOKUP($B477, Propostas!$B:$BE, 3, FALSE) )</f>
        <v/>
      </c>
      <c r="H477" s="4" t="str">
        <f>IF($B477="","",  VLOOKUP($B477, Propostas!$B:$BE, 4, FALSE) )</f>
        <v/>
      </c>
      <c r="I477" s="4" t="str">
        <f>IF($B477="","",  VLOOKUP($B477, Propostas!$B:$BE, 38, FALSE) )</f>
        <v/>
      </c>
      <c r="J477" s="13" t="str">
        <f>IF($B477="","",IF($C477="SIM", "&lt; INFRRAESTRUTURA &gt;", VLOOKUP($B477,Propostas!$B:$BE,41,FALSE)))</f>
        <v/>
      </c>
      <c r="K477" s="10" t="str">
        <f>IF($B477="","",  VLOOKUP($B477, Propostas!$B:$BE, 40, FALSE) )</f>
        <v/>
      </c>
      <c r="L477" s="10" t="str">
        <f>IF($B477="","",IF(VLOOKUP($B477,Propostas!$B:$BE,21,FALSE)=1,"B",IF(VLOOKUP($B477,Propostas!$B:$BE,21,FALSE)=2,"E","N")))</f>
        <v/>
      </c>
      <c r="M477" s="32" t="str">
        <f>IF($B477 = "", "",  VLOOKUP($B477, Propostas!$B:$BE, 46, FALSE) )</f>
        <v/>
      </c>
      <c r="N477" s="32" t="str">
        <f>IF($B477 = "", "",  VLOOKUP($B477, Propostas!$B:$BE, 47, FALSE) )</f>
        <v/>
      </c>
      <c r="O477" s="13" t="str">
        <f>IF($B477="","",IF($C477="SIM", "INFRAESTRUTURA", VLOOKUP($B477, Propostas!$B:$BE,42,FALSE)))</f>
        <v/>
      </c>
      <c r="P477" s="32" t="str">
        <f>IF($B477 = "", "",  VLOOKUP($B477, Propostas!$B:$BE, 49, FALSE) )</f>
        <v/>
      </c>
      <c r="Q477" s="13" t="str">
        <f>IF($B477="","",  VLOOKUP($B477, Propostas!$B:$BE, 39, FALSE) )</f>
        <v/>
      </c>
      <c r="R477" s="81" t="str">
        <f>IF($B477="","",  VLOOKUP($B477, Propostas!$B:$BE, 43, FALSE) )</f>
        <v/>
      </c>
      <c r="S477" s="81" t="str">
        <f>IF($B477="","",  VLOOKUP($B477, Propostas!$B:$BE, 44, FALSE) )</f>
        <v/>
      </c>
      <c r="T477" s="81" t="str">
        <f>IF($B477="","",  VLOOKUP($B477, Propostas!$B:$BE, 45, FALSE) )</f>
        <v/>
      </c>
      <c r="U477" s="32" t="str">
        <f>IF($B477="","",  VLOOKUP($B477, Propostas!$B:$BE, 37, FALSE) )</f>
        <v/>
      </c>
      <c r="V477" s="13" t="str">
        <f>IF($B477="","",  VLOOKUP($B477, Propostas!$B:$BE, 50, FALSE) )</f>
        <v/>
      </c>
      <c r="W477" s="13" t="str">
        <f>IF($B477="","",  VLOOKUP($B477, Propostas!$B:$BE, 51, FALSE) )</f>
        <v/>
      </c>
      <c r="X477" s="13" t="str">
        <f>IF($B477="","",  VLOOKUP($B477, Propostas!$B:$BE, 52, FALSE) )</f>
        <v/>
      </c>
      <c r="Y477" s="13" t="str">
        <f>IF($B477="","",  VLOOKUP($B477, Propostas!$B:$BE, 36, FALSE) )</f>
        <v/>
      </c>
      <c r="Z477" s="13" t="str">
        <f>IF($B477="","",  VLOOKUP($F477, VW_PROJETO!B:C, 2, FALSE) )</f>
        <v/>
      </c>
    </row>
    <row r="478" spans="2:26" x14ac:dyDescent="0.2">
      <c r="B478" s="2"/>
      <c r="C478" s="4" t="str">
        <f>IF($B478="","",  VLOOKUP($B478, Propostas!$B:$BE, 33, FALSE) )</f>
        <v/>
      </c>
      <c r="D478" s="4" t="str">
        <f>IF($B478="","",  VLOOKUP($B478, Propostas!$B:$BE, 34, FALSE) )</f>
        <v/>
      </c>
      <c r="E478" s="4" t="str">
        <f>IF($B478="","",  VLOOKUP($B478, Propostas!$B:$BE, 35, FALSE) )</f>
        <v/>
      </c>
      <c r="F478" s="4" t="str">
        <f>IF($B478="","",  VLOOKUP($B478, Propostas!$B:$BE, 2, FALSE) )</f>
        <v/>
      </c>
      <c r="G478" s="4" t="str">
        <f>IF($B478="","",  VLOOKUP($B478, Propostas!$B:$BE, 3, FALSE) )</f>
        <v/>
      </c>
      <c r="H478" s="4" t="str">
        <f>IF($B478="","",  VLOOKUP($B478, Propostas!$B:$BE, 4, FALSE) )</f>
        <v/>
      </c>
      <c r="I478" s="4" t="str">
        <f>IF($B478="","",  VLOOKUP($B478, Propostas!$B:$BE, 38, FALSE) )</f>
        <v/>
      </c>
      <c r="J478" s="13" t="str">
        <f>IF($B478="","",IF($C478="SIM", "&lt; INFRRAESTRUTURA &gt;", VLOOKUP($B478,Propostas!$B:$BE,41,FALSE)))</f>
        <v/>
      </c>
      <c r="K478" s="10" t="str">
        <f>IF($B478="","",  VLOOKUP($B478, Propostas!$B:$BE, 40, FALSE) )</f>
        <v/>
      </c>
      <c r="L478" s="10" t="str">
        <f>IF($B478="","",IF(VLOOKUP($B478,Propostas!$B:$BE,21,FALSE)=1,"B",IF(VLOOKUP($B478,Propostas!$B:$BE,21,FALSE)=2,"E","N")))</f>
        <v/>
      </c>
      <c r="M478" s="32" t="str">
        <f>IF($B478 = "", "",  VLOOKUP($B478, Propostas!$B:$BE, 46, FALSE) )</f>
        <v/>
      </c>
      <c r="N478" s="32" t="str">
        <f>IF($B478 = "", "",  VLOOKUP($B478, Propostas!$B:$BE, 47, FALSE) )</f>
        <v/>
      </c>
      <c r="O478" s="13" t="str">
        <f>IF($B478="","",IF($C478="SIM", "INFRAESTRUTURA", VLOOKUP($B478, Propostas!$B:$BE,42,FALSE)))</f>
        <v/>
      </c>
      <c r="P478" s="32" t="str">
        <f>IF($B478 = "", "",  VLOOKUP($B478, Propostas!$B:$BE, 49, FALSE) )</f>
        <v/>
      </c>
      <c r="Q478" s="13" t="str">
        <f>IF($B478="","",  VLOOKUP($B478, Propostas!$B:$BE, 39, FALSE) )</f>
        <v/>
      </c>
      <c r="R478" s="81" t="str">
        <f>IF($B478="","",  VLOOKUP($B478, Propostas!$B:$BE, 43, FALSE) )</f>
        <v/>
      </c>
      <c r="S478" s="81" t="str">
        <f>IF($B478="","",  VLOOKUP($B478, Propostas!$B:$BE, 44, FALSE) )</f>
        <v/>
      </c>
      <c r="T478" s="81" t="str">
        <f>IF($B478="","",  VLOOKUP($B478, Propostas!$B:$BE, 45, FALSE) )</f>
        <v/>
      </c>
      <c r="U478" s="32" t="str">
        <f>IF($B478="","",  VLOOKUP($B478, Propostas!$B:$BE, 37, FALSE) )</f>
        <v/>
      </c>
      <c r="V478" s="13" t="str">
        <f>IF($B478="","",  VLOOKUP($B478, Propostas!$B:$BE, 50, FALSE) )</f>
        <v/>
      </c>
      <c r="W478" s="13" t="str">
        <f>IF($B478="","",  VLOOKUP($B478, Propostas!$B:$BE, 51, FALSE) )</f>
        <v/>
      </c>
      <c r="X478" s="13" t="str">
        <f>IF($B478="","",  VLOOKUP($B478, Propostas!$B:$BE, 52, FALSE) )</f>
        <v/>
      </c>
      <c r="Y478" s="13" t="str">
        <f>IF($B478="","",  VLOOKUP($B478, Propostas!$B:$BE, 36, FALSE) )</f>
        <v/>
      </c>
      <c r="Z478" s="13" t="str">
        <f>IF($B478="","",  VLOOKUP($F478, VW_PROJETO!B:C, 2, FALSE) )</f>
        <v/>
      </c>
    </row>
    <row r="479" spans="2:26" x14ac:dyDescent="0.2">
      <c r="B479" s="2"/>
      <c r="C479" s="4" t="str">
        <f>IF($B479="","",  VLOOKUP($B479, Propostas!$B:$BE, 33, FALSE) )</f>
        <v/>
      </c>
      <c r="D479" s="4" t="str">
        <f>IF($B479="","",  VLOOKUP($B479, Propostas!$B:$BE, 34, FALSE) )</f>
        <v/>
      </c>
      <c r="E479" s="4" t="str">
        <f>IF($B479="","",  VLOOKUP($B479, Propostas!$B:$BE, 35, FALSE) )</f>
        <v/>
      </c>
      <c r="F479" s="4" t="str">
        <f>IF($B479="","",  VLOOKUP($B479, Propostas!$B:$BE, 2, FALSE) )</f>
        <v/>
      </c>
      <c r="G479" s="4" t="str">
        <f>IF($B479="","",  VLOOKUP($B479, Propostas!$B:$BE, 3, FALSE) )</f>
        <v/>
      </c>
      <c r="H479" s="4" t="str">
        <f>IF($B479="","",  VLOOKUP($B479, Propostas!$B:$BE, 4, FALSE) )</f>
        <v/>
      </c>
      <c r="I479" s="4" t="str">
        <f>IF($B479="","",  VLOOKUP($B479, Propostas!$B:$BE, 38, FALSE) )</f>
        <v/>
      </c>
      <c r="J479" s="13" t="str">
        <f>IF($B479="","",IF($C479="SIM", "&lt; INFRRAESTRUTURA &gt;", VLOOKUP($B479,Propostas!$B:$BE,41,FALSE)))</f>
        <v/>
      </c>
      <c r="K479" s="10" t="str">
        <f>IF($B479="","",  VLOOKUP($B479, Propostas!$B:$BE, 40, FALSE) )</f>
        <v/>
      </c>
      <c r="L479" s="10" t="str">
        <f>IF($B479="","",IF(VLOOKUP($B479,Propostas!$B:$BE,21,FALSE)=1,"B",IF(VLOOKUP($B479,Propostas!$B:$BE,21,FALSE)=2,"E","N")))</f>
        <v/>
      </c>
      <c r="M479" s="32" t="str">
        <f>IF($B479 = "", "",  VLOOKUP($B479, Propostas!$B:$BE, 46, FALSE) )</f>
        <v/>
      </c>
      <c r="N479" s="32" t="str">
        <f>IF($B479 = "", "",  VLOOKUP($B479, Propostas!$B:$BE, 47, FALSE) )</f>
        <v/>
      </c>
      <c r="O479" s="13" t="str">
        <f>IF($B479="","",IF($C479="SIM", "INFRAESTRUTURA", VLOOKUP($B479, Propostas!$B:$BE,42,FALSE)))</f>
        <v/>
      </c>
      <c r="P479" s="32" t="str">
        <f>IF($B479 = "", "",  VLOOKUP($B479, Propostas!$B:$BE, 49, FALSE) )</f>
        <v/>
      </c>
      <c r="Q479" s="13" t="str">
        <f>IF($B479="","",  VLOOKUP($B479, Propostas!$B:$BE, 39, FALSE) )</f>
        <v/>
      </c>
      <c r="R479" s="81" t="str">
        <f>IF($B479="","",  VLOOKUP($B479, Propostas!$B:$BE, 43, FALSE) )</f>
        <v/>
      </c>
      <c r="S479" s="81" t="str">
        <f>IF($B479="","",  VLOOKUP($B479, Propostas!$B:$BE, 44, FALSE) )</f>
        <v/>
      </c>
      <c r="T479" s="81" t="str">
        <f>IF($B479="","",  VLOOKUP($B479, Propostas!$B:$BE, 45, FALSE) )</f>
        <v/>
      </c>
      <c r="U479" s="32" t="str">
        <f>IF($B479="","",  VLOOKUP($B479, Propostas!$B:$BE, 37, FALSE) )</f>
        <v/>
      </c>
      <c r="V479" s="13" t="str">
        <f>IF($B479="","",  VLOOKUP($B479, Propostas!$B:$BE, 50, FALSE) )</f>
        <v/>
      </c>
      <c r="W479" s="13" t="str">
        <f>IF($B479="","",  VLOOKUP($B479, Propostas!$B:$BE, 51, FALSE) )</f>
        <v/>
      </c>
      <c r="X479" s="13" t="str">
        <f>IF($B479="","",  VLOOKUP($B479, Propostas!$B:$BE, 52, FALSE) )</f>
        <v/>
      </c>
      <c r="Y479" s="13" t="str">
        <f>IF($B479="","",  VLOOKUP($B479, Propostas!$B:$BE, 36, FALSE) )</f>
        <v/>
      </c>
      <c r="Z479" s="13" t="str">
        <f>IF($B479="","",  VLOOKUP($F479, VW_PROJETO!B:C, 2, FALSE) )</f>
        <v/>
      </c>
    </row>
    <row r="480" spans="2:26" x14ac:dyDescent="0.2">
      <c r="B480" s="2"/>
      <c r="C480" s="4" t="str">
        <f>IF($B480="","",  VLOOKUP($B480, Propostas!$B:$BE, 33, FALSE) )</f>
        <v/>
      </c>
      <c r="D480" s="4" t="str">
        <f>IF($B480="","",  VLOOKUP($B480, Propostas!$B:$BE, 34, FALSE) )</f>
        <v/>
      </c>
      <c r="E480" s="4" t="str">
        <f>IF($B480="","",  VLOOKUP($B480, Propostas!$B:$BE, 35, FALSE) )</f>
        <v/>
      </c>
      <c r="F480" s="4" t="str">
        <f>IF($B480="","",  VLOOKUP($B480, Propostas!$B:$BE, 2, FALSE) )</f>
        <v/>
      </c>
      <c r="G480" s="4" t="str">
        <f>IF($B480="","",  VLOOKUP($B480, Propostas!$B:$BE, 3, FALSE) )</f>
        <v/>
      </c>
      <c r="H480" s="4" t="str">
        <f>IF($B480="","",  VLOOKUP($B480, Propostas!$B:$BE, 4, FALSE) )</f>
        <v/>
      </c>
      <c r="I480" s="4" t="str">
        <f>IF($B480="","",  VLOOKUP($B480, Propostas!$B:$BE, 38, FALSE) )</f>
        <v/>
      </c>
      <c r="J480" s="13" t="str">
        <f>IF($B480="","",IF($C480="SIM", "&lt; INFRRAESTRUTURA &gt;", VLOOKUP($B480,Propostas!$B:$BE,41,FALSE)))</f>
        <v/>
      </c>
      <c r="K480" s="10" t="str">
        <f>IF($B480="","",  VLOOKUP($B480, Propostas!$B:$BE, 40, FALSE) )</f>
        <v/>
      </c>
      <c r="L480" s="10" t="str">
        <f>IF($B480="","",IF(VLOOKUP($B480,Propostas!$B:$BE,21,FALSE)=1,"B",IF(VLOOKUP($B480,Propostas!$B:$BE,21,FALSE)=2,"E","N")))</f>
        <v/>
      </c>
      <c r="M480" s="32" t="str">
        <f>IF($B480 = "", "",  VLOOKUP($B480, Propostas!$B:$BE, 46, FALSE) )</f>
        <v/>
      </c>
      <c r="N480" s="32" t="str">
        <f>IF($B480 = "", "",  VLOOKUP($B480, Propostas!$B:$BE, 47, FALSE) )</f>
        <v/>
      </c>
      <c r="O480" s="13" t="str">
        <f>IF($B480="","",IF($C480="SIM", "INFRAESTRUTURA", VLOOKUP($B480, Propostas!$B:$BE,42,FALSE)))</f>
        <v/>
      </c>
      <c r="P480" s="32" t="str">
        <f>IF($B480 = "", "",  VLOOKUP($B480, Propostas!$B:$BE, 49, FALSE) )</f>
        <v/>
      </c>
      <c r="Q480" s="13" t="str">
        <f>IF($B480="","",  VLOOKUP($B480, Propostas!$B:$BE, 39, FALSE) )</f>
        <v/>
      </c>
      <c r="R480" s="81" t="str">
        <f>IF($B480="","",  VLOOKUP($B480, Propostas!$B:$BE, 43, FALSE) )</f>
        <v/>
      </c>
      <c r="S480" s="81" t="str">
        <f>IF($B480="","",  VLOOKUP($B480, Propostas!$B:$BE, 44, FALSE) )</f>
        <v/>
      </c>
      <c r="T480" s="81" t="str">
        <f>IF($B480="","",  VLOOKUP($B480, Propostas!$B:$BE, 45, FALSE) )</f>
        <v/>
      </c>
      <c r="U480" s="32" t="str">
        <f>IF($B480="","",  VLOOKUP($B480, Propostas!$B:$BE, 37, FALSE) )</f>
        <v/>
      </c>
      <c r="V480" s="13" t="str">
        <f>IF($B480="","",  VLOOKUP($B480, Propostas!$B:$BE, 50, FALSE) )</f>
        <v/>
      </c>
      <c r="W480" s="13" t="str">
        <f>IF($B480="","",  VLOOKUP($B480, Propostas!$B:$BE, 51, FALSE) )</f>
        <v/>
      </c>
      <c r="X480" s="13" t="str">
        <f>IF($B480="","",  VLOOKUP($B480, Propostas!$B:$BE, 52, FALSE) )</f>
        <v/>
      </c>
      <c r="Y480" s="13" t="str">
        <f>IF($B480="","",  VLOOKUP($B480, Propostas!$B:$BE, 36, FALSE) )</f>
        <v/>
      </c>
      <c r="Z480" s="13" t="str">
        <f>IF($B480="","",  VLOOKUP($F480, VW_PROJETO!B:C, 2, FALSE) )</f>
        <v/>
      </c>
    </row>
    <row r="481" spans="2:26" x14ac:dyDescent="0.2">
      <c r="B481" s="2"/>
      <c r="C481" s="4" t="str">
        <f>IF($B481="","",  VLOOKUP($B481, Propostas!$B:$BE, 33, FALSE) )</f>
        <v/>
      </c>
      <c r="D481" s="4" t="str">
        <f>IF($B481="","",  VLOOKUP($B481, Propostas!$B:$BE, 34, FALSE) )</f>
        <v/>
      </c>
      <c r="E481" s="4" t="str">
        <f>IF($B481="","",  VLOOKUP($B481, Propostas!$B:$BE, 35, FALSE) )</f>
        <v/>
      </c>
      <c r="F481" s="4" t="str">
        <f>IF($B481="","",  VLOOKUP($B481, Propostas!$B:$BE, 2, FALSE) )</f>
        <v/>
      </c>
      <c r="G481" s="4" t="str">
        <f>IF($B481="","",  VLOOKUP($B481, Propostas!$B:$BE, 3, FALSE) )</f>
        <v/>
      </c>
      <c r="H481" s="4" t="str">
        <f>IF($B481="","",  VLOOKUP($B481, Propostas!$B:$BE, 4, FALSE) )</f>
        <v/>
      </c>
      <c r="I481" s="4" t="str">
        <f>IF($B481="","",  VLOOKUP($B481, Propostas!$B:$BE, 38, FALSE) )</f>
        <v/>
      </c>
      <c r="J481" s="13" t="str">
        <f>IF($B481="","",IF($C481="SIM", "&lt; INFRRAESTRUTURA &gt;", VLOOKUP($B481,Propostas!$B:$BE,41,FALSE)))</f>
        <v/>
      </c>
      <c r="K481" s="10" t="str">
        <f>IF($B481="","",  VLOOKUP($B481, Propostas!$B:$BE, 40, FALSE) )</f>
        <v/>
      </c>
      <c r="L481" s="10" t="str">
        <f>IF($B481="","",IF(VLOOKUP($B481,Propostas!$B:$BE,21,FALSE)=1,"B",IF(VLOOKUP($B481,Propostas!$B:$BE,21,FALSE)=2,"E","N")))</f>
        <v/>
      </c>
      <c r="M481" s="32" t="str">
        <f>IF($B481 = "", "",  VLOOKUP($B481, Propostas!$B:$BE, 46, FALSE) )</f>
        <v/>
      </c>
      <c r="N481" s="32" t="str">
        <f>IF($B481 = "", "",  VLOOKUP($B481, Propostas!$B:$BE, 47, FALSE) )</f>
        <v/>
      </c>
      <c r="O481" s="13" t="str">
        <f>IF($B481="","",IF($C481="SIM", "INFRAESTRUTURA", VLOOKUP($B481, Propostas!$B:$BE,42,FALSE)))</f>
        <v/>
      </c>
      <c r="P481" s="32" t="str">
        <f>IF($B481 = "", "",  VLOOKUP($B481, Propostas!$B:$BE, 49, FALSE) )</f>
        <v/>
      </c>
      <c r="Q481" s="13" t="str">
        <f>IF($B481="","",  VLOOKUP($B481, Propostas!$B:$BE, 39, FALSE) )</f>
        <v/>
      </c>
      <c r="R481" s="81" t="str">
        <f>IF($B481="","",  VLOOKUP($B481, Propostas!$B:$BE, 43, FALSE) )</f>
        <v/>
      </c>
      <c r="S481" s="81" t="str">
        <f>IF($B481="","",  VLOOKUP($B481, Propostas!$B:$BE, 44, FALSE) )</f>
        <v/>
      </c>
      <c r="T481" s="81" t="str">
        <f>IF($B481="","",  VLOOKUP($B481, Propostas!$B:$BE, 45, FALSE) )</f>
        <v/>
      </c>
      <c r="U481" s="32" t="str">
        <f>IF($B481="","",  VLOOKUP($B481, Propostas!$B:$BE, 37, FALSE) )</f>
        <v/>
      </c>
      <c r="V481" s="13" t="str">
        <f>IF($B481="","",  VLOOKUP($B481, Propostas!$B:$BE, 50, FALSE) )</f>
        <v/>
      </c>
      <c r="W481" s="13" t="str">
        <f>IF($B481="","",  VLOOKUP($B481, Propostas!$B:$BE, 51, FALSE) )</f>
        <v/>
      </c>
      <c r="X481" s="13" t="str">
        <f>IF($B481="","",  VLOOKUP($B481, Propostas!$B:$BE, 52, FALSE) )</f>
        <v/>
      </c>
      <c r="Y481" s="13" t="str">
        <f>IF($B481="","",  VLOOKUP($B481, Propostas!$B:$BE, 36, FALSE) )</f>
        <v/>
      </c>
      <c r="Z481" s="13" t="str">
        <f>IF($B481="","",  VLOOKUP($F481, VW_PROJETO!B:C, 2, FALSE) )</f>
        <v/>
      </c>
    </row>
    <row r="482" spans="2:26" x14ac:dyDescent="0.2">
      <c r="B482" s="2"/>
      <c r="C482" s="4" t="str">
        <f>IF($B482="","",  VLOOKUP($B482, Propostas!$B:$BE, 33, FALSE) )</f>
        <v/>
      </c>
      <c r="D482" s="4" t="str">
        <f>IF($B482="","",  VLOOKUP($B482, Propostas!$B:$BE, 34, FALSE) )</f>
        <v/>
      </c>
      <c r="E482" s="4" t="str">
        <f>IF($B482="","",  VLOOKUP($B482, Propostas!$B:$BE, 35, FALSE) )</f>
        <v/>
      </c>
      <c r="F482" s="4" t="str">
        <f>IF($B482="","",  VLOOKUP($B482, Propostas!$B:$BE, 2, FALSE) )</f>
        <v/>
      </c>
      <c r="G482" s="4" t="str">
        <f>IF($B482="","",  VLOOKUP($B482, Propostas!$B:$BE, 3, FALSE) )</f>
        <v/>
      </c>
      <c r="H482" s="4" t="str">
        <f>IF($B482="","",  VLOOKUP($B482, Propostas!$B:$BE, 4, FALSE) )</f>
        <v/>
      </c>
      <c r="I482" s="4" t="str">
        <f>IF($B482="","",  VLOOKUP($B482, Propostas!$B:$BE, 38, FALSE) )</f>
        <v/>
      </c>
      <c r="J482" s="13" t="str">
        <f>IF($B482="","",IF($C482="SIM", "&lt; INFRRAESTRUTURA &gt;", VLOOKUP($B482,Propostas!$B:$BE,41,FALSE)))</f>
        <v/>
      </c>
      <c r="K482" s="10" t="str">
        <f>IF($B482="","",  VLOOKUP($B482, Propostas!$B:$BE, 40, FALSE) )</f>
        <v/>
      </c>
      <c r="L482" s="10" t="str">
        <f>IF($B482="","",IF(VLOOKUP($B482,Propostas!$B:$BE,21,FALSE)=1,"B",IF(VLOOKUP($B482,Propostas!$B:$BE,21,FALSE)=2,"E","N")))</f>
        <v/>
      </c>
      <c r="M482" s="32" t="str">
        <f>IF($B482 = "", "",  VLOOKUP($B482, Propostas!$B:$BE, 46, FALSE) )</f>
        <v/>
      </c>
      <c r="N482" s="32" t="str">
        <f>IF($B482 = "", "",  VLOOKUP($B482, Propostas!$B:$BE, 47, FALSE) )</f>
        <v/>
      </c>
      <c r="O482" s="13" t="str">
        <f>IF($B482="","",IF($C482="SIM", "INFRAESTRUTURA", VLOOKUP($B482, Propostas!$B:$BE,42,FALSE)))</f>
        <v/>
      </c>
      <c r="P482" s="32" t="str">
        <f>IF($B482 = "", "",  VLOOKUP($B482, Propostas!$B:$BE, 49, FALSE) )</f>
        <v/>
      </c>
      <c r="Q482" s="13" t="str">
        <f>IF($B482="","",  VLOOKUP($B482, Propostas!$B:$BE, 39, FALSE) )</f>
        <v/>
      </c>
      <c r="R482" s="81" t="str">
        <f>IF($B482="","",  VLOOKUP($B482, Propostas!$B:$BE, 43, FALSE) )</f>
        <v/>
      </c>
      <c r="S482" s="81" t="str">
        <f>IF($B482="","",  VLOOKUP($B482, Propostas!$B:$BE, 44, FALSE) )</f>
        <v/>
      </c>
      <c r="T482" s="81" t="str">
        <f>IF($B482="","",  VLOOKUP($B482, Propostas!$B:$BE, 45, FALSE) )</f>
        <v/>
      </c>
      <c r="U482" s="32" t="str">
        <f>IF($B482="","",  VLOOKUP($B482, Propostas!$B:$BE, 37, FALSE) )</f>
        <v/>
      </c>
      <c r="V482" s="13" t="str">
        <f>IF($B482="","",  VLOOKUP($B482, Propostas!$B:$BE, 50, FALSE) )</f>
        <v/>
      </c>
      <c r="W482" s="13" t="str">
        <f>IF($B482="","",  VLOOKUP($B482, Propostas!$B:$BE, 51, FALSE) )</f>
        <v/>
      </c>
      <c r="X482" s="13" t="str">
        <f>IF($B482="","",  VLOOKUP($B482, Propostas!$B:$BE, 52, FALSE) )</f>
        <v/>
      </c>
      <c r="Y482" s="13" t="str">
        <f>IF($B482="","",  VLOOKUP($B482, Propostas!$B:$BE, 36, FALSE) )</f>
        <v/>
      </c>
      <c r="Z482" s="13" t="str">
        <f>IF($B482="","",  VLOOKUP($F482, VW_PROJETO!B:C, 2, FALSE) )</f>
        <v/>
      </c>
    </row>
    <row r="483" spans="2:26" x14ac:dyDescent="0.2">
      <c r="B483" s="2"/>
      <c r="C483" s="4" t="str">
        <f>IF($B483="","",  VLOOKUP($B483, Propostas!$B:$BE, 33, FALSE) )</f>
        <v/>
      </c>
      <c r="D483" s="4" t="str">
        <f>IF($B483="","",  VLOOKUP($B483, Propostas!$B:$BE, 34, FALSE) )</f>
        <v/>
      </c>
      <c r="E483" s="4" t="str">
        <f>IF($B483="","",  VLOOKUP($B483, Propostas!$B:$BE, 35, FALSE) )</f>
        <v/>
      </c>
      <c r="F483" s="4" t="str">
        <f>IF($B483="","",  VLOOKUP($B483, Propostas!$B:$BE, 2, FALSE) )</f>
        <v/>
      </c>
      <c r="G483" s="4" t="str">
        <f>IF($B483="","",  VLOOKUP($B483, Propostas!$B:$BE, 3, FALSE) )</f>
        <v/>
      </c>
      <c r="H483" s="4" t="str">
        <f>IF($B483="","",  VLOOKUP($B483, Propostas!$B:$BE, 4, FALSE) )</f>
        <v/>
      </c>
      <c r="I483" s="4" t="str">
        <f>IF($B483="","",  VLOOKUP($B483, Propostas!$B:$BE, 38, FALSE) )</f>
        <v/>
      </c>
      <c r="J483" s="13" t="str">
        <f>IF($B483="","",IF($C483="SIM", "&lt; INFRRAESTRUTURA &gt;", VLOOKUP($B483,Propostas!$B:$BE,41,FALSE)))</f>
        <v/>
      </c>
      <c r="K483" s="10" t="str">
        <f>IF($B483="","",  VLOOKUP($B483, Propostas!$B:$BE, 40, FALSE) )</f>
        <v/>
      </c>
      <c r="L483" s="10" t="str">
        <f>IF($B483="","",IF(VLOOKUP($B483,Propostas!$B:$BE,21,FALSE)=1,"B",IF(VLOOKUP($B483,Propostas!$B:$BE,21,FALSE)=2,"E","N")))</f>
        <v/>
      </c>
      <c r="M483" s="32" t="str">
        <f>IF($B483 = "", "",  VLOOKUP($B483, Propostas!$B:$BE, 46, FALSE) )</f>
        <v/>
      </c>
      <c r="N483" s="32" t="str">
        <f>IF($B483 = "", "",  VLOOKUP($B483, Propostas!$B:$BE, 47, FALSE) )</f>
        <v/>
      </c>
      <c r="O483" s="13" t="str">
        <f>IF($B483="","",IF($C483="SIM", "INFRAESTRUTURA", VLOOKUP($B483, Propostas!$B:$BE,42,FALSE)))</f>
        <v/>
      </c>
      <c r="P483" s="32" t="str">
        <f>IF($B483 = "", "",  VLOOKUP($B483, Propostas!$B:$BE, 49, FALSE) )</f>
        <v/>
      </c>
      <c r="Q483" s="13" t="str">
        <f>IF($B483="","",  VLOOKUP($B483, Propostas!$B:$BE, 39, FALSE) )</f>
        <v/>
      </c>
      <c r="R483" s="81" t="str">
        <f>IF($B483="","",  VLOOKUP($B483, Propostas!$B:$BE, 43, FALSE) )</f>
        <v/>
      </c>
      <c r="S483" s="81" t="str">
        <f>IF($B483="","",  VLOOKUP($B483, Propostas!$B:$BE, 44, FALSE) )</f>
        <v/>
      </c>
      <c r="T483" s="81" t="str">
        <f>IF($B483="","",  VLOOKUP($B483, Propostas!$B:$BE, 45, FALSE) )</f>
        <v/>
      </c>
      <c r="U483" s="32" t="str">
        <f>IF($B483="","",  VLOOKUP($B483, Propostas!$B:$BE, 37, FALSE) )</f>
        <v/>
      </c>
      <c r="V483" s="13" t="str">
        <f>IF($B483="","",  VLOOKUP($B483, Propostas!$B:$BE, 50, FALSE) )</f>
        <v/>
      </c>
      <c r="W483" s="13" t="str">
        <f>IF($B483="","",  VLOOKUP($B483, Propostas!$B:$BE, 51, FALSE) )</f>
        <v/>
      </c>
      <c r="X483" s="13" t="str">
        <f>IF($B483="","",  VLOOKUP($B483, Propostas!$B:$BE, 52, FALSE) )</f>
        <v/>
      </c>
      <c r="Y483" s="13" t="str">
        <f>IF($B483="","",  VLOOKUP($B483, Propostas!$B:$BE, 36, FALSE) )</f>
        <v/>
      </c>
      <c r="Z483" s="13" t="str">
        <f>IF($B483="","",  VLOOKUP($F483, VW_PROJETO!B:C, 2, FALSE) )</f>
        <v/>
      </c>
    </row>
    <row r="484" spans="2:26" x14ac:dyDescent="0.2">
      <c r="B484" s="2"/>
      <c r="C484" s="4" t="str">
        <f>IF($B484="","",  VLOOKUP($B484, Propostas!$B:$BE, 33, FALSE) )</f>
        <v/>
      </c>
      <c r="D484" s="4" t="str">
        <f>IF($B484="","",  VLOOKUP($B484, Propostas!$B:$BE, 34, FALSE) )</f>
        <v/>
      </c>
      <c r="E484" s="4" t="str">
        <f>IF($B484="","",  VLOOKUP($B484, Propostas!$B:$BE, 35, FALSE) )</f>
        <v/>
      </c>
      <c r="F484" s="4" t="str">
        <f>IF($B484="","",  VLOOKUP($B484, Propostas!$B:$BE, 2, FALSE) )</f>
        <v/>
      </c>
      <c r="G484" s="4" t="str">
        <f>IF($B484="","",  VLOOKUP($B484, Propostas!$B:$BE, 3, FALSE) )</f>
        <v/>
      </c>
      <c r="H484" s="4" t="str">
        <f>IF($B484="","",  VLOOKUP($B484, Propostas!$B:$BE, 4, FALSE) )</f>
        <v/>
      </c>
      <c r="I484" s="4" t="str">
        <f>IF($B484="","",  VLOOKUP($B484, Propostas!$B:$BE, 38, FALSE) )</f>
        <v/>
      </c>
      <c r="J484" s="13" t="str">
        <f>IF($B484="","",IF($C484="SIM", "&lt; INFRRAESTRUTURA &gt;", VLOOKUP($B484,Propostas!$B:$BE,41,FALSE)))</f>
        <v/>
      </c>
      <c r="K484" s="10" t="str">
        <f>IF($B484="","",  VLOOKUP($B484, Propostas!$B:$BE, 40, FALSE) )</f>
        <v/>
      </c>
      <c r="L484" s="10" t="str">
        <f>IF($B484="","",IF(VLOOKUP($B484,Propostas!$B:$BE,21,FALSE)=1,"B",IF(VLOOKUP($B484,Propostas!$B:$BE,21,FALSE)=2,"E","N")))</f>
        <v/>
      </c>
      <c r="M484" s="32" t="str">
        <f>IF($B484 = "", "",  VLOOKUP($B484, Propostas!$B:$BE, 46, FALSE) )</f>
        <v/>
      </c>
      <c r="N484" s="32" t="str">
        <f>IF($B484 = "", "",  VLOOKUP($B484, Propostas!$B:$BE, 47, FALSE) )</f>
        <v/>
      </c>
      <c r="O484" s="13" t="str">
        <f>IF($B484="","",IF($C484="SIM", "INFRAESTRUTURA", VLOOKUP($B484, Propostas!$B:$BE,42,FALSE)))</f>
        <v/>
      </c>
      <c r="P484" s="32" t="str">
        <f>IF($B484 = "", "",  VLOOKUP($B484, Propostas!$B:$BE, 49, FALSE) )</f>
        <v/>
      </c>
      <c r="Q484" s="13" t="str">
        <f>IF($B484="","",  VLOOKUP($B484, Propostas!$B:$BE, 39, FALSE) )</f>
        <v/>
      </c>
      <c r="R484" s="81" t="str">
        <f>IF($B484="","",  VLOOKUP($B484, Propostas!$B:$BE, 43, FALSE) )</f>
        <v/>
      </c>
      <c r="S484" s="81" t="str">
        <f>IF($B484="","",  VLOOKUP($B484, Propostas!$B:$BE, 44, FALSE) )</f>
        <v/>
      </c>
      <c r="T484" s="81" t="str">
        <f>IF($B484="","",  VLOOKUP($B484, Propostas!$B:$BE, 45, FALSE) )</f>
        <v/>
      </c>
      <c r="U484" s="32" t="str">
        <f>IF($B484="","",  VLOOKUP($B484, Propostas!$B:$BE, 37, FALSE) )</f>
        <v/>
      </c>
      <c r="V484" s="13" t="str">
        <f>IF($B484="","",  VLOOKUP($B484, Propostas!$B:$BE, 50, FALSE) )</f>
        <v/>
      </c>
      <c r="W484" s="13" t="str">
        <f>IF($B484="","",  VLOOKUP($B484, Propostas!$B:$BE, 51, FALSE) )</f>
        <v/>
      </c>
      <c r="X484" s="13" t="str">
        <f>IF($B484="","",  VLOOKUP($B484, Propostas!$B:$BE, 52, FALSE) )</f>
        <v/>
      </c>
      <c r="Y484" s="13" t="str">
        <f>IF($B484="","",  VLOOKUP($B484, Propostas!$B:$BE, 36, FALSE) )</f>
        <v/>
      </c>
      <c r="Z484" s="13" t="str">
        <f>IF($B484="","",  VLOOKUP($F484, VW_PROJETO!B:C, 2, FALSE) )</f>
        <v/>
      </c>
    </row>
    <row r="485" spans="2:26" x14ac:dyDescent="0.2">
      <c r="B485" s="2"/>
      <c r="C485" s="4" t="str">
        <f>IF($B485="","",  VLOOKUP($B485, Propostas!$B:$BE, 33, FALSE) )</f>
        <v/>
      </c>
      <c r="D485" s="4" t="str">
        <f>IF($B485="","",  VLOOKUP($B485, Propostas!$B:$BE, 34, FALSE) )</f>
        <v/>
      </c>
      <c r="E485" s="4" t="str">
        <f>IF($B485="","",  VLOOKUP($B485, Propostas!$B:$BE, 35, FALSE) )</f>
        <v/>
      </c>
      <c r="F485" s="4" t="str">
        <f>IF($B485="","",  VLOOKUP($B485, Propostas!$B:$BE, 2, FALSE) )</f>
        <v/>
      </c>
      <c r="G485" s="4" t="str">
        <f>IF($B485="","",  VLOOKUP($B485, Propostas!$B:$BE, 3, FALSE) )</f>
        <v/>
      </c>
      <c r="H485" s="4" t="str">
        <f>IF($B485="","",  VLOOKUP($B485, Propostas!$B:$BE, 4, FALSE) )</f>
        <v/>
      </c>
      <c r="I485" s="4" t="str">
        <f>IF($B485="","",  VLOOKUP($B485, Propostas!$B:$BE, 38, FALSE) )</f>
        <v/>
      </c>
      <c r="J485" s="13" t="str">
        <f>IF($B485="","",IF($C485="SIM", "&lt; INFRRAESTRUTURA &gt;", VLOOKUP($B485,Propostas!$B:$BE,41,FALSE)))</f>
        <v/>
      </c>
      <c r="K485" s="10" t="str">
        <f>IF($B485="","",  VLOOKUP($B485, Propostas!$B:$BE, 40, FALSE) )</f>
        <v/>
      </c>
      <c r="L485" s="10" t="str">
        <f>IF($B485="","",IF(VLOOKUP($B485,Propostas!$B:$BE,21,FALSE)=1,"B",IF(VLOOKUP($B485,Propostas!$B:$BE,21,FALSE)=2,"E","N")))</f>
        <v/>
      </c>
      <c r="M485" s="32" t="str">
        <f>IF($B485 = "", "",  VLOOKUP($B485, Propostas!$B:$BE, 46, FALSE) )</f>
        <v/>
      </c>
      <c r="N485" s="32" t="str">
        <f>IF($B485 = "", "",  VLOOKUP($B485, Propostas!$B:$BE, 47, FALSE) )</f>
        <v/>
      </c>
      <c r="O485" s="13" t="str">
        <f>IF($B485="","",IF($C485="SIM", "INFRAESTRUTURA", VLOOKUP($B485, Propostas!$B:$BE,42,FALSE)))</f>
        <v/>
      </c>
      <c r="P485" s="32" t="str">
        <f>IF($B485 = "", "",  VLOOKUP($B485, Propostas!$B:$BE, 49, FALSE) )</f>
        <v/>
      </c>
      <c r="Q485" s="13" t="str">
        <f>IF($B485="","",  VLOOKUP($B485, Propostas!$B:$BE, 39, FALSE) )</f>
        <v/>
      </c>
      <c r="R485" s="81" t="str">
        <f>IF($B485="","",  VLOOKUP($B485, Propostas!$B:$BE, 43, FALSE) )</f>
        <v/>
      </c>
      <c r="S485" s="81" t="str">
        <f>IF($B485="","",  VLOOKUP($B485, Propostas!$B:$BE, 44, FALSE) )</f>
        <v/>
      </c>
      <c r="T485" s="81" t="str">
        <f>IF($B485="","",  VLOOKUP($B485, Propostas!$B:$BE, 45, FALSE) )</f>
        <v/>
      </c>
      <c r="U485" s="32" t="str">
        <f>IF($B485="","",  VLOOKUP($B485, Propostas!$B:$BE, 37, FALSE) )</f>
        <v/>
      </c>
      <c r="V485" s="13" t="str">
        <f>IF($B485="","",  VLOOKUP($B485, Propostas!$B:$BE, 50, FALSE) )</f>
        <v/>
      </c>
      <c r="W485" s="13" t="str">
        <f>IF($B485="","",  VLOOKUP($B485, Propostas!$B:$BE, 51, FALSE) )</f>
        <v/>
      </c>
      <c r="X485" s="13" t="str">
        <f>IF($B485="","",  VLOOKUP($B485, Propostas!$B:$BE, 52, FALSE) )</f>
        <v/>
      </c>
      <c r="Y485" s="13" t="str">
        <f>IF($B485="","",  VLOOKUP($B485, Propostas!$B:$BE, 36, FALSE) )</f>
        <v/>
      </c>
      <c r="Z485" s="13" t="str">
        <f>IF($B485="","",  VLOOKUP($F485, VW_PROJETO!B:C, 2, FALSE) )</f>
        <v/>
      </c>
    </row>
    <row r="486" spans="2:26" x14ac:dyDescent="0.2">
      <c r="B486" s="2"/>
      <c r="C486" s="4" t="str">
        <f>IF($B486="","",  VLOOKUP($B486, Propostas!$B:$BE, 33, FALSE) )</f>
        <v/>
      </c>
      <c r="D486" s="4" t="str">
        <f>IF($B486="","",  VLOOKUP($B486, Propostas!$B:$BE, 34, FALSE) )</f>
        <v/>
      </c>
      <c r="E486" s="4" t="str">
        <f>IF($B486="","",  VLOOKUP($B486, Propostas!$B:$BE, 35, FALSE) )</f>
        <v/>
      </c>
      <c r="F486" s="4" t="str">
        <f>IF($B486="","",  VLOOKUP($B486, Propostas!$B:$BE, 2, FALSE) )</f>
        <v/>
      </c>
      <c r="G486" s="4" t="str">
        <f>IF($B486="","",  VLOOKUP($B486, Propostas!$B:$BE, 3, FALSE) )</f>
        <v/>
      </c>
      <c r="H486" s="4" t="str">
        <f>IF($B486="","",  VLOOKUP($B486, Propostas!$B:$BE, 4, FALSE) )</f>
        <v/>
      </c>
      <c r="I486" s="4" t="str">
        <f>IF($B486="","",  VLOOKUP($B486, Propostas!$B:$BE, 38, FALSE) )</f>
        <v/>
      </c>
      <c r="J486" s="13" t="str">
        <f>IF($B486="","",IF($C486="SIM", "&lt; INFRRAESTRUTURA &gt;", VLOOKUP($B486,Propostas!$B:$BE,41,FALSE)))</f>
        <v/>
      </c>
      <c r="K486" s="10" t="str">
        <f>IF($B486="","",  VLOOKUP($B486, Propostas!$B:$BE, 40, FALSE) )</f>
        <v/>
      </c>
      <c r="L486" s="10" t="str">
        <f>IF($B486="","",IF(VLOOKUP($B486,Propostas!$B:$BE,21,FALSE)=1,"B",IF(VLOOKUP($B486,Propostas!$B:$BE,21,FALSE)=2,"E","N")))</f>
        <v/>
      </c>
      <c r="M486" s="32" t="str">
        <f>IF($B486 = "", "",  VLOOKUP($B486, Propostas!$B:$BE, 46, FALSE) )</f>
        <v/>
      </c>
      <c r="N486" s="32" t="str">
        <f>IF($B486 = "", "",  VLOOKUP($B486, Propostas!$B:$BE, 47, FALSE) )</f>
        <v/>
      </c>
      <c r="O486" s="13" t="str">
        <f>IF($B486="","",IF($C486="SIM", "INFRAESTRUTURA", VLOOKUP($B486, Propostas!$B:$BE,42,FALSE)))</f>
        <v/>
      </c>
      <c r="P486" s="32" t="str">
        <f>IF($B486 = "", "",  VLOOKUP($B486, Propostas!$B:$BE, 49, FALSE) )</f>
        <v/>
      </c>
      <c r="Q486" s="13" t="str">
        <f>IF($B486="","",  VLOOKUP($B486, Propostas!$B:$BE, 39, FALSE) )</f>
        <v/>
      </c>
      <c r="R486" s="81" t="str">
        <f>IF($B486="","",  VLOOKUP($B486, Propostas!$B:$BE, 43, FALSE) )</f>
        <v/>
      </c>
      <c r="S486" s="81" t="str">
        <f>IF($B486="","",  VLOOKUP($B486, Propostas!$B:$BE, 44, FALSE) )</f>
        <v/>
      </c>
      <c r="T486" s="81" t="str">
        <f>IF($B486="","",  VLOOKUP($B486, Propostas!$B:$BE, 45, FALSE) )</f>
        <v/>
      </c>
      <c r="U486" s="32" t="str">
        <f>IF($B486="","",  VLOOKUP($B486, Propostas!$B:$BE, 37, FALSE) )</f>
        <v/>
      </c>
      <c r="V486" s="13" t="str">
        <f>IF($B486="","",  VLOOKUP($B486, Propostas!$B:$BE, 50, FALSE) )</f>
        <v/>
      </c>
      <c r="W486" s="13" t="str">
        <f>IF($B486="","",  VLOOKUP($B486, Propostas!$B:$BE, 51, FALSE) )</f>
        <v/>
      </c>
      <c r="X486" s="13" t="str">
        <f>IF($B486="","",  VLOOKUP($B486, Propostas!$B:$BE, 52, FALSE) )</f>
        <v/>
      </c>
      <c r="Y486" s="13" t="str">
        <f>IF($B486="","",  VLOOKUP($B486, Propostas!$B:$BE, 36, FALSE) )</f>
        <v/>
      </c>
      <c r="Z486" s="13" t="str">
        <f>IF($B486="","",  VLOOKUP($F486, VW_PROJETO!B:C, 2, FALSE) )</f>
        <v/>
      </c>
    </row>
    <row r="487" spans="2:26" x14ac:dyDescent="0.2">
      <c r="B487" s="2"/>
      <c r="C487" s="4" t="str">
        <f>IF($B487="","",  VLOOKUP($B487, Propostas!$B:$BE, 33, FALSE) )</f>
        <v/>
      </c>
      <c r="D487" s="4" t="str">
        <f>IF($B487="","",  VLOOKUP($B487, Propostas!$B:$BE, 34, FALSE) )</f>
        <v/>
      </c>
      <c r="E487" s="4" t="str">
        <f>IF($B487="","",  VLOOKUP($B487, Propostas!$B:$BE, 35, FALSE) )</f>
        <v/>
      </c>
      <c r="F487" s="4" t="str">
        <f>IF($B487="","",  VLOOKUP($B487, Propostas!$B:$BE, 2, FALSE) )</f>
        <v/>
      </c>
      <c r="G487" s="4" t="str">
        <f>IF($B487="","",  VLOOKUP($B487, Propostas!$B:$BE, 3, FALSE) )</f>
        <v/>
      </c>
      <c r="H487" s="4" t="str">
        <f>IF($B487="","",  VLOOKUP($B487, Propostas!$B:$BE, 4, FALSE) )</f>
        <v/>
      </c>
      <c r="I487" s="4" t="str">
        <f>IF($B487="","",  VLOOKUP($B487, Propostas!$B:$BE, 38, FALSE) )</f>
        <v/>
      </c>
      <c r="J487" s="13" t="str">
        <f>IF($B487="","",IF($C487="SIM", "&lt; INFRRAESTRUTURA &gt;", VLOOKUP($B487,Propostas!$B:$BE,41,FALSE)))</f>
        <v/>
      </c>
      <c r="K487" s="10" t="str">
        <f>IF($B487="","",  VLOOKUP($B487, Propostas!$B:$BE, 40, FALSE) )</f>
        <v/>
      </c>
      <c r="L487" s="10" t="str">
        <f>IF($B487="","",IF(VLOOKUP($B487,Propostas!$B:$BE,21,FALSE)=1,"B",IF(VLOOKUP($B487,Propostas!$B:$BE,21,FALSE)=2,"E","N")))</f>
        <v/>
      </c>
      <c r="M487" s="32" t="str">
        <f>IF($B487 = "", "",  VLOOKUP($B487, Propostas!$B:$BE, 46, FALSE) )</f>
        <v/>
      </c>
      <c r="N487" s="32" t="str">
        <f>IF($B487 = "", "",  VLOOKUP($B487, Propostas!$B:$BE, 47, FALSE) )</f>
        <v/>
      </c>
      <c r="O487" s="13" t="str">
        <f>IF($B487="","",IF($C487="SIM", "INFRAESTRUTURA", VLOOKUP($B487, Propostas!$B:$BE,42,FALSE)))</f>
        <v/>
      </c>
      <c r="P487" s="32" t="str">
        <f>IF($B487 = "", "",  VLOOKUP($B487, Propostas!$B:$BE, 49, FALSE) )</f>
        <v/>
      </c>
      <c r="Q487" s="13" t="str">
        <f>IF($B487="","",  VLOOKUP($B487, Propostas!$B:$BE, 39, FALSE) )</f>
        <v/>
      </c>
      <c r="R487" s="81" t="str">
        <f>IF($B487="","",  VLOOKUP($B487, Propostas!$B:$BE, 43, FALSE) )</f>
        <v/>
      </c>
      <c r="S487" s="81" t="str">
        <f>IF($B487="","",  VLOOKUP($B487, Propostas!$B:$BE, 44, FALSE) )</f>
        <v/>
      </c>
      <c r="T487" s="81" t="str">
        <f>IF($B487="","",  VLOOKUP($B487, Propostas!$B:$BE, 45, FALSE) )</f>
        <v/>
      </c>
      <c r="U487" s="32" t="str">
        <f>IF($B487="","",  VLOOKUP($B487, Propostas!$B:$BE, 37, FALSE) )</f>
        <v/>
      </c>
      <c r="V487" s="13" t="str">
        <f>IF($B487="","",  VLOOKUP($B487, Propostas!$B:$BE, 50, FALSE) )</f>
        <v/>
      </c>
      <c r="W487" s="13" t="str">
        <f>IF($B487="","",  VLOOKUP($B487, Propostas!$B:$BE, 51, FALSE) )</f>
        <v/>
      </c>
      <c r="X487" s="13" t="str">
        <f>IF($B487="","",  VLOOKUP($B487, Propostas!$B:$BE, 52, FALSE) )</f>
        <v/>
      </c>
      <c r="Y487" s="13" t="str">
        <f>IF($B487="","",  VLOOKUP($B487, Propostas!$B:$BE, 36, FALSE) )</f>
        <v/>
      </c>
      <c r="Z487" s="13" t="str">
        <f>IF($B487="","",  VLOOKUP($F487, VW_PROJETO!B:C, 2, FALSE) )</f>
        <v/>
      </c>
    </row>
    <row r="488" spans="2:26" x14ac:dyDescent="0.2">
      <c r="B488" s="2"/>
      <c r="C488" s="4" t="str">
        <f>IF($B488="","",  VLOOKUP($B488, Propostas!$B:$BE, 33, FALSE) )</f>
        <v/>
      </c>
      <c r="D488" s="4" t="str">
        <f>IF($B488="","",  VLOOKUP($B488, Propostas!$B:$BE, 34, FALSE) )</f>
        <v/>
      </c>
      <c r="E488" s="4" t="str">
        <f>IF($B488="","",  VLOOKUP($B488, Propostas!$B:$BE, 35, FALSE) )</f>
        <v/>
      </c>
      <c r="F488" s="4" t="str">
        <f>IF($B488="","",  VLOOKUP($B488, Propostas!$B:$BE, 2, FALSE) )</f>
        <v/>
      </c>
      <c r="G488" s="4" t="str">
        <f>IF($B488="","",  VLOOKUP($B488, Propostas!$B:$BE, 3, FALSE) )</f>
        <v/>
      </c>
      <c r="H488" s="4" t="str">
        <f>IF($B488="","",  VLOOKUP($B488, Propostas!$B:$BE, 4, FALSE) )</f>
        <v/>
      </c>
      <c r="I488" s="4" t="str">
        <f>IF($B488="","",  VLOOKUP($B488, Propostas!$B:$BE, 38, FALSE) )</f>
        <v/>
      </c>
      <c r="J488" s="13" t="str">
        <f>IF($B488="","",IF($C488="SIM", "&lt; INFRRAESTRUTURA &gt;", VLOOKUP($B488,Propostas!$B:$BE,41,FALSE)))</f>
        <v/>
      </c>
      <c r="K488" s="10" t="str">
        <f>IF($B488="","",  VLOOKUP($B488, Propostas!$B:$BE, 40, FALSE) )</f>
        <v/>
      </c>
      <c r="L488" s="10" t="str">
        <f>IF($B488="","",IF(VLOOKUP($B488,Propostas!$B:$BE,21,FALSE)=1,"B",IF(VLOOKUP($B488,Propostas!$B:$BE,21,FALSE)=2,"E","N")))</f>
        <v/>
      </c>
      <c r="M488" s="32" t="str">
        <f>IF($B488 = "", "",  VLOOKUP($B488, Propostas!$B:$BE, 46, FALSE) )</f>
        <v/>
      </c>
      <c r="N488" s="32" t="str">
        <f>IF($B488 = "", "",  VLOOKUP($B488, Propostas!$B:$BE, 47, FALSE) )</f>
        <v/>
      </c>
      <c r="O488" s="13" t="str">
        <f>IF($B488="","",IF($C488="SIM", "INFRAESTRUTURA", VLOOKUP($B488, Propostas!$B:$BE,42,FALSE)))</f>
        <v/>
      </c>
      <c r="P488" s="32" t="str">
        <f>IF($B488 = "", "",  VLOOKUP($B488, Propostas!$B:$BE, 49, FALSE) )</f>
        <v/>
      </c>
      <c r="Q488" s="13" t="str">
        <f>IF($B488="","",  VLOOKUP($B488, Propostas!$B:$BE, 39, FALSE) )</f>
        <v/>
      </c>
      <c r="R488" s="81" t="str">
        <f>IF($B488="","",  VLOOKUP($B488, Propostas!$B:$BE, 43, FALSE) )</f>
        <v/>
      </c>
      <c r="S488" s="81" t="str">
        <f>IF($B488="","",  VLOOKUP($B488, Propostas!$B:$BE, 44, FALSE) )</f>
        <v/>
      </c>
      <c r="T488" s="81" t="str">
        <f>IF($B488="","",  VLOOKUP($B488, Propostas!$B:$BE, 45, FALSE) )</f>
        <v/>
      </c>
      <c r="U488" s="32" t="str">
        <f>IF($B488="","",  VLOOKUP($B488, Propostas!$B:$BE, 37, FALSE) )</f>
        <v/>
      </c>
      <c r="V488" s="13" t="str">
        <f>IF($B488="","",  VLOOKUP($B488, Propostas!$B:$BE, 50, FALSE) )</f>
        <v/>
      </c>
      <c r="W488" s="13" t="str">
        <f>IF($B488="","",  VLOOKUP($B488, Propostas!$B:$BE, 51, FALSE) )</f>
        <v/>
      </c>
      <c r="X488" s="13" t="str">
        <f>IF($B488="","",  VLOOKUP($B488, Propostas!$B:$BE, 52, FALSE) )</f>
        <v/>
      </c>
      <c r="Y488" s="13" t="str">
        <f>IF($B488="","",  VLOOKUP($B488, Propostas!$B:$BE, 36, FALSE) )</f>
        <v/>
      </c>
      <c r="Z488" s="13" t="str">
        <f>IF($B488="","",  VLOOKUP($F488, VW_PROJETO!B:C, 2, FALSE) )</f>
        <v/>
      </c>
    </row>
    <row r="489" spans="2:26" x14ac:dyDescent="0.2">
      <c r="B489" s="2"/>
      <c r="C489" s="4" t="str">
        <f>IF($B489="","",  VLOOKUP($B489, Propostas!$B:$BE, 33, FALSE) )</f>
        <v/>
      </c>
      <c r="D489" s="4" t="str">
        <f>IF($B489="","",  VLOOKUP($B489, Propostas!$B:$BE, 34, FALSE) )</f>
        <v/>
      </c>
      <c r="E489" s="4" t="str">
        <f>IF($B489="","",  VLOOKUP($B489, Propostas!$B:$BE, 35, FALSE) )</f>
        <v/>
      </c>
      <c r="F489" s="4" t="str">
        <f>IF($B489="","",  VLOOKUP($B489, Propostas!$B:$BE, 2, FALSE) )</f>
        <v/>
      </c>
      <c r="G489" s="4" t="str">
        <f>IF($B489="","",  VLOOKUP($B489, Propostas!$B:$BE, 3, FALSE) )</f>
        <v/>
      </c>
      <c r="H489" s="4" t="str">
        <f>IF($B489="","",  VLOOKUP($B489, Propostas!$B:$BE, 4, FALSE) )</f>
        <v/>
      </c>
      <c r="I489" s="4" t="str">
        <f>IF($B489="","",  VLOOKUP($B489, Propostas!$B:$BE, 38, FALSE) )</f>
        <v/>
      </c>
      <c r="J489" s="13" t="str">
        <f>IF($B489="","",IF($C489="SIM", "&lt; INFRRAESTRUTURA &gt;", VLOOKUP($B489,Propostas!$B:$BE,41,FALSE)))</f>
        <v/>
      </c>
      <c r="K489" s="10" t="str">
        <f>IF($B489="","",  VLOOKUP($B489, Propostas!$B:$BE, 40, FALSE) )</f>
        <v/>
      </c>
      <c r="L489" s="10" t="str">
        <f>IF($B489="","",IF(VLOOKUP($B489,Propostas!$B:$BE,21,FALSE)=1,"B",IF(VLOOKUP($B489,Propostas!$B:$BE,21,FALSE)=2,"E","N")))</f>
        <v/>
      </c>
      <c r="M489" s="32" t="str">
        <f>IF($B489 = "", "",  VLOOKUP($B489, Propostas!$B:$BE, 46, FALSE) )</f>
        <v/>
      </c>
      <c r="N489" s="32" t="str">
        <f>IF($B489 = "", "",  VLOOKUP($B489, Propostas!$B:$BE, 47, FALSE) )</f>
        <v/>
      </c>
      <c r="O489" s="13" t="str">
        <f>IF($B489="","",IF($C489="SIM", "INFRAESTRUTURA", VLOOKUP($B489, Propostas!$B:$BE,42,FALSE)))</f>
        <v/>
      </c>
      <c r="P489" s="32" t="str">
        <f>IF($B489 = "", "",  VLOOKUP($B489, Propostas!$B:$BE, 49, FALSE) )</f>
        <v/>
      </c>
      <c r="Q489" s="13" t="str">
        <f>IF($B489="","",  VLOOKUP($B489, Propostas!$B:$BE, 39, FALSE) )</f>
        <v/>
      </c>
      <c r="R489" s="81" t="str">
        <f>IF($B489="","",  VLOOKUP($B489, Propostas!$B:$BE, 43, FALSE) )</f>
        <v/>
      </c>
      <c r="S489" s="81" t="str">
        <f>IF($B489="","",  VLOOKUP($B489, Propostas!$B:$BE, 44, FALSE) )</f>
        <v/>
      </c>
      <c r="T489" s="81" t="str">
        <f>IF($B489="","",  VLOOKUP($B489, Propostas!$B:$BE, 45, FALSE) )</f>
        <v/>
      </c>
      <c r="U489" s="32" t="str">
        <f>IF($B489="","",  VLOOKUP($B489, Propostas!$B:$BE, 37, FALSE) )</f>
        <v/>
      </c>
      <c r="V489" s="13" t="str">
        <f>IF($B489="","",  VLOOKUP($B489, Propostas!$B:$BE, 50, FALSE) )</f>
        <v/>
      </c>
      <c r="W489" s="13" t="str">
        <f>IF($B489="","",  VLOOKUP($B489, Propostas!$B:$BE, 51, FALSE) )</f>
        <v/>
      </c>
      <c r="X489" s="13" t="str">
        <f>IF($B489="","",  VLOOKUP($B489, Propostas!$B:$BE, 52, FALSE) )</f>
        <v/>
      </c>
      <c r="Y489" s="13" t="str">
        <f>IF($B489="","",  VLOOKUP($B489, Propostas!$B:$BE, 36, FALSE) )</f>
        <v/>
      </c>
      <c r="Z489" s="13" t="str">
        <f>IF($B489="","",  VLOOKUP($F489, VW_PROJETO!B:C, 2, FALSE) )</f>
        <v/>
      </c>
    </row>
    <row r="490" spans="2:26" x14ac:dyDescent="0.2">
      <c r="B490" s="2"/>
      <c r="C490" s="4" t="str">
        <f>IF($B490="","",  VLOOKUP($B490, Propostas!$B:$BE, 33, FALSE) )</f>
        <v/>
      </c>
      <c r="D490" s="4" t="str">
        <f>IF($B490="","",  VLOOKUP($B490, Propostas!$B:$BE, 34, FALSE) )</f>
        <v/>
      </c>
      <c r="E490" s="4" t="str">
        <f>IF($B490="","",  VLOOKUP($B490, Propostas!$B:$BE, 35, FALSE) )</f>
        <v/>
      </c>
      <c r="F490" s="4" t="str">
        <f>IF($B490="","",  VLOOKUP($B490, Propostas!$B:$BE, 2, FALSE) )</f>
        <v/>
      </c>
      <c r="G490" s="4" t="str">
        <f>IF($B490="","",  VLOOKUP($B490, Propostas!$B:$BE, 3, FALSE) )</f>
        <v/>
      </c>
      <c r="H490" s="4" t="str">
        <f>IF($B490="","",  VLOOKUP($B490, Propostas!$B:$BE, 4, FALSE) )</f>
        <v/>
      </c>
      <c r="I490" s="4" t="str">
        <f>IF($B490="","",  VLOOKUP($B490, Propostas!$B:$BE, 38, FALSE) )</f>
        <v/>
      </c>
      <c r="J490" s="13" t="str">
        <f>IF($B490="","",IF($C490="SIM", "&lt; INFRRAESTRUTURA &gt;", VLOOKUP($B490,Propostas!$B:$BE,41,FALSE)))</f>
        <v/>
      </c>
      <c r="K490" s="10" t="str">
        <f>IF($B490="","",  VLOOKUP($B490, Propostas!$B:$BE, 40, FALSE) )</f>
        <v/>
      </c>
      <c r="L490" s="10" t="str">
        <f>IF($B490="","",IF(VLOOKUP($B490,Propostas!$B:$BE,21,FALSE)=1,"B",IF(VLOOKUP($B490,Propostas!$B:$BE,21,FALSE)=2,"E","N")))</f>
        <v/>
      </c>
      <c r="M490" s="32" t="str">
        <f>IF($B490 = "", "",  VLOOKUP($B490, Propostas!$B:$BE, 46, FALSE) )</f>
        <v/>
      </c>
      <c r="N490" s="32" t="str">
        <f>IF($B490 = "", "",  VLOOKUP($B490, Propostas!$B:$BE, 47, FALSE) )</f>
        <v/>
      </c>
      <c r="O490" s="13" t="str">
        <f>IF($B490="","",IF($C490="SIM", "INFRAESTRUTURA", VLOOKUP($B490, Propostas!$B:$BE,42,FALSE)))</f>
        <v/>
      </c>
      <c r="P490" s="32" t="str">
        <f>IF($B490 = "", "",  VLOOKUP($B490, Propostas!$B:$BE, 49, FALSE) )</f>
        <v/>
      </c>
      <c r="Q490" s="13" t="str">
        <f>IF($B490="","",  VLOOKUP($B490, Propostas!$B:$BE, 39, FALSE) )</f>
        <v/>
      </c>
      <c r="R490" s="81" t="str">
        <f>IF($B490="","",  VLOOKUP($B490, Propostas!$B:$BE, 43, FALSE) )</f>
        <v/>
      </c>
      <c r="S490" s="81" t="str">
        <f>IF($B490="","",  VLOOKUP($B490, Propostas!$B:$BE, 44, FALSE) )</f>
        <v/>
      </c>
      <c r="T490" s="81" t="str">
        <f>IF($B490="","",  VLOOKUP($B490, Propostas!$B:$BE, 45, FALSE) )</f>
        <v/>
      </c>
      <c r="U490" s="32" t="str">
        <f>IF($B490="","",  VLOOKUP($B490, Propostas!$B:$BE, 37, FALSE) )</f>
        <v/>
      </c>
      <c r="V490" s="13" t="str">
        <f>IF($B490="","",  VLOOKUP($B490, Propostas!$B:$BE, 50, FALSE) )</f>
        <v/>
      </c>
      <c r="W490" s="13" t="str">
        <f>IF($B490="","",  VLOOKUP($B490, Propostas!$B:$BE, 51, FALSE) )</f>
        <v/>
      </c>
      <c r="X490" s="13" t="str">
        <f>IF($B490="","",  VLOOKUP($B490, Propostas!$B:$BE, 52, FALSE) )</f>
        <v/>
      </c>
      <c r="Y490" s="13" t="str">
        <f>IF($B490="","",  VLOOKUP($B490, Propostas!$B:$BE, 36, FALSE) )</f>
        <v/>
      </c>
      <c r="Z490" s="13" t="str">
        <f>IF($B490="","",  VLOOKUP($F490, VW_PROJETO!B:C, 2, FALSE) )</f>
        <v/>
      </c>
    </row>
    <row r="491" spans="2:26" x14ac:dyDescent="0.2">
      <c r="B491" s="2"/>
      <c r="C491" s="4" t="str">
        <f>IF($B491="","",  VLOOKUP($B491, Propostas!$B:$BE, 33, FALSE) )</f>
        <v/>
      </c>
      <c r="D491" s="4" t="str">
        <f>IF($B491="","",  VLOOKUP($B491, Propostas!$B:$BE, 34, FALSE) )</f>
        <v/>
      </c>
      <c r="E491" s="4" t="str">
        <f>IF($B491="","",  VLOOKUP($B491, Propostas!$B:$BE, 35, FALSE) )</f>
        <v/>
      </c>
      <c r="F491" s="4" t="str">
        <f>IF($B491="","",  VLOOKUP($B491, Propostas!$B:$BE, 2, FALSE) )</f>
        <v/>
      </c>
      <c r="G491" s="4" t="str">
        <f>IF($B491="","",  VLOOKUP($B491, Propostas!$B:$BE, 3, FALSE) )</f>
        <v/>
      </c>
      <c r="H491" s="4" t="str">
        <f>IF($B491="","",  VLOOKUP($B491, Propostas!$B:$BE, 4, FALSE) )</f>
        <v/>
      </c>
      <c r="I491" s="4" t="str">
        <f>IF($B491="","",  VLOOKUP($B491, Propostas!$B:$BE, 38, FALSE) )</f>
        <v/>
      </c>
      <c r="J491" s="13" t="str">
        <f>IF($B491="","",IF($C491="SIM", "&lt; INFRRAESTRUTURA &gt;", VLOOKUP($B491,Propostas!$B:$BE,41,FALSE)))</f>
        <v/>
      </c>
      <c r="K491" s="10" t="str">
        <f>IF($B491="","",  VLOOKUP($B491, Propostas!$B:$BE, 40, FALSE) )</f>
        <v/>
      </c>
      <c r="L491" s="10" t="str">
        <f>IF($B491="","",IF(VLOOKUP($B491,Propostas!$B:$BE,21,FALSE)=1,"B",IF(VLOOKUP($B491,Propostas!$B:$BE,21,FALSE)=2,"E","N")))</f>
        <v/>
      </c>
      <c r="M491" s="32" t="str">
        <f>IF($B491 = "", "",  VLOOKUP($B491, Propostas!$B:$BE, 46, FALSE) )</f>
        <v/>
      </c>
      <c r="N491" s="32" t="str">
        <f>IF($B491 = "", "",  VLOOKUP($B491, Propostas!$B:$BE, 47, FALSE) )</f>
        <v/>
      </c>
      <c r="O491" s="13" t="str">
        <f>IF($B491="","",IF($C491="SIM", "INFRAESTRUTURA", VLOOKUP($B491, Propostas!$B:$BE,42,FALSE)))</f>
        <v/>
      </c>
      <c r="P491" s="32" t="str">
        <f>IF($B491 = "", "",  VLOOKUP($B491, Propostas!$B:$BE, 49, FALSE) )</f>
        <v/>
      </c>
      <c r="Q491" s="13" t="str">
        <f>IF($B491="","",  VLOOKUP($B491, Propostas!$B:$BE, 39, FALSE) )</f>
        <v/>
      </c>
      <c r="R491" s="81" t="str">
        <f>IF($B491="","",  VLOOKUP($B491, Propostas!$B:$BE, 43, FALSE) )</f>
        <v/>
      </c>
      <c r="S491" s="81" t="str">
        <f>IF($B491="","",  VLOOKUP($B491, Propostas!$B:$BE, 44, FALSE) )</f>
        <v/>
      </c>
      <c r="T491" s="81" t="str">
        <f>IF($B491="","",  VLOOKUP($B491, Propostas!$B:$BE, 45, FALSE) )</f>
        <v/>
      </c>
      <c r="U491" s="32" t="str">
        <f>IF($B491="","",  VLOOKUP($B491, Propostas!$B:$BE, 37, FALSE) )</f>
        <v/>
      </c>
      <c r="V491" s="13" t="str">
        <f>IF($B491="","",  VLOOKUP($B491, Propostas!$B:$BE, 50, FALSE) )</f>
        <v/>
      </c>
      <c r="W491" s="13" t="str">
        <f>IF($B491="","",  VLOOKUP($B491, Propostas!$B:$BE, 51, FALSE) )</f>
        <v/>
      </c>
      <c r="X491" s="13" t="str">
        <f>IF($B491="","",  VLOOKUP($B491, Propostas!$B:$BE, 52, FALSE) )</f>
        <v/>
      </c>
      <c r="Y491" s="13" t="str">
        <f>IF($B491="","",  VLOOKUP($B491, Propostas!$B:$BE, 36, FALSE) )</f>
        <v/>
      </c>
      <c r="Z491" s="13" t="str">
        <f>IF($B491="","",  VLOOKUP($F491, VW_PROJETO!B:C, 2, FALSE) )</f>
        <v/>
      </c>
    </row>
    <row r="492" spans="2:26" x14ac:dyDescent="0.2">
      <c r="B492" s="2"/>
      <c r="C492" s="4" t="str">
        <f>IF($B492="","",  VLOOKUP($B492, Propostas!$B:$BE, 33, FALSE) )</f>
        <v/>
      </c>
      <c r="D492" s="4" t="str">
        <f>IF($B492="","",  VLOOKUP($B492, Propostas!$B:$BE, 34, FALSE) )</f>
        <v/>
      </c>
      <c r="E492" s="4" t="str">
        <f>IF($B492="","",  VLOOKUP($B492, Propostas!$B:$BE, 35, FALSE) )</f>
        <v/>
      </c>
      <c r="F492" s="4" t="str">
        <f>IF($B492="","",  VLOOKUP($B492, Propostas!$B:$BE, 2, FALSE) )</f>
        <v/>
      </c>
      <c r="G492" s="4" t="str">
        <f>IF($B492="","",  VLOOKUP($B492, Propostas!$B:$BE, 3, FALSE) )</f>
        <v/>
      </c>
      <c r="H492" s="4" t="str">
        <f>IF($B492="","",  VLOOKUP($B492, Propostas!$B:$BE, 4, FALSE) )</f>
        <v/>
      </c>
      <c r="I492" s="4" t="str">
        <f>IF($B492="","",  VLOOKUP($B492, Propostas!$B:$BE, 38, FALSE) )</f>
        <v/>
      </c>
      <c r="J492" s="13" t="str">
        <f>IF($B492="","",IF($C492="SIM", "&lt; INFRRAESTRUTURA &gt;", VLOOKUP($B492,Propostas!$B:$BE,41,FALSE)))</f>
        <v/>
      </c>
      <c r="K492" s="10" t="str">
        <f>IF($B492="","",  VLOOKUP($B492, Propostas!$B:$BE, 40, FALSE) )</f>
        <v/>
      </c>
      <c r="L492" s="10" t="str">
        <f>IF($B492="","",IF(VLOOKUP($B492,Propostas!$B:$BE,21,FALSE)=1,"B",IF(VLOOKUP($B492,Propostas!$B:$BE,21,FALSE)=2,"E","N")))</f>
        <v/>
      </c>
      <c r="M492" s="32" t="str">
        <f>IF($B492 = "", "",  VLOOKUP($B492, Propostas!$B:$BE, 46, FALSE) )</f>
        <v/>
      </c>
      <c r="N492" s="32" t="str">
        <f>IF($B492 = "", "",  VLOOKUP($B492, Propostas!$B:$BE, 47, FALSE) )</f>
        <v/>
      </c>
      <c r="O492" s="13" t="str">
        <f>IF($B492="","",IF($C492="SIM", "INFRAESTRUTURA", VLOOKUP($B492, Propostas!$B:$BE,42,FALSE)))</f>
        <v/>
      </c>
      <c r="P492" s="32" t="str">
        <f>IF($B492 = "", "",  VLOOKUP($B492, Propostas!$B:$BE, 49, FALSE) )</f>
        <v/>
      </c>
      <c r="Q492" s="13" t="str">
        <f>IF($B492="","",  VLOOKUP($B492, Propostas!$B:$BE, 39, FALSE) )</f>
        <v/>
      </c>
      <c r="R492" s="81" t="str">
        <f>IF($B492="","",  VLOOKUP($B492, Propostas!$B:$BE, 43, FALSE) )</f>
        <v/>
      </c>
      <c r="S492" s="81" t="str">
        <f>IF($B492="","",  VLOOKUP($B492, Propostas!$B:$BE, 44, FALSE) )</f>
        <v/>
      </c>
      <c r="T492" s="81" t="str">
        <f>IF($B492="","",  VLOOKUP($B492, Propostas!$B:$BE, 45, FALSE) )</f>
        <v/>
      </c>
      <c r="U492" s="32" t="str">
        <f>IF($B492="","",  VLOOKUP($B492, Propostas!$B:$BE, 37, FALSE) )</f>
        <v/>
      </c>
      <c r="V492" s="13" t="str">
        <f>IF($B492="","",  VLOOKUP($B492, Propostas!$B:$BE, 50, FALSE) )</f>
        <v/>
      </c>
      <c r="W492" s="13" t="str">
        <f>IF($B492="","",  VLOOKUP($B492, Propostas!$B:$BE, 51, FALSE) )</f>
        <v/>
      </c>
      <c r="X492" s="13" t="str">
        <f>IF($B492="","",  VLOOKUP($B492, Propostas!$B:$BE, 52, FALSE) )</f>
        <v/>
      </c>
      <c r="Y492" s="13" t="str">
        <f>IF($B492="","",  VLOOKUP($B492, Propostas!$B:$BE, 36, FALSE) )</f>
        <v/>
      </c>
      <c r="Z492" s="13" t="str">
        <f>IF($B492="","",  VLOOKUP($F492, VW_PROJETO!B:C, 2, FALSE) )</f>
        <v/>
      </c>
    </row>
    <row r="493" spans="2:26" x14ac:dyDescent="0.2">
      <c r="B493" s="2"/>
      <c r="C493" s="4" t="str">
        <f>IF($B493="","",  VLOOKUP($B493, Propostas!$B:$BE, 33, FALSE) )</f>
        <v/>
      </c>
      <c r="D493" s="4" t="str">
        <f>IF($B493="","",  VLOOKUP($B493, Propostas!$B:$BE, 34, FALSE) )</f>
        <v/>
      </c>
      <c r="E493" s="4" t="str">
        <f>IF($B493="","",  VLOOKUP($B493, Propostas!$B:$BE, 35, FALSE) )</f>
        <v/>
      </c>
      <c r="F493" s="4" t="str">
        <f>IF($B493="","",  VLOOKUP($B493, Propostas!$B:$BE, 2, FALSE) )</f>
        <v/>
      </c>
      <c r="G493" s="4" t="str">
        <f>IF($B493="","",  VLOOKUP($B493, Propostas!$B:$BE, 3, FALSE) )</f>
        <v/>
      </c>
      <c r="H493" s="4" t="str">
        <f>IF($B493="","",  VLOOKUP($B493, Propostas!$B:$BE, 4, FALSE) )</f>
        <v/>
      </c>
      <c r="I493" s="4" t="str">
        <f>IF($B493="","",  VLOOKUP($B493, Propostas!$B:$BE, 38, FALSE) )</f>
        <v/>
      </c>
      <c r="J493" s="13" t="str">
        <f>IF($B493="","",IF($C493="SIM", "&lt; INFRRAESTRUTURA &gt;", VLOOKUP($B493,Propostas!$B:$BE,41,FALSE)))</f>
        <v/>
      </c>
      <c r="K493" s="10" t="str">
        <f>IF($B493="","",  VLOOKUP($B493, Propostas!$B:$BE, 40, FALSE) )</f>
        <v/>
      </c>
      <c r="L493" s="10" t="str">
        <f>IF($B493="","",IF(VLOOKUP($B493,Propostas!$B:$BE,21,FALSE)=1,"B",IF(VLOOKUP($B493,Propostas!$B:$BE,21,FALSE)=2,"E","N")))</f>
        <v/>
      </c>
      <c r="M493" s="32" t="str">
        <f>IF($B493 = "", "",  VLOOKUP($B493, Propostas!$B:$BE, 46, FALSE) )</f>
        <v/>
      </c>
      <c r="N493" s="32" t="str">
        <f>IF($B493 = "", "",  VLOOKUP($B493, Propostas!$B:$BE, 47, FALSE) )</f>
        <v/>
      </c>
      <c r="O493" s="13" t="str">
        <f>IF($B493="","",IF($C493="SIM", "INFRAESTRUTURA", VLOOKUP($B493, Propostas!$B:$BE,42,FALSE)))</f>
        <v/>
      </c>
      <c r="P493" s="32" t="str">
        <f>IF($B493 = "", "",  VLOOKUP($B493, Propostas!$B:$BE, 49, FALSE) )</f>
        <v/>
      </c>
      <c r="Q493" s="13" t="str">
        <f>IF($B493="","",  VLOOKUP($B493, Propostas!$B:$BE, 39, FALSE) )</f>
        <v/>
      </c>
      <c r="R493" s="81" t="str">
        <f>IF($B493="","",  VLOOKUP($B493, Propostas!$B:$BE, 43, FALSE) )</f>
        <v/>
      </c>
      <c r="S493" s="81" t="str">
        <f>IF($B493="","",  VLOOKUP($B493, Propostas!$B:$BE, 44, FALSE) )</f>
        <v/>
      </c>
      <c r="T493" s="81" t="str">
        <f>IF($B493="","",  VLOOKUP($B493, Propostas!$B:$BE, 45, FALSE) )</f>
        <v/>
      </c>
      <c r="U493" s="32" t="str">
        <f>IF($B493="","",  VLOOKUP($B493, Propostas!$B:$BE, 37, FALSE) )</f>
        <v/>
      </c>
      <c r="V493" s="13" t="str">
        <f>IF($B493="","",  VLOOKUP($B493, Propostas!$B:$BE, 50, FALSE) )</f>
        <v/>
      </c>
      <c r="W493" s="13" t="str">
        <f>IF($B493="","",  VLOOKUP($B493, Propostas!$B:$BE, 51, FALSE) )</f>
        <v/>
      </c>
      <c r="X493" s="13" t="str">
        <f>IF($B493="","",  VLOOKUP($B493, Propostas!$B:$BE, 52, FALSE) )</f>
        <v/>
      </c>
      <c r="Y493" s="13" t="str">
        <f>IF($B493="","",  VLOOKUP($B493, Propostas!$B:$BE, 36, FALSE) )</f>
        <v/>
      </c>
      <c r="Z493" s="13" t="str">
        <f>IF($B493="","",  VLOOKUP($F493, VW_PROJETO!B:C, 2, FALSE) )</f>
        <v/>
      </c>
    </row>
    <row r="494" spans="2:26" x14ac:dyDescent="0.2">
      <c r="B494" s="2"/>
      <c r="C494" s="4" t="str">
        <f>IF($B494="","",  VLOOKUP($B494, Propostas!$B:$BE, 33, FALSE) )</f>
        <v/>
      </c>
      <c r="D494" s="4" t="str">
        <f>IF($B494="","",  VLOOKUP($B494, Propostas!$B:$BE, 34, FALSE) )</f>
        <v/>
      </c>
      <c r="E494" s="4" t="str">
        <f>IF($B494="","",  VLOOKUP($B494, Propostas!$B:$BE, 35, FALSE) )</f>
        <v/>
      </c>
      <c r="F494" s="4" t="str">
        <f>IF($B494="","",  VLOOKUP($B494, Propostas!$B:$BE, 2, FALSE) )</f>
        <v/>
      </c>
      <c r="G494" s="4" t="str">
        <f>IF($B494="","",  VLOOKUP($B494, Propostas!$B:$BE, 3, FALSE) )</f>
        <v/>
      </c>
      <c r="H494" s="4" t="str">
        <f>IF($B494="","",  VLOOKUP($B494, Propostas!$B:$BE, 4, FALSE) )</f>
        <v/>
      </c>
      <c r="I494" s="4" t="str">
        <f>IF($B494="","",  VLOOKUP($B494, Propostas!$B:$BE, 38, FALSE) )</f>
        <v/>
      </c>
      <c r="J494" s="13" t="str">
        <f>IF($B494="","",IF($C494="SIM", "&lt; INFRRAESTRUTURA &gt;", VLOOKUP($B494,Propostas!$B:$BE,41,FALSE)))</f>
        <v/>
      </c>
      <c r="K494" s="10" t="str">
        <f>IF($B494="","",  VLOOKUP($B494, Propostas!$B:$BE, 40, FALSE) )</f>
        <v/>
      </c>
      <c r="L494" s="10" t="str">
        <f>IF($B494="","",IF(VLOOKUP($B494,Propostas!$B:$BE,21,FALSE)=1,"B",IF(VLOOKUP($B494,Propostas!$B:$BE,21,FALSE)=2,"E","N")))</f>
        <v/>
      </c>
      <c r="M494" s="32" t="str">
        <f>IF($B494 = "", "",  VLOOKUP($B494, Propostas!$B:$BE, 46, FALSE) )</f>
        <v/>
      </c>
      <c r="N494" s="32" t="str">
        <f>IF($B494 = "", "",  VLOOKUP($B494, Propostas!$B:$BE, 47, FALSE) )</f>
        <v/>
      </c>
      <c r="O494" s="13" t="str">
        <f>IF($B494="","",IF($C494="SIM", "INFRAESTRUTURA", VLOOKUP($B494, Propostas!$B:$BE,42,FALSE)))</f>
        <v/>
      </c>
      <c r="P494" s="32" t="str">
        <f>IF($B494 = "", "",  VLOOKUP($B494, Propostas!$B:$BE, 49, FALSE) )</f>
        <v/>
      </c>
      <c r="Q494" s="13" t="str">
        <f>IF($B494="","",  VLOOKUP($B494, Propostas!$B:$BE, 39, FALSE) )</f>
        <v/>
      </c>
      <c r="R494" s="81" t="str">
        <f>IF($B494="","",  VLOOKUP($B494, Propostas!$B:$BE, 43, FALSE) )</f>
        <v/>
      </c>
      <c r="S494" s="81" t="str">
        <f>IF($B494="","",  VLOOKUP($B494, Propostas!$B:$BE, 44, FALSE) )</f>
        <v/>
      </c>
      <c r="T494" s="81" t="str">
        <f>IF($B494="","",  VLOOKUP($B494, Propostas!$B:$BE, 45, FALSE) )</f>
        <v/>
      </c>
      <c r="U494" s="32" t="str">
        <f>IF($B494="","",  VLOOKUP($B494, Propostas!$B:$BE, 37, FALSE) )</f>
        <v/>
      </c>
      <c r="V494" s="13" t="str">
        <f>IF($B494="","",  VLOOKUP($B494, Propostas!$B:$BE, 50, FALSE) )</f>
        <v/>
      </c>
      <c r="W494" s="13" t="str">
        <f>IF($B494="","",  VLOOKUP($B494, Propostas!$B:$BE, 51, FALSE) )</f>
        <v/>
      </c>
      <c r="X494" s="13" t="str">
        <f>IF($B494="","",  VLOOKUP($B494, Propostas!$B:$BE, 52, FALSE) )</f>
        <v/>
      </c>
      <c r="Y494" s="13" t="str">
        <f>IF($B494="","",  VLOOKUP($B494, Propostas!$B:$BE, 36, FALSE) )</f>
        <v/>
      </c>
      <c r="Z494" s="13" t="str">
        <f>IF($B494="","",  VLOOKUP($F494, VW_PROJETO!B:C, 2, FALSE) )</f>
        <v/>
      </c>
    </row>
    <row r="495" spans="2:26" x14ac:dyDescent="0.2">
      <c r="B495" s="2"/>
      <c r="C495" s="4" t="str">
        <f>IF($B495="","",  VLOOKUP($B495, Propostas!$B:$BE, 33, FALSE) )</f>
        <v/>
      </c>
      <c r="D495" s="4" t="str">
        <f>IF($B495="","",  VLOOKUP($B495, Propostas!$B:$BE, 34, FALSE) )</f>
        <v/>
      </c>
      <c r="E495" s="4" t="str">
        <f>IF($B495="","",  VLOOKUP($B495, Propostas!$B:$BE, 35, FALSE) )</f>
        <v/>
      </c>
      <c r="F495" s="4" t="str">
        <f>IF($B495="","",  VLOOKUP($B495, Propostas!$B:$BE, 2, FALSE) )</f>
        <v/>
      </c>
      <c r="G495" s="4" t="str">
        <f>IF($B495="","",  VLOOKUP($B495, Propostas!$B:$BE, 3, FALSE) )</f>
        <v/>
      </c>
      <c r="H495" s="4" t="str">
        <f>IF($B495="","",  VLOOKUP($B495, Propostas!$B:$BE, 4, FALSE) )</f>
        <v/>
      </c>
      <c r="I495" s="4" t="str">
        <f>IF($B495="","",  VLOOKUP($B495, Propostas!$B:$BE, 38, FALSE) )</f>
        <v/>
      </c>
      <c r="J495" s="13" t="str">
        <f>IF($B495="","",IF($C495="SIM", "&lt; INFRRAESTRUTURA &gt;", VLOOKUP($B495,Propostas!$B:$BE,41,FALSE)))</f>
        <v/>
      </c>
      <c r="K495" s="10" t="str">
        <f>IF($B495="","",  VLOOKUP($B495, Propostas!$B:$BE, 40, FALSE) )</f>
        <v/>
      </c>
      <c r="L495" s="10" t="str">
        <f>IF($B495="","",IF(VLOOKUP($B495,Propostas!$B:$BE,21,FALSE)=1,"B",IF(VLOOKUP($B495,Propostas!$B:$BE,21,FALSE)=2,"E","N")))</f>
        <v/>
      </c>
      <c r="M495" s="32" t="str">
        <f>IF($B495 = "", "",  VLOOKUP($B495, Propostas!$B:$BE, 46, FALSE) )</f>
        <v/>
      </c>
      <c r="N495" s="32" t="str">
        <f>IF($B495 = "", "",  VLOOKUP($B495, Propostas!$B:$BE, 47, FALSE) )</f>
        <v/>
      </c>
      <c r="O495" s="13" t="str">
        <f>IF($B495="","",IF($C495="SIM", "INFRAESTRUTURA", VLOOKUP($B495, Propostas!$B:$BE,42,FALSE)))</f>
        <v/>
      </c>
      <c r="P495" s="32" t="str">
        <f>IF($B495 = "", "",  VLOOKUP($B495, Propostas!$B:$BE, 49, FALSE) )</f>
        <v/>
      </c>
      <c r="Q495" s="13" t="str">
        <f>IF($B495="","",  VLOOKUP($B495, Propostas!$B:$BE, 39, FALSE) )</f>
        <v/>
      </c>
      <c r="R495" s="81" t="str">
        <f>IF($B495="","",  VLOOKUP($B495, Propostas!$B:$BE, 43, FALSE) )</f>
        <v/>
      </c>
      <c r="S495" s="81" t="str">
        <f>IF($B495="","",  VLOOKUP($B495, Propostas!$B:$BE, 44, FALSE) )</f>
        <v/>
      </c>
      <c r="T495" s="81" t="str">
        <f>IF($B495="","",  VLOOKUP($B495, Propostas!$B:$BE, 45, FALSE) )</f>
        <v/>
      </c>
      <c r="U495" s="32" t="str">
        <f>IF($B495="","",  VLOOKUP($B495, Propostas!$B:$BE, 37, FALSE) )</f>
        <v/>
      </c>
      <c r="V495" s="13" t="str">
        <f>IF($B495="","",  VLOOKUP($B495, Propostas!$B:$BE, 50, FALSE) )</f>
        <v/>
      </c>
      <c r="W495" s="13" t="str">
        <f>IF($B495="","",  VLOOKUP($B495, Propostas!$B:$BE, 51, FALSE) )</f>
        <v/>
      </c>
      <c r="X495" s="13" t="str">
        <f>IF($B495="","",  VLOOKUP($B495, Propostas!$B:$BE, 52, FALSE) )</f>
        <v/>
      </c>
      <c r="Y495" s="13" t="str">
        <f>IF($B495="","",  VLOOKUP($B495, Propostas!$B:$BE, 36, FALSE) )</f>
        <v/>
      </c>
      <c r="Z495" s="13" t="str">
        <f>IF($B495="","",  VLOOKUP($F495, VW_PROJETO!B:C, 2, FALSE) )</f>
        <v/>
      </c>
    </row>
    <row r="496" spans="2:26" x14ac:dyDescent="0.2">
      <c r="B496" s="2"/>
      <c r="C496" s="4" t="str">
        <f>IF($B496="","",  VLOOKUP($B496, Propostas!$B:$BE, 33, FALSE) )</f>
        <v/>
      </c>
      <c r="D496" s="4" t="str">
        <f>IF($B496="","",  VLOOKUP($B496, Propostas!$B:$BE, 34, FALSE) )</f>
        <v/>
      </c>
      <c r="E496" s="4" t="str">
        <f>IF($B496="","",  VLOOKUP($B496, Propostas!$B:$BE, 35, FALSE) )</f>
        <v/>
      </c>
      <c r="F496" s="4" t="str">
        <f>IF($B496="","",  VLOOKUP($B496, Propostas!$B:$BE, 2, FALSE) )</f>
        <v/>
      </c>
      <c r="G496" s="4" t="str">
        <f>IF($B496="","",  VLOOKUP($B496, Propostas!$B:$BE, 3, FALSE) )</f>
        <v/>
      </c>
      <c r="H496" s="4" t="str">
        <f>IF($B496="","",  VLOOKUP($B496, Propostas!$B:$BE, 4, FALSE) )</f>
        <v/>
      </c>
      <c r="I496" s="4" t="str">
        <f>IF($B496="","",  VLOOKUP($B496, Propostas!$B:$BE, 38, FALSE) )</f>
        <v/>
      </c>
      <c r="J496" s="13" t="str">
        <f>IF($B496="","",IF($C496="SIM", "&lt; INFRRAESTRUTURA &gt;", VLOOKUP($B496,Propostas!$B:$BE,41,FALSE)))</f>
        <v/>
      </c>
      <c r="K496" s="10" t="str">
        <f>IF($B496="","",  VLOOKUP($B496, Propostas!$B:$BE, 40, FALSE) )</f>
        <v/>
      </c>
      <c r="L496" s="10" t="str">
        <f>IF($B496="","",IF(VLOOKUP($B496,Propostas!$B:$BE,21,FALSE)=1,"B",IF(VLOOKUP($B496,Propostas!$B:$BE,21,FALSE)=2,"E","N")))</f>
        <v/>
      </c>
      <c r="M496" s="32" t="str">
        <f>IF($B496 = "", "",  VLOOKUP($B496, Propostas!$B:$BE, 46, FALSE) )</f>
        <v/>
      </c>
      <c r="N496" s="32" t="str">
        <f>IF($B496 = "", "",  VLOOKUP($B496, Propostas!$B:$BE, 47, FALSE) )</f>
        <v/>
      </c>
      <c r="O496" s="13" t="str">
        <f>IF($B496="","",IF($C496="SIM", "INFRAESTRUTURA", VLOOKUP($B496, Propostas!$B:$BE,42,FALSE)))</f>
        <v/>
      </c>
      <c r="P496" s="32" t="str">
        <f>IF($B496 = "", "",  VLOOKUP($B496, Propostas!$B:$BE, 49, FALSE) )</f>
        <v/>
      </c>
      <c r="Q496" s="13" t="str">
        <f>IF($B496="","",  VLOOKUP($B496, Propostas!$B:$BE, 39, FALSE) )</f>
        <v/>
      </c>
      <c r="R496" s="81" t="str">
        <f>IF($B496="","",  VLOOKUP($B496, Propostas!$B:$BE, 43, FALSE) )</f>
        <v/>
      </c>
      <c r="S496" s="81" t="str">
        <f>IF($B496="","",  VLOOKUP($B496, Propostas!$B:$BE, 44, FALSE) )</f>
        <v/>
      </c>
      <c r="T496" s="81" t="str">
        <f>IF($B496="","",  VLOOKUP($B496, Propostas!$B:$BE, 45, FALSE) )</f>
        <v/>
      </c>
      <c r="U496" s="32" t="str">
        <f>IF($B496="","",  VLOOKUP($B496, Propostas!$B:$BE, 37, FALSE) )</f>
        <v/>
      </c>
      <c r="V496" s="13" t="str">
        <f>IF($B496="","",  VLOOKUP($B496, Propostas!$B:$BE, 50, FALSE) )</f>
        <v/>
      </c>
      <c r="W496" s="13" t="str">
        <f>IF($B496="","",  VLOOKUP($B496, Propostas!$B:$BE, 51, FALSE) )</f>
        <v/>
      </c>
      <c r="X496" s="13" t="str">
        <f>IF($B496="","",  VLOOKUP($B496, Propostas!$B:$BE, 52, FALSE) )</f>
        <v/>
      </c>
      <c r="Y496" s="13" t="str">
        <f>IF($B496="","",  VLOOKUP($B496, Propostas!$B:$BE, 36, FALSE) )</f>
        <v/>
      </c>
      <c r="Z496" s="13" t="str">
        <f>IF($B496="","",  VLOOKUP($F496, VW_PROJETO!B:C, 2, FALSE) )</f>
        <v/>
      </c>
    </row>
    <row r="497" spans="2:26" x14ac:dyDescent="0.2">
      <c r="B497" s="2"/>
      <c r="C497" s="4" t="str">
        <f>IF($B497="","",  VLOOKUP($B497, Propostas!$B:$BE, 33, FALSE) )</f>
        <v/>
      </c>
      <c r="D497" s="4" t="str">
        <f>IF($B497="","",  VLOOKUP($B497, Propostas!$B:$BE, 34, FALSE) )</f>
        <v/>
      </c>
      <c r="E497" s="4" t="str">
        <f>IF($B497="","",  VLOOKUP($B497, Propostas!$B:$BE, 35, FALSE) )</f>
        <v/>
      </c>
      <c r="F497" s="4" t="str">
        <f>IF($B497="","",  VLOOKUP($B497, Propostas!$B:$BE, 2, FALSE) )</f>
        <v/>
      </c>
      <c r="G497" s="4" t="str">
        <f>IF($B497="","",  VLOOKUP($B497, Propostas!$B:$BE, 3, FALSE) )</f>
        <v/>
      </c>
      <c r="H497" s="4" t="str">
        <f>IF($B497="","",  VLOOKUP($B497, Propostas!$B:$BE, 4, FALSE) )</f>
        <v/>
      </c>
      <c r="I497" s="4" t="str">
        <f>IF($B497="","",  VLOOKUP($B497, Propostas!$B:$BE, 38, FALSE) )</f>
        <v/>
      </c>
      <c r="J497" s="13" t="str">
        <f>IF($B497="","",IF($C497="SIM", "&lt; INFRRAESTRUTURA &gt;", VLOOKUP($B497,Propostas!$B:$BE,41,FALSE)))</f>
        <v/>
      </c>
      <c r="K497" s="10" t="str">
        <f>IF($B497="","",  VLOOKUP($B497, Propostas!$B:$BE, 40, FALSE) )</f>
        <v/>
      </c>
      <c r="L497" s="10" t="str">
        <f>IF($B497="","",IF(VLOOKUP($B497,Propostas!$B:$BE,21,FALSE)=1,"B",IF(VLOOKUP($B497,Propostas!$B:$BE,21,FALSE)=2,"E","N")))</f>
        <v/>
      </c>
      <c r="M497" s="32" t="str">
        <f>IF($B497 = "", "",  VLOOKUP($B497, Propostas!$B:$BE, 46, FALSE) )</f>
        <v/>
      </c>
      <c r="N497" s="32" t="str">
        <f>IF($B497 = "", "",  VLOOKUP($B497, Propostas!$B:$BE, 47, FALSE) )</f>
        <v/>
      </c>
      <c r="O497" s="13" t="str">
        <f>IF($B497="","",IF($C497="SIM", "INFRAESTRUTURA", VLOOKUP($B497, Propostas!$B:$BE,42,FALSE)))</f>
        <v/>
      </c>
      <c r="P497" s="32" t="str">
        <f>IF($B497 = "", "",  VLOOKUP($B497, Propostas!$B:$BE, 49, FALSE) )</f>
        <v/>
      </c>
      <c r="Q497" s="13" t="str">
        <f>IF($B497="","",  VLOOKUP($B497, Propostas!$B:$BE, 39, FALSE) )</f>
        <v/>
      </c>
      <c r="R497" s="81" t="str">
        <f>IF($B497="","",  VLOOKUP($B497, Propostas!$B:$BE, 43, FALSE) )</f>
        <v/>
      </c>
      <c r="S497" s="81" t="str">
        <f>IF($B497="","",  VLOOKUP($B497, Propostas!$B:$BE, 44, FALSE) )</f>
        <v/>
      </c>
      <c r="T497" s="81" t="str">
        <f>IF($B497="","",  VLOOKUP($B497, Propostas!$B:$BE, 45, FALSE) )</f>
        <v/>
      </c>
      <c r="U497" s="32" t="str">
        <f>IF($B497="","",  VLOOKUP($B497, Propostas!$B:$BE, 37, FALSE) )</f>
        <v/>
      </c>
      <c r="V497" s="13" t="str">
        <f>IF($B497="","",  VLOOKUP($B497, Propostas!$B:$BE, 50, FALSE) )</f>
        <v/>
      </c>
      <c r="W497" s="13" t="str">
        <f>IF($B497="","",  VLOOKUP($B497, Propostas!$B:$BE, 51, FALSE) )</f>
        <v/>
      </c>
      <c r="X497" s="13" t="str">
        <f>IF($B497="","",  VLOOKUP($B497, Propostas!$B:$BE, 52, FALSE) )</f>
        <v/>
      </c>
      <c r="Y497" s="13" t="str">
        <f>IF($B497="","",  VLOOKUP($B497, Propostas!$B:$BE, 36, FALSE) )</f>
        <v/>
      </c>
      <c r="Z497" s="13" t="str">
        <f>IF($B497="","",  VLOOKUP($F497, VW_PROJETO!B:C, 2, FALSE) )</f>
        <v/>
      </c>
    </row>
    <row r="498" spans="2:26" x14ac:dyDescent="0.2">
      <c r="B498" s="2"/>
      <c r="C498" s="4" t="str">
        <f>IF($B498="","",  VLOOKUP($B498, Propostas!$B:$BE, 33, FALSE) )</f>
        <v/>
      </c>
      <c r="D498" s="4" t="str">
        <f>IF($B498="","",  VLOOKUP($B498, Propostas!$B:$BE, 34, FALSE) )</f>
        <v/>
      </c>
      <c r="E498" s="4" t="str">
        <f>IF($B498="","",  VLOOKUP($B498, Propostas!$B:$BE, 35, FALSE) )</f>
        <v/>
      </c>
      <c r="F498" s="4" t="str">
        <f>IF($B498="","",  VLOOKUP($B498, Propostas!$B:$BE, 2, FALSE) )</f>
        <v/>
      </c>
      <c r="G498" s="4" t="str">
        <f>IF($B498="","",  VLOOKUP($B498, Propostas!$B:$BE, 3, FALSE) )</f>
        <v/>
      </c>
      <c r="H498" s="4" t="str">
        <f>IF($B498="","",  VLOOKUP($B498, Propostas!$B:$BE, 4, FALSE) )</f>
        <v/>
      </c>
      <c r="I498" s="4" t="str">
        <f>IF($B498="","",  VLOOKUP($B498, Propostas!$B:$BE, 38, FALSE) )</f>
        <v/>
      </c>
      <c r="J498" s="13" t="str">
        <f>IF($B498="","",IF($C498="SIM", "&lt; INFRRAESTRUTURA &gt;", VLOOKUP($B498,Propostas!$B:$BE,41,FALSE)))</f>
        <v/>
      </c>
      <c r="K498" s="10" t="str">
        <f>IF($B498="","",  VLOOKUP($B498, Propostas!$B:$BE, 40, FALSE) )</f>
        <v/>
      </c>
      <c r="L498" s="10" t="str">
        <f>IF($B498="","",IF(VLOOKUP($B498,Propostas!$B:$BE,21,FALSE)=1,"B",IF(VLOOKUP($B498,Propostas!$B:$BE,21,FALSE)=2,"E","N")))</f>
        <v/>
      </c>
      <c r="M498" s="32" t="str">
        <f>IF($B498 = "", "",  VLOOKUP($B498, Propostas!$B:$BE, 46, FALSE) )</f>
        <v/>
      </c>
      <c r="N498" s="32" t="str">
        <f>IF($B498 = "", "",  VLOOKUP($B498, Propostas!$B:$BE, 47, FALSE) )</f>
        <v/>
      </c>
      <c r="O498" s="13" t="str">
        <f>IF($B498="","",IF($C498="SIM", "INFRAESTRUTURA", VLOOKUP($B498, Propostas!$B:$BE,42,FALSE)))</f>
        <v/>
      </c>
      <c r="P498" s="32" t="str">
        <f>IF($B498 = "", "",  VLOOKUP($B498, Propostas!$B:$BE, 49, FALSE) )</f>
        <v/>
      </c>
      <c r="Q498" s="13" t="str">
        <f>IF($B498="","",  VLOOKUP($B498, Propostas!$B:$BE, 39, FALSE) )</f>
        <v/>
      </c>
      <c r="R498" s="81" t="str">
        <f>IF($B498="","",  VLOOKUP($B498, Propostas!$B:$BE, 43, FALSE) )</f>
        <v/>
      </c>
      <c r="S498" s="81" t="str">
        <f>IF($B498="","",  VLOOKUP($B498, Propostas!$B:$BE, 44, FALSE) )</f>
        <v/>
      </c>
      <c r="T498" s="81" t="str">
        <f>IF($B498="","",  VLOOKUP($B498, Propostas!$B:$BE, 45, FALSE) )</f>
        <v/>
      </c>
      <c r="U498" s="32" t="str">
        <f>IF($B498="","",  VLOOKUP($B498, Propostas!$B:$BE, 37, FALSE) )</f>
        <v/>
      </c>
      <c r="V498" s="13" t="str">
        <f>IF($B498="","",  VLOOKUP($B498, Propostas!$B:$BE, 50, FALSE) )</f>
        <v/>
      </c>
      <c r="W498" s="13" t="str">
        <f>IF($B498="","",  VLOOKUP($B498, Propostas!$B:$BE, 51, FALSE) )</f>
        <v/>
      </c>
      <c r="X498" s="13" t="str">
        <f>IF($B498="","",  VLOOKUP($B498, Propostas!$B:$BE, 52, FALSE) )</f>
        <v/>
      </c>
      <c r="Y498" s="13" t="str">
        <f>IF($B498="","",  VLOOKUP($B498, Propostas!$B:$BE, 36, FALSE) )</f>
        <v/>
      </c>
      <c r="Z498" s="13" t="str">
        <f>IF($B498="","",  VLOOKUP($F498, VW_PROJETO!B:C, 2, FALSE) )</f>
        <v/>
      </c>
    </row>
    <row r="499" spans="2:26" x14ac:dyDescent="0.2">
      <c r="B499" s="2"/>
      <c r="C499" s="4" t="str">
        <f>IF($B499="","",  VLOOKUP($B499, Propostas!$B:$BE, 33, FALSE) )</f>
        <v/>
      </c>
      <c r="D499" s="4" t="str">
        <f>IF($B499="","",  VLOOKUP($B499, Propostas!$B:$BE, 34, FALSE) )</f>
        <v/>
      </c>
      <c r="E499" s="4" t="str">
        <f>IF($B499="","",  VLOOKUP($B499, Propostas!$B:$BE, 35, FALSE) )</f>
        <v/>
      </c>
      <c r="F499" s="4" t="str">
        <f>IF($B499="","",  VLOOKUP($B499, Propostas!$B:$BE, 2, FALSE) )</f>
        <v/>
      </c>
      <c r="G499" s="4" t="str">
        <f>IF($B499="","",  VLOOKUP($B499, Propostas!$B:$BE, 3, FALSE) )</f>
        <v/>
      </c>
      <c r="H499" s="4" t="str">
        <f>IF($B499="","",  VLOOKUP($B499, Propostas!$B:$BE, 4, FALSE) )</f>
        <v/>
      </c>
      <c r="I499" s="4" t="str">
        <f>IF($B499="","",  VLOOKUP($B499, Propostas!$B:$BE, 38, FALSE) )</f>
        <v/>
      </c>
      <c r="J499" s="13" t="str">
        <f>IF($B499="","",IF($C499="SIM", "&lt; INFRRAESTRUTURA &gt;", VLOOKUP($B499,Propostas!$B:$BE,41,FALSE)))</f>
        <v/>
      </c>
      <c r="K499" s="10" t="str">
        <f>IF($B499="","",  VLOOKUP($B499, Propostas!$B:$BE, 40, FALSE) )</f>
        <v/>
      </c>
      <c r="L499" s="10" t="str">
        <f>IF($B499="","",IF(VLOOKUP($B499,Propostas!$B:$BE,21,FALSE)=1,"B",IF(VLOOKUP($B499,Propostas!$B:$BE,21,FALSE)=2,"E","N")))</f>
        <v/>
      </c>
      <c r="M499" s="32" t="str">
        <f>IF($B499 = "", "",  VLOOKUP($B499, Propostas!$B:$BE, 46, FALSE) )</f>
        <v/>
      </c>
      <c r="N499" s="32" t="str">
        <f>IF($B499 = "", "",  VLOOKUP($B499, Propostas!$B:$BE, 47, FALSE) )</f>
        <v/>
      </c>
      <c r="O499" s="13" t="str">
        <f>IF($B499="","",IF($C499="SIM", "INFRAESTRUTURA", VLOOKUP($B499, Propostas!$B:$BE,42,FALSE)))</f>
        <v/>
      </c>
      <c r="P499" s="32" t="str">
        <f>IF($B499 = "", "",  VLOOKUP($B499, Propostas!$B:$BE, 49, FALSE) )</f>
        <v/>
      </c>
      <c r="Q499" s="13" t="str">
        <f>IF($B499="","",  VLOOKUP($B499, Propostas!$B:$BE, 39, FALSE) )</f>
        <v/>
      </c>
      <c r="R499" s="81" t="str">
        <f>IF($B499="","",  VLOOKUP($B499, Propostas!$B:$BE, 43, FALSE) )</f>
        <v/>
      </c>
      <c r="S499" s="81" t="str">
        <f>IF($B499="","",  VLOOKUP($B499, Propostas!$B:$BE, 44, FALSE) )</f>
        <v/>
      </c>
      <c r="T499" s="81" t="str">
        <f>IF($B499="","",  VLOOKUP($B499, Propostas!$B:$BE, 45, FALSE) )</f>
        <v/>
      </c>
      <c r="U499" s="32" t="str">
        <f>IF($B499="","",  VLOOKUP($B499, Propostas!$B:$BE, 37, FALSE) )</f>
        <v/>
      </c>
      <c r="V499" s="13" t="str">
        <f>IF($B499="","",  VLOOKUP($B499, Propostas!$B:$BE, 50, FALSE) )</f>
        <v/>
      </c>
      <c r="W499" s="13" t="str">
        <f>IF($B499="","",  VLOOKUP($B499, Propostas!$B:$BE, 51, FALSE) )</f>
        <v/>
      </c>
      <c r="X499" s="13" t="str">
        <f>IF($B499="","",  VLOOKUP($B499, Propostas!$B:$BE, 52, FALSE) )</f>
        <v/>
      </c>
      <c r="Y499" s="13" t="str">
        <f>IF($B499="","",  VLOOKUP($B499, Propostas!$B:$BE, 36, FALSE) )</f>
        <v/>
      </c>
      <c r="Z499" s="13" t="str">
        <f>IF($B499="","",  VLOOKUP($F499, VW_PROJETO!B:C, 2, FALSE) )</f>
        <v/>
      </c>
    </row>
    <row r="500" spans="2:26" x14ac:dyDescent="0.2">
      <c r="B500" s="2"/>
      <c r="C500" s="4" t="str">
        <f>IF($B500="","",  VLOOKUP($B500, Propostas!$B:$BE, 33, FALSE) )</f>
        <v/>
      </c>
      <c r="D500" s="4" t="str">
        <f>IF($B500="","",  VLOOKUP($B500, Propostas!$B:$BE, 34, FALSE) )</f>
        <v/>
      </c>
      <c r="E500" s="4" t="str">
        <f>IF($B500="","",  VLOOKUP($B500, Propostas!$B:$BE, 35, FALSE) )</f>
        <v/>
      </c>
      <c r="F500" s="4" t="str">
        <f>IF($B500="","",  VLOOKUP($B500, Propostas!$B:$BE, 2, FALSE) )</f>
        <v/>
      </c>
      <c r="G500" s="4" t="str">
        <f>IF($B500="","",  VLOOKUP($B500, Propostas!$B:$BE, 3, FALSE) )</f>
        <v/>
      </c>
      <c r="H500" s="4" t="str">
        <f>IF($B500="","",  VLOOKUP($B500, Propostas!$B:$BE, 4, FALSE) )</f>
        <v/>
      </c>
      <c r="I500" s="4" t="str">
        <f>IF($B500="","",  VLOOKUP($B500, Propostas!$B:$BE, 38, FALSE) )</f>
        <v/>
      </c>
      <c r="J500" s="13" t="str">
        <f>IF($B500="","",IF($C500="SIM", "&lt; INFRRAESTRUTURA &gt;", VLOOKUP($B500,Propostas!$B:$BE,41,FALSE)))</f>
        <v/>
      </c>
      <c r="K500" s="10" t="str">
        <f>IF($B500="","",  VLOOKUP($B500, Propostas!$B:$BE, 40, FALSE) )</f>
        <v/>
      </c>
      <c r="L500" s="10" t="str">
        <f>IF($B500="","",IF(VLOOKUP($B500,Propostas!$B:$BE,21,FALSE)=1,"B",IF(VLOOKUP($B500,Propostas!$B:$BE,21,FALSE)=2,"E","N")))</f>
        <v/>
      </c>
      <c r="M500" s="32" t="str">
        <f>IF($B500 = "", "",  VLOOKUP($B500, Propostas!$B:$BE, 46, FALSE) )</f>
        <v/>
      </c>
      <c r="N500" s="32" t="str">
        <f>IF($B500 = "", "",  VLOOKUP($B500, Propostas!$B:$BE, 47, FALSE) )</f>
        <v/>
      </c>
      <c r="O500" s="13" t="str">
        <f>IF($B500="","",IF($C500="SIM", "INFRAESTRUTURA", VLOOKUP($B500, Propostas!$B:$BE,42,FALSE)))</f>
        <v/>
      </c>
      <c r="P500" s="32" t="str">
        <f>IF($B500 = "", "",  VLOOKUP($B500, Propostas!$B:$BE, 49, FALSE) )</f>
        <v/>
      </c>
      <c r="Q500" s="13" t="str">
        <f>IF($B500="","",  VLOOKUP($B500, Propostas!$B:$BE, 39, FALSE) )</f>
        <v/>
      </c>
      <c r="R500" s="81" t="str">
        <f>IF($B500="","",  VLOOKUP($B500, Propostas!$B:$BE, 43, FALSE) )</f>
        <v/>
      </c>
      <c r="S500" s="81" t="str">
        <f>IF($B500="","",  VLOOKUP($B500, Propostas!$B:$BE, 44, FALSE) )</f>
        <v/>
      </c>
      <c r="T500" s="81" t="str">
        <f>IF($B500="","",  VLOOKUP($B500, Propostas!$B:$BE, 45, FALSE) )</f>
        <v/>
      </c>
      <c r="U500" s="32" t="str">
        <f>IF($B500="","",  VLOOKUP($B500, Propostas!$B:$BE, 37, FALSE) )</f>
        <v/>
      </c>
      <c r="V500" s="13" t="str">
        <f>IF($B500="","",  VLOOKUP($B500, Propostas!$B:$BE, 50, FALSE) )</f>
        <v/>
      </c>
      <c r="W500" s="13" t="str">
        <f>IF($B500="","",  VLOOKUP($B500, Propostas!$B:$BE, 51, FALSE) )</f>
        <v/>
      </c>
      <c r="X500" s="13" t="str">
        <f>IF($B500="","",  VLOOKUP($B500, Propostas!$B:$BE, 52, FALSE) )</f>
        <v/>
      </c>
      <c r="Y500" s="13" t="str">
        <f>IF($B500="","",  VLOOKUP($B500, Propostas!$B:$BE, 36, FALSE) )</f>
        <v/>
      </c>
      <c r="Z500" s="13" t="str">
        <f>IF($B500="","",  VLOOKUP($F500, VW_PROJETO!B:C, 2, FALSE) )</f>
        <v/>
      </c>
    </row>
    <row r="501" spans="2:26" x14ac:dyDescent="0.2">
      <c r="B501" s="2"/>
      <c r="C501" s="4" t="str">
        <f>IF($B501="","",  VLOOKUP($B501, Propostas!$B:$BE, 33, FALSE) )</f>
        <v/>
      </c>
      <c r="D501" s="4" t="str">
        <f>IF($B501="","",  VLOOKUP($B501, Propostas!$B:$BE, 34, FALSE) )</f>
        <v/>
      </c>
      <c r="E501" s="4" t="str">
        <f>IF($B501="","",  VLOOKUP($B501, Propostas!$B:$BE, 35, FALSE) )</f>
        <v/>
      </c>
      <c r="F501" s="4" t="str">
        <f>IF($B501="","",  VLOOKUP($B501, Propostas!$B:$BE, 2, FALSE) )</f>
        <v/>
      </c>
      <c r="G501" s="4" t="str">
        <f>IF($B501="","",  VLOOKUP($B501, Propostas!$B:$BE, 3, FALSE) )</f>
        <v/>
      </c>
      <c r="H501" s="4" t="str">
        <f>IF($B501="","",  VLOOKUP($B501, Propostas!$B:$BE, 4, FALSE) )</f>
        <v/>
      </c>
      <c r="I501" s="4" t="str">
        <f>IF($B501="","",  VLOOKUP($B501, Propostas!$B:$BE, 38, FALSE) )</f>
        <v/>
      </c>
      <c r="J501" s="13" t="str">
        <f>IF($B501="","",IF($C501="SIM", "&lt; INFRRAESTRUTURA &gt;", VLOOKUP($B501,Propostas!$B:$BE,41,FALSE)))</f>
        <v/>
      </c>
      <c r="K501" s="10" t="str">
        <f>IF($B501="","",  VLOOKUP($B501, Propostas!$B:$BE, 40, FALSE) )</f>
        <v/>
      </c>
      <c r="L501" s="10" t="str">
        <f>IF($B501="","",IF(VLOOKUP($B501,Propostas!$B:$BE,21,FALSE)=1,"B",IF(VLOOKUP($B501,Propostas!$B:$BE,21,FALSE)=2,"E","N")))</f>
        <v/>
      </c>
      <c r="M501" s="32" t="str">
        <f>IF($B501 = "", "",  VLOOKUP($B501, Propostas!$B:$BE, 46, FALSE) )</f>
        <v/>
      </c>
      <c r="N501" s="32" t="str">
        <f>IF($B501 = "", "",  VLOOKUP($B501, Propostas!$B:$BE, 47, FALSE) )</f>
        <v/>
      </c>
      <c r="O501" s="13" t="str">
        <f>IF($B501="","",IF($C501="SIM", "INFRAESTRUTURA", VLOOKUP($B501, Propostas!$B:$BE,42,FALSE)))</f>
        <v/>
      </c>
      <c r="P501" s="32" t="str">
        <f>IF($B501 = "", "",  VLOOKUP($B501, Propostas!$B:$BE, 49, FALSE) )</f>
        <v/>
      </c>
      <c r="Q501" s="13" t="str">
        <f>IF($B501="","",  VLOOKUP($B501, Propostas!$B:$BE, 39, FALSE) )</f>
        <v/>
      </c>
      <c r="R501" s="81" t="str">
        <f>IF($B501="","",  VLOOKUP($B501, Propostas!$B:$BE, 43, FALSE) )</f>
        <v/>
      </c>
      <c r="S501" s="81" t="str">
        <f>IF($B501="","",  VLOOKUP($B501, Propostas!$B:$BE, 44, FALSE) )</f>
        <v/>
      </c>
      <c r="T501" s="81" t="str">
        <f>IF($B501="","",  VLOOKUP($B501, Propostas!$B:$BE, 45, FALSE) )</f>
        <v/>
      </c>
      <c r="U501" s="32" t="str">
        <f>IF($B501="","",  VLOOKUP($B501, Propostas!$B:$BE, 37, FALSE) )</f>
        <v/>
      </c>
      <c r="V501" s="13" t="str">
        <f>IF($B501="","",  VLOOKUP($B501, Propostas!$B:$BE, 50, FALSE) )</f>
        <v/>
      </c>
      <c r="W501" s="13" t="str">
        <f>IF($B501="","",  VLOOKUP($B501, Propostas!$B:$BE, 51, FALSE) )</f>
        <v/>
      </c>
      <c r="X501" s="13" t="str">
        <f>IF($B501="","",  VLOOKUP($B501, Propostas!$B:$BE, 52, FALSE) )</f>
        <v/>
      </c>
      <c r="Y501" s="13" t="str">
        <f>IF($B501="","",  VLOOKUP($B501, Propostas!$B:$BE, 36, FALSE) )</f>
        <v/>
      </c>
      <c r="Z501" s="13" t="str">
        <f>IF($B501="","",  VLOOKUP($F501, VW_PROJETO!B:C, 2, FALSE) )</f>
        <v/>
      </c>
    </row>
    <row r="502" spans="2:26" x14ac:dyDescent="0.2">
      <c r="B502" s="2"/>
      <c r="C502" s="4" t="str">
        <f>IF($B502="","",  VLOOKUP($B502, Propostas!$B:$BE, 33, FALSE) )</f>
        <v/>
      </c>
      <c r="D502" s="4" t="str">
        <f>IF($B502="","",  VLOOKUP($B502, Propostas!$B:$BE, 34, FALSE) )</f>
        <v/>
      </c>
      <c r="E502" s="4" t="str">
        <f>IF($B502="","",  VLOOKUP($B502, Propostas!$B:$BE, 35, FALSE) )</f>
        <v/>
      </c>
      <c r="F502" s="4" t="str">
        <f>IF($B502="","",  VLOOKUP($B502, Propostas!$B:$BE, 2, FALSE) )</f>
        <v/>
      </c>
      <c r="G502" s="4" t="str">
        <f>IF($B502="","",  VLOOKUP($B502, Propostas!$B:$BE, 3, FALSE) )</f>
        <v/>
      </c>
      <c r="H502" s="4" t="str">
        <f>IF($B502="","",  VLOOKUP($B502, Propostas!$B:$BE, 4, FALSE) )</f>
        <v/>
      </c>
      <c r="I502" s="4" t="str">
        <f>IF($B502="","",  VLOOKUP($B502, Propostas!$B:$BE, 38, FALSE) )</f>
        <v/>
      </c>
      <c r="J502" s="13" t="str">
        <f>IF($B502="","",IF($C502="SIM", "&lt; INFRRAESTRUTURA &gt;", VLOOKUP($B502,Propostas!$B:$BE,41,FALSE)))</f>
        <v/>
      </c>
      <c r="K502" s="10" t="str">
        <f>IF($B502="","",  VLOOKUP($B502, Propostas!$B:$BE, 40, FALSE) )</f>
        <v/>
      </c>
      <c r="L502" s="10" t="str">
        <f>IF($B502="","",IF(VLOOKUP($B502,Propostas!$B:$BE,21,FALSE)=1,"B",IF(VLOOKUP($B502,Propostas!$B:$BE,21,FALSE)=2,"E","N")))</f>
        <v/>
      </c>
      <c r="M502" s="32" t="str">
        <f>IF($B502 = "", "",  VLOOKUP($B502, Propostas!$B:$BE, 46, FALSE) )</f>
        <v/>
      </c>
      <c r="N502" s="32" t="str">
        <f>IF($B502 = "", "",  VLOOKUP($B502, Propostas!$B:$BE, 47, FALSE) )</f>
        <v/>
      </c>
      <c r="O502" s="13" t="str">
        <f>IF($B502="","",IF($C502="SIM", "INFRAESTRUTURA", VLOOKUP($B502, Propostas!$B:$BE,42,FALSE)))</f>
        <v/>
      </c>
      <c r="P502" s="32" t="str">
        <f>IF($B502 = "", "",  VLOOKUP($B502, Propostas!$B:$BE, 49, FALSE) )</f>
        <v/>
      </c>
      <c r="Q502" s="13" t="str">
        <f>IF($B502="","",  VLOOKUP($B502, Propostas!$B:$BE, 39, FALSE) )</f>
        <v/>
      </c>
      <c r="R502" s="81" t="str">
        <f>IF($B502="","",  VLOOKUP($B502, Propostas!$B:$BE, 43, FALSE) )</f>
        <v/>
      </c>
      <c r="S502" s="81" t="str">
        <f>IF($B502="","",  VLOOKUP($B502, Propostas!$B:$BE, 44, FALSE) )</f>
        <v/>
      </c>
      <c r="T502" s="81" t="str">
        <f>IF($B502="","",  VLOOKUP($B502, Propostas!$B:$BE, 45, FALSE) )</f>
        <v/>
      </c>
      <c r="U502" s="32" t="str">
        <f>IF($B502="","",  VLOOKUP($B502, Propostas!$B:$BE, 37, FALSE) )</f>
        <v/>
      </c>
      <c r="V502" s="13" t="str">
        <f>IF($B502="","",  VLOOKUP($B502, Propostas!$B:$BE, 50, FALSE) )</f>
        <v/>
      </c>
      <c r="W502" s="13" t="str">
        <f>IF($B502="","",  VLOOKUP($B502, Propostas!$B:$BE, 51, FALSE) )</f>
        <v/>
      </c>
      <c r="X502" s="13" t="str">
        <f>IF($B502="","",  VLOOKUP($B502, Propostas!$B:$BE, 52, FALSE) )</f>
        <v/>
      </c>
      <c r="Y502" s="13" t="str">
        <f>IF($B502="","",  VLOOKUP($B502, Propostas!$B:$BE, 36, FALSE) )</f>
        <v/>
      </c>
      <c r="Z502" s="13" t="str">
        <f>IF($B502="","",  VLOOKUP($F502, VW_PROJETO!B:C, 2, FALSE) )</f>
        <v/>
      </c>
    </row>
    <row r="503" spans="2:26" x14ac:dyDescent="0.2">
      <c r="B503" s="2"/>
      <c r="C503" s="4" t="str">
        <f>IF($B503="","",  VLOOKUP($B503, Propostas!$B:$BE, 33, FALSE) )</f>
        <v/>
      </c>
      <c r="D503" s="4" t="str">
        <f>IF($B503="","",  VLOOKUP($B503, Propostas!$B:$BE, 34, FALSE) )</f>
        <v/>
      </c>
      <c r="E503" s="4" t="str">
        <f>IF($B503="","",  VLOOKUP($B503, Propostas!$B:$BE, 35, FALSE) )</f>
        <v/>
      </c>
      <c r="F503" s="4" t="str">
        <f>IF($B503="","",  VLOOKUP($B503, Propostas!$B:$BE, 2, FALSE) )</f>
        <v/>
      </c>
      <c r="G503" s="4" t="str">
        <f>IF($B503="","",  VLOOKUP($B503, Propostas!$B:$BE, 3, FALSE) )</f>
        <v/>
      </c>
      <c r="H503" s="4" t="str">
        <f>IF($B503="","",  VLOOKUP($B503, Propostas!$B:$BE, 4, FALSE) )</f>
        <v/>
      </c>
      <c r="I503" s="4" t="str">
        <f>IF($B503="","",  VLOOKUP($B503, Propostas!$B:$BE, 38, FALSE) )</f>
        <v/>
      </c>
      <c r="J503" s="13" t="str">
        <f>IF($B503="","",IF($C503="SIM", "&lt; INFRRAESTRUTURA &gt;", VLOOKUP($B503,Propostas!$B:$BE,41,FALSE)))</f>
        <v/>
      </c>
      <c r="K503" s="10" t="str">
        <f>IF($B503="","",  VLOOKUP($B503, Propostas!$B:$BE, 40, FALSE) )</f>
        <v/>
      </c>
      <c r="L503" s="10" t="str">
        <f>IF($B503="","",IF(VLOOKUP($B503,Propostas!$B:$BE,21,FALSE)=1,"B",IF(VLOOKUP($B503,Propostas!$B:$BE,21,FALSE)=2,"E","N")))</f>
        <v/>
      </c>
      <c r="M503" s="32" t="str">
        <f>IF($B503 = "", "",  VLOOKUP($B503, Propostas!$B:$BE, 46, FALSE) )</f>
        <v/>
      </c>
      <c r="N503" s="32" t="str">
        <f>IF($B503 = "", "",  VLOOKUP($B503, Propostas!$B:$BE, 47, FALSE) )</f>
        <v/>
      </c>
      <c r="O503" s="13" t="str">
        <f>IF($B503="","",IF($C503="SIM", "INFRAESTRUTURA", VLOOKUP($B503, Propostas!$B:$BE,42,FALSE)))</f>
        <v/>
      </c>
      <c r="P503" s="32" t="str">
        <f>IF($B503 = "", "",  VLOOKUP($B503, Propostas!$B:$BE, 49, FALSE) )</f>
        <v/>
      </c>
      <c r="Q503" s="13" t="str">
        <f>IF($B503="","",  VLOOKUP($B503, Propostas!$B:$BE, 39, FALSE) )</f>
        <v/>
      </c>
      <c r="R503" s="81" t="str">
        <f>IF($B503="","",  VLOOKUP($B503, Propostas!$B:$BE, 43, FALSE) )</f>
        <v/>
      </c>
      <c r="S503" s="81" t="str">
        <f>IF($B503="","",  VLOOKUP($B503, Propostas!$B:$BE, 44, FALSE) )</f>
        <v/>
      </c>
      <c r="T503" s="81" t="str">
        <f>IF($B503="","",  VLOOKUP($B503, Propostas!$B:$BE, 45, FALSE) )</f>
        <v/>
      </c>
      <c r="U503" s="32" t="str">
        <f>IF($B503="","",  VLOOKUP($B503, Propostas!$B:$BE, 37, FALSE) )</f>
        <v/>
      </c>
      <c r="V503" s="13" t="str">
        <f>IF($B503="","",  VLOOKUP($B503, Propostas!$B:$BE, 50, FALSE) )</f>
        <v/>
      </c>
      <c r="W503" s="13" t="str">
        <f>IF($B503="","",  VLOOKUP($B503, Propostas!$B:$BE, 51, FALSE) )</f>
        <v/>
      </c>
      <c r="X503" s="13" t="str">
        <f>IF($B503="","",  VLOOKUP($B503, Propostas!$B:$BE, 52, FALSE) )</f>
        <v/>
      </c>
      <c r="Y503" s="13" t="str">
        <f>IF($B503="","",  VLOOKUP($B503, Propostas!$B:$BE, 36, FALSE) )</f>
        <v/>
      </c>
      <c r="Z503" s="13" t="str">
        <f>IF($B503="","",  VLOOKUP($F503, VW_PROJETO!B:C, 2, FALSE) )</f>
        <v/>
      </c>
    </row>
    <row r="504" spans="2:26" x14ac:dyDescent="0.2"/>
  </sheetData>
  <sheetProtection algorithmName="SHA-512" hashValue="Ts2FmhYZNhfwkS/hub2RErae2/bmJ+KFHGdkd4lpJV/BNK1Tqy7J7artaiwkP6fpQMusXJXoyMQICZgtjOI+KA==" saltValue="pvR6Bg3Eg0LnxG8DwsmRtw==" spinCount="100000" sheet="1" objects="1" scenarios="1"/>
  <dataValidations count="15">
    <dataValidation allowBlank="1" showInputMessage="1" showErrorMessage="1" prompt="Tabela de Propostas de Servicos_x000a_Chave que identifica registro na planilha._x000a__x000a_" sqref="B1"/>
    <dataValidation allowBlank="1" showInputMessage="1" showErrorMessage="1" prompt="Valor total solicitado dentro de um determinado critério de métrica aplicado na proposta ou solicitação _x000a__x000a_Formatado para decimal com ponto e sem separador de milhar para viabilizar importacao do Spotfire. Carregado pela Macro." sqref="T1"/>
    <dataValidation allowBlank="1" showInputMessage="1" showErrorMessage="1" prompt="Valor da taxa de remuneração da Hora trabalhada (Homem-Hora) aplicado a esta proposta. _x000a__x000a_Formatado para decimal com ponto e sem separador de milhar para viabilizar importacao do Spotfire. Carregado pela Macro." sqref="S1"/>
    <dataValidation allowBlank="1" showInputMessage="1" showErrorMessage="1" prompt="Empresa no Grupo OI onde o orçamento será alocado._x000a__x000a_Leva em conta o Local onde o serviço é realizado." sqref="Q1"/>
    <dataValidation allowBlank="1" showInputMessage="1" showErrorMessage="1" prompt="Sistema / Módulo em que será executado desenvolvimento, conforme nomeclatura na lista oficial de sistemas._x000a__x000a_Caso seja um sistema novo ou não se aplique, selecione os itens específicos que atenda esta situação." sqref="O1"/>
    <dataValidation allowBlank="1" showInputMessage="1" showErrorMessage="1" prompt="Informação do Número do contrato relacionado com o fornecedor. _x000a__x000a_Verifique se a proposta anexada na ferramenta de acompanhamento de projetos e demandas está indicando o número correto de contrato." sqref="K1"/>
    <dataValidation allowBlank="1" showInputMessage="1" showErrorMessage="1" prompt="Nome do Fornecedor conforme Lista oficial de Fornecedores._x000a__x000a_Caso a proposta se relacione com uma contratação por RFP, escolha o item &quot;&lt;CONTRATAÇÃO DE FORNECEDOR&gt;&quot;. Caso se relacione a uma aprovação por estimativa, selecione o item &quot;&lt;OG&gt;&quot;." sqref="J1"/>
    <dataValidation allowBlank="1" showInputMessage="1" showErrorMessage="1" prompt="Classificação do tipo de utilização do orçamento aprovado._x000a__x000a_Nesta Planilha devemos registrar despesas com Serviços (inclui desenvolvimento) e viagens." sqref="I1"/>
    <dataValidation allowBlank="1" showInputMessage="1" showErrorMessage="1" prompt="Código da Proposta no Clarity PPM ou STI._x000a__x000a_Caso a verba não se relacione a um projeto cadastrado nos sistemas ou a proposta ainda não exista deve ser preenchido com uma letra S seguida de um número sequencial (Ex: S01; S02...)" sqref="G1"/>
    <dataValidation allowBlank="1" showInputMessage="1" showErrorMessage="1" prompt="Código do Projeto no Sistema de Acompanhamento de Projetos (STI)._x000a__x000a_Caso a verba não se relacione a um projeto cadastrado nos sistemas deve ser preenchido NA." sqref="F1"/>
    <dataValidation allowBlank="1" showInputMessage="1" showErrorMessage="1" prompt="Indica se o Pedido deve ser criado logo após a carga do Orçamento no FOI, com base nas informações desta planilha._x000a__x000a_Caso preencha NÃO, o Orçamento permanecerá disponível e o responsável deverá enviar ficha de RC por e-mail." sqref="E1"/>
    <dataValidation allowBlank="1" showInputMessage="1" showErrorMessage="1" prompt="Indicador se a Proposta está pronta para envio de GO para Desenvolvimento. _x000a__x000a_Caso preencha Não a fábrica não iniciará nenhuma atividade até que o responsável envie solicitação de envio de GO por e-mail para 'LD-TI Go Para Fábricas'" sqref="D1"/>
    <dataValidation allowBlank="1" showInputMessage="1" showErrorMessage="1" prompt="Número sequêncial para distinguir os valores de métricas (quantidade de horas e Taxa de Homem-Hora) aplicados na Solicitação / Proposta._x000a__x000a_Este campo é necessário para registro de infomações para geração de RC." sqref="H1"/>
    <dataValidation allowBlank="1" showInputMessage="1" showErrorMessage="1" prompt="Count do Número de Linhas preenchidos, desconsiderando linha de cabeçalho" sqref="A1"/>
    <dataValidation allowBlank="1" showInputMessage="1" showErrorMessage="1" prompt="Quantidade total de Horas consumida para execução de serviço o qual a proposta se refere._x000a__x000a_Formatacao Normal_x000a_" sqref="R1"/>
  </dataValidations>
  <pageMargins left="0.511811024" right="0.511811024" top="0.78740157499999996" bottom="0.78740157499999996" header="0.31496062000000002" footer="0.31496062000000002"/>
  <pageSetup paperSize="9" scale="31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B_MENSALIZACAO">
    <tabColor theme="5" tint="-0.249977111117893"/>
  </sheetPr>
  <dimension ref="A1:I508"/>
  <sheetViews>
    <sheetView workbookViewId="0">
      <pane xSplit="1" ySplit="1" topLeftCell="B11" activePane="bottomRight" state="frozen"/>
      <selection pane="topRight" activeCell="B1" sqref="B1"/>
      <selection pane="bottomLeft" activeCell="A2" sqref="A2"/>
      <selection pane="bottomRight" activeCell="B11" sqref="B11"/>
    </sheetView>
  </sheetViews>
  <sheetFormatPr defaultColWidth="0" defaultRowHeight="15" zeroHeight="1" x14ac:dyDescent="0.25"/>
  <cols>
    <col min="1" max="1" width="4.7109375" customWidth="1"/>
    <col min="2" max="2" width="22.28515625" customWidth="1"/>
    <col min="3" max="3" width="15.28515625" customWidth="1"/>
    <col min="4" max="4" width="11.140625" style="89" bestFit="1" customWidth="1"/>
    <col min="5" max="5" width="10.7109375" customWidth="1"/>
    <col min="6" max="6" width="9.140625" customWidth="1"/>
    <col min="7" max="7" width="2.28515625" customWidth="1"/>
    <col min="8" max="9" width="0" hidden="1" customWidth="1"/>
    <col min="10" max="16384" width="9.140625" hidden="1"/>
  </cols>
  <sheetData>
    <row r="1" spans="1:6" ht="25.5" x14ac:dyDescent="0.25">
      <c r="A1" s="11">
        <f>COUNTA(B:B) -1</f>
        <v>12</v>
      </c>
      <c r="B1" s="9" t="s">
        <v>52</v>
      </c>
      <c r="C1" s="14" t="s">
        <v>218</v>
      </c>
      <c r="D1" s="88" t="s">
        <v>942</v>
      </c>
      <c r="E1" s="12" t="s">
        <v>219</v>
      </c>
      <c r="F1" s="12" t="s">
        <v>229</v>
      </c>
    </row>
    <row r="2" spans="1:6" x14ac:dyDescent="0.25">
      <c r="A2" s="6"/>
      <c r="B2" s="2" t="s">
        <v>1112</v>
      </c>
      <c r="C2" s="2" t="s">
        <v>1105</v>
      </c>
      <c r="D2" s="2" t="s">
        <v>1108</v>
      </c>
      <c r="E2" s="15">
        <v>896.21</v>
      </c>
      <c r="F2" s="15">
        <v>0.33333333333333331</v>
      </c>
    </row>
    <row r="3" spans="1:6" x14ac:dyDescent="0.25">
      <c r="A3" s="6"/>
      <c r="B3" s="2" t="s">
        <v>1112</v>
      </c>
      <c r="C3" s="2" t="s">
        <v>1106</v>
      </c>
      <c r="D3" s="2" t="s">
        <v>1108</v>
      </c>
      <c r="E3" s="15">
        <v>896.21</v>
      </c>
      <c r="F3" s="15">
        <v>0.33333333333333331</v>
      </c>
    </row>
    <row r="4" spans="1:6" x14ac:dyDescent="0.25">
      <c r="A4" s="6"/>
      <c r="B4" s="2" t="s">
        <v>1112</v>
      </c>
      <c r="C4" s="2" t="s">
        <v>1107</v>
      </c>
      <c r="D4" s="2" t="s">
        <v>1108</v>
      </c>
      <c r="E4" s="15">
        <v>896.21</v>
      </c>
      <c r="F4" s="15">
        <v>0.33333333333333331</v>
      </c>
    </row>
    <row r="5" spans="1:6" x14ac:dyDescent="0.25">
      <c r="A5" s="6"/>
      <c r="B5" s="2" t="s">
        <v>1113</v>
      </c>
      <c r="C5" s="2" t="s">
        <v>1105</v>
      </c>
      <c r="D5" s="2" t="s">
        <v>1108</v>
      </c>
      <c r="E5" s="15">
        <v>1344.3150000000001</v>
      </c>
      <c r="F5" s="15">
        <v>0.33333333333333331</v>
      </c>
    </row>
    <row r="6" spans="1:6" x14ac:dyDescent="0.25">
      <c r="A6" s="6"/>
      <c r="B6" s="2" t="s">
        <v>1113</v>
      </c>
      <c r="C6" s="2" t="s">
        <v>1106</v>
      </c>
      <c r="D6" s="2" t="s">
        <v>1108</v>
      </c>
      <c r="E6" s="15">
        <v>1344.3150000000001</v>
      </c>
      <c r="F6" s="15">
        <v>0.33333333333333331</v>
      </c>
    </row>
    <row r="7" spans="1:6" x14ac:dyDescent="0.25">
      <c r="A7" s="6"/>
      <c r="B7" s="2" t="s">
        <v>1113</v>
      </c>
      <c r="C7" s="2" t="s">
        <v>1107</v>
      </c>
      <c r="D7" s="2" t="s">
        <v>1108</v>
      </c>
      <c r="E7" s="15">
        <v>1344.3150000000001</v>
      </c>
      <c r="F7" s="15">
        <v>0.33333333333333331</v>
      </c>
    </row>
    <row r="8" spans="1:6" x14ac:dyDescent="0.25">
      <c r="A8" s="6"/>
      <c r="B8" s="2" t="s">
        <v>1114</v>
      </c>
      <c r="C8" s="2" t="s">
        <v>1105</v>
      </c>
      <c r="D8" s="2" t="s">
        <v>1108</v>
      </c>
      <c r="E8" s="15">
        <v>1344.3150000000001</v>
      </c>
      <c r="F8" s="15">
        <v>0.33333333333333331</v>
      </c>
    </row>
    <row r="9" spans="1:6" x14ac:dyDescent="0.25">
      <c r="A9" s="6"/>
      <c r="B9" s="2" t="s">
        <v>1114</v>
      </c>
      <c r="C9" s="2" t="s">
        <v>1106</v>
      </c>
      <c r="D9" s="2" t="s">
        <v>1108</v>
      </c>
      <c r="E9" s="15">
        <v>1344.3150000000001</v>
      </c>
      <c r="F9" s="15">
        <v>0.33333333333333331</v>
      </c>
    </row>
    <row r="10" spans="1:6" x14ac:dyDescent="0.25">
      <c r="A10" s="6"/>
      <c r="B10" s="2" t="s">
        <v>1114</v>
      </c>
      <c r="C10" s="2" t="s">
        <v>1107</v>
      </c>
      <c r="D10" s="2" t="s">
        <v>1108</v>
      </c>
      <c r="E10" s="15">
        <v>1344.3150000000001</v>
      </c>
      <c r="F10" s="15">
        <v>0.33333333333333331</v>
      </c>
    </row>
    <row r="11" spans="1:6" x14ac:dyDescent="0.25">
      <c r="A11" s="6"/>
      <c r="B11" s="2" t="s">
        <v>1115</v>
      </c>
      <c r="C11" s="2" t="s">
        <v>1105</v>
      </c>
      <c r="D11" s="2" t="s">
        <v>1108</v>
      </c>
      <c r="E11" s="15">
        <v>1344.3150000000001</v>
      </c>
      <c r="F11" s="15">
        <v>0.33333333333333331</v>
      </c>
    </row>
    <row r="12" spans="1:6" x14ac:dyDescent="0.25">
      <c r="A12" s="6"/>
      <c r="B12" s="2" t="s">
        <v>1115</v>
      </c>
      <c r="C12" s="2" t="s">
        <v>1106</v>
      </c>
      <c r="D12" s="2" t="s">
        <v>1108</v>
      </c>
      <c r="E12" s="15">
        <v>1344.3150000000001</v>
      </c>
      <c r="F12" s="15">
        <v>0.33333333333333331</v>
      </c>
    </row>
    <row r="13" spans="1:6" x14ac:dyDescent="0.25">
      <c r="A13" s="6"/>
      <c r="B13" s="2" t="s">
        <v>1115</v>
      </c>
      <c r="C13" s="2" t="s">
        <v>1107</v>
      </c>
      <c r="D13" s="2" t="s">
        <v>1108</v>
      </c>
      <c r="E13" s="15">
        <v>1344.3150000000001</v>
      </c>
      <c r="F13" s="15">
        <v>0.33333333333333331</v>
      </c>
    </row>
    <row r="14" spans="1:6" x14ac:dyDescent="0.25">
      <c r="A14" s="6"/>
      <c r="B14" s="2"/>
      <c r="C14" s="2"/>
      <c r="D14" s="2"/>
      <c r="E14" s="15"/>
      <c r="F14" s="15"/>
    </row>
    <row r="15" spans="1:6" x14ac:dyDescent="0.25">
      <c r="A15" s="6"/>
      <c r="B15" s="2"/>
      <c r="C15" s="2"/>
      <c r="D15" s="2"/>
      <c r="E15" s="15"/>
      <c r="F15" s="15"/>
    </row>
    <row r="16" spans="1:6" x14ac:dyDescent="0.25">
      <c r="A16" s="6"/>
      <c r="B16" s="2"/>
      <c r="C16" s="2"/>
      <c r="D16" s="2"/>
      <c r="E16" s="15"/>
      <c r="F16" s="15"/>
    </row>
    <row r="17" spans="1:6" x14ac:dyDescent="0.25">
      <c r="A17" s="6"/>
      <c r="B17" s="2"/>
      <c r="C17" s="2"/>
      <c r="D17" s="2"/>
      <c r="E17" s="15"/>
      <c r="F17" s="15"/>
    </row>
    <row r="18" spans="1:6" x14ac:dyDescent="0.25">
      <c r="A18" s="6"/>
      <c r="B18" s="2"/>
      <c r="C18" s="2"/>
      <c r="D18" s="2"/>
      <c r="E18" s="15"/>
      <c r="F18" s="15"/>
    </row>
    <row r="19" spans="1:6" x14ac:dyDescent="0.25">
      <c r="A19" s="6"/>
      <c r="B19" s="2"/>
      <c r="C19" s="2"/>
      <c r="D19" s="2"/>
      <c r="E19" s="15"/>
      <c r="F19" s="15"/>
    </row>
    <row r="20" spans="1:6" x14ac:dyDescent="0.25">
      <c r="A20" s="6"/>
      <c r="B20" s="2"/>
      <c r="C20" s="2"/>
      <c r="D20" s="2"/>
      <c r="E20" s="15"/>
      <c r="F20" s="15"/>
    </row>
    <row r="21" spans="1:6" x14ac:dyDescent="0.25">
      <c r="A21" s="6"/>
      <c r="B21" s="2"/>
      <c r="C21" s="2"/>
      <c r="D21" s="2"/>
      <c r="E21" s="15"/>
      <c r="F21" s="15"/>
    </row>
    <row r="22" spans="1:6" x14ac:dyDescent="0.25">
      <c r="A22" s="6"/>
      <c r="B22" s="2"/>
      <c r="C22" s="2"/>
      <c r="D22" s="2"/>
      <c r="E22" s="15"/>
      <c r="F22" s="15"/>
    </row>
    <row r="23" spans="1:6" x14ac:dyDescent="0.25">
      <c r="A23" s="6"/>
      <c r="B23" s="2"/>
      <c r="C23" s="2"/>
      <c r="D23" s="2"/>
      <c r="E23" s="15"/>
      <c r="F23" s="15"/>
    </row>
    <row r="24" spans="1:6" x14ac:dyDescent="0.25">
      <c r="A24" s="6"/>
      <c r="B24" s="2"/>
      <c r="C24" s="2"/>
      <c r="D24" s="2"/>
      <c r="E24" s="15"/>
      <c r="F24" s="15"/>
    </row>
    <row r="25" spans="1:6" x14ac:dyDescent="0.25">
      <c r="A25" s="6"/>
      <c r="B25" s="2"/>
      <c r="C25" s="2"/>
      <c r="D25" s="2"/>
      <c r="E25" s="15"/>
      <c r="F25" s="15"/>
    </row>
    <row r="26" spans="1:6" x14ac:dyDescent="0.25">
      <c r="A26" s="6"/>
      <c r="B26" s="2"/>
      <c r="C26" s="2"/>
      <c r="D26" s="2"/>
      <c r="E26" s="15"/>
      <c r="F26" s="15"/>
    </row>
    <row r="27" spans="1:6" x14ac:dyDescent="0.25">
      <c r="A27" s="6"/>
      <c r="B27" s="2"/>
      <c r="C27" s="2"/>
      <c r="D27" s="2"/>
      <c r="E27" s="15"/>
      <c r="F27" s="15"/>
    </row>
    <row r="28" spans="1:6" x14ac:dyDescent="0.25">
      <c r="A28" s="6"/>
      <c r="B28" s="2"/>
      <c r="C28" s="2"/>
      <c r="D28" s="2"/>
      <c r="E28" s="15"/>
      <c r="F28" s="15"/>
    </row>
    <row r="29" spans="1:6" x14ac:dyDescent="0.25">
      <c r="A29" s="6"/>
      <c r="B29" s="2"/>
      <c r="C29" s="2"/>
      <c r="D29" s="2"/>
      <c r="E29" s="15"/>
      <c r="F29" s="15"/>
    </row>
    <row r="30" spans="1:6" x14ac:dyDescent="0.25">
      <c r="A30" s="6"/>
      <c r="B30" s="2"/>
      <c r="C30" s="2"/>
      <c r="D30" s="2"/>
      <c r="E30" s="15"/>
      <c r="F30" s="15"/>
    </row>
    <row r="31" spans="1:6" x14ac:dyDescent="0.25">
      <c r="A31" s="6"/>
      <c r="B31" s="2"/>
      <c r="C31" s="2"/>
      <c r="D31" s="2"/>
      <c r="E31" s="15"/>
      <c r="F31" s="15"/>
    </row>
    <row r="32" spans="1:6" x14ac:dyDescent="0.25">
      <c r="A32" s="6"/>
      <c r="B32" s="2"/>
      <c r="C32" s="2"/>
      <c r="D32" s="2"/>
      <c r="E32" s="15"/>
      <c r="F32" s="15"/>
    </row>
    <row r="33" spans="1:6" x14ac:dyDescent="0.25">
      <c r="A33" s="6"/>
      <c r="B33" s="2"/>
      <c r="C33" s="2"/>
      <c r="D33" s="2"/>
      <c r="E33" s="15"/>
      <c r="F33" s="15"/>
    </row>
    <row r="34" spans="1:6" x14ac:dyDescent="0.25">
      <c r="A34" s="6"/>
      <c r="B34" s="2"/>
      <c r="C34" s="2"/>
      <c r="D34" s="2"/>
      <c r="E34" s="15"/>
      <c r="F34" s="15"/>
    </row>
    <row r="35" spans="1:6" x14ac:dyDescent="0.25">
      <c r="A35" s="6"/>
      <c r="B35" s="2"/>
      <c r="C35" s="2"/>
      <c r="D35" s="2"/>
      <c r="E35" s="15"/>
      <c r="F35" s="15"/>
    </row>
    <row r="36" spans="1:6" x14ac:dyDescent="0.25">
      <c r="A36" s="6"/>
      <c r="B36" s="2"/>
      <c r="C36" s="2"/>
      <c r="D36" s="2"/>
      <c r="E36" s="15"/>
      <c r="F36" s="15"/>
    </row>
    <row r="37" spans="1:6" x14ac:dyDescent="0.25">
      <c r="A37" s="6"/>
      <c r="B37" s="2"/>
      <c r="C37" s="2"/>
      <c r="D37" s="2"/>
      <c r="E37" s="15"/>
      <c r="F37" s="15"/>
    </row>
    <row r="38" spans="1:6" x14ac:dyDescent="0.25">
      <c r="A38" s="6"/>
      <c r="B38" s="2"/>
      <c r="C38" s="2"/>
      <c r="D38" s="2"/>
      <c r="E38" s="15"/>
      <c r="F38" s="15"/>
    </row>
    <row r="39" spans="1:6" x14ac:dyDescent="0.25">
      <c r="A39" s="6"/>
      <c r="B39" s="2"/>
      <c r="C39" s="2"/>
      <c r="D39" s="2"/>
      <c r="E39" s="15"/>
      <c r="F39" s="15"/>
    </row>
    <row r="40" spans="1:6" x14ac:dyDescent="0.25">
      <c r="A40" s="6"/>
      <c r="B40" s="2"/>
      <c r="C40" s="2"/>
      <c r="D40" s="2"/>
      <c r="E40" s="15"/>
      <c r="F40" s="15"/>
    </row>
    <row r="41" spans="1:6" x14ac:dyDescent="0.25">
      <c r="A41" s="6"/>
      <c r="B41" s="2"/>
      <c r="C41" s="2"/>
      <c r="D41" s="2"/>
      <c r="E41" s="15"/>
      <c r="F41" s="15"/>
    </row>
    <row r="42" spans="1:6" x14ac:dyDescent="0.25">
      <c r="A42" s="6"/>
      <c r="B42" s="2"/>
      <c r="C42" s="2"/>
      <c r="D42" s="2"/>
      <c r="E42" s="15"/>
      <c r="F42" s="15"/>
    </row>
    <row r="43" spans="1:6" x14ac:dyDescent="0.25">
      <c r="A43" s="6"/>
      <c r="B43" s="2"/>
      <c r="C43" s="2"/>
      <c r="D43" s="2"/>
      <c r="E43" s="15"/>
      <c r="F43" s="15"/>
    </row>
    <row r="44" spans="1:6" x14ac:dyDescent="0.25">
      <c r="A44" s="6"/>
      <c r="B44" s="2"/>
      <c r="C44" s="2"/>
      <c r="D44" s="2"/>
      <c r="E44" s="15"/>
      <c r="F44" s="15"/>
    </row>
    <row r="45" spans="1:6" x14ac:dyDescent="0.25">
      <c r="A45" s="6"/>
      <c r="B45" s="2"/>
      <c r="C45" s="2"/>
      <c r="D45" s="2"/>
      <c r="E45" s="15"/>
      <c r="F45" s="15"/>
    </row>
    <row r="46" spans="1:6" x14ac:dyDescent="0.25">
      <c r="A46" s="6"/>
      <c r="B46" s="2"/>
      <c r="C46" s="2"/>
      <c r="D46" s="2"/>
      <c r="E46" s="15"/>
      <c r="F46" s="15"/>
    </row>
    <row r="47" spans="1:6" x14ac:dyDescent="0.25">
      <c r="A47" s="6"/>
      <c r="B47" s="2"/>
      <c r="C47" s="2"/>
      <c r="D47" s="2"/>
      <c r="E47" s="15"/>
      <c r="F47" s="15"/>
    </row>
    <row r="48" spans="1:6" x14ac:dyDescent="0.25">
      <c r="A48" s="6"/>
      <c r="B48" s="2"/>
      <c r="C48" s="2"/>
      <c r="D48" s="2"/>
      <c r="E48" s="15"/>
      <c r="F48" s="15"/>
    </row>
    <row r="49" spans="1:6" x14ac:dyDescent="0.25">
      <c r="A49" s="6"/>
      <c r="B49" s="2"/>
      <c r="C49" s="2"/>
      <c r="D49" s="2"/>
      <c r="E49" s="15"/>
      <c r="F49" s="15"/>
    </row>
    <row r="50" spans="1:6" x14ac:dyDescent="0.25">
      <c r="A50" s="6"/>
      <c r="B50" s="2"/>
      <c r="C50" s="2"/>
      <c r="D50" s="2"/>
      <c r="E50" s="15"/>
      <c r="F50" s="15"/>
    </row>
    <row r="51" spans="1:6" x14ac:dyDescent="0.25">
      <c r="A51" s="6"/>
      <c r="B51" s="2"/>
      <c r="C51" s="2"/>
      <c r="D51" s="2"/>
      <c r="E51" s="15"/>
      <c r="F51" s="15"/>
    </row>
    <row r="52" spans="1:6" x14ac:dyDescent="0.25">
      <c r="A52" s="6"/>
      <c r="B52" s="2"/>
      <c r="C52" s="2"/>
      <c r="D52" s="2"/>
      <c r="E52" s="15"/>
      <c r="F52" s="15"/>
    </row>
    <row r="53" spans="1:6" x14ac:dyDescent="0.25">
      <c r="A53" s="6"/>
      <c r="B53" s="2"/>
      <c r="C53" s="2"/>
      <c r="D53" s="2"/>
      <c r="E53" s="15"/>
      <c r="F53" s="15"/>
    </row>
    <row r="54" spans="1:6" x14ac:dyDescent="0.25">
      <c r="A54" s="6"/>
      <c r="B54" s="2"/>
      <c r="C54" s="2"/>
      <c r="D54" s="2"/>
      <c r="E54" s="15"/>
      <c r="F54" s="15"/>
    </row>
    <row r="55" spans="1:6" x14ac:dyDescent="0.25">
      <c r="A55" s="6"/>
      <c r="B55" s="2"/>
      <c r="C55" s="2"/>
      <c r="D55" s="2"/>
      <c r="E55" s="15"/>
      <c r="F55" s="15"/>
    </row>
    <row r="56" spans="1:6" x14ac:dyDescent="0.25">
      <c r="A56" s="6"/>
      <c r="B56" s="2"/>
      <c r="C56" s="2"/>
      <c r="D56" s="2"/>
      <c r="E56" s="15"/>
      <c r="F56" s="15"/>
    </row>
    <row r="57" spans="1:6" x14ac:dyDescent="0.25">
      <c r="A57" s="6"/>
      <c r="B57" s="2"/>
      <c r="C57" s="2"/>
      <c r="D57" s="2"/>
      <c r="E57" s="15"/>
      <c r="F57" s="15"/>
    </row>
    <row r="58" spans="1:6" x14ac:dyDescent="0.25">
      <c r="A58" s="6"/>
      <c r="B58" s="2"/>
      <c r="C58" s="2"/>
      <c r="D58" s="2"/>
      <c r="E58" s="15"/>
      <c r="F58" s="15"/>
    </row>
    <row r="59" spans="1:6" x14ac:dyDescent="0.25">
      <c r="A59" s="6"/>
      <c r="B59" s="2"/>
      <c r="C59" s="2"/>
      <c r="D59" s="2"/>
      <c r="E59" s="15"/>
      <c r="F59" s="15"/>
    </row>
    <row r="60" spans="1:6" x14ac:dyDescent="0.25">
      <c r="A60" s="6"/>
      <c r="B60" s="2"/>
      <c r="C60" s="2"/>
      <c r="D60" s="2"/>
      <c r="E60" s="15"/>
      <c r="F60" s="15"/>
    </row>
    <row r="61" spans="1:6" x14ac:dyDescent="0.25">
      <c r="A61" s="6"/>
      <c r="B61" s="2"/>
      <c r="C61" s="2"/>
      <c r="D61" s="2"/>
      <c r="E61" s="15"/>
      <c r="F61" s="15"/>
    </row>
    <row r="62" spans="1:6" x14ac:dyDescent="0.25">
      <c r="A62" s="6"/>
      <c r="B62" s="2"/>
      <c r="C62" s="2"/>
      <c r="D62" s="2"/>
      <c r="E62" s="15"/>
      <c r="F62" s="15"/>
    </row>
    <row r="63" spans="1:6" x14ac:dyDescent="0.25">
      <c r="A63" s="6"/>
      <c r="B63" s="2"/>
      <c r="C63" s="2"/>
      <c r="D63" s="2"/>
      <c r="E63" s="15"/>
      <c r="F63" s="15"/>
    </row>
    <row r="64" spans="1:6" x14ac:dyDescent="0.25">
      <c r="A64" s="6"/>
      <c r="B64" s="2"/>
      <c r="C64" s="2"/>
      <c r="D64" s="2"/>
      <c r="E64" s="15"/>
      <c r="F64" s="15"/>
    </row>
    <row r="65" spans="1:6" x14ac:dyDescent="0.25">
      <c r="A65" s="6"/>
      <c r="B65" s="2"/>
      <c r="C65" s="2"/>
      <c r="D65" s="2"/>
      <c r="E65" s="15"/>
      <c r="F65" s="15"/>
    </row>
    <row r="66" spans="1:6" x14ac:dyDescent="0.25">
      <c r="A66" s="6"/>
      <c r="B66" s="2"/>
      <c r="C66" s="2"/>
      <c r="D66" s="2"/>
      <c r="E66" s="15"/>
      <c r="F66" s="15"/>
    </row>
    <row r="67" spans="1:6" x14ac:dyDescent="0.25">
      <c r="A67" s="6"/>
      <c r="B67" s="2"/>
      <c r="C67" s="2"/>
      <c r="D67" s="2"/>
      <c r="E67" s="15"/>
      <c r="F67" s="15"/>
    </row>
    <row r="68" spans="1:6" x14ac:dyDescent="0.25">
      <c r="A68" s="6"/>
      <c r="B68" s="2"/>
      <c r="C68" s="2"/>
      <c r="D68" s="2"/>
      <c r="E68" s="15"/>
      <c r="F68" s="15"/>
    </row>
    <row r="69" spans="1:6" x14ac:dyDescent="0.25">
      <c r="A69" s="6"/>
      <c r="B69" s="2"/>
      <c r="C69" s="2"/>
      <c r="D69" s="2"/>
      <c r="E69" s="15"/>
      <c r="F69" s="15"/>
    </row>
    <row r="70" spans="1:6" x14ac:dyDescent="0.25">
      <c r="A70" s="6"/>
      <c r="B70" s="2"/>
      <c r="C70" s="2"/>
      <c r="D70" s="2"/>
      <c r="E70" s="15"/>
      <c r="F70" s="15"/>
    </row>
    <row r="71" spans="1:6" x14ac:dyDescent="0.25">
      <c r="A71" s="6"/>
      <c r="B71" s="2"/>
      <c r="C71" s="2"/>
      <c r="D71" s="2"/>
      <c r="E71" s="15"/>
      <c r="F71" s="15"/>
    </row>
    <row r="72" spans="1:6" x14ac:dyDescent="0.25">
      <c r="A72" s="6"/>
      <c r="B72" s="2"/>
      <c r="C72" s="2"/>
      <c r="D72" s="2"/>
      <c r="E72" s="15"/>
      <c r="F72" s="15"/>
    </row>
    <row r="73" spans="1:6" x14ac:dyDescent="0.25">
      <c r="A73" s="6"/>
      <c r="B73" s="2"/>
      <c r="C73" s="2"/>
      <c r="D73" s="2"/>
      <c r="E73" s="15"/>
      <c r="F73" s="15"/>
    </row>
    <row r="74" spans="1:6" x14ac:dyDescent="0.25">
      <c r="A74" s="6"/>
      <c r="B74" s="2"/>
      <c r="C74" s="2"/>
      <c r="D74" s="2"/>
      <c r="E74" s="15"/>
      <c r="F74" s="15"/>
    </row>
    <row r="75" spans="1:6" x14ac:dyDescent="0.25">
      <c r="A75" s="6"/>
      <c r="B75" s="2"/>
      <c r="C75" s="2"/>
      <c r="D75" s="2"/>
      <c r="E75" s="15"/>
      <c r="F75" s="15"/>
    </row>
    <row r="76" spans="1:6" x14ac:dyDescent="0.25">
      <c r="A76" s="6"/>
      <c r="B76" s="2"/>
      <c r="C76" s="2"/>
      <c r="D76" s="2"/>
      <c r="E76" s="15"/>
      <c r="F76" s="15"/>
    </row>
    <row r="77" spans="1:6" x14ac:dyDescent="0.25">
      <c r="A77" s="6"/>
      <c r="B77" s="2"/>
      <c r="C77" s="2"/>
      <c r="D77" s="2"/>
      <c r="E77" s="15"/>
      <c r="F77" s="15"/>
    </row>
    <row r="78" spans="1:6" x14ac:dyDescent="0.25">
      <c r="A78" s="6"/>
      <c r="B78" s="2"/>
      <c r="C78" s="2"/>
      <c r="D78" s="2"/>
      <c r="E78" s="15"/>
      <c r="F78" s="15"/>
    </row>
    <row r="79" spans="1:6" x14ac:dyDescent="0.25">
      <c r="A79" s="6"/>
      <c r="B79" s="2"/>
      <c r="C79" s="2"/>
      <c r="D79" s="2"/>
      <c r="E79" s="15"/>
      <c r="F79" s="15"/>
    </row>
    <row r="80" spans="1:6" x14ac:dyDescent="0.25">
      <c r="A80" s="6"/>
      <c r="B80" s="2"/>
      <c r="C80" s="2"/>
      <c r="D80" s="2"/>
      <c r="E80" s="15"/>
      <c r="F80" s="15"/>
    </row>
    <row r="81" spans="1:6" x14ac:dyDescent="0.25">
      <c r="A81" s="6"/>
      <c r="B81" s="2"/>
      <c r="C81" s="2"/>
      <c r="D81" s="2"/>
      <c r="E81" s="15"/>
      <c r="F81" s="15"/>
    </row>
    <row r="82" spans="1:6" x14ac:dyDescent="0.25">
      <c r="A82" s="6"/>
      <c r="B82" s="2"/>
      <c r="C82" s="2"/>
      <c r="D82" s="2"/>
      <c r="E82" s="15"/>
      <c r="F82" s="15"/>
    </row>
    <row r="83" spans="1:6" x14ac:dyDescent="0.25">
      <c r="A83" s="6"/>
      <c r="B83" s="2"/>
      <c r="C83" s="2"/>
      <c r="D83" s="2"/>
      <c r="E83" s="15"/>
      <c r="F83" s="15"/>
    </row>
    <row r="84" spans="1:6" x14ac:dyDescent="0.25">
      <c r="A84" s="6"/>
      <c r="B84" s="2"/>
      <c r="C84" s="2"/>
      <c r="D84" s="2"/>
      <c r="E84" s="15"/>
      <c r="F84" s="15"/>
    </row>
    <row r="85" spans="1:6" x14ac:dyDescent="0.25">
      <c r="A85" s="6"/>
      <c r="B85" s="2"/>
      <c r="C85" s="2"/>
      <c r="D85" s="2"/>
      <c r="E85" s="15"/>
      <c r="F85" s="15"/>
    </row>
    <row r="86" spans="1:6" x14ac:dyDescent="0.25">
      <c r="A86" s="6"/>
      <c r="B86" s="2"/>
      <c r="C86" s="2"/>
      <c r="D86" s="2"/>
      <c r="E86" s="15"/>
      <c r="F86" s="15"/>
    </row>
    <row r="87" spans="1:6" x14ac:dyDescent="0.25">
      <c r="A87" s="6"/>
      <c r="B87" s="2"/>
      <c r="C87" s="2"/>
      <c r="D87" s="2"/>
      <c r="E87" s="15"/>
      <c r="F87" s="15"/>
    </row>
    <row r="88" spans="1:6" x14ac:dyDescent="0.25">
      <c r="A88" s="6"/>
      <c r="B88" s="2"/>
      <c r="C88" s="2"/>
      <c r="D88" s="2"/>
      <c r="E88" s="15"/>
      <c r="F88" s="15"/>
    </row>
    <row r="89" spans="1:6" x14ac:dyDescent="0.25">
      <c r="A89" s="6"/>
      <c r="B89" s="2"/>
      <c r="C89" s="2"/>
      <c r="D89" s="2"/>
      <c r="E89" s="15"/>
      <c r="F89" s="15"/>
    </row>
    <row r="90" spans="1:6" x14ac:dyDescent="0.25">
      <c r="A90" s="6"/>
      <c r="B90" s="2"/>
      <c r="C90" s="2"/>
      <c r="D90" s="2"/>
      <c r="E90" s="15"/>
      <c r="F90" s="15"/>
    </row>
    <row r="91" spans="1:6" x14ac:dyDescent="0.25">
      <c r="A91" s="6"/>
      <c r="B91" s="2"/>
      <c r="C91" s="2"/>
      <c r="D91" s="2"/>
      <c r="E91" s="15"/>
      <c r="F91" s="15"/>
    </row>
    <row r="92" spans="1:6" x14ac:dyDescent="0.25">
      <c r="A92" s="6"/>
      <c r="B92" s="2"/>
      <c r="C92" s="2"/>
      <c r="D92" s="2"/>
      <c r="E92" s="15"/>
      <c r="F92" s="15"/>
    </row>
    <row r="93" spans="1:6" x14ac:dyDescent="0.25">
      <c r="A93" s="6"/>
      <c r="B93" s="2"/>
      <c r="C93" s="2"/>
      <c r="D93" s="2"/>
      <c r="E93" s="15"/>
      <c r="F93" s="15"/>
    </row>
    <row r="94" spans="1:6" x14ac:dyDescent="0.25">
      <c r="A94" s="6"/>
      <c r="B94" s="2"/>
      <c r="C94" s="2"/>
      <c r="D94" s="2"/>
      <c r="E94" s="15"/>
      <c r="F94" s="15"/>
    </row>
    <row r="95" spans="1:6" x14ac:dyDescent="0.25">
      <c r="A95" s="6"/>
      <c r="B95" s="2"/>
      <c r="C95" s="2"/>
      <c r="D95" s="2"/>
      <c r="E95" s="15"/>
      <c r="F95" s="15"/>
    </row>
    <row r="96" spans="1:6" x14ac:dyDescent="0.25">
      <c r="A96" s="6"/>
      <c r="B96" s="2"/>
      <c r="C96" s="2"/>
      <c r="D96" s="2"/>
      <c r="E96" s="15"/>
      <c r="F96" s="15"/>
    </row>
    <row r="97" spans="1:6" x14ac:dyDescent="0.25">
      <c r="A97" s="6"/>
      <c r="B97" s="2"/>
      <c r="C97" s="2"/>
      <c r="D97" s="2"/>
      <c r="E97" s="15"/>
      <c r="F97" s="15"/>
    </row>
    <row r="98" spans="1:6" x14ac:dyDescent="0.25">
      <c r="A98" s="6"/>
      <c r="B98" s="2"/>
      <c r="C98" s="2"/>
      <c r="D98" s="2"/>
      <c r="E98" s="15"/>
      <c r="F98" s="15"/>
    </row>
    <row r="99" spans="1:6" x14ac:dyDescent="0.25">
      <c r="A99" s="6"/>
      <c r="B99" s="2"/>
      <c r="C99" s="2"/>
      <c r="D99" s="2"/>
      <c r="E99" s="15"/>
      <c r="F99" s="15"/>
    </row>
    <row r="100" spans="1:6" x14ac:dyDescent="0.25">
      <c r="A100" s="6"/>
      <c r="B100" s="2"/>
      <c r="C100" s="2"/>
      <c r="D100" s="2"/>
      <c r="E100" s="15"/>
      <c r="F100" s="15"/>
    </row>
    <row r="101" spans="1:6" x14ac:dyDescent="0.25">
      <c r="A101" s="6"/>
      <c r="B101" s="2"/>
      <c r="C101" s="2"/>
      <c r="D101" s="2"/>
      <c r="E101" s="15"/>
      <c r="F101" s="15"/>
    </row>
    <row r="102" spans="1:6" x14ac:dyDescent="0.25">
      <c r="A102" s="6"/>
      <c r="B102" s="2"/>
      <c r="C102" s="2"/>
      <c r="D102" s="2"/>
      <c r="E102" s="15"/>
      <c r="F102" s="15"/>
    </row>
    <row r="103" spans="1:6" x14ac:dyDescent="0.25">
      <c r="A103" s="6"/>
      <c r="B103" s="2"/>
      <c r="C103" s="2"/>
      <c r="D103" s="2"/>
      <c r="E103" s="15"/>
      <c r="F103" s="15"/>
    </row>
    <row r="104" spans="1:6" x14ac:dyDescent="0.25">
      <c r="A104" s="6"/>
      <c r="B104" s="2"/>
      <c r="C104" s="2"/>
      <c r="D104" s="2"/>
      <c r="E104" s="15"/>
      <c r="F104" s="15"/>
    </row>
    <row r="105" spans="1:6" x14ac:dyDescent="0.25">
      <c r="A105" s="6"/>
      <c r="B105" s="2"/>
      <c r="C105" s="2"/>
      <c r="D105" s="2"/>
      <c r="E105" s="15"/>
      <c r="F105" s="15"/>
    </row>
    <row r="106" spans="1:6" x14ac:dyDescent="0.25">
      <c r="A106" s="6"/>
      <c r="B106" s="2"/>
      <c r="C106" s="2"/>
      <c r="D106" s="2"/>
      <c r="E106" s="15"/>
      <c r="F106" s="15"/>
    </row>
    <row r="107" spans="1:6" x14ac:dyDescent="0.25">
      <c r="A107" s="6"/>
      <c r="B107" s="2"/>
      <c r="C107" s="2"/>
      <c r="D107" s="2"/>
      <c r="E107" s="15"/>
      <c r="F107" s="15"/>
    </row>
    <row r="108" spans="1:6" x14ac:dyDescent="0.25">
      <c r="A108" s="6"/>
      <c r="B108" s="2"/>
      <c r="C108" s="2"/>
      <c r="D108" s="2"/>
      <c r="E108" s="15"/>
      <c r="F108" s="15"/>
    </row>
    <row r="109" spans="1:6" x14ac:dyDescent="0.25">
      <c r="A109" s="6"/>
      <c r="B109" s="2"/>
      <c r="C109" s="2"/>
      <c r="D109" s="2"/>
      <c r="E109" s="15"/>
      <c r="F109" s="15"/>
    </row>
    <row r="110" spans="1:6" x14ac:dyDescent="0.25">
      <c r="A110" s="6"/>
      <c r="B110" s="2"/>
      <c r="C110" s="2"/>
      <c r="D110" s="2"/>
      <c r="E110" s="15"/>
      <c r="F110" s="15"/>
    </row>
    <row r="111" spans="1:6" x14ac:dyDescent="0.25">
      <c r="A111" s="6"/>
      <c r="B111" s="2"/>
      <c r="C111" s="2"/>
      <c r="D111" s="2"/>
      <c r="E111" s="15"/>
      <c r="F111" s="15"/>
    </row>
    <row r="112" spans="1:6" x14ac:dyDescent="0.25">
      <c r="A112" s="6"/>
      <c r="B112" s="2"/>
      <c r="C112" s="2"/>
      <c r="D112" s="2"/>
      <c r="E112" s="15"/>
      <c r="F112" s="15"/>
    </row>
    <row r="113" spans="1:6" x14ac:dyDescent="0.25">
      <c r="A113" s="6"/>
      <c r="B113" s="2"/>
      <c r="C113" s="2"/>
      <c r="D113" s="2"/>
      <c r="E113" s="15"/>
      <c r="F113" s="15"/>
    </row>
    <row r="114" spans="1:6" x14ac:dyDescent="0.25">
      <c r="A114" s="6"/>
      <c r="B114" s="2"/>
      <c r="C114" s="2"/>
      <c r="D114" s="2"/>
      <c r="E114" s="15"/>
      <c r="F114" s="15"/>
    </row>
    <row r="115" spans="1:6" x14ac:dyDescent="0.25">
      <c r="A115" s="6"/>
      <c r="B115" s="2"/>
      <c r="C115" s="2"/>
      <c r="D115" s="2"/>
      <c r="E115" s="15"/>
      <c r="F115" s="15"/>
    </row>
    <row r="116" spans="1:6" x14ac:dyDescent="0.25">
      <c r="A116" s="6"/>
      <c r="B116" s="2"/>
      <c r="C116" s="2"/>
      <c r="D116" s="2"/>
      <c r="E116" s="15"/>
      <c r="F116" s="15"/>
    </row>
    <row r="117" spans="1:6" x14ac:dyDescent="0.25">
      <c r="A117" s="6"/>
      <c r="B117" s="2"/>
      <c r="C117" s="2"/>
      <c r="D117" s="2"/>
      <c r="E117" s="15"/>
      <c r="F117" s="15"/>
    </row>
    <row r="118" spans="1:6" x14ac:dyDescent="0.25">
      <c r="A118" s="6"/>
      <c r="B118" s="2"/>
      <c r="C118" s="2"/>
      <c r="D118" s="2"/>
      <c r="E118" s="15"/>
      <c r="F118" s="15"/>
    </row>
    <row r="119" spans="1:6" x14ac:dyDescent="0.25">
      <c r="A119" s="6"/>
      <c r="B119" s="2"/>
      <c r="C119" s="2"/>
      <c r="D119" s="2"/>
      <c r="E119" s="15"/>
      <c r="F119" s="15"/>
    </row>
    <row r="120" spans="1:6" x14ac:dyDescent="0.25">
      <c r="A120" s="6"/>
      <c r="B120" s="2"/>
      <c r="C120" s="2"/>
      <c r="D120" s="2"/>
      <c r="E120" s="15"/>
      <c r="F120" s="15"/>
    </row>
    <row r="121" spans="1:6" x14ac:dyDescent="0.25">
      <c r="A121" s="6"/>
      <c r="B121" s="2"/>
      <c r="C121" s="2"/>
      <c r="D121" s="2"/>
      <c r="E121" s="15"/>
      <c r="F121" s="15"/>
    </row>
    <row r="122" spans="1:6" x14ac:dyDescent="0.25">
      <c r="A122" s="6"/>
      <c r="B122" s="2"/>
      <c r="C122" s="2"/>
      <c r="D122" s="2"/>
      <c r="E122" s="15"/>
      <c r="F122" s="15"/>
    </row>
    <row r="123" spans="1:6" x14ac:dyDescent="0.25">
      <c r="A123" s="6"/>
      <c r="B123" s="2"/>
      <c r="C123" s="2"/>
      <c r="D123" s="2"/>
      <c r="E123" s="15"/>
      <c r="F123" s="15"/>
    </row>
    <row r="124" spans="1:6" x14ac:dyDescent="0.25">
      <c r="A124" s="6"/>
      <c r="B124" s="2"/>
      <c r="C124" s="2"/>
      <c r="D124" s="2"/>
      <c r="E124" s="15"/>
      <c r="F124" s="15"/>
    </row>
    <row r="125" spans="1:6" x14ac:dyDescent="0.25">
      <c r="A125" s="6"/>
      <c r="B125" s="2"/>
      <c r="C125" s="2"/>
      <c r="D125" s="2"/>
      <c r="E125" s="15"/>
      <c r="F125" s="15"/>
    </row>
    <row r="126" spans="1:6" x14ac:dyDescent="0.25">
      <c r="A126" s="6"/>
      <c r="B126" s="2"/>
      <c r="C126" s="2"/>
      <c r="D126" s="2"/>
      <c r="E126" s="15"/>
      <c r="F126" s="15"/>
    </row>
    <row r="127" spans="1:6" x14ac:dyDescent="0.25">
      <c r="A127" s="6"/>
      <c r="B127" s="2"/>
      <c r="C127" s="2"/>
      <c r="D127" s="2"/>
      <c r="E127" s="15"/>
      <c r="F127" s="15"/>
    </row>
    <row r="128" spans="1:6" x14ac:dyDescent="0.25">
      <c r="A128" s="6"/>
      <c r="B128" s="2"/>
      <c r="C128" s="2"/>
      <c r="D128" s="2"/>
      <c r="E128" s="15"/>
      <c r="F128" s="15"/>
    </row>
    <row r="129" spans="1:6" x14ac:dyDescent="0.25">
      <c r="A129" s="6"/>
      <c r="B129" s="2"/>
      <c r="C129" s="2"/>
      <c r="D129" s="2"/>
      <c r="E129" s="15"/>
      <c r="F129" s="15"/>
    </row>
    <row r="130" spans="1:6" x14ac:dyDescent="0.25">
      <c r="A130" s="6"/>
      <c r="B130" s="2"/>
      <c r="C130" s="2"/>
      <c r="D130" s="2"/>
      <c r="E130" s="15"/>
      <c r="F130" s="15"/>
    </row>
    <row r="131" spans="1:6" x14ac:dyDescent="0.25">
      <c r="A131" s="6"/>
      <c r="B131" s="2"/>
      <c r="C131" s="2"/>
      <c r="D131" s="2"/>
      <c r="E131" s="15"/>
      <c r="F131" s="15"/>
    </row>
    <row r="132" spans="1:6" x14ac:dyDescent="0.25">
      <c r="A132" s="6"/>
      <c r="B132" s="2"/>
      <c r="C132" s="2"/>
      <c r="D132" s="2"/>
      <c r="E132" s="15"/>
      <c r="F132" s="15"/>
    </row>
    <row r="133" spans="1:6" x14ac:dyDescent="0.25">
      <c r="A133" s="6"/>
      <c r="B133" s="2"/>
      <c r="C133" s="2"/>
      <c r="D133" s="2"/>
      <c r="E133" s="15"/>
      <c r="F133" s="15"/>
    </row>
    <row r="134" spans="1:6" x14ac:dyDescent="0.25">
      <c r="A134" s="6"/>
      <c r="B134" s="2"/>
      <c r="C134" s="2"/>
      <c r="D134" s="2"/>
      <c r="E134" s="15"/>
      <c r="F134" s="15"/>
    </row>
    <row r="135" spans="1:6" x14ac:dyDescent="0.25">
      <c r="A135" s="6"/>
      <c r="B135" s="2"/>
      <c r="C135" s="2"/>
      <c r="D135" s="2"/>
      <c r="E135" s="15"/>
      <c r="F135" s="15"/>
    </row>
    <row r="136" spans="1:6" x14ac:dyDescent="0.25">
      <c r="A136" s="6"/>
      <c r="B136" s="2"/>
      <c r="C136" s="2"/>
      <c r="D136" s="2"/>
      <c r="E136" s="15"/>
      <c r="F136" s="15"/>
    </row>
    <row r="137" spans="1:6" x14ac:dyDescent="0.25">
      <c r="A137" s="6"/>
      <c r="B137" s="2"/>
      <c r="C137" s="2"/>
      <c r="D137" s="2"/>
      <c r="E137" s="15"/>
      <c r="F137" s="15"/>
    </row>
    <row r="138" spans="1:6" x14ac:dyDescent="0.25">
      <c r="A138" s="6"/>
      <c r="B138" s="2"/>
      <c r="C138" s="2"/>
      <c r="D138" s="2"/>
      <c r="E138" s="15"/>
      <c r="F138" s="15"/>
    </row>
    <row r="139" spans="1:6" x14ac:dyDescent="0.25">
      <c r="A139" s="6"/>
      <c r="B139" s="2"/>
      <c r="C139" s="2"/>
      <c r="D139" s="2"/>
      <c r="E139" s="15"/>
      <c r="F139" s="15"/>
    </row>
    <row r="140" spans="1:6" x14ac:dyDescent="0.25">
      <c r="A140" s="6"/>
      <c r="B140" s="2"/>
      <c r="C140" s="2"/>
      <c r="D140" s="2"/>
      <c r="E140" s="15"/>
      <c r="F140" s="15"/>
    </row>
    <row r="141" spans="1:6" x14ac:dyDescent="0.25">
      <c r="A141" s="6"/>
      <c r="B141" s="2"/>
      <c r="C141" s="2"/>
      <c r="D141" s="2"/>
      <c r="E141" s="15"/>
      <c r="F141" s="15"/>
    </row>
    <row r="142" spans="1:6" x14ac:dyDescent="0.25">
      <c r="A142" s="6"/>
      <c r="B142" s="2"/>
      <c r="C142" s="2"/>
      <c r="D142" s="2"/>
      <c r="E142" s="15"/>
      <c r="F142" s="15"/>
    </row>
    <row r="143" spans="1:6" x14ac:dyDescent="0.25">
      <c r="A143" s="6"/>
      <c r="B143" s="2"/>
      <c r="C143" s="2"/>
      <c r="D143" s="2"/>
      <c r="E143" s="15"/>
      <c r="F143" s="15"/>
    </row>
    <row r="144" spans="1:6" x14ac:dyDescent="0.25">
      <c r="A144" s="6"/>
      <c r="B144" s="2"/>
      <c r="C144" s="2"/>
      <c r="D144" s="2"/>
      <c r="E144" s="15"/>
      <c r="F144" s="15"/>
    </row>
    <row r="145" spans="1:6" x14ac:dyDescent="0.25">
      <c r="A145" s="6"/>
      <c r="B145" s="2"/>
      <c r="C145" s="2"/>
      <c r="D145" s="2"/>
      <c r="E145" s="15"/>
      <c r="F145" s="15"/>
    </row>
    <row r="146" spans="1:6" x14ac:dyDescent="0.25">
      <c r="A146" s="6"/>
      <c r="B146" s="2"/>
      <c r="C146" s="2"/>
      <c r="D146" s="2"/>
      <c r="E146" s="15"/>
      <c r="F146" s="15"/>
    </row>
    <row r="147" spans="1:6" x14ac:dyDescent="0.25">
      <c r="A147" s="6"/>
      <c r="B147" s="2"/>
      <c r="C147" s="2"/>
      <c r="D147" s="2"/>
      <c r="E147" s="15"/>
      <c r="F147" s="15"/>
    </row>
    <row r="148" spans="1:6" x14ac:dyDescent="0.25">
      <c r="A148" s="6"/>
      <c r="B148" s="2"/>
      <c r="C148" s="2"/>
      <c r="D148" s="2"/>
      <c r="E148" s="15"/>
      <c r="F148" s="15"/>
    </row>
    <row r="149" spans="1:6" x14ac:dyDescent="0.25">
      <c r="A149" s="6"/>
      <c r="B149" s="2"/>
      <c r="C149" s="2"/>
      <c r="D149" s="2"/>
      <c r="E149" s="15"/>
      <c r="F149" s="15"/>
    </row>
    <row r="150" spans="1:6" x14ac:dyDescent="0.25">
      <c r="A150" s="6"/>
      <c r="B150" s="2"/>
      <c r="C150" s="2"/>
      <c r="D150" s="2"/>
      <c r="E150" s="15"/>
      <c r="F150" s="15"/>
    </row>
    <row r="151" spans="1:6" x14ac:dyDescent="0.25">
      <c r="A151" s="6"/>
      <c r="B151" s="2"/>
      <c r="C151" s="2"/>
      <c r="D151" s="2"/>
      <c r="E151" s="15"/>
      <c r="F151" s="15"/>
    </row>
    <row r="152" spans="1:6" x14ac:dyDescent="0.25">
      <c r="A152" s="6"/>
      <c r="B152" s="2"/>
      <c r="C152" s="2"/>
      <c r="D152" s="2"/>
      <c r="E152" s="15"/>
      <c r="F152" s="15"/>
    </row>
    <row r="153" spans="1:6" x14ac:dyDescent="0.25">
      <c r="A153" s="6"/>
      <c r="B153" s="2"/>
      <c r="C153" s="2"/>
      <c r="D153" s="2"/>
      <c r="E153" s="15"/>
      <c r="F153" s="15"/>
    </row>
    <row r="154" spans="1:6" x14ac:dyDescent="0.25">
      <c r="A154" s="6"/>
      <c r="B154" s="2"/>
      <c r="C154" s="2"/>
      <c r="D154" s="2"/>
      <c r="E154" s="15"/>
      <c r="F154" s="15"/>
    </row>
    <row r="155" spans="1:6" x14ac:dyDescent="0.25">
      <c r="A155" s="6"/>
      <c r="B155" s="2"/>
      <c r="C155" s="2"/>
      <c r="D155" s="2"/>
      <c r="E155" s="15"/>
      <c r="F155" s="15"/>
    </row>
    <row r="156" spans="1:6" x14ac:dyDescent="0.25">
      <c r="A156" s="6"/>
      <c r="B156" s="2"/>
      <c r="C156" s="2"/>
      <c r="D156" s="2"/>
      <c r="E156" s="15"/>
      <c r="F156" s="15"/>
    </row>
    <row r="157" spans="1:6" x14ac:dyDescent="0.25">
      <c r="A157" s="6"/>
      <c r="B157" s="2"/>
      <c r="C157" s="2"/>
      <c r="D157" s="2"/>
      <c r="E157" s="15"/>
      <c r="F157" s="15"/>
    </row>
    <row r="158" spans="1:6" x14ac:dyDescent="0.25">
      <c r="A158" s="6"/>
      <c r="B158" s="2"/>
      <c r="C158" s="2"/>
      <c r="D158" s="2"/>
      <c r="E158" s="15"/>
      <c r="F158" s="15"/>
    </row>
    <row r="159" spans="1:6" x14ac:dyDescent="0.25">
      <c r="A159" s="6"/>
      <c r="B159" s="2"/>
      <c r="C159" s="2"/>
      <c r="D159" s="2"/>
      <c r="E159" s="15"/>
      <c r="F159" s="15"/>
    </row>
    <row r="160" spans="1:6" x14ac:dyDescent="0.25">
      <c r="A160" s="6"/>
      <c r="B160" s="2"/>
      <c r="C160" s="2"/>
      <c r="D160" s="2"/>
      <c r="E160" s="15"/>
      <c r="F160" s="15"/>
    </row>
    <row r="161" spans="1:6" x14ac:dyDescent="0.25">
      <c r="A161" s="6"/>
      <c r="B161" s="2"/>
      <c r="C161" s="2"/>
      <c r="D161" s="2"/>
      <c r="E161" s="15"/>
      <c r="F161" s="15"/>
    </row>
    <row r="162" spans="1:6" x14ac:dyDescent="0.25">
      <c r="A162" s="6"/>
      <c r="B162" s="2"/>
      <c r="C162" s="2"/>
      <c r="D162" s="2"/>
      <c r="E162" s="15"/>
      <c r="F162" s="15"/>
    </row>
    <row r="163" spans="1:6" x14ac:dyDescent="0.25">
      <c r="A163" s="6"/>
      <c r="B163" s="2"/>
      <c r="C163" s="2"/>
      <c r="D163" s="2"/>
      <c r="E163" s="15"/>
      <c r="F163" s="15"/>
    </row>
    <row r="164" spans="1:6" x14ac:dyDescent="0.25">
      <c r="A164" s="6"/>
      <c r="B164" s="2"/>
      <c r="C164" s="2"/>
      <c r="D164" s="2"/>
      <c r="E164" s="15"/>
      <c r="F164" s="15"/>
    </row>
    <row r="165" spans="1:6" x14ac:dyDescent="0.25">
      <c r="A165" s="6"/>
      <c r="B165" s="2"/>
      <c r="C165" s="2"/>
      <c r="D165" s="2"/>
      <c r="E165" s="15"/>
      <c r="F165" s="15"/>
    </row>
    <row r="166" spans="1:6" x14ac:dyDescent="0.25">
      <c r="A166" s="6"/>
      <c r="B166" s="2"/>
      <c r="C166" s="2"/>
      <c r="D166" s="2"/>
      <c r="E166" s="15"/>
      <c r="F166" s="15"/>
    </row>
    <row r="167" spans="1:6" x14ac:dyDescent="0.25">
      <c r="A167" s="6"/>
      <c r="B167" s="2"/>
      <c r="C167" s="2"/>
      <c r="D167" s="2"/>
      <c r="E167" s="15"/>
      <c r="F167" s="15"/>
    </row>
    <row r="168" spans="1:6" x14ac:dyDescent="0.25">
      <c r="A168" s="6"/>
      <c r="B168" s="2"/>
      <c r="C168" s="2"/>
      <c r="D168" s="2"/>
      <c r="E168" s="15"/>
      <c r="F168" s="15"/>
    </row>
    <row r="169" spans="1:6" x14ac:dyDescent="0.25">
      <c r="A169" s="6"/>
      <c r="B169" s="2"/>
      <c r="C169" s="2"/>
      <c r="D169" s="2"/>
      <c r="E169" s="15"/>
      <c r="F169" s="15"/>
    </row>
    <row r="170" spans="1:6" x14ac:dyDescent="0.25">
      <c r="A170" s="6"/>
      <c r="B170" s="2"/>
      <c r="C170" s="2"/>
      <c r="D170" s="2"/>
      <c r="E170" s="15"/>
      <c r="F170" s="15"/>
    </row>
    <row r="171" spans="1:6" x14ac:dyDescent="0.25">
      <c r="A171" s="6"/>
      <c r="B171" s="2"/>
      <c r="C171" s="2"/>
      <c r="D171" s="2"/>
      <c r="E171" s="15"/>
      <c r="F171" s="15"/>
    </row>
    <row r="172" spans="1:6" x14ac:dyDescent="0.25">
      <c r="A172" s="6"/>
      <c r="B172" s="2"/>
      <c r="C172" s="2"/>
      <c r="D172" s="2"/>
      <c r="E172" s="15"/>
      <c r="F172" s="15"/>
    </row>
    <row r="173" spans="1:6" x14ac:dyDescent="0.25">
      <c r="A173" s="6"/>
      <c r="B173" s="2"/>
      <c r="C173" s="2"/>
      <c r="D173" s="2"/>
      <c r="E173" s="15"/>
      <c r="F173" s="15"/>
    </row>
    <row r="174" spans="1:6" x14ac:dyDescent="0.25">
      <c r="A174" s="6"/>
      <c r="B174" s="2"/>
      <c r="C174" s="2"/>
      <c r="D174" s="2"/>
      <c r="E174" s="15"/>
      <c r="F174" s="15"/>
    </row>
    <row r="175" spans="1:6" x14ac:dyDescent="0.25">
      <c r="A175" s="6"/>
      <c r="B175" s="2"/>
      <c r="C175" s="2"/>
      <c r="D175" s="2"/>
      <c r="E175" s="15"/>
      <c r="F175" s="15"/>
    </row>
    <row r="176" spans="1:6" x14ac:dyDescent="0.25">
      <c r="A176" s="6"/>
      <c r="B176" s="2"/>
      <c r="C176" s="2"/>
      <c r="D176" s="2"/>
      <c r="E176" s="15"/>
      <c r="F176" s="15"/>
    </row>
    <row r="177" spans="1:6" x14ac:dyDescent="0.25">
      <c r="A177" s="6"/>
      <c r="B177" s="2"/>
      <c r="C177" s="2"/>
      <c r="D177" s="2"/>
      <c r="E177" s="15"/>
      <c r="F177" s="15"/>
    </row>
    <row r="178" spans="1:6" x14ac:dyDescent="0.25">
      <c r="A178" s="6"/>
      <c r="B178" s="2"/>
      <c r="C178" s="2"/>
      <c r="D178" s="2"/>
      <c r="E178" s="15"/>
      <c r="F178" s="15"/>
    </row>
    <row r="179" spans="1:6" x14ac:dyDescent="0.25">
      <c r="A179" s="6"/>
      <c r="B179" s="2"/>
      <c r="C179" s="2"/>
      <c r="D179" s="2"/>
      <c r="E179" s="15"/>
      <c r="F179" s="15"/>
    </row>
    <row r="180" spans="1:6" x14ac:dyDescent="0.25">
      <c r="A180" s="6"/>
      <c r="B180" s="2"/>
      <c r="C180" s="2"/>
      <c r="D180" s="2"/>
      <c r="E180" s="15"/>
      <c r="F180" s="15"/>
    </row>
    <row r="181" spans="1:6" x14ac:dyDescent="0.25">
      <c r="A181" s="6"/>
      <c r="B181" s="2"/>
      <c r="C181" s="2"/>
      <c r="D181" s="2"/>
      <c r="E181" s="15"/>
      <c r="F181" s="15"/>
    </row>
    <row r="182" spans="1:6" x14ac:dyDescent="0.25">
      <c r="A182" s="6"/>
      <c r="B182" s="2"/>
      <c r="C182" s="2"/>
      <c r="D182" s="2"/>
      <c r="E182" s="15"/>
      <c r="F182" s="15"/>
    </row>
    <row r="183" spans="1:6" x14ac:dyDescent="0.25">
      <c r="A183" s="6"/>
      <c r="B183" s="2"/>
      <c r="C183" s="2"/>
      <c r="D183" s="2"/>
      <c r="E183" s="15"/>
      <c r="F183" s="15"/>
    </row>
    <row r="184" spans="1:6" x14ac:dyDescent="0.25">
      <c r="A184" s="6"/>
      <c r="B184" s="2"/>
      <c r="C184" s="2"/>
      <c r="D184" s="2"/>
      <c r="E184" s="15"/>
      <c r="F184" s="15"/>
    </row>
    <row r="185" spans="1:6" x14ac:dyDescent="0.25">
      <c r="A185" s="6"/>
      <c r="B185" s="2"/>
      <c r="C185" s="2"/>
      <c r="D185" s="2"/>
      <c r="E185" s="15"/>
      <c r="F185" s="15"/>
    </row>
    <row r="186" spans="1:6" x14ac:dyDescent="0.25">
      <c r="A186" s="6"/>
      <c r="B186" s="2"/>
      <c r="C186" s="2"/>
      <c r="D186" s="2"/>
      <c r="E186" s="15"/>
      <c r="F186" s="15"/>
    </row>
    <row r="187" spans="1:6" x14ac:dyDescent="0.25">
      <c r="A187" s="6"/>
      <c r="B187" s="2"/>
      <c r="C187" s="2"/>
      <c r="D187" s="2"/>
      <c r="E187" s="15"/>
      <c r="F187" s="15"/>
    </row>
    <row r="188" spans="1:6" x14ac:dyDescent="0.25">
      <c r="A188" s="6"/>
      <c r="B188" s="2"/>
      <c r="C188" s="2"/>
      <c r="D188" s="2"/>
      <c r="E188" s="15"/>
      <c r="F188" s="15"/>
    </row>
    <row r="189" spans="1:6" x14ac:dyDescent="0.25">
      <c r="A189" s="6"/>
      <c r="B189" s="2"/>
      <c r="C189" s="2"/>
      <c r="D189" s="2"/>
      <c r="E189" s="15"/>
      <c r="F189" s="15"/>
    </row>
    <row r="190" spans="1:6" x14ac:dyDescent="0.25">
      <c r="A190" s="6"/>
      <c r="B190" s="2"/>
      <c r="C190" s="2"/>
      <c r="D190" s="2"/>
      <c r="E190" s="15"/>
      <c r="F190" s="15"/>
    </row>
    <row r="191" spans="1:6" x14ac:dyDescent="0.25">
      <c r="A191" s="6"/>
      <c r="B191" s="2"/>
      <c r="C191" s="2"/>
      <c r="D191" s="2"/>
      <c r="E191" s="15"/>
      <c r="F191" s="15"/>
    </row>
    <row r="192" spans="1:6" x14ac:dyDescent="0.25">
      <c r="A192" s="6"/>
      <c r="B192" s="2"/>
      <c r="C192" s="2"/>
      <c r="D192" s="2"/>
      <c r="E192" s="15"/>
      <c r="F192" s="15"/>
    </row>
    <row r="193" spans="1:6" x14ac:dyDescent="0.25">
      <c r="A193" s="6"/>
      <c r="B193" s="2"/>
      <c r="C193" s="2"/>
      <c r="D193" s="2"/>
      <c r="E193" s="15"/>
      <c r="F193" s="15"/>
    </row>
    <row r="194" spans="1:6" x14ac:dyDescent="0.25">
      <c r="A194" s="6"/>
      <c r="B194" s="2"/>
      <c r="C194" s="2"/>
      <c r="D194" s="2"/>
      <c r="E194" s="15"/>
      <c r="F194" s="15"/>
    </row>
    <row r="195" spans="1:6" x14ac:dyDescent="0.25">
      <c r="A195" s="6"/>
      <c r="B195" s="2"/>
      <c r="C195" s="2"/>
      <c r="D195" s="2"/>
      <c r="E195" s="15"/>
      <c r="F195" s="15"/>
    </row>
    <row r="196" spans="1:6" x14ac:dyDescent="0.25">
      <c r="A196" s="6"/>
      <c r="B196" s="2"/>
      <c r="C196" s="2"/>
      <c r="D196" s="2"/>
      <c r="E196" s="15"/>
      <c r="F196" s="15"/>
    </row>
    <row r="197" spans="1:6" x14ac:dyDescent="0.25">
      <c r="A197" s="6"/>
      <c r="B197" s="2"/>
      <c r="C197" s="2"/>
      <c r="D197" s="2"/>
      <c r="E197" s="15"/>
      <c r="F197" s="15"/>
    </row>
    <row r="198" spans="1:6" x14ac:dyDescent="0.25">
      <c r="A198" s="6"/>
      <c r="B198" s="2"/>
      <c r="C198" s="2"/>
      <c r="D198" s="2"/>
      <c r="E198" s="15"/>
      <c r="F198" s="15"/>
    </row>
    <row r="199" spans="1:6" x14ac:dyDescent="0.25">
      <c r="A199" s="6"/>
      <c r="B199" s="2"/>
      <c r="C199" s="2"/>
      <c r="D199" s="2"/>
      <c r="E199" s="15"/>
      <c r="F199" s="15"/>
    </row>
    <row r="200" spans="1:6" x14ac:dyDescent="0.25">
      <c r="A200" s="6"/>
      <c r="B200" s="2"/>
      <c r="C200" s="2"/>
      <c r="D200" s="2"/>
      <c r="E200" s="15"/>
      <c r="F200" s="15"/>
    </row>
    <row r="201" spans="1:6" x14ac:dyDescent="0.25">
      <c r="A201" s="6"/>
      <c r="B201" s="2"/>
      <c r="C201" s="2"/>
      <c r="D201" s="2"/>
      <c r="E201" s="15"/>
      <c r="F201" s="15"/>
    </row>
    <row r="202" spans="1:6" x14ac:dyDescent="0.25">
      <c r="A202" s="6"/>
      <c r="B202" s="2"/>
      <c r="C202" s="2"/>
      <c r="D202" s="2"/>
      <c r="E202" s="15"/>
      <c r="F202" s="15"/>
    </row>
    <row r="203" spans="1:6" x14ac:dyDescent="0.25">
      <c r="A203" s="6"/>
      <c r="B203" s="2"/>
      <c r="C203" s="2"/>
      <c r="D203" s="2"/>
      <c r="E203" s="15"/>
      <c r="F203" s="15"/>
    </row>
    <row r="204" spans="1:6" x14ac:dyDescent="0.25">
      <c r="A204" s="6"/>
      <c r="B204" s="2"/>
      <c r="C204" s="2"/>
      <c r="D204" s="2"/>
      <c r="E204" s="15"/>
      <c r="F204" s="15"/>
    </row>
    <row r="205" spans="1:6" x14ac:dyDescent="0.25">
      <c r="A205" s="6"/>
      <c r="B205" s="2"/>
      <c r="C205" s="2"/>
      <c r="D205" s="2"/>
      <c r="E205" s="15"/>
      <c r="F205" s="15"/>
    </row>
    <row r="206" spans="1:6" x14ac:dyDescent="0.25">
      <c r="A206" s="6"/>
      <c r="B206" s="2"/>
      <c r="C206" s="2"/>
      <c r="D206" s="2"/>
      <c r="E206" s="15"/>
      <c r="F206" s="15"/>
    </row>
    <row r="207" spans="1:6" x14ac:dyDescent="0.25">
      <c r="A207" s="6"/>
      <c r="B207" s="2"/>
      <c r="C207" s="2"/>
      <c r="D207" s="2"/>
      <c r="E207" s="15"/>
      <c r="F207" s="15"/>
    </row>
    <row r="208" spans="1:6" x14ac:dyDescent="0.25">
      <c r="A208" s="6"/>
      <c r="B208" s="2"/>
      <c r="C208" s="2"/>
      <c r="D208" s="2"/>
      <c r="E208" s="15"/>
      <c r="F208" s="15"/>
    </row>
    <row r="209" spans="1:6" x14ac:dyDescent="0.25">
      <c r="A209" s="6"/>
      <c r="B209" s="2"/>
      <c r="C209" s="2"/>
      <c r="D209" s="2"/>
      <c r="E209" s="15"/>
      <c r="F209" s="15"/>
    </row>
    <row r="210" spans="1:6" x14ac:dyDescent="0.25">
      <c r="A210" s="6"/>
      <c r="B210" s="2"/>
      <c r="C210" s="2"/>
      <c r="D210" s="2"/>
      <c r="E210" s="15"/>
      <c r="F210" s="15"/>
    </row>
    <row r="211" spans="1:6" x14ac:dyDescent="0.25">
      <c r="A211" s="6"/>
      <c r="B211" s="2"/>
      <c r="C211" s="2"/>
      <c r="D211" s="2"/>
      <c r="E211" s="15"/>
      <c r="F211" s="15"/>
    </row>
    <row r="212" spans="1:6" x14ac:dyDescent="0.25">
      <c r="A212" s="6"/>
      <c r="B212" s="2"/>
      <c r="C212" s="2"/>
      <c r="D212" s="2"/>
      <c r="E212" s="15"/>
      <c r="F212" s="15"/>
    </row>
    <row r="213" spans="1:6" x14ac:dyDescent="0.25">
      <c r="A213" s="6"/>
      <c r="B213" s="2"/>
      <c r="C213" s="2"/>
      <c r="D213" s="2"/>
      <c r="E213" s="15"/>
      <c r="F213" s="15"/>
    </row>
    <row r="214" spans="1:6" x14ac:dyDescent="0.25">
      <c r="A214" s="6"/>
      <c r="B214" s="2"/>
      <c r="C214" s="2"/>
      <c r="D214" s="2"/>
      <c r="E214" s="15"/>
      <c r="F214" s="15"/>
    </row>
    <row r="215" spans="1:6" x14ac:dyDescent="0.25">
      <c r="A215" s="6"/>
      <c r="B215" s="2"/>
      <c r="C215" s="2"/>
      <c r="D215" s="2"/>
      <c r="E215" s="15"/>
      <c r="F215" s="15"/>
    </row>
    <row r="216" spans="1:6" x14ac:dyDescent="0.25">
      <c r="A216" s="6"/>
      <c r="B216" s="2"/>
      <c r="C216" s="2"/>
      <c r="D216" s="2"/>
      <c r="E216" s="15"/>
      <c r="F216" s="15"/>
    </row>
    <row r="217" spans="1:6" x14ac:dyDescent="0.25">
      <c r="A217" s="6"/>
      <c r="B217" s="2"/>
      <c r="C217" s="2"/>
      <c r="D217" s="2"/>
      <c r="E217" s="15"/>
      <c r="F217" s="15"/>
    </row>
    <row r="218" spans="1:6" x14ac:dyDescent="0.25">
      <c r="A218" s="6"/>
      <c r="B218" s="2"/>
      <c r="C218" s="2"/>
      <c r="D218" s="2"/>
      <c r="E218" s="15"/>
      <c r="F218" s="15"/>
    </row>
    <row r="219" spans="1:6" x14ac:dyDescent="0.25">
      <c r="A219" s="6"/>
      <c r="B219" s="2"/>
      <c r="C219" s="2"/>
      <c r="D219" s="2"/>
      <c r="E219" s="15"/>
      <c r="F219" s="15"/>
    </row>
    <row r="220" spans="1:6" x14ac:dyDescent="0.25">
      <c r="A220" s="6"/>
      <c r="B220" s="2"/>
      <c r="C220" s="2"/>
      <c r="D220" s="2"/>
      <c r="E220" s="15"/>
      <c r="F220" s="15"/>
    </row>
    <row r="221" spans="1:6" x14ac:dyDescent="0.25">
      <c r="A221" s="6"/>
      <c r="B221" s="2"/>
      <c r="C221" s="2"/>
      <c r="D221" s="2"/>
      <c r="E221" s="15"/>
      <c r="F221" s="15"/>
    </row>
    <row r="222" spans="1:6" x14ac:dyDescent="0.25">
      <c r="A222" s="6"/>
      <c r="B222" s="2"/>
      <c r="C222" s="2"/>
      <c r="D222" s="2"/>
      <c r="E222" s="15"/>
      <c r="F222" s="15"/>
    </row>
    <row r="223" spans="1:6" x14ac:dyDescent="0.25">
      <c r="A223" s="6"/>
      <c r="B223" s="2"/>
      <c r="C223" s="2"/>
      <c r="D223" s="2"/>
      <c r="E223" s="15"/>
      <c r="F223" s="15"/>
    </row>
    <row r="224" spans="1:6" x14ac:dyDescent="0.25">
      <c r="A224" s="6"/>
      <c r="B224" s="2"/>
      <c r="C224" s="2"/>
      <c r="D224" s="2"/>
      <c r="E224" s="15"/>
      <c r="F224" s="15"/>
    </row>
    <row r="225" spans="1:6" x14ac:dyDescent="0.25">
      <c r="A225" s="6"/>
      <c r="B225" s="2"/>
      <c r="C225" s="2"/>
      <c r="D225" s="2"/>
      <c r="E225" s="15"/>
      <c r="F225" s="15"/>
    </row>
    <row r="226" spans="1:6" x14ac:dyDescent="0.25">
      <c r="A226" s="6"/>
      <c r="B226" s="2"/>
      <c r="C226" s="2"/>
      <c r="D226" s="2"/>
      <c r="E226" s="15"/>
      <c r="F226" s="15"/>
    </row>
    <row r="227" spans="1:6" x14ac:dyDescent="0.25">
      <c r="A227" s="6"/>
      <c r="B227" s="2"/>
      <c r="C227" s="2"/>
      <c r="D227" s="2"/>
      <c r="E227" s="15"/>
      <c r="F227" s="15"/>
    </row>
    <row r="228" spans="1:6" x14ac:dyDescent="0.25">
      <c r="A228" s="6"/>
      <c r="B228" s="2"/>
      <c r="C228" s="2"/>
      <c r="D228" s="2"/>
      <c r="E228" s="15"/>
      <c r="F228" s="15"/>
    </row>
    <row r="229" spans="1:6" x14ac:dyDescent="0.25">
      <c r="A229" s="6"/>
      <c r="B229" s="2"/>
      <c r="C229" s="2"/>
      <c r="D229" s="2"/>
      <c r="E229" s="15"/>
      <c r="F229" s="15"/>
    </row>
    <row r="230" spans="1:6" x14ac:dyDescent="0.25">
      <c r="A230" s="6"/>
      <c r="B230" s="2"/>
      <c r="C230" s="2"/>
      <c r="D230" s="2"/>
      <c r="E230" s="15"/>
      <c r="F230" s="15"/>
    </row>
    <row r="231" spans="1:6" x14ac:dyDescent="0.25">
      <c r="A231" s="6"/>
      <c r="B231" s="2"/>
      <c r="C231" s="2"/>
      <c r="D231" s="2"/>
      <c r="E231" s="15"/>
      <c r="F231" s="15"/>
    </row>
    <row r="232" spans="1:6" x14ac:dyDescent="0.25">
      <c r="A232" s="6"/>
      <c r="B232" s="2"/>
      <c r="C232" s="2"/>
      <c r="D232" s="2"/>
      <c r="E232" s="15"/>
      <c r="F232" s="15"/>
    </row>
    <row r="233" spans="1:6" x14ac:dyDescent="0.25">
      <c r="A233" s="6"/>
      <c r="B233" s="2"/>
      <c r="C233" s="2"/>
      <c r="D233" s="2"/>
      <c r="E233" s="15"/>
      <c r="F233" s="15"/>
    </row>
    <row r="234" spans="1:6" x14ac:dyDescent="0.25">
      <c r="A234" s="6"/>
      <c r="B234" s="2"/>
      <c r="C234" s="2"/>
      <c r="D234" s="2"/>
      <c r="E234" s="15"/>
      <c r="F234" s="15"/>
    </row>
    <row r="235" spans="1:6" x14ac:dyDescent="0.25">
      <c r="A235" s="6"/>
      <c r="B235" s="2"/>
      <c r="C235" s="2"/>
      <c r="D235" s="2"/>
      <c r="E235" s="15"/>
      <c r="F235" s="15"/>
    </row>
    <row r="236" spans="1:6" x14ac:dyDescent="0.25">
      <c r="A236" s="6"/>
      <c r="B236" s="2"/>
      <c r="C236" s="2"/>
      <c r="D236" s="2"/>
      <c r="E236" s="15"/>
      <c r="F236" s="15"/>
    </row>
    <row r="237" spans="1:6" x14ac:dyDescent="0.25">
      <c r="A237" s="6"/>
      <c r="B237" s="2"/>
      <c r="C237" s="2"/>
      <c r="D237" s="2"/>
      <c r="E237" s="15"/>
      <c r="F237" s="15"/>
    </row>
    <row r="238" spans="1:6" x14ac:dyDescent="0.25">
      <c r="A238" s="6"/>
      <c r="B238" s="2"/>
      <c r="C238" s="2"/>
      <c r="D238" s="2"/>
      <c r="E238" s="15"/>
      <c r="F238" s="15"/>
    </row>
    <row r="239" spans="1:6" x14ac:dyDescent="0.25">
      <c r="A239" s="6"/>
      <c r="B239" s="2"/>
      <c r="C239" s="2"/>
      <c r="D239" s="2"/>
      <c r="E239" s="15"/>
      <c r="F239" s="15"/>
    </row>
    <row r="240" spans="1:6" x14ac:dyDescent="0.25">
      <c r="A240" s="6"/>
      <c r="B240" s="2"/>
      <c r="C240" s="2"/>
      <c r="D240" s="2"/>
      <c r="E240" s="15"/>
      <c r="F240" s="15"/>
    </row>
    <row r="241" spans="1:6" x14ac:dyDescent="0.25">
      <c r="A241" s="6"/>
      <c r="B241" s="2"/>
      <c r="C241" s="2"/>
      <c r="D241" s="2"/>
      <c r="E241" s="15"/>
      <c r="F241" s="15"/>
    </row>
    <row r="242" spans="1:6" x14ac:dyDescent="0.25">
      <c r="A242" s="6"/>
      <c r="B242" s="2"/>
      <c r="C242" s="2"/>
      <c r="D242" s="2"/>
      <c r="E242" s="15"/>
      <c r="F242" s="15"/>
    </row>
    <row r="243" spans="1:6" x14ac:dyDescent="0.25">
      <c r="A243" s="6"/>
      <c r="B243" s="2"/>
      <c r="C243" s="2"/>
      <c r="D243" s="2"/>
      <c r="E243" s="15"/>
      <c r="F243" s="15"/>
    </row>
    <row r="244" spans="1:6" x14ac:dyDescent="0.25">
      <c r="A244" s="6"/>
      <c r="B244" s="2"/>
      <c r="C244" s="2"/>
      <c r="D244" s="2"/>
      <c r="E244" s="15"/>
      <c r="F244" s="15"/>
    </row>
    <row r="245" spans="1:6" x14ac:dyDescent="0.25">
      <c r="A245" s="6"/>
      <c r="B245" s="2"/>
      <c r="C245" s="2"/>
      <c r="D245" s="2"/>
      <c r="E245" s="15"/>
      <c r="F245" s="15"/>
    </row>
    <row r="246" spans="1:6" x14ac:dyDescent="0.25">
      <c r="A246" s="6"/>
      <c r="B246" s="2"/>
      <c r="C246" s="2"/>
      <c r="D246" s="2"/>
      <c r="E246" s="15"/>
      <c r="F246" s="15"/>
    </row>
    <row r="247" spans="1:6" x14ac:dyDescent="0.25">
      <c r="A247" s="6"/>
      <c r="B247" s="2"/>
      <c r="C247" s="2"/>
      <c r="D247" s="2"/>
      <c r="E247" s="15"/>
      <c r="F247" s="15"/>
    </row>
    <row r="248" spans="1:6" x14ac:dyDescent="0.25">
      <c r="A248" s="6"/>
      <c r="B248" s="2"/>
      <c r="C248" s="2"/>
      <c r="D248" s="2"/>
      <c r="E248" s="15"/>
      <c r="F248" s="15"/>
    </row>
    <row r="249" spans="1:6" x14ac:dyDescent="0.25">
      <c r="A249" s="6"/>
      <c r="B249" s="2"/>
      <c r="C249" s="2"/>
      <c r="D249" s="2"/>
      <c r="E249" s="15"/>
      <c r="F249" s="15"/>
    </row>
    <row r="250" spans="1:6" x14ac:dyDescent="0.25">
      <c r="A250" s="6"/>
      <c r="B250" s="2"/>
      <c r="C250" s="2"/>
      <c r="D250" s="2"/>
      <c r="E250" s="15"/>
      <c r="F250" s="15"/>
    </row>
    <row r="251" spans="1:6" x14ac:dyDescent="0.25">
      <c r="A251" s="6"/>
      <c r="B251" s="2"/>
      <c r="C251" s="2"/>
      <c r="D251" s="2"/>
      <c r="E251" s="15"/>
      <c r="F251" s="15"/>
    </row>
    <row r="252" spans="1:6" x14ac:dyDescent="0.25">
      <c r="A252" s="6"/>
      <c r="B252" s="2"/>
      <c r="C252" s="2"/>
      <c r="D252" s="2"/>
      <c r="E252" s="15"/>
      <c r="F252" s="15"/>
    </row>
    <row r="253" spans="1:6" x14ac:dyDescent="0.25">
      <c r="A253" s="6"/>
      <c r="B253" s="2"/>
      <c r="C253" s="2"/>
      <c r="D253" s="2"/>
      <c r="E253" s="15"/>
      <c r="F253" s="15"/>
    </row>
    <row r="254" spans="1:6" x14ac:dyDescent="0.25">
      <c r="A254" s="6"/>
      <c r="B254" s="2"/>
      <c r="C254" s="2"/>
      <c r="D254" s="2"/>
      <c r="E254" s="15"/>
      <c r="F254" s="15"/>
    </row>
    <row r="255" spans="1:6" x14ac:dyDescent="0.25">
      <c r="A255" s="6"/>
      <c r="B255" s="2"/>
      <c r="C255" s="2"/>
      <c r="D255" s="2"/>
      <c r="E255" s="15"/>
      <c r="F255" s="15"/>
    </row>
    <row r="256" spans="1:6" x14ac:dyDescent="0.25">
      <c r="A256" s="6"/>
      <c r="B256" s="2"/>
      <c r="C256" s="2"/>
      <c r="D256" s="2"/>
      <c r="E256" s="15"/>
      <c r="F256" s="15"/>
    </row>
    <row r="257" spans="1:6" x14ac:dyDescent="0.25">
      <c r="A257" s="6"/>
      <c r="B257" s="2"/>
      <c r="C257" s="2"/>
      <c r="D257" s="2"/>
      <c r="E257" s="15"/>
      <c r="F257" s="15"/>
    </row>
    <row r="258" spans="1:6" x14ac:dyDescent="0.25">
      <c r="A258" s="6"/>
      <c r="B258" s="2"/>
      <c r="C258" s="2"/>
      <c r="D258" s="2"/>
      <c r="E258" s="15"/>
      <c r="F258" s="15"/>
    </row>
    <row r="259" spans="1:6" x14ac:dyDescent="0.25">
      <c r="A259" s="6"/>
      <c r="B259" s="2"/>
      <c r="C259" s="2"/>
      <c r="D259" s="2"/>
      <c r="E259" s="15"/>
      <c r="F259" s="15"/>
    </row>
    <row r="260" spans="1:6" x14ac:dyDescent="0.25">
      <c r="A260" s="6"/>
      <c r="B260" s="2"/>
      <c r="C260" s="2"/>
      <c r="D260" s="2"/>
      <c r="E260" s="15"/>
      <c r="F260" s="15"/>
    </row>
    <row r="261" spans="1:6" x14ac:dyDescent="0.25">
      <c r="A261" s="6"/>
      <c r="B261" s="2"/>
      <c r="C261" s="2"/>
      <c r="D261" s="2"/>
      <c r="E261" s="15"/>
      <c r="F261" s="15"/>
    </row>
    <row r="262" spans="1:6" x14ac:dyDescent="0.25">
      <c r="A262" s="6"/>
      <c r="B262" s="2"/>
      <c r="C262" s="2"/>
      <c r="D262" s="2"/>
      <c r="E262" s="15"/>
      <c r="F262" s="15"/>
    </row>
    <row r="263" spans="1:6" x14ac:dyDescent="0.25">
      <c r="A263" s="6"/>
      <c r="B263" s="2"/>
      <c r="C263" s="2"/>
      <c r="D263" s="2"/>
      <c r="E263" s="15"/>
      <c r="F263" s="15"/>
    </row>
    <row r="264" spans="1:6" x14ac:dyDescent="0.25">
      <c r="A264" s="6"/>
      <c r="B264" s="2"/>
      <c r="C264" s="2"/>
      <c r="D264" s="2"/>
      <c r="E264" s="15"/>
      <c r="F264" s="15"/>
    </row>
    <row r="265" spans="1:6" x14ac:dyDescent="0.25">
      <c r="A265" s="6"/>
      <c r="B265" s="2"/>
      <c r="C265" s="2"/>
      <c r="D265" s="2"/>
      <c r="E265" s="15"/>
      <c r="F265" s="15"/>
    </row>
    <row r="266" spans="1:6" x14ac:dyDescent="0.25">
      <c r="A266" s="6"/>
      <c r="B266" s="2"/>
      <c r="C266" s="2"/>
      <c r="D266" s="2"/>
      <c r="E266" s="15"/>
      <c r="F266" s="15"/>
    </row>
    <row r="267" spans="1:6" x14ac:dyDescent="0.25">
      <c r="A267" s="6"/>
      <c r="B267" s="2"/>
      <c r="C267" s="2"/>
      <c r="D267" s="2"/>
      <c r="E267" s="15"/>
      <c r="F267" s="15"/>
    </row>
    <row r="268" spans="1:6" x14ac:dyDescent="0.25">
      <c r="A268" s="6"/>
      <c r="B268" s="2"/>
      <c r="C268" s="2"/>
      <c r="D268" s="2"/>
      <c r="E268" s="15"/>
      <c r="F268" s="15"/>
    </row>
    <row r="269" spans="1:6" x14ac:dyDescent="0.25">
      <c r="A269" s="6"/>
      <c r="B269" s="2"/>
      <c r="C269" s="2"/>
      <c r="D269" s="2"/>
      <c r="E269" s="15"/>
      <c r="F269" s="15"/>
    </row>
    <row r="270" spans="1:6" x14ac:dyDescent="0.25">
      <c r="A270" s="6"/>
      <c r="B270" s="2"/>
      <c r="C270" s="2"/>
      <c r="D270" s="2"/>
      <c r="E270" s="15"/>
      <c r="F270" s="15"/>
    </row>
    <row r="271" spans="1:6" x14ac:dyDescent="0.25">
      <c r="A271" s="6"/>
      <c r="B271" s="2"/>
      <c r="C271" s="2"/>
      <c r="D271" s="2"/>
      <c r="E271" s="15"/>
      <c r="F271" s="15"/>
    </row>
    <row r="272" spans="1:6" x14ac:dyDescent="0.25">
      <c r="A272" s="6"/>
      <c r="B272" s="2"/>
      <c r="C272" s="2"/>
      <c r="D272" s="2"/>
      <c r="E272" s="15"/>
      <c r="F272" s="15"/>
    </row>
    <row r="273" spans="1:6" x14ac:dyDescent="0.25">
      <c r="A273" s="6"/>
      <c r="B273" s="2"/>
      <c r="C273" s="2"/>
      <c r="D273" s="2"/>
      <c r="E273" s="15"/>
      <c r="F273" s="15"/>
    </row>
    <row r="274" spans="1:6" x14ac:dyDescent="0.25">
      <c r="A274" s="6"/>
      <c r="B274" s="2"/>
      <c r="C274" s="2"/>
      <c r="D274" s="2"/>
      <c r="E274" s="15"/>
      <c r="F274" s="15"/>
    </row>
    <row r="275" spans="1:6" x14ac:dyDescent="0.25">
      <c r="A275" s="6"/>
      <c r="B275" s="2"/>
      <c r="C275" s="2"/>
      <c r="D275" s="2"/>
      <c r="E275" s="15"/>
      <c r="F275" s="15"/>
    </row>
    <row r="276" spans="1:6" x14ac:dyDescent="0.25">
      <c r="A276" s="6"/>
      <c r="B276" s="2"/>
      <c r="C276" s="2"/>
      <c r="D276" s="2"/>
      <c r="E276" s="15"/>
      <c r="F276" s="15"/>
    </row>
    <row r="277" spans="1:6" x14ac:dyDescent="0.25">
      <c r="A277" s="6"/>
      <c r="B277" s="2"/>
      <c r="C277" s="2"/>
      <c r="D277" s="2"/>
      <c r="E277" s="15"/>
      <c r="F277" s="15"/>
    </row>
    <row r="278" spans="1:6" x14ac:dyDescent="0.25">
      <c r="A278" s="6"/>
      <c r="B278" s="2"/>
      <c r="C278" s="2"/>
      <c r="D278" s="2"/>
      <c r="E278" s="15"/>
      <c r="F278" s="15"/>
    </row>
    <row r="279" spans="1:6" x14ac:dyDescent="0.25">
      <c r="A279" s="6"/>
      <c r="B279" s="2"/>
      <c r="C279" s="2"/>
      <c r="D279" s="2"/>
      <c r="E279" s="15"/>
      <c r="F279" s="15"/>
    </row>
    <row r="280" spans="1:6" x14ac:dyDescent="0.25">
      <c r="A280" s="6"/>
      <c r="B280" s="2"/>
      <c r="C280" s="2"/>
      <c r="D280" s="2"/>
      <c r="E280" s="15"/>
      <c r="F280" s="15"/>
    </row>
    <row r="281" spans="1:6" x14ac:dyDescent="0.25">
      <c r="A281" s="6"/>
      <c r="B281" s="2"/>
      <c r="C281" s="2"/>
      <c r="D281" s="2"/>
      <c r="E281" s="15"/>
      <c r="F281" s="15"/>
    </row>
    <row r="282" spans="1:6" x14ac:dyDescent="0.25">
      <c r="A282" s="6"/>
      <c r="B282" s="2"/>
      <c r="C282" s="2"/>
      <c r="D282" s="2"/>
      <c r="E282" s="15"/>
      <c r="F282" s="15"/>
    </row>
    <row r="283" spans="1:6" x14ac:dyDescent="0.25">
      <c r="A283" s="6"/>
      <c r="B283" s="2"/>
      <c r="C283" s="2"/>
      <c r="D283" s="2"/>
      <c r="E283" s="15"/>
      <c r="F283" s="15"/>
    </row>
    <row r="284" spans="1:6" x14ac:dyDescent="0.25">
      <c r="A284" s="6"/>
      <c r="B284" s="2"/>
      <c r="C284" s="2"/>
      <c r="D284" s="2"/>
      <c r="E284" s="15"/>
      <c r="F284" s="15"/>
    </row>
    <row r="285" spans="1:6" x14ac:dyDescent="0.25">
      <c r="A285" s="6"/>
      <c r="B285" s="2"/>
      <c r="C285" s="2"/>
      <c r="D285" s="2"/>
      <c r="E285" s="15"/>
      <c r="F285" s="15"/>
    </row>
    <row r="286" spans="1:6" x14ac:dyDescent="0.25">
      <c r="A286" s="6"/>
      <c r="B286" s="2"/>
      <c r="C286" s="2"/>
      <c r="D286" s="2"/>
      <c r="E286" s="15"/>
      <c r="F286" s="15"/>
    </row>
    <row r="287" spans="1:6" x14ac:dyDescent="0.25">
      <c r="A287" s="6"/>
      <c r="B287" s="2"/>
      <c r="C287" s="2"/>
      <c r="D287" s="2"/>
      <c r="E287" s="15"/>
      <c r="F287" s="15"/>
    </row>
    <row r="288" spans="1:6" x14ac:dyDescent="0.25">
      <c r="A288" s="6"/>
      <c r="B288" s="2"/>
      <c r="C288" s="2"/>
      <c r="D288" s="2"/>
      <c r="E288" s="15"/>
      <c r="F288" s="15"/>
    </row>
    <row r="289" spans="1:6" x14ac:dyDescent="0.25">
      <c r="A289" s="6"/>
      <c r="B289" s="2"/>
      <c r="C289" s="2"/>
      <c r="D289" s="2"/>
      <c r="E289" s="15"/>
      <c r="F289" s="15"/>
    </row>
    <row r="290" spans="1:6" x14ac:dyDescent="0.25">
      <c r="A290" s="6"/>
      <c r="B290" s="2"/>
      <c r="C290" s="2"/>
      <c r="D290" s="2"/>
      <c r="E290" s="15"/>
      <c r="F290" s="15"/>
    </row>
    <row r="291" spans="1:6" x14ac:dyDescent="0.25">
      <c r="A291" s="6"/>
      <c r="B291" s="2"/>
      <c r="C291" s="2"/>
      <c r="D291" s="2"/>
      <c r="E291" s="15"/>
      <c r="F291" s="15"/>
    </row>
    <row r="292" spans="1:6" x14ac:dyDescent="0.25">
      <c r="A292" s="6"/>
      <c r="B292" s="2"/>
      <c r="C292" s="2"/>
      <c r="D292" s="2"/>
      <c r="E292" s="15"/>
      <c r="F292" s="15"/>
    </row>
    <row r="293" spans="1:6" x14ac:dyDescent="0.25">
      <c r="A293" s="6"/>
      <c r="B293" s="2"/>
      <c r="C293" s="2"/>
      <c r="D293" s="2"/>
      <c r="E293" s="15"/>
      <c r="F293" s="15"/>
    </row>
    <row r="294" spans="1:6" x14ac:dyDescent="0.25">
      <c r="A294" s="6"/>
      <c r="B294" s="2"/>
      <c r="C294" s="2"/>
      <c r="D294" s="2"/>
      <c r="E294" s="15"/>
      <c r="F294" s="15"/>
    </row>
    <row r="295" spans="1:6" x14ac:dyDescent="0.25">
      <c r="A295" s="6"/>
      <c r="B295" s="2"/>
      <c r="C295" s="2"/>
      <c r="D295" s="2"/>
      <c r="E295" s="15"/>
      <c r="F295" s="15"/>
    </row>
    <row r="296" spans="1:6" x14ac:dyDescent="0.25">
      <c r="A296" s="6"/>
      <c r="B296" s="2"/>
      <c r="C296" s="2"/>
      <c r="D296" s="2"/>
      <c r="E296" s="15"/>
      <c r="F296" s="15"/>
    </row>
    <row r="297" spans="1:6" x14ac:dyDescent="0.25">
      <c r="A297" s="6"/>
      <c r="B297" s="2"/>
      <c r="C297" s="2"/>
      <c r="D297" s="2"/>
      <c r="E297" s="15"/>
      <c r="F297" s="15"/>
    </row>
    <row r="298" spans="1:6" x14ac:dyDescent="0.25">
      <c r="A298" s="6"/>
      <c r="B298" s="2"/>
      <c r="C298" s="2"/>
      <c r="D298" s="2"/>
      <c r="E298" s="15"/>
      <c r="F298" s="15"/>
    </row>
    <row r="299" spans="1:6" x14ac:dyDescent="0.25">
      <c r="A299" s="6"/>
      <c r="B299" s="2"/>
      <c r="C299" s="2"/>
      <c r="D299" s="2"/>
      <c r="E299" s="15"/>
      <c r="F299" s="15"/>
    </row>
    <row r="300" spans="1:6" x14ac:dyDescent="0.25">
      <c r="A300" s="6"/>
      <c r="B300" s="2"/>
      <c r="C300" s="2"/>
      <c r="D300" s="2"/>
      <c r="E300" s="15"/>
      <c r="F300" s="15"/>
    </row>
    <row r="301" spans="1:6" x14ac:dyDescent="0.25">
      <c r="A301" s="6"/>
      <c r="B301" s="2"/>
      <c r="C301" s="2"/>
      <c r="D301" s="2"/>
      <c r="E301" s="15"/>
      <c r="F301" s="15"/>
    </row>
    <row r="302" spans="1:6" x14ac:dyDescent="0.25">
      <c r="A302" s="6"/>
      <c r="B302" s="2"/>
      <c r="C302" s="2"/>
      <c r="D302" s="2"/>
      <c r="E302" s="15"/>
      <c r="F302" s="15"/>
    </row>
    <row r="303" spans="1:6" x14ac:dyDescent="0.25">
      <c r="A303" s="6"/>
      <c r="B303" s="2"/>
      <c r="C303" s="2"/>
      <c r="D303" s="2"/>
      <c r="E303" s="15"/>
      <c r="F303" s="15"/>
    </row>
    <row r="304" spans="1:6" x14ac:dyDescent="0.25">
      <c r="A304" s="6"/>
      <c r="B304" s="2"/>
      <c r="C304" s="2"/>
      <c r="D304" s="2"/>
      <c r="E304" s="15"/>
      <c r="F304" s="15"/>
    </row>
    <row r="305" spans="1:6" x14ac:dyDescent="0.25">
      <c r="A305" s="6"/>
      <c r="B305" s="2"/>
      <c r="C305" s="2"/>
      <c r="D305" s="2"/>
      <c r="E305" s="15"/>
      <c r="F305" s="15"/>
    </row>
    <row r="306" spans="1:6" x14ac:dyDescent="0.25">
      <c r="A306" s="6"/>
      <c r="B306" s="2"/>
      <c r="C306" s="2"/>
      <c r="D306" s="2"/>
      <c r="E306" s="15"/>
      <c r="F306" s="15"/>
    </row>
    <row r="307" spans="1:6" x14ac:dyDescent="0.25">
      <c r="A307" s="6"/>
      <c r="B307" s="2"/>
      <c r="C307" s="2"/>
      <c r="D307" s="2"/>
      <c r="E307" s="15"/>
      <c r="F307" s="15"/>
    </row>
    <row r="308" spans="1:6" x14ac:dyDescent="0.25">
      <c r="A308" s="6"/>
      <c r="B308" s="2"/>
      <c r="C308" s="2"/>
      <c r="D308" s="2"/>
      <c r="E308" s="15"/>
      <c r="F308" s="15"/>
    </row>
    <row r="309" spans="1:6" x14ac:dyDescent="0.25">
      <c r="A309" s="6"/>
      <c r="B309" s="2"/>
      <c r="C309" s="2"/>
      <c r="D309" s="2"/>
      <c r="E309" s="15"/>
      <c r="F309" s="15"/>
    </row>
    <row r="310" spans="1:6" x14ac:dyDescent="0.25">
      <c r="A310" s="6"/>
      <c r="B310" s="2"/>
      <c r="C310" s="2"/>
      <c r="D310" s="2"/>
      <c r="E310" s="15"/>
      <c r="F310" s="15"/>
    </row>
    <row r="311" spans="1:6" x14ac:dyDescent="0.25">
      <c r="A311" s="6"/>
      <c r="B311" s="2"/>
      <c r="C311" s="2"/>
      <c r="D311" s="2"/>
      <c r="E311" s="15"/>
      <c r="F311" s="15"/>
    </row>
    <row r="312" spans="1:6" x14ac:dyDescent="0.25">
      <c r="A312" s="6"/>
      <c r="B312" s="2"/>
      <c r="C312" s="2"/>
      <c r="D312" s="2"/>
      <c r="E312" s="15"/>
      <c r="F312" s="15"/>
    </row>
    <row r="313" spans="1:6" x14ac:dyDescent="0.25">
      <c r="A313" s="6"/>
      <c r="B313" s="2"/>
      <c r="C313" s="2"/>
      <c r="D313" s="2"/>
      <c r="E313" s="15"/>
      <c r="F313" s="15"/>
    </row>
    <row r="314" spans="1:6" x14ac:dyDescent="0.25">
      <c r="A314" s="6"/>
      <c r="B314" s="2"/>
      <c r="C314" s="2"/>
      <c r="D314" s="2"/>
      <c r="E314" s="15"/>
      <c r="F314" s="15"/>
    </row>
    <row r="315" spans="1:6" x14ac:dyDescent="0.25">
      <c r="A315" s="6"/>
      <c r="B315" s="2"/>
      <c r="C315" s="2"/>
      <c r="D315" s="2"/>
      <c r="E315" s="15"/>
      <c r="F315" s="15"/>
    </row>
    <row r="316" spans="1:6" x14ac:dyDescent="0.25">
      <c r="A316" s="6"/>
      <c r="B316" s="2"/>
      <c r="C316" s="2"/>
      <c r="D316" s="2"/>
      <c r="E316" s="15"/>
      <c r="F316" s="15"/>
    </row>
    <row r="317" spans="1:6" x14ac:dyDescent="0.25">
      <c r="A317" s="6"/>
      <c r="B317" s="2"/>
      <c r="C317" s="2"/>
      <c r="D317" s="2"/>
      <c r="E317" s="15"/>
      <c r="F317" s="15"/>
    </row>
    <row r="318" spans="1:6" x14ac:dyDescent="0.25">
      <c r="A318" s="6"/>
      <c r="B318" s="2"/>
      <c r="C318" s="2"/>
      <c r="D318" s="2"/>
      <c r="E318" s="15"/>
      <c r="F318" s="15"/>
    </row>
    <row r="319" spans="1:6" x14ac:dyDescent="0.25">
      <c r="A319" s="6"/>
      <c r="B319" s="2"/>
      <c r="C319" s="2"/>
      <c r="D319" s="2"/>
      <c r="E319" s="15"/>
      <c r="F319" s="15"/>
    </row>
    <row r="320" spans="1:6" x14ac:dyDescent="0.25">
      <c r="A320" s="6"/>
      <c r="B320" s="2"/>
      <c r="C320" s="2"/>
      <c r="D320" s="2"/>
      <c r="E320" s="15"/>
      <c r="F320" s="15"/>
    </row>
    <row r="321" spans="1:6" x14ac:dyDescent="0.25">
      <c r="A321" s="6"/>
      <c r="B321" s="2"/>
      <c r="C321" s="2"/>
      <c r="D321" s="2"/>
      <c r="E321" s="15"/>
      <c r="F321" s="15"/>
    </row>
    <row r="322" spans="1:6" x14ac:dyDescent="0.25">
      <c r="A322" s="6"/>
      <c r="B322" s="2"/>
      <c r="C322" s="2"/>
      <c r="D322" s="2"/>
      <c r="E322" s="15"/>
      <c r="F322" s="15"/>
    </row>
    <row r="323" spans="1:6" x14ac:dyDescent="0.25">
      <c r="A323" s="6"/>
      <c r="B323" s="2"/>
      <c r="C323" s="2"/>
      <c r="D323" s="2"/>
      <c r="E323" s="15"/>
      <c r="F323" s="15"/>
    </row>
    <row r="324" spans="1:6" x14ac:dyDescent="0.25">
      <c r="A324" s="6"/>
      <c r="B324" s="2"/>
      <c r="C324" s="2"/>
      <c r="D324" s="2"/>
      <c r="E324" s="15"/>
      <c r="F324" s="15"/>
    </row>
    <row r="325" spans="1:6" x14ac:dyDescent="0.25">
      <c r="A325" s="6"/>
      <c r="B325" s="2"/>
      <c r="C325" s="2"/>
      <c r="D325" s="2"/>
      <c r="E325" s="15"/>
      <c r="F325" s="15"/>
    </row>
    <row r="326" spans="1:6" x14ac:dyDescent="0.25">
      <c r="A326" s="6"/>
      <c r="B326" s="2"/>
      <c r="C326" s="2"/>
      <c r="D326" s="2"/>
      <c r="E326" s="15"/>
      <c r="F326" s="15"/>
    </row>
    <row r="327" spans="1:6" x14ac:dyDescent="0.25">
      <c r="A327" s="6"/>
      <c r="B327" s="2"/>
      <c r="C327" s="2"/>
      <c r="D327" s="2"/>
      <c r="E327" s="15"/>
      <c r="F327" s="15"/>
    </row>
    <row r="328" spans="1:6" x14ac:dyDescent="0.25">
      <c r="A328" s="6"/>
      <c r="B328" s="2"/>
      <c r="C328" s="2"/>
      <c r="D328" s="2"/>
      <c r="E328" s="15"/>
      <c r="F328" s="15"/>
    </row>
    <row r="329" spans="1:6" x14ac:dyDescent="0.25">
      <c r="A329" s="6"/>
      <c r="B329" s="2"/>
      <c r="C329" s="2"/>
      <c r="D329" s="2"/>
      <c r="E329" s="15"/>
      <c r="F329" s="15"/>
    </row>
    <row r="330" spans="1:6" x14ac:dyDescent="0.25">
      <c r="A330" s="6"/>
      <c r="B330" s="2"/>
      <c r="C330" s="2"/>
      <c r="D330" s="2"/>
      <c r="E330" s="15"/>
      <c r="F330" s="15"/>
    </row>
    <row r="331" spans="1:6" x14ac:dyDescent="0.25">
      <c r="A331" s="6"/>
      <c r="B331" s="2"/>
      <c r="C331" s="2"/>
      <c r="D331" s="2"/>
      <c r="E331" s="15"/>
      <c r="F331" s="15"/>
    </row>
    <row r="332" spans="1:6" x14ac:dyDescent="0.25">
      <c r="A332" s="6"/>
      <c r="B332" s="2"/>
      <c r="C332" s="2"/>
      <c r="D332" s="2"/>
      <c r="E332" s="15"/>
      <c r="F332" s="15"/>
    </row>
    <row r="333" spans="1:6" x14ac:dyDescent="0.25">
      <c r="A333" s="6"/>
      <c r="B333" s="2"/>
      <c r="C333" s="2"/>
      <c r="D333" s="2"/>
      <c r="E333" s="15"/>
      <c r="F333" s="15"/>
    </row>
    <row r="334" spans="1:6" x14ac:dyDescent="0.25">
      <c r="A334" s="6"/>
      <c r="B334" s="2"/>
      <c r="C334" s="2"/>
      <c r="D334" s="2"/>
      <c r="E334" s="15"/>
      <c r="F334" s="15"/>
    </row>
    <row r="335" spans="1:6" x14ac:dyDescent="0.25">
      <c r="A335" s="6"/>
      <c r="B335" s="2"/>
      <c r="C335" s="2"/>
      <c r="D335" s="2"/>
      <c r="E335" s="15"/>
      <c r="F335" s="15"/>
    </row>
    <row r="336" spans="1:6" x14ac:dyDescent="0.25">
      <c r="A336" s="6"/>
      <c r="B336" s="2"/>
      <c r="C336" s="2"/>
      <c r="D336" s="2"/>
      <c r="E336" s="15"/>
      <c r="F336" s="15"/>
    </row>
    <row r="337" spans="1:6" x14ac:dyDescent="0.25">
      <c r="A337" s="6"/>
      <c r="B337" s="2"/>
      <c r="C337" s="2"/>
      <c r="D337" s="2"/>
      <c r="E337" s="15"/>
      <c r="F337" s="15"/>
    </row>
    <row r="338" spans="1:6" x14ac:dyDescent="0.25">
      <c r="A338" s="6"/>
      <c r="B338" s="2"/>
      <c r="C338" s="2"/>
      <c r="D338" s="2"/>
      <c r="E338" s="15"/>
      <c r="F338" s="15"/>
    </row>
    <row r="339" spans="1:6" x14ac:dyDescent="0.25">
      <c r="A339" s="6"/>
      <c r="B339" s="2"/>
      <c r="C339" s="2"/>
      <c r="D339" s="2"/>
      <c r="E339" s="15"/>
      <c r="F339" s="15"/>
    </row>
    <row r="340" spans="1:6" x14ac:dyDescent="0.25">
      <c r="A340" s="6"/>
      <c r="B340" s="2"/>
      <c r="C340" s="2"/>
      <c r="D340" s="2"/>
      <c r="E340" s="15"/>
      <c r="F340" s="15"/>
    </row>
    <row r="341" spans="1:6" x14ac:dyDescent="0.25">
      <c r="A341" s="6"/>
      <c r="B341" s="2"/>
      <c r="C341" s="2"/>
      <c r="D341" s="2"/>
      <c r="E341" s="15"/>
      <c r="F341" s="15"/>
    </row>
    <row r="342" spans="1:6" x14ac:dyDescent="0.25">
      <c r="A342" s="6"/>
      <c r="B342" s="2"/>
      <c r="C342" s="2"/>
      <c r="D342" s="2"/>
      <c r="E342" s="15"/>
      <c r="F342" s="15"/>
    </row>
    <row r="343" spans="1:6" x14ac:dyDescent="0.25">
      <c r="A343" s="6"/>
      <c r="B343" s="2"/>
      <c r="C343" s="2"/>
      <c r="D343" s="2"/>
      <c r="E343" s="15"/>
      <c r="F343" s="15"/>
    </row>
    <row r="344" spans="1:6" x14ac:dyDescent="0.25">
      <c r="A344" s="6"/>
      <c r="B344" s="2"/>
      <c r="C344" s="2"/>
      <c r="D344" s="2"/>
      <c r="E344" s="15"/>
      <c r="F344" s="15"/>
    </row>
    <row r="345" spans="1:6" x14ac:dyDescent="0.25">
      <c r="A345" s="6"/>
      <c r="B345" s="2"/>
      <c r="C345" s="2"/>
      <c r="D345" s="2"/>
      <c r="E345" s="15"/>
      <c r="F345" s="15"/>
    </row>
    <row r="346" spans="1:6" x14ac:dyDescent="0.25">
      <c r="A346" s="6"/>
      <c r="B346" s="2"/>
      <c r="C346" s="2"/>
      <c r="D346" s="2"/>
      <c r="E346" s="15"/>
      <c r="F346" s="15"/>
    </row>
    <row r="347" spans="1:6" x14ac:dyDescent="0.25">
      <c r="A347" s="6"/>
      <c r="B347" s="2"/>
      <c r="C347" s="2"/>
      <c r="D347" s="2"/>
      <c r="E347" s="15"/>
      <c r="F347" s="15"/>
    </row>
    <row r="348" spans="1:6" x14ac:dyDescent="0.25">
      <c r="A348" s="6"/>
      <c r="B348" s="2"/>
      <c r="C348" s="2"/>
      <c r="D348" s="2"/>
      <c r="E348" s="15"/>
      <c r="F348" s="15"/>
    </row>
    <row r="349" spans="1:6" x14ac:dyDescent="0.25">
      <c r="A349" s="6"/>
      <c r="B349" s="2"/>
      <c r="C349" s="2"/>
      <c r="D349" s="2"/>
      <c r="E349" s="15"/>
      <c r="F349" s="15"/>
    </row>
    <row r="350" spans="1:6" x14ac:dyDescent="0.25">
      <c r="A350" s="6"/>
      <c r="B350" s="2"/>
      <c r="C350" s="2"/>
      <c r="D350" s="2"/>
      <c r="E350" s="15"/>
      <c r="F350" s="15"/>
    </row>
    <row r="351" spans="1:6" x14ac:dyDescent="0.25">
      <c r="A351" s="6"/>
      <c r="B351" s="2"/>
      <c r="C351" s="2"/>
      <c r="D351" s="2"/>
      <c r="E351" s="15"/>
      <c r="F351" s="15"/>
    </row>
    <row r="352" spans="1:6" x14ac:dyDescent="0.25">
      <c r="A352" s="6"/>
      <c r="B352" s="2"/>
      <c r="C352" s="2"/>
      <c r="D352" s="2"/>
      <c r="E352" s="15"/>
      <c r="F352" s="15"/>
    </row>
    <row r="353" spans="1:6" x14ac:dyDescent="0.25">
      <c r="A353" s="6"/>
      <c r="B353" s="2"/>
      <c r="C353" s="2"/>
      <c r="D353" s="2"/>
      <c r="E353" s="15"/>
      <c r="F353" s="15"/>
    </row>
    <row r="354" spans="1:6" x14ac:dyDescent="0.25">
      <c r="A354" s="6"/>
      <c r="B354" s="2"/>
      <c r="C354" s="2"/>
      <c r="D354" s="2"/>
      <c r="E354" s="15"/>
      <c r="F354" s="15"/>
    </row>
    <row r="355" spans="1:6" x14ac:dyDescent="0.25">
      <c r="A355" s="6"/>
      <c r="B355" s="2"/>
      <c r="C355" s="2"/>
      <c r="D355" s="2"/>
      <c r="E355" s="15"/>
      <c r="F355" s="15"/>
    </row>
    <row r="356" spans="1:6" x14ac:dyDescent="0.25">
      <c r="A356" s="6"/>
      <c r="B356" s="2"/>
      <c r="C356" s="2"/>
      <c r="D356" s="2"/>
      <c r="E356" s="15"/>
      <c r="F356" s="15"/>
    </row>
    <row r="357" spans="1:6" x14ac:dyDescent="0.25">
      <c r="A357" s="6"/>
      <c r="B357" s="2"/>
      <c r="C357" s="2"/>
      <c r="D357" s="2"/>
      <c r="E357" s="15"/>
      <c r="F357" s="15"/>
    </row>
    <row r="358" spans="1:6" x14ac:dyDescent="0.25">
      <c r="A358" s="6"/>
      <c r="B358" s="2"/>
      <c r="C358" s="2"/>
      <c r="D358" s="2"/>
      <c r="E358" s="15"/>
      <c r="F358" s="15"/>
    </row>
    <row r="359" spans="1:6" x14ac:dyDescent="0.25">
      <c r="A359" s="6"/>
      <c r="B359" s="2"/>
      <c r="C359" s="2"/>
      <c r="D359" s="2"/>
      <c r="E359" s="15"/>
      <c r="F359" s="15"/>
    </row>
    <row r="360" spans="1:6" x14ac:dyDescent="0.25">
      <c r="A360" s="6"/>
      <c r="B360" s="2"/>
      <c r="C360" s="2"/>
      <c r="D360" s="2"/>
      <c r="E360" s="15"/>
      <c r="F360" s="15"/>
    </row>
    <row r="361" spans="1:6" x14ac:dyDescent="0.25">
      <c r="A361" s="6"/>
      <c r="B361" s="2"/>
      <c r="C361" s="2"/>
      <c r="D361" s="2"/>
      <c r="E361" s="15"/>
      <c r="F361" s="15"/>
    </row>
    <row r="362" spans="1:6" x14ac:dyDescent="0.25">
      <c r="A362" s="6"/>
      <c r="B362" s="2"/>
      <c r="C362" s="2"/>
      <c r="D362" s="2"/>
      <c r="E362" s="15"/>
      <c r="F362" s="15"/>
    </row>
    <row r="363" spans="1:6" x14ac:dyDescent="0.25">
      <c r="A363" s="6"/>
      <c r="B363" s="2"/>
      <c r="C363" s="2"/>
      <c r="D363" s="2"/>
      <c r="E363" s="15"/>
      <c r="F363" s="15"/>
    </row>
    <row r="364" spans="1:6" x14ac:dyDescent="0.25">
      <c r="A364" s="6"/>
      <c r="B364" s="2"/>
      <c r="C364" s="2"/>
      <c r="D364" s="2"/>
      <c r="E364" s="15"/>
      <c r="F364" s="15"/>
    </row>
    <row r="365" spans="1:6" x14ac:dyDescent="0.25">
      <c r="A365" s="6"/>
      <c r="B365" s="2"/>
      <c r="C365" s="2"/>
      <c r="D365" s="2"/>
      <c r="E365" s="15"/>
      <c r="F365" s="15"/>
    </row>
    <row r="366" spans="1:6" x14ac:dyDescent="0.25">
      <c r="A366" s="6"/>
      <c r="B366" s="2"/>
      <c r="C366" s="2"/>
      <c r="D366" s="2"/>
      <c r="E366" s="15"/>
      <c r="F366" s="15"/>
    </row>
    <row r="367" spans="1:6" x14ac:dyDescent="0.25">
      <c r="A367" s="6"/>
      <c r="B367" s="2"/>
      <c r="C367" s="2"/>
      <c r="D367" s="2"/>
      <c r="E367" s="15"/>
      <c r="F367" s="15"/>
    </row>
    <row r="368" spans="1:6" x14ac:dyDescent="0.25">
      <c r="A368" s="6"/>
      <c r="B368" s="2"/>
      <c r="C368" s="2"/>
      <c r="D368" s="2"/>
      <c r="E368" s="15"/>
      <c r="F368" s="15"/>
    </row>
    <row r="369" spans="1:6" x14ac:dyDescent="0.25">
      <c r="A369" s="6"/>
      <c r="B369" s="2"/>
      <c r="C369" s="2"/>
      <c r="D369" s="2"/>
      <c r="E369" s="15"/>
      <c r="F369" s="15"/>
    </row>
    <row r="370" spans="1:6" x14ac:dyDescent="0.25">
      <c r="A370" s="6"/>
      <c r="B370" s="2"/>
      <c r="C370" s="2"/>
      <c r="D370" s="2"/>
      <c r="E370" s="15"/>
      <c r="F370" s="15"/>
    </row>
    <row r="371" spans="1:6" x14ac:dyDescent="0.25">
      <c r="A371" s="6"/>
      <c r="B371" s="2"/>
      <c r="C371" s="2"/>
      <c r="D371" s="2"/>
      <c r="E371" s="15"/>
      <c r="F371" s="15"/>
    </row>
    <row r="372" spans="1:6" x14ac:dyDescent="0.25">
      <c r="A372" s="6"/>
      <c r="B372" s="2"/>
      <c r="C372" s="2"/>
      <c r="D372" s="2"/>
      <c r="E372" s="15"/>
      <c r="F372" s="15"/>
    </row>
    <row r="373" spans="1:6" x14ac:dyDescent="0.25">
      <c r="A373" s="6"/>
      <c r="B373" s="2"/>
      <c r="C373" s="2"/>
      <c r="D373" s="2"/>
      <c r="E373" s="15"/>
      <c r="F373" s="15"/>
    </row>
    <row r="374" spans="1:6" x14ac:dyDescent="0.25">
      <c r="A374" s="6"/>
      <c r="B374" s="2"/>
      <c r="C374" s="2"/>
      <c r="D374" s="2"/>
      <c r="E374" s="15"/>
      <c r="F374" s="15"/>
    </row>
    <row r="375" spans="1:6" x14ac:dyDescent="0.25">
      <c r="A375" s="6"/>
      <c r="B375" s="2"/>
      <c r="C375" s="2"/>
      <c r="D375" s="2"/>
      <c r="E375" s="15"/>
      <c r="F375" s="15"/>
    </row>
    <row r="376" spans="1:6" x14ac:dyDescent="0.25">
      <c r="A376" s="6"/>
      <c r="B376" s="2"/>
      <c r="C376" s="2"/>
      <c r="D376" s="2"/>
      <c r="E376" s="15"/>
      <c r="F376" s="15"/>
    </row>
    <row r="377" spans="1:6" x14ac:dyDescent="0.25">
      <c r="A377" s="6"/>
      <c r="B377" s="2"/>
      <c r="C377" s="2"/>
      <c r="D377" s="2"/>
      <c r="E377" s="15"/>
      <c r="F377" s="15"/>
    </row>
    <row r="378" spans="1:6" x14ac:dyDescent="0.25">
      <c r="A378" s="6"/>
      <c r="B378" s="2"/>
      <c r="C378" s="2"/>
      <c r="D378" s="2"/>
      <c r="E378" s="15"/>
      <c r="F378" s="15"/>
    </row>
    <row r="379" spans="1:6" x14ac:dyDescent="0.25">
      <c r="A379" s="6"/>
      <c r="B379" s="2"/>
      <c r="C379" s="2"/>
      <c r="D379" s="2"/>
      <c r="E379" s="15"/>
      <c r="F379" s="15"/>
    </row>
    <row r="380" spans="1:6" x14ac:dyDescent="0.25">
      <c r="A380" s="6"/>
      <c r="B380" s="2"/>
      <c r="C380" s="2"/>
      <c r="D380" s="2"/>
      <c r="E380" s="15"/>
      <c r="F380" s="15"/>
    </row>
    <row r="381" spans="1:6" x14ac:dyDescent="0.25">
      <c r="A381" s="6"/>
      <c r="B381" s="2"/>
      <c r="C381" s="2"/>
      <c r="D381" s="2"/>
      <c r="E381" s="15"/>
      <c r="F381" s="15"/>
    </row>
    <row r="382" spans="1:6" x14ac:dyDescent="0.25">
      <c r="A382" s="6"/>
      <c r="B382" s="2"/>
      <c r="C382" s="2"/>
      <c r="D382" s="2"/>
      <c r="E382" s="15"/>
      <c r="F382" s="15"/>
    </row>
    <row r="383" spans="1:6" x14ac:dyDescent="0.25">
      <c r="A383" s="6"/>
      <c r="B383" s="2"/>
      <c r="C383" s="2"/>
      <c r="D383" s="2"/>
      <c r="E383" s="15"/>
      <c r="F383" s="15"/>
    </row>
    <row r="384" spans="1:6" x14ac:dyDescent="0.25">
      <c r="A384" s="6"/>
      <c r="B384" s="2"/>
      <c r="C384" s="2"/>
      <c r="D384" s="2"/>
      <c r="E384" s="15"/>
      <c r="F384" s="15"/>
    </row>
    <row r="385" spans="1:6" x14ac:dyDescent="0.25">
      <c r="A385" s="6"/>
      <c r="B385" s="2"/>
      <c r="C385" s="2"/>
      <c r="D385" s="2"/>
      <c r="E385" s="15"/>
      <c r="F385" s="15"/>
    </row>
    <row r="386" spans="1:6" x14ac:dyDescent="0.25">
      <c r="A386" s="6"/>
      <c r="B386" s="2"/>
      <c r="C386" s="2"/>
      <c r="D386" s="2"/>
      <c r="E386" s="15"/>
      <c r="F386" s="15"/>
    </row>
    <row r="387" spans="1:6" x14ac:dyDescent="0.25">
      <c r="A387" s="6"/>
      <c r="B387" s="2"/>
      <c r="C387" s="2"/>
      <c r="D387" s="2"/>
      <c r="E387" s="15"/>
      <c r="F387" s="15"/>
    </row>
    <row r="388" spans="1:6" x14ac:dyDescent="0.25">
      <c r="A388" s="6"/>
      <c r="B388" s="2"/>
      <c r="C388" s="2"/>
      <c r="D388" s="2"/>
      <c r="E388" s="15"/>
      <c r="F388" s="15"/>
    </row>
    <row r="389" spans="1:6" x14ac:dyDescent="0.25">
      <c r="A389" s="6"/>
      <c r="B389" s="2"/>
      <c r="C389" s="2"/>
      <c r="D389" s="2"/>
      <c r="E389" s="15"/>
      <c r="F389" s="15"/>
    </row>
    <row r="390" spans="1:6" x14ac:dyDescent="0.25">
      <c r="A390" s="6"/>
      <c r="B390" s="2"/>
      <c r="C390" s="2"/>
      <c r="D390" s="2"/>
      <c r="E390" s="15"/>
      <c r="F390" s="15"/>
    </row>
    <row r="391" spans="1:6" x14ac:dyDescent="0.25">
      <c r="A391" s="6"/>
      <c r="B391" s="2"/>
      <c r="C391" s="2"/>
      <c r="D391" s="2"/>
      <c r="E391" s="15"/>
      <c r="F391" s="15"/>
    </row>
    <row r="392" spans="1:6" x14ac:dyDescent="0.25">
      <c r="A392" s="6"/>
      <c r="B392" s="2"/>
      <c r="C392" s="2"/>
      <c r="D392" s="2"/>
      <c r="E392" s="15"/>
      <c r="F392" s="15"/>
    </row>
    <row r="393" spans="1:6" x14ac:dyDescent="0.25">
      <c r="A393" s="6"/>
      <c r="B393" s="2"/>
      <c r="C393" s="2"/>
      <c r="D393" s="2"/>
      <c r="E393" s="15"/>
      <c r="F393" s="15"/>
    </row>
    <row r="394" spans="1:6" x14ac:dyDescent="0.25">
      <c r="A394" s="6"/>
      <c r="B394" s="2"/>
      <c r="C394" s="2"/>
      <c r="D394" s="2"/>
      <c r="E394" s="15"/>
      <c r="F394" s="15"/>
    </row>
    <row r="395" spans="1:6" x14ac:dyDescent="0.25">
      <c r="A395" s="6"/>
      <c r="B395" s="2"/>
      <c r="C395" s="2"/>
      <c r="D395" s="2"/>
      <c r="E395" s="15"/>
      <c r="F395" s="15"/>
    </row>
    <row r="396" spans="1:6" x14ac:dyDescent="0.25">
      <c r="A396" s="6"/>
      <c r="B396" s="2"/>
      <c r="C396" s="2"/>
      <c r="D396" s="2"/>
      <c r="E396" s="15"/>
      <c r="F396" s="15"/>
    </row>
    <row r="397" spans="1:6" x14ac:dyDescent="0.25">
      <c r="A397" s="6"/>
      <c r="B397" s="2"/>
      <c r="C397" s="2"/>
      <c r="D397" s="2"/>
      <c r="E397" s="15"/>
      <c r="F397" s="15"/>
    </row>
    <row r="398" spans="1:6" x14ac:dyDescent="0.25">
      <c r="A398" s="6"/>
      <c r="B398" s="2"/>
      <c r="C398" s="2"/>
      <c r="D398" s="2"/>
      <c r="E398" s="15"/>
      <c r="F398" s="15"/>
    </row>
    <row r="399" spans="1:6" x14ac:dyDescent="0.25">
      <c r="A399" s="6"/>
      <c r="B399" s="2"/>
      <c r="C399" s="2"/>
      <c r="D399" s="2"/>
      <c r="E399" s="15"/>
      <c r="F399" s="15"/>
    </row>
    <row r="400" spans="1:6" x14ac:dyDescent="0.25">
      <c r="A400" s="6"/>
      <c r="B400" s="2"/>
      <c r="C400" s="2"/>
      <c r="D400" s="2"/>
      <c r="E400" s="15"/>
      <c r="F400" s="15"/>
    </row>
    <row r="401" spans="1:6" x14ac:dyDescent="0.25">
      <c r="A401" s="6"/>
      <c r="B401" s="2"/>
      <c r="C401" s="2"/>
      <c r="D401" s="2"/>
      <c r="E401" s="15"/>
      <c r="F401" s="15"/>
    </row>
    <row r="402" spans="1:6" x14ac:dyDescent="0.25">
      <c r="A402" s="6"/>
      <c r="B402" s="2"/>
      <c r="C402" s="2"/>
      <c r="D402" s="2"/>
      <c r="E402" s="15"/>
      <c r="F402" s="15"/>
    </row>
    <row r="403" spans="1:6" x14ac:dyDescent="0.25">
      <c r="A403" s="6"/>
      <c r="B403" s="2"/>
      <c r="C403" s="2"/>
      <c r="D403" s="2"/>
      <c r="E403" s="15"/>
      <c r="F403" s="15"/>
    </row>
    <row r="404" spans="1:6" x14ac:dyDescent="0.25">
      <c r="A404" s="6"/>
      <c r="B404" s="2"/>
      <c r="C404" s="2"/>
      <c r="D404" s="2"/>
      <c r="E404" s="15"/>
      <c r="F404" s="15"/>
    </row>
    <row r="405" spans="1:6" x14ac:dyDescent="0.25">
      <c r="A405" s="6"/>
      <c r="B405" s="2"/>
      <c r="C405" s="2"/>
      <c r="D405" s="2"/>
      <c r="E405" s="15"/>
      <c r="F405" s="15"/>
    </row>
    <row r="406" spans="1:6" x14ac:dyDescent="0.25">
      <c r="A406" s="6"/>
      <c r="B406" s="2"/>
      <c r="C406" s="2"/>
      <c r="D406" s="2"/>
      <c r="E406" s="15"/>
      <c r="F406" s="15"/>
    </row>
    <row r="407" spans="1:6" x14ac:dyDescent="0.25">
      <c r="A407" s="6"/>
      <c r="B407" s="2"/>
      <c r="C407" s="2"/>
      <c r="D407" s="2"/>
      <c r="E407" s="15"/>
      <c r="F407" s="15"/>
    </row>
    <row r="408" spans="1:6" x14ac:dyDescent="0.25">
      <c r="A408" s="6"/>
      <c r="B408" s="2"/>
      <c r="C408" s="2"/>
      <c r="D408" s="2"/>
      <c r="E408" s="15"/>
      <c r="F408" s="15"/>
    </row>
    <row r="409" spans="1:6" x14ac:dyDescent="0.25">
      <c r="A409" s="6"/>
      <c r="B409" s="2"/>
      <c r="C409" s="2"/>
      <c r="D409" s="2"/>
      <c r="E409" s="15"/>
      <c r="F409" s="15"/>
    </row>
    <row r="410" spans="1:6" x14ac:dyDescent="0.25">
      <c r="A410" s="6"/>
      <c r="B410" s="2"/>
      <c r="C410" s="2"/>
      <c r="D410" s="2"/>
      <c r="E410" s="15"/>
      <c r="F410" s="15"/>
    </row>
    <row r="411" spans="1:6" x14ac:dyDescent="0.25">
      <c r="A411" s="6"/>
      <c r="B411" s="2"/>
      <c r="C411" s="2"/>
      <c r="D411" s="2"/>
      <c r="E411" s="15"/>
      <c r="F411" s="15"/>
    </row>
    <row r="412" spans="1:6" x14ac:dyDescent="0.25">
      <c r="A412" s="6"/>
      <c r="B412" s="2"/>
      <c r="C412" s="2"/>
      <c r="D412" s="2"/>
      <c r="E412" s="15"/>
      <c r="F412" s="15"/>
    </row>
    <row r="413" spans="1:6" x14ac:dyDescent="0.25">
      <c r="A413" s="6"/>
      <c r="B413" s="2"/>
      <c r="C413" s="2"/>
      <c r="D413" s="2"/>
      <c r="E413" s="15"/>
      <c r="F413" s="15"/>
    </row>
    <row r="414" spans="1:6" x14ac:dyDescent="0.25">
      <c r="A414" s="6"/>
      <c r="B414" s="2"/>
      <c r="C414" s="2"/>
      <c r="D414" s="2"/>
      <c r="E414" s="15"/>
      <c r="F414" s="15"/>
    </row>
    <row r="415" spans="1:6" x14ac:dyDescent="0.25">
      <c r="A415" s="6"/>
      <c r="B415" s="2"/>
      <c r="C415" s="2"/>
      <c r="D415" s="2"/>
      <c r="E415" s="15"/>
      <c r="F415" s="15"/>
    </row>
    <row r="416" spans="1:6" x14ac:dyDescent="0.25">
      <c r="A416" s="6"/>
      <c r="B416" s="2"/>
      <c r="C416" s="2"/>
      <c r="D416" s="2"/>
      <c r="E416" s="15"/>
      <c r="F416" s="15"/>
    </row>
    <row r="417" spans="1:6" x14ac:dyDescent="0.25">
      <c r="A417" s="6"/>
      <c r="B417" s="2"/>
      <c r="C417" s="2"/>
      <c r="D417" s="2"/>
      <c r="E417" s="15"/>
      <c r="F417" s="15"/>
    </row>
    <row r="418" spans="1:6" x14ac:dyDescent="0.25">
      <c r="A418" s="6"/>
      <c r="B418" s="2"/>
      <c r="C418" s="2"/>
      <c r="D418" s="2"/>
      <c r="E418" s="15"/>
      <c r="F418" s="15"/>
    </row>
    <row r="419" spans="1:6" x14ac:dyDescent="0.25">
      <c r="A419" s="6"/>
      <c r="B419" s="2"/>
      <c r="C419" s="2"/>
      <c r="D419" s="2"/>
      <c r="E419" s="15"/>
      <c r="F419" s="15"/>
    </row>
    <row r="420" spans="1:6" x14ac:dyDescent="0.25">
      <c r="A420" s="6"/>
      <c r="B420" s="2"/>
      <c r="C420" s="2"/>
      <c r="D420" s="2"/>
      <c r="E420" s="15"/>
      <c r="F420" s="15"/>
    </row>
    <row r="421" spans="1:6" x14ac:dyDescent="0.25">
      <c r="A421" s="6"/>
      <c r="B421" s="2"/>
      <c r="C421" s="2"/>
      <c r="D421" s="2"/>
      <c r="E421" s="15"/>
      <c r="F421" s="15"/>
    </row>
    <row r="422" spans="1:6" x14ac:dyDescent="0.25">
      <c r="A422" s="6"/>
      <c r="B422" s="2"/>
      <c r="C422" s="2"/>
      <c r="D422" s="2"/>
      <c r="E422" s="15"/>
      <c r="F422" s="15"/>
    </row>
    <row r="423" spans="1:6" x14ac:dyDescent="0.25">
      <c r="A423" s="6"/>
      <c r="B423" s="2"/>
      <c r="C423" s="2"/>
      <c r="D423" s="2"/>
      <c r="E423" s="15"/>
      <c r="F423" s="15"/>
    </row>
    <row r="424" spans="1:6" x14ac:dyDescent="0.25">
      <c r="A424" s="6"/>
      <c r="B424" s="2"/>
      <c r="C424" s="2"/>
      <c r="D424" s="2"/>
      <c r="E424" s="15"/>
      <c r="F424" s="15"/>
    </row>
    <row r="425" spans="1:6" x14ac:dyDescent="0.25">
      <c r="A425" s="6"/>
      <c r="B425" s="2"/>
      <c r="C425" s="2"/>
      <c r="D425" s="2"/>
      <c r="E425" s="15"/>
      <c r="F425" s="15"/>
    </row>
    <row r="426" spans="1:6" x14ac:dyDescent="0.25">
      <c r="A426" s="6"/>
      <c r="B426" s="2"/>
      <c r="C426" s="2"/>
      <c r="D426" s="2"/>
      <c r="E426" s="15"/>
      <c r="F426" s="15"/>
    </row>
    <row r="427" spans="1:6" x14ac:dyDescent="0.25">
      <c r="A427" s="6"/>
      <c r="B427" s="2"/>
      <c r="C427" s="2"/>
      <c r="D427" s="2"/>
      <c r="E427" s="15"/>
      <c r="F427" s="15"/>
    </row>
    <row r="428" spans="1:6" x14ac:dyDescent="0.25">
      <c r="A428" s="6"/>
      <c r="B428" s="2"/>
      <c r="C428" s="2"/>
      <c r="D428" s="2"/>
      <c r="E428" s="15"/>
      <c r="F428" s="15"/>
    </row>
    <row r="429" spans="1:6" x14ac:dyDescent="0.25">
      <c r="A429" s="6"/>
      <c r="B429" s="2"/>
      <c r="C429" s="2"/>
      <c r="D429" s="2"/>
      <c r="E429" s="15"/>
      <c r="F429" s="15"/>
    </row>
    <row r="430" spans="1:6" x14ac:dyDescent="0.25">
      <c r="A430" s="6"/>
      <c r="B430" s="2"/>
      <c r="C430" s="2"/>
      <c r="D430" s="2"/>
      <c r="E430" s="15"/>
      <c r="F430" s="15"/>
    </row>
    <row r="431" spans="1:6" x14ac:dyDescent="0.25">
      <c r="A431" s="6"/>
      <c r="B431" s="2"/>
      <c r="C431" s="2"/>
      <c r="D431" s="2"/>
      <c r="E431" s="15"/>
      <c r="F431" s="15"/>
    </row>
    <row r="432" spans="1:6" x14ac:dyDescent="0.25">
      <c r="A432" s="6"/>
      <c r="B432" s="2"/>
      <c r="C432" s="2"/>
      <c r="D432" s="2"/>
      <c r="E432" s="15"/>
      <c r="F432" s="15"/>
    </row>
    <row r="433" spans="1:6" x14ac:dyDescent="0.25">
      <c r="A433" s="6"/>
      <c r="B433" s="2"/>
      <c r="C433" s="2"/>
      <c r="D433" s="2"/>
      <c r="E433" s="15"/>
      <c r="F433" s="15"/>
    </row>
    <row r="434" spans="1:6" x14ac:dyDescent="0.25">
      <c r="A434" s="6"/>
      <c r="B434" s="2"/>
      <c r="C434" s="2"/>
      <c r="D434" s="2"/>
      <c r="E434" s="15"/>
      <c r="F434" s="15"/>
    </row>
    <row r="435" spans="1:6" x14ac:dyDescent="0.25">
      <c r="A435" s="6"/>
      <c r="B435" s="2"/>
      <c r="C435" s="2"/>
      <c r="D435" s="2"/>
      <c r="E435" s="15"/>
      <c r="F435" s="15"/>
    </row>
    <row r="436" spans="1:6" x14ac:dyDescent="0.25">
      <c r="A436" s="6"/>
      <c r="B436" s="2"/>
      <c r="C436" s="2"/>
      <c r="D436" s="2"/>
      <c r="E436" s="15"/>
      <c r="F436" s="15"/>
    </row>
    <row r="437" spans="1:6" x14ac:dyDescent="0.25">
      <c r="A437" s="6"/>
      <c r="B437" s="2"/>
      <c r="C437" s="2"/>
      <c r="D437" s="2"/>
      <c r="E437" s="15"/>
      <c r="F437" s="15"/>
    </row>
    <row r="438" spans="1:6" x14ac:dyDescent="0.25">
      <c r="A438" s="6"/>
      <c r="B438" s="2"/>
      <c r="C438" s="2"/>
      <c r="D438" s="2"/>
      <c r="E438" s="15"/>
      <c r="F438" s="15"/>
    </row>
    <row r="439" spans="1:6" x14ac:dyDescent="0.25">
      <c r="A439" s="6"/>
      <c r="B439" s="2"/>
      <c r="C439" s="2"/>
      <c r="D439" s="2"/>
      <c r="E439" s="15"/>
      <c r="F439" s="15"/>
    </row>
    <row r="440" spans="1:6" x14ac:dyDescent="0.25">
      <c r="A440" s="6"/>
      <c r="B440" s="2"/>
      <c r="C440" s="2"/>
      <c r="D440" s="2"/>
      <c r="E440" s="15"/>
      <c r="F440" s="15"/>
    </row>
    <row r="441" spans="1:6" x14ac:dyDescent="0.25">
      <c r="A441" s="6"/>
      <c r="B441" s="2"/>
      <c r="C441" s="2"/>
      <c r="D441" s="2"/>
      <c r="E441" s="15"/>
      <c r="F441" s="15"/>
    </row>
    <row r="442" spans="1:6" x14ac:dyDescent="0.25">
      <c r="A442" s="6"/>
      <c r="B442" s="2"/>
      <c r="C442" s="2"/>
      <c r="D442" s="2"/>
      <c r="E442" s="15"/>
      <c r="F442" s="15"/>
    </row>
    <row r="443" spans="1:6" x14ac:dyDescent="0.25">
      <c r="A443" s="6"/>
      <c r="B443" s="2"/>
      <c r="C443" s="2"/>
      <c r="D443" s="2"/>
      <c r="E443" s="15"/>
      <c r="F443" s="15"/>
    </row>
    <row r="444" spans="1:6" x14ac:dyDescent="0.25">
      <c r="A444" s="6"/>
      <c r="B444" s="2"/>
      <c r="C444" s="2"/>
      <c r="D444" s="2"/>
      <c r="E444" s="15"/>
      <c r="F444" s="15"/>
    </row>
    <row r="445" spans="1:6" x14ac:dyDescent="0.25">
      <c r="A445" s="6"/>
      <c r="B445" s="2"/>
      <c r="C445" s="2"/>
      <c r="D445" s="2"/>
      <c r="E445" s="15"/>
      <c r="F445" s="15"/>
    </row>
    <row r="446" spans="1:6" x14ac:dyDescent="0.25">
      <c r="A446" s="6"/>
      <c r="B446" s="2"/>
      <c r="C446" s="2"/>
      <c r="D446" s="2"/>
      <c r="E446" s="15"/>
      <c r="F446" s="15"/>
    </row>
    <row r="447" spans="1:6" x14ac:dyDescent="0.25">
      <c r="A447" s="6"/>
      <c r="B447" s="2"/>
      <c r="C447" s="2"/>
      <c r="D447" s="2"/>
      <c r="E447" s="15"/>
      <c r="F447" s="15"/>
    </row>
    <row r="448" spans="1:6" x14ac:dyDescent="0.25">
      <c r="A448" s="6"/>
      <c r="B448" s="2"/>
      <c r="C448" s="2"/>
      <c r="D448" s="2"/>
      <c r="E448" s="15"/>
      <c r="F448" s="15"/>
    </row>
    <row r="449" spans="1:6" x14ac:dyDescent="0.25">
      <c r="A449" s="6"/>
      <c r="B449" s="2"/>
      <c r="C449" s="2"/>
      <c r="D449" s="2"/>
      <c r="E449" s="15"/>
      <c r="F449" s="15"/>
    </row>
    <row r="450" spans="1:6" x14ac:dyDescent="0.25">
      <c r="A450" s="6"/>
      <c r="B450" s="2"/>
      <c r="C450" s="2"/>
      <c r="D450" s="2"/>
      <c r="E450" s="15"/>
      <c r="F450" s="15"/>
    </row>
    <row r="451" spans="1:6" x14ac:dyDescent="0.25">
      <c r="A451" s="6"/>
      <c r="B451" s="2"/>
      <c r="C451" s="2"/>
      <c r="D451" s="2"/>
      <c r="E451" s="15"/>
      <c r="F451" s="15"/>
    </row>
    <row r="452" spans="1:6" x14ac:dyDescent="0.25">
      <c r="A452" s="6"/>
      <c r="B452" s="2"/>
      <c r="C452" s="2"/>
      <c r="D452" s="2"/>
      <c r="E452" s="15"/>
      <c r="F452" s="15"/>
    </row>
    <row r="453" spans="1:6" x14ac:dyDescent="0.25">
      <c r="A453" s="6"/>
      <c r="B453" s="2"/>
      <c r="C453" s="2"/>
      <c r="D453" s="2"/>
      <c r="E453" s="15"/>
      <c r="F453" s="15"/>
    </row>
    <row r="454" spans="1:6" x14ac:dyDescent="0.25">
      <c r="A454" s="6"/>
      <c r="B454" s="2"/>
      <c r="C454" s="2"/>
      <c r="D454" s="2"/>
      <c r="E454" s="15"/>
      <c r="F454" s="15"/>
    </row>
    <row r="455" spans="1:6" x14ac:dyDescent="0.25">
      <c r="A455" s="6"/>
      <c r="B455" s="2"/>
      <c r="C455" s="2"/>
      <c r="D455" s="2"/>
      <c r="E455" s="15"/>
      <c r="F455" s="15"/>
    </row>
    <row r="456" spans="1:6" x14ac:dyDescent="0.25">
      <c r="A456" s="6"/>
      <c r="B456" s="2"/>
      <c r="C456" s="2"/>
      <c r="D456" s="2"/>
      <c r="E456" s="15"/>
      <c r="F456" s="15"/>
    </row>
    <row r="457" spans="1:6" x14ac:dyDescent="0.25">
      <c r="A457" s="6"/>
      <c r="B457" s="2"/>
      <c r="C457" s="2"/>
      <c r="D457" s="2"/>
      <c r="E457" s="15"/>
      <c r="F457" s="15"/>
    </row>
    <row r="458" spans="1:6" x14ac:dyDescent="0.25">
      <c r="A458" s="6"/>
      <c r="B458" s="2"/>
      <c r="C458" s="2"/>
      <c r="D458" s="2"/>
      <c r="E458" s="15"/>
      <c r="F458" s="15"/>
    </row>
    <row r="459" spans="1:6" x14ac:dyDescent="0.25">
      <c r="A459" s="6"/>
      <c r="B459" s="2"/>
      <c r="C459" s="2"/>
      <c r="D459" s="2"/>
      <c r="E459" s="15"/>
      <c r="F459" s="15"/>
    </row>
    <row r="460" spans="1:6" x14ac:dyDescent="0.25">
      <c r="A460" s="6"/>
      <c r="B460" s="2"/>
      <c r="C460" s="2"/>
      <c r="D460" s="2"/>
      <c r="E460" s="15"/>
      <c r="F460" s="15"/>
    </row>
    <row r="461" spans="1:6" x14ac:dyDescent="0.25">
      <c r="A461" s="6"/>
      <c r="B461" s="2"/>
      <c r="C461" s="2"/>
      <c r="D461" s="2"/>
      <c r="E461" s="15"/>
      <c r="F461" s="15"/>
    </row>
    <row r="462" spans="1:6" x14ac:dyDescent="0.25">
      <c r="A462" s="6"/>
      <c r="B462" s="2"/>
      <c r="C462" s="2"/>
      <c r="D462" s="2"/>
      <c r="E462" s="15"/>
      <c r="F462" s="15"/>
    </row>
    <row r="463" spans="1:6" x14ac:dyDescent="0.25">
      <c r="A463" s="6"/>
      <c r="B463" s="2"/>
      <c r="C463" s="2"/>
      <c r="D463" s="2"/>
      <c r="E463" s="15"/>
      <c r="F463" s="15"/>
    </row>
    <row r="464" spans="1:6" x14ac:dyDescent="0.25">
      <c r="A464" s="6"/>
      <c r="B464" s="2"/>
      <c r="C464" s="2"/>
      <c r="D464" s="2"/>
      <c r="E464" s="15"/>
      <c r="F464" s="15"/>
    </row>
    <row r="465" spans="1:6" x14ac:dyDescent="0.25">
      <c r="A465" s="6"/>
      <c r="B465" s="2"/>
      <c r="C465" s="2"/>
      <c r="D465" s="2"/>
      <c r="E465" s="15"/>
      <c r="F465" s="15"/>
    </row>
    <row r="466" spans="1:6" x14ac:dyDescent="0.25">
      <c r="A466" s="6"/>
      <c r="B466" s="2"/>
      <c r="C466" s="2"/>
      <c r="D466" s="2"/>
      <c r="E466" s="15"/>
      <c r="F466" s="15"/>
    </row>
    <row r="467" spans="1:6" x14ac:dyDescent="0.25">
      <c r="A467" s="6"/>
      <c r="B467" s="2"/>
      <c r="C467" s="2"/>
      <c r="D467" s="2"/>
      <c r="E467" s="15"/>
      <c r="F467" s="15"/>
    </row>
    <row r="468" spans="1:6" x14ac:dyDescent="0.25">
      <c r="A468" s="6"/>
      <c r="B468" s="2"/>
      <c r="C468" s="2"/>
      <c r="D468" s="2"/>
      <c r="E468" s="15"/>
      <c r="F468" s="15"/>
    </row>
    <row r="469" spans="1:6" x14ac:dyDescent="0.25">
      <c r="A469" s="6"/>
      <c r="B469" s="2"/>
      <c r="C469" s="2"/>
      <c r="D469" s="2"/>
      <c r="E469" s="15"/>
      <c r="F469" s="15"/>
    </row>
    <row r="470" spans="1:6" x14ac:dyDescent="0.25">
      <c r="A470" s="6"/>
      <c r="B470" s="2"/>
      <c r="C470" s="2"/>
      <c r="D470" s="2"/>
      <c r="E470" s="15"/>
      <c r="F470" s="15"/>
    </row>
    <row r="471" spans="1:6" x14ac:dyDescent="0.25">
      <c r="A471" s="6"/>
      <c r="B471" s="2"/>
      <c r="C471" s="2"/>
      <c r="D471" s="2"/>
      <c r="E471" s="15"/>
      <c r="F471" s="15"/>
    </row>
    <row r="472" spans="1:6" x14ac:dyDescent="0.25">
      <c r="A472" s="6"/>
      <c r="B472" s="2"/>
      <c r="C472" s="2"/>
      <c r="D472" s="2"/>
      <c r="E472" s="15"/>
      <c r="F472" s="15"/>
    </row>
    <row r="473" spans="1:6" x14ac:dyDescent="0.25">
      <c r="A473" s="6"/>
      <c r="B473" s="2"/>
      <c r="C473" s="2"/>
      <c r="D473" s="2"/>
      <c r="E473" s="15"/>
      <c r="F473" s="15"/>
    </row>
    <row r="474" spans="1:6" x14ac:dyDescent="0.25">
      <c r="A474" s="6"/>
      <c r="B474" s="2"/>
      <c r="C474" s="2"/>
      <c r="D474" s="2"/>
      <c r="E474" s="15"/>
      <c r="F474" s="15"/>
    </row>
    <row r="475" spans="1:6" x14ac:dyDescent="0.25">
      <c r="A475" s="6"/>
      <c r="B475" s="2"/>
      <c r="C475" s="2"/>
      <c r="D475" s="2"/>
      <c r="E475" s="15"/>
      <c r="F475" s="15"/>
    </row>
    <row r="476" spans="1:6" x14ac:dyDescent="0.25">
      <c r="A476" s="6"/>
      <c r="B476" s="2"/>
      <c r="C476" s="2"/>
      <c r="D476" s="2"/>
      <c r="E476" s="15"/>
      <c r="F476" s="15"/>
    </row>
    <row r="477" spans="1:6" x14ac:dyDescent="0.25">
      <c r="A477" s="6"/>
      <c r="B477" s="2"/>
      <c r="C477" s="2"/>
      <c r="D477" s="2"/>
      <c r="E477" s="15"/>
      <c r="F477" s="15"/>
    </row>
    <row r="478" spans="1:6" x14ac:dyDescent="0.25">
      <c r="A478" s="6"/>
      <c r="B478" s="2"/>
      <c r="C478" s="2"/>
      <c r="D478" s="2"/>
      <c r="E478" s="15"/>
      <c r="F478" s="15"/>
    </row>
    <row r="479" spans="1:6" x14ac:dyDescent="0.25">
      <c r="A479" s="6"/>
      <c r="B479" s="2"/>
      <c r="C479" s="2"/>
      <c r="D479" s="2"/>
      <c r="E479" s="15"/>
      <c r="F479" s="15"/>
    </row>
    <row r="480" spans="1:6" x14ac:dyDescent="0.25">
      <c r="A480" s="6"/>
      <c r="B480" s="2"/>
      <c r="C480" s="2"/>
      <c r="D480" s="2"/>
      <c r="E480" s="15"/>
      <c r="F480" s="15"/>
    </row>
    <row r="481" spans="1:6" x14ac:dyDescent="0.25">
      <c r="A481" s="6"/>
      <c r="B481" s="2"/>
      <c r="C481" s="2"/>
      <c r="D481" s="2"/>
      <c r="E481" s="15"/>
      <c r="F481" s="15"/>
    </row>
    <row r="482" spans="1:6" x14ac:dyDescent="0.25">
      <c r="A482" s="6"/>
      <c r="B482" s="2"/>
      <c r="C482" s="2"/>
      <c r="D482" s="2"/>
      <c r="E482" s="15"/>
      <c r="F482" s="15"/>
    </row>
    <row r="483" spans="1:6" x14ac:dyDescent="0.25">
      <c r="A483" s="6"/>
      <c r="B483" s="2"/>
      <c r="C483" s="2"/>
      <c r="D483" s="2"/>
      <c r="E483" s="15"/>
      <c r="F483" s="15"/>
    </row>
    <row r="484" spans="1:6" x14ac:dyDescent="0.25">
      <c r="A484" s="6"/>
      <c r="B484" s="2"/>
      <c r="C484" s="2"/>
      <c r="D484" s="2"/>
      <c r="E484" s="15"/>
      <c r="F484" s="15"/>
    </row>
    <row r="485" spans="1:6" x14ac:dyDescent="0.25">
      <c r="A485" s="6"/>
      <c r="B485" s="2"/>
      <c r="C485" s="2"/>
      <c r="D485" s="2"/>
      <c r="E485" s="15"/>
      <c r="F485" s="15"/>
    </row>
    <row r="486" spans="1:6" x14ac:dyDescent="0.25">
      <c r="A486" s="6"/>
      <c r="B486" s="2"/>
      <c r="C486" s="2"/>
      <c r="D486" s="2"/>
      <c r="E486" s="15"/>
      <c r="F486" s="15"/>
    </row>
    <row r="487" spans="1:6" x14ac:dyDescent="0.25">
      <c r="A487" s="6"/>
      <c r="B487" s="2"/>
      <c r="C487" s="2"/>
      <c r="D487" s="2"/>
      <c r="E487" s="15"/>
      <c r="F487" s="15"/>
    </row>
    <row r="488" spans="1:6" x14ac:dyDescent="0.25">
      <c r="A488" s="6"/>
      <c r="B488" s="2"/>
      <c r="C488" s="2"/>
      <c r="D488" s="2"/>
      <c r="E488" s="15"/>
      <c r="F488" s="15"/>
    </row>
    <row r="489" spans="1:6" x14ac:dyDescent="0.25">
      <c r="A489" s="6"/>
      <c r="B489" s="2"/>
      <c r="C489" s="2"/>
      <c r="D489" s="2"/>
      <c r="E489" s="15"/>
      <c r="F489" s="15"/>
    </row>
    <row r="490" spans="1:6" x14ac:dyDescent="0.25">
      <c r="A490" s="6"/>
      <c r="B490" s="2"/>
      <c r="C490" s="2"/>
      <c r="D490" s="2"/>
      <c r="E490" s="15"/>
      <c r="F490" s="15"/>
    </row>
    <row r="491" spans="1:6" x14ac:dyDescent="0.25">
      <c r="A491" s="6"/>
      <c r="B491" s="2"/>
      <c r="C491" s="2"/>
      <c r="D491" s="2"/>
      <c r="E491" s="15"/>
      <c r="F491" s="15"/>
    </row>
    <row r="492" spans="1:6" x14ac:dyDescent="0.25">
      <c r="A492" s="6"/>
      <c r="B492" s="2"/>
      <c r="C492" s="2"/>
      <c r="D492" s="2"/>
      <c r="E492" s="15"/>
      <c r="F492" s="15"/>
    </row>
    <row r="493" spans="1:6" x14ac:dyDescent="0.25">
      <c r="A493" s="6"/>
      <c r="B493" s="2"/>
      <c r="C493" s="2"/>
      <c r="D493" s="2"/>
      <c r="E493" s="15"/>
      <c r="F493" s="15"/>
    </row>
    <row r="494" spans="1:6" x14ac:dyDescent="0.25">
      <c r="A494" s="6"/>
      <c r="B494" s="2"/>
      <c r="C494" s="2"/>
      <c r="D494" s="2"/>
      <c r="E494" s="15"/>
      <c r="F494" s="15"/>
    </row>
    <row r="495" spans="1:6" x14ac:dyDescent="0.25">
      <c r="A495" s="6"/>
      <c r="B495" s="2"/>
      <c r="C495" s="2"/>
      <c r="D495" s="2"/>
      <c r="E495" s="15"/>
      <c r="F495" s="15"/>
    </row>
    <row r="496" spans="1:6" x14ac:dyDescent="0.25">
      <c r="A496" s="6"/>
      <c r="B496" s="2"/>
      <c r="C496" s="2"/>
      <c r="D496" s="2"/>
      <c r="E496" s="15"/>
      <c r="F496" s="15"/>
    </row>
    <row r="497" spans="1:6" x14ac:dyDescent="0.25">
      <c r="A497" s="6"/>
      <c r="B497" s="2"/>
      <c r="C497" s="2"/>
      <c r="D497" s="2"/>
      <c r="E497" s="15"/>
      <c r="F497" s="15"/>
    </row>
    <row r="498" spans="1:6" x14ac:dyDescent="0.25">
      <c r="A498" s="6"/>
      <c r="B498" s="2"/>
      <c r="C498" s="2"/>
      <c r="D498" s="2"/>
      <c r="E498" s="15"/>
      <c r="F498" s="15"/>
    </row>
    <row r="499" spans="1:6" x14ac:dyDescent="0.25">
      <c r="A499" s="6"/>
      <c r="B499" s="2"/>
      <c r="C499" s="2"/>
      <c r="D499" s="2"/>
      <c r="E499" s="15"/>
      <c r="F499" s="15"/>
    </row>
    <row r="500" spans="1:6" x14ac:dyDescent="0.25">
      <c r="A500" s="6"/>
      <c r="B500" s="2"/>
      <c r="C500" s="2"/>
      <c r="D500" s="2"/>
      <c r="E500" s="15"/>
      <c r="F500" s="15"/>
    </row>
    <row r="501" spans="1:6" x14ac:dyDescent="0.25">
      <c r="A501" s="6"/>
      <c r="B501" s="2"/>
      <c r="C501" s="2"/>
      <c r="D501" s="2"/>
      <c r="E501" s="15"/>
      <c r="F501" s="15"/>
    </row>
    <row r="502" spans="1:6" x14ac:dyDescent="0.25">
      <c r="A502" s="6"/>
      <c r="B502" s="2"/>
      <c r="C502" s="2"/>
      <c r="D502" s="2"/>
      <c r="E502" s="15"/>
      <c r="F502" s="15"/>
    </row>
    <row r="503" spans="1:6" x14ac:dyDescent="0.25">
      <c r="A503" s="6"/>
      <c r="B503" s="2"/>
      <c r="C503" s="2"/>
      <c r="D503" s="2"/>
      <c r="E503" s="15"/>
      <c r="F503" s="15"/>
    </row>
    <row r="504" spans="1:6" x14ac:dyDescent="0.25">
      <c r="A504" s="6"/>
      <c r="B504" s="2"/>
      <c r="C504" s="2"/>
      <c r="D504" s="2"/>
      <c r="E504" s="15"/>
      <c r="F504" s="15"/>
    </row>
    <row r="505" spans="1:6" x14ac:dyDescent="0.25">
      <c r="A505" s="6"/>
      <c r="B505" s="2"/>
      <c r="C505" s="2"/>
      <c r="D505" s="2"/>
      <c r="E505" s="15"/>
      <c r="F505" s="15"/>
    </row>
    <row r="506" spans="1:6" x14ac:dyDescent="0.25">
      <c r="A506" s="6"/>
      <c r="B506" s="2"/>
      <c r="C506" s="2"/>
      <c r="D506" s="2"/>
      <c r="E506" s="15"/>
      <c r="F506" s="15"/>
    </row>
    <row r="507" spans="1:6" x14ac:dyDescent="0.25">
      <c r="A507" s="6"/>
      <c r="B507" s="2"/>
      <c r="C507" s="2"/>
      <c r="D507" s="2"/>
      <c r="E507" s="15"/>
      <c r="F507" s="15"/>
    </row>
    <row r="508" spans="1:6" x14ac:dyDescent="0.25"/>
  </sheetData>
  <sheetProtection algorithmName="SHA-512" hashValue="NjvuoN6bwu3YjihizZx8Ey7EVtL7dwODMJXAPU/nURkPFw5LPaSx914HZ9oQyzF+Ax+90+lEQO2ERXblowPOTg==" saltValue="8arC/Me7Weh/8OKgOR/Oeg==" spinCount="100000" sheet="1" objects="1" scenarios="1"/>
  <conditionalFormatting sqref="B1">
    <cfRule type="expression" dxfId="10" priority="14">
      <formula xml:space="preserve"> #REF!&lt;&gt; $A1048576</formula>
    </cfRule>
  </conditionalFormatting>
  <conditionalFormatting sqref="B2">
    <cfRule type="expression" dxfId="9" priority="13">
      <formula xml:space="preserve"> $A2&lt;&gt; #REF!</formula>
    </cfRule>
  </conditionalFormatting>
  <conditionalFormatting sqref="C4:C507">
    <cfRule type="expression" dxfId="8" priority="12">
      <formula xml:space="preserve"> $A4&lt;&gt; #REF!</formula>
    </cfRule>
  </conditionalFormatting>
  <conditionalFormatting sqref="B5:B507">
    <cfRule type="expression" dxfId="7" priority="9">
      <formula xml:space="preserve"> $A5&lt;&gt; #REF!</formula>
    </cfRule>
  </conditionalFormatting>
  <conditionalFormatting sqref="C5:C507">
    <cfRule type="expression" dxfId="6" priority="8">
      <formula xml:space="preserve"> $A5&lt;&gt; #REF!</formula>
    </cfRule>
  </conditionalFormatting>
  <conditionalFormatting sqref="B3">
    <cfRule type="expression" dxfId="5" priority="7">
      <formula xml:space="preserve"> $A3&lt;&gt; #REF!</formula>
    </cfRule>
  </conditionalFormatting>
  <conditionalFormatting sqref="B4">
    <cfRule type="expression" dxfId="4" priority="5">
      <formula xml:space="preserve"> $A4&lt;&gt; #REF!</formula>
    </cfRule>
  </conditionalFormatting>
  <conditionalFormatting sqref="C4">
    <cfRule type="expression" dxfId="3" priority="4">
      <formula xml:space="preserve"> $A4&lt;&gt; #REF!</formula>
    </cfRule>
  </conditionalFormatting>
  <conditionalFormatting sqref="C3:C507">
    <cfRule type="expression" dxfId="2" priority="3">
      <formula xml:space="preserve"> $A3&lt;&gt; #REF!</formula>
    </cfRule>
  </conditionalFormatting>
  <conditionalFormatting sqref="C2:C507">
    <cfRule type="expression" dxfId="1" priority="2">
      <formula xml:space="preserve"> $A2&lt;&gt; #REF!</formula>
    </cfRule>
  </conditionalFormatting>
  <conditionalFormatting sqref="D2:F507">
    <cfRule type="expression" dxfId="0" priority="1">
      <formula xml:space="preserve"> $A2&lt;&gt; #REF!</formula>
    </cfRule>
  </conditionalFormatting>
  <dataValidations count="6">
    <dataValidation allowBlank="1" showInputMessage="1" showErrorMessage="1" prompt="Count do Número de Linhas preenchidos, desconsiderando linha de cabeçalho" sqref="A1"/>
    <dataValidation type="list" allowBlank="1" showInputMessage="1" showErrorMessage="1" prompt="Chave que identifica registro na planilha" sqref="B1">
      <formula1>"SIM,NÃO"</formula1>
    </dataValidation>
    <dataValidation allowBlank="1" showInputMessage="1" showErrorMessage="1" prompt="Indique uma estimativa de quando esta despesa deve ser realizada._x000a__x000a_Esta estimatíva é necessária para disponibilização do Orçamento no SAP e pode ser ajustada durante as rodadas de Forecast." sqref="D1"/>
    <dataValidation allowBlank="1" showInputMessage="1" showErrorMessage="1" prompt="Nome que identifica a parcela mensalizada. _x000a__x000a_Caso você esteja solicitando a criação de RC, você deve indicar o nome do Marco de Pagamento, conforme contrato e/ou proposta comercial do fornecedor." sqref="C1"/>
    <dataValidation allowBlank="1" showInputMessage="1" showErrorMessage="1" prompt="Valor previto para pagamento referente a data de mensalização indicada. _x000a__x000a_Caso você esteja solicitando a criação de RC, estes valores devem obedecer as regras de marcos de pagamento definidos nas Propostas e/ou Contrato." sqref="E1"/>
    <dataValidation allowBlank="1" showInputMessage="1" showErrorMessage="1" prompt="Informação do Percentual do valor do Item em relação ao valor total da proposta." sqref="F1"/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Observa_x00e7__x00f5_es xmlns="0e3f2e60-2277-4302-8e52-efbb60b3566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BE38A9F3C2B5641B2700C9902D8E521" ma:contentTypeVersion="1" ma:contentTypeDescription="Crie um novo documento." ma:contentTypeScope="" ma:versionID="4aa8bffde00be64362fd7771bcba2993">
  <xsd:schema xmlns:xsd="http://www.w3.org/2001/XMLSchema" xmlns:xs="http://www.w3.org/2001/XMLSchema" xmlns:p="http://schemas.microsoft.com/office/2006/metadata/properties" xmlns:ns2="0e3f2e60-2277-4302-8e52-efbb60b35666" targetNamespace="http://schemas.microsoft.com/office/2006/metadata/properties" ma:root="true" ma:fieldsID="f6af4bb8643ea841fe4529ad858222d7" ns2:_="">
    <xsd:import namespace="0e3f2e60-2277-4302-8e52-efbb60b35666"/>
    <xsd:element name="properties">
      <xsd:complexType>
        <xsd:sequence>
          <xsd:element name="documentManagement">
            <xsd:complexType>
              <xsd:all>
                <xsd:element ref="ns2:Observa_x00e7__x00f5_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e3f2e60-2277-4302-8e52-efbb60b35666" elementFormDefault="qualified">
    <xsd:import namespace="http://schemas.microsoft.com/office/2006/documentManagement/types"/>
    <xsd:import namespace="http://schemas.microsoft.com/office/infopath/2007/PartnerControls"/>
    <xsd:element name="Observa_x00e7__x00f5_es" ma:index="8" nillable="true" ma:displayName="Observações" ma:internalName="Observa_x00e7__x00f5_es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142CF78-E93E-465E-A683-0FDE4B5424B9}">
  <ds:schemaRefs>
    <ds:schemaRef ds:uri="http://schemas.microsoft.com/office/2006/metadata/properties"/>
    <ds:schemaRef ds:uri="http://schemas.microsoft.com/office/infopath/2007/PartnerControls"/>
    <ds:schemaRef ds:uri="0e3f2e60-2277-4302-8e52-efbb60b35666"/>
  </ds:schemaRefs>
</ds:datastoreItem>
</file>

<file path=customXml/itemProps2.xml><?xml version="1.0" encoding="utf-8"?>
<ds:datastoreItem xmlns:ds="http://schemas.openxmlformats.org/officeDocument/2006/customXml" ds:itemID="{C61C5AA5-4DD4-4A05-9587-2773B4CA06B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e3f2e60-2277-4302-8e52-efbb60b3566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CE21480-BC25-41BF-82B0-793B64C35A8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4</vt:i4>
      </vt:variant>
    </vt:vector>
  </HeadingPairs>
  <TitlesOfParts>
    <vt:vector size="18" baseType="lpstr">
      <vt:lpstr>INSTRUÇÕES</vt:lpstr>
      <vt:lpstr>Defesa</vt:lpstr>
      <vt:lpstr>Propostas</vt:lpstr>
      <vt:lpstr>Projeto</vt:lpstr>
      <vt:lpstr>FICHA</vt:lpstr>
      <vt:lpstr>CONTRATOS</vt:lpstr>
      <vt:lpstr>SISTEMA</vt:lpstr>
      <vt:lpstr>TABELAS</vt:lpstr>
      <vt:lpstr>VW_GO</vt:lpstr>
      <vt:lpstr>VW_RC</vt:lpstr>
      <vt:lpstr>VW_PROJETO</vt:lpstr>
      <vt:lpstr>TB_DEFESA</vt:lpstr>
      <vt:lpstr>TB_PROPOSTA</vt:lpstr>
      <vt:lpstr>TB_MENSALIZACAO</vt:lpstr>
      <vt:lpstr>Defesa!Area_de_impressao</vt:lpstr>
      <vt:lpstr>FICHA!Area_de_impressao</vt:lpstr>
      <vt:lpstr>INSTRUÇÕES!Area_de_impressao</vt:lpstr>
      <vt:lpstr>Projeto!Area_de_impressao</vt:lpstr>
    </vt:vector>
  </TitlesOfParts>
  <Company>Oi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Formulário de Aprovação de Investimento</dc:title>
  <dc:creator>Leandro Brito</dc:creator>
  <cp:lastModifiedBy>Leandro Marcos Frossard</cp:lastModifiedBy>
  <cp:lastPrinted>2016-01-08T14:01:20Z</cp:lastPrinted>
  <dcterms:created xsi:type="dcterms:W3CDTF">2014-05-01T14:17:22Z</dcterms:created>
  <dcterms:modified xsi:type="dcterms:W3CDTF">2017-08-02T19:17:44Z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0x010100FBE38A9F3C2B5641B2700C9902D8E521</vt:lpwstr>
  </property>
</Properties>
</file>